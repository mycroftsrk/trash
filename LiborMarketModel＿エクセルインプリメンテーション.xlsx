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2" yWindow="120" windowWidth="20136" windowHeight="9240"/>
  </bookViews>
  <sheets>
    <sheet name="ForwardLiborSimulation" sheetId="1" r:id="rId1"/>
    <sheet name="Volatility" sheetId="4" r:id="rId2"/>
    <sheet name="DriftSum" sheetId="6" r:id="rId3"/>
  </sheets>
  <definedNames>
    <definedName name="LiborTenor">ForwardLiborSimulation!$E$3</definedName>
    <definedName name="TimeStep">ForwardLiborSimulation!$E$2</definedName>
  </definedNames>
  <calcPr calcId="145621"/>
</workbook>
</file>

<file path=xl/calcChain.xml><?xml version="1.0" encoding="utf-8"?>
<calcChain xmlns="http://schemas.openxmlformats.org/spreadsheetml/2006/main">
  <c r="DW96" i="1" l="1"/>
  <c r="DV96" i="1"/>
  <c r="DU96" i="1"/>
  <c r="DT96" i="1"/>
  <c r="DS96" i="1"/>
  <c r="DR96" i="1"/>
  <c r="DQ96" i="1"/>
  <c r="DP96" i="1"/>
  <c r="DO96" i="1"/>
  <c r="DN96" i="1"/>
  <c r="DM96" i="1"/>
  <c r="DL96" i="1"/>
  <c r="DK96" i="1"/>
  <c r="DJ96" i="1"/>
  <c r="DI96" i="1"/>
  <c r="DH96" i="1"/>
  <c r="DG96" i="1"/>
  <c r="DF96" i="1"/>
  <c r="DE96" i="1"/>
  <c r="DD96" i="1"/>
  <c r="DC96" i="1"/>
  <c r="DB96" i="1"/>
  <c r="DA96" i="1"/>
  <c r="CZ96" i="1"/>
  <c r="CY96" i="1"/>
  <c r="CX96" i="1"/>
  <c r="CW96" i="1"/>
  <c r="CV96" i="1"/>
  <c r="CU96" i="1"/>
  <c r="CT96" i="1"/>
  <c r="CS96" i="1"/>
  <c r="CR96" i="1"/>
  <c r="CQ96" i="1"/>
  <c r="CP96" i="1"/>
  <c r="CO96" i="1"/>
  <c r="CN96" i="1"/>
  <c r="CM96" i="1"/>
  <c r="CL96" i="1"/>
  <c r="CK96" i="1"/>
  <c r="CJ96" i="1"/>
  <c r="CI96" i="1"/>
  <c r="CH96" i="1"/>
  <c r="CG96" i="1"/>
  <c r="CF96" i="1"/>
  <c r="CE96" i="1"/>
  <c r="CD96" i="1"/>
  <c r="CC96" i="1"/>
  <c r="CB96" i="1"/>
  <c r="CA96" i="1"/>
  <c r="BZ96" i="1"/>
  <c r="BY96" i="1"/>
  <c r="BX96" i="1"/>
  <c r="BW96" i="1"/>
  <c r="BV96" i="1"/>
  <c r="BU96" i="1"/>
  <c r="BT96" i="1"/>
  <c r="BS96" i="1"/>
  <c r="BR96" i="1"/>
  <c r="BQ96" i="1"/>
  <c r="BP96" i="1"/>
  <c r="BO96" i="1"/>
  <c r="BN96" i="1"/>
  <c r="BM96" i="1"/>
  <c r="BL96" i="1"/>
  <c r="BK96" i="1"/>
  <c r="BJ96" i="1"/>
  <c r="BI96" i="1"/>
  <c r="BH96" i="1"/>
  <c r="BG96" i="1"/>
  <c r="BF96" i="1"/>
  <c r="BE96" i="1"/>
  <c r="BD96" i="1"/>
  <c r="BC96" i="1"/>
  <c r="BB96" i="1"/>
  <c r="BA96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G93" i="1"/>
  <c r="G92" i="1" s="1"/>
  <c r="G91" i="1" s="1"/>
  <c r="G90" i="1" s="1"/>
  <c r="G89" i="1" s="1"/>
  <c r="G88" i="1" s="1"/>
  <c r="G87" i="1" s="1"/>
  <c r="G86" i="1" s="1"/>
  <c r="G85" i="1" s="1"/>
  <c r="G84" i="1" s="1"/>
  <c r="G83" i="1" s="1"/>
  <c r="G82" i="1" s="1"/>
  <c r="G81" i="1" s="1"/>
  <c r="G80" i="1" s="1"/>
  <c r="G79" i="1" s="1"/>
  <c r="G78" i="1" s="1"/>
  <c r="G77" i="1" s="1"/>
  <c r="G76" i="1" s="1"/>
  <c r="G75" i="1" s="1"/>
  <c r="G74" i="1" s="1"/>
  <c r="G73" i="1" s="1"/>
  <c r="G72" i="1" s="1"/>
  <c r="G71" i="1" s="1"/>
  <c r="G70" i="1" s="1"/>
  <c r="G69" i="1" s="1"/>
  <c r="G68" i="1" s="1"/>
  <c r="G67" i="1" s="1"/>
  <c r="G66" i="1" s="1"/>
  <c r="G65" i="1" s="1"/>
  <c r="G64" i="1" s="1"/>
  <c r="G63" i="1" s="1"/>
  <c r="G62" i="1" s="1"/>
  <c r="G61" i="1" s="1"/>
  <c r="G60" i="1" s="1"/>
  <c r="G59" i="1" s="1"/>
  <c r="G58" i="1" s="1"/>
  <c r="G57" i="1" s="1"/>
  <c r="G56" i="1" s="1"/>
  <c r="G55" i="1" s="1"/>
  <c r="G54" i="1" s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DW49" i="1"/>
  <c r="DV49" i="1"/>
  <c r="DU49" i="1"/>
  <c r="DT49" i="1"/>
  <c r="DS49" i="1"/>
  <c r="DR49" i="1"/>
  <c r="DQ49" i="1"/>
  <c r="DP49" i="1"/>
  <c r="DO49" i="1"/>
  <c r="DN49" i="1"/>
  <c r="DM49" i="1"/>
  <c r="DL49" i="1"/>
  <c r="DK49" i="1"/>
  <c r="DJ49" i="1"/>
  <c r="DI49" i="1"/>
  <c r="DH49" i="1"/>
  <c r="DG49" i="1"/>
  <c r="DF49" i="1"/>
  <c r="DE49" i="1"/>
  <c r="DD49" i="1"/>
  <c r="DC49" i="1"/>
  <c r="DB49" i="1"/>
  <c r="DA49" i="1"/>
  <c r="CZ49" i="1"/>
  <c r="CY49" i="1"/>
  <c r="CX49" i="1"/>
  <c r="CW49" i="1"/>
  <c r="CV49" i="1"/>
  <c r="CU49" i="1"/>
  <c r="CT49" i="1"/>
  <c r="CS49" i="1"/>
  <c r="CR49" i="1"/>
  <c r="CQ49" i="1"/>
  <c r="CP49" i="1"/>
  <c r="CO49" i="1"/>
  <c r="CN49" i="1"/>
  <c r="CM49" i="1"/>
  <c r="CL49" i="1"/>
  <c r="CK49" i="1"/>
  <c r="CJ49" i="1"/>
  <c r="CI49" i="1"/>
  <c r="CH49" i="1"/>
  <c r="CG49" i="1"/>
  <c r="CF49" i="1"/>
  <c r="CE49" i="1"/>
  <c r="CD49" i="1"/>
  <c r="CC49" i="1"/>
  <c r="CB49" i="1"/>
  <c r="CA49" i="1"/>
  <c r="BZ49" i="1"/>
  <c r="BY49" i="1"/>
  <c r="BX49" i="1"/>
  <c r="BW49" i="1"/>
  <c r="BV49" i="1"/>
  <c r="BU49" i="1"/>
  <c r="BT49" i="1"/>
  <c r="BS49" i="1"/>
  <c r="BR49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H44" i="1" s="1"/>
  <c r="H9" i="6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H34" i="6" s="1"/>
  <c r="H35" i="6" s="1"/>
  <c r="H36" i="6" s="1"/>
  <c r="H37" i="6" s="1"/>
  <c r="H38" i="6" s="1"/>
  <c r="H39" i="6" s="1"/>
  <c r="H40" i="6" s="1"/>
  <c r="H41" i="6" s="1"/>
  <c r="H42" i="6" s="1"/>
  <c r="H43" i="6" s="1"/>
  <c r="H44" i="6" s="1"/>
  <c r="H45" i="6" s="1"/>
  <c r="H8" i="6"/>
  <c r="E2" i="1"/>
  <c r="G47" i="6"/>
  <c r="G6" i="6" s="1"/>
  <c r="D47" i="6"/>
  <c r="F6" i="6"/>
  <c r="G47" i="4"/>
  <c r="D47" i="4"/>
  <c r="H8" i="1" l="1"/>
  <c r="H11" i="1"/>
  <c r="H7" i="1"/>
  <c r="I7" i="1" s="1"/>
  <c r="J7" i="1" s="1"/>
  <c r="K7" i="1" s="1"/>
  <c r="L7" i="1" s="1"/>
  <c r="M7" i="1" s="1"/>
  <c r="N7" i="1" s="1"/>
  <c r="O7" i="1" s="1"/>
  <c r="P7" i="1" s="1"/>
  <c r="Q7" i="1" s="1"/>
  <c r="R7" i="1" s="1"/>
  <c r="S7" i="1" s="1"/>
  <c r="T7" i="1" s="1"/>
  <c r="U7" i="1" s="1"/>
  <c r="V7" i="1" s="1"/>
  <c r="W7" i="1" s="1"/>
  <c r="X7" i="1" s="1"/>
  <c r="Y7" i="1" s="1"/>
  <c r="Z7" i="1" s="1"/>
  <c r="AA7" i="1" s="1"/>
  <c r="AB7" i="1" s="1"/>
  <c r="AC7" i="1" s="1"/>
  <c r="AD7" i="1" s="1"/>
  <c r="AE7" i="1" s="1"/>
  <c r="AF7" i="1" s="1"/>
  <c r="AG7" i="1" s="1"/>
  <c r="AH7" i="1" s="1"/>
  <c r="AI7" i="1" s="1"/>
  <c r="AJ7" i="1" s="1"/>
  <c r="AK7" i="1" s="1"/>
  <c r="AL7" i="1" s="1"/>
  <c r="AM7" i="1" s="1"/>
  <c r="AN7" i="1" s="1"/>
  <c r="AO7" i="1" s="1"/>
  <c r="AP7" i="1" s="1"/>
  <c r="AQ7" i="1" s="1"/>
  <c r="AR7" i="1" s="1"/>
  <c r="AS7" i="1" s="1"/>
  <c r="AT7" i="1" s="1"/>
  <c r="AU7" i="1" s="1"/>
  <c r="AV7" i="1" s="1"/>
  <c r="AW7" i="1" s="1"/>
  <c r="AX7" i="1" s="1"/>
  <c r="AY7" i="1" s="1"/>
  <c r="AZ7" i="1" s="1"/>
  <c r="BA7" i="1" s="1"/>
  <c r="BB7" i="1" s="1"/>
  <c r="BC7" i="1" s="1"/>
  <c r="BD7" i="1" s="1"/>
  <c r="BE7" i="1" s="1"/>
  <c r="BF7" i="1" s="1"/>
  <c r="BG7" i="1" s="1"/>
  <c r="BH7" i="1" s="1"/>
  <c r="BI7" i="1" s="1"/>
  <c r="BJ7" i="1" s="1"/>
  <c r="BK7" i="1" s="1"/>
  <c r="BL7" i="1" s="1"/>
  <c r="BM7" i="1" s="1"/>
  <c r="BN7" i="1" s="1"/>
  <c r="BO7" i="1" s="1"/>
  <c r="BP7" i="1" s="1"/>
  <c r="BQ7" i="1" s="1"/>
  <c r="BR7" i="1" s="1"/>
  <c r="BS7" i="1" s="1"/>
  <c r="BT7" i="1" s="1"/>
  <c r="BU7" i="1" s="1"/>
  <c r="BV7" i="1" s="1"/>
  <c r="BW7" i="1" s="1"/>
  <c r="BX7" i="1" s="1"/>
  <c r="BY7" i="1" s="1"/>
  <c r="BZ7" i="1" s="1"/>
  <c r="CA7" i="1" s="1"/>
  <c r="CB7" i="1" s="1"/>
  <c r="CC7" i="1" s="1"/>
  <c r="CD7" i="1" s="1"/>
  <c r="CE7" i="1" s="1"/>
  <c r="CF7" i="1" s="1"/>
  <c r="CG7" i="1" s="1"/>
  <c r="CH7" i="1" s="1"/>
  <c r="CI7" i="1" s="1"/>
  <c r="CJ7" i="1" s="1"/>
  <c r="CK7" i="1" s="1"/>
  <c r="CL7" i="1" s="1"/>
  <c r="CM7" i="1" s="1"/>
  <c r="CN7" i="1" s="1"/>
  <c r="CO7" i="1" s="1"/>
  <c r="CP7" i="1" s="1"/>
  <c r="H15" i="1"/>
  <c r="H21" i="1"/>
  <c r="H31" i="1"/>
  <c r="H37" i="1"/>
  <c r="H42" i="1"/>
  <c r="H26" i="1"/>
  <c r="H12" i="1"/>
  <c r="H17" i="1"/>
  <c r="H22" i="1"/>
  <c r="H27" i="1"/>
  <c r="H33" i="1"/>
  <c r="H38" i="1"/>
  <c r="H43" i="1"/>
  <c r="H9" i="1"/>
  <c r="H13" i="1"/>
  <c r="H18" i="1"/>
  <c r="H23" i="1"/>
  <c r="H29" i="1"/>
  <c r="H34" i="1"/>
  <c r="H39" i="1"/>
  <c r="H45" i="1"/>
  <c r="H92" i="1" s="1"/>
  <c r="H91" i="1" s="1"/>
  <c r="H10" i="1"/>
  <c r="H14" i="1"/>
  <c r="H19" i="1"/>
  <c r="H25" i="1"/>
  <c r="H30" i="1"/>
  <c r="H35" i="1"/>
  <c r="H41" i="1"/>
  <c r="H16" i="1"/>
  <c r="H20" i="1"/>
  <c r="H24" i="1"/>
  <c r="H28" i="1"/>
  <c r="H32" i="1"/>
  <c r="H36" i="1"/>
  <c r="H40" i="1"/>
  <c r="I8" i="6"/>
  <c r="I9" i="6" s="1"/>
  <c r="H47" i="1"/>
  <c r="I47" i="1" s="1"/>
  <c r="D46" i="1"/>
  <c r="D45" i="1" s="1"/>
  <c r="J7" i="4"/>
  <c r="K7" i="4" s="1"/>
  <c r="J44" i="4"/>
  <c r="K44" i="4" s="1"/>
  <c r="L44" i="4" s="1"/>
  <c r="J43" i="4"/>
  <c r="K43" i="4" s="1"/>
  <c r="L43" i="4" s="1"/>
  <c r="M43" i="4" s="1"/>
  <c r="N43" i="4" s="1"/>
  <c r="O43" i="4" s="1"/>
  <c r="J42" i="4"/>
  <c r="K42" i="4" s="1"/>
  <c r="L42" i="4" s="1"/>
  <c r="M42" i="4" s="1"/>
  <c r="N42" i="4" s="1"/>
  <c r="O42" i="4" s="1"/>
  <c r="P42" i="4" s="1"/>
  <c r="Q42" i="4" s="1"/>
  <c r="R42" i="4" s="1"/>
  <c r="J13" i="4"/>
  <c r="K13" i="4" s="1"/>
  <c r="L13" i="4" s="1"/>
  <c r="M13" i="4" s="1"/>
  <c r="N13" i="4" s="1"/>
  <c r="O13" i="4" s="1"/>
  <c r="P13" i="4" s="1"/>
  <c r="Q13" i="4" s="1"/>
  <c r="R13" i="4" s="1"/>
  <c r="S13" i="4" s="1"/>
  <c r="T13" i="4" s="1"/>
  <c r="U13" i="4" s="1"/>
  <c r="V13" i="4" s="1"/>
  <c r="W13" i="4" s="1"/>
  <c r="X13" i="4" s="1"/>
  <c r="Y13" i="4" s="1"/>
  <c r="Z13" i="4" s="1"/>
  <c r="AA13" i="4" s="1"/>
  <c r="AB13" i="4" s="1"/>
  <c r="AC13" i="4" s="1"/>
  <c r="AD13" i="4" s="1"/>
  <c r="AE13" i="4" s="1"/>
  <c r="AF13" i="4" s="1"/>
  <c r="AG13" i="4" s="1"/>
  <c r="AH13" i="4" s="1"/>
  <c r="AI13" i="4" s="1"/>
  <c r="AJ13" i="4" s="1"/>
  <c r="AK13" i="4" s="1"/>
  <c r="AL13" i="4" s="1"/>
  <c r="AM13" i="4" s="1"/>
  <c r="AN13" i="4" s="1"/>
  <c r="AO13" i="4" s="1"/>
  <c r="AP13" i="4" s="1"/>
  <c r="AQ13" i="4" s="1"/>
  <c r="AR13" i="4" s="1"/>
  <c r="AS13" i="4" s="1"/>
  <c r="AT13" i="4" s="1"/>
  <c r="AU13" i="4" s="1"/>
  <c r="AV13" i="4" s="1"/>
  <c r="AW13" i="4" s="1"/>
  <c r="AX13" i="4" s="1"/>
  <c r="AY13" i="4" s="1"/>
  <c r="AZ13" i="4" s="1"/>
  <c r="BA13" i="4" s="1"/>
  <c r="BB13" i="4" s="1"/>
  <c r="BC13" i="4" s="1"/>
  <c r="BD13" i="4" s="1"/>
  <c r="BE13" i="4" s="1"/>
  <c r="BF13" i="4" s="1"/>
  <c r="BG13" i="4" s="1"/>
  <c r="BH13" i="4" s="1"/>
  <c r="BI13" i="4" s="1"/>
  <c r="BJ13" i="4" s="1"/>
  <c r="BK13" i="4" s="1"/>
  <c r="BL13" i="4" s="1"/>
  <c r="BM13" i="4" s="1"/>
  <c r="BN13" i="4" s="1"/>
  <c r="BO13" i="4" s="1"/>
  <c r="BP13" i="4" s="1"/>
  <c r="BQ13" i="4" s="1"/>
  <c r="BR13" i="4" s="1"/>
  <c r="BS13" i="4" s="1"/>
  <c r="BT13" i="4" s="1"/>
  <c r="BU13" i="4" s="1"/>
  <c r="BV13" i="4" s="1"/>
  <c r="BW13" i="4" s="1"/>
  <c r="BX13" i="4" s="1"/>
  <c r="BY13" i="4" s="1"/>
  <c r="BZ13" i="4" s="1"/>
  <c r="CA13" i="4" s="1"/>
  <c r="CB13" i="4" s="1"/>
  <c r="CC13" i="4" s="1"/>
  <c r="CD13" i="4" s="1"/>
  <c r="CE13" i="4" s="1"/>
  <c r="CF13" i="4" s="1"/>
  <c r="CG13" i="4" s="1"/>
  <c r="CH13" i="4" s="1"/>
  <c r="CI13" i="4" s="1"/>
  <c r="CJ13" i="4" s="1"/>
  <c r="CK13" i="4" s="1"/>
  <c r="CL13" i="4" s="1"/>
  <c r="CM13" i="4" s="1"/>
  <c r="CN13" i="4" s="1"/>
  <c r="CO13" i="4" s="1"/>
  <c r="CP13" i="4" s="1"/>
  <c r="CQ13" i="4" s="1"/>
  <c r="CR13" i="4" s="1"/>
  <c r="CS13" i="4" s="1"/>
  <c r="CT13" i="4" s="1"/>
  <c r="CU13" i="4" s="1"/>
  <c r="CV13" i="4" s="1"/>
  <c r="CW13" i="4" s="1"/>
  <c r="CX13" i="4" s="1"/>
  <c r="CY13" i="4" s="1"/>
  <c r="CZ13" i="4" s="1"/>
  <c r="DA13" i="4" s="1"/>
  <c r="J12" i="4"/>
  <c r="K12" i="4" s="1"/>
  <c r="L12" i="4" s="1"/>
  <c r="M12" i="4" s="1"/>
  <c r="N12" i="4" s="1"/>
  <c r="O12" i="4" s="1"/>
  <c r="P12" i="4" s="1"/>
  <c r="Q12" i="4" s="1"/>
  <c r="R12" i="4" s="1"/>
  <c r="S12" i="4" s="1"/>
  <c r="T12" i="4" s="1"/>
  <c r="U12" i="4" s="1"/>
  <c r="V12" i="4" s="1"/>
  <c r="W12" i="4" s="1"/>
  <c r="X12" i="4" s="1"/>
  <c r="Y12" i="4" s="1"/>
  <c r="Z12" i="4" s="1"/>
  <c r="AA12" i="4" s="1"/>
  <c r="AB12" i="4" s="1"/>
  <c r="AC12" i="4" s="1"/>
  <c r="AD12" i="4" s="1"/>
  <c r="AE12" i="4" s="1"/>
  <c r="AF12" i="4" s="1"/>
  <c r="AG12" i="4" s="1"/>
  <c r="AH12" i="4" s="1"/>
  <c r="AI12" i="4" s="1"/>
  <c r="AJ12" i="4" s="1"/>
  <c r="AK12" i="4" s="1"/>
  <c r="AL12" i="4" s="1"/>
  <c r="AM12" i="4" s="1"/>
  <c r="AN12" i="4" s="1"/>
  <c r="AO12" i="4" s="1"/>
  <c r="AP12" i="4" s="1"/>
  <c r="AQ12" i="4" s="1"/>
  <c r="AR12" i="4" s="1"/>
  <c r="AS12" i="4" s="1"/>
  <c r="AT12" i="4" s="1"/>
  <c r="AU12" i="4" s="1"/>
  <c r="AV12" i="4" s="1"/>
  <c r="AW12" i="4" s="1"/>
  <c r="AX12" i="4" s="1"/>
  <c r="AY12" i="4" s="1"/>
  <c r="AZ12" i="4" s="1"/>
  <c r="BA12" i="4" s="1"/>
  <c r="BB12" i="4" s="1"/>
  <c r="BC12" i="4" s="1"/>
  <c r="BD12" i="4" s="1"/>
  <c r="BE12" i="4" s="1"/>
  <c r="BF12" i="4" s="1"/>
  <c r="BG12" i="4" s="1"/>
  <c r="BH12" i="4" s="1"/>
  <c r="BI12" i="4" s="1"/>
  <c r="BJ12" i="4" s="1"/>
  <c r="BK12" i="4" s="1"/>
  <c r="BL12" i="4" s="1"/>
  <c r="BM12" i="4" s="1"/>
  <c r="BN12" i="4" s="1"/>
  <c r="BO12" i="4" s="1"/>
  <c r="BP12" i="4" s="1"/>
  <c r="BQ12" i="4" s="1"/>
  <c r="BR12" i="4" s="1"/>
  <c r="BS12" i="4" s="1"/>
  <c r="BT12" i="4" s="1"/>
  <c r="BU12" i="4" s="1"/>
  <c r="BV12" i="4" s="1"/>
  <c r="BW12" i="4" s="1"/>
  <c r="BX12" i="4" s="1"/>
  <c r="BY12" i="4" s="1"/>
  <c r="BZ12" i="4" s="1"/>
  <c r="CA12" i="4" s="1"/>
  <c r="CB12" i="4" s="1"/>
  <c r="CC12" i="4" s="1"/>
  <c r="CD12" i="4" s="1"/>
  <c r="CE12" i="4" s="1"/>
  <c r="CF12" i="4" s="1"/>
  <c r="CG12" i="4" s="1"/>
  <c r="CH12" i="4" s="1"/>
  <c r="CI12" i="4" s="1"/>
  <c r="CJ12" i="4" s="1"/>
  <c r="CK12" i="4" s="1"/>
  <c r="CL12" i="4" s="1"/>
  <c r="CM12" i="4" s="1"/>
  <c r="CN12" i="4" s="1"/>
  <c r="CO12" i="4" s="1"/>
  <c r="CP12" i="4" s="1"/>
  <c r="CQ12" i="4" s="1"/>
  <c r="CR12" i="4" s="1"/>
  <c r="CS12" i="4" s="1"/>
  <c r="CT12" i="4" s="1"/>
  <c r="CU12" i="4" s="1"/>
  <c r="CV12" i="4" s="1"/>
  <c r="CW12" i="4" s="1"/>
  <c r="CX12" i="4" s="1"/>
  <c r="CY12" i="4" s="1"/>
  <c r="CZ12" i="4" s="1"/>
  <c r="DA12" i="4" s="1"/>
  <c r="DB12" i="4" s="1"/>
  <c r="DC12" i="4" s="1"/>
  <c r="DD12" i="4" s="1"/>
  <c r="J11" i="4"/>
  <c r="K11" i="4" s="1"/>
  <c r="L11" i="4" s="1"/>
  <c r="M11" i="4" s="1"/>
  <c r="N11" i="4" s="1"/>
  <c r="O11" i="4" s="1"/>
  <c r="P11" i="4" s="1"/>
  <c r="Q11" i="4" s="1"/>
  <c r="R11" i="4" s="1"/>
  <c r="S11" i="4" s="1"/>
  <c r="T11" i="4" s="1"/>
  <c r="U11" i="4" s="1"/>
  <c r="V11" i="4" s="1"/>
  <c r="W11" i="4" s="1"/>
  <c r="X11" i="4" s="1"/>
  <c r="Y11" i="4" s="1"/>
  <c r="Z11" i="4" s="1"/>
  <c r="AA11" i="4" s="1"/>
  <c r="AB11" i="4" s="1"/>
  <c r="AC11" i="4" s="1"/>
  <c r="AD11" i="4" s="1"/>
  <c r="AE11" i="4" s="1"/>
  <c r="AF11" i="4" s="1"/>
  <c r="AG11" i="4" s="1"/>
  <c r="AH11" i="4" s="1"/>
  <c r="AI11" i="4" s="1"/>
  <c r="AJ11" i="4" s="1"/>
  <c r="AK11" i="4" s="1"/>
  <c r="AL11" i="4" s="1"/>
  <c r="AM11" i="4" s="1"/>
  <c r="AN11" i="4" s="1"/>
  <c r="AO11" i="4" s="1"/>
  <c r="AP11" i="4" s="1"/>
  <c r="AQ11" i="4" s="1"/>
  <c r="AR11" i="4" s="1"/>
  <c r="AS11" i="4" s="1"/>
  <c r="AT11" i="4" s="1"/>
  <c r="AU11" i="4" s="1"/>
  <c r="AV11" i="4" s="1"/>
  <c r="AW11" i="4" s="1"/>
  <c r="AX11" i="4" s="1"/>
  <c r="AY11" i="4" s="1"/>
  <c r="AZ11" i="4" s="1"/>
  <c r="BA11" i="4" s="1"/>
  <c r="BB11" i="4" s="1"/>
  <c r="BC11" i="4" s="1"/>
  <c r="BD11" i="4" s="1"/>
  <c r="BE11" i="4" s="1"/>
  <c r="BF11" i="4" s="1"/>
  <c r="BG11" i="4" s="1"/>
  <c r="BH11" i="4" s="1"/>
  <c r="BI11" i="4" s="1"/>
  <c r="BJ11" i="4" s="1"/>
  <c r="BK11" i="4" s="1"/>
  <c r="BL11" i="4" s="1"/>
  <c r="BM11" i="4" s="1"/>
  <c r="BN11" i="4" s="1"/>
  <c r="BO11" i="4" s="1"/>
  <c r="BP11" i="4" s="1"/>
  <c r="BQ11" i="4" s="1"/>
  <c r="BR11" i="4" s="1"/>
  <c r="BS11" i="4" s="1"/>
  <c r="BT11" i="4" s="1"/>
  <c r="BU11" i="4" s="1"/>
  <c r="BV11" i="4" s="1"/>
  <c r="BW11" i="4" s="1"/>
  <c r="BX11" i="4" s="1"/>
  <c r="BY11" i="4" s="1"/>
  <c r="BZ11" i="4" s="1"/>
  <c r="CA11" i="4" s="1"/>
  <c r="CB11" i="4" s="1"/>
  <c r="CC11" i="4" s="1"/>
  <c r="CD11" i="4" s="1"/>
  <c r="CE11" i="4" s="1"/>
  <c r="CF11" i="4" s="1"/>
  <c r="CG11" i="4" s="1"/>
  <c r="CH11" i="4" s="1"/>
  <c r="CI11" i="4" s="1"/>
  <c r="CJ11" i="4" s="1"/>
  <c r="CK11" i="4" s="1"/>
  <c r="CL11" i="4" s="1"/>
  <c r="CM11" i="4" s="1"/>
  <c r="CN11" i="4" s="1"/>
  <c r="CO11" i="4" s="1"/>
  <c r="CP11" i="4" s="1"/>
  <c r="CQ11" i="4" s="1"/>
  <c r="CR11" i="4" s="1"/>
  <c r="CS11" i="4" s="1"/>
  <c r="CT11" i="4" s="1"/>
  <c r="CU11" i="4" s="1"/>
  <c r="CV11" i="4" s="1"/>
  <c r="CW11" i="4" s="1"/>
  <c r="CX11" i="4" s="1"/>
  <c r="CY11" i="4" s="1"/>
  <c r="CZ11" i="4" s="1"/>
  <c r="DA11" i="4" s="1"/>
  <c r="DB11" i="4" s="1"/>
  <c r="DC11" i="4" s="1"/>
  <c r="DD11" i="4" s="1"/>
  <c r="DE11" i="4" s="1"/>
  <c r="DF11" i="4" s="1"/>
  <c r="DG11" i="4" s="1"/>
  <c r="J10" i="4"/>
  <c r="K10" i="4" s="1"/>
  <c r="L10" i="4" s="1"/>
  <c r="M10" i="4" s="1"/>
  <c r="N10" i="4" s="1"/>
  <c r="O10" i="4" s="1"/>
  <c r="P10" i="4" s="1"/>
  <c r="Q10" i="4" s="1"/>
  <c r="R10" i="4" s="1"/>
  <c r="S10" i="4" s="1"/>
  <c r="T10" i="4" s="1"/>
  <c r="U10" i="4" s="1"/>
  <c r="V10" i="4" s="1"/>
  <c r="W10" i="4" s="1"/>
  <c r="X10" i="4" s="1"/>
  <c r="Y10" i="4" s="1"/>
  <c r="Z10" i="4" s="1"/>
  <c r="AA10" i="4" s="1"/>
  <c r="AB10" i="4" s="1"/>
  <c r="AC10" i="4" s="1"/>
  <c r="AD10" i="4" s="1"/>
  <c r="AE10" i="4" s="1"/>
  <c r="AF10" i="4" s="1"/>
  <c r="AG10" i="4" s="1"/>
  <c r="AH10" i="4" s="1"/>
  <c r="AI10" i="4" s="1"/>
  <c r="AJ10" i="4" s="1"/>
  <c r="AK10" i="4" s="1"/>
  <c r="AL10" i="4" s="1"/>
  <c r="AM10" i="4" s="1"/>
  <c r="AN10" i="4" s="1"/>
  <c r="AO10" i="4" s="1"/>
  <c r="AP10" i="4" s="1"/>
  <c r="AQ10" i="4" s="1"/>
  <c r="AR10" i="4" s="1"/>
  <c r="AS10" i="4" s="1"/>
  <c r="AT10" i="4" s="1"/>
  <c r="AU10" i="4" s="1"/>
  <c r="AV10" i="4" s="1"/>
  <c r="AW10" i="4" s="1"/>
  <c r="AX10" i="4" s="1"/>
  <c r="AY10" i="4" s="1"/>
  <c r="AZ10" i="4" s="1"/>
  <c r="BA10" i="4" s="1"/>
  <c r="BB10" i="4" s="1"/>
  <c r="BC10" i="4" s="1"/>
  <c r="BD10" i="4" s="1"/>
  <c r="BE10" i="4" s="1"/>
  <c r="BF10" i="4" s="1"/>
  <c r="BG10" i="4" s="1"/>
  <c r="BH10" i="4" s="1"/>
  <c r="BI10" i="4" s="1"/>
  <c r="BJ10" i="4" s="1"/>
  <c r="BK10" i="4" s="1"/>
  <c r="BL10" i="4" s="1"/>
  <c r="BM10" i="4" s="1"/>
  <c r="BN10" i="4" s="1"/>
  <c r="BO10" i="4" s="1"/>
  <c r="BP10" i="4" s="1"/>
  <c r="BQ10" i="4" s="1"/>
  <c r="BR10" i="4" s="1"/>
  <c r="BS10" i="4" s="1"/>
  <c r="BT10" i="4" s="1"/>
  <c r="BU10" i="4" s="1"/>
  <c r="BV10" i="4" s="1"/>
  <c r="BW10" i="4" s="1"/>
  <c r="BX10" i="4" s="1"/>
  <c r="BY10" i="4" s="1"/>
  <c r="BZ10" i="4" s="1"/>
  <c r="CA10" i="4" s="1"/>
  <c r="CB10" i="4" s="1"/>
  <c r="CC10" i="4" s="1"/>
  <c r="CD10" i="4" s="1"/>
  <c r="CE10" i="4" s="1"/>
  <c r="CF10" i="4" s="1"/>
  <c r="CG10" i="4" s="1"/>
  <c r="CH10" i="4" s="1"/>
  <c r="CI10" i="4" s="1"/>
  <c r="CJ10" i="4" s="1"/>
  <c r="CK10" i="4" s="1"/>
  <c r="CL10" i="4" s="1"/>
  <c r="CM10" i="4" s="1"/>
  <c r="CN10" i="4" s="1"/>
  <c r="CO10" i="4" s="1"/>
  <c r="CP10" i="4" s="1"/>
  <c r="CQ10" i="4" s="1"/>
  <c r="CR10" i="4" s="1"/>
  <c r="CS10" i="4" s="1"/>
  <c r="CT10" i="4" s="1"/>
  <c r="CU10" i="4" s="1"/>
  <c r="CV10" i="4" s="1"/>
  <c r="CW10" i="4" s="1"/>
  <c r="CX10" i="4" s="1"/>
  <c r="CY10" i="4" s="1"/>
  <c r="CZ10" i="4" s="1"/>
  <c r="DA10" i="4" s="1"/>
  <c r="DB10" i="4" s="1"/>
  <c r="DC10" i="4" s="1"/>
  <c r="DD10" i="4" s="1"/>
  <c r="DE10" i="4" s="1"/>
  <c r="DF10" i="4" s="1"/>
  <c r="DG10" i="4" s="1"/>
  <c r="DH10" i="4" s="1"/>
  <c r="DI10" i="4" s="1"/>
  <c r="DJ10" i="4" s="1"/>
  <c r="J9" i="4"/>
  <c r="K9" i="4" s="1"/>
  <c r="L9" i="4" s="1"/>
  <c r="M9" i="4" s="1"/>
  <c r="N9" i="4" s="1"/>
  <c r="O9" i="4" s="1"/>
  <c r="P9" i="4" s="1"/>
  <c r="Q9" i="4" s="1"/>
  <c r="R9" i="4" s="1"/>
  <c r="S9" i="4" s="1"/>
  <c r="T9" i="4" s="1"/>
  <c r="U9" i="4" s="1"/>
  <c r="V9" i="4" s="1"/>
  <c r="W9" i="4" s="1"/>
  <c r="X9" i="4" s="1"/>
  <c r="Y9" i="4" s="1"/>
  <c r="Z9" i="4" s="1"/>
  <c r="AA9" i="4" s="1"/>
  <c r="AB9" i="4" s="1"/>
  <c r="AC9" i="4" s="1"/>
  <c r="AD9" i="4" s="1"/>
  <c r="AE9" i="4" s="1"/>
  <c r="AF9" i="4" s="1"/>
  <c r="AG9" i="4" s="1"/>
  <c r="AH9" i="4" s="1"/>
  <c r="AI9" i="4" s="1"/>
  <c r="AJ9" i="4" s="1"/>
  <c r="AK9" i="4" s="1"/>
  <c r="AL9" i="4" s="1"/>
  <c r="AM9" i="4" s="1"/>
  <c r="AN9" i="4" s="1"/>
  <c r="AO9" i="4" s="1"/>
  <c r="AP9" i="4" s="1"/>
  <c r="AQ9" i="4" s="1"/>
  <c r="AR9" i="4" s="1"/>
  <c r="AS9" i="4" s="1"/>
  <c r="AT9" i="4" s="1"/>
  <c r="AU9" i="4" s="1"/>
  <c r="AV9" i="4" s="1"/>
  <c r="AW9" i="4" s="1"/>
  <c r="AX9" i="4" s="1"/>
  <c r="AY9" i="4" s="1"/>
  <c r="AZ9" i="4" s="1"/>
  <c r="BA9" i="4" s="1"/>
  <c r="BB9" i="4" s="1"/>
  <c r="BC9" i="4" s="1"/>
  <c r="BD9" i="4" s="1"/>
  <c r="BE9" i="4" s="1"/>
  <c r="BF9" i="4" s="1"/>
  <c r="BG9" i="4" s="1"/>
  <c r="BH9" i="4" s="1"/>
  <c r="BI9" i="4" s="1"/>
  <c r="BJ9" i="4" s="1"/>
  <c r="BK9" i="4" s="1"/>
  <c r="BL9" i="4" s="1"/>
  <c r="BM9" i="4" s="1"/>
  <c r="BN9" i="4" s="1"/>
  <c r="BO9" i="4" s="1"/>
  <c r="BP9" i="4" s="1"/>
  <c r="BQ9" i="4" s="1"/>
  <c r="BR9" i="4" s="1"/>
  <c r="BS9" i="4" s="1"/>
  <c r="BT9" i="4" s="1"/>
  <c r="BU9" i="4" s="1"/>
  <c r="BV9" i="4" s="1"/>
  <c r="BW9" i="4" s="1"/>
  <c r="BX9" i="4" s="1"/>
  <c r="BY9" i="4" s="1"/>
  <c r="BZ9" i="4" s="1"/>
  <c r="CA9" i="4" s="1"/>
  <c r="CB9" i="4" s="1"/>
  <c r="CC9" i="4" s="1"/>
  <c r="CD9" i="4" s="1"/>
  <c r="CE9" i="4" s="1"/>
  <c r="CF9" i="4" s="1"/>
  <c r="CG9" i="4" s="1"/>
  <c r="CH9" i="4" s="1"/>
  <c r="CI9" i="4" s="1"/>
  <c r="CJ9" i="4" s="1"/>
  <c r="CK9" i="4" s="1"/>
  <c r="CL9" i="4" s="1"/>
  <c r="CM9" i="4" s="1"/>
  <c r="CN9" i="4" s="1"/>
  <c r="CO9" i="4" s="1"/>
  <c r="CP9" i="4" s="1"/>
  <c r="CQ9" i="4" s="1"/>
  <c r="CR9" i="4" s="1"/>
  <c r="CS9" i="4" s="1"/>
  <c r="CT9" i="4" s="1"/>
  <c r="CU9" i="4" s="1"/>
  <c r="CV9" i="4" s="1"/>
  <c r="CW9" i="4" s="1"/>
  <c r="CX9" i="4" s="1"/>
  <c r="CY9" i="4" s="1"/>
  <c r="CZ9" i="4" s="1"/>
  <c r="DA9" i="4" s="1"/>
  <c r="DB9" i="4" s="1"/>
  <c r="DC9" i="4" s="1"/>
  <c r="DD9" i="4" s="1"/>
  <c r="DE9" i="4" s="1"/>
  <c r="DF9" i="4" s="1"/>
  <c r="DG9" i="4" s="1"/>
  <c r="DH9" i="4" s="1"/>
  <c r="DI9" i="4" s="1"/>
  <c r="DJ9" i="4" s="1"/>
  <c r="DK9" i="4" s="1"/>
  <c r="DL9" i="4" s="1"/>
  <c r="DM9" i="4" s="1"/>
  <c r="J8" i="4"/>
  <c r="K8" i="4" s="1"/>
  <c r="L8" i="4" s="1"/>
  <c r="M8" i="4" s="1"/>
  <c r="N8" i="4" s="1"/>
  <c r="O8" i="4" s="1"/>
  <c r="P8" i="4" s="1"/>
  <c r="Q8" i="4" s="1"/>
  <c r="R8" i="4" s="1"/>
  <c r="S8" i="4" s="1"/>
  <c r="T8" i="4" s="1"/>
  <c r="U8" i="4" s="1"/>
  <c r="V8" i="4" s="1"/>
  <c r="W8" i="4" s="1"/>
  <c r="X8" i="4" s="1"/>
  <c r="Y8" i="4" s="1"/>
  <c r="Z8" i="4" s="1"/>
  <c r="AA8" i="4" s="1"/>
  <c r="AB8" i="4" s="1"/>
  <c r="AC8" i="4" s="1"/>
  <c r="AD8" i="4" s="1"/>
  <c r="AE8" i="4" s="1"/>
  <c r="AF8" i="4" s="1"/>
  <c r="AG8" i="4" s="1"/>
  <c r="AH8" i="4" s="1"/>
  <c r="AI8" i="4" s="1"/>
  <c r="AJ8" i="4" s="1"/>
  <c r="AK8" i="4" s="1"/>
  <c r="AL8" i="4" s="1"/>
  <c r="AM8" i="4" s="1"/>
  <c r="AN8" i="4" s="1"/>
  <c r="AO8" i="4" s="1"/>
  <c r="AP8" i="4" s="1"/>
  <c r="AQ8" i="4" s="1"/>
  <c r="AR8" i="4" s="1"/>
  <c r="AS8" i="4" s="1"/>
  <c r="AT8" i="4" s="1"/>
  <c r="AU8" i="4" s="1"/>
  <c r="AV8" i="4" s="1"/>
  <c r="AW8" i="4" s="1"/>
  <c r="AX8" i="4" s="1"/>
  <c r="AY8" i="4" s="1"/>
  <c r="AZ8" i="4" s="1"/>
  <c r="BA8" i="4" s="1"/>
  <c r="BB8" i="4" s="1"/>
  <c r="BC8" i="4" s="1"/>
  <c r="BD8" i="4" s="1"/>
  <c r="BE8" i="4" s="1"/>
  <c r="BF8" i="4" s="1"/>
  <c r="BG8" i="4" s="1"/>
  <c r="BH8" i="4" s="1"/>
  <c r="BI8" i="4" s="1"/>
  <c r="BJ8" i="4" s="1"/>
  <c r="BK8" i="4" s="1"/>
  <c r="BL8" i="4" s="1"/>
  <c r="BM8" i="4" s="1"/>
  <c r="BN8" i="4" s="1"/>
  <c r="BO8" i="4" s="1"/>
  <c r="BP8" i="4" s="1"/>
  <c r="BQ8" i="4" s="1"/>
  <c r="BR8" i="4" s="1"/>
  <c r="BS8" i="4" s="1"/>
  <c r="BT8" i="4" s="1"/>
  <c r="BU8" i="4" s="1"/>
  <c r="BV8" i="4" s="1"/>
  <c r="BW8" i="4" s="1"/>
  <c r="BX8" i="4" s="1"/>
  <c r="BY8" i="4" s="1"/>
  <c r="BZ8" i="4" s="1"/>
  <c r="CA8" i="4" s="1"/>
  <c r="CB8" i="4" s="1"/>
  <c r="CC8" i="4" s="1"/>
  <c r="CD8" i="4" s="1"/>
  <c r="CE8" i="4" s="1"/>
  <c r="CF8" i="4" s="1"/>
  <c r="CG8" i="4" s="1"/>
  <c r="CH8" i="4" s="1"/>
  <c r="CI8" i="4" s="1"/>
  <c r="CJ8" i="4" s="1"/>
  <c r="CK8" i="4" s="1"/>
  <c r="CL8" i="4" s="1"/>
  <c r="CM8" i="4" s="1"/>
  <c r="CN8" i="4" s="1"/>
  <c r="CO8" i="4" s="1"/>
  <c r="CP8" i="4" s="1"/>
  <c r="CQ8" i="4" s="1"/>
  <c r="CR8" i="4" s="1"/>
  <c r="CS8" i="4" s="1"/>
  <c r="CT8" i="4" s="1"/>
  <c r="CU8" i="4" s="1"/>
  <c r="CV8" i="4" s="1"/>
  <c r="CW8" i="4" s="1"/>
  <c r="CX8" i="4" s="1"/>
  <c r="CY8" i="4" s="1"/>
  <c r="CZ8" i="4" s="1"/>
  <c r="DA8" i="4" s="1"/>
  <c r="DB8" i="4" s="1"/>
  <c r="DC8" i="4" s="1"/>
  <c r="DD8" i="4" s="1"/>
  <c r="DE8" i="4" s="1"/>
  <c r="DF8" i="4" s="1"/>
  <c r="DG8" i="4" s="1"/>
  <c r="DH8" i="4" s="1"/>
  <c r="DI8" i="4" s="1"/>
  <c r="DJ8" i="4" s="1"/>
  <c r="DK8" i="4" s="1"/>
  <c r="DL8" i="4" s="1"/>
  <c r="DM8" i="4" s="1"/>
  <c r="DN8" i="4" s="1"/>
  <c r="DO8" i="4" s="1"/>
  <c r="DP8" i="4" s="1"/>
  <c r="J34" i="4"/>
  <c r="K34" i="4" s="1"/>
  <c r="L34" i="4" s="1"/>
  <c r="M34" i="4" s="1"/>
  <c r="N34" i="4" s="1"/>
  <c r="O34" i="4" s="1"/>
  <c r="P34" i="4" s="1"/>
  <c r="Q34" i="4" s="1"/>
  <c r="R34" i="4" s="1"/>
  <c r="S34" i="4" s="1"/>
  <c r="T34" i="4" s="1"/>
  <c r="U34" i="4" s="1"/>
  <c r="V34" i="4" s="1"/>
  <c r="W34" i="4" s="1"/>
  <c r="X34" i="4" s="1"/>
  <c r="Y34" i="4" s="1"/>
  <c r="Z34" i="4" s="1"/>
  <c r="AA34" i="4" s="1"/>
  <c r="AB34" i="4" s="1"/>
  <c r="AC34" i="4" s="1"/>
  <c r="AD34" i="4" s="1"/>
  <c r="AE34" i="4" s="1"/>
  <c r="AF34" i="4" s="1"/>
  <c r="AG34" i="4" s="1"/>
  <c r="AH34" i="4" s="1"/>
  <c r="AI34" i="4" s="1"/>
  <c r="AJ34" i="4" s="1"/>
  <c r="AK34" i="4" s="1"/>
  <c r="AL34" i="4" s="1"/>
  <c r="AM34" i="4" s="1"/>
  <c r="AN34" i="4" s="1"/>
  <c r="AO34" i="4" s="1"/>
  <c r="AP34" i="4" s="1"/>
  <c r="J30" i="4"/>
  <c r="K30" i="4" s="1"/>
  <c r="L30" i="4" s="1"/>
  <c r="M30" i="4" s="1"/>
  <c r="N30" i="4" s="1"/>
  <c r="O30" i="4" s="1"/>
  <c r="P30" i="4" s="1"/>
  <c r="Q30" i="4" s="1"/>
  <c r="R30" i="4" s="1"/>
  <c r="S30" i="4" s="1"/>
  <c r="T30" i="4" s="1"/>
  <c r="U30" i="4" s="1"/>
  <c r="V30" i="4" s="1"/>
  <c r="W30" i="4" s="1"/>
  <c r="X30" i="4" s="1"/>
  <c r="Y30" i="4" s="1"/>
  <c r="Z30" i="4" s="1"/>
  <c r="AA30" i="4" s="1"/>
  <c r="AB30" i="4" s="1"/>
  <c r="AC30" i="4" s="1"/>
  <c r="AD30" i="4" s="1"/>
  <c r="AE30" i="4" s="1"/>
  <c r="AF30" i="4" s="1"/>
  <c r="AG30" i="4" s="1"/>
  <c r="AH30" i="4" s="1"/>
  <c r="AI30" i="4" s="1"/>
  <c r="AJ30" i="4" s="1"/>
  <c r="AK30" i="4" s="1"/>
  <c r="AL30" i="4" s="1"/>
  <c r="AM30" i="4" s="1"/>
  <c r="AN30" i="4" s="1"/>
  <c r="AO30" i="4" s="1"/>
  <c r="AP30" i="4" s="1"/>
  <c r="AQ30" i="4" s="1"/>
  <c r="AR30" i="4" s="1"/>
  <c r="AS30" i="4" s="1"/>
  <c r="AT30" i="4" s="1"/>
  <c r="AU30" i="4" s="1"/>
  <c r="AV30" i="4" s="1"/>
  <c r="AW30" i="4" s="1"/>
  <c r="AX30" i="4" s="1"/>
  <c r="AY30" i="4" s="1"/>
  <c r="AZ30" i="4" s="1"/>
  <c r="BA30" i="4" s="1"/>
  <c r="BB30" i="4" s="1"/>
  <c r="J18" i="4"/>
  <c r="K18" i="4" s="1"/>
  <c r="L18" i="4" s="1"/>
  <c r="M18" i="4" s="1"/>
  <c r="N18" i="4" s="1"/>
  <c r="O18" i="4" s="1"/>
  <c r="P18" i="4" s="1"/>
  <c r="Q18" i="4" s="1"/>
  <c r="R18" i="4" s="1"/>
  <c r="S18" i="4" s="1"/>
  <c r="T18" i="4" s="1"/>
  <c r="U18" i="4" s="1"/>
  <c r="V18" i="4" s="1"/>
  <c r="W18" i="4" s="1"/>
  <c r="X18" i="4" s="1"/>
  <c r="Y18" i="4" s="1"/>
  <c r="Z18" i="4" s="1"/>
  <c r="AA18" i="4" s="1"/>
  <c r="AB18" i="4" s="1"/>
  <c r="AC18" i="4" s="1"/>
  <c r="AD18" i="4" s="1"/>
  <c r="AE18" i="4" s="1"/>
  <c r="AF18" i="4" s="1"/>
  <c r="AG18" i="4" s="1"/>
  <c r="AH18" i="4" s="1"/>
  <c r="AI18" i="4" s="1"/>
  <c r="AJ18" i="4" s="1"/>
  <c r="AK18" i="4" s="1"/>
  <c r="AL18" i="4" s="1"/>
  <c r="AM18" i="4" s="1"/>
  <c r="AN18" i="4" s="1"/>
  <c r="AO18" i="4" s="1"/>
  <c r="AP18" i="4" s="1"/>
  <c r="AQ18" i="4" s="1"/>
  <c r="AR18" i="4" s="1"/>
  <c r="AS18" i="4" s="1"/>
  <c r="AT18" i="4" s="1"/>
  <c r="AU18" i="4" s="1"/>
  <c r="AV18" i="4" s="1"/>
  <c r="AW18" i="4" s="1"/>
  <c r="AX18" i="4" s="1"/>
  <c r="AY18" i="4" s="1"/>
  <c r="AZ18" i="4" s="1"/>
  <c r="BA18" i="4" s="1"/>
  <c r="BB18" i="4" s="1"/>
  <c r="BC18" i="4" s="1"/>
  <c r="BD18" i="4" s="1"/>
  <c r="BE18" i="4" s="1"/>
  <c r="BF18" i="4" s="1"/>
  <c r="BG18" i="4" s="1"/>
  <c r="BH18" i="4" s="1"/>
  <c r="BI18" i="4" s="1"/>
  <c r="BJ18" i="4" s="1"/>
  <c r="BK18" i="4" s="1"/>
  <c r="BL18" i="4" s="1"/>
  <c r="BM18" i="4" s="1"/>
  <c r="BN18" i="4" s="1"/>
  <c r="BO18" i="4" s="1"/>
  <c r="BP18" i="4" s="1"/>
  <c r="BQ18" i="4" s="1"/>
  <c r="BR18" i="4" s="1"/>
  <c r="BS18" i="4" s="1"/>
  <c r="BT18" i="4" s="1"/>
  <c r="BU18" i="4" s="1"/>
  <c r="BV18" i="4" s="1"/>
  <c r="BW18" i="4" s="1"/>
  <c r="BX18" i="4" s="1"/>
  <c r="BY18" i="4" s="1"/>
  <c r="BZ18" i="4" s="1"/>
  <c r="CA18" i="4" s="1"/>
  <c r="CB18" i="4" s="1"/>
  <c r="CC18" i="4" s="1"/>
  <c r="CD18" i="4" s="1"/>
  <c r="CE18" i="4" s="1"/>
  <c r="CF18" i="4" s="1"/>
  <c r="CG18" i="4" s="1"/>
  <c r="CH18" i="4" s="1"/>
  <c r="CI18" i="4" s="1"/>
  <c r="CJ18" i="4" s="1"/>
  <c r="CK18" i="4" s="1"/>
  <c r="CL18" i="4" s="1"/>
  <c r="J14" i="4"/>
  <c r="K14" i="4" s="1"/>
  <c r="L14" i="4" s="1"/>
  <c r="M14" i="4" s="1"/>
  <c r="N14" i="4" s="1"/>
  <c r="O14" i="4" s="1"/>
  <c r="P14" i="4" s="1"/>
  <c r="Q14" i="4" s="1"/>
  <c r="R14" i="4" s="1"/>
  <c r="S14" i="4" s="1"/>
  <c r="T14" i="4" s="1"/>
  <c r="U14" i="4" s="1"/>
  <c r="V14" i="4" s="1"/>
  <c r="W14" i="4" s="1"/>
  <c r="X14" i="4" s="1"/>
  <c r="Y14" i="4" s="1"/>
  <c r="Z14" i="4" s="1"/>
  <c r="AA14" i="4" s="1"/>
  <c r="AB14" i="4" s="1"/>
  <c r="AC14" i="4" s="1"/>
  <c r="AD14" i="4" s="1"/>
  <c r="AE14" i="4" s="1"/>
  <c r="AF14" i="4" s="1"/>
  <c r="AG14" i="4" s="1"/>
  <c r="AH14" i="4" s="1"/>
  <c r="AI14" i="4" s="1"/>
  <c r="AJ14" i="4" s="1"/>
  <c r="AK14" i="4" s="1"/>
  <c r="AL14" i="4" s="1"/>
  <c r="AM14" i="4" s="1"/>
  <c r="AN14" i="4" s="1"/>
  <c r="AO14" i="4" s="1"/>
  <c r="AP14" i="4" s="1"/>
  <c r="AQ14" i="4" s="1"/>
  <c r="AR14" i="4" s="1"/>
  <c r="AS14" i="4" s="1"/>
  <c r="AT14" i="4" s="1"/>
  <c r="AU14" i="4" s="1"/>
  <c r="AV14" i="4" s="1"/>
  <c r="AW14" i="4" s="1"/>
  <c r="AX14" i="4" s="1"/>
  <c r="AY14" i="4" s="1"/>
  <c r="AZ14" i="4" s="1"/>
  <c r="BA14" i="4" s="1"/>
  <c r="BB14" i="4" s="1"/>
  <c r="BC14" i="4" s="1"/>
  <c r="BD14" i="4" s="1"/>
  <c r="BE14" i="4" s="1"/>
  <c r="BF14" i="4" s="1"/>
  <c r="BG14" i="4" s="1"/>
  <c r="BH14" i="4" s="1"/>
  <c r="BI14" i="4" s="1"/>
  <c r="BJ14" i="4" s="1"/>
  <c r="BK14" i="4" s="1"/>
  <c r="BL14" i="4" s="1"/>
  <c r="BM14" i="4" s="1"/>
  <c r="BN14" i="4" s="1"/>
  <c r="BO14" i="4" s="1"/>
  <c r="BP14" i="4" s="1"/>
  <c r="BQ14" i="4" s="1"/>
  <c r="BR14" i="4" s="1"/>
  <c r="BS14" i="4" s="1"/>
  <c r="BT14" i="4" s="1"/>
  <c r="BU14" i="4" s="1"/>
  <c r="BV14" i="4" s="1"/>
  <c r="BW14" i="4" s="1"/>
  <c r="BX14" i="4" s="1"/>
  <c r="BY14" i="4" s="1"/>
  <c r="BZ14" i="4" s="1"/>
  <c r="CA14" i="4" s="1"/>
  <c r="CB14" i="4" s="1"/>
  <c r="CC14" i="4" s="1"/>
  <c r="CD14" i="4" s="1"/>
  <c r="CE14" i="4" s="1"/>
  <c r="CF14" i="4" s="1"/>
  <c r="CG14" i="4" s="1"/>
  <c r="CH14" i="4" s="1"/>
  <c r="CI14" i="4" s="1"/>
  <c r="CJ14" i="4" s="1"/>
  <c r="CK14" i="4" s="1"/>
  <c r="CL14" i="4" s="1"/>
  <c r="CM14" i="4" s="1"/>
  <c r="CN14" i="4" s="1"/>
  <c r="CO14" i="4" s="1"/>
  <c r="CP14" i="4" s="1"/>
  <c r="CQ14" i="4" s="1"/>
  <c r="CR14" i="4" s="1"/>
  <c r="CS14" i="4" s="1"/>
  <c r="CT14" i="4" s="1"/>
  <c r="CU14" i="4" s="1"/>
  <c r="CV14" i="4" s="1"/>
  <c r="CW14" i="4" s="1"/>
  <c r="CX14" i="4" s="1"/>
  <c r="J22" i="4"/>
  <c r="K22" i="4" s="1"/>
  <c r="L22" i="4" s="1"/>
  <c r="M22" i="4" s="1"/>
  <c r="N22" i="4" s="1"/>
  <c r="O22" i="4" s="1"/>
  <c r="P22" i="4" s="1"/>
  <c r="Q22" i="4" s="1"/>
  <c r="R22" i="4" s="1"/>
  <c r="S22" i="4" s="1"/>
  <c r="T22" i="4" s="1"/>
  <c r="U22" i="4" s="1"/>
  <c r="V22" i="4" s="1"/>
  <c r="W22" i="4" s="1"/>
  <c r="X22" i="4" s="1"/>
  <c r="Y22" i="4" s="1"/>
  <c r="Z22" i="4" s="1"/>
  <c r="AA22" i="4" s="1"/>
  <c r="AB22" i="4" s="1"/>
  <c r="AC22" i="4" s="1"/>
  <c r="AD22" i="4" s="1"/>
  <c r="AE22" i="4" s="1"/>
  <c r="AF22" i="4" s="1"/>
  <c r="AG22" i="4" s="1"/>
  <c r="AH22" i="4" s="1"/>
  <c r="AI22" i="4" s="1"/>
  <c r="AJ22" i="4" s="1"/>
  <c r="AK22" i="4" s="1"/>
  <c r="AL22" i="4" s="1"/>
  <c r="AM22" i="4" s="1"/>
  <c r="AN22" i="4" s="1"/>
  <c r="AO22" i="4" s="1"/>
  <c r="AP22" i="4" s="1"/>
  <c r="AQ22" i="4" s="1"/>
  <c r="AR22" i="4" s="1"/>
  <c r="AS22" i="4" s="1"/>
  <c r="AT22" i="4" s="1"/>
  <c r="AU22" i="4" s="1"/>
  <c r="AV22" i="4" s="1"/>
  <c r="AW22" i="4" s="1"/>
  <c r="AX22" i="4" s="1"/>
  <c r="AY22" i="4" s="1"/>
  <c r="AZ22" i="4" s="1"/>
  <c r="BA22" i="4" s="1"/>
  <c r="BB22" i="4" s="1"/>
  <c r="BC22" i="4" s="1"/>
  <c r="BD22" i="4" s="1"/>
  <c r="BE22" i="4" s="1"/>
  <c r="BF22" i="4" s="1"/>
  <c r="BG22" i="4" s="1"/>
  <c r="BH22" i="4" s="1"/>
  <c r="BI22" i="4" s="1"/>
  <c r="BJ22" i="4" s="1"/>
  <c r="BK22" i="4" s="1"/>
  <c r="BL22" i="4" s="1"/>
  <c r="BM22" i="4" s="1"/>
  <c r="BN22" i="4" s="1"/>
  <c r="BO22" i="4" s="1"/>
  <c r="BP22" i="4" s="1"/>
  <c r="BQ22" i="4" s="1"/>
  <c r="BR22" i="4" s="1"/>
  <c r="BS22" i="4" s="1"/>
  <c r="BT22" i="4" s="1"/>
  <c r="BU22" i="4" s="1"/>
  <c r="BV22" i="4" s="1"/>
  <c r="BW22" i="4" s="1"/>
  <c r="BX22" i="4" s="1"/>
  <c r="BY22" i="4" s="1"/>
  <c r="BZ22" i="4" s="1"/>
  <c r="G6" i="4"/>
  <c r="F6" i="4"/>
  <c r="F6" i="1"/>
  <c r="G6" i="1"/>
  <c r="E46" i="1"/>
  <c r="H90" i="1" l="1"/>
  <c r="H89" i="1" s="1"/>
  <c r="H88" i="1" s="1"/>
  <c r="H87" i="1" s="1"/>
  <c r="H86" i="1" s="1"/>
  <c r="H85" i="1" s="1"/>
  <c r="H84" i="1" s="1"/>
  <c r="H83" i="1" s="1"/>
  <c r="H82" i="1" s="1"/>
  <c r="H81" i="1" s="1"/>
  <c r="H80" i="1" s="1"/>
  <c r="H79" i="1" s="1"/>
  <c r="H78" i="1" s="1"/>
  <c r="H77" i="1" s="1"/>
  <c r="H76" i="1" s="1"/>
  <c r="H75" i="1" s="1"/>
  <c r="H74" i="1" s="1"/>
  <c r="H73" i="1" s="1"/>
  <c r="H72" i="1" s="1"/>
  <c r="H71" i="1" s="1"/>
  <c r="H70" i="1" s="1"/>
  <c r="H69" i="1" s="1"/>
  <c r="H68" i="1" s="1"/>
  <c r="H67" i="1" s="1"/>
  <c r="H66" i="1" s="1"/>
  <c r="H65" i="1" s="1"/>
  <c r="H64" i="1" s="1"/>
  <c r="H63" i="1" s="1"/>
  <c r="H62" i="1" s="1"/>
  <c r="H61" i="1" s="1"/>
  <c r="H60" i="1" s="1"/>
  <c r="H59" i="1" s="1"/>
  <c r="H58" i="1" s="1"/>
  <c r="H57" i="1" s="1"/>
  <c r="H56" i="1" s="1"/>
  <c r="H55" i="1" s="1"/>
  <c r="H54" i="1" s="1"/>
  <c r="I10" i="6"/>
  <c r="I11" i="6" s="1"/>
  <c r="I8" i="1"/>
  <c r="I9" i="1"/>
  <c r="J19" i="4"/>
  <c r="K19" i="4" s="1"/>
  <c r="L19" i="4" s="1"/>
  <c r="M19" i="4" s="1"/>
  <c r="N19" i="4" s="1"/>
  <c r="O19" i="4" s="1"/>
  <c r="P19" i="4" s="1"/>
  <c r="Q19" i="4" s="1"/>
  <c r="R19" i="4" s="1"/>
  <c r="S19" i="4" s="1"/>
  <c r="T19" i="4" s="1"/>
  <c r="U19" i="4" s="1"/>
  <c r="V19" i="4" s="1"/>
  <c r="W19" i="4" s="1"/>
  <c r="X19" i="4" s="1"/>
  <c r="Y19" i="4" s="1"/>
  <c r="Z19" i="4" s="1"/>
  <c r="AA19" i="4" s="1"/>
  <c r="AB19" i="4" s="1"/>
  <c r="AC19" i="4" s="1"/>
  <c r="AD19" i="4" s="1"/>
  <c r="AE19" i="4" s="1"/>
  <c r="AF19" i="4" s="1"/>
  <c r="AG19" i="4" s="1"/>
  <c r="AH19" i="4" s="1"/>
  <c r="AI19" i="4" s="1"/>
  <c r="AJ19" i="4" s="1"/>
  <c r="AK19" i="4" s="1"/>
  <c r="AL19" i="4" s="1"/>
  <c r="AM19" i="4" s="1"/>
  <c r="AN19" i="4" s="1"/>
  <c r="AO19" i="4" s="1"/>
  <c r="AP19" i="4" s="1"/>
  <c r="AQ19" i="4" s="1"/>
  <c r="AR19" i="4" s="1"/>
  <c r="AS19" i="4" s="1"/>
  <c r="AT19" i="4" s="1"/>
  <c r="AU19" i="4" s="1"/>
  <c r="AV19" i="4" s="1"/>
  <c r="AW19" i="4" s="1"/>
  <c r="AX19" i="4" s="1"/>
  <c r="AY19" i="4" s="1"/>
  <c r="AZ19" i="4" s="1"/>
  <c r="BA19" i="4" s="1"/>
  <c r="BB19" i="4" s="1"/>
  <c r="BC19" i="4" s="1"/>
  <c r="BD19" i="4" s="1"/>
  <c r="BE19" i="4" s="1"/>
  <c r="BF19" i="4" s="1"/>
  <c r="BG19" i="4" s="1"/>
  <c r="BH19" i="4" s="1"/>
  <c r="BI19" i="4" s="1"/>
  <c r="BJ19" i="4" s="1"/>
  <c r="BK19" i="4" s="1"/>
  <c r="BL19" i="4" s="1"/>
  <c r="BM19" i="4" s="1"/>
  <c r="BN19" i="4" s="1"/>
  <c r="BO19" i="4" s="1"/>
  <c r="BP19" i="4" s="1"/>
  <c r="BQ19" i="4" s="1"/>
  <c r="BR19" i="4" s="1"/>
  <c r="BS19" i="4" s="1"/>
  <c r="BT19" i="4" s="1"/>
  <c r="BU19" i="4" s="1"/>
  <c r="BV19" i="4" s="1"/>
  <c r="BW19" i="4" s="1"/>
  <c r="BX19" i="4" s="1"/>
  <c r="BY19" i="4" s="1"/>
  <c r="BZ19" i="4" s="1"/>
  <c r="CA19" i="4" s="1"/>
  <c r="CB19" i="4" s="1"/>
  <c r="CC19" i="4" s="1"/>
  <c r="CD19" i="4" s="1"/>
  <c r="CE19" i="4" s="1"/>
  <c r="CF19" i="4" s="1"/>
  <c r="CG19" i="4" s="1"/>
  <c r="CH19" i="4" s="1"/>
  <c r="CI19" i="4" s="1"/>
  <c r="J16" i="4"/>
  <c r="K16" i="4" s="1"/>
  <c r="L16" i="4" s="1"/>
  <c r="M16" i="4" s="1"/>
  <c r="N16" i="4" s="1"/>
  <c r="O16" i="4" s="1"/>
  <c r="P16" i="4" s="1"/>
  <c r="Q16" i="4" s="1"/>
  <c r="R16" i="4" s="1"/>
  <c r="S16" i="4" s="1"/>
  <c r="T16" i="4" s="1"/>
  <c r="U16" i="4" s="1"/>
  <c r="V16" i="4" s="1"/>
  <c r="W16" i="4" s="1"/>
  <c r="X16" i="4" s="1"/>
  <c r="Y16" i="4" s="1"/>
  <c r="Z16" i="4" s="1"/>
  <c r="AA16" i="4" s="1"/>
  <c r="AB16" i="4" s="1"/>
  <c r="AC16" i="4" s="1"/>
  <c r="AD16" i="4" s="1"/>
  <c r="AE16" i="4" s="1"/>
  <c r="AF16" i="4" s="1"/>
  <c r="AG16" i="4" s="1"/>
  <c r="AH16" i="4" s="1"/>
  <c r="AI16" i="4" s="1"/>
  <c r="AJ16" i="4" s="1"/>
  <c r="AK16" i="4" s="1"/>
  <c r="AL16" i="4" s="1"/>
  <c r="AM16" i="4" s="1"/>
  <c r="AN16" i="4" s="1"/>
  <c r="AO16" i="4" s="1"/>
  <c r="AP16" i="4" s="1"/>
  <c r="AQ16" i="4" s="1"/>
  <c r="AR16" i="4" s="1"/>
  <c r="AS16" i="4" s="1"/>
  <c r="AT16" i="4" s="1"/>
  <c r="AU16" i="4" s="1"/>
  <c r="AV16" i="4" s="1"/>
  <c r="AW16" i="4" s="1"/>
  <c r="AX16" i="4" s="1"/>
  <c r="AY16" i="4" s="1"/>
  <c r="AZ16" i="4" s="1"/>
  <c r="BA16" i="4" s="1"/>
  <c r="BB16" i="4" s="1"/>
  <c r="BC16" i="4" s="1"/>
  <c r="BD16" i="4" s="1"/>
  <c r="BE16" i="4" s="1"/>
  <c r="BF16" i="4" s="1"/>
  <c r="BG16" i="4" s="1"/>
  <c r="BH16" i="4" s="1"/>
  <c r="BI16" i="4" s="1"/>
  <c r="BJ16" i="4" s="1"/>
  <c r="BK16" i="4" s="1"/>
  <c r="BL16" i="4" s="1"/>
  <c r="BM16" i="4" s="1"/>
  <c r="BN16" i="4" s="1"/>
  <c r="BO16" i="4" s="1"/>
  <c r="BP16" i="4" s="1"/>
  <c r="BQ16" i="4" s="1"/>
  <c r="BR16" i="4" s="1"/>
  <c r="BS16" i="4" s="1"/>
  <c r="BT16" i="4" s="1"/>
  <c r="BU16" i="4" s="1"/>
  <c r="BV16" i="4" s="1"/>
  <c r="BW16" i="4" s="1"/>
  <c r="BX16" i="4" s="1"/>
  <c r="BY16" i="4" s="1"/>
  <c r="BZ16" i="4" s="1"/>
  <c r="CA16" i="4" s="1"/>
  <c r="CB16" i="4" s="1"/>
  <c r="CC16" i="4" s="1"/>
  <c r="CD16" i="4" s="1"/>
  <c r="CE16" i="4" s="1"/>
  <c r="CF16" i="4" s="1"/>
  <c r="CG16" i="4" s="1"/>
  <c r="CH16" i="4" s="1"/>
  <c r="CI16" i="4" s="1"/>
  <c r="CJ16" i="4" s="1"/>
  <c r="CK16" i="4" s="1"/>
  <c r="CL16" i="4" s="1"/>
  <c r="CM16" i="4" s="1"/>
  <c r="CN16" i="4" s="1"/>
  <c r="CO16" i="4" s="1"/>
  <c r="CP16" i="4" s="1"/>
  <c r="CQ16" i="4" s="1"/>
  <c r="CR16" i="4" s="1"/>
  <c r="J20" i="4"/>
  <c r="K20" i="4" s="1"/>
  <c r="L20" i="4" s="1"/>
  <c r="M20" i="4" s="1"/>
  <c r="N20" i="4" s="1"/>
  <c r="O20" i="4" s="1"/>
  <c r="P20" i="4" s="1"/>
  <c r="Q20" i="4" s="1"/>
  <c r="R20" i="4" s="1"/>
  <c r="S20" i="4" s="1"/>
  <c r="T20" i="4" s="1"/>
  <c r="U20" i="4" s="1"/>
  <c r="V20" i="4" s="1"/>
  <c r="W20" i="4" s="1"/>
  <c r="X20" i="4" s="1"/>
  <c r="Y20" i="4" s="1"/>
  <c r="Z20" i="4" s="1"/>
  <c r="AA20" i="4" s="1"/>
  <c r="AB20" i="4" s="1"/>
  <c r="AC20" i="4" s="1"/>
  <c r="AD20" i="4" s="1"/>
  <c r="AE20" i="4" s="1"/>
  <c r="AF20" i="4" s="1"/>
  <c r="AG20" i="4" s="1"/>
  <c r="AH20" i="4" s="1"/>
  <c r="AI20" i="4" s="1"/>
  <c r="AJ20" i="4" s="1"/>
  <c r="AK20" i="4" s="1"/>
  <c r="AL20" i="4" s="1"/>
  <c r="AM20" i="4" s="1"/>
  <c r="AN20" i="4" s="1"/>
  <c r="AO20" i="4" s="1"/>
  <c r="AP20" i="4" s="1"/>
  <c r="AQ20" i="4" s="1"/>
  <c r="AR20" i="4" s="1"/>
  <c r="AS20" i="4" s="1"/>
  <c r="AT20" i="4" s="1"/>
  <c r="AU20" i="4" s="1"/>
  <c r="AV20" i="4" s="1"/>
  <c r="AW20" i="4" s="1"/>
  <c r="AX20" i="4" s="1"/>
  <c r="AY20" i="4" s="1"/>
  <c r="AZ20" i="4" s="1"/>
  <c r="BA20" i="4" s="1"/>
  <c r="BB20" i="4" s="1"/>
  <c r="BC20" i="4" s="1"/>
  <c r="BD20" i="4" s="1"/>
  <c r="BE20" i="4" s="1"/>
  <c r="BF20" i="4" s="1"/>
  <c r="BG20" i="4" s="1"/>
  <c r="BH20" i="4" s="1"/>
  <c r="BI20" i="4" s="1"/>
  <c r="BJ20" i="4" s="1"/>
  <c r="BK20" i="4" s="1"/>
  <c r="BL20" i="4" s="1"/>
  <c r="BM20" i="4" s="1"/>
  <c r="BN20" i="4" s="1"/>
  <c r="BO20" i="4" s="1"/>
  <c r="BP20" i="4" s="1"/>
  <c r="BQ20" i="4" s="1"/>
  <c r="BR20" i="4" s="1"/>
  <c r="BS20" i="4" s="1"/>
  <c r="BT20" i="4" s="1"/>
  <c r="BU20" i="4" s="1"/>
  <c r="BV20" i="4" s="1"/>
  <c r="BW20" i="4" s="1"/>
  <c r="BX20" i="4" s="1"/>
  <c r="BY20" i="4" s="1"/>
  <c r="BZ20" i="4" s="1"/>
  <c r="CA20" i="4" s="1"/>
  <c r="CB20" i="4" s="1"/>
  <c r="CC20" i="4" s="1"/>
  <c r="CD20" i="4" s="1"/>
  <c r="CE20" i="4" s="1"/>
  <c r="CF20" i="4" s="1"/>
  <c r="J28" i="4"/>
  <c r="K28" i="4" s="1"/>
  <c r="L28" i="4" s="1"/>
  <c r="M28" i="4" s="1"/>
  <c r="N28" i="4" s="1"/>
  <c r="O28" i="4" s="1"/>
  <c r="P28" i="4" s="1"/>
  <c r="Q28" i="4" s="1"/>
  <c r="R28" i="4" s="1"/>
  <c r="S28" i="4" s="1"/>
  <c r="T28" i="4" s="1"/>
  <c r="U28" i="4" s="1"/>
  <c r="V28" i="4" s="1"/>
  <c r="W28" i="4" s="1"/>
  <c r="X28" i="4" s="1"/>
  <c r="Y28" i="4" s="1"/>
  <c r="Z28" i="4" s="1"/>
  <c r="AA28" i="4" s="1"/>
  <c r="AB28" i="4" s="1"/>
  <c r="AC28" i="4" s="1"/>
  <c r="AD28" i="4" s="1"/>
  <c r="AE28" i="4" s="1"/>
  <c r="AF28" i="4" s="1"/>
  <c r="AG28" i="4" s="1"/>
  <c r="AH28" i="4" s="1"/>
  <c r="AI28" i="4" s="1"/>
  <c r="AJ28" i="4" s="1"/>
  <c r="AK28" i="4" s="1"/>
  <c r="AL28" i="4" s="1"/>
  <c r="AM28" i="4" s="1"/>
  <c r="AN28" i="4" s="1"/>
  <c r="AO28" i="4" s="1"/>
  <c r="AP28" i="4" s="1"/>
  <c r="AQ28" i="4" s="1"/>
  <c r="AR28" i="4" s="1"/>
  <c r="AS28" i="4" s="1"/>
  <c r="AT28" i="4" s="1"/>
  <c r="AU28" i="4" s="1"/>
  <c r="AV28" i="4" s="1"/>
  <c r="AW28" i="4" s="1"/>
  <c r="AX28" i="4" s="1"/>
  <c r="AY28" i="4" s="1"/>
  <c r="AZ28" i="4" s="1"/>
  <c r="BA28" i="4" s="1"/>
  <c r="BB28" i="4" s="1"/>
  <c r="BC28" i="4" s="1"/>
  <c r="BD28" i="4" s="1"/>
  <c r="BE28" i="4" s="1"/>
  <c r="BF28" i="4" s="1"/>
  <c r="BG28" i="4" s="1"/>
  <c r="BH28" i="4" s="1"/>
  <c r="J32" i="4"/>
  <c r="K32" i="4" s="1"/>
  <c r="L32" i="4" s="1"/>
  <c r="M32" i="4" s="1"/>
  <c r="N32" i="4" s="1"/>
  <c r="O32" i="4" s="1"/>
  <c r="P32" i="4" s="1"/>
  <c r="Q32" i="4" s="1"/>
  <c r="R32" i="4" s="1"/>
  <c r="S32" i="4" s="1"/>
  <c r="T32" i="4" s="1"/>
  <c r="U32" i="4" s="1"/>
  <c r="V32" i="4" s="1"/>
  <c r="W32" i="4" s="1"/>
  <c r="X32" i="4" s="1"/>
  <c r="Y32" i="4" s="1"/>
  <c r="Z32" i="4" s="1"/>
  <c r="AA32" i="4" s="1"/>
  <c r="AB32" i="4" s="1"/>
  <c r="AC32" i="4" s="1"/>
  <c r="AD32" i="4" s="1"/>
  <c r="AE32" i="4" s="1"/>
  <c r="AF32" i="4" s="1"/>
  <c r="AG32" i="4" s="1"/>
  <c r="AH32" i="4" s="1"/>
  <c r="AI32" i="4" s="1"/>
  <c r="AJ32" i="4" s="1"/>
  <c r="AK32" i="4" s="1"/>
  <c r="AL32" i="4" s="1"/>
  <c r="AM32" i="4" s="1"/>
  <c r="AN32" i="4" s="1"/>
  <c r="AO32" i="4" s="1"/>
  <c r="AP32" i="4" s="1"/>
  <c r="AQ32" i="4" s="1"/>
  <c r="AR32" i="4" s="1"/>
  <c r="AS32" i="4" s="1"/>
  <c r="AT32" i="4" s="1"/>
  <c r="AU32" i="4" s="1"/>
  <c r="AV32" i="4" s="1"/>
  <c r="J35" i="4"/>
  <c r="K35" i="4" s="1"/>
  <c r="L35" i="4" s="1"/>
  <c r="M35" i="4" s="1"/>
  <c r="N35" i="4" s="1"/>
  <c r="O35" i="4" s="1"/>
  <c r="P35" i="4" s="1"/>
  <c r="Q35" i="4" s="1"/>
  <c r="R35" i="4" s="1"/>
  <c r="S35" i="4" s="1"/>
  <c r="T35" i="4" s="1"/>
  <c r="U35" i="4" s="1"/>
  <c r="V35" i="4" s="1"/>
  <c r="W35" i="4" s="1"/>
  <c r="X35" i="4" s="1"/>
  <c r="Y35" i="4" s="1"/>
  <c r="Z35" i="4" s="1"/>
  <c r="AA35" i="4" s="1"/>
  <c r="AB35" i="4" s="1"/>
  <c r="AC35" i="4" s="1"/>
  <c r="AD35" i="4" s="1"/>
  <c r="AE35" i="4" s="1"/>
  <c r="AF35" i="4" s="1"/>
  <c r="AG35" i="4" s="1"/>
  <c r="AH35" i="4" s="1"/>
  <c r="AI35" i="4" s="1"/>
  <c r="AJ35" i="4" s="1"/>
  <c r="AK35" i="4" s="1"/>
  <c r="AL35" i="4" s="1"/>
  <c r="AM35" i="4" s="1"/>
  <c r="J36" i="4"/>
  <c r="K36" i="4" s="1"/>
  <c r="L36" i="4" s="1"/>
  <c r="M36" i="4" s="1"/>
  <c r="N36" i="4" s="1"/>
  <c r="O36" i="4" s="1"/>
  <c r="P36" i="4" s="1"/>
  <c r="Q36" i="4" s="1"/>
  <c r="R36" i="4" s="1"/>
  <c r="S36" i="4" s="1"/>
  <c r="T36" i="4" s="1"/>
  <c r="U36" i="4" s="1"/>
  <c r="V36" i="4" s="1"/>
  <c r="W36" i="4" s="1"/>
  <c r="X36" i="4" s="1"/>
  <c r="Y36" i="4" s="1"/>
  <c r="Z36" i="4" s="1"/>
  <c r="AA36" i="4" s="1"/>
  <c r="AB36" i="4" s="1"/>
  <c r="AC36" i="4" s="1"/>
  <c r="AD36" i="4" s="1"/>
  <c r="AE36" i="4" s="1"/>
  <c r="AF36" i="4" s="1"/>
  <c r="AG36" i="4" s="1"/>
  <c r="AH36" i="4" s="1"/>
  <c r="AI36" i="4" s="1"/>
  <c r="AJ36" i="4" s="1"/>
  <c r="J26" i="4"/>
  <c r="K26" i="4" s="1"/>
  <c r="L26" i="4" s="1"/>
  <c r="M26" i="4" s="1"/>
  <c r="N26" i="4" s="1"/>
  <c r="O26" i="4" s="1"/>
  <c r="P26" i="4" s="1"/>
  <c r="Q26" i="4" s="1"/>
  <c r="R26" i="4" s="1"/>
  <c r="S26" i="4" s="1"/>
  <c r="T26" i="4" s="1"/>
  <c r="U26" i="4" s="1"/>
  <c r="V26" i="4" s="1"/>
  <c r="W26" i="4" s="1"/>
  <c r="X26" i="4" s="1"/>
  <c r="Y26" i="4" s="1"/>
  <c r="Z26" i="4" s="1"/>
  <c r="AA26" i="4" s="1"/>
  <c r="AB26" i="4" s="1"/>
  <c r="AC26" i="4" s="1"/>
  <c r="AD26" i="4" s="1"/>
  <c r="AE26" i="4" s="1"/>
  <c r="AF26" i="4" s="1"/>
  <c r="AG26" i="4" s="1"/>
  <c r="AH26" i="4" s="1"/>
  <c r="AI26" i="4" s="1"/>
  <c r="AJ26" i="4" s="1"/>
  <c r="AK26" i="4" s="1"/>
  <c r="AL26" i="4" s="1"/>
  <c r="AM26" i="4" s="1"/>
  <c r="AN26" i="4" s="1"/>
  <c r="AO26" i="4" s="1"/>
  <c r="AP26" i="4" s="1"/>
  <c r="AQ26" i="4" s="1"/>
  <c r="AR26" i="4" s="1"/>
  <c r="AS26" i="4" s="1"/>
  <c r="AT26" i="4" s="1"/>
  <c r="AU26" i="4" s="1"/>
  <c r="AV26" i="4" s="1"/>
  <c r="AW26" i="4" s="1"/>
  <c r="AX26" i="4" s="1"/>
  <c r="AY26" i="4" s="1"/>
  <c r="AZ26" i="4" s="1"/>
  <c r="BA26" i="4" s="1"/>
  <c r="BB26" i="4" s="1"/>
  <c r="BC26" i="4" s="1"/>
  <c r="BD26" i="4" s="1"/>
  <c r="BE26" i="4" s="1"/>
  <c r="BF26" i="4" s="1"/>
  <c r="BG26" i="4" s="1"/>
  <c r="BH26" i="4" s="1"/>
  <c r="BI26" i="4" s="1"/>
  <c r="BJ26" i="4" s="1"/>
  <c r="BK26" i="4" s="1"/>
  <c r="BL26" i="4" s="1"/>
  <c r="BM26" i="4" s="1"/>
  <c r="BN26" i="4" s="1"/>
  <c r="J39" i="4"/>
  <c r="K39" i="4" s="1"/>
  <c r="L39" i="4" s="1"/>
  <c r="M39" i="4" s="1"/>
  <c r="N39" i="4" s="1"/>
  <c r="O39" i="4" s="1"/>
  <c r="P39" i="4" s="1"/>
  <c r="Q39" i="4" s="1"/>
  <c r="R39" i="4" s="1"/>
  <c r="S39" i="4" s="1"/>
  <c r="T39" i="4" s="1"/>
  <c r="U39" i="4" s="1"/>
  <c r="V39" i="4" s="1"/>
  <c r="W39" i="4" s="1"/>
  <c r="X39" i="4" s="1"/>
  <c r="Y39" i="4" s="1"/>
  <c r="Z39" i="4" s="1"/>
  <c r="AA39" i="4" s="1"/>
  <c r="D45" i="4"/>
  <c r="D45" i="6"/>
  <c r="D44" i="1"/>
  <c r="J15" i="4"/>
  <c r="K15" i="4" s="1"/>
  <c r="L15" i="4" s="1"/>
  <c r="M15" i="4" s="1"/>
  <c r="N15" i="4" s="1"/>
  <c r="O15" i="4" s="1"/>
  <c r="P15" i="4" s="1"/>
  <c r="Q15" i="4" s="1"/>
  <c r="R15" i="4" s="1"/>
  <c r="S15" i="4" s="1"/>
  <c r="T15" i="4" s="1"/>
  <c r="U15" i="4" s="1"/>
  <c r="V15" i="4" s="1"/>
  <c r="W15" i="4" s="1"/>
  <c r="X15" i="4" s="1"/>
  <c r="Y15" i="4" s="1"/>
  <c r="Z15" i="4" s="1"/>
  <c r="AA15" i="4" s="1"/>
  <c r="AB15" i="4" s="1"/>
  <c r="AC15" i="4" s="1"/>
  <c r="AD15" i="4" s="1"/>
  <c r="AE15" i="4" s="1"/>
  <c r="AF15" i="4" s="1"/>
  <c r="AG15" i="4" s="1"/>
  <c r="AH15" i="4" s="1"/>
  <c r="AI15" i="4" s="1"/>
  <c r="AJ15" i="4" s="1"/>
  <c r="AK15" i="4" s="1"/>
  <c r="AL15" i="4" s="1"/>
  <c r="AM15" i="4" s="1"/>
  <c r="AN15" i="4" s="1"/>
  <c r="AO15" i="4" s="1"/>
  <c r="AP15" i="4" s="1"/>
  <c r="AQ15" i="4" s="1"/>
  <c r="AR15" i="4" s="1"/>
  <c r="AS15" i="4" s="1"/>
  <c r="AT15" i="4" s="1"/>
  <c r="AU15" i="4" s="1"/>
  <c r="AV15" i="4" s="1"/>
  <c r="AW15" i="4" s="1"/>
  <c r="AX15" i="4" s="1"/>
  <c r="AY15" i="4" s="1"/>
  <c r="AZ15" i="4" s="1"/>
  <c r="BA15" i="4" s="1"/>
  <c r="BB15" i="4" s="1"/>
  <c r="BC15" i="4" s="1"/>
  <c r="BD15" i="4" s="1"/>
  <c r="BE15" i="4" s="1"/>
  <c r="BF15" i="4" s="1"/>
  <c r="BG15" i="4" s="1"/>
  <c r="BH15" i="4" s="1"/>
  <c r="BI15" i="4" s="1"/>
  <c r="BJ15" i="4" s="1"/>
  <c r="BK15" i="4" s="1"/>
  <c r="BL15" i="4" s="1"/>
  <c r="BM15" i="4" s="1"/>
  <c r="BN15" i="4" s="1"/>
  <c r="BO15" i="4" s="1"/>
  <c r="BP15" i="4" s="1"/>
  <c r="BQ15" i="4" s="1"/>
  <c r="BR15" i="4" s="1"/>
  <c r="BS15" i="4" s="1"/>
  <c r="BT15" i="4" s="1"/>
  <c r="BU15" i="4" s="1"/>
  <c r="BV15" i="4" s="1"/>
  <c r="BW15" i="4" s="1"/>
  <c r="BX15" i="4" s="1"/>
  <c r="BY15" i="4" s="1"/>
  <c r="BZ15" i="4" s="1"/>
  <c r="CA15" i="4" s="1"/>
  <c r="CB15" i="4" s="1"/>
  <c r="CC15" i="4" s="1"/>
  <c r="CD15" i="4" s="1"/>
  <c r="CE15" i="4" s="1"/>
  <c r="CF15" i="4" s="1"/>
  <c r="CG15" i="4" s="1"/>
  <c r="CH15" i="4" s="1"/>
  <c r="CI15" i="4" s="1"/>
  <c r="CJ15" i="4" s="1"/>
  <c r="CK15" i="4" s="1"/>
  <c r="CL15" i="4" s="1"/>
  <c r="CM15" i="4" s="1"/>
  <c r="CN15" i="4" s="1"/>
  <c r="CO15" i="4" s="1"/>
  <c r="CP15" i="4" s="1"/>
  <c r="CQ15" i="4" s="1"/>
  <c r="CR15" i="4" s="1"/>
  <c r="CS15" i="4" s="1"/>
  <c r="CT15" i="4" s="1"/>
  <c r="CU15" i="4" s="1"/>
  <c r="J23" i="4"/>
  <c r="K23" i="4" s="1"/>
  <c r="L23" i="4" s="1"/>
  <c r="M23" i="4" s="1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BC23" i="4" s="1"/>
  <c r="BD23" i="4" s="1"/>
  <c r="BE23" i="4" s="1"/>
  <c r="BF23" i="4" s="1"/>
  <c r="BG23" i="4" s="1"/>
  <c r="BH23" i="4" s="1"/>
  <c r="BI23" i="4" s="1"/>
  <c r="BJ23" i="4" s="1"/>
  <c r="BK23" i="4" s="1"/>
  <c r="BL23" i="4" s="1"/>
  <c r="BM23" i="4" s="1"/>
  <c r="BN23" i="4" s="1"/>
  <c r="BO23" i="4" s="1"/>
  <c r="BP23" i="4" s="1"/>
  <c r="BQ23" i="4" s="1"/>
  <c r="BR23" i="4" s="1"/>
  <c r="BS23" i="4" s="1"/>
  <c r="BT23" i="4" s="1"/>
  <c r="BU23" i="4" s="1"/>
  <c r="BV23" i="4" s="1"/>
  <c r="BW23" i="4" s="1"/>
  <c r="J31" i="4"/>
  <c r="K31" i="4" s="1"/>
  <c r="L31" i="4" s="1"/>
  <c r="M31" i="4" s="1"/>
  <c r="N31" i="4" s="1"/>
  <c r="O31" i="4" s="1"/>
  <c r="P31" i="4" s="1"/>
  <c r="Q31" i="4" s="1"/>
  <c r="R31" i="4" s="1"/>
  <c r="S31" i="4" s="1"/>
  <c r="T31" i="4" s="1"/>
  <c r="U31" i="4" s="1"/>
  <c r="V31" i="4" s="1"/>
  <c r="W31" i="4" s="1"/>
  <c r="X31" i="4" s="1"/>
  <c r="Y31" i="4" s="1"/>
  <c r="Z31" i="4" s="1"/>
  <c r="AA31" i="4" s="1"/>
  <c r="AB31" i="4" s="1"/>
  <c r="AC31" i="4" s="1"/>
  <c r="AD31" i="4" s="1"/>
  <c r="AE31" i="4" s="1"/>
  <c r="AF31" i="4" s="1"/>
  <c r="AG31" i="4" s="1"/>
  <c r="AH31" i="4" s="1"/>
  <c r="AI31" i="4" s="1"/>
  <c r="AJ31" i="4" s="1"/>
  <c r="AK31" i="4" s="1"/>
  <c r="AL31" i="4" s="1"/>
  <c r="AM31" i="4" s="1"/>
  <c r="AN31" i="4" s="1"/>
  <c r="AO31" i="4" s="1"/>
  <c r="AP31" i="4" s="1"/>
  <c r="AQ31" i="4" s="1"/>
  <c r="AR31" i="4" s="1"/>
  <c r="AS31" i="4" s="1"/>
  <c r="AT31" i="4" s="1"/>
  <c r="AU31" i="4" s="1"/>
  <c r="AV31" i="4" s="1"/>
  <c r="AW31" i="4" s="1"/>
  <c r="AX31" i="4" s="1"/>
  <c r="AY31" i="4" s="1"/>
  <c r="F46" i="1"/>
  <c r="H6" i="1"/>
  <c r="J17" i="4"/>
  <c r="K17" i="4" s="1"/>
  <c r="L17" i="4" s="1"/>
  <c r="M17" i="4" s="1"/>
  <c r="N17" i="4" s="1"/>
  <c r="O17" i="4" s="1"/>
  <c r="P17" i="4" s="1"/>
  <c r="Q17" i="4" s="1"/>
  <c r="R17" i="4" s="1"/>
  <c r="S17" i="4" s="1"/>
  <c r="T17" i="4" s="1"/>
  <c r="U17" i="4" s="1"/>
  <c r="V17" i="4" s="1"/>
  <c r="W17" i="4" s="1"/>
  <c r="X17" i="4" s="1"/>
  <c r="Y17" i="4" s="1"/>
  <c r="Z17" i="4" s="1"/>
  <c r="AA17" i="4" s="1"/>
  <c r="AB17" i="4" s="1"/>
  <c r="AC17" i="4" s="1"/>
  <c r="AD17" i="4" s="1"/>
  <c r="AE17" i="4" s="1"/>
  <c r="AF17" i="4" s="1"/>
  <c r="AG17" i="4" s="1"/>
  <c r="AH17" i="4" s="1"/>
  <c r="AI17" i="4" s="1"/>
  <c r="AJ17" i="4" s="1"/>
  <c r="AK17" i="4" s="1"/>
  <c r="AL17" i="4" s="1"/>
  <c r="AM17" i="4" s="1"/>
  <c r="AN17" i="4" s="1"/>
  <c r="AO17" i="4" s="1"/>
  <c r="AP17" i="4" s="1"/>
  <c r="AQ17" i="4" s="1"/>
  <c r="AR17" i="4" s="1"/>
  <c r="AS17" i="4" s="1"/>
  <c r="AT17" i="4" s="1"/>
  <c r="AU17" i="4" s="1"/>
  <c r="AV17" i="4" s="1"/>
  <c r="AW17" i="4" s="1"/>
  <c r="AX17" i="4" s="1"/>
  <c r="AY17" i="4" s="1"/>
  <c r="AZ17" i="4" s="1"/>
  <c r="BA17" i="4" s="1"/>
  <c r="BB17" i="4" s="1"/>
  <c r="BC17" i="4" s="1"/>
  <c r="BD17" i="4" s="1"/>
  <c r="BE17" i="4" s="1"/>
  <c r="BF17" i="4" s="1"/>
  <c r="BG17" i="4" s="1"/>
  <c r="BH17" i="4" s="1"/>
  <c r="BI17" i="4" s="1"/>
  <c r="BJ17" i="4" s="1"/>
  <c r="BK17" i="4" s="1"/>
  <c r="BL17" i="4" s="1"/>
  <c r="BM17" i="4" s="1"/>
  <c r="BN17" i="4" s="1"/>
  <c r="BO17" i="4" s="1"/>
  <c r="BP17" i="4" s="1"/>
  <c r="BQ17" i="4" s="1"/>
  <c r="BR17" i="4" s="1"/>
  <c r="BS17" i="4" s="1"/>
  <c r="BT17" i="4" s="1"/>
  <c r="BU17" i="4" s="1"/>
  <c r="BV17" i="4" s="1"/>
  <c r="BW17" i="4" s="1"/>
  <c r="BX17" i="4" s="1"/>
  <c r="BY17" i="4" s="1"/>
  <c r="BZ17" i="4" s="1"/>
  <c r="CA17" i="4" s="1"/>
  <c r="CB17" i="4" s="1"/>
  <c r="CC17" i="4" s="1"/>
  <c r="CD17" i="4" s="1"/>
  <c r="CE17" i="4" s="1"/>
  <c r="CF17" i="4" s="1"/>
  <c r="CG17" i="4" s="1"/>
  <c r="CH17" i="4" s="1"/>
  <c r="CI17" i="4" s="1"/>
  <c r="CJ17" i="4" s="1"/>
  <c r="CK17" i="4" s="1"/>
  <c r="CL17" i="4" s="1"/>
  <c r="CM17" i="4" s="1"/>
  <c r="CN17" i="4" s="1"/>
  <c r="CO17" i="4" s="1"/>
  <c r="J21" i="4"/>
  <c r="K21" i="4" s="1"/>
  <c r="L21" i="4" s="1"/>
  <c r="M21" i="4" s="1"/>
  <c r="N21" i="4" s="1"/>
  <c r="O21" i="4" s="1"/>
  <c r="P21" i="4" s="1"/>
  <c r="Q21" i="4" s="1"/>
  <c r="R21" i="4" s="1"/>
  <c r="S21" i="4" s="1"/>
  <c r="T21" i="4" s="1"/>
  <c r="U21" i="4" s="1"/>
  <c r="V21" i="4" s="1"/>
  <c r="W21" i="4" s="1"/>
  <c r="X21" i="4" s="1"/>
  <c r="Y21" i="4" s="1"/>
  <c r="Z21" i="4" s="1"/>
  <c r="AA21" i="4" s="1"/>
  <c r="AB21" i="4" s="1"/>
  <c r="AC21" i="4" s="1"/>
  <c r="AD21" i="4" s="1"/>
  <c r="AE21" i="4" s="1"/>
  <c r="AF21" i="4" s="1"/>
  <c r="AG21" i="4" s="1"/>
  <c r="AH21" i="4" s="1"/>
  <c r="AI21" i="4" s="1"/>
  <c r="AJ21" i="4" s="1"/>
  <c r="AK21" i="4" s="1"/>
  <c r="AL21" i="4" s="1"/>
  <c r="AM21" i="4" s="1"/>
  <c r="AN21" i="4" s="1"/>
  <c r="AO21" i="4" s="1"/>
  <c r="AP21" i="4" s="1"/>
  <c r="AQ21" i="4" s="1"/>
  <c r="AR21" i="4" s="1"/>
  <c r="AS21" i="4" s="1"/>
  <c r="AT21" i="4" s="1"/>
  <c r="AU21" i="4" s="1"/>
  <c r="AV21" i="4" s="1"/>
  <c r="AW21" i="4" s="1"/>
  <c r="AX21" i="4" s="1"/>
  <c r="AY21" i="4" s="1"/>
  <c r="AZ21" i="4" s="1"/>
  <c r="BA21" i="4" s="1"/>
  <c r="BB21" i="4" s="1"/>
  <c r="BC21" i="4" s="1"/>
  <c r="BD21" i="4" s="1"/>
  <c r="BE21" i="4" s="1"/>
  <c r="BF21" i="4" s="1"/>
  <c r="BG21" i="4" s="1"/>
  <c r="BH21" i="4" s="1"/>
  <c r="BI21" i="4" s="1"/>
  <c r="BJ21" i="4" s="1"/>
  <c r="BK21" i="4" s="1"/>
  <c r="BL21" i="4" s="1"/>
  <c r="BM21" i="4" s="1"/>
  <c r="BN21" i="4" s="1"/>
  <c r="BO21" i="4" s="1"/>
  <c r="BP21" i="4" s="1"/>
  <c r="BQ21" i="4" s="1"/>
  <c r="BR21" i="4" s="1"/>
  <c r="BS21" i="4" s="1"/>
  <c r="BT21" i="4" s="1"/>
  <c r="BU21" i="4" s="1"/>
  <c r="BV21" i="4" s="1"/>
  <c r="BW21" i="4" s="1"/>
  <c r="BX21" i="4" s="1"/>
  <c r="BY21" i="4" s="1"/>
  <c r="BZ21" i="4" s="1"/>
  <c r="CA21" i="4" s="1"/>
  <c r="CB21" i="4" s="1"/>
  <c r="CC21" i="4" s="1"/>
  <c r="J25" i="4"/>
  <c r="K25" i="4" s="1"/>
  <c r="L25" i="4" s="1"/>
  <c r="M25" i="4" s="1"/>
  <c r="N25" i="4" s="1"/>
  <c r="O25" i="4" s="1"/>
  <c r="P25" i="4" s="1"/>
  <c r="Q25" i="4" s="1"/>
  <c r="R25" i="4" s="1"/>
  <c r="S25" i="4" s="1"/>
  <c r="T25" i="4" s="1"/>
  <c r="U25" i="4" s="1"/>
  <c r="V25" i="4" s="1"/>
  <c r="W25" i="4" s="1"/>
  <c r="X25" i="4" s="1"/>
  <c r="Y25" i="4" s="1"/>
  <c r="Z25" i="4" s="1"/>
  <c r="AA25" i="4" s="1"/>
  <c r="AB25" i="4" s="1"/>
  <c r="AC25" i="4" s="1"/>
  <c r="AD25" i="4" s="1"/>
  <c r="AE25" i="4" s="1"/>
  <c r="AF25" i="4" s="1"/>
  <c r="AG25" i="4" s="1"/>
  <c r="AH25" i="4" s="1"/>
  <c r="AI25" i="4" s="1"/>
  <c r="AJ25" i="4" s="1"/>
  <c r="AK25" i="4" s="1"/>
  <c r="AL25" i="4" s="1"/>
  <c r="AM25" i="4" s="1"/>
  <c r="AN25" i="4" s="1"/>
  <c r="AO25" i="4" s="1"/>
  <c r="AP25" i="4" s="1"/>
  <c r="AQ25" i="4" s="1"/>
  <c r="AR25" i="4" s="1"/>
  <c r="AS25" i="4" s="1"/>
  <c r="AT25" i="4" s="1"/>
  <c r="AU25" i="4" s="1"/>
  <c r="AV25" i="4" s="1"/>
  <c r="AW25" i="4" s="1"/>
  <c r="AX25" i="4" s="1"/>
  <c r="AY25" i="4" s="1"/>
  <c r="AZ25" i="4" s="1"/>
  <c r="BA25" i="4" s="1"/>
  <c r="BB25" i="4" s="1"/>
  <c r="BC25" i="4" s="1"/>
  <c r="BD25" i="4" s="1"/>
  <c r="BE25" i="4" s="1"/>
  <c r="BF25" i="4" s="1"/>
  <c r="BG25" i="4" s="1"/>
  <c r="BH25" i="4" s="1"/>
  <c r="BI25" i="4" s="1"/>
  <c r="BJ25" i="4" s="1"/>
  <c r="BK25" i="4" s="1"/>
  <c r="BL25" i="4" s="1"/>
  <c r="BM25" i="4" s="1"/>
  <c r="BN25" i="4" s="1"/>
  <c r="BO25" i="4" s="1"/>
  <c r="BP25" i="4" s="1"/>
  <c r="BQ25" i="4" s="1"/>
  <c r="J29" i="4"/>
  <c r="K29" i="4" s="1"/>
  <c r="L29" i="4" s="1"/>
  <c r="M29" i="4" s="1"/>
  <c r="N29" i="4" s="1"/>
  <c r="O29" i="4" s="1"/>
  <c r="P29" i="4" s="1"/>
  <c r="Q29" i="4" s="1"/>
  <c r="R29" i="4" s="1"/>
  <c r="S29" i="4" s="1"/>
  <c r="T29" i="4" s="1"/>
  <c r="U29" i="4" s="1"/>
  <c r="V29" i="4" s="1"/>
  <c r="W29" i="4" s="1"/>
  <c r="X29" i="4" s="1"/>
  <c r="Y29" i="4" s="1"/>
  <c r="Z29" i="4" s="1"/>
  <c r="AA29" i="4" s="1"/>
  <c r="AB29" i="4" s="1"/>
  <c r="AC29" i="4" s="1"/>
  <c r="AD29" i="4" s="1"/>
  <c r="AE29" i="4" s="1"/>
  <c r="AF29" i="4" s="1"/>
  <c r="AG29" i="4" s="1"/>
  <c r="AH29" i="4" s="1"/>
  <c r="AI29" i="4" s="1"/>
  <c r="AJ29" i="4" s="1"/>
  <c r="AK29" i="4" s="1"/>
  <c r="AL29" i="4" s="1"/>
  <c r="AM29" i="4" s="1"/>
  <c r="AN29" i="4" s="1"/>
  <c r="AO29" i="4" s="1"/>
  <c r="AP29" i="4" s="1"/>
  <c r="AQ29" i="4" s="1"/>
  <c r="AR29" i="4" s="1"/>
  <c r="AS29" i="4" s="1"/>
  <c r="AT29" i="4" s="1"/>
  <c r="AU29" i="4" s="1"/>
  <c r="AV29" i="4" s="1"/>
  <c r="AW29" i="4" s="1"/>
  <c r="AX29" i="4" s="1"/>
  <c r="AY29" i="4" s="1"/>
  <c r="AZ29" i="4" s="1"/>
  <c r="BA29" i="4" s="1"/>
  <c r="BB29" i="4" s="1"/>
  <c r="BC29" i="4" s="1"/>
  <c r="BD29" i="4" s="1"/>
  <c r="BE29" i="4" s="1"/>
  <c r="J33" i="4"/>
  <c r="K33" i="4" s="1"/>
  <c r="L33" i="4" s="1"/>
  <c r="M33" i="4" s="1"/>
  <c r="N33" i="4" s="1"/>
  <c r="O33" i="4" s="1"/>
  <c r="P33" i="4" s="1"/>
  <c r="Q33" i="4" s="1"/>
  <c r="R33" i="4" s="1"/>
  <c r="S33" i="4" s="1"/>
  <c r="T33" i="4" s="1"/>
  <c r="U33" i="4" s="1"/>
  <c r="V33" i="4" s="1"/>
  <c r="W33" i="4" s="1"/>
  <c r="X33" i="4" s="1"/>
  <c r="Y33" i="4" s="1"/>
  <c r="Z33" i="4" s="1"/>
  <c r="AA33" i="4" s="1"/>
  <c r="AB33" i="4" s="1"/>
  <c r="AC33" i="4" s="1"/>
  <c r="AD33" i="4" s="1"/>
  <c r="AE33" i="4" s="1"/>
  <c r="AF33" i="4" s="1"/>
  <c r="AG33" i="4" s="1"/>
  <c r="AH33" i="4" s="1"/>
  <c r="AI33" i="4" s="1"/>
  <c r="AJ33" i="4" s="1"/>
  <c r="AK33" i="4" s="1"/>
  <c r="AL33" i="4" s="1"/>
  <c r="AM33" i="4" s="1"/>
  <c r="AN33" i="4" s="1"/>
  <c r="AO33" i="4" s="1"/>
  <c r="AP33" i="4" s="1"/>
  <c r="AQ33" i="4" s="1"/>
  <c r="AR33" i="4" s="1"/>
  <c r="AS33" i="4" s="1"/>
  <c r="J37" i="4"/>
  <c r="K37" i="4" s="1"/>
  <c r="L37" i="4" s="1"/>
  <c r="M37" i="4" s="1"/>
  <c r="N37" i="4" s="1"/>
  <c r="O37" i="4" s="1"/>
  <c r="P37" i="4" s="1"/>
  <c r="Q37" i="4" s="1"/>
  <c r="R37" i="4" s="1"/>
  <c r="S37" i="4" s="1"/>
  <c r="T37" i="4" s="1"/>
  <c r="U37" i="4" s="1"/>
  <c r="V37" i="4" s="1"/>
  <c r="W37" i="4" s="1"/>
  <c r="X37" i="4" s="1"/>
  <c r="Y37" i="4" s="1"/>
  <c r="Z37" i="4" s="1"/>
  <c r="AA37" i="4" s="1"/>
  <c r="AB37" i="4" s="1"/>
  <c r="AC37" i="4" s="1"/>
  <c r="AD37" i="4" s="1"/>
  <c r="AE37" i="4" s="1"/>
  <c r="AF37" i="4" s="1"/>
  <c r="AG37" i="4" s="1"/>
  <c r="J41" i="4"/>
  <c r="K41" i="4" s="1"/>
  <c r="L41" i="4" s="1"/>
  <c r="M41" i="4" s="1"/>
  <c r="N41" i="4" s="1"/>
  <c r="O41" i="4" s="1"/>
  <c r="P41" i="4" s="1"/>
  <c r="Q41" i="4" s="1"/>
  <c r="R41" i="4" s="1"/>
  <c r="S41" i="4" s="1"/>
  <c r="T41" i="4" s="1"/>
  <c r="U41" i="4" s="1"/>
  <c r="J38" i="4"/>
  <c r="K38" i="4" s="1"/>
  <c r="L38" i="4" s="1"/>
  <c r="M38" i="4" s="1"/>
  <c r="N38" i="4" s="1"/>
  <c r="O38" i="4" s="1"/>
  <c r="P38" i="4" s="1"/>
  <c r="Q38" i="4" s="1"/>
  <c r="R38" i="4" s="1"/>
  <c r="S38" i="4" s="1"/>
  <c r="T38" i="4" s="1"/>
  <c r="U38" i="4" s="1"/>
  <c r="V38" i="4" s="1"/>
  <c r="W38" i="4" s="1"/>
  <c r="X38" i="4" s="1"/>
  <c r="Y38" i="4" s="1"/>
  <c r="Z38" i="4" s="1"/>
  <c r="AA38" i="4" s="1"/>
  <c r="AB38" i="4" s="1"/>
  <c r="AC38" i="4" s="1"/>
  <c r="AD38" i="4" s="1"/>
  <c r="D46" i="6"/>
  <c r="D46" i="4"/>
  <c r="J27" i="4"/>
  <c r="K27" i="4" s="1"/>
  <c r="L27" i="4" s="1"/>
  <c r="M27" i="4" s="1"/>
  <c r="N27" i="4" s="1"/>
  <c r="O27" i="4" s="1"/>
  <c r="P27" i="4" s="1"/>
  <c r="Q27" i="4" s="1"/>
  <c r="R27" i="4" s="1"/>
  <c r="S27" i="4" s="1"/>
  <c r="T27" i="4" s="1"/>
  <c r="U27" i="4" s="1"/>
  <c r="V27" i="4" s="1"/>
  <c r="W27" i="4" s="1"/>
  <c r="X27" i="4" s="1"/>
  <c r="Y27" i="4" s="1"/>
  <c r="Z27" i="4" s="1"/>
  <c r="AA27" i="4" s="1"/>
  <c r="AB27" i="4" s="1"/>
  <c r="AC27" i="4" s="1"/>
  <c r="AD27" i="4" s="1"/>
  <c r="AE27" i="4" s="1"/>
  <c r="AF27" i="4" s="1"/>
  <c r="AG27" i="4" s="1"/>
  <c r="AH27" i="4" s="1"/>
  <c r="AI27" i="4" s="1"/>
  <c r="AJ27" i="4" s="1"/>
  <c r="AK27" i="4" s="1"/>
  <c r="AL27" i="4" s="1"/>
  <c r="AM27" i="4" s="1"/>
  <c r="AN27" i="4" s="1"/>
  <c r="AO27" i="4" s="1"/>
  <c r="AP27" i="4" s="1"/>
  <c r="AQ27" i="4" s="1"/>
  <c r="AR27" i="4" s="1"/>
  <c r="AS27" i="4" s="1"/>
  <c r="AT27" i="4" s="1"/>
  <c r="AU27" i="4" s="1"/>
  <c r="AV27" i="4" s="1"/>
  <c r="AW27" i="4" s="1"/>
  <c r="AX27" i="4" s="1"/>
  <c r="AY27" i="4" s="1"/>
  <c r="AZ27" i="4" s="1"/>
  <c r="BA27" i="4" s="1"/>
  <c r="BB27" i="4" s="1"/>
  <c r="BC27" i="4" s="1"/>
  <c r="BD27" i="4" s="1"/>
  <c r="BE27" i="4" s="1"/>
  <c r="BF27" i="4" s="1"/>
  <c r="BG27" i="4" s="1"/>
  <c r="BH27" i="4" s="1"/>
  <c r="BI27" i="4" s="1"/>
  <c r="BJ27" i="4" s="1"/>
  <c r="BK27" i="4" s="1"/>
  <c r="J24" i="4"/>
  <c r="K24" i="4" s="1"/>
  <c r="L24" i="4" s="1"/>
  <c r="M24" i="4" s="1"/>
  <c r="N24" i="4" s="1"/>
  <c r="O24" i="4" s="1"/>
  <c r="P24" i="4" s="1"/>
  <c r="Q24" i="4" s="1"/>
  <c r="R24" i="4" s="1"/>
  <c r="S24" i="4" s="1"/>
  <c r="T24" i="4" s="1"/>
  <c r="U24" i="4" s="1"/>
  <c r="V24" i="4" s="1"/>
  <c r="W24" i="4" s="1"/>
  <c r="X24" i="4" s="1"/>
  <c r="Y24" i="4" s="1"/>
  <c r="Z24" i="4" s="1"/>
  <c r="AA24" i="4" s="1"/>
  <c r="AB24" i="4" s="1"/>
  <c r="AC24" i="4" s="1"/>
  <c r="AD24" i="4" s="1"/>
  <c r="AE24" i="4" s="1"/>
  <c r="AF24" i="4" s="1"/>
  <c r="AG24" i="4" s="1"/>
  <c r="AH24" i="4" s="1"/>
  <c r="AI24" i="4" s="1"/>
  <c r="AJ24" i="4" s="1"/>
  <c r="AK24" i="4" s="1"/>
  <c r="AL24" i="4" s="1"/>
  <c r="AM24" i="4" s="1"/>
  <c r="AN24" i="4" s="1"/>
  <c r="AO24" i="4" s="1"/>
  <c r="AP24" i="4" s="1"/>
  <c r="AQ24" i="4" s="1"/>
  <c r="AR24" i="4" s="1"/>
  <c r="AS24" i="4" s="1"/>
  <c r="AT24" i="4" s="1"/>
  <c r="AU24" i="4" s="1"/>
  <c r="AV24" i="4" s="1"/>
  <c r="AW24" i="4" s="1"/>
  <c r="AX24" i="4" s="1"/>
  <c r="AY24" i="4" s="1"/>
  <c r="AZ24" i="4" s="1"/>
  <c r="BA24" i="4" s="1"/>
  <c r="BB24" i="4" s="1"/>
  <c r="BC24" i="4" s="1"/>
  <c r="BD24" i="4" s="1"/>
  <c r="BE24" i="4" s="1"/>
  <c r="BF24" i="4" s="1"/>
  <c r="BG24" i="4" s="1"/>
  <c r="BH24" i="4" s="1"/>
  <c r="BI24" i="4" s="1"/>
  <c r="BJ24" i="4" s="1"/>
  <c r="BK24" i="4" s="1"/>
  <c r="BL24" i="4" s="1"/>
  <c r="BM24" i="4" s="1"/>
  <c r="BN24" i="4" s="1"/>
  <c r="BO24" i="4" s="1"/>
  <c r="BP24" i="4" s="1"/>
  <c r="BQ24" i="4" s="1"/>
  <c r="BR24" i="4" s="1"/>
  <c r="BS24" i="4" s="1"/>
  <c r="BT24" i="4" s="1"/>
  <c r="J40" i="4"/>
  <c r="K40" i="4" s="1"/>
  <c r="L40" i="4" s="1"/>
  <c r="M40" i="4" s="1"/>
  <c r="N40" i="4" s="1"/>
  <c r="O40" i="4" s="1"/>
  <c r="P40" i="4" s="1"/>
  <c r="Q40" i="4" s="1"/>
  <c r="R40" i="4" s="1"/>
  <c r="S40" i="4" s="1"/>
  <c r="T40" i="4" s="1"/>
  <c r="U40" i="4" s="1"/>
  <c r="V40" i="4" s="1"/>
  <c r="W40" i="4" s="1"/>
  <c r="X40" i="4" s="1"/>
  <c r="L7" i="4"/>
  <c r="J47" i="1"/>
  <c r="I47" i="6"/>
  <c r="I6" i="6" s="1"/>
  <c r="I47" i="4"/>
  <c r="I6" i="4" s="1"/>
  <c r="H47" i="6"/>
  <c r="H6" i="6" s="1"/>
  <c r="H47" i="4"/>
  <c r="H6" i="4" s="1"/>
  <c r="I6" i="1"/>
  <c r="E45" i="1"/>
  <c r="E44" i="1" s="1"/>
  <c r="F45" i="1"/>
  <c r="F44" i="1"/>
  <c r="I10" i="1" l="1"/>
  <c r="I12" i="6"/>
  <c r="I11" i="1"/>
  <c r="J8" i="6"/>
  <c r="J8" i="1" s="1"/>
  <c r="F45" i="4"/>
  <c r="F46" i="4"/>
  <c r="F44" i="6"/>
  <c r="F45" i="6"/>
  <c r="F46" i="6"/>
  <c r="D43" i="1"/>
  <c r="D44" i="4"/>
  <c r="F44" i="4" s="1"/>
  <c r="D44" i="6"/>
  <c r="M7" i="4"/>
  <c r="K47" i="1"/>
  <c r="J47" i="6"/>
  <c r="J6" i="6" s="1"/>
  <c r="J47" i="4"/>
  <c r="J6" i="4" s="1"/>
  <c r="J6" i="1"/>
  <c r="I13" i="6" l="1"/>
  <c r="I12" i="1"/>
  <c r="K8" i="6"/>
  <c r="K8" i="1" s="1"/>
  <c r="J9" i="6"/>
  <c r="J9" i="1" s="1"/>
  <c r="D42" i="1"/>
  <c r="D43" i="6"/>
  <c r="F43" i="6" s="1"/>
  <c r="D43" i="4"/>
  <c r="F43" i="1"/>
  <c r="F42" i="1"/>
  <c r="E43" i="1"/>
  <c r="E42" i="1" s="1"/>
  <c r="N7" i="4"/>
  <c r="L47" i="1"/>
  <c r="K47" i="6"/>
  <c r="K6" i="6" s="1"/>
  <c r="K47" i="4"/>
  <c r="K6" i="4" s="1"/>
  <c r="K6" i="1"/>
  <c r="I14" i="6" l="1"/>
  <c r="I13" i="1"/>
  <c r="L8" i="6"/>
  <c r="L8" i="1" s="1"/>
  <c r="J10" i="6"/>
  <c r="J10" i="1" s="1"/>
  <c r="K9" i="6"/>
  <c r="K9" i="1" s="1"/>
  <c r="F43" i="4"/>
  <c r="D41" i="1"/>
  <c r="D42" i="6"/>
  <c r="D42" i="4"/>
  <c r="F42" i="4" s="1"/>
  <c r="O7" i="4"/>
  <c r="L47" i="6"/>
  <c r="L6" i="6" s="1"/>
  <c r="L47" i="4"/>
  <c r="L6" i="4" s="1"/>
  <c r="L6" i="1"/>
  <c r="M47" i="1"/>
  <c r="I15" i="6" l="1"/>
  <c r="I14" i="1"/>
  <c r="M8" i="6"/>
  <c r="M8" i="1" s="1"/>
  <c r="J11" i="6"/>
  <c r="J11" i="1" s="1"/>
  <c r="D40" i="1"/>
  <c r="D41" i="4"/>
  <c r="F41" i="4" s="1"/>
  <c r="D41" i="6"/>
  <c r="F40" i="1"/>
  <c r="E41" i="1"/>
  <c r="E40" i="1" s="1"/>
  <c r="F41" i="1"/>
  <c r="F42" i="6"/>
  <c r="P7" i="4"/>
  <c r="N47" i="1"/>
  <c r="M47" i="6"/>
  <c r="M6" i="6" s="1"/>
  <c r="M47" i="4"/>
  <c r="M6" i="4" s="1"/>
  <c r="M6" i="1"/>
  <c r="I16" i="6" l="1"/>
  <c r="I15" i="1"/>
  <c r="L9" i="6"/>
  <c r="M9" i="6"/>
  <c r="K10" i="6"/>
  <c r="K10" i="1" s="1"/>
  <c r="N8" i="6"/>
  <c r="N8" i="1" s="1"/>
  <c r="J12" i="6"/>
  <c r="J12" i="1" s="1"/>
  <c r="D39" i="1"/>
  <c r="D40" i="6"/>
  <c r="D40" i="4"/>
  <c r="F40" i="4" s="1"/>
  <c r="F41" i="6"/>
  <c r="Q7" i="4"/>
  <c r="O47" i="1"/>
  <c r="N47" i="6"/>
  <c r="N6" i="6" s="1"/>
  <c r="N47" i="4"/>
  <c r="N6" i="4" s="1"/>
  <c r="N6" i="1"/>
  <c r="L10" i="6" l="1"/>
  <c r="L10" i="1" s="1"/>
  <c r="L9" i="1"/>
  <c r="M9" i="1" s="1"/>
  <c r="I17" i="6"/>
  <c r="I16" i="1"/>
  <c r="K11" i="6"/>
  <c r="K11" i="1" s="1"/>
  <c r="O8" i="6"/>
  <c r="O8" i="1" s="1"/>
  <c r="N9" i="6"/>
  <c r="J13" i="6"/>
  <c r="J13" i="1" s="1"/>
  <c r="F40" i="6"/>
  <c r="D38" i="1"/>
  <c r="D39" i="6"/>
  <c r="F39" i="6" s="1"/>
  <c r="D39" i="4"/>
  <c r="F38" i="1"/>
  <c r="E39" i="1"/>
  <c r="E38" i="1" s="1"/>
  <c r="F39" i="1"/>
  <c r="R7" i="4"/>
  <c r="P47" i="1"/>
  <c r="O47" i="6"/>
  <c r="O6" i="6" s="1"/>
  <c r="O47" i="4"/>
  <c r="O6" i="4" s="1"/>
  <c r="O6" i="1"/>
  <c r="L11" i="6" l="1"/>
  <c r="L12" i="6" s="1"/>
  <c r="N9" i="1"/>
  <c r="M10" i="6"/>
  <c r="M11" i="6" s="1"/>
  <c r="I18" i="6"/>
  <c r="I17" i="1"/>
  <c r="N10" i="6"/>
  <c r="P8" i="6"/>
  <c r="P8" i="1" s="1"/>
  <c r="O9" i="6"/>
  <c r="K12" i="6"/>
  <c r="K12" i="1" s="1"/>
  <c r="J14" i="6"/>
  <c r="J14" i="1" s="1"/>
  <c r="D37" i="1"/>
  <c r="D38" i="6"/>
  <c r="D38" i="4"/>
  <c r="E37" i="1"/>
  <c r="F38" i="4"/>
  <c r="F39" i="4"/>
  <c r="F38" i="6"/>
  <c r="S7" i="4"/>
  <c r="P47" i="6"/>
  <c r="P6" i="6" s="1"/>
  <c r="P47" i="4"/>
  <c r="P6" i="4" s="1"/>
  <c r="Q47" i="1"/>
  <c r="P6" i="1"/>
  <c r="L11" i="1" l="1"/>
  <c r="M12" i="6" s="1"/>
  <c r="O9" i="1"/>
  <c r="L12" i="1"/>
  <c r="M10" i="1"/>
  <c r="N10" i="1" s="1"/>
  <c r="I19" i="6"/>
  <c r="I18" i="1"/>
  <c r="K13" i="6"/>
  <c r="K13" i="1" s="1"/>
  <c r="O10" i="6"/>
  <c r="P9" i="6"/>
  <c r="L13" i="6"/>
  <c r="Q8" i="6"/>
  <c r="Q8" i="1" s="1"/>
  <c r="J15" i="6"/>
  <c r="J15" i="1" s="1"/>
  <c r="D36" i="1"/>
  <c r="D37" i="4"/>
  <c r="D37" i="6"/>
  <c r="F37" i="1"/>
  <c r="T7" i="4"/>
  <c r="Q47" i="6"/>
  <c r="Q6" i="6" s="1"/>
  <c r="Q47" i="4"/>
  <c r="Q6" i="4" s="1"/>
  <c r="R47" i="1"/>
  <c r="Q6" i="1"/>
  <c r="P9" i="1" l="1"/>
  <c r="M11" i="1"/>
  <c r="M12" i="1"/>
  <c r="O10" i="1"/>
  <c r="N11" i="6"/>
  <c r="L13" i="1"/>
  <c r="P10" i="6"/>
  <c r="I20" i="6"/>
  <c r="I19" i="1"/>
  <c r="Q9" i="6"/>
  <c r="L14" i="6"/>
  <c r="R8" i="6"/>
  <c r="R8" i="1" s="1"/>
  <c r="K14" i="6"/>
  <c r="J16" i="6"/>
  <c r="J16" i="1" s="1"/>
  <c r="M13" i="6"/>
  <c r="O11" i="6"/>
  <c r="F36" i="6"/>
  <c r="F37" i="6"/>
  <c r="F37" i="4"/>
  <c r="D35" i="1"/>
  <c r="D36" i="6"/>
  <c r="D36" i="4"/>
  <c r="F36" i="4" s="1"/>
  <c r="F36" i="1"/>
  <c r="E36" i="1"/>
  <c r="U7" i="4"/>
  <c r="R47" i="6"/>
  <c r="R6" i="6" s="1"/>
  <c r="R47" i="4"/>
  <c r="R6" i="4" s="1"/>
  <c r="S47" i="1"/>
  <c r="R6" i="1"/>
  <c r="Q9" i="1" l="1"/>
  <c r="N11" i="1"/>
  <c r="O11" i="1" s="1"/>
  <c r="M13" i="1"/>
  <c r="P10" i="1"/>
  <c r="N12" i="6"/>
  <c r="N12" i="1" s="1"/>
  <c r="K15" i="6"/>
  <c r="K15" i="1" s="1"/>
  <c r="K14" i="1"/>
  <c r="L14" i="1" s="1"/>
  <c r="I21" i="6"/>
  <c r="I20" i="1"/>
  <c r="J17" i="6"/>
  <c r="J17" i="1" s="1"/>
  <c r="Q10" i="6"/>
  <c r="M14" i="6"/>
  <c r="S8" i="6"/>
  <c r="S8" i="1" s="1"/>
  <c r="R9" i="6"/>
  <c r="P11" i="6"/>
  <c r="D34" i="1"/>
  <c r="D35" i="6"/>
  <c r="D35" i="4"/>
  <c r="F35" i="4" s="1"/>
  <c r="F34" i="1"/>
  <c r="E35" i="1"/>
  <c r="E34" i="1" s="1"/>
  <c r="F35" i="1"/>
  <c r="F35" i="6"/>
  <c r="V7" i="4"/>
  <c r="S47" i="6"/>
  <c r="S6" i="6" s="1"/>
  <c r="S47" i="4"/>
  <c r="S6" i="4" s="1"/>
  <c r="T47" i="1"/>
  <c r="S6" i="1"/>
  <c r="R9" i="1" l="1"/>
  <c r="O12" i="6"/>
  <c r="O13" i="6" s="1"/>
  <c r="K16" i="6"/>
  <c r="K16" i="1" s="1"/>
  <c r="P11" i="1"/>
  <c r="Q10" i="1"/>
  <c r="N13" i="6"/>
  <c r="N13" i="1" s="1"/>
  <c r="L15" i="6"/>
  <c r="L15" i="1" s="1"/>
  <c r="M14" i="1"/>
  <c r="I22" i="6"/>
  <c r="I21" i="1"/>
  <c r="R10" i="6"/>
  <c r="S9" i="6"/>
  <c r="T8" i="6"/>
  <c r="T8" i="1" s="1"/>
  <c r="M15" i="6"/>
  <c r="Q11" i="6"/>
  <c r="P12" i="6"/>
  <c r="D33" i="1"/>
  <c r="D34" i="6"/>
  <c r="D34" i="4"/>
  <c r="W7" i="4"/>
  <c r="T47" i="6"/>
  <c r="T6" i="6" s="1"/>
  <c r="T47" i="4"/>
  <c r="T6" i="4" s="1"/>
  <c r="U47" i="1"/>
  <c r="T6" i="1"/>
  <c r="S9" i="1" l="1"/>
  <c r="O12" i="1"/>
  <c r="P12" i="1" s="1"/>
  <c r="K17" i="6"/>
  <c r="K17" i="1" s="1"/>
  <c r="L16" i="6"/>
  <c r="L16" i="1" s="1"/>
  <c r="M15" i="1"/>
  <c r="R10" i="1"/>
  <c r="Q11" i="1"/>
  <c r="N14" i="6"/>
  <c r="N14" i="1" s="1"/>
  <c r="O13" i="1"/>
  <c r="I23" i="6"/>
  <c r="I22" i="1"/>
  <c r="S10" i="6"/>
  <c r="O14" i="6"/>
  <c r="U8" i="6"/>
  <c r="U8" i="1" s="1"/>
  <c r="T9" i="6"/>
  <c r="M16" i="6"/>
  <c r="R11" i="6"/>
  <c r="Q12" i="6"/>
  <c r="J18" i="6"/>
  <c r="J18" i="1" s="1"/>
  <c r="F34" i="6"/>
  <c r="D32" i="1"/>
  <c r="F32" i="1" s="1"/>
  <c r="D33" i="4"/>
  <c r="D33" i="6"/>
  <c r="E33" i="1"/>
  <c r="E32" i="1" s="1"/>
  <c r="F33" i="1"/>
  <c r="F33" i="4"/>
  <c r="F34" i="4"/>
  <c r="X7" i="4"/>
  <c r="U47" i="6"/>
  <c r="U6" i="6" s="1"/>
  <c r="U47" i="4"/>
  <c r="U6" i="4" s="1"/>
  <c r="V47" i="1"/>
  <c r="U6" i="1"/>
  <c r="T9" i="1" l="1"/>
  <c r="P13" i="6"/>
  <c r="P13" i="1" s="1"/>
  <c r="S10" i="1"/>
  <c r="N15" i="6"/>
  <c r="N15" i="1" s="1"/>
  <c r="M16" i="1"/>
  <c r="L17" i="6"/>
  <c r="L17" i="1" s="1"/>
  <c r="R11" i="1"/>
  <c r="Q12" i="1"/>
  <c r="O14" i="1"/>
  <c r="I24" i="6"/>
  <c r="I23" i="1"/>
  <c r="M17" i="6"/>
  <c r="T10" i="6"/>
  <c r="V8" i="6"/>
  <c r="V8" i="1" s="1"/>
  <c r="U9" i="6"/>
  <c r="J19" i="6"/>
  <c r="J19" i="1" s="1"/>
  <c r="K18" i="6"/>
  <c r="K18" i="1" s="1"/>
  <c r="R12" i="6"/>
  <c r="S11" i="6"/>
  <c r="O15" i="6"/>
  <c r="D31" i="1"/>
  <c r="D32" i="4"/>
  <c r="D32" i="6"/>
  <c r="F31" i="1"/>
  <c r="F32" i="6"/>
  <c r="F33" i="6"/>
  <c r="Y7" i="4"/>
  <c r="V47" i="6"/>
  <c r="V6" i="6" s="1"/>
  <c r="V47" i="4"/>
  <c r="V6" i="4" s="1"/>
  <c r="V6" i="1"/>
  <c r="W47" i="1"/>
  <c r="P14" i="6" l="1"/>
  <c r="P15" i="6" s="1"/>
  <c r="T10" i="1"/>
  <c r="S11" i="1"/>
  <c r="M17" i="1"/>
  <c r="O15" i="1"/>
  <c r="L18" i="6"/>
  <c r="L19" i="6" s="1"/>
  <c r="N16" i="6"/>
  <c r="N16" i="1" s="1"/>
  <c r="R12" i="1"/>
  <c r="U10" i="6"/>
  <c r="U9" i="1"/>
  <c r="I25" i="6"/>
  <c r="I24" i="1"/>
  <c r="M18" i="6"/>
  <c r="S12" i="6"/>
  <c r="R13" i="6"/>
  <c r="J20" i="6"/>
  <c r="J20" i="1" s="1"/>
  <c r="K19" i="6"/>
  <c r="K19" i="1" s="1"/>
  <c r="W8" i="6"/>
  <c r="W8" i="1" s="1"/>
  <c r="Q13" i="6"/>
  <c r="V9" i="6"/>
  <c r="O16" i="6"/>
  <c r="F32" i="4"/>
  <c r="D30" i="1"/>
  <c r="D31" i="6"/>
  <c r="D31" i="4"/>
  <c r="F30" i="1"/>
  <c r="E31" i="1"/>
  <c r="E30" i="1" s="1"/>
  <c r="F31" i="6"/>
  <c r="Z7" i="4"/>
  <c r="W47" i="6"/>
  <c r="W6" i="6" s="1"/>
  <c r="W47" i="4"/>
  <c r="W6" i="4" s="1"/>
  <c r="W6" i="1"/>
  <c r="X47" i="1"/>
  <c r="P14" i="1" l="1"/>
  <c r="U10" i="1"/>
  <c r="L18" i="1"/>
  <c r="M18" i="1" s="1"/>
  <c r="P15" i="1"/>
  <c r="N17" i="6"/>
  <c r="N17" i="1" s="1"/>
  <c r="S12" i="1"/>
  <c r="O16" i="1"/>
  <c r="V9" i="1"/>
  <c r="Q14" i="6"/>
  <c r="Q13" i="1"/>
  <c r="R13" i="1" s="1"/>
  <c r="L19" i="1"/>
  <c r="I26" i="6"/>
  <c r="I25" i="1"/>
  <c r="K20" i="6"/>
  <c r="K21" i="6" s="1"/>
  <c r="V10" i="6"/>
  <c r="J21" i="6"/>
  <c r="J21" i="1" s="1"/>
  <c r="S13" i="6"/>
  <c r="X8" i="6"/>
  <c r="X8" i="1" s="1"/>
  <c r="W9" i="6"/>
  <c r="T11" i="6"/>
  <c r="T11" i="1" s="1"/>
  <c r="U11" i="6"/>
  <c r="P16" i="6"/>
  <c r="O17" i="6"/>
  <c r="D29" i="1"/>
  <c r="D30" i="6"/>
  <c r="D30" i="4"/>
  <c r="F30" i="4" s="1"/>
  <c r="F29" i="1"/>
  <c r="E29" i="1"/>
  <c r="F31" i="4"/>
  <c r="AA7" i="4"/>
  <c r="X47" i="6"/>
  <c r="X6" i="6" s="1"/>
  <c r="X47" i="4"/>
  <c r="X6" i="4" s="1"/>
  <c r="X6" i="1"/>
  <c r="Y47" i="1"/>
  <c r="Q14" i="1" l="1"/>
  <c r="V10" i="1"/>
  <c r="N18" i="6"/>
  <c r="N19" i="6" s="1"/>
  <c r="M19" i="6"/>
  <c r="M20" i="6" s="1"/>
  <c r="O17" i="1"/>
  <c r="P16" i="1"/>
  <c r="Q15" i="6"/>
  <c r="Q15" i="1" s="1"/>
  <c r="U11" i="1"/>
  <c r="R14" i="6"/>
  <c r="K20" i="1"/>
  <c r="S13" i="1"/>
  <c r="W9" i="1"/>
  <c r="K21" i="1"/>
  <c r="I27" i="6"/>
  <c r="I26" i="1"/>
  <c r="V11" i="6"/>
  <c r="T12" i="6"/>
  <c r="T12" i="1" s="1"/>
  <c r="L20" i="6"/>
  <c r="W10" i="6"/>
  <c r="K22" i="6"/>
  <c r="Y8" i="6"/>
  <c r="Y8" i="1" s="1"/>
  <c r="X9" i="6"/>
  <c r="J22" i="6"/>
  <c r="S14" i="6"/>
  <c r="P17" i="6"/>
  <c r="O18" i="6"/>
  <c r="E28" i="1"/>
  <c r="D28" i="1"/>
  <c r="D29" i="6"/>
  <c r="F29" i="6" s="1"/>
  <c r="D29" i="4"/>
  <c r="F28" i="1"/>
  <c r="F30" i="6"/>
  <c r="AB7" i="4"/>
  <c r="Y47" i="6"/>
  <c r="Y6" i="6" s="1"/>
  <c r="Y47" i="4"/>
  <c r="Y6" i="4" s="1"/>
  <c r="Y6" i="1"/>
  <c r="Z47" i="1"/>
  <c r="R14" i="1" l="1"/>
  <c r="S14" i="1" s="1"/>
  <c r="W10" i="1"/>
  <c r="N18" i="1"/>
  <c r="O18" i="1" s="1"/>
  <c r="P17" i="1"/>
  <c r="M19" i="1"/>
  <c r="N20" i="6" s="1"/>
  <c r="X9" i="1"/>
  <c r="L20" i="1"/>
  <c r="M21" i="6" s="1"/>
  <c r="Q16" i="6"/>
  <c r="Q16" i="1" s="1"/>
  <c r="V11" i="1"/>
  <c r="R15" i="6"/>
  <c r="R15" i="1" s="1"/>
  <c r="T13" i="6"/>
  <c r="T13" i="1" s="1"/>
  <c r="V12" i="6"/>
  <c r="X10" i="6"/>
  <c r="L21" i="6"/>
  <c r="L21" i="1" s="1"/>
  <c r="I28" i="6"/>
  <c r="I27" i="1"/>
  <c r="J23" i="6"/>
  <c r="J23" i="1" s="1"/>
  <c r="J22" i="1"/>
  <c r="K22" i="1" s="1"/>
  <c r="U12" i="6"/>
  <c r="W11" i="6"/>
  <c r="Z8" i="6"/>
  <c r="Z8" i="1" s="1"/>
  <c r="Y9" i="6"/>
  <c r="P18" i="6"/>
  <c r="F29" i="4"/>
  <c r="D27" i="1"/>
  <c r="D28" i="6"/>
  <c r="D28" i="4"/>
  <c r="F28" i="4" s="1"/>
  <c r="F27" i="1"/>
  <c r="AC7" i="4"/>
  <c r="Z47" i="6"/>
  <c r="Z6" i="6" s="1"/>
  <c r="Z47" i="4"/>
  <c r="Z6" i="4" s="1"/>
  <c r="Z6" i="1"/>
  <c r="AA47" i="1"/>
  <c r="X10" i="1" l="1"/>
  <c r="S15" i="6"/>
  <c r="S15" i="1" s="1"/>
  <c r="O19" i="6"/>
  <c r="Y9" i="1"/>
  <c r="N19" i="1"/>
  <c r="Q17" i="6"/>
  <c r="Q17" i="1" s="1"/>
  <c r="P18" i="1"/>
  <c r="M20" i="1"/>
  <c r="N20" i="1" s="1"/>
  <c r="J24" i="6"/>
  <c r="J24" i="1" s="1"/>
  <c r="T14" i="6"/>
  <c r="T14" i="1" s="1"/>
  <c r="W11" i="1"/>
  <c r="R16" i="6"/>
  <c r="R16" i="1" s="1"/>
  <c r="M21" i="1"/>
  <c r="M22" i="6"/>
  <c r="K23" i="6"/>
  <c r="K23" i="1" s="1"/>
  <c r="L22" i="6"/>
  <c r="L22" i="1" s="1"/>
  <c r="U13" i="6"/>
  <c r="U13" i="1" s="1"/>
  <c r="U12" i="1"/>
  <c r="V12" i="1" s="1"/>
  <c r="X11" i="6"/>
  <c r="Y10" i="6"/>
  <c r="I29" i="6"/>
  <c r="I28" i="1"/>
  <c r="W12" i="6"/>
  <c r="AA8" i="6"/>
  <c r="AA8" i="1" s="1"/>
  <c r="Z9" i="6"/>
  <c r="P19" i="6"/>
  <c r="F28" i="6"/>
  <c r="F27" i="6"/>
  <c r="D26" i="1"/>
  <c r="D27" i="6"/>
  <c r="D27" i="4"/>
  <c r="E27" i="1"/>
  <c r="E26" i="1" s="1"/>
  <c r="AD7" i="4"/>
  <c r="AA47" i="6"/>
  <c r="AA6" i="6" s="1"/>
  <c r="AA47" i="4"/>
  <c r="AA6" i="4" s="1"/>
  <c r="AA6" i="1"/>
  <c r="AB47" i="1"/>
  <c r="S16" i="6" l="1"/>
  <c r="S16" i="1" s="1"/>
  <c r="Y10" i="1"/>
  <c r="Q18" i="6"/>
  <c r="Q18" i="1" s="1"/>
  <c r="O19" i="1"/>
  <c r="P20" i="6" s="1"/>
  <c r="Z9" i="1"/>
  <c r="J25" i="6"/>
  <c r="J25" i="1" s="1"/>
  <c r="T15" i="6"/>
  <c r="T15" i="1" s="1"/>
  <c r="N21" i="6"/>
  <c r="N22" i="6" s="1"/>
  <c r="U14" i="6"/>
  <c r="U14" i="1" s="1"/>
  <c r="R17" i="6"/>
  <c r="R17" i="1" s="1"/>
  <c r="X11" i="1"/>
  <c r="V13" i="6"/>
  <c r="V13" i="1" s="1"/>
  <c r="M22" i="1"/>
  <c r="K24" i="6"/>
  <c r="K24" i="1" s="1"/>
  <c r="M23" i="6"/>
  <c r="W12" i="1"/>
  <c r="W13" i="6"/>
  <c r="Y11" i="6"/>
  <c r="X12" i="6"/>
  <c r="I30" i="6"/>
  <c r="I29" i="1"/>
  <c r="L23" i="6"/>
  <c r="L23" i="1" s="1"/>
  <c r="AB8" i="6"/>
  <c r="AB8" i="1" s="1"/>
  <c r="AA9" i="6"/>
  <c r="Z10" i="6"/>
  <c r="O20" i="6"/>
  <c r="O20" i="1" s="1"/>
  <c r="F27" i="4"/>
  <c r="E25" i="1"/>
  <c r="D25" i="1"/>
  <c r="D26" i="4"/>
  <c r="D26" i="6"/>
  <c r="F25" i="1"/>
  <c r="F26" i="1"/>
  <c r="AE7" i="4"/>
  <c r="AB47" i="6"/>
  <c r="AB6" i="6" s="1"/>
  <c r="AB47" i="4"/>
  <c r="AB6" i="4" s="1"/>
  <c r="AC47" i="1"/>
  <c r="AB6" i="1"/>
  <c r="Z10" i="1" l="1"/>
  <c r="P19" i="1"/>
  <c r="Q19" i="6"/>
  <c r="AA9" i="1"/>
  <c r="U15" i="6"/>
  <c r="U15" i="1" s="1"/>
  <c r="J26" i="6"/>
  <c r="J26" i="1" s="1"/>
  <c r="T16" i="6"/>
  <c r="T16" i="1" s="1"/>
  <c r="X12" i="1"/>
  <c r="N23" i="6"/>
  <c r="N21" i="1"/>
  <c r="R18" i="6"/>
  <c r="R18" i="1" s="1"/>
  <c r="Y11" i="1"/>
  <c r="W14" i="6"/>
  <c r="N22" i="1"/>
  <c r="K25" i="6"/>
  <c r="K25" i="1" s="1"/>
  <c r="P20" i="1"/>
  <c r="M23" i="1"/>
  <c r="W13" i="1"/>
  <c r="X13" i="6"/>
  <c r="Y12" i="6"/>
  <c r="I31" i="6"/>
  <c r="I30" i="1"/>
  <c r="L24" i="6"/>
  <c r="L24" i="1" s="1"/>
  <c r="M24" i="6"/>
  <c r="AA10" i="6"/>
  <c r="Z11" i="6"/>
  <c r="AC8" i="6"/>
  <c r="AC8" i="1" s="1"/>
  <c r="AB9" i="6"/>
  <c r="V14" i="6"/>
  <c r="S17" i="6"/>
  <c r="S17" i="1" s="1"/>
  <c r="O21" i="6"/>
  <c r="P21" i="6"/>
  <c r="F26" i="6"/>
  <c r="F26" i="4"/>
  <c r="D24" i="1"/>
  <c r="D25" i="4"/>
  <c r="F25" i="4" s="1"/>
  <c r="D25" i="6"/>
  <c r="F24" i="1"/>
  <c r="AF7" i="4"/>
  <c r="AC47" i="6"/>
  <c r="AC6" i="6" s="1"/>
  <c r="AC47" i="4"/>
  <c r="AC6" i="4" s="1"/>
  <c r="AC6" i="1"/>
  <c r="AD47" i="1"/>
  <c r="AA10" i="1" l="1"/>
  <c r="Y12" i="1"/>
  <c r="Q19" i="1"/>
  <c r="Q20" i="6"/>
  <c r="Q20" i="1" s="1"/>
  <c r="J27" i="6"/>
  <c r="J27" i="1" s="1"/>
  <c r="N23" i="1"/>
  <c r="AB9" i="1"/>
  <c r="T17" i="6"/>
  <c r="T17" i="1" s="1"/>
  <c r="O21" i="1"/>
  <c r="P21" i="1" s="1"/>
  <c r="Z11" i="1"/>
  <c r="K26" i="6"/>
  <c r="K26" i="1" s="1"/>
  <c r="R19" i="6"/>
  <c r="X13" i="1"/>
  <c r="N24" i="6"/>
  <c r="Y13" i="6"/>
  <c r="V15" i="6"/>
  <c r="V15" i="1" s="1"/>
  <c r="V14" i="1"/>
  <c r="W14" i="1" s="1"/>
  <c r="M24" i="1"/>
  <c r="L25" i="6"/>
  <c r="L25" i="1" s="1"/>
  <c r="M25" i="6"/>
  <c r="I32" i="6"/>
  <c r="I31" i="1"/>
  <c r="AA11" i="6"/>
  <c r="U16" i="6"/>
  <c r="U16" i="1" s="1"/>
  <c r="AB10" i="6"/>
  <c r="AC9" i="6"/>
  <c r="Z12" i="6"/>
  <c r="AD8" i="6"/>
  <c r="AD8" i="1" s="1"/>
  <c r="X14" i="6"/>
  <c r="S18" i="6"/>
  <c r="S18" i="1" s="1"/>
  <c r="O22" i="6"/>
  <c r="O22" i="1" s="1"/>
  <c r="Q21" i="6"/>
  <c r="D23" i="1"/>
  <c r="D24" i="6"/>
  <c r="D24" i="4"/>
  <c r="F24" i="4" s="1"/>
  <c r="F23" i="1"/>
  <c r="E24" i="1"/>
  <c r="E23" i="1" s="1"/>
  <c r="F24" i="6"/>
  <c r="F25" i="6"/>
  <c r="AG7" i="4"/>
  <c r="AD47" i="6"/>
  <c r="AD6" i="6" s="1"/>
  <c r="AD47" i="4"/>
  <c r="AD6" i="4" s="1"/>
  <c r="AD6" i="1"/>
  <c r="AE47" i="1"/>
  <c r="AB10" i="1" l="1"/>
  <c r="Z13" i="6"/>
  <c r="AC9" i="1"/>
  <c r="R19" i="1"/>
  <c r="K27" i="6"/>
  <c r="K27" i="1" s="1"/>
  <c r="Y13" i="1"/>
  <c r="T18" i="6"/>
  <c r="T18" i="1" s="1"/>
  <c r="AA11" i="1"/>
  <c r="Y14" i="6"/>
  <c r="R20" i="6"/>
  <c r="R20" i="1" s="1"/>
  <c r="N25" i="6"/>
  <c r="X14" i="1"/>
  <c r="M26" i="6"/>
  <c r="N24" i="1"/>
  <c r="W15" i="6"/>
  <c r="W15" i="1" s="1"/>
  <c r="Z12" i="1"/>
  <c r="Q21" i="1"/>
  <c r="AA12" i="6"/>
  <c r="V16" i="6"/>
  <c r="V16" i="1" s="1"/>
  <c r="L26" i="6"/>
  <c r="L26" i="1" s="1"/>
  <c r="M25" i="1"/>
  <c r="I33" i="6"/>
  <c r="I32" i="1"/>
  <c r="Q22" i="6"/>
  <c r="AB11" i="6"/>
  <c r="U17" i="6"/>
  <c r="U17" i="1" s="1"/>
  <c r="AD9" i="6"/>
  <c r="AC10" i="6"/>
  <c r="AE8" i="6"/>
  <c r="AE8" i="1" s="1"/>
  <c r="S19" i="6"/>
  <c r="O23" i="6"/>
  <c r="O23" i="1" s="1"/>
  <c r="P22" i="6"/>
  <c r="P22" i="1" s="1"/>
  <c r="J28" i="6"/>
  <c r="D22" i="1"/>
  <c r="D23" i="6"/>
  <c r="D23" i="4"/>
  <c r="F22" i="1"/>
  <c r="E22" i="1"/>
  <c r="AH7" i="4"/>
  <c r="AE47" i="6"/>
  <c r="AE6" i="6" s="1"/>
  <c r="AE47" i="4"/>
  <c r="AE6" i="4" s="1"/>
  <c r="AE6" i="1"/>
  <c r="AF47" i="1"/>
  <c r="AC10" i="1" l="1"/>
  <c r="Z13" i="1"/>
  <c r="AD9" i="1"/>
  <c r="S19" i="1"/>
  <c r="AB11" i="1"/>
  <c r="Z14" i="6"/>
  <c r="T19" i="6"/>
  <c r="AA12" i="1"/>
  <c r="Y14" i="1"/>
  <c r="Y15" i="6"/>
  <c r="R21" i="6"/>
  <c r="R22" i="6" s="1"/>
  <c r="N25" i="1"/>
  <c r="N26" i="6"/>
  <c r="M26" i="1"/>
  <c r="V17" i="6"/>
  <c r="V17" i="1" s="1"/>
  <c r="W16" i="6"/>
  <c r="W17" i="6" s="1"/>
  <c r="M27" i="6"/>
  <c r="L27" i="6"/>
  <c r="L27" i="1" s="1"/>
  <c r="Q22" i="1"/>
  <c r="AA13" i="6"/>
  <c r="I34" i="6"/>
  <c r="I33" i="1"/>
  <c r="J29" i="6"/>
  <c r="J29" i="1" s="1"/>
  <c r="J28" i="1"/>
  <c r="AD10" i="6"/>
  <c r="AD10" i="1" s="1"/>
  <c r="Q23" i="6"/>
  <c r="X15" i="6"/>
  <c r="U18" i="6"/>
  <c r="U18" i="1" s="1"/>
  <c r="AF8" i="6"/>
  <c r="AF8" i="1" s="1"/>
  <c r="K28" i="6"/>
  <c r="AE9" i="6"/>
  <c r="AE9" i="1" s="1"/>
  <c r="AC11" i="6"/>
  <c r="AB12" i="6"/>
  <c r="S20" i="6"/>
  <c r="S20" i="1" s="1"/>
  <c r="P23" i="6"/>
  <c r="P23" i="1" s="1"/>
  <c r="O24" i="6"/>
  <c r="O24" i="1" s="1"/>
  <c r="F23" i="4"/>
  <c r="F23" i="6"/>
  <c r="D21" i="1"/>
  <c r="D22" i="6"/>
  <c r="F22" i="6" s="1"/>
  <c r="D22" i="4"/>
  <c r="F21" i="1"/>
  <c r="AI7" i="4"/>
  <c r="AF47" i="6"/>
  <c r="AF6" i="6" s="1"/>
  <c r="AF47" i="4"/>
  <c r="AF6" i="4" s="1"/>
  <c r="AG47" i="1"/>
  <c r="AF6" i="1"/>
  <c r="AA13" i="1" l="1"/>
  <c r="T20" i="6"/>
  <c r="T20" i="1" s="1"/>
  <c r="Z14" i="1"/>
  <c r="AC11" i="1"/>
  <c r="T19" i="1"/>
  <c r="AB12" i="1"/>
  <c r="R21" i="1"/>
  <c r="N27" i="6"/>
  <c r="N26" i="1"/>
  <c r="M27" i="1"/>
  <c r="V18" i="6"/>
  <c r="V18" i="1" s="1"/>
  <c r="W17" i="1"/>
  <c r="W16" i="1"/>
  <c r="R22" i="1"/>
  <c r="M28" i="6"/>
  <c r="L28" i="6"/>
  <c r="Q23" i="1"/>
  <c r="K28" i="1"/>
  <c r="X15" i="1"/>
  <c r="Y15" i="1" s="1"/>
  <c r="AD11" i="6"/>
  <c r="I35" i="6"/>
  <c r="I34" i="1"/>
  <c r="U19" i="6"/>
  <c r="J30" i="6"/>
  <c r="J30" i="1" s="1"/>
  <c r="X16" i="6"/>
  <c r="AC12" i="6"/>
  <c r="AB13" i="6"/>
  <c r="AE10" i="6"/>
  <c r="AE10" i="1" s="1"/>
  <c r="AA14" i="6"/>
  <c r="Z15" i="6"/>
  <c r="K29" i="6"/>
  <c r="K30" i="6" s="1"/>
  <c r="AG8" i="6"/>
  <c r="AG8" i="1" s="1"/>
  <c r="AF9" i="6"/>
  <c r="AF9" i="1" s="1"/>
  <c r="S21" i="6"/>
  <c r="O25" i="6"/>
  <c r="O25" i="1" s="1"/>
  <c r="P24" i="6"/>
  <c r="P24" i="1" s="1"/>
  <c r="Q24" i="6"/>
  <c r="R23" i="6"/>
  <c r="W18" i="6"/>
  <c r="F22" i="4"/>
  <c r="F21" i="6"/>
  <c r="D20" i="1"/>
  <c r="D21" i="4"/>
  <c r="F21" i="4" s="1"/>
  <c r="D21" i="6"/>
  <c r="F20" i="1"/>
  <c r="E21" i="1"/>
  <c r="E20" i="1" s="1"/>
  <c r="AJ7" i="4"/>
  <c r="AG47" i="6"/>
  <c r="AG6" i="6" s="1"/>
  <c r="AG47" i="4"/>
  <c r="AG6" i="4" s="1"/>
  <c r="AG6" i="1"/>
  <c r="AH47" i="1"/>
  <c r="AB14" i="6" l="1"/>
  <c r="S21" i="1"/>
  <c r="AA14" i="1"/>
  <c r="AD11" i="1"/>
  <c r="AC12" i="1"/>
  <c r="U19" i="1"/>
  <c r="N27" i="1"/>
  <c r="N28" i="6"/>
  <c r="L28" i="1"/>
  <c r="M28" i="1" s="1"/>
  <c r="V19" i="6"/>
  <c r="R23" i="1"/>
  <c r="Z15" i="1"/>
  <c r="Q24" i="1"/>
  <c r="K30" i="1"/>
  <c r="K29" i="1"/>
  <c r="W18" i="1"/>
  <c r="AD12" i="6"/>
  <c r="AB13" i="1"/>
  <c r="X17" i="6"/>
  <c r="X17" i="1" s="1"/>
  <c r="X16" i="1"/>
  <c r="Y16" i="6"/>
  <c r="AC13" i="6"/>
  <c r="I36" i="6"/>
  <c r="I35" i="1"/>
  <c r="U20" i="6"/>
  <c r="AA15" i="6"/>
  <c r="L29" i="6"/>
  <c r="Z16" i="6"/>
  <c r="Q25" i="6"/>
  <c r="AE11" i="6"/>
  <c r="AH8" i="6"/>
  <c r="AH8" i="1" s="1"/>
  <c r="AF10" i="6"/>
  <c r="AF10" i="1" s="1"/>
  <c r="AG9" i="6"/>
  <c r="AG9" i="1" s="1"/>
  <c r="T21" i="6"/>
  <c r="T21" i="1" s="1"/>
  <c r="S22" i="6"/>
  <c r="S22" i="1" s="1"/>
  <c r="P25" i="6"/>
  <c r="P25" i="1" s="1"/>
  <c r="O26" i="6"/>
  <c r="O26" i="1" s="1"/>
  <c r="R24" i="6"/>
  <c r="K31" i="6"/>
  <c r="J31" i="6"/>
  <c r="J31" i="1" s="1"/>
  <c r="W19" i="6"/>
  <c r="D19" i="1"/>
  <c r="E19" i="1" s="1"/>
  <c r="D20" i="6"/>
  <c r="D20" i="4"/>
  <c r="F20" i="4"/>
  <c r="F20" i="6"/>
  <c r="AK7" i="4"/>
  <c r="AH47" i="6"/>
  <c r="AH6" i="6" s="1"/>
  <c r="AH47" i="4"/>
  <c r="AH6" i="4" s="1"/>
  <c r="AH6" i="1"/>
  <c r="AI47" i="1"/>
  <c r="V19" i="1" l="1"/>
  <c r="W19" i="1" s="1"/>
  <c r="AB15" i="6"/>
  <c r="AD12" i="1"/>
  <c r="AE11" i="1"/>
  <c r="AB14" i="1"/>
  <c r="N29" i="6"/>
  <c r="V20" i="6"/>
  <c r="M29" i="6"/>
  <c r="AA15" i="1"/>
  <c r="N28" i="1"/>
  <c r="X18" i="6"/>
  <c r="X18" i="1" s="1"/>
  <c r="Q25" i="1"/>
  <c r="L29" i="1"/>
  <c r="AD13" i="6"/>
  <c r="R24" i="1"/>
  <c r="K31" i="1"/>
  <c r="AC13" i="1"/>
  <c r="Y16" i="1"/>
  <c r="Z16" i="1" s="1"/>
  <c r="U21" i="6"/>
  <c r="U21" i="1" s="1"/>
  <c r="U20" i="1"/>
  <c r="Y17" i="6"/>
  <c r="Y17" i="1" s="1"/>
  <c r="I37" i="6"/>
  <c r="I36" i="1"/>
  <c r="AC14" i="6"/>
  <c r="L30" i="6"/>
  <c r="L30" i="1" s="1"/>
  <c r="K32" i="6"/>
  <c r="AG10" i="6"/>
  <c r="AG10" i="1" s="1"/>
  <c r="R25" i="6"/>
  <c r="AE12" i="6"/>
  <c r="AH9" i="6"/>
  <c r="AH9" i="1" s="1"/>
  <c r="AF11" i="6"/>
  <c r="T22" i="6"/>
  <c r="T22" i="1" s="1"/>
  <c r="AI8" i="6"/>
  <c r="AI8" i="1" s="1"/>
  <c r="AA16" i="6"/>
  <c r="S23" i="6"/>
  <c r="S23" i="1" s="1"/>
  <c r="O27" i="6"/>
  <c r="O27" i="1" s="1"/>
  <c r="P26" i="6"/>
  <c r="P26" i="1" s="1"/>
  <c r="J32" i="6"/>
  <c r="J32" i="1" s="1"/>
  <c r="Q26" i="6"/>
  <c r="F19" i="1"/>
  <c r="D18" i="1"/>
  <c r="D19" i="6"/>
  <c r="F19" i="6" s="1"/>
  <c r="D19" i="4"/>
  <c r="AL7" i="4"/>
  <c r="AI47" i="6"/>
  <c r="AI6" i="6" s="1"/>
  <c r="AI47" i="4"/>
  <c r="AI6" i="4" s="1"/>
  <c r="AI6" i="1"/>
  <c r="AJ47" i="1"/>
  <c r="W20" i="6" l="1"/>
  <c r="AB15" i="1"/>
  <c r="AF11" i="1"/>
  <c r="AE12" i="1"/>
  <c r="AC15" i="6"/>
  <c r="AD13" i="1"/>
  <c r="X19" i="6"/>
  <c r="X20" i="6" s="1"/>
  <c r="AB16" i="6"/>
  <c r="V20" i="1"/>
  <c r="W21" i="6" s="1"/>
  <c r="M29" i="1"/>
  <c r="N29" i="1" s="1"/>
  <c r="L31" i="6"/>
  <c r="L31" i="1" s="1"/>
  <c r="R25" i="1"/>
  <c r="Z17" i="6"/>
  <c r="Z17" i="1" s="1"/>
  <c r="AA16" i="1"/>
  <c r="Q26" i="1"/>
  <c r="AD14" i="6"/>
  <c r="K32" i="1"/>
  <c r="AC14" i="1"/>
  <c r="V21" i="6"/>
  <c r="V21" i="1" s="1"/>
  <c r="Y18" i="6"/>
  <c r="Y18" i="1" s="1"/>
  <c r="AA17" i="6"/>
  <c r="I38" i="6"/>
  <c r="I37" i="1"/>
  <c r="AG11" i="6"/>
  <c r="M30" i="6"/>
  <c r="M30" i="1" s="1"/>
  <c r="K33" i="6"/>
  <c r="AH10" i="6"/>
  <c r="AH10" i="1" s="1"/>
  <c r="P27" i="6"/>
  <c r="P27" i="1" s="1"/>
  <c r="AE13" i="6"/>
  <c r="AF12" i="6"/>
  <c r="AJ8" i="6"/>
  <c r="AJ8" i="1" s="1"/>
  <c r="AI9" i="6"/>
  <c r="AI9" i="1" s="1"/>
  <c r="T23" i="6"/>
  <c r="T23" i="1" s="1"/>
  <c r="U22" i="6"/>
  <c r="U22" i="1" s="1"/>
  <c r="S24" i="6"/>
  <c r="S24" i="1" s="1"/>
  <c r="O28" i="6"/>
  <c r="O28" i="1" s="1"/>
  <c r="Q27" i="6"/>
  <c r="J33" i="6"/>
  <c r="J33" i="1" s="1"/>
  <c r="D17" i="1"/>
  <c r="D18" i="4"/>
  <c r="D18" i="6"/>
  <c r="F18" i="1"/>
  <c r="E18" i="1"/>
  <c r="E17" i="1" s="1"/>
  <c r="F18" i="4"/>
  <c r="F19" i="4"/>
  <c r="AM7" i="4"/>
  <c r="AJ47" i="6"/>
  <c r="AJ6" i="6" s="1"/>
  <c r="AJ47" i="4"/>
  <c r="AJ6" i="4" s="1"/>
  <c r="AJ6" i="1"/>
  <c r="AK47" i="1"/>
  <c r="AC16" i="6" l="1"/>
  <c r="AG11" i="1"/>
  <c r="AF12" i="1"/>
  <c r="AC15" i="1"/>
  <c r="N30" i="6"/>
  <c r="N31" i="6" s="1"/>
  <c r="AB16" i="1"/>
  <c r="X19" i="1"/>
  <c r="W20" i="1"/>
  <c r="X20" i="1" s="1"/>
  <c r="Z18" i="6"/>
  <c r="Z18" i="1" s="1"/>
  <c r="L32" i="6"/>
  <c r="L33" i="6" s="1"/>
  <c r="AD15" i="6"/>
  <c r="W21" i="1"/>
  <c r="V22" i="6"/>
  <c r="V22" i="1" s="1"/>
  <c r="K33" i="1"/>
  <c r="AD14" i="1"/>
  <c r="Q27" i="1"/>
  <c r="AA17" i="1"/>
  <c r="AE14" i="6"/>
  <c r="AE13" i="1"/>
  <c r="Y19" i="6"/>
  <c r="AB17" i="6"/>
  <c r="M31" i="6"/>
  <c r="M31" i="1" s="1"/>
  <c r="I39" i="6"/>
  <c r="I38" i="1"/>
  <c r="AG12" i="6"/>
  <c r="AH11" i="6"/>
  <c r="K34" i="6"/>
  <c r="Q28" i="6"/>
  <c r="AJ9" i="6"/>
  <c r="AJ9" i="1" s="1"/>
  <c r="T24" i="6"/>
  <c r="T24" i="1" s="1"/>
  <c r="AF13" i="6"/>
  <c r="AI10" i="6"/>
  <c r="AI10" i="1" s="1"/>
  <c r="AK8" i="6"/>
  <c r="AK8" i="1" s="1"/>
  <c r="U23" i="6"/>
  <c r="U23" i="1" s="1"/>
  <c r="R26" i="6"/>
  <c r="S25" i="6"/>
  <c r="S25" i="1" s="1"/>
  <c r="O29" i="6"/>
  <c r="O29" i="1" s="1"/>
  <c r="P28" i="6"/>
  <c r="P28" i="1" s="1"/>
  <c r="W22" i="6"/>
  <c r="J34" i="6"/>
  <c r="J34" i="1" s="1"/>
  <c r="AA18" i="6"/>
  <c r="F18" i="6"/>
  <c r="D16" i="1"/>
  <c r="D17" i="4"/>
  <c r="D17" i="6"/>
  <c r="F17" i="6" s="1"/>
  <c r="F16" i="1"/>
  <c r="F17" i="1"/>
  <c r="AN7" i="4"/>
  <c r="AK47" i="6"/>
  <c r="AK6" i="6" s="1"/>
  <c r="AK47" i="4"/>
  <c r="AK6" i="4" s="1"/>
  <c r="AK6" i="1"/>
  <c r="AL47" i="1"/>
  <c r="AH11" i="1" l="1"/>
  <c r="AC16" i="1"/>
  <c r="AG12" i="1"/>
  <c r="AD15" i="1"/>
  <c r="AC17" i="6"/>
  <c r="N30" i="1"/>
  <c r="Y19" i="1"/>
  <c r="X21" i="6"/>
  <c r="X21" i="1" s="1"/>
  <c r="Y20" i="6"/>
  <c r="Y21" i="6" s="1"/>
  <c r="Z19" i="6"/>
  <c r="AD16" i="6"/>
  <c r="L32" i="1"/>
  <c r="Q28" i="1"/>
  <c r="L33" i="1"/>
  <c r="W22" i="1"/>
  <c r="AE14" i="1"/>
  <c r="AB17" i="1"/>
  <c r="AA18" i="1"/>
  <c r="AE15" i="6"/>
  <c r="K34" i="1"/>
  <c r="N31" i="1"/>
  <c r="AF13" i="1"/>
  <c r="R27" i="6"/>
  <c r="R27" i="1" s="1"/>
  <c r="R26" i="1"/>
  <c r="AH12" i="6"/>
  <c r="M32" i="6"/>
  <c r="I40" i="6"/>
  <c r="I39" i="1"/>
  <c r="AG13" i="6"/>
  <c r="L34" i="6"/>
  <c r="S26" i="6"/>
  <c r="AJ10" i="6"/>
  <c r="AJ10" i="1" s="1"/>
  <c r="AI11" i="6"/>
  <c r="AI11" i="1" s="1"/>
  <c r="J35" i="6"/>
  <c r="J35" i="1" s="1"/>
  <c r="W23" i="6"/>
  <c r="AL8" i="6"/>
  <c r="AL8" i="1" s="1"/>
  <c r="AF14" i="6"/>
  <c r="AK9" i="6"/>
  <c r="AK9" i="1" s="1"/>
  <c r="T25" i="6"/>
  <c r="T25" i="1" s="1"/>
  <c r="V23" i="6"/>
  <c r="V23" i="1" s="1"/>
  <c r="U24" i="6"/>
  <c r="U24" i="1" s="1"/>
  <c r="AA19" i="6"/>
  <c r="P29" i="6"/>
  <c r="P29" i="1" s="1"/>
  <c r="O30" i="6"/>
  <c r="N32" i="6"/>
  <c r="Q29" i="6"/>
  <c r="AB18" i="6"/>
  <c r="D15" i="1"/>
  <c r="D16" i="6"/>
  <c r="D16" i="4"/>
  <c r="F16" i="4" s="1"/>
  <c r="F16" i="6"/>
  <c r="E16" i="1"/>
  <c r="E15" i="1" s="1"/>
  <c r="F17" i="4"/>
  <c r="AO7" i="4"/>
  <c r="AL47" i="6"/>
  <c r="AL6" i="6" s="1"/>
  <c r="AL47" i="4"/>
  <c r="AL6" i="4" s="1"/>
  <c r="AL6" i="1"/>
  <c r="AM47" i="1"/>
  <c r="AD17" i="6" l="1"/>
  <c r="AH12" i="1"/>
  <c r="X22" i="6"/>
  <c r="X22" i="1" s="1"/>
  <c r="AE15" i="1"/>
  <c r="O30" i="1"/>
  <c r="AC17" i="1"/>
  <c r="M32" i="1"/>
  <c r="N33" i="6" s="1"/>
  <c r="Z19" i="1"/>
  <c r="AA19" i="1" s="1"/>
  <c r="AG13" i="1"/>
  <c r="Y20" i="1"/>
  <c r="Z20" i="6"/>
  <c r="Y21" i="1"/>
  <c r="AD16" i="1"/>
  <c r="W23" i="1"/>
  <c r="AB18" i="1"/>
  <c r="AF14" i="1"/>
  <c r="L34" i="1"/>
  <c r="R28" i="6"/>
  <c r="R28" i="1" s="1"/>
  <c r="AE16" i="6"/>
  <c r="Q29" i="1"/>
  <c r="S26" i="1"/>
  <c r="AF15" i="6"/>
  <c r="AH13" i="6"/>
  <c r="S27" i="6"/>
  <c r="S27" i="1" s="1"/>
  <c r="AG14" i="6"/>
  <c r="M33" i="6"/>
  <c r="M33" i="1" s="1"/>
  <c r="I41" i="6"/>
  <c r="I40" i="1"/>
  <c r="AK10" i="6"/>
  <c r="AK10" i="1" s="1"/>
  <c r="AJ11" i="6"/>
  <c r="AJ11" i="1" s="1"/>
  <c r="Y22" i="6"/>
  <c r="J36" i="6"/>
  <c r="J36" i="1" s="1"/>
  <c r="L35" i="6"/>
  <c r="K35" i="6"/>
  <c r="K35" i="1" s="1"/>
  <c r="AI12" i="6"/>
  <c r="AM8" i="6"/>
  <c r="AM8" i="1" s="1"/>
  <c r="T26" i="6"/>
  <c r="AL9" i="6"/>
  <c r="AL9" i="1" s="1"/>
  <c r="U25" i="6"/>
  <c r="V24" i="6"/>
  <c r="V24" i="1" s="1"/>
  <c r="O31" i="6"/>
  <c r="O31" i="1" s="1"/>
  <c r="P30" i="6"/>
  <c r="AB19" i="6"/>
  <c r="W24" i="6"/>
  <c r="AC18" i="6"/>
  <c r="F15" i="6"/>
  <c r="D14" i="1"/>
  <c r="E14" i="1" s="1"/>
  <c r="D15" i="6"/>
  <c r="D15" i="4"/>
  <c r="F15" i="4" s="1"/>
  <c r="F15" i="1"/>
  <c r="AP7" i="4"/>
  <c r="AM47" i="6"/>
  <c r="AM6" i="6" s="1"/>
  <c r="AM47" i="4"/>
  <c r="AM6" i="4" s="1"/>
  <c r="AM6" i="1"/>
  <c r="AN47" i="1"/>
  <c r="AD17" i="1" l="1"/>
  <c r="AI12" i="1"/>
  <c r="AF15" i="1"/>
  <c r="X23" i="6"/>
  <c r="X23" i="1" s="1"/>
  <c r="P30" i="1"/>
  <c r="N32" i="1"/>
  <c r="AG14" i="1"/>
  <c r="Z20" i="1"/>
  <c r="AH13" i="1"/>
  <c r="AE16" i="1"/>
  <c r="M34" i="6"/>
  <c r="M34" i="1" s="1"/>
  <c r="AB19" i="1"/>
  <c r="T27" i="6"/>
  <c r="T27" i="1" s="1"/>
  <c r="AG15" i="6"/>
  <c r="Y22" i="1"/>
  <c r="AE17" i="6"/>
  <c r="AC18" i="1"/>
  <c r="W24" i="1"/>
  <c r="N34" i="6"/>
  <c r="L35" i="1"/>
  <c r="N33" i="1"/>
  <c r="T26" i="1"/>
  <c r="AH14" i="6"/>
  <c r="AF16" i="6"/>
  <c r="AK11" i="6"/>
  <c r="AK11" i="1" s="1"/>
  <c r="U26" i="6"/>
  <c r="U25" i="1"/>
  <c r="S28" i="6"/>
  <c r="S28" i="1" s="1"/>
  <c r="I42" i="6"/>
  <c r="I41" i="1"/>
  <c r="AJ12" i="6"/>
  <c r="Y23" i="6"/>
  <c r="K36" i="6"/>
  <c r="K36" i="1" s="1"/>
  <c r="W25" i="6"/>
  <c r="AB20" i="6"/>
  <c r="AI13" i="6"/>
  <c r="AN8" i="6"/>
  <c r="AN8" i="1" s="1"/>
  <c r="AM9" i="6"/>
  <c r="AM9" i="1" s="1"/>
  <c r="AL10" i="6"/>
  <c r="AL10" i="1" s="1"/>
  <c r="Q30" i="6"/>
  <c r="Z21" i="6"/>
  <c r="Z21" i="1" s="1"/>
  <c r="AA20" i="6"/>
  <c r="V25" i="6"/>
  <c r="R29" i="6"/>
  <c r="P31" i="6"/>
  <c r="P31" i="1" s="1"/>
  <c r="O32" i="6"/>
  <c r="J37" i="6"/>
  <c r="X24" i="6"/>
  <c r="AC19" i="6"/>
  <c r="AD18" i="6"/>
  <c r="F14" i="6"/>
  <c r="D13" i="1"/>
  <c r="F13" i="1" s="1"/>
  <c r="D14" i="6"/>
  <c r="D14" i="4"/>
  <c r="F14" i="4" s="1"/>
  <c r="F14" i="1"/>
  <c r="AQ7" i="4"/>
  <c r="AN47" i="6"/>
  <c r="AN6" i="6" s="1"/>
  <c r="AN47" i="4"/>
  <c r="AN6" i="4" s="1"/>
  <c r="AN6" i="1"/>
  <c r="AO47" i="1"/>
  <c r="AE17" i="1" l="1"/>
  <c r="AJ12" i="1"/>
  <c r="AG15" i="1"/>
  <c r="Q30" i="1"/>
  <c r="AI13" i="1"/>
  <c r="O32" i="1"/>
  <c r="AH14" i="1"/>
  <c r="U26" i="1"/>
  <c r="N34" i="1"/>
  <c r="AH15" i="6"/>
  <c r="AG16" i="6"/>
  <c r="AF16" i="1"/>
  <c r="M35" i="6"/>
  <c r="M35" i="1" s="1"/>
  <c r="AD18" i="1"/>
  <c r="T28" i="6"/>
  <c r="T29" i="6" s="1"/>
  <c r="AC19" i="1"/>
  <c r="Y23" i="1"/>
  <c r="N35" i="6"/>
  <c r="S29" i="6"/>
  <c r="X24" i="1"/>
  <c r="AA21" i="6"/>
  <c r="AA21" i="1" s="1"/>
  <c r="AA20" i="1"/>
  <c r="AB20" i="1" s="1"/>
  <c r="AK12" i="6"/>
  <c r="U27" i="6"/>
  <c r="U27" i="1" s="1"/>
  <c r="V25" i="1"/>
  <c r="W25" i="1" s="1"/>
  <c r="R30" i="6"/>
  <c r="R29" i="1"/>
  <c r="AI14" i="6"/>
  <c r="X25" i="6"/>
  <c r="AJ13" i="6"/>
  <c r="J38" i="6"/>
  <c r="J38" i="1" s="1"/>
  <c r="J37" i="1"/>
  <c r="I43" i="6"/>
  <c r="I42" i="1"/>
  <c r="Z22" i="6"/>
  <c r="AM10" i="6"/>
  <c r="AM10" i="1" s="1"/>
  <c r="K37" i="6"/>
  <c r="V26" i="6"/>
  <c r="L36" i="6"/>
  <c r="Q31" i="6"/>
  <c r="Q32" i="6" s="1"/>
  <c r="AO8" i="6"/>
  <c r="AO8" i="1" s="1"/>
  <c r="AL11" i="6"/>
  <c r="AL11" i="1" s="1"/>
  <c r="AN9" i="6"/>
  <c r="AN9" i="1" s="1"/>
  <c r="AF17" i="6"/>
  <c r="O33" i="6"/>
  <c r="O33" i="1" s="1"/>
  <c r="P32" i="6"/>
  <c r="AE18" i="6"/>
  <c r="AD19" i="6"/>
  <c r="D12" i="1"/>
  <c r="D13" i="4"/>
  <c r="D13" i="6"/>
  <c r="E13" i="1"/>
  <c r="E12" i="1" s="1"/>
  <c r="AR7" i="4"/>
  <c r="AO47" i="6"/>
  <c r="AO6" i="6" s="1"/>
  <c r="AO47" i="4"/>
  <c r="AO6" i="4" s="1"/>
  <c r="AO6" i="1"/>
  <c r="AP47" i="1"/>
  <c r="P32" i="1" l="1"/>
  <c r="Q33" i="6" s="1"/>
  <c r="AF17" i="1"/>
  <c r="AK12" i="1"/>
  <c r="AH15" i="1"/>
  <c r="AJ13" i="1"/>
  <c r="R30" i="1"/>
  <c r="AI15" i="6"/>
  <c r="V26" i="1"/>
  <c r="AG16" i="1"/>
  <c r="AG17" i="6"/>
  <c r="M36" i="6"/>
  <c r="AE18" i="1"/>
  <c r="AH16" i="6"/>
  <c r="AB21" i="6"/>
  <c r="AB22" i="6" s="1"/>
  <c r="T28" i="1"/>
  <c r="AD19" i="1"/>
  <c r="X25" i="1"/>
  <c r="N36" i="6"/>
  <c r="N35" i="1"/>
  <c r="S29" i="1"/>
  <c r="T29" i="1" s="1"/>
  <c r="AA22" i="6"/>
  <c r="W26" i="6"/>
  <c r="Q31" i="1"/>
  <c r="Z23" i="6"/>
  <c r="Z23" i="1" s="1"/>
  <c r="Z22" i="1"/>
  <c r="K37" i="1"/>
  <c r="AI14" i="1"/>
  <c r="U28" i="6"/>
  <c r="S30" i="6"/>
  <c r="AM11" i="6"/>
  <c r="AM11" i="1" s="1"/>
  <c r="R31" i="6"/>
  <c r="L37" i="6"/>
  <c r="L36" i="1"/>
  <c r="AK13" i="6"/>
  <c r="I44" i="6"/>
  <c r="I43" i="1"/>
  <c r="K38" i="6"/>
  <c r="K39" i="6" s="1"/>
  <c r="V27" i="6"/>
  <c r="V27" i="1" s="1"/>
  <c r="AN10" i="6"/>
  <c r="AN10" i="1" s="1"/>
  <c r="AD20" i="6"/>
  <c r="O34" i="6"/>
  <c r="O34" i="1" s="1"/>
  <c r="X26" i="6"/>
  <c r="AP8" i="6"/>
  <c r="AP8" i="1" s="1"/>
  <c r="J39" i="6"/>
  <c r="J39" i="1" s="1"/>
  <c r="AO9" i="6"/>
  <c r="AO9" i="1" s="1"/>
  <c r="AL12" i="6"/>
  <c r="AC20" i="6"/>
  <c r="AC20" i="1" s="1"/>
  <c r="AJ14" i="6"/>
  <c r="Y24" i="6"/>
  <c r="Y24" i="1" s="1"/>
  <c r="P33" i="6"/>
  <c r="P33" i="1" s="1"/>
  <c r="AE19" i="6"/>
  <c r="AF18" i="6"/>
  <c r="F13" i="6"/>
  <c r="F13" i="4"/>
  <c r="E11" i="1"/>
  <c r="D11" i="1"/>
  <c r="D12" i="6"/>
  <c r="D12" i="4"/>
  <c r="F11" i="1"/>
  <c r="F12" i="1"/>
  <c r="AS7" i="4"/>
  <c r="AP47" i="6"/>
  <c r="AP6" i="6" s="1"/>
  <c r="AP47" i="4"/>
  <c r="AP6" i="4" s="1"/>
  <c r="AP6" i="1"/>
  <c r="AQ47" i="1"/>
  <c r="Q32" i="1" l="1"/>
  <c r="AG17" i="1"/>
  <c r="AL12" i="1"/>
  <c r="AH16" i="1"/>
  <c r="S31" i="6"/>
  <c r="AI15" i="1"/>
  <c r="AK13" i="1"/>
  <c r="AI16" i="6"/>
  <c r="W26" i="1"/>
  <c r="X26" i="1" s="1"/>
  <c r="W27" i="6"/>
  <c r="W27" i="1" s="1"/>
  <c r="M36" i="1"/>
  <c r="N37" i="6" s="1"/>
  <c r="AB21" i="1"/>
  <c r="AF18" i="1"/>
  <c r="AH17" i="6"/>
  <c r="AH17" i="1" s="1"/>
  <c r="U28" i="1"/>
  <c r="AE19" i="1"/>
  <c r="Q33" i="1"/>
  <c r="Z24" i="6"/>
  <c r="Z25" i="6" s="1"/>
  <c r="AA22" i="1"/>
  <c r="AB22" i="1" s="1"/>
  <c r="R32" i="6"/>
  <c r="K39" i="1"/>
  <c r="L38" i="6"/>
  <c r="U29" i="6"/>
  <c r="U29" i="1" s="1"/>
  <c r="R31" i="1"/>
  <c r="S30" i="1"/>
  <c r="K38" i="1"/>
  <c r="L37" i="1"/>
  <c r="AD20" i="1"/>
  <c r="AJ15" i="6"/>
  <c r="AJ14" i="1"/>
  <c r="AL13" i="6"/>
  <c r="AA23" i="6"/>
  <c r="AA23" i="1" s="1"/>
  <c r="Y25" i="6"/>
  <c r="Y25" i="1" s="1"/>
  <c r="V28" i="6"/>
  <c r="AK14" i="6"/>
  <c r="T30" i="6"/>
  <c r="M37" i="6"/>
  <c r="I45" i="6"/>
  <c r="I45" i="1" s="1"/>
  <c r="I92" i="1" s="1"/>
  <c r="I44" i="1"/>
  <c r="AN11" i="6"/>
  <c r="AN11" i="1" s="1"/>
  <c r="O35" i="6"/>
  <c r="O35" i="1" s="1"/>
  <c r="Q34" i="6"/>
  <c r="K40" i="6"/>
  <c r="AC21" i="6"/>
  <c r="AO10" i="6"/>
  <c r="AO10" i="1" s="1"/>
  <c r="AP9" i="6"/>
  <c r="AP9" i="1" s="1"/>
  <c r="J40" i="6"/>
  <c r="AQ8" i="6"/>
  <c r="AQ8" i="1" s="1"/>
  <c r="AM12" i="6"/>
  <c r="P34" i="6"/>
  <c r="P34" i="1" s="1"/>
  <c r="AD21" i="6"/>
  <c r="AG18" i="6"/>
  <c r="AF19" i="6"/>
  <c r="AE20" i="6"/>
  <c r="F12" i="4"/>
  <c r="D10" i="1"/>
  <c r="D11" i="6"/>
  <c r="D11" i="4"/>
  <c r="F12" i="6"/>
  <c r="AT7" i="4"/>
  <c r="AQ47" i="6"/>
  <c r="AQ6" i="6" s="1"/>
  <c r="AQ47" i="4"/>
  <c r="AQ6" i="4" s="1"/>
  <c r="AQ6" i="1"/>
  <c r="AR47" i="1"/>
  <c r="AL14" i="6" l="1"/>
  <c r="R32" i="1"/>
  <c r="AI17" i="6"/>
  <c r="AI17" i="1" s="1"/>
  <c r="AI16" i="1"/>
  <c r="AM12" i="1"/>
  <c r="I91" i="1"/>
  <c r="I90" i="1" s="1"/>
  <c r="I89" i="1" s="1"/>
  <c r="I88" i="1" s="1"/>
  <c r="I87" i="1" s="1"/>
  <c r="I86" i="1" s="1"/>
  <c r="I85" i="1" s="1"/>
  <c r="I84" i="1" s="1"/>
  <c r="I83" i="1" s="1"/>
  <c r="I82" i="1" s="1"/>
  <c r="I81" i="1" s="1"/>
  <c r="I80" i="1" s="1"/>
  <c r="I79" i="1" s="1"/>
  <c r="I78" i="1" s="1"/>
  <c r="I77" i="1" s="1"/>
  <c r="I76" i="1" s="1"/>
  <c r="I75" i="1" s="1"/>
  <c r="I74" i="1" s="1"/>
  <c r="I73" i="1" s="1"/>
  <c r="I72" i="1" s="1"/>
  <c r="I71" i="1" s="1"/>
  <c r="I70" i="1" s="1"/>
  <c r="I69" i="1" s="1"/>
  <c r="I68" i="1" s="1"/>
  <c r="I67" i="1" s="1"/>
  <c r="I66" i="1" s="1"/>
  <c r="I65" i="1" s="1"/>
  <c r="I64" i="1" s="1"/>
  <c r="I63" i="1" s="1"/>
  <c r="I62" i="1" s="1"/>
  <c r="I61" i="1" s="1"/>
  <c r="I60" i="1" s="1"/>
  <c r="I59" i="1" s="1"/>
  <c r="I58" i="1" s="1"/>
  <c r="I57" i="1" s="1"/>
  <c r="I56" i="1" s="1"/>
  <c r="I55" i="1" s="1"/>
  <c r="I54" i="1" s="1"/>
  <c r="S31" i="1"/>
  <c r="AJ15" i="1"/>
  <c r="X27" i="6"/>
  <c r="X27" i="1" s="1"/>
  <c r="N36" i="1"/>
  <c r="W28" i="6"/>
  <c r="V28" i="1"/>
  <c r="AG18" i="1"/>
  <c r="AC21" i="1"/>
  <c r="AD22" i="6" s="1"/>
  <c r="AF19" i="1"/>
  <c r="AB23" i="6"/>
  <c r="AB23" i="1" s="1"/>
  <c r="Z24" i="1"/>
  <c r="S32" i="6"/>
  <c r="S32" i="1" s="1"/>
  <c r="M37" i="1"/>
  <c r="N37" i="1" s="1"/>
  <c r="L39" i="6"/>
  <c r="L39" i="1" s="1"/>
  <c r="AJ16" i="6"/>
  <c r="T30" i="1"/>
  <c r="R33" i="6"/>
  <c r="R33" i="1" s="1"/>
  <c r="AA24" i="6"/>
  <c r="U30" i="6"/>
  <c r="AE20" i="1"/>
  <c r="Y26" i="6"/>
  <c r="Y26" i="1" s="1"/>
  <c r="T31" i="6"/>
  <c r="L38" i="1"/>
  <c r="Q34" i="1"/>
  <c r="Z25" i="1"/>
  <c r="V29" i="6"/>
  <c r="V29" i="1" s="1"/>
  <c r="AL13" i="1"/>
  <c r="AK14" i="1"/>
  <c r="AN12" i="6"/>
  <c r="AK15" i="6"/>
  <c r="AM13" i="6"/>
  <c r="J41" i="6"/>
  <c r="J41" i="1" s="1"/>
  <c r="J40" i="1"/>
  <c r="O36" i="6"/>
  <c r="AP10" i="6"/>
  <c r="AP10" i="1" s="1"/>
  <c r="M38" i="6"/>
  <c r="AO11" i="6"/>
  <c r="AO11" i="1" s="1"/>
  <c r="AC22" i="6"/>
  <c r="AC23" i="6" s="1"/>
  <c r="AR8" i="6"/>
  <c r="AR8" i="1" s="1"/>
  <c r="AQ9" i="6"/>
  <c r="AQ9" i="1" s="1"/>
  <c r="Z26" i="6"/>
  <c r="P35" i="6"/>
  <c r="P35" i="1" s="1"/>
  <c r="AG19" i="6"/>
  <c r="AF20" i="6"/>
  <c r="AH18" i="6"/>
  <c r="AE21" i="6"/>
  <c r="F11" i="4"/>
  <c r="D9" i="1"/>
  <c r="D10" i="4"/>
  <c r="F10" i="4" s="1"/>
  <c r="D10" i="6"/>
  <c r="F10" i="6" s="1"/>
  <c r="F9" i="1"/>
  <c r="F11" i="6"/>
  <c r="E10" i="1"/>
  <c r="E9" i="1" s="1"/>
  <c r="F10" i="1"/>
  <c r="AU7" i="4"/>
  <c r="AR47" i="6"/>
  <c r="AR6" i="6" s="1"/>
  <c r="AR47" i="4"/>
  <c r="AR6" i="4" s="1"/>
  <c r="AR6" i="1"/>
  <c r="AS47" i="1"/>
  <c r="AL14" i="1" l="1"/>
  <c r="AJ16" i="1"/>
  <c r="AN12" i="1"/>
  <c r="T31" i="1"/>
  <c r="AK15" i="1"/>
  <c r="X28" i="6"/>
  <c r="W28" i="1"/>
  <c r="W29" i="6"/>
  <c r="W29" i="1" s="1"/>
  <c r="O36" i="1"/>
  <c r="AG19" i="1"/>
  <c r="AH18" i="1"/>
  <c r="AD21" i="1"/>
  <c r="AE21" i="1" s="1"/>
  <c r="AB24" i="6"/>
  <c r="AA24" i="1"/>
  <c r="Y27" i="6"/>
  <c r="Y27" i="1" s="1"/>
  <c r="U30" i="1"/>
  <c r="S33" i="6"/>
  <c r="S33" i="1" s="1"/>
  <c r="AJ17" i="6"/>
  <c r="AJ17" i="1" s="1"/>
  <c r="R34" i="6"/>
  <c r="R34" i="1" s="1"/>
  <c r="N38" i="6"/>
  <c r="T32" i="6"/>
  <c r="T32" i="1" s="1"/>
  <c r="M38" i="1"/>
  <c r="AA25" i="6"/>
  <c r="AA26" i="6" s="1"/>
  <c r="AF20" i="1"/>
  <c r="J42" i="6"/>
  <c r="J42" i="1" s="1"/>
  <c r="Z26" i="1"/>
  <c r="U31" i="6"/>
  <c r="K41" i="6"/>
  <c r="K42" i="6" s="1"/>
  <c r="K40" i="1"/>
  <c r="AC22" i="1"/>
  <c r="AD22" i="1" s="1"/>
  <c r="V30" i="6"/>
  <c r="AL15" i="6"/>
  <c r="AC23" i="1"/>
  <c r="AM14" i="6"/>
  <c r="AM14" i="1" s="1"/>
  <c r="AM13" i="1"/>
  <c r="AK16" i="6"/>
  <c r="AN13" i="6"/>
  <c r="O37" i="6"/>
  <c r="O37" i="1" s="1"/>
  <c r="AP11" i="6"/>
  <c r="AP11" i="1" s="1"/>
  <c r="AO12" i="6"/>
  <c r="L40" i="6"/>
  <c r="M39" i="6"/>
  <c r="M39" i="1" s="1"/>
  <c r="AQ10" i="6"/>
  <c r="AQ10" i="1" s="1"/>
  <c r="Z27" i="6"/>
  <c r="AR9" i="6"/>
  <c r="AR9" i="1" s="1"/>
  <c r="Q35" i="6"/>
  <c r="Q35" i="1" s="1"/>
  <c r="AS8" i="6"/>
  <c r="AS8" i="1" s="1"/>
  <c r="AC24" i="6"/>
  <c r="P36" i="6"/>
  <c r="AF21" i="6"/>
  <c r="AH19" i="6"/>
  <c r="AI18" i="6"/>
  <c r="D8" i="1"/>
  <c r="E8" i="1" s="1"/>
  <c r="D9" i="4"/>
  <c r="F9" i="4" s="1"/>
  <c r="D9" i="6"/>
  <c r="AV7" i="4"/>
  <c r="AS47" i="6"/>
  <c r="AS6" i="6" s="1"/>
  <c r="AS47" i="4"/>
  <c r="AS6" i="4" s="1"/>
  <c r="AS6" i="1"/>
  <c r="AT47" i="1"/>
  <c r="AK16" i="1" l="1"/>
  <c r="AO12" i="1"/>
  <c r="U31" i="1"/>
  <c r="AL15" i="1"/>
  <c r="X29" i="6"/>
  <c r="X29" i="1" s="1"/>
  <c r="AE22" i="6"/>
  <c r="AE22" i="1" s="1"/>
  <c r="X28" i="1"/>
  <c r="P36" i="1"/>
  <c r="W30" i="6"/>
  <c r="AI18" i="1"/>
  <c r="AH19" i="1"/>
  <c r="AB24" i="1"/>
  <c r="AC25" i="6" s="1"/>
  <c r="AF21" i="1"/>
  <c r="R35" i="6"/>
  <c r="R35" i="1" s="1"/>
  <c r="Y28" i="6"/>
  <c r="AB25" i="6"/>
  <c r="N38" i="1"/>
  <c r="S34" i="6"/>
  <c r="S34" i="1" s="1"/>
  <c r="V30" i="1"/>
  <c r="U32" i="6"/>
  <c r="U32" i="1" s="1"/>
  <c r="T33" i="6"/>
  <c r="T33" i="1" s="1"/>
  <c r="AA25" i="1"/>
  <c r="O38" i="6"/>
  <c r="Z27" i="1"/>
  <c r="N39" i="6"/>
  <c r="N39" i="1" s="1"/>
  <c r="AD23" i="6"/>
  <c r="AD24" i="6" s="1"/>
  <c r="AA26" i="1"/>
  <c r="J43" i="6"/>
  <c r="J43" i="1" s="1"/>
  <c r="AL16" i="6"/>
  <c r="AM15" i="6"/>
  <c r="L40" i="1"/>
  <c r="K42" i="1"/>
  <c r="K43" i="6"/>
  <c r="K41" i="1"/>
  <c r="AK17" i="6"/>
  <c r="AK17" i="1" s="1"/>
  <c r="V31" i="6"/>
  <c r="AN13" i="1"/>
  <c r="AN14" i="6"/>
  <c r="AN15" i="6" s="1"/>
  <c r="AP12" i="6"/>
  <c r="AA27" i="6"/>
  <c r="L41" i="6"/>
  <c r="AO13" i="6"/>
  <c r="AQ11" i="6"/>
  <c r="AQ11" i="1" s="1"/>
  <c r="M40" i="6"/>
  <c r="Z28" i="6"/>
  <c r="AT8" i="6"/>
  <c r="AT8" i="1" s="1"/>
  <c r="AR10" i="6"/>
  <c r="AR10" i="1" s="1"/>
  <c r="AS9" i="6"/>
  <c r="AS9" i="1" s="1"/>
  <c r="AH20" i="6"/>
  <c r="Q36" i="6"/>
  <c r="AG20" i="6"/>
  <c r="AG20" i="1" s="1"/>
  <c r="P37" i="6"/>
  <c r="P37" i="1" s="1"/>
  <c r="AF22" i="6"/>
  <c r="AJ18" i="6"/>
  <c r="AI19" i="6"/>
  <c r="D7" i="1"/>
  <c r="D8" i="4"/>
  <c r="D8" i="6"/>
  <c r="F7" i="1"/>
  <c r="F8" i="1"/>
  <c r="F9" i="6"/>
  <c r="F8" i="6"/>
  <c r="AW7" i="4"/>
  <c r="AT47" i="6"/>
  <c r="AT6" i="6" s="1"/>
  <c r="AT47" i="4"/>
  <c r="AT6" i="4" s="1"/>
  <c r="AT6" i="1"/>
  <c r="AU47" i="1"/>
  <c r="AL16" i="1" l="1"/>
  <c r="AP12" i="1"/>
  <c r="V31" i="1"/>
  <c r="Q36" i="1"/>
  <c r="AM16" i="6"/>
  <c r="X30" i="6"/>
  <c r="Y29" i="6"/>
  <c r="Y30" i="6" s="1"/>
  <c r="W30" i="1"/>
  <c r="AI19" i="1"/>
  <c r="AJ18" i="1"/>
  <c r="AC24" i="1"/>
  <c r="AD24" i="1" s="1"/>
  <c r="Y28" i="1"/>
  <c r="Z29" i="6" s="1"/>
  <c r="R36" i="6"/>
  <c r="AL17" i="6"/>
  <c r="AL17" i="1" s="1"/>
  <c r="O38" i="1"/>
  <c r="AB25" i="1"/>
  <c r="AC26" i="6" s="1"/>
  <c r="S35" i="6"/>
  <c r="S35" i="1" s="1"/>
  <c r="W31" i="6"/>
  <c r="U33" i="6"/>
  <c r="U33" i="1" s="1"/>
  <c r="T34" i="6"/>
  <c r="T34" i="1" s="1"/>
  <c r="AD23" i="1"/>
  <c r="N40" i="6"/>
  <c r="O39" i="6"/>
  <c r="O39" i="1" s="1"/>
  <c r="J44" i="6"/>
  <c r="J44" i="1" s="1"/>
  <c r="M40" i="1"/>
  <c r="AA27" i="1"/>
  <c r="K43" i="1"/>
  <c r="AM15" i="1"/>
  <c r="AN15" i="1" s="1"/>
  <c r="L41" i="1"/>
  <c r="V32" i="6"/>
  <c r="V32" i="1" s="1"/>
  <c r="AH20" i="1"/>
  <c r="AO13" i="1"/>
  <c r="L42" i="6"/>
  <c r="L42" i="1" s="1"/>
  <c r="AF22" i="1"/>
  <c r="AN14" i="1"/>
  <c r="AP13" i="6"/>
  <c r="AA28" i="6"/>
  <c r="AO14" i="6"/>
  <c r="AB26" i="6"/>
  <c r="AB26" i="1" s="1"/>
  <c r="M41" i="6"/>
  <c r="AS10" i="6"/>
  <c r="AS10" i="1" s="1"/>
  <c r="AF23" i="6"/>
  <c r="Q37" i="6"/>
  <c r="Q37" i="1" s="1"/>
  <c r="AU8" i="6"/>
  <c r="AU8" i="1" s="1"/>
  <c r="AT9" i="6"/>
  <c r="AT9" i="1" s="1"/>
  <c r="K44" i="6"/>
  <c r="P38" i="6"/>
  <c r="AR11" i="6"/>
  <c r="AR11" i="1" s="1"/>
  <c r="AQ12" i="6"/>
  <c r="AG21" i="6"/>
  <c r="AG21" i="1" s="1"/>
  <c r="AE23" i="6"/>
  <c r="AJ19" i="6"/>
  <c r="AK18" i="6"/>
  <c r="AI20" i="6"/>
  <c r="F8" i="4"/>
  <c r="D7" i="6"/>
  <c r="F7" i="6" s="1"/>
  <c r="D7" i="4"/>
  <c r="F7" i="4" s="1"/>
  <c r="E7" i="1"/>
  <c r="AX7" i="4"/>
  <c r="AU47" i="6"/>
  <c r="AU6" i="6" s="1"/>
  <c r="AU47" i="4"/>
  <c r="AU6" i="4" s="1"/>
  <c r="AU6" i="1"/>
  <c r="AV47" i="1"/>
  <c r="AM16" i="1" l="1"/>
  <c r="AQ12" i="1"/>
  <c r="Y29" i="1"/>
  <c r="Z29" i="1" s="1"/>
  <c r="W32" i="6"/>
  <c r="W33" i="6" s="1"/>
  <c r="R36" i="1"/>
  <c r="AM17" i="6"/>
  <c r="AM17" i="1" s="1"/>
  <c r="X31" i="6"/>
  <c r="X30" i="1"/>
  <c r="Y30" i="1" s="1"/>
  <c r="AC25" i="1"/>
  <c r="Z28" i="1"/>
  <c r="AA28" i="1" s="1"/>
  <c r="AJ19" i="1"/>
  <c r="P38" i="1"/>
  <c r="AD25" i="6"/>
  <c r="AK18" i="1"/>
  <c r="W31" i="1"/>
  <c r="U34" i="6"/>
  <c r="U34" i="1" s="1"/>
  <c r="T35" i="6"/>
  <c r="T35" i="1" s="1"/>
  <c r="N40" i="1"/>
  <c r="J45" i="6"/>
  <c r="J45" i="1" s="1"/>
  <c r="J92" i="1" s="1"/>
  <c r="J91" i="1" s="1"/>
  <c r="J90" i="1" s="1"/>
  <c r="J89" i="1" s="1"/>
  <c r="J88" i="1" s="1"/>
  <c r="J87" i="1" s="1"/>
  <c r="J86" i="1" s="1"/>
  <c r="J85" i="1" s="1"/>
  <c r="J84" i="1" s="1"/>
  <c r="J83" i="1" s="1"/>
  <c r="J82" i="1" s="1"/>
  <c r="J81" i="1" s="1"/>
  <c r="J80" i="1" s="1"/>
  <c r="J79" i="1" s="1"/>
  <c r="J78" i="1" s="1"/>
  <c r="J77" i="1" s="1"/>
  <c r="J76" i="1" s="1"/>
  <c r="J75" i="1" s="1"/>
  <c r="J74" i="1" s="1"/>
  <c r="J73" i="1" s="1"/>
  <c r="J72" i="1" s="1"/>
  <c r="J71" i="1" s="1"/>
  <c r="J70" i="1" s="1"/>
  <c r="J69" i="1" s="1"/>
  <c r="J68" i="1" s="1"/>
  <c r="J67" i="1" s="1"/>
  <c r="J66" i="1" s="1"/>
  <c r="J65" i="1" s="1"/>
  <c r="J64" i="1" s="1"/>
  <c r="J63" i="1" s="1"/>
  <c r="J62" i="1" s="1"/>
  <c r="J61" i="1" s="1"/>
  <c r="J60" i="1" s="1"/>
  <c r="J59" i="1" s="1"/>
  <c r="J58" i="1" s="1"/>
  <c r="J57" i="1" s="1"/>
  <c r="J56" i="1" s="1"/>
  <c r="J55" i="1" s="1"/>
  <c r="J54" i="1" s="1"/>
  <c r="K44" i="1"/>
  <c r="K91" i="1" s="1"/>
  <c r="K90" i="1" s="1"/>
  <c r="K89" i="1" s="1"/>
  <c r="K88" i="1" s="1"/>
  <c r="K87" i="1" s="1"/>
  <c r="K86" i="1" s="1"/>
  <c r="K85" i="1" s="1"/>
  <c r="K84" i="1" s="1"/>
  <c r="K83" i="1" s="1"/>
  <c r="K82" i="1" s="1"/>
  <c r="K81" i="1" s="1"/>
  <c r="K80" i="1" s="1"/>
  <c r="K79" i="1" s="1"/>
  <c r="K78" i="1" s="1"/>
  <c r="K77" i="1" s="1"/>
  <c r="K76" i="1" s="1"/>
  <c r="K75" i="1" s="1"/>
  <c r="K74" i="1" s="1"/>
  <c r="K73" i="1" s="1"/>
  <c r="K72" i="1" s="1"/>
  <c r="K71" i="1" s="1"/>
  <c r="K70" i="1" s="1"/>
  <c r="K69" i="1" s="1"/>
  <c r="K68" i="1" s="1"/>
  <c r="K67" i="1" s="1"/>
  <c r="K66" i="1" s="1"/>
  <c r="K65" i="1" s="1"/>
  <c r="K64" i="1" s="1"/>
  <c r="K63" i="1" s="1"/>
  <c r="K62" i="1" s="1"/>
  <c r="K61" i="1" s="1"/>
  <c r="K60" i="1" s="1"/>
  <c r="K59" i="1" s="1"/>
  <c r="K58" i="1" s="1"/>
  <c r="K57" i="1" s="1"/>
  <c r="K56" i="1" s="1"/>
  <c r="K55" i="1" s="1"/>
  <c r="K54" i="1" s="1"/>
  <c r="N41" i="6"/>
  <c r="AN16" i="6"/>
  <c r="L43" i="6"/>
  <c r="L43" i="1" s="1"/>
  <c r="V33" i="6"/>
  <c r="V33" i="1" s="1"/>
  <c r="AP13" i="1"/>
  <c r="AO14" i="1"/>
  <c r="M41" i="1"/>
  <c r="W32" i="1"/>
  <c r="AC26" i="1"/>
  <c r="AI20" i="1"/>
  <c r="AE24" i="6"/>
  <c r="AE24" i="1" s="1"/>
  <c r="AE23" i="1"/>
  <c r="AF23" i="1" s="1"/>
  <c r="AP14" i="6"/>
  <c r="AB27" i="6"/>
  <c r="AS11" i="6"/>
  <c r="AS11" i="1" s="1"/>
  <c r="AO15" i="6"/>
  <c r="AO15" i="1" s="1"/>
  <c r="S36" i="6"/>
  <c r="AR12" i="6"/>
  <c r="AR12" i="1" s="1"/>
  <c r="AC27" i="6"/>
  <c r="M42" i="6"/>
  <c r="M42" i="1" s="1"/>
  <c r="P39" i="6"/>
  <c r="AT10" i="6"/>
  <c r="AT10" i="1" s="1"/>
  <c r="Q38" i="6"/>
  <c r="AV8" i="6"/>
  <c r="AV8" i="1" s="1"/>
  <c r="AU9" i="6"/>
  <c r="AU9" i="1" s="1"/>
  <c r="AQ13" i="6"/>
  <c r="AI21" i="6"/>
  <c r="AH21" i="6"/>
  <c r="AH21" i="1" s="1"/>
  <c r="AG22" i="6"/>
  <c r="AG22" i="1" s="1"/>
  <c r="R37" i="6"/>
  <c r="R37" i="1" s="1"/>
  <c r="O40" i="6"/>
  <c r="AJ20" i="6"/>
  <c r="AK19" i="6"/>
  <c r="AL18" i="6"/>
  <c r="AY7" i="4"/>
  <c r="AV47" i="6"/>
  <c r="AV6" i="6" s="1"/>
  <c r="AV47" i="4"/>
  <c r="AV6" i="4" s="1"/>
  <c r="AV6" i="1"/>
  <c r="AW47" i="1"/>
  <c r="AN16" i="1" l="1"/>
  <c r="X32" i="6"/>
  <c r="X33" i="6" s="1"/>
  <c r="Z30" i="6"/>
  <c r="Z31" i="6" s="1"/>
  <c r="L44" i="6"/>
  <c r="L44" i="1" s="1"/>
  <c r="L91" i="1" s="1"/>
  <c r="L90" i="1" s="1"/>
  <c r="L89" i="1" s="1"/>
  <c r="L88" i="1" s="1"/>
  <c r="L87" i="1" s="1"/>
  <c r="L86" i="1" s="1"/>
  <c r="L85" i="1" s="1"/>
  <c r="L84" i="1" s="1"/>
  <c r="L83" i="1" s="1"/>
  <c r="L82" i="1" s="1"/>
  <c r="L81" i="1" s="1"/>
  <c r="L80" i="1" s="1"/>
  <c r="L79" i="1" s="1"/>
  <c r="L78" i="1" s="1"/>
  <c r="L77" i="1" s="1"/>
  <c r="L76" i="1" s="1"/>
  <c r="L75" i="1" s="1"/>
  <c r="L74" i="1" s="1"/>
  <c r="L73" i="1" s="1"/>
  <c r="L72" i="1" s="1"/>
  <c r="L71" i="1" s="1"/>
  <c r="L70" i="1" s="1"/>
  <c r="L69" i="1" s="1"/>
  <c r="L68" i="1" s="1"/>
  <c r="L67" i="1" s="1"/>
  <c r="L66" i="1" s="1"/>
  <c r="L65" i="1" s="1"/>
  <c r="L64" i="1" s="1"/>
  <c r="L63" i="1" s="1"/>
  <c r="L62" i="1" s="1"/>
  <c r="L61" i="1" s="1"/>
  <c r="L60" i="1" s="1"/>
  <c r="L59" i="1" s="1"/>
  <c r="L58" i="1" s="1"/>
  <c r="L57" i="1" s="1"/>
  <c r="L56" i="1" s="1"/>
  <c r="L55" i="1" s="1"/>
  <c r="L54" i="1" s="1"/>
  <c r="U35" i="6"/>
  <c r="U36" i="6" s="1"/>
  <c r="AA29" i="6"/>
  <c r="AA29" i="1" s="1"/>
  <c r="Y31" i="6"/>
  <c r="AD25" i="1"/>
  <c r="AN17" i="6"/>
  <c r="AN17" i="1" s="1"/>
  <c r="N41" i="1"/>
  <c r="V34" i="6"/>
  <c r="V35" i="6" s="1"/>
  <c r="X31" i="1"/>
  <c r="AL18" i="1"/>
  <c r="AK19" i="1"/>
  <c r="T36" i="6"/>
  <c r="AD26" i="6"/>
  <c r="AD26" i="1" s="1"/>
  <c r="Q38" i="1"/>
  <c r="O40" i="1"/>
  <c r="W33" i="1"/>
  <c r="AJ20" i="1"/>
  <c r="AQ13" i="1"/>
  <c r="N42" i="6"/>
  <c r="N42" i="1" s="1"/>
  <c r="AP14" i="1"/>
  <c r="AI21" i="1"/>
  <c r="AE25" i="6"/>
  <c r="AO16" i="6"/>
  <c r="AB28" i="6"/>
  <c r="AB28" i="1" s="1"/>
  <c r="AB27" i="1"/>
  <c r="AC27" i="1" s="1"/>
  <c r="AP15" i="6"/>
  <c r="AP15" i="1" s="1"/>
  <c r="AR13" i="6"/>
  <c r="S37" i="6"/>
  <c r="S37" i="1" s="1"/>
  <c r="S36" i="1"/>
  <c r="AS12" i="6"/>
  <c r="AS12" i="1" s="1"/>
  <c r="P40" i="6"/>
  <c r="P39" i="1"/>
  <c r="AT11" i="6"/>
  <c r="AT11" i="1" s="1"/>
  <c r="M43" i="6"/>
  <c r="M43" i="1" s="1"/>
  <c r="AI22" i="6"/>
  <c r="AF24" i="6"/>
  <c r="AF25" i="6" s="1"/>
  <c r="AW8" i="6"/>
  <c r="AW8" i="1" s="1"/>
  <c r="AU10" i="6"/>
  <c r="AU10" i="1" s="1"/>
  <c r="AV9" i="6"/>
  <c r="AV9" i="1" s="1"/>
  <c r="AQ14" i="6"/>
  <c r="W34" i="6"/>
  <c r="Q39" i="6"/>
  <c r="AG23" i="6"/>
  <c r="AG23" i="1" s="1"/>
  <c r="AH22" i="6"/>
  <c r="AH22" i="1" s="1"/>
  <c r="R38" i="6"/>
  <c r="O41" i="6"/>
  <c r="AK20" i="6"/>
  <c r="AJ21" i="6"/>
  <c r="AL19" i="6"/>
  <c r="AM18" i="6"/>
  <c r="AZ7" i="4"/>
  <c r="AW47" i="6"/>
  <c r="AW6" i="6" s="1"/>
  <c r="AW47" i="4"/>
  <c r="AW6" i="4" s="1"/>
  <c r="AW6" i="1"/>
  <c r="AX47" i="1"/>
  <c r="AO16" i="1" l="1"/>
  <c r="X32" i="1"/>
  <c r="Z30" i="1"/>
  <c r="V34" i="1"/>
  <c r="W35" i="6" s="1"/>
  <c r="AA30" i="6"/>
  <c r="U35" i="1"/>
  <c r="V35" i="1" s="1"/>
  <c r="Y32" i="6"/>
  <c r="AE25" i="1"/>
  <c r="AF25" i="1" s="1"/>
  <c r="AL19" i="1"/>
  <c r="AD27" i="6"/>
  <c r="AD28" i="6" s="1"/>
  <c r="P40" i="1"/>
  <c r="O41" i="1"/>
  <c r="T36" i="1"/>
  <c r="U37" i="6" s="1"/>
  <c r="Y31" i="1"/>
  <c r="Z31" i="1" s="1"/>
  <c r="AM18" i="1"/>
  <c r="R38" i="1"/>
  <c r="X33" i="1"/>
  <c r="AQ14" i="1"/>
  <c r="AC28" i="6"/>
  <c r="AC28" i="1" s="1"/>
  <c r="AK20" i="1"/>
  <c r="AR13" i="1"/>
  <c r="AE26" i="6"/>
  <c r="AE26" i="1" s="1"/>
  <c r="AP16" i="6"/>
  <c r="AJ21" i="1"/>
  <c r="AO17" i="6"/>
  <c r="AO17" i="1" s="1"/>
  <c r="N43" i="6"/>
  <c r="N43" i="1" s="1"/>
  <c r="N90" i="1" s="1"/>
  <c r="N89" i="1" s="1"/>
  <c r="N88" i="1" s="1"/>
  <c r="N87" i="1" s="1"/>
  <c r="N86" i="1" s="1"/>
  <c r="N85" i="1" s="1"/>
  <c r="N84" i="1" s="1"/>
  <c r="N83" i="1" s="1"/>
  <c r="N82" i="1" s="1"/>
  <c r="N81" i="1" s="1"/>
  <c r="N80" i="1" s="1"/>
  <c r="N79" i="1" s="1"/>
  <c r="N78" i="1" s="1"/>
  <c r="N77" i="1" s="1"/>
  <c r="N76" i="1" s="1"/>
  <c r="N75" i="1" s="1"/>
  <c r="N74" i="1" s="1"/>
  <c r="N73" i="1" s="1"/>
  <c r="N72" i="1" s="1"/>
  <c r="N71" i="1" s="1"/>
  <c r="N70" i="1" s="1"/>
  <c r="N69" i="1" s="1"/>
  <c r="N68" i="1" s="1"/>
  <c r="N67" i="1" s="1"/>
  <c r="N66" i="1" s="1"/>
  <c r="N65" i="1" s="1"/>
  <c r="N64" i="1" s="1"/>
  <c r="N63" i="1" s="1"/>
  <c r="N62" i="1" s="1"/>
  <c r="N61" i="1" s="1"/>
  <c r="N60" i="1" s="1"/>
  <c r="N59" i="1" s="1"/>
  <c r="N58" i="1" s="1"/>
  <c r="N57" i="1" s="1"/>
  <c r="N56" i="1" s="1"/>
  <c r="N55" i="1" s="1"/>
  <c r="N54" i="1" s="1"/>
  <c r="Q40" i="6"/>
  <c r="T37" i="6"/>
  <c r="T37" i="1" s="1"/>
  <c r="AI22" i="1"/>
  <c r="AF24" i="1"/>
  <c r="Q39" i="1"/>
  <c r="AS13" i="6"/>
  <c r="AV10" i="6"/>
  <c r="AV10" i="1" s="1"/>
  <c r="AB29" i="6"/>
  <c r="AB29" i="1" s="1"/>
  <c r="AR14" i="6"/>
  <c r="AT12" i="6"/>
  <c r="AT12" i="1" s="1"/>
  <c r="AJ22" i="6"/>
  <c r="AG24" i="6"/>
  <c r="M44" i="6"/>
  <c r="M44" i="1" s="1"/>
  <c r="M91" i="1" s="1"/>
  <c r="M90" i="1" s="1"/>
  <c r="M89" i="1" s="1"/>
  <c r="M88" i="1" s="1"/>
  <c r="M87" i="1" s="1"/>
  <c r="M86" i="1" s="1"/>
  <c r="M85" i="1" s="1"/>
  <c r="M84" i="1" s="1"/>
  <c r="M83" i="1" s="1"/>
  <c r="M82" i="1" s="1"/>
  <c r="M81" i="1" s="1"/>
  <c r="M80" i="1" s="1"/>
  <c r="M79" i="1" s="1"/>
  <c r="M78" i="1" s="1"/>
  <c r="M77" i="1" s="1"/>
  <c r="M76" i="1" s="1"/>
  <c r="M75" i="1" s="1"/>
  <c r="M74" i="1" s="1"/>
  <c r="M73" i="1" s="1"/>
  <c r="M72" i="1" s="1"/>
  <c r="M71" i="1" s="1"/>
  <c r="M70" i="1" s="1"/>
  <c r="M69" i="1" s="1"/>
  <c r="M68" i="1" s="1"/>
  <c r="M67" i="1" s="1"/>
  <c r="M66" i="1" s="1"/>
  <c r="M65" i="1" s="1"/>
  <c r="M64" i="1" s="1"/>
  <c r="M63" i="1" s="1"/>
  <c r="M62" i="1" s="1"/>
  <c r="M61" i="1" s="1"/>
  <c r="M60" i="1" s="1"/>
  <c r="M59" i="1" s="1"/>
  <c r="M58" i="1" s="1"/>
  <c r="M57" i="1" s="1"/>
  <c r="M56" i="1" s="1"/>
  <c r="M55" i="1" s="1"/>
  <c r="M54" i="1" s="1"/>
  <c r="AQ15" i="6"/>
  <c r="AQ15" i="1" s="1"/>
  <c r="AI23" i="6"/>
  <c r="AX8" i="6"/>
  <c r="AX8" i="1" s="1"/>
  <c r="AW9" i="6"/>
  <c r="AW9" i="1" s="1"/>
  <c r="AU11" i="6"/>
  <c r="AU11" i="1" s="1"/>
  <c r="AK21" i="6"/>
  <c r="AH23" i="6"/>
  <c r="AH23" i="1" s="1"/>
  <c r="X34" i="6"/>
  <c r="AL20" i="6"/>
  <c r="S38" i="6"/>
  <c r="R39" i="6"/>
  <c r="P41" i="6"/>
  <c r="O42" i="6"/>
  <c r="O42" i="1" s="1"/>
  <c r="AN18" i="6"/>
  <c r="AM19" i="6"/>
  <c r="BA7" i="4"/>
  <c r="AX47" i="6"/>
  <c r="AX6" i="6" s="1"/>
  <c r="AX47" i="4"/>
  <c r="AX6" i="4" s="1"/>
  <c r="AX6" i="1"/>
  <c r="AY47" i="1"/>
  <c r="AP16" i="1" l="1"/>
  <c r="Y32" i="1"/>
  <c r="AA31" i="6"/>
  <c r="AA32" i="6" s="1"/>
  <c r="Y33" i="6"/>
  <c r="Y33" i="1" s="1"/>
  <c r="AA30" i="1"/>
  <c r="AM19" i="1"/>
  <c r="W34" i="1"/>
  <c r="X35" i="6" s="1"/>
  <c r="V36" i="6"/>
  <c r="AF26" i="6"/>
  <c r="AF26" i="1" s="1"/>
  <c r="Q41" i="6"/>
  <c r="Z32" i="6"/>
  <c r="U36" i="1"/>
  <c r="AD27" i="1"/>
  <c r="P41" i="1"/>
  <c r="AN18" i="1"/>
  <c r="S38" i="1"/>
  <c r="AE27" i="6"/>
  <c r="AP17" i="6"/>
  <c r="AP17" i="1" s="1"/>
  <c r="AL20" i="1"/>
  <c r="Q40" i="1"/>
  <c r="AR14" i="1"/>
  <c r="AC29" i="6"/>
  <c r="AC30" i="6" s="1"/>
  <c r="AD28" i="1"/>
  <c r="W35" i="1"/>
  <c r="AG24" i="1"/>
  <c r="AS13" i="1"/>
  <c r="AR15" i="6"/>
  <c r="AR16" i="6" s="1"/>
  <c r="R39" i="1"/>
  <c r="AI23" i="1"/>
  <c r="AK21" i="1"/>
  <c r="T38" i="6"/>
  <c r="AT13" i="6"/>
  <c r="AJ22" i="1"/>
  <c r="U37" i="1"/>
  <c r="AS14" i="6"/>
  <c r="AB30" i="6"/>
  <c r="AV11" i="6"/>
  <c r="AV11" i="1" s="1"/>
  <c r="AD29" i="6"/>
  <c r="AQ16" i="6"/>
  <c r="R40" i="6"/>
  <c r="U38" i="6"/>
  <c r="AJ23" i="6"/>
  <c r="AG25" i="6"/>
  <c r="AG25" i="1" s="1"/>
  <c r="AL21" i="6"/>
  <c r="AW10" i="6"/>
  <c r="AW10" i="1" s="1"/>
  <c r="O43" i="6"/>
  <c r="O43" i="1" s="1"/>
  <c r="O90" i="1" s="1"/>
  <c r="O89" i="1" s="1"/>
  <c r="O88" i="1" s="1"/>
  <c r="O87" i="1" s="1"/>
  <c r="O86" i="1" s="1"/>
  <c r="O85" i="1" s="1"/>
  <c r="O84" i="1" s="1"/>
  <c r="O83" i="1" s="1"/>
  <c r="O82" i="1" s="1"/>
  <c r="O81" i="1" s="1"/>
  <c r="O80" i="1" s="1"/>
  <c r="O79" i="1" s="1"/>
  <c r="O78" i="1" s="1"/>
  <c r="O77" i="1" s="1"/>
  <c r="O76" i="1" s="1"/>
  <c r="O75" i="1" s="1"/>
  <c r="O74" i="1" s="1"/>
  <c r="O73" i="1" s="1"/>
  <c r="O72" i="1" s="1"/>
  <c r="O71" i="1" s="1"/>
  <c r="O70" i="1" s="1"/>
  <c r="O69" i="1" s="1"/>
  <c r="O68" i="1" s="1"/>
  <c r="O67" i="1" s="1"/>
  <c r="O66" i="1" s="1"/>
  <c r="O65" i="1" s="1"/>
  <c r="O64" i="1" s="1"/>
  <c r="O63" i="1" s="1"/>
  <c r="O62" i="1" s="1"/>
  <c r="O61" i="1" s="1"/>
  <c r="O60" i="1" s="1"/>
  <c r="O59" i="1" s="1"/>
  <c r="O58" i="1" s="1"/>
  <c r="O57" i="1" s="1"/>
  <c r="O56" i="1" s="1"/>
  <c r="O55" i="1" s="1"/>
  <c r="O54" i="1" s="1"/>
  <c r="AX9" i="6"/>
  <c r="AX9" i="1" s="1"/>
  <c r="W36" i="6"/>
  <c r="AH24" i="6"/>
  <c r="AU12" i="6"/>
  <c r="AU12" i="1" s="1"/>
  <c r="AY8" i="6"/>
  <c r="AY8" i="1" s="1"/>
  <c r="S39" i="6"/>
  <c r="AK22" i="6"/>
  <c r="P42" i="6"/>
  <c r="P42" i="1" s="1"/>
  <c r="AN19" i="6"/>
  <c r="AM20" i="6"/>
  <c r="BB7" i="4"/>
  <c r="AY47" i="6"/>
  <c r="AY6" i="6" s="1"/>
  <c r="AY47" i="4"/>
  <c r="AY6" i="4" s="1"/>
  <c r="AY6" i="1"/>
  <c r="AZ47" i="1"/>
  <c r="AQ16" i="1" l="1"/>
  <c r="AR17" i="6" s="1"/>
  <c r="Z33" i="6"/>
  <c r="Z34" i="6" s="1"/>
  <c r="AA31" i="1"/>
  <c r="X34" i="1"/>
  <c r="Y34" i="6"/>
  <c r="V36" i="1"/>
  <c r="W36" i="1" s="1"/>
  <c r="Q41" i="1"/>
  <c r="AE27" i="1"/>
  <c r="AN19" i="1"/>
  <c r="AB30" i="1"/>
  <c r="AC30" i="1" s="1"/>
  <c r="AF27" i="6"/>
  <c r="T39" i="6"/>
  <c r="Z32" i="1"/>
  <c r="AA33" i="6" s="1"/>
  <c r="V37" i="6"/>
  <c r="V38" i="6" s="1"/>
  <c r="Q42" i="6"/>
  <c r="Q42" i="1" s="1"/>
  <c r="Q89" i="1" s="1"/>
  <c r="AE28" i="6"/>
  <c r="AE28" i="1" s="1"/>
  <c r="R40" i="1"/>
  <c r="AM20" i="1"/>
  <c r="AH24" i="1"/>
  <c r="AC29" i="1"/>
  <c r="AD29" i="1" s="1"/>
  <c r="AS14" i="1"/>
  <c r="X35" i="1"/>
  <c r="AR15" i="1"/>
  <c r="AT14" i="6"/>
  <c r="S39" i="1"/>
  <c r="AL21" i="1"/>
  <c r="T38" i="1"/>
  <c r="U38" i="1" s="1"/>
  <c r="AT13" i="1"/>
  <c r="AJ23" i="1"/>
  <c r="AS15" i="6"/>
  <c r="AK22" i="1"/>
  <c r="AV12" i="6"/>
  <c r="AV12" i="1" s="1"/>
  <c r="AB31" i="6"/>
  <c r="AQ17" i="6"/>
  <c r="AQ17" i="1" s="1"/>
  <c r="R41" i="6"/>
  <c r="AG26" i="6"/>
  <c r="AW11" i="6"/>
  <c r="AW11" i="1" s="1"/>
  <c r="AM21" i="6"/>
  <c r="AH25" i="6"/>
  <c r="AH25" i="1" s="1"/>
  <c r="AP18" i="6"/>
  <c r="AO18" i="6"/>
  <c r="AO18" i="1" s="1"/>
  <c r="AZ8" i="6"/>
  <c r="AZ8" i="1" s="1"/>
  <c r="AX10" i="6"/>
  <c r="AX10" i="1" s="1"/>
  <c r="S40" i="6"/>
  <c r="AY9" i="6"/>
  <c r="AY9" i="1" s="1"/>
  <c r="AJ24" i="6"/>
  <c r="AI24" i="6"/>
  <c r="AU13" i="6"/>
  <c r="X36" i="6"/>
  <c r="P43" i="6"/>
  <c r="P43" i="1" s="1"/>
  <c r="P90" i="1" s="1"/>
  <c r="P89" i="1" s="1"/>
  <c r="P88" i="1" s="1"/>
  <c r="P87" i="1" s="1"/>
  <c r="P86" i="1" s="1"/>
  <c r="P85" i="1" s="1"/>
  <c r="P84" i="1" s="1"/>
  <c r="P83" i="1" s="1"/>
  <c r="P82" i="1" s="1"/>
  <c r="P81" i="1" s="1"/>
  <c r="P80" i="1" s="1"/>
  <c r="P79" i="1" s="1"/>
  <c r="P78" i="1" s="1"/>
  <c r="P77" i="1" s="1"/>
  <c r="P76" i="1" s="1"/>
  <c r="P75" i="1" s="1"/>
  <c r="P74" i="1" s="1"/>
  <c r="P73" i="1" s="1"/>
  <c r="P72" i="1" s="1"/>
  <c r="P71" i="1" s="1"/>
  <c r="P70" i="1" s="1"/>
  <c r="P69" i="1" s="1"/>
  <c r="P68" i="1" s="1"/>
  <c r="P67" i="1" s="1"/>
  <c r="P66" i="1" s="1"/>
  <c r="P65" i="1" s="1"/>
  <c r="P64" i="1" s="1"/>
  <c r="P63" i="1" s="1"/>
  <c r="P62" i="1" s="1"/>
  <c r="P61" i="1" s="1"/>
  <c r="P60" i="1" s="1"/>
  <c r="P59" i="1" s="1"/>
  <c r="P58" i="1" s="1"/>
  <c r="P57" i="1" s="1"/>
  <c r="P56" i="1" s="1"/>
  <c r="P55" i="1" s="1"/>
  <c r="P54" i="1" s="1"/>
  <c r="AN20" i="6"/>
  <c r="BC7" i="4"/>
  <c r="AZ47" i="6"/>
  <c r="AZ6" i="6" s="1"/>
  <c r="AZ47" i="4"/>
  <c r="AZ6" i="4" s="1"/>
  <c r="BA47" i="1"/>
  <c r="AZ6" i="1"/>
  <c r="AR16" i="1" l="1"/>
  <c r="Z33" i="1"/>
  <c r="AA33" i="1" s="1"/>
  <c r="AB31" i="1"/>
  <c r="Y34" i="1"/>
  <c r="Z35" i="6" s="1"/>
  <c r="Y35" i="6"/>
  <c r="Y35" i="1" s="1"/>
  <c r="W37" i="6"/>
  <c r="Q88" i="1"/>
  <c r="Q87" i="1" s="1"/>
  <c r="Q86" i="1" s="1"/>
  <c r="Q85" i="1" s="1"/>
  <c r="Q84" i="1" s="1"/>
  <c r="Q83" i="1" s="1"/>
  <c r="Q82" i="1" s="1"/>
  <c r="Q81" i="1" s="1"/>
  <c r="Q80" i="1" s="1"/>
  <c r="Q79" i="1" s="1"/>
  <c r="Q78" i="1" s="1"/>
  <c r="Q77" i="1" s="1"/>
  <c r="Q76" i="1" s="1"/>
  <c r="Q75" i="1" s="1"/>
  <c r="Q74" i="1" s="1"/>
  <c r="Q73" i="1" s="1"/>
  <c r="Q72" i="1" s="1"/>
  <c r="Q71" i="1" s="1"/>
  <c r="Q70" i="1" s="1"/>
  <c r="Q69" i="1" s="1"/>
  <c r="Q68" i="1" s="1"/>
  <c r="Q67" i="1" s="1"/>
  <c r="Q66" i="1" s="1"/>
  <c r="Q65" i="1" s="1"/>
  <c r="Q64" i="1" s="1"/>
  <c r="Q63" i="1" s="1"/>
  <c r="Q62" i="1" s="1"/>
  <c r="Q61" i="1" s="1"/>
  <c r="Q60" i="1" s="1"/>
  <c r="Q59" i="1" s="1"/>
  <c r="Q58" i="1" s="1"/>
  <c r="Q57" i="1" s="1"/>
  <c r="Q56" i="1" s="1"/>
  <c r="Q55" i="1" s="1"/>
  <c r="Q54" i="1" s="1"/>
  <c r="R41" i="1"/>
  <c r="AF27" i="1"/>
  <c r="AC31" i="6"/>
  <c r="AF28" i="6"/>
  <c r="AF28" i="1" s="1"/>
  <c r="AA32" i="1"/>
  <c r="V37" i="1"/>
  <c r="T39" i="1"/>
  <c r="AE29" i="6"/>
  <c r="AE30" i="6" s="1"/>
  <c r="AT14" i="1"/>
  <c r="S41" i="6"/>
  <c r="AN20" i="1"/>
  <c r="AD30" i="6"/>
  <c r="AD30" i="1" s="1"/>
  <c r="AI24" i="1"/>
  <c r="AJ24" i="1" s="1"/>
  <c r="AT15" i="6"/>
  <c r="AU13" i="1"/>
  <c r="U39" i="6"/>
  <c r="AV13" i="6"/>
  <c r="X36" i="1"/>
  <c r="AS15" i="1"/>
  <c r="AB32" i="6"/>
  <c r="AM21" i="1"/>
  <c r="AS16" i="6"/>
  <c r="AS16" i="1" s="1"/>
  <c r="V39" i="6"/>
  <c r="V38" i="1"/>
  <c r="AP18" i="1"/>
  <c r="AR17" i="1"/>
  <c r="AG27" i="6"/>
  <c r="AG26" i="1"/>
  <c r="S40" i="1"/>
  <c r="AW12" i="6"/>
  <c r="AW12" i="1" s="1"/>
  <c r="R42" i="6"/>
  <c r="R42" i="1" s="1"/>
  <c r="R89" i="1" s="1"/>
  <c r="AI25" i="6"/>
  <c r="AI25" i="1" s="1"/>
  <c r="AK23" i="6"/>
  <c r="AK23" i="1" s="1"/>
  <c r="AY10" i="6"/>
  <c r="AY10" i="1" s="1"/>
  <c r="AH26" i="6"/>
  <c r="AQ18" i="6"/>
  <c r="AZ9" i="6"/>
  <c r="AZ9" i="1" s="1"/>
  <c r="T40" i="6"/>
  <c r="AX11" i="6"/>
  <c r="AX11" i="1" s="1"/>
  <c r="AO19" i="6"/>
  <c r="AO19" i="1" s="1"/>
  <c r="AU14" i="6"/>
  <c r="AM22" i="6"/>
  <c r="AL22" i="6"/>
  <c r="BA8" i="6"/>
  <c r="BA8" i="1" s="1"/>
  <c r="AN21" i="6"/>
  <c r="X37" i="6"/>
  <c r="AP19" i="6"/>
  <c r="BD7" i="4"/>
  <c r="BA47" i="6"/>
  <c r="BA6" i="6" s="1"/>
  <c r="BA47" i="4"/>
  <c r="BA6" i="4" s="1"/>
  <c r="BB47" i="1"/>
  <c r="BA6" i="1"/>
  <c r="AA34" i="6" l="1"/>
  <c r="Z34" i="1"/>
  <c r="AC32" i="6"/>
  <c r="Y36" i="6"/>
  <c r="Y37" i="6" s="1"/>
  <c r="W37" i="1"/>
  <c r="X37" i="1" s="1"/>
  <c r="R88" i="1"/>
  <c r="R87" i="1" s="1"/>
  <c r="R86" i="1" s="1"/>
  <c r="R85" i="1" s="1"/>
  <c r="R84" i="1" s="1"/>
  <c r="R83" i="1" s="1"/>
  <c r="R82" i="1" s="1"/>
  <c r="R81" i="1" s="1"/>
  <c r="R80" i="1" s="1"/>
  <c r="R79" i="1" s="1"/>
  <c r="R78" i="1" s="1"/>
  <c r="R77" i="1" s="1"/>
  <c r="R76" i="1" s="1"/>
  <c r="R75" i="1" s="1"/>
  <c r="R74" i="1" s="1"/>
  <c r="R73" i="1" s="1"/>
  <c r="R72" i="1" s="1"/>
  <c r="R71" i="1" s="1"/>
  <c r="R70" i="1" s="1"/>
  <c r="R69" i="1" s="1"/>
  <c r="R68" i="1" s="1"/>
  <c r="R67" i="1" s="1"/>
  <c r="R66" i="1" s="1"/>
  <c r="R65" i="1" s="1"/>
  <c r="R64" i="1" s="1"/>
  <c r="R63" i="1" s="1"/>
  <c r="R62" i="1" s="1"/>
  <c r="R61" i="1" s="1"/>
  <c r="R60" i="1" s="1"/>
  <c r="R59" i="1" s="1"/>
  <c r="R58" i="1" s="1"/>
  <c r="R57" i="1" s="1"/>
  <c r="R56" i="1" s="1"/>
  <c r="R55" i="1" s="1"/>
  <c r="R54" i="1" s="1"/>
  <c r="AF29" i="6"/>
  <c r="S41" i="1"/>
  <c r="AC31" i="1"/>
  <c r="AG27" i="1"/>
  <c r="AD31" i="6"/>
  <c r="AB32" i="1"/>
  <c r="W38" i="6"/>
  <c r="W39" i="6" s="1"/>
  <c r="AE29" i="1"/>
  <c r="U40" i="6"/>
  <c r="S42" i="6"/>
  <c r="S42" i="1" s="1"/>
  <c r="S89" i="1" s="1"/>
  <c r="Z35" i="1"/>
  <c r="AU14" i="1"/>
  <c r="AJ25" i="6"/>
  <c r="AJ25" i="1" s="1"/>
  <c r="AV14" i="6"/>
  <c r="AT15" i="1"/>
  <c r="Z36" i="6"/>
  <c r="AV13" i="1"/>
  <c r="AB33" i="6"/>
  <c r="AB33" i="1" s="1"/>
  <c r="U39" i="1"/>
  <c r="V40" i="6" s="1"/>
  <c r="AP19" i="1"/>
  <c r="AS17" i="6"/>
  <c r="AS17" i="1" s="1"/>
  <c r="AT16" i="6"/>
  <c r="AT17" i="6" s="1"/>
  <c r="AW13" i="6"/>
  <c r="AN21" i="1"/>
  <c r="AE30" i="1"/>
  <c r="AQ18" i="1"/>
  <c r="AG28" i="6"/>
  <c r="AG28" i="1" s="1"/>
  <c r="AL23" i="6"/>
  <c r="AL23" i="1" s="1"/>
  <c r="AL22" i="1"/>
  <c r="AM23" i="6" s="1"/>
  <c r="AH27" i="6"/>
  <c r="T40" i="1"/>
  <c r="AH26" i="1"/>
  <c r="AI26" i="6"/>
  <c r="T41" i="6"/>
  <c r="AR18" i="6"/>
  <c r="AK24" i="6"/>
  <c r="AK24" i="1" s="1"/>
  <c r="AE31" i="6"/>
  <c r="AY11" i="6"/>
  <c r="AY11" i="1" s="1"/>
  <c r="AQ19" i="6"/>
  <c r="AZ10" i="6"/>
  <c r="AZ10" i="1" s="1"/>
  <c r="AP20" i="6"/>
  <c r="BA9" i="6"/>
  <c r="BA9" i="1" s="1"/>
  <c r="AX12" i="6"/>
  <c r="AX12" i="1" s="1"/>
  <c r="AU15" i="6"/>
  <c r="BB8" i="6"/>
  <c r="BB8" i="1" s="1"/>
  <c r="AO20" i="6"/>
  <c r="AO20" i="1" s="1"/>
  <c r="X38" i="6"/>
  <c r="BE7" i="4"/>
  <c r="BB47" i="6"/>
  <c r="BB6" i="6" s="1"/>
  <c r="BB47" i="4"/>
  <c r="BB6" i="4" s="1"/>
  <c r="BC47" i="1"/>
  <c r="BB6" i="1"/>
  <c r="AA34" i="1" l="1"/>
  <c r="S88" i="1"/>
  <c r="S87" i="1" s="1"/>
  <c r="S86" i="1" s="1"/>
  <c r="S85" i="1" s="1"/>
  <c r="S84" i="1" s="1"/>
  <c r="S83" i="1" s="1"/>
  <c r="S82" i="1" s="1"/>
  <c r="S81" i="1" s="1"/>
  <c r="S80" i="1" s="1"/>
  <c r="S79" i="1" s="1"/>
  <c r="S78" i="1" s="1"/>
  <c r="S77" i="1" s="1"/>
  <c r="S76" i="1" s="1"/>
  <c r="S75" i="1" s="1"/>
  <c r="S74" i="1" s="1"/>
  <c r="S73" i="1" s="1"/>
  <c r="S72" i="1" s="1"/>
  <c r="S71" i="1" s="1"/>
  <c r="S70" i="1" s="1"/>
  <c r="S69" i="1" s="1"/>
  <c r="S68" i="1" s="1"/>
  <c r="S67" i="1" s="1"/>
  <c r="S66" i="1" s="1"/>
  <c r="S65" i="1" s="1"/>
  <c r="S64" i="1" s="1"/>
  <c r="S63" i="1" s="1"/>
  <c r="S62" i="1" s="1"/>
  <c r="S61" i="1" s="1"/>
  <c r="S60" i="1" s="1"/>
  <c r="S59" i="1" s="1"/>
  <c r="S58" i="1" s="1"/>
  <c r="S57" i="1" s="1"/>
  <c r="S56" i="1" s="1"/>
  <c r="S55" i="1" s="1"/>
  <c r="S54" i="1" s="1"/>
  <c r="AA35" i="6"/>
  <c r="AA35" i="1" s="1"/>
  <c r="T41" i="1"/>
  <c r="T88" i="1" s="1"/>
  <c r="T87" i="1" s="1"/>
  <c r="T86" i="1" s="1"/>
  <c r="T85" i="1" s="1"/>
  <c r="T84" i="1" s="1"/>
  <c r="T83" i="1" s="1"/>
  <c r="T82" i="1" s="1"/>
  <c r="T81" i="1" s="1"/>
  <c r="T80" i="1" s="1"/>
  <c r="T79" i="1" s="1"/>
  <c r="T78" i="1" s="1"/>
  <c r="T77" i="1" s="1"/>
  <c r="T76" i="1" s="1"/>
  <c r="T75" i="1" s="1"/>
  <c r="T74" i="1" s="1"/>
  <c r="T73" i="1" s="1"/>
  <c r="T72" i="1" s="1"/>
  <c r="T71" i="1" s="1"/>
  <c r="T70" i="1" s="1"/>
  <c r="T69" i="1" s="1"/>
  <c r="T68" i="1" s="1"/>
  <c r="T67" i="1" s="1"/>
  <c r="T66" i="1" s="1"/>
  <c r="T65" i="1" s="1"/>
  <c r="T64" i="1" s="1"/>
  <c r="T63" i="1" s="1"/>
  <c r="T62" i="1" s="1"/>
  <c r="T61" i="1" s="1"/>
  <c r="T60" i="1" s="1"/>
  <c r="T59" i="1" s="1"/>
  <c r="T58" i="1" s="1"/>
  <c r="T57" i="1" s="1"/>
  <c r="T56" i="1" s="1"/>
  <c r="T55" i="1" s="1"/>
  <c r="T54" i="1" s="1"/>
  <c r="Y36" i="1"/>
  <c r="Z37" i="6" s="1"/>
  <c r="AC32" i="1"/>
  <c r="AF29" i="1"/>
  <c r="AD31" i="1"/>
  <c r="AE32" i="6" s="1"/>
  <c r="AH28" i="6"/>
  <c r="AH29" i="6" s="1"/>
  <c r="AD32" i="6"/>
  <c r="AW13" i="1"/>
  <c r="W38" i="1"/>
  <c r="X38" i="1" s="1"/>
  <c r="AC33" i="6"/>
  <c r="AC34" i="6" s="1"/>
  <c r="U40" i="1"/>
  <c r="V41" i="6" s="1"/>
  <c r="AF30" i="6"/>
  <c r="AF31" i="6" s="1"/>
  <c r="AJ26" i="6"/>
  <c r="AU15" i="1"/>
  <c r="AT16" i="1"/>
  <c r="AV14" i="1"/>
  <c r="AV15" i="6"/>
  <c r="AB34" i="6"/>
  <c r="AB34" i="1" s="1"/>
  <c r="V39" i="1"/>
  <c r="W39" i="1" s="1"/>
  <c r="AQ19" i="1"/>
  <c r="AT17" i="1"/>
  <c r="Y37" i="1"/>
  <c r="AG29" i="6"/>
  <c r="AW14" i="6"/>
  <c r="AR18" i="1"/>
  <c r="AP20" i="1"/>
  <c r="AL24" i="6"/>
  <c r="AL25" i="6" s="1"/>
  <c r="AH27" i="1"/>
  <c r="AM22" i="1"/>
  <c r="U41" i="6"/>
  <c r="AM23" i="1"/>
  <c r="AK25" i="6"/>
  <c r="AI26" i="1"/>
  <c r="AI27" i="6"/>
  <c r="AS18" i="6"/>
  <c r="AZ11" i="6"/>
  <c r="AZ11" i="1" s="1"/>
  <c r="AY12" i="6"/>
  <c r="AY12" i="1" s="1"/>
  <c r="AM24" i="6"/>
  <c r="AQ20" i="6"/>
  <c r="AN22" i="6"/>
  <c r="AU16" i="6"/>
  <c r="AO21" i="6"/>
  <c r="AX13" i="6"/>
  <c r="BC8" i="6"/>
  <c r="BC8" i="1" s="1"/>
  <c r="BB9" i="6"/>
  <c r="BB9" i="1" s="1"/>
  <c r="BA10" i="6"/>
  <c r="BA10" i="1" s="1"/>
  <c r="Y38" i="6"/>
  <c r="BF7" i="4"/>
  <c r="BC47" i="6"/>
  <c r="BC6" i="6" s="1"/>
  <c r="BC47" i="4"/>
  <c r="BC6" i="4" s="1"/>
  <c r="BD47" i="1"/>
  <c r="BC6" i="1"/>
  <c r="AD33" i="6" l="1"/>
  <c r="Z36" i="1"/>
  <c r="U41" i="1"/>
  <c r="U88" i="1" s="1"/>
  <c r="U87" i="1" s="1"/>
  <c r="U86" i="1" s="1"/>
  <c r="U85" i="1" s="1"/>
  <c r="U84" i="1" s="1"/>
  <c r="U83" i="1" s="1"/>
  <c r="U82" i="1" s="1"/>
  <c r="U81" i="1" s="1"/>
  <c r="U80" i="1" s="1"/>
  <c r="U79" i="1" s="1"/>
  <c r="U78" i="1" s="1"/>
  <c r="U77" i="1" s="1"/>
  <c r="U76" i="1" s="1"/>
  <c r="U75" i="1" s="1"/>
  <c r="U74" i="1" s="1"/>
  <c r="U73" i="1" s="1"/>
  <c r="U72" i="1" s="1"/>
  <c r="U71" i="1" s="1"/>
  <c r="U70" i="1" s="1"/>
  <c r="U69" i="1" s="1"/>
  <c r="U68" i="1" s="1"/>
  <c r="U67" i="1" s="1"/>
  <c r="U66" i="1" s="1"/>
  <c r="U65" i="1" s="1"/>
  <c r="U64" i="1" s="1"/>
  <c r="U63" i="1" s="1"/>
  <c r="U62" i="1" s="1"/>
  <c r="U61" i="1" s="1"/>
  <c r="U60" i="1" s="1"/>
  <c r="U59" i="1" s="1"/>
  <c r="U58" i="1" s="1"/>
  <c r="U57" i="1" s="1"/>
  <c r="U56" i="1" s="1"/>
  <c r="U55" i="1" s="1"/>
  <c r="U54" i="1" s="1"/>
  <c r="AA36" i="6"/>
  <c r="AH28" i="1"/>
  <c r="AG29" i="1"/>
  <c r="AH29" i="1" s="1"/>
  <c r="AE31" i="1"/>
  <c r="AF32" i="6" s="1"/>
  <c r="AD32" i="1"/>
  <c r="AE32" i="1" s="1"/>
  <c r="AC33" i="1"/>
  <c r="X39" i="6"/>
  <c r="X39" i="1" s="1"/>
  <c r="AX13" i="1"/>
  <c r="AF30" i="1"/>
  <c r="AW14" i="1"/>
  <c r="V40" i="1"/>
  <c r="AV15" i="1"/>
  <c r="AC34" i="1"/>
  <c r="AJ26" i="1"/>
  <c r="AU16" i="1"/>
  <c r="Z37" i="1"/>
  <c r="AB35" i="6"/>
  <c r="AB35" i="1" s="1"/>
  <c r="Z38" i="6"/>
  <c r="AG30" i="6"/>
  <c r="AS18" i="1"/>
  <c r="AV16" i="6"/>
  <c r="W40" i="6"/>
  <c r="AI28" i="6"/>
  <c r="AQ20" i="1"/>
  <c r="Y38" i="1"/>
  <c r="AN22" i="1"/>
  <c r="AL24" i="1"/>
  <c r="AM25" i="6" s="1"/>
  <c r="AI27" i="1"/>
  <c r="AO22" i="6"/>
  <c r="AO21" i="1"/>
  <c r="AK25" i="1"/>
  <c r="AL25" i="1" s="1"/>
  <c r="AK26" i="6"/>
  <c r="AN23" i="6"/>
  <c r="AN23" i="1" s="1"/>
  <c r="AR19" i="6"/>
  <c r="AR19" i="1" s="1"/>
  <c r="AJ27" i="6"/>
  <c r="BB10" i="6"/>
  <c r="BB10" i="1" s="1"/>
  <c r="AS19" i="6"/>
  <c r="AT18" i="6"/>
  <c r="AZ12" i="6"/>
  <c r="AZ12" i="1" s="1"/>
  <c r="AY13" i="6"/>
  <c r="AQ21" i="6"/>
  <c r="BA11" i="6"/>
  <c r="BA11" i="1" s="1"/>
  <c r="BD8" i="6"/>
  <c r="BD8" i="1" s="1"/>
  <c r="BC9" i="6"/>
  <c r="BC9" i="1" s="1"/>
  <c r="AC35" i="6"/>
  <c r="AX14" i="6"/>
  <c r="AU17" i="6"/>
  <c r="AU17" i="1" s="1"/>
  <c r="AW15" i="6"/>
  <c r="AP21" i="6"/>
  <c r="Y39" i="6"/>
  <c r="BG7" i="4"/>
  <c r="BD47" i="6"/>
  <c r="BD6" i="6" s="1"/>
  <c r="BD47" i="4"/>
  <c r="BD6" i="4" s="1"/>
  <c r="BE47" i="1"/>
  <c r="BD6" i="1"/>
  <c r="AD33" i="1" l="1"/>
  <c r="AF31" i="1"/>
  <c r="AA36" i="1"/>
  <c r="AA37" i="6"/>
  <c r="AA37" i="1" s="1"/>
  <c r="V41" i="1"/>
  <c r="V88" i="1" s="1"/>
  <c r="V87" i="1" s="1"/>
  <c r="V86" i="1" s="1"/>
  <c r="V85" i="1" s="1"/>
  <c r="V84" i="1" s="1"/>
  <c r="V83" i="1" s="1"/>
  <c r="V82" i="1" s="1"/>
  <c r="V81" i="1" s="1"/>
  <c r="V80" i="1" s="1"/>
  <c r="V79" i="1" s="1"/>
  <c r="V78" i="1" s="1"/>
  <c r="V77" i="1" s="1"/>
  <c r="V76" i="1" s="1"/>
  <c r="V75" i="1" s="1"/>
  <c r="V74" i="1" s="1"/>
  <c r="V73" i="1" s="1"/>
  <c r="V72" i="1" s="1"/>
  <c r="V71" i="1" s="1"/>
  <c r="V70" i="1" s="1"/>
  <c r="V69" i="1" s="1"/>
  <c r="V68" i="1" s="1"/>
  <c r="V67" i="1" s="1"/>
  <c r="V66" i="1" s="1"/>
  <c r="V65" i="1" s="1"/>
  <c r="V64" i="1" s="1"/>
  <c r="V63" i="1" s="1"/>
  <c r="V62" i="1" s="1"/>
  <c r="V61" i="1" s="1"/>
  <c r="V60" i="1" s="1"/>
  <c r="V59" i="1" s="1"/>
  <c r="V58" i="1" s="1"/>
  <c r="V57" i="1" s="1"/>
  <c r="V56" i="1" s="1"/>
  <c r="V55" i="1" s="1"/>
  <c r="V54" i="1" s="1"/>
  <c r="AG30" i="1"/>
  <c r="AI28" i="1"/>
  <c r="AH30" i="6"/>
  <c r="AE33" i="6"/>
  <c r="AE34" i="6" s="1"/>
  <c r="AD34" i="6"/>
  <c r="AD35" i="6" s="1"/>
  <c r="X40" i="6"/>
  <c r="AB36" i="6"/>
  <c r="AY13" i="1"/>
  <c r="W40" i="1"/>
  <c r="W87" i="1" s="1"/>
  <c r="W86" i="1" s="1"/>
  <c r="W85" i="1" s="1"/>
  <c r="W84" i="1" s="1"/>
  <c r="W83" i="1" s="1"/>
  <c r="W82" i="1" s="1"/>
  <c r="W81" i="1" s="1"/>
  <c r="W80" i="1" s="1"/>
  <c r="W79" i="1" s="1"/>
  <c r="W78" i="1" s="1"/>
  <c r="W77" i="1" s="1"/>
  <c r="W76" i="1" s="1"/>
  <c r="W75" i="1" s="1"/>
  <c r="W74" i="1" s="1"/>
  <c r="W73" i="1" s="1"/>
  <c r="W72" i="1" s="1"/>
  <c r="W71" i="1" s="1"/>
  <c r="W70" i="1" s="1"/>
  <c r="W69" i="1" s="1"/>
  <c r="W68" i="1" s="1"/>
  <c r="W67" i="1" s="1"/>
  <c r="W66" i="1" s="1"/>
  <c r="W65" i="1" s="1"/>
  <c r="W64" i="1" s="1"/>
  <c r="W63" i="1" s="1"/>
  <c r="W62" i="1" s="1"/>
  <c r="W61" i="1" s="1"/>
  <c r="W60" i="1" s="1"/>
  <c r="W59" i="1" s="1"/>
  <c r="W58" i="1" s="1"/>
  <c r="W57" i="1" s="1"/>
  <c r="W56" i="1" s="1"/>
  <c r="W55" i="1" s="1"/>
  <c r="W54" i="1" s="1"/>
  <c r="AW15" i="1"/>
  <c r="AK27" i="6"/>
  <c r="AV16" i="1"/>
  <c r="AC35" i="1"/>
  <c r="AT18" i="1"/>
  <c r="AG31" i="6"/>
  <c r="Z38" i="1"/>
  <c r="Y39" i="1"/>
  <c r="AO22" i="1"/>
  <c r="AF32" i="1"/>
  <c r="AP21" i="1"/>
  <c r="AQ21" i="1" s="1"/>
  <c r="AI29" i="6"/>
  <c r="AI29" i="1" s="1"/>
  <c r="AM24" i="1"/>
  <c r="AM25" i="1"/>
  <c r="Z39" i="6"/>
  <c r="AL26" i="6"/>
  <c r="AR20" i="6"/>
  <c r="AR20" i="1" s="1"/>
  <c r="BB11" i="6"/>
  <c r="BB12" i="6" s="1"/>
  <c r="AO23" i="6"/>
  <c r="AO24" i="6" s="1"/>
  <c r="AJ27" i="1"/>
  <c r="AX15" i="6"/>
  <c r="AX14" i="1"/>
  <c r="AS19" i="1"/>
  <c r="AK26" i="1"/>
  <c r="AN24" i="6"/>
  <c r="AJ28" i="6"/>
  <c r="AP22" i="6"/>
  <c r="AU18" i="6"/>
  <c r="AY14" i="6"/>
  <c r="AT19" i="6"/>
  <c r="BC10" i="6"/>
  <c r="BC10" i="1" s="1"/>
  <c r="AS20" i="6"/>
  <c r="BA12" i="6"/>
  <c r="BA12" i="1" s="1"/>
  <c r="BE8" i="6"/>
  <c r="BE8" i="1" s="1"/>
  <c r="AC36" i="6"/>
  <c r="BD9" i="6"/>
  <c r="BD9" i="1" s="1"/>
  <c r="AF33" i="6"/>
  <c r="AZ13" i="6"/>
  <c r="AW16" i="6"/>
  <c r="AV17" i="6"/>
  <c r="AV17" i="1" s="1"/>
  <c r="AM26" i="6"/>
  <c r="Y40" i="6"/>
  <c r="BH7" i="4"/>
  <c r="BE47" i="6"/>
  <c r="BE6" i="6" s="1"/>
  <c r="BE47" i="4"/>
  <c r="BE6" i="4" s="1"/>
  <c r="BF47" i="1"/>
  <c r="BE6" i="1"/>
  <c r="AA38" i="6" l="1"/>
  <c r="AA38" i="1" s="1"/>
  <c r="AG32" i="6"/>
  <c r="AG33" i="6" s="1"/>
  <c r="AB36" i="1"/>
  <c r="AC36" i="1" s="1"/>
  <c r="AH31" i="6"/>
  <c r="AE33" i="1"/>
  <c r="AF34" i="6" s="1"/>
  <c r="AB37" i="6"/>
  <c r="AB37" i="1" s="1"/>
  <c r="AH30" i="1"/>
  <c r="AD34" i="1"/>
  <c r="AE34" i="1" s="1"/>
  <c r="AP22" i="1"/>
  <c r="X40" i="1"/>
  <c r="AZ13" i="1"/>
  <c r="AX15" i="1"/>
  <c r="AK28" i="6"/>
  <c r="AU18" i="1"/>
  <c r="AD35" i="1"/>
  <c r="AG31" i="1"/>
  <c r="AA39" i="6"/>
  <c r="Z39" i="1"/>
  <c r="Z86" i="1" s="1"/>
  <c r="Z85" i="1" s="1"/>
  <c r="Z84" i="1" s="1"/>
  <c r="Z83" i="1" s="1"/>
  <c r="Z82" i="1" s="1"/>
  <c r="Z81" i="1" s="1"/>
  <c r="Z80" i="1" s="1"/>
  <c r="Z79" i="1" s="1"/>
  <c r="Z78" i="1" s="1"/>
  <c r="Z77" i="1" s="1"/>
  <c r="Z76" i="1" s="1"/>
  <c r="Z75" i="1" s="1"/>
  <c r="Z74" i="1" s="1"/>
  <c r="Z73" i="1" s="1"/>
  <c r="Z72" i="1" s="1"/>
  <c r="Z71" i="1" s="1"/>
  <c r="Z70" i="1" s="1"/>
  <c r="Z69" i="1" s="1"/>
  <c r="Z68" i="1" s="1"/>
  <c r="Z67" i="1" s="1"/>
  <c r="Z66" i="1" s="1"/>
  <c r="Z65" i="1" s="1"/>
  <c r="Z64" i="1" s="1"/>
  <c r="Z63" i="1" s="1"/>
  <c r="Z62" i="1" s="1"/>
  <c r="Z61" i="1" s="1"/>
  <c r="Z60" i="1" s="1"/>
  <c r="Z59" i="1" s="1"/>
  <c r="Z58" i="1" s="1"/>
  <c r="Z57" i="1" s="1"/>
  <c r="Z56" i="1" s="1"/>
  <c r="Z55" i="1" s="1"/>
  <c r="Z54" i="1" s="1"/>
  <c r="AD36" i="6"/>
  <c r="AN24" i="1"/>
  <c r="AO25" i="6" s="1"/>
  <c r="AQ22" i="6"/>
  <c r="AS20" i="1"/>
  <c r="AL27" i="6"/>
  <c r="BB11" i="1"/>
  <c r="AL26" i="1"/>
  <c r="AM27" i="6" s="1"/>
  <c r="AR21" i="6"/>
  <c r="AR21" i="1" s="1"/>
  <c r="AI30" i="6"/>
  <c r="AX16" i="6"/>
  <c r="AT19" i="1"/>
  <c r="AO23" i="1"/>
  <c r="AY14" i="1"/>
  <c r="AK27" i="1"/>
  <c r="BB12" i="1"/>
  <c r="AW17" i="6"/>
  <c r="AW17" i="1" s="1"/>
  <c r="AW16" i="1"/>
  <c r="AJ28" i="1"/>
  <c r="AN25" i="6"/>
  <c r="AN25" i="1" s="1"/>
  <c r="AJ29" i="6"/>
  <c r="AJ29" i="1" s="1"/>
  <c r="AP23" i="6"/>
  <c r="AY15" i="6"/>
  <c r="AT20" i="6"/>
  <c r="AS21" i="6"/>
  <c r="BC11" i="6"/>
  <c r="BA13" i="6"/>
  <c r="BE9" i="6"/>
  <c r="BE9" i="1" s="1"/>
  <c r="AU19" i="6"/>
  <c r="BD10" i="6"/>
  <c r="BD10" i="1" s="1"/>
  <c r="BF8" i="6"/>
  <c r="BF8" i="1" s="1"/>
  <c r="AZ14" i="6"/>
  <c r="BB13" i="6"/>
  <c r="BI7" i="4"/>
  <c r="BF47" i="6"/>
  <c r="BF6" i="6" s="1"/>
  <c r="BF47" i="4"/>
  <c r="BF6" i="4" s="1"/>
  <c r="BG47" i="1"/>
  <c r="BF6" i="1"/>
  <c r="AG32" i="1" l="1"/>
  <c r="AC37" i="6"/>
  <c r="AC37" i="1" s="1"/>
  <c r="AF33" i="1"/>
  <c r="AG34" i="6" s="1"/>
  <c r="AH31" i="1"/>
  <c r="Y40" i="1"/>
  <c r="Y87" i="1" s="1"/>
  <c r="Y86" i="1" s="1"/>
  <c r="Y85" i="1" s="1"/>
  <c r="Y84" i="1" s="1"/>
  <c r="Y83" i="1" s="1"/>
  <c r="Y82" i="1" s="1"/>
  <c r="Y81" i="1" s="1"/>
  <c r="Y80" i="1" s="1"/>
  <c r="Y79" i="1" s="1"/>
  <c r="Y78" i="1" s="1"/>
  <c r="Y77" i="1" s="1"/>
  <c r="Y76" i="1" s="1"/>
  <c r="Y75" i="1" s="1"/>
  <c r="Y74" i="1" s="1"/>
  <c r="Y73" i="1" s="1"/>
  <c r="Y72" i="1" s="1"/>
  <c r="Y71" i="1" s="1"/>
  <c r="Y70" i="1" s="1"/>
  <c r="Y69" i="1" s="1"/>
  <c r="Y68" i="1" s="1"/>
  <c r="Y67" i="1" s="1"/>
  <c r="Y66" i="1" s="1"/>
  <c r="Y65" i="1" s="1"/>
  <c r="Y64" i="1" s="1"/>
  <c r="Y63" i="1" s="1"/>
  <c r="Y62" i="1" s="1"/>
  <c r="Y61" i="1" s="1"/>
  <c r="Y60" i="1" s="1"/>
  <c r="Y59" i="1" s="1"/>
  <c r="Y58" i="1" s="1"/>
  <c r="Y57" i="1" s="1"/>
  <c r="Y56" i="1" s="1"/>
  <c r="Y55" i="1" s="1"/>
  <c r="Y54" i="1" s="1"/>
  <c r="X87" i="1"/>
  <c r="X86" i="1" s="1"/>
  <c r="X85" i="1" s="1"/>
  <c r="X84" i="1" s="1"/>
  <c r="X83" i="1" s="1"/>
  <c r="X82" i="1" s="1"/>
  <c r="X81" i="1" s="1"/>
  <c r="X80" i="1" s="1"/>
  <c r="X79" i="1" s="1"/>
  <c r="X78" i="1" s="1"/>
  <c r="X77" i="1" s="1"/>
  <c r="X76" i="1" s="1"/>
  <c r="X75" i="1" s="1"/>
  <c r="X74" i="1" s="1"/>
  <c r="X73" i="1" s="1"/>
  <c r="X72" i="1" s="1"/>
  <c r="X71" i="1" s="1"/>
  <c r="X70" i="1" s="1"/>
  <c r="X69" i="1" s="1"/>
  <c r="X68" i="1" s="1"/>
  <c r="X67" i="1" s="1"/>
  <c r="X66" i="1" s="1"/>
  <c r="X65" i="1" s="1"/>
  <c r="X64" i="1" s="1"/>
  <c r="X63" i="1" s="1"/>
  <c r="X62" i="1" s="1"/>
  <c r="X61" i="1" s="1"/>
  <c r="X60" i="1" s="1"/>
  <c r="X59" i="1" s="1"/>
  <c r="X58" i="1" s="1"/>
  <c r="X57" i="1" s="1"/>
  <c r="X56" i="1" s="1"/>
  <c r="X55" i="1" s="1"/>
  <c r="X54" i="1" s="1"/>
  <c r="AB38" i="6"/>
  <c r="AB38" i="1" s="1"/>
  <c r="AI30" i="1"/>
  <c r="AE35" i="6"/>
  <c r="AE35" i="1" s="1"/>
  <c r="AY15" i="1"/>
  <c r="AQ23" i="6"/>
  <c r="BA13" i="1"/>
  <c r="BB14" i="6" s="1"/>
  <c r="AD37" i="6"/>
  <c r="AF34" i="1"/>
  <c r="AK28" i="1"/>
  <c r="AA39" i="1"/>
  <c r="AA86" i="1" s="1"/>
  <c r="AA85" i="1" s="1"/>
  <c r="AA84" i="1" s="1"/>
  <c r="AA83" i="1" s="1"/>
  <c r="AA82" i="1" s="1"/>
  <c r="AA81" i="1" s="1"/>
  <c r="AA80" i="1" s="1"/>
  <c r="AA79" i="1" s="1"/>
  <c r="AA78" i="1" s="1"/>
  <c r="AA77" i="1" s="1"/>
  <c r="AA76" i="1" s="1"/>
  <c r="AA75" i="1" s="1"/>
  <c r="AA74" i="1" s="1"/>
  <c r="AA73" i="1" s="1"/>
  <c r="AA72" i="1" s="1"/>
  <c r="AA71" i="1" s="1"/>
  <c r="AA70" i="1" s="1"/>
  <c r="AA69" i="1" s="1"/>
  <c r="AA68" i="1" s="1"/>
  <c r="AA67" i="1" s="1"/>
  <c r="AA66" i="1" s="1"/>
  <c r="AA65" i="1" s="1"/>
  <c r="AA64" i="1" s="1"/>
  <c r="AA63" i="1" s="1"/>
  <c r="AA62" i="1" s="1"/>
  <c r="AA61" i="1" s="1"/>
  <c r="AA60" i="1" s="1"/>
  <c r="AA59" i="1" s="1"/>
  <c r="AA58" i="1" s="1"/>
  <c r="AA57" i="1" s="1"/>
  <c r="AA56" i="1" s="1"/>
  <c r="AA55" i="1" s="1"/>
  <c r="AA54" i="1" s="1"/>
  <c r="AO24" i="1"/>
  <c r="AH32" i="6"/>
  <c r="AS21" i="1"/>
  <c r="AQ22" i="1"/>
  <c r="AM26" i="1"/>
  <c r="AD36" i="1"/>
  <c r="AZ14" i="1"/>
  <c r="BC11" i="1"/>
  <c r="AL27" i="1"/>
  <c r="AM27" i="1" s="1"/>
  <c r="AL28" i="6"/>
  <c r="AT20" i="1"/>
  <c r="AI31" i="6"/>
  <c r="AP23" i="1"/>
  <c r="AU19" i="1"/>
  <c r="AT21" i="6"/>
  <c r="BA14" i="6"/>
  <c r="AN26" i="6"/>
  <c r="AK29" i="6"/>
  <c r="AK30" i="6" s="1"/>
  <c r="AO25" i="1"/>
  <c r="AX17" i="6"/>
  <c r="AX17" i="1" s="1"/>
  <c r="AX16" i="1"/>
  <c r="AP24" i="6"/>
  <c r="AV18" i="6"/>
  <c r="AV18" i="1" s="1"/>
  <c r="AS22" i="6"/>
  <c r="AJ30" i="6"/>
  <c r="BC12" i="6"/>
  <c r="BC12" i="1" s="1"/>
  <c r="BE10" i="6"/>
  <c r="BE10" i="1" s="1"/>
  <c r="AR22" i="6"/>
  <c r="AO26" i="6"/>
  <c r="AU20" i="6"/>
  <c r="BG8" i="6"/>
  <c r="BG8" i="1" s="1"/>
  <c r="AF35" i="6"/>
  <c r="BF9" i="6"/>
  <c r="BF9" i="1" s="1"/>
  <c r="BD11" i="6"/>
  <c r="AY16" i="6"/>
  <c r="AZ15" i="6"/>
  <c r="AW18" i="6"/>
  <c r="BJ7" i="4"/>
  <c r="BG47" i="6"/>
  <c r="BG6" i="6" s="1"/>
  <c r="BG47" i="4"/>
  <c r="BG6" i="4" s="1"/>
  <c r="BH47" i="1"/>
  <c r="BG6" i="1"/>
  <c r="AH33" i="6" l="1"/>
  <c r="AC38" i="6"/>
  <c r="AC38" i="1" s="1"/>
  <c r="AC85" i="1" s="1"/>
  <c r="AC84" i="1" s="1"/>
  <c r="AC83" i="1" s="1"/>
  <c r="AC82" i="1" s="1"/>
  <c r="AC81" i="1" s="1"/>
  <c r="AC80" i="1" s="1"/>
  <c r="AC79" i="1" s="1"/>
  <c r="AC78" i="1" s="1"/>
  <c r="AC77" i="1" s="1"/>
  <c r="AC76" i="1" s="1"/>
  <c r="AC75" i="1" s="1"/>
  <c r="AC74" i="1" s="1"/>
  <c r="AC73" i="1" s="1"/>
  <c r="AC72" i="1" s="1"/>
  <c r="AC71" i="1" s="1"/>
  <c r="AC70" i="1" s="1"/>
  <c r="AC69" i="1" s="1"/>
  <c r="AC68" i="1" s="1"/>
  <c r="AC67" i="1" s="1"/>
  <c r="AC66" i="1" s="1"/>
  <c r="AC65" i="1" s="1"/>
  <c r="AC64" i="1" s="1"/>
  <c r="AC63" i="1" s="1"/>
  <c r="AC62" i="1" s="1"/>
  <c r="AC61" i="1" s="1"/>
  <c r="AC60" i="1" s="1"/>
  <c r="AC59" i="1" s="1"/>
  <c r="AC58" i="1" s="1"/>
  <c r="AC57" i="1" s="1"/>
  <c r="AC56" i="1" s="1"/>
  <c r="AC55" i="1" s="1"/>
  <c r="AC54" i="1" s="1"/>
  <c r="AG33" i="1"/>
  <c r="AI31" i="1"/>
  <c r="AJ30" i="1"/>
  <c r="AK31" i="6" s="1"/>
  <c r="AB39" i="6"/>
  <c r="AB39" i="1" s="1"/>
  <c r="AB86" i="1" s="1"/>
  <c r="AB85" i="1" s="1"/>
  <c r="AB84" i="1" s="1"/>
  <c r="AB83" i="1" s="1"/>
  <c r="AB82" i="1" s="1"/>
  <c r="AB81" i="1" s="1"/>
  <c r="AB80" i="1" s="1"/>
  <c r="AB79" i="1" s="1"/>
  <c r="AB78" i="1" s="1"/>
  <c r="AB77" i="1" s="1"/>
  <c r="AB76" i="1" s="1"/>
  <c r="AB75" i="1" s="1"/>
  <c r="AB74" i="1" s="1"/>
  <c r="AB73" i="1" s="1"/>
  <c r="AB72" i="1" s="1"/>
  <c r="AB71" i="1" s="1"/>
  <c r="AB70" i="1" s="1"/>
  <c r="AB69" i="1" s="1"/>
  <c r="AB68" i="1" s="1"/>
  <c r="AB67" i="1" s="1"/>
  <c r="AB66" i="1" s="1"/>
  <c r="AB65" i="1" s="1"/>
  <c r="AB64" i="1" s="1"/>
  <c r="AB63" i="1" s="1"/>
  <c r="AB62" i="1" s="1"/>
  <c r="AB61" i="1" s="1"/>
  <c r="AB60" i="1" s="1"/>
  <c r="AB59" i="1" s="1"/>
  <c r="AB58" i="1" s="1"/>
  <c r="AB57" i="1" s="1"/>
  <c r="AB56" i="1" s="1"/>
  <c r="AB55" i="1" s="1"/>
  <c r="AB54" i="1" s="1"/>
  <c r="AE36" i="6"/>
  <c r="AE37" i="6" s="1"/>
  <c r="AL29" i="6"/>
  <c r="AZ15" i="1"/>
  <c r="AD37" i="1"/>
  <c r="BB13" i="1"/>
  <c r="AQ24" i="6"/>
  <c r="AD38" i="6"/>
  <c r="AG34" i="1"/>
  <c r="AP24" i="1"/>
  <c r="AH32" i="1"/>
  <c r="AT22" i="6"/>
  <c r="AF35" i="1"/>
  <c r="AN26" i="1"/>
  <c r="AO26" i="1" s="1"/>
  <c r="AR22" i="1"/>
  <c r="AS22" i="1" s="1"/>
  <c r="AL28" i="1"/>
  <c r="BA14" i="1"/>
  <c r="BB15" i="6" s="1"/>
  <c r="AM28" i="6"/>
  <c r="BD11" i="1"/>
  <c r="AU20" i="1"/>
  <c r="AX18" i="6"/>
  <c r="AT21" i="1"/>
  <c r="AQ23" i="1"/>
  <c r="AI32" i="6"/>
  <c r="BA15" i="6"/>
  <c r="AY16" i="1"/>
  <c r="AP25" i="6"/>
  <c r="AP25" i="1" s="1"/>
  <c r="AN27" i="6"/>
  <c r="AN27" i="1" s="1"/>
  <c r="AW18" i="1"/>
  <c r="AV19" i="6"/>
  <c r="AV19" i="1" s="1"/>
  <c r="AK29" i="1"/>
  <c r="AJ31" i="6"/>
  <c r="BE11" i="6"/>
  <c r="BC13" i="6"/>
  <c r="AG35" i="6"/>
  <c r="AR23" i="6"/>
  <c r="BG9" i="6"/>
  <c r="BG9" i="1" s="1"/>
  <c r="AU21" i="6"/>
  <c r="AF36" i="6"/>
  <c r="AZ16" i="6"/>
  <c r="BD12" i="6"/>
  <c r="BD12" i="1" s="1"/>
  <c r="BH8" i="6"/>
  <c r="BH8" i="1" s="1"/>
  <c r="BF10" i="6"/>
  <c r="BF10" i="1" s="1"/>
  <c r="AY17" i="6"/>
  <c r="AY17" i="1" s="1"/>
  <c r="AW19" i="6"/>
  <c r="BK7" i="4"/>
  <c r="BH47" i="6"/>
  <c r="BH6" i="6" s="1"/>
  <c r="BH47" i="4"/>
  <c r="BH6" i="4" s="1"/>
  <c r="BI47" i="1"/>
  <c r="BH6" i="1"/>
  <c r="AH34" i="6" l="1"/>
  <c r="AH34" i="1" s="1"/>
  <c r="AH33" i="1"/>
  <c r="AJ31" i="1"/>
  <c r="AK31" i="1" s="1"/>
  <c r="AK30" i="1"/>
  <c r="AE36" i="1"/>
  <c r="AF36" i="1" s="1"/>
  <c r="AL29" i="1"/>
  <c r="AE37" i="1"/>
  <c r="BA16" i="6"/>
  <c r="BC13" i="1"/>
  <c r="AE38" i="6"/>
  <c r="AQ24" i="1"/>
  <c r="AD38" i="1"/>
  <c r="AD85" i="1" s="1"/>
  <c r="AD84" i="1" s="1"/>
  <c r="AD83" i="1" s="1"/>
  <c r="AD82" i="1" s="1"/>
  <c r="AD81" i="1" s="1"/>
  <c r="AD80" i="1" s="1"/>
  <c r="AD79" i="1" s="1"/>
  <c r="AD78" i="1" s="1"/>
  <c r="AD77" i="1" s="1"/>
  <c r="AD76" i="1" s="1"/>
  <c r="AD75" i="1" s="1"/>
  <c r="AD74" i="1" s="1"/>
  <c r="AD73" i="1" s="1"/>
  <c r="AD72" i="1" s="1"/>
  <c r="AD71" i="1" s="1"/>
  <c r="AD70" i="1" s="1"/>
  <c r="AD69" i="1" s="1"/>
  <c r="AD68" i="1" s="1"/>
  <c r="AD67" i="1" s="1"/>
  <c r="AD66" i="1" s="1"/>
  <c r="AD65" i="1" s="1"/>
  <c r="AD64" i="1" s="1"/>
  <c r="AD63" i="1" s="1"/>
  <c r="AD62" i="1" s="1"/>
  <c r="AD61" i="1" s="1"/>
  <c r="AD60" i="1" s="1"/>
  <c r="AD59" i="1" s="1"/>
  <c r="AD58" i="1" s="1"/>
  <c r="AD57" i="1" s="1"/>
  <c r="AD56" i="1" s="1"/>
  <c r="AD55" i="1" s="1"/>
  <c r="AD54" i="1" s="1"/>
  <c r="AQ25" i="6"/>
  <c r="AQ25" i="1" s="1"/>
  <c r="BE11" i="1"/>
  <c r="AI32" i="1"/>
  <c r="AO27" i="6"/>
  <c r="AO27" i="1" s="1"/>
  <c r="BA15" i="1"/>
  <c r="BB15" i="1" s="1"/>
  <c r="AG35" i="1"/>
  <c r="AT22" i="1"/>
  <c r="AU21" i="1"/>
  <c r="BB14" i="1"/>
  <c r="AM29" i="6"/>
  <c r="AM28" i="1"/>
  <c r="AR24" i="6"/>
  <c r="AX18" i="1"/>
  <c r="AI33" i="6"/>
  <c r="AN28" i="6"/>
  <c r="AX19" i="6"/>
  <c r="AL30" i="6"/>
  <c r="AP26" i="6"/>
  <c r="AP26" i="1" s="1"/>
  <c r="AZ16" i="1"/>
  <c r="AW19" i="1"/>
  <c r="AJ32" i="6"/>
  <c r="AR23" i="1"/>
  <c r="AV20" i="6"/>
  <c r="AV20" i="1" s="1"/>
  <c r="BC14" i="6"/>
  <c r="AG36" i="6"/>
  <c r="BE12" i="6"/>
  <c r="BE12" i="1" s="1"/>
  <c r="AZ17" i="6"/>
  <c r="AZ17" i="1" s="1"/>
  <c r="AS23" i="6"/>
  <c r="BD13" i="6"/>
  <c r="BG10" i="6"/>
  <c r="BG10" i="1" s="1"/>
  <c r="BI8" i="6"/>
  <c r="BI8" i="1" s="1"/>
  <c r="AU22" i="6"/>
  <c r="BH9" i="6"/>
  <c r="BH9" i="1" s="1"/>
  <c r="BF11" i="6"/>
  <c r="AY18" i="6"/>
  <c r="AW20" i="6"/>
  <c r="BL7" i="4"/>
  <c r="BI47" i="6"/>
  <c r="BI6" i="6" s="1"/>
  <c r="BI47" i="4"/>
  <c r="BI6" i="4" s="1"/>
  <c r="BJ47" i="1"/>
  <c r="BI6" i="1"/>
  <c r="AH35" i="6" l="1"/>
  <c r="AH35" i="1" s="1"/>
  <c r="AI33" i="1"/>
  <c r="AK32" i="6"/>
  <c r="AL30" i="1"/>
  <c r="BD13" i="1"/>
  <c r="AF37" i="6"/>
  <c r="AF37" i="1" s="1"/>
  <c r="AF84" i="1" s="1"/>
  <c r="AF83" i="1" s="1"/>
  <c r="AF82" i="1" s="1"/>
  <c r="AF81" i="1" s="1"/>
  <c r="AF80" i="1" s="1"/>
  <c r="AF79" i="1" s="1"/>
  <c r="AF78" i="1" s="1"/>
  <c r="AF77" i="1" s="1"/>
  <c r="AF76" i="1" s="1"/>
  <c r="AF75" i="1" s="1"/>
  <c r="AF74" i="1" s="1"/>
  <c r="AF73" i="1" s="1"/>
  <c r="AF72" i="1" s="1"/>
  <c r="AF71" i="1" s="1"/>
  <c r="AF70" i="1" s="1"/>
  <c r="AF69" i="1" s="1"/>
  <c r="AF68" i="1" s="1"/>
  <c r="AF67" i="1" s="1"/>
  <c r="AF66" i="1" s="1"/>
  <c r="AF65" i="1" s="1"/>
  <c r="AF64" i="1" s="1"/>
  <c r="AF63" i="1" s="1"/>
  <c r="AF62" i="1" s="1"/>
  <c r="AF61" i="1" s="1"/>
  <c r="AF60" i="1" s="1"/>
  <c r="AF59" i="1" s="1"/>
  <c r="AF58" i="1" s="1"/>
  <c r="AF57" i="1" s="1"/>
  <c r="AF56" i="1" s="1"/>
  <c r="AF55" i="1" s="1"/>
  <c r="AF54" i="1" s="1"/>
  <c r="AM29" i="1"/>
  <c r="BA16" i="1"/>
  <c r="AE38" i="1"/>
  <c r="AE85" i="1" s="1"/>
  <c r="AE84" i="1" s="1"/>
  <c r="AE83" i="1" s="1"/>
  <c r="AE82" i="1" s="1"/>
  <c r="AE81" i="1" s="1"/>
  <c r="AE80" i="1" s="1"/>
  <c r="AE79" i="1" s="1"/>
  <c r="AE78" i="1" s="1"/>
  <c r="AE77" i="1" s="1"/>
  <c r="AE76" i="1" s="1"/>
  <c r="AE75" i="1" s="1"/>
  <c r="AE74" i="1" s="1"/>
  <c r="AE73" i="1" s="1"/>
  <c r="AE72" i="1" s="1"/>
  <c r="AE71" i="1" s="1"/>
  <c r="AE70" i="1" s="1"/>
  <c r="AE69" i="1" s="1"/>
  <c r="AE68" i="1" s="1"/>
  <c r="AE67" i="1" s="1"/>
  <c r="AE66" i="1" s="1"/>
  <c r="AE65" i="1" s="1"/>
  <c r="AE64" i="1" s="1"/>
  <c r="AE63" i="1" s="1"/>
  <c r="AE62" i="1" s="1"/>
  <c r="AE61" i="1" s="1"/>
  <c r="AE60" i="1" s="1"/>
  <c r="AE59" i="1" s="1"/>
  <c r="AE58" i="1" s="1"/>
  <c r="AE57" i="1" s="1"/>
  <c r="AE56" i="1" s="1"/>
  <c r="AE55" i="1" s="1"/>
  <c r="AE54" i="1" s="1"/>
  <c r="AR24" i="1"/>
  <c r="AG36" i="1"/>
  <c r="AQ26" i="6"/>
  <c r="AQ27" i="6" s="1"/>
  <c r="AM30" i="6"/>
  <c r="BF11" i="1"/>
  <c r="AO28" i="6"/>
  <c r="AJ32" i="1"/>
  <c r="BC14" i="1"/>
  <c r="BB16" i="6"/>
  <c r="AU22" i="1"/>
  <c r="AI34" i="6"/>
  <c r="AI34" i="1" s="1"/>
  <c r="AN28" i="1"/>
  <c r="AY18" i="1"/>
  <c r="AR25" i="6"/>
  <c r="AR25" i="1" s="1"/>
  <c r="AL31" i="6"/>
  <c r="AL31" i="1" s="1"/>
  <c r="AP27" i="6"/>
  <c r="AP28" i="6" s="1"/>
  <c r="AN29" i="6"/>
  <c r="AV21" i="6"/>
  <c r="AV21" i="1" s="1"/>
  <c r="BA17" i="6"/>
  <c r="BA18" i="6" s="1"/>
  <c r="AX19" i="1"/>
  <c r="AS23" i="1"/>
  <c r="AX20" i="6"/>
  <c r="AJ33" i="6"/>
  <c r="AW20" i="1"/>
  <c r="BH10" i="6"/>
  <c r="BH10" i="1" s="1"/>
  <c r="BC15" i="6"/>
  <c r="BC15" i="1" s="1"/>
  <c r="AG37" i="6"/>
  <c r="AW21" i="6"/>
  <c r="AZ18" i="6"/>
  <c r="AS24" i="6"/>
  <c r="AT23" i="6"/>
  <c r="BG11" i="6"/>
  <c r="BJ8" i="6"/>
  <c r="BJ8" i="1" s="1"/>
  <c r="BD14" i="6"/>
  <c r="BI9" i="6"/>
  <c r="BI9" i="1" s="1"/>
  <c r="BF12" i="6"/>
  <c r="BF12" i="1" s="1"/>
  <c r="BE13" i="6"/>
  <c r="AY19" i="6"/>
  <c r="BM7" i="4"/>
  <c r="BJ47" i="6"/>
  <c r="BJ6" i="6" s="1"/>
  <c r="BJ47" i="4"/>
  <c r="BJ6" i="4" s="1"/>
  <c r="BK47" i="1"/>
  <c r="BJ6" i="1"/>
  <c r="AH36" i="6" l="1"/>
  <c r="AH36" i="1" s="1"/>
  <c r="AJ33" i="1"/>
  <c r="AN29" i="1"/>
  <c r="AM30" i="1"/>
  <c r="AK32" i="1"/>
  <c r="BE13" i="1"/>
  <c r="AG37" i="1"/>
  <c r="AG84" i="1" s="1"/>
  <c r="AG83" i="1" s="1"/>
  <c r="AG82" i="1" s="1"/>
  <c r="AG81" i="1" s="1"/>
  <c r="AG80" i="1" s="1"/>
  <c r="AG79" i="1" s="1"/>
  <c r="AG78" i="1" s="1"/>
  <c r="AG77" i="1" s="1"/>
  <c r="AG76" i="1" s="1"/>
  <c r="AG75" i="1" s="1"/>
  <c r="AG74" i="1" s="1"/>
  <c r="AG73" i="1" s="1"/>
  <c r="AG72" i="1" s="1"/>
  <c r="AG71" i="1" s="1"/>
  <c r="AG70" i="1" s="1"/>
  <c r="AG69" i="1" s="1"/>
  <c r="AG68" i="1" s="1"/>
  <c r="AG67" i="1" s="1"/>
  <c r="AG66" i="1" s="1"/>
  <c r="AG65" i="1" s="1"/>
  <c r="AG64" i="1" s="1"/>
  <c r="AG63" i="1" s="1"/>
  <c r="AG62" i="1" s="1"/>
  <c r="AG61" i="1" s="1"/>
  <c r="AG60" i="1" s="1"/>
  <c r="AG59" i="1" s="1"/>
  <c r="AG58" i="1" s="1"/>
  <c r="AG57" i="1" s="1"/>
  <c r="AG56" i="1" s="1"/>
  <c r="AG55" i="1" s="1"/>
  <c r="AG54" i="1" s="1"/>
  <c r="BB16" i="1"/>
  <c r="AS24" i="1"/>
  <c r="AQ26" i="1"/>
  <c r="AM31" i="6"/>
  <c r="AM32" i="6" s="1"/>
  <c r="BG11" i="1"/>
  <c r="AK33" i="6"/>
  <c r="AO28" i="1"/>
  <c r="AP28" i="1" s="1"/>
  <c r="BD15" i="6"/>
  <c r="BD16" i="6" s="1"/>
  <c r="BB17" i="6"/>
  <c r="AZ18" i="1"/>
  <c r="BA19" i="6" s="1"/>
  <c r="AO29" i="6"/>
  <c r="AI35" i="6"/>
  <c r="AI36" i="6" s="1"/>
  <c r="AR26" i="6"/>
  <c r="AL32" i="6"/>
  <c r="AN30" i="6"/>
  <c r="AP27" i="1"/>
  <c r="AQ27" i="1" s="1"/>
  <c r="AV22" i="6"/>
  <c r="AV22" i="1" s="1"/>
  <c r="AW21" i="1"/>
  <c r="BA17" i="1"/>
  <c r="AJ34" i="6"/>
  <c r="AJ34" i="1" s="1"/>
  <c r="AT23" i="1"/>
  <c r="AX20" i="1"/>
  <c r="AX21" i="6"/>
  <c r="BD14" i="1"/>
  <c r="AY20" i="6"/>
  <c r="AY19" i="1"/>
  <c r="BF13" i="6"/>
  <c r="BC16" i="6"/>
  <c r="BH11" i="6"/>
  <c r="AW22" i="6"/>
  <c r="AZ19" i="6"/>
  <c r="AS25" i="6"/>
  <c r="AS25" i="1" s="1"/>
  <c r="BI10" i="6"/>
  <c r="BI10" i="1" s="1"/>
  <c r="AU23" i="6"/>
  <c r="AT24" i="6"/>
  <c r="BK8" i="6"/>
  <c r="BK8" i="1" s="1"/>
  <c r="BG12" i="6"/>
  <c r="BG12" i="1" s="1"/>
  <c r="BJ9" i="6"/>
  <c r="BJ9" i="1" s="1"/>
  <c r="BE14" i="6"/>
  <c r="BN7" i="4"/>
  <c r="BK47" i="6"/>
  <c r="BK6" i="6" s="1"/>
  <c r="BK47" i="4"/>
  <c r="BK6" i="4" s="1"/>
  <c r="BL47" i="1"/>
  <c r="BK6" i="1"/>
  <c r="AK34" i="6" l="1"/>
  <c r="AK34" i="1" s="1"/>
  <c r="AO29" i="1"/>
  <c r="AH37" i="6"/>
  <c r="AH37" i="1" s="1"/>
  <c r="AH84" i="1" s="1"/>
  <c r="AH83" i="1" s="1"/>
  <c r="AH82" i="1" s="1"/>
  <c r="AH81" i="1" s="1"/>
  <c r="AH80" i="1" s="1"/>
  <c r="AH79" i="1" s="1"/>
  <c r="AH78" i="1" s="1"/>
  <c r="AH77" i="1" s="1"/>
  <c r="AH76" i="1" s="1"/>
  <c r="AH75" i="1" s="1"/>
  <c r="AH74" i="1" s="1"/>
  <c r="AH73" i="1" s="1"/>
  <c r="AH72" i="1" s="1"/>
  <c r="AH71" i="1" s="1"/>
  <c r="AH70" i="1" s="1"/>
  <c r="AH69" i="1" s="1"/>
  <c r="AH68" i="1" s="1"/>
  <c r="AH67" i="1" s="1"/>
  <c r="AH66" i="1" s="1"/>
  <c r="AH65" i="1" s="1"/>
  <c r="AH64" i="1" s="1"/>
  <c r="AH63" i="1" s="1"/>
  <c r="AH62" i="1" s="1"/>
  <c r="AH61" i="1" s="1"/>
  <c r="AH60" i="1" s="1"/>
  <c r="AH59" i="1" s="1"/>
  <c r="AH58" i="1" s="1"/>
  <c r="AH57" i="1" s="1"/>
  <c r="AH56" i="1" s="1"/>
  <c r="AH55" i="1" s="1"/>
  <c r="AH54" i="1" s="1"/>
  <c r="AN30" i="1"/>
  <c r="AL32" i="1"/>
  <c r="AM32" i="1" s="1"/>
  <c r="AM31" i="1"/>
  <c r="BF13" i="1"/>
  <c r="BC16" i="1"/>
  <c r="BD17" i="6" s="1"/>
  <c r="AT24" i="1"/>
  <c r="AR27" i="6"/>
  <c r="AR27" i="1" s="1"/>
  <c r="BD15" i="1"/>
  <c r="AI36" i="1"/>
  <c r="AI83" i="1" s="1"/>
  <c r="BA18" i="1"/>
  <c r="BH11" i="1"/>
  <c r="BB17" i="1"/>
  <c r="AP29" i="6"/>
  <c r="AK33" i="1"/>
  <c r="AN31" i="6"/>
  <c r="AO30" i="6"/>
  <c r="AI35" i="1"/>
  <c r="AL33" i="6"/>
  <c r="AQ28" i="6"/>
  <c r="AQ28" i="1" s="1"/>
  <c r="AR26" i="1"/>
  <c r="AU23" i="1"/>
  <c r="AJ35" i="6"/>
  <c r="AW22" i="1"/>
  <c r="BE14" i="1"/>
  <c r="AX21" i="1"/>
  <c r="AV23" i="6"/>
  <c r="AX22" i="6"/>
  <c r="AY20" i="1"/>
  <c r="AY21" i="6"/>
  <c r="AZ19" i="1"/>
  <c r="BA19" i="1" s="1"/>
  <c r="BE15" i="6"/>
  <c r="BC17" i="6"/>
  <c r="BH12" i="6"/>
  <c r="BH12" i="1" s="1"/>
  <c r="AW23" i="6"/>
  <c r="BF14" i="6"/>
  <c r="AZ20" i="6"/>
  <c r="AU24" i="6"/>
  <c r="BI11" i="6"/>
  <c r="AS26" i="6"/>
  <c r="AT25" i="6"/>
  <c r="AT25" i="1" s="1"/>
  <c r="BG13" i="6"/>
  <c r="BJ10" i="6"/>
  <c r="BJ10" i="1" s="1"/>
  <c r="BL8" i="6"/>
  <c r="BL8" i="1" s="1"/>
  <c r="BK9" i="6"/>
  <c r="BK9" i="1" s="1"/>
  <c r="BB18" i="6"/>
  <c r="BO7" i="4"/>
  <c r="BL47" i="6"/>
  <c r="BL6" i="6" s="1"/>
  <c r="BL47" i="4"/>
  <c r="BL6" i="4" s="1"/>
  <c r="BM47" i="1"/>
  <c r="BL6" i="1"/>
  <c r="AK35" i="6" l="1"/>
  <c r="AP29" i="1"/>
  <c r="AO30" i="1"/>
  <c r="AM33" i="6"/>
  <c r="AN32" i="6"/>
  <c r="AN33" i="6" s="1"/>
  <c r="AY21" i="1"/>
  <c r="AU24" i="1"/>
  <c r="BD16" i="1"/>
  <c r="AI82" i="1"/>
  <c r="AI81" i="1" s="1"/>
  <c r="AI80" i="1" s="1"/>
  <c r="AI79" i="1" s="1"/>
  <c r="AI78" i="1" s="1"/>
  <c r="AI77" i="1" s="1"/>
  <c r="AI76" i="1" s="1"/>
  <c r="AI75" i="1" s="1"/>
  <c r="AI74" i="1" s="1"/>
  <c r="AI73" i="1" s="1"/>
  <c r="AI72" i="1" s="1"/>
  <c r="AI71" i="1" s="1"/>
  <c r="AI70" i="1" s="1"/>
  <c r="AI69" i="1" s="1"/>
  <c r="AI68" i="1" s="1"/>
  <c r="AI67" i="1" s="1"/>
  <c r="AI66" i="1" s="1"/>
  <c r="AI65" i="1" s="1"/>
  <c r="AI64" i="1" s="1"/>
  <c r="AI63" i="1" s="1"/>
  <c r="AI62" i="1" s="1"/>
  <c r="AI61" i="1" s="1"/>
  <c r="AI60" i="1" s="1"/>
  <c r="AI59" i="1" s="1"/>
  <c r="AI58" i="1" s="1"/>
  <c r="AI57" i="1" s="1"/>
  <c r="AI56" i="1" s="1"/>
  <c r="AI55" i="1" s="1"/>
  <c r="AI54" i="1" s="1"/>
  <c r="BG14" i="6"/>
  <c r="BI11" i="1"/>
  <c r="AR28" i="6"/>
  <c r="AR29" i="6" s="1"/>
  <c r="AP30" i="6"/>
  <c r="BE15" i="1"/>
  <c r="BB18" i="1"/>
  <c r="BC17" i="1"/>
  <c r="BD17" i="1" s="1"/>
  <c r="AJ35" i="1"/>
  <c r="AK35" i="1" s="1"/>
  <c r="AL34" i="6"/>
  <c r="AL34" i="1" s="1"/>
  <c r="AN31" i="1"/>
  <c r="AL33" i="1"/>
  <c r="AV23" i="1"/>
  <c r="AW23" i="1" s="1"/>
  <c r="AQ29" i="6"/>
  <c r="AQ29" i="1" s="1"/>
  <c r="AO31" i="6"/>
  <c r="AS26" i="1"/>
  <c r="AJ36" i="6"/>
  <c r="AJ36" i="1" s="1"/>
  <c r="AJ83" i="1" s="1"/>
  <c r="AX22" i="1"/>
  <c r="BA20" i="6"/>
  <c r="AX23" i="6"/>
  <c r="BF14" i="1"/>
  <c r="AZ21" i="6"/>
  <c r="BG13" i="1"/>
  <c r="AZ20" i="1"/>
  <c r="BC18" i="6"/>
  <c r="BH13" i="6"/>
  <c r="BF15" i="6"/>
  <c r="AS27" i="6"/>
  <c r="AS27" i="1" s="1"/>
  <c r="AU25" i="6"/>
  <c r="AU26" i="6" s="1"/>
  <c r="AY22" i="6"/>
  <c r="BI12" i="6"/>
  <c r="BI12" i="1" s="1"/>
  <c r="BK10" i="6"/>
  <c r="BK10" i="1" s="1"/>
  <c r="AT26" i="6"/>
  <c r="AV24" i="6"/>
  <c r="BM8" i="6"/>
  <c r="BM8" i="1" s="1"/>
  <c r="BL9" i="6"/>
  <c r="BL9" i="1" s="1"/>
  <c r="BJ11" i="6"/>
  <c r="BE16" i="6"/>
  <c r="BB19" i="6"/>
  <c r="BB19" i="1" s="1"/>
  <c r="BP7" i="4"/>
  <c r="BM47" i="6"/>
  <c r="BM6" i="6" s="1"/>
  <c r="BM47" i="4"/>
  <c r="BM6" i="4" s="1"/>
  <c r="BN47" i="1"/>
  <c r="BM6" i="1"/>
  <c r="AP30" i="1" l="1"/>
  <c r="AM34" i="6"/>
  <c r="AM34" i="1" s="1"/>
  <c r="AJ82" i="1"/>
  <c r="AJ81" i="1" s="1"/>
  <c r="AJ80" i="1" s="1"/>
  <c r="AJ79" i="1" s="1"/>
  <c r="AJ78" i="1" s="1"/>
  <c r="AJ77" i="1" s="1"/>
  <c r="AJ76" i="1" s="1"/>
  <c r="AJ75" i="1" s="1"/>
  <c r="AJ74" i="1" s="1"/>
  <c r="AJ73" i="1" s="1"/>
  <c r="AJ72" i="1" s="1"/>
  <c r="AJ71" i="1" s="1"/>
  <c r="AJ70" i="1" s="1"/>
  <c r="AJ69" i="1" s="1"/>
  <c r="AJ68" i="1" s="1"/>
  <c r="AJ67" i="1" s="1"/>
  <c r="AJ66" i="1" s="1"/>
  <c r="AJ65" i="1" s="1"/>
  <c r="AJ64" i="1" s="1"/>
  <c r="AJ63" i="1" s="1"/>
  <c r="AJ62" i="1" s="1"/>
  <c r="AJ61" i="1" s="1"/>
  <c r="AJ60" i="1" s="1"/>
  <c r="AJ59" i="1" s="1"/>
  <c r="AJ58" i="1" s="1"/>
  <c r="AJ57" i="1" s="1"/>
  <c r="AJ56" i="1" s="1"/>
  <c r="AJ55" i="1" s="1"/>
  <c r="AJ54" i="1" s="1"/>
  <c r="BE16" i="1"/>
  <c r="AR28" i="1"/>
  <c r="AN32" i="1"/>
  <c r="BF15" i="1"/>
  <c r="AV24" i="1"/>
  <c r="AZ21" i="1"/>
  <c r="BG15" i="6"/>
  <c r="BJ11" i="1"/>
  <c r="AP31" i="6"/>
  <c r="BC18" i="1"/>
  <c r="AT27" i="6"/>
  <c r="AT28" i="6" s="1"/>
  <c r="AK36" i="6"/>
  <c r="AK36" i="1" s="1"/>
  <c r="AK83" i="1" s="1"/>
  <c r="AK82" i="1" s="1"/>
  <c r="AK81" i="1" s="1"/>
  <c r="AK80" i="1" s="1"/>
  <c r="AK79" i="1" s="1"/>
  <c r="AK78" i="1" s="1"/>
  <c r="AK77" i="1" s="1"/>
  <c r="AK76" i="1" s="1"/>
  <c r="AK75" i="1" s="1"/>
  <c r="AK74" i="1" s="1"/>
  <c r="AK73" i="1" s="1"/>
  <c r="AK72" i="1" s="1"/>
  <c r="AK71" i="1" s="1"/>
  <c r="AK70" i="1" s="1"/>
  <c r="AK69" i="1" s="1"/>
  <c r="AK68" i="1" s="1"/>
  <c r="AK67" i="1" s="1"/>
  <c r="AK66" i="1" s="1"/>
  <c r="AK65" i="1" s="1"/>
  <c r="AK64" i="1" s="1"/>
  <c r="AK63" i="1" s="1"/>
  <c r="AK62" i="1" s="1"/>
  <c r="AK61" i="1" s="1"/>
  <c r="AK60" i="1" s="1"/>
  <c r="AK59" i="1" s="1"/>
  <c r="AK58" i="1" s="1"/>
  <c r="AK57" i="1" s="1"/>
  <c r="AK56" i="1" s="1"/>
  <c r="AK55" i="1" s="1"/>
  <c r="AK54" i="1" s="1"/>
  <c r="AL35" i="6"/>
  <c r="AL35" i="1" s="1"/>
  <c r="AL82" i="1" s="1"/>
  <c r="AL81" i="1" s="1"/>
  <c r="AL80" i="1" s="1"/>
  <c r="AL79" i="1" s="1"/>
  <c r="AL78" i="1" s="1"/>
  <c r="AL77" i="1" s="1"/>
  <c r="AL76" i="1" s="1"/>
  <c r="AL75" i="1" s="1"/>
  <c r="AL74" i="1" s="1"/>
  <c r="AL73" i="1" s="1"/>
  <c r="AL72" i="1" s="1"/>
  <c r="AL71" i="1" s="1"/>
  <c r="AL70" i="1" s="1"/>
  <c r="AL69" i="1" s="1"/>
  <c r="AL68" i="1" s="1"/>
  <c r="AL67" i="1" s="1"/>
  <c r="AL66" i="1" s="1"/>
  <c r="AL65" i="1" s="1"/>
  <c r="AL64" i="1" s="1"/>
  <c r="AL63" i="1" s="1"/>
  <c r="AL62" i="1" s="1"/>
  <c r="AL61" i="1" s="1"/>
  <c r="AL60" i="1" s="1"/>
  <c r="AL59" i="1" s="1"/>
  <c r="AL58" i="1" s="1"/>
  <c r="AL57" i="1" s="1"/>
  <c r="AL56" i="1" s="1"/>
  <c r="AL55" i="1" s="1"/>
  <c r="AL54" i="1" s="1"/>
  <c r="AO31" i="1"/>
  <c r="AM33" i="1"/>
  <c r="AN33" i="1" s="1"/>
  <c r="AQ30" i="6"/>
  <c r="AR29" i="1"/>
  <c r="AO32" i="6"/>
  <c r="AZ22" i="6"/>
  <c r="BA20" i="1"/>
  <c r="AX23" i="1"/>
  <c r="BG14" i="1"/>
  <c r="BA21" i="6"/>
  <c r="BH13" i="1"/>
  <c r="AU25" i="1"/>
  <c r="AY23" i="6"/>
  <c r="AY22" i="1"/>
  <c r="AT26" i="1"/>
  <c r="BF16" i="6"/>
  <c r="AS28" i="6"/>
  <c r="BI13" i="6"/>
  <c r="BE17" i="6"/>
  <c r="BE17" i="1" s="1"/>
  <c r="AR30" i="6"/>
  <c r="BJ12" i="6"/>
  <c r="BJ12" i="1" s="1"/>
  <c r="BD18" i="6"/>
  <c r="AW24" i="6"/>
  <c r="AV25" i="6"/>
  <c r="BN8" i="6"/>
  <c r="BN8" i="1" s="1"/>
  <c r="BM9" i="6"/>
  <c r="BM9" i="1" s="1"/>
  <c r="BL10" i="6"/>
  <c r="BL10" i="1" s="1"/>
  <c r="BK11" i="6"/>
  <c r="BH14" i="6"/>
  <c r="BC19" i="6"/>
  <c r="BC19" i="1" s="1"/>
  <c r="BB20" i="6"/>
  <c r="BQ7" i="4"/>
  <c r="BN47" i="6"/>
  <c r="BN6" i="6" s="1"/>
  <c r="BN47" i="4"/>
  <c r="BN6" i="4" s="1"/>
  <c r="BO47" i="1"/>
  <c r="BN6" i="1"/>
  <c r="AM35" i="6" l="1"/>
  <c r="AM35" i="1" s="1"/>
  <c r="AM82" i="1" s="1"/>
  <c r="AM81" i="1" s="1"/>
  <c r="AM80" i="1" s="1"/>
  <c r="AM79" i="1" s="1"/>
  <c r="AM78" i="1" s="1"/>
  <c r="AM77" i="1" s="1"/>
  <c r="AM76" i="1" s="1"/>
  <c r="AM75" i="1" s="1"/>
  <c r="AM74" i="1" s="1"/>
  <c r="AM73" i="1" s="1"/>
  <c r="AM72" i="1" s="1"/>
  <c r="AM71" i="1" s="1"/>
  <c r="AM70" i="1" s="1"/>
  <c r="AM69" i="1" s="1"/>
  <c r="AM68" i="1" s="1"/>
  <c r="AM67" i="1" s="1"/>
  <c r="AM66" i="1" s="1"/>
  <c r="AM65" i="1" s="1"/>
  <c r="AM64" i="1" s="1"/>
  <c r="AM63" i="1" s="1"/>
  <c r="AM62" i="1" s="1"/>
  <c r="AM61" i="1" s="1"/>
  <c r="AM60" i="1" s="1"/>
  <c r="AM59" i="1" s="1"/>
  <c r="AM58" i="1" s="1"/>
  <c r="AM57" i="1" s="1"/>
  <c r="AM56" i="1" s="1"/>
  <c r="AM55" i="1" s="1"/>
  <c r="AM54" i="1" s="1"/>
  <c r="AQ30" i="1"/>
  <c r="AR30" i="1" s="1"/>
  <c r="AO32" i="1"/>
  <c r="AS28" i="1"/>
  <c r="AT28" i="1" s="1"/>
  <c r="BF16" i="1"/>
  <c r="BG15" i="1"/>
  <c r="BA21" i="1"/>
  <c r="AW24" i="1"/>
  <c r="BG16" i="6"/>
  <c r="AT27" i="1"/>
  <c r="BK11" i="1"/>
  <c r="AP31" i="1"/>
  <c r="BD19" i="6"/>
  <c r="BD19" i="1" s="1"/>
  <c r="AP32" i="6"/>
  <c r="AO33" i="6"/>
  <c r="AO33" i="1" s="1"/>
  <c r="AN34" i="6"/>
  <c r="AN35" i="6" s="1"/>
  <c r="AQ31" i="6"/>
  <c r="AZ22" i="1"/>
  <c r="AY23" i="1"/>
  <c r="AV25" i="1"/>
  <c r="AZ23" i="6"/>
  <c r="BI13" i="1"/>
  <c r="BD18" i="1"/>
  <c r="AU27" i="6"/>
  <c r="AU26" i="1"/>
  <c r="BA22" i="6"/>
  <c r="BH15" i="6"/>
  <c r="BH14" i="1"/>
  <c r="BB21" i="6"/>
  <c r="BB20" i="1"/>
  <c r="BI14" i="6"/>
  <c r="BL11" i="6"/>
  <c r="AS29" i="6"/>
  <c r="BF17" i="6"/>
  <c r="BF17" i="1" s="1"/>
  <c r="BJ13" i="6"/>
  <c r="BE18" i="6"/>
  <c r="AV26" i="6"/>
  <c r="AX24" i="6"/>
  <c r="AW25" i="6"/>
  <c r="BM10" i="6"/>
  <c r="BM10" i="1" s="1"/>
  <c r="BO8" i="6"/>
  <c r="BO8" i="1" s="1"/>
  <c r="BN9" i="6"/>
  <c r="BN9" i="1" s="1"/>
  <c r="BK12" i="6"/>
  <c r="BK12" i="1" s="1"/>
  <c r="BC20" i="6"/>
  <c r="BR7" i="4"/>
  <c r="BO47" i="6"/>
  <c r="BO6" i="6" s="1"/>
  <c r="BO47" i="4"/>
  <c r="BO6" i="4" s="1"/>
  <c r="BP47" i="1"/>
  <c r="BO6" i="1"/>
  <c r="AR31" i="6" l="1"/>
  <c r="AT29" i="6"/>
  <c r="AP32" i="1"/>
  <c r="BG16" i="1"/>
  <c r="BB21" i="1"/>
  <c r="AX24" i="1"/>
  <c r="BH15" i="1"/>
  <c r="AU27" i="1"/>
  <c r="BL11" i="1"/>
  <c r="AQ32" i="6"/>
  <c r="AQ31" i="1"/>
  <c r="AN35" i="1"/>
  <c r="AN82" i="1" s="1"/>
  <c r="AP33" i="6"/>
  <c r="AP33" i="1" s="1"/>
  <c r="BA22" i="1"/>
  <c r="AO34" i="6"/>
  <c r="AN34" i="1"/>
  <c r="AZ23" i="1"/>
  <c r="AW25" i="1"/>
  <c r="BE18" i="1"/>
  <c r="AU28" i="6"/>
  <c r="AU29" i="6" s="1"/>
  <c r="AV26" i="1"/>
  <c r="BH16" i="6"/>
  <c r="BJ13" i="1"/>
  <c r="BB22" i="6"/>
  <c r="BA23" i="6"/>
  <c r="BI14" i="1"/>
  <c r="BC20" i="1"/>
  <c r="AS30" i="6"/>
  <c r="AS30" i="1" s="1"/>
  <c r="AS29" i="1"/>
  <c r="BI15" i="6"/>
  <c r="BL12" i="6"/>
  <c r="BL12" i="1" s="1"/>
  <c r="BF18" i="6"/>
  <c r="BC21" i="6"/>
  <c r="BC22" i="6" s="1"/>
  <c r="BJ14" i="6"/>
  <c r="BE19" i="6"/>
  <c r="BE19" i="1" s="1"/>
  <c r="AV27" i="6"/>
  <c r="AY24" i="6"/>
  <c r="AW26" i="6"/>
  <c r="AX25" i="6"/>
  <c r="BN10" i="6"/>
  <c r="BN10" i="1" s="1"/>
  <c r="BD20" i="6"/>
  <c r="BP8" i="6"/>
  <c r="BP8" i="1" s="1"/>
  <c r="BO9" i="6"/>
  <c r="BO9" i="1" s="1"/>
  <c r="BG17" i="6"/>
  <c r="BG17" i="1" s="1"/>
  <c r="BM11" i="6"/>
  <c r="BM11" i="1" s="1"/>
  <c r="BK13" i="6"/>
  <c r="BS7" i="4"/>
  <c r="BP47" i="6"/>
  <c r="BP6" i="6" s="1"/>
  <c r="BP47" i="4"/>
  <c r="BP6" i="4" s="1"/>
  <c r="BQ47" i="1"/>
  <c r="BP6" i="1"/>
  <c r="AR31" i="1" l="1"/>
  <c r="AT29" i="1"/>
  <c r="AU30" i="6" s="1"/>
  <c r="AQ32" i="1"/>
  <c r="BH16" i="1"/>
  <c r="BI15" i="1"/>
  <c r="AY24" i="1"/>
  <c r="AV27" i="1"/>
  <c r="AN81" i="1"/>
  <c r="AN80" i="1" s="1"/>
  <c r="AN79" i="1" s="1"/>
  <c r="AN78" i="1" s="1"/>
  <c r="AN77" i="1" s="1"/>
  <c r="AN76" i="1" s="1"/>
  <c r="AN75" i="1" s="1"/>
  <c r="AN74" i="1" s="1"/>
  <c r="AN73" i="1" s="1"/>
  <c r="AN72" i="1" s="1"/>
  <c r="AN71" i="1" s="1"/>
  <c r="AN70" i="1" s="1"/>
  <c r="AN69" i="1" s="1"/>
  <c r="AN68" i="1" s="1"/>
  <c r="AN67" i="1" s="1"/>
  <c r="AN66" i="1" s="1"/>
  <c r="AN65" i="1" s="1"/>
  <c r="AN64" i="1" s="1"/>
  <c r="AN63" i="1" s="1"/>
  <c r="AN62" i="1" s="1"/>
  <c r="AN61" i="1" s="1"/>
  <c r="AN60" i="1" s="1"/>
  <c r="AN59" i="1" s="1"/>
  <c r="AN58" i="1" s="1"/>
  <c r="AN57" i="1" s="1"/>
  <c r="AN56" i="1" s="1"/>
  <c r="AN55" i="1" s="1"/>
  <c r="AN54" i="1" s="1"/>
  <c r="AQ33" i="6"/>
  <c r="AQ33" i="1" s="1"/>
  <c r="AR32" i="6"/>
  <c r="BJ15" i="6"/>
  <c r="BB22" i="1"/>
  <c r="BC22" i="1" s="1"/>
  <c r="AO34" i="1"/>
  <c r="AO81" i="1" s="1"/>
  <c r="AO80" i="1" s="1"/>
  <c r="AO79" i="1" s="1"/>
  <c r="AO78" i="1" s="1"/>
  <c r="AO77" i="1" s="1"/>
  <c r="AO76" i="1" s="1"/>
  <c r="AO75" i="1" s="1"/>
  <c r="AO74" i="1" s="1"/>
  <c r="AO73" i="1" s="1"/>
  <c r="AO72" i="1" s="1"/>
  <c r="AO71" i="1" s="1"/>
  <c r="AO70" i="1" s="1"/>
  <c r="AO69" i="1" s="1"/>
  <c r="AO68" i="1" s="1"/>
  <c r="AO67" i="1" s="1"/>
  <c r="AO66" i="1" s="1"/>
  <c r="AO65" i="1" s="1"/>
  <c r="AO64" i="1" s="1"/>
  <c r="AO63" i="1" s="1"/>
  <c r="AO62" i="1" s="1"/>
  <c r="AO61" i="1" s="1"/>
  <c r="AO60" i="1" s="1"/>
  <c r="AO59" i="1" s="1"/>
  <c r="AO58" i="1" s="1"/>
  <c r="AO57" i="1" s="1"/>
  <c r="AO56" i="1" s="1"/>
  <c r="AO55" i="1" s="1"/>
  <c r="AO54" i="1" s="1"/>
  <c r="AP34" i="6"/>
  <c r="BA23" i="1"/>
  <c r="AX25" i="1"/>
  <c r="BF18" i="1"/>
  <c r="AU28" i="1"/>
  <c r="AW26" i="1"/>
  <c r="BK13" i="1"/>
  <c r="BH17" i="6"/>
  <c r="BH17" i="1" s="1"/>
  <c r="AT30" i="6"/>
  <c r="AT31" i="6" s="1"/>
  <c r="AS31" i="6"/>
  <c r="BD20" i="1"/>
  <c r="BJ14" i="1"/>
  <c r="BC21" i="1"/>
  <c r="BI16" i="6"/>
  <c r="BF19" i="6"/>
  <c r="BF19" i="1" s="1"/>
  <c r="BL13" i="6"/>
  <c r="AY25" i="6"/>
  <c r="BE20" i="6"/>
  <c r="BK14" i="6"/>
  <c r="BB23" i="6"/>
  <c r="BO10" i="6"/>
  <c r="BO10" i="1" s="1"/>
  <c r="AV28" i="6"/>
  <c r="BM12" i="6"/>
  <c r="BM12" i="1" s="1"/>
  <c r="AZ24" i="6"/>
  <c r="AX26" i="6"/>
  <c r="AW27" i="6"/>
  <c r="BN11" i="6"/>
  <c r="BN11" i="1" s="1"/>
  <c r="BG18" i="6"/>
  <c r="BP9" i="6"/>
  <c r="BP9" i="1" s="1"/>
  <c r="BD21" i="6"/>
  <c r="BQ8" i="6"/>
  <c r="BQ8" i="1" s="1"/>
  <c r="BT7" i="4"/>
  <c r="BQ47" i="6"/>
  <c r="BQ6" i="6" s="1"/>
  <c r="BQ47" i="4"/>
  <c r="BQ6" i="4" s="1"/>
  <c r="BR47" i="1"/>
  <c r="BQ6" i="1"/>
  <c r="AU29" i="1" l="1"/>
  <c r="AR33" i="6"/>
  <c r="AR33" i="1" s="1"/>
  <c r="AR80" i="1" s="1"/>
  <c r="AW27" i="1"/>
  <c r="AZ24" i="1"/>
  <c r="BJ16" i="6"/>
  <c r="AQ34" i="6"/>
  <c r="AR32" i="1"/>
  <c r="BJ15" i="1"/>
  <c r="BC23" i="6"/>
  <c r="AP34" i="1"/>
  <c r="AP81" i="1" s="1"/>
  <c r="AP80" i="1" s="1"/>
  <c r="AP79" i="1" s="1"/>
  <c r="AP78" i="1" s="1"/>
  <c r="AP77" i="1" s="1"/>
  <c r="AP76" i="1" s="1"/>
  <c r="AP75" i="1" s="1"/>
  <c r="AP74" i="1" s="1"/>
  <c r="AP73" i="1" s="1"/>
  <c r="AP72" i="1" s="1"/>
  <c r="AP71" i="1" s="1"/>
  <c r="AP70" i="1" s="1"/>
  <c r="AP69" i="1" s="1"/>
  <c r="AP68" i="1" s="1"/>
  <c r="AP67" i="1" s="1"/>
  <c r="AP66" i="1" s="1"/>
  <c r="AP65" i="1" s="1"/>
  <c r="AP64" i="1" s="1"/>
  <c r="AP63" i="1" s="1"/>
  <c r="AP62" i="1" s="1"/>
  <c r="AP61" i="1" s="1"/>
  <c r="AP60" i="1" s="1"/>
  <c r="AP59" i="1" s="1"/>
  <c r="AP58" i="1" s="1"/>
  <c r="AP57" i="1" s="1"/>
  <c r="AP56" i="1" s="1"/>
  <c r="AP55" i="1" s="1"/>
  <c r="AP54" i="1" s="1"/>
  <c r="BB23" i="1"/>
  <c r="AY25" i="1"/>
  <c r="AT30" i="1"/>
  <c r="AU30" i="1" s="1"/>
  <c r="BG18" i="1"/>
  <c r="BL13" i="1"/>
  <c r="AX26" i="1"/>
  <c r="BK14" i="1"/>
  <c r="BE20" i="1"/>
  <c r="BD21" i="1"/>
  <c r="AS31" i="1"/>
  <c r="AT32" i="6" s="1"/>
  <c r="AS32" i="6"/>
  <c r="BD22" i="6"/>
  <c r="BD22" i="1" s="1"/>
  <c r="BI17" i="6"/>
  <c r="BI17" i="1" s="1"/>
  <c r="BI16" i="1"/>
  <c r="BL14" i="6"/>
  <c r="BF20" i="6"/>
  <c r="BK15" i="6"/>
  <c r="AV29" i="6"/>
  <c r="AV28" i="1"/>
  <c r="BM13" i="6"/>
  <c r="BE21" i="6"/>
  <c r="BO11" i="6"/>
  <c r="BO11" i="1" s="1"/>
  <c r="BH18" i="6"/>
  <c r="AX27" i="6"/>
  <c r="AY26" i="6"/>
  <c r="BA24" i="6"/>
  <c r="AW28" i="6"/>
  <c r="AZ25" i="6"/>
  <c r="BP10" i="6"/>
  <c r="BP10" i="1" s="1"/>
  <c r="BG19" i="6"/>
  <c r="BG19" i="1" s="1"/>
  <c r="BR8" i="6"/>
  <c r="BR8" i="1" s="1"/>
  <c r="BQ9" i="6"/>
  <c r="BQ9" i="1" s="1"/>
  <c r="BN12" i="6"/>
  <c r="BN12" i="1" s="1"/>
  <c r="BU7" i="4"/>
  <c r="BR47" i="6"/>
  <c r="BR6" i="6" s="1"/>
  <c r="BR47" i="4"/>
  <c r="BR6" i="4" s="1"/>
  <c r="BS47" i="1"/>
  <c r="BR6" i="1"/>
  <c r="AV29" i="1" l="1"/>
  <c r="AX27" i="1"/>
  <c r="BK15" i="1"/>
  <c r="BJ16" i="1"/>
  <c r="BA24" i="1"/>
  <c r="AR79" i="1"/>
  <c r="AR78" i="1" s="1"/>
  <c r="AR77" i="1" s="1"/>
  <c r="AR76" i="1" s="1"/>
  <c r="AR75" i="1" s="1"/>
  <c r="AR74" i="1" s="1"/>
  <c r="AR73" i="1" s="1"/>
  <c r="AR72" i="1" s="1"/>
  <c r="AR71" i="1" s="1"/>
  <c r="AR70" i="1" s="1"/>
  <c r="AR69" i="1" s="1"/>
  <c r="AR68" i="1" s="1"/>
  <c r="AR67" i="1" s="1"/>
  <c r="AR66" i="1" s="1"/>
  <c r="AR65" i="1" s="1"/>
  <c r="AR64" i="1" s="1"/>
  <c r="AR63" i="1" s="1"/>
  <c r="AR62" i="1" s="1"/>
  <c r="AR61" i="1" s="1"/>
  <c r="AR60" i="1" s="1"/>
  <c r="AR59" i="1" s="1"/>
  <c r="AR58" i="1" s="1"/>
  <c r="AR57" i="1" s="1"/>
  <c r="AR56" i="1" s="1"/>
  <c r="AR55" i="1" s="1"/>
  <c r="AR54" i="1" s="1"/>
  <c r="AQ34" i="1"/>
  <c r="AQ81" i="1" s="1"/>
  <c r="AQ80" i="1" s="1"/>
  <c r="AQ79" i="1" s="1"/>
  <c r="AQ78" i="1" s="1"/>
  <c r="AQ77" i="1" s="1"/>
  <c r="AQ76" i="1" s="1"/>
  <c r="AQ75" i="1" s="1"/>
  <c r="AQ74" i="1" s="1"/>
  <c r="AQ73" i="1" s="1"/>
  <c r="AQ72" i="1" s="1"/>
  <c r="AQ71" i="1" s="1"/>
  <c r="AQ70" i="1" s="1"/>
  <c r="AQ69" i="1" s="1"/>
  <c r="AQ68" i="1" s="1"/>
  <c r="AQ67" i="1" s="1"/>
  <c r="AQ66" i="1" s="1"/>
  <c r="AQ65" i="1" s="1"/>
  <c r="AQ64" i="1" s="1"/>
  <c r="AQ63" i="1" s="1"/>
  <c r="AQ62" i="1" s="1"/>
  <c r="AQ61" i="1" s="1"/>
  <c r="AQ60" i="1" s="1"/>
  <c r="AQ59" i="1" s="1"/>
  <c r="AQ58" i="1" s="1"/>
  <c r="AQ57" i="1" s="1"/>
  <c r="AQ56" i="1" s="1"/>
  <c r="AQ55" i="1" s="1"/>
  <c r="AQ54" i="1" s="1"/>
  <c r="AS32" i="1"/>
  <c r="AT32" i="1" s="1"/>
  <c r="BC23" i="1"/>
  <c r="AU31" i="6"/>
  <c r="BD23" i="6"/>
  <c r="AZ25" i="1"/>
  <c r="BM13" i="1"/>
  <c r="BH18" i="1"/>
  <c r="AY26" i="1"/>
  <c r="BF20" i="1"/>
  <c r="BL14" i="1"/>
  <c r="BE21" i="1"/>
  <c r="AV30" i="6"/>
  <c r="AV30" i="1" s="1"/>
  <c r="BJ17" i="6"/>
  <c r="BJ17" i="1" s="1"/>
  <c r="BK16" i="6"/>
  <c r="AS33" i="6"/>
  <c r="AS33" i="1" s="1"/>
  <c r="AS80" i="1" s="1"/>
  <c r="BI18" i="6"/>
  <c r="BF21" i="6"/>
  <c r="AT31" i="1"/>
  <c r="BL15" i="6"/>
  <c r="BE22" i="6"/>
  <c r="BE22" i="1" s="1"/>
  <c r="AW28" i="1"/>
  <c r="BM14" i="6"/>
  <c r="BG20" i="6"/>
  <c r="AW29" i="6"/>
  <c r="BO12" i="6"/>
  <c r="BO12" i="1" s="1"/>
  <c r="BQ10" i="6"/>
  <c r="BQ10" i="1" s="1"/>
  <c r="BH19" i="6"/>
  <c r="BH19" i="1" s="1"/>
  <c r="BN13" i="6"/>
  <c r="AY27" i="6"/>
  <c r="AX28" i="6"/>
  <c r="BB24" i="6"/>
  <c r="AZ26" i="6"/>
  <c r="BA25" i="6"/>
  <c r="BR9" i="6"/>
  <c r="BR9" i="1" s="1"/>
  <c r="BP11" i="6"/>
  <c r="BP11" i="1" s="1"/>
  <c r="BS8" i="6"/>
  <c r="BS8" i="1" s="1"/>
  <c r="BV7" i="4"/>
  <c r="BS47" i="6"/>
  <c r="BS6" i="6" s="1"/>
  <c r="BS47" i="4"/>
  <c r="BS6" i="4" s="1"/>
  <c r="BT47" i="1"/>
  <c r="BS6" i="1"/>
  <c r="AW30" i="6" l="1"/>
  <c r="AW31" i="6" s="1"/>
  <c r="AY27" i="1"/>
  <c r="BL15" i="1"/>
  <c r="BB24" i="1"/>
  <c r="BK16" i="1"/>
  <c r="AS79" i="1"/>
  <c r="AS78" i="1" s="1"/>
  <c r="AS77" i="1" s="1"/>
  <c r="AS76" i="1" s="1"/>
  <c r="AS75" i="1" s="1"/>
  <c r="AS74" i="1" s="1"/>
  <c r="AS73" i="1" s="1"/>
  <c r="AS72" i="1" s="1"/>
  <c r="AS71" i="1" s="1"/>
  <c r="AS70" i="1" s="1"/>
  <c r="AS69" i="1" s="1"/>
  <c r="AS68" i="1" s="1"/>
  <c r="AS67" i="1" s="1"/>
  <c r="AS66" i="1" s="1"/>
  <c r="AS65" i="1" s="1"/>
  <c r="AS64" i="1" s="1"/>
  <c r="AS63" i="1" s="1"/>
  <c r="AS62" i="1" s="1"/>
  <c r="AS61" i="1" s="1"/>
  <c r="AS60" i="1" s="1"/>
  <c r="AS59" i="1" s="1"/>
  <c r="AS58" i="1" s="1"/>
  <c r="AS57" i="1" s="1"/>
  <c r="AS56" i="1" s="1"/>
  <c r="AS55" i="1" s="1"/>
  <c r="AS54" i="1" s="1"/>
  <c r="AT33" i="6"/>
  <c r="AT33" i="1" s="1"/>
  <c r="AT80" i="1" s="1"/>
  <c r="AT79" i="1" s="1"/>
  <c r="AT78" i="1" s="1"/>
  <c r="AT77" i="1" s="1"/>
  <c r="AT76" i="1" s="1"/>
  <c r="AT75" i="1" s="1"/>
  <c r="AT74" i="1" s="1"/>
  <c r="AT73" i="1" s="1"/>
  <c r="AT72" i="1" s="1"/>
  <c r="AT71" i="1" s="1"/>
  <c r="AT70" i="1" s="1"/>
  <c r="AT69" i="1" s="1"/>
  <c r="AT68" i="1" s="1"/>
  <c r="AT67" i="1" s="1"/>
  <c r="AT66" i="1" s="1"/>
  <c r="AT65" i="1" s="1"/>
  <c r="AT64" i="1" s="1"/>
  <c r="AT63" i="1" s="1"/>
  <c r="AT62" i="1" s="1"/>
  <c r="AT61" i="1" s="1"/>
  <c r="AT60" i="1" s="1"/>
  <c r="AT59" i="1" s="1"/>
  <c r="AT58" i="1" s="1"/>
  <c r="AT57" i="1" s="1"/>
  <c r="AT56" i="1" s="1"/>
  <c r="AT55" i="1" s="1"/>
  <c r="AT54" i="1" s="1"/>
  <c r="BA25" i="1"/>
  <c r="BD23" i="1"/>
  <c r="AU31" i="1"/>
  <c r="BI19" i="6"/>
  <c r="BI19" i="1" s="1"/>
  <c r="BG20" i="1"/>
  <c r="BM14" i="1"/>
  <c r="BN13" i="1"/>
  <c r="AZ26" i="1"/>
  <c r="BL16" i="6"/>
  <c r="BJ18" i="6"/>
  <c r="BK17" i="6"/>
  <c r="BK17" i="1" s="1"/>
  <c r="BF21" i="1"/>
  <c r="AV31" i="6"/>
  <c r="BI18" i="1"/>
  <c r="AX28" i="1"/>
  <c r="BE23" i="6"/>
  <c r="AU32" i="6"/>
  <c r="AU32" i="1" s="1"/>
  <c r="AU79" i="1" s="1"/>
  <c r="AW29" i="1"/>
  <c r="BG21" i="6"/>
  <c r="BM15" i="6"/>
  <c r="BF22" i="6"/>
  <c r="BF23" i="6" s="1"/>
  <c r="BN14" i="6"/>
  <c r="BH20" i="6"/>
  <c r="AZ27" i="6"/>
  <c r="BQ11" i="6"/>
  <c r="BQ11" i="1" s="1"/>
  <c r="AX29" i="6"/>
  <c r="BA26" i="6"/>
  <c r="AY28" i="6"/>
  <c r="BB25" i="6"/>
  <c r="BC24" i="6"/>
  <c r="BT8" i="6"/>
  <c r="BT8" i="1" s="1"/>
  <c r="BS9" i="6"/>
  <c r="BS9" i="1" s="1"/>
  <c r="BP12" i="6"/>
  <c r="BP12" i="1" s="1"/>
  <c r="BR10" i="6"/>
  <c r="BR10" i="1" s="1"/>
  <c r="BO13" i="6"/>
  <c r="BW7" i="4"/>
  <c r="BT47" i="6"/>
  <c r="BT6" i="6" s="1"/>
  <c r="BT47" i="4"/>
  <c r="BT6" i="4" s="1"/>
  <c r="BU47" i="1"/>
  <c r="BT6" i="1"/>
  <c r="AW30" i="1" l="1"/>
  <c r="AZ27" i="1"/>
  <c r="BM16" i="6"/>
  <c r="BC24" i="1"/>
  <c r="BL16" i="1"/>
  <c r="AU78" i="1"/>
  <c r="AU77" i="1" s="1"/>
  <c r="AU76" i="1" s="1"/>
  <c r="AU75" i="1" s="1"/>
  <c r="AU74" i="1" s="1"/>
  <c r="AU73" i="1" s="1"/>
  <c r="AU72" i="1" s="1"/>
  <c r="AU71" i="1" s="1"/>
  <c r="AU70" i="1" s="1"/>
  <c r="AU69" i="1" s="1"/>
  <c r="AU68" i="1" s="1"/>
  <c r="AU67" i="1" s="1"/>
  <c r="AU66" i="1" s="1"/>
  <c r="AU65" i="1" s="1"/>
  <c r="AU64" i="1" s="1"/>
  <c r="AU63" i="1" s="1"/>
  <c r="AU62" i="1" s="1"/>
  <c r="AU61" i="1" s="1"/>
  <c r="AU60" i="1" s="1"/>
  <c r="AU59" i="1" s="1"/>
  <c r="AU58" i="1" s="1"/>
  <c r="AU57" i="1" s="1"/>
  <c r="AU56" i="1" s="1"/>
  <c r="AU55" i="1" s="1"/>
  <c r="AU54" i="1" s="1"/>
  <c r="BB25" i="1"/>
  <c r="BE23" i="1"/>
  <c r="BF23" i="1" s="1"/>
  <c r="BO13" i="1"/>
  <c r="BI20" i="6"/>
  <c r="AV32" i="6"/>
  <c r="AV32" i="1" s="1"/>
  <c r="AV79" i="1" s="1"/>
  <c r="BH20" i="1"/>
  <c r="BA26" i="1"/>
  <c r="BL17" i="6"/>
  <c r="BL17" i="1" s="1"/>
  <c r="BK18" i="6"/>
  <c r="BJ19" i="6"/>
  <c r="BJ19" i="1" s="1"/>
  <c r="BN14" i="1"/>
  <c r="BJ18" i="1"/>
  <c r="AV31" i="1"/>
  <c r="AW32" i="6" s="1"/>
  <c r="BG22" i="6"/>
  <c r="AX29" i="1"/>
  <c r="BM15" i="1"/>
  <c r="BG21" i="1"/>
  <c r="BF22" i="1"/>
  <c r="AY29" i="6"/>
  <c r="AY28" i="1"/>
  <c r="BB26" i="6"/>
  <c r="BN15" i="6"/>
  <c r="AX30" i="6"/>
  <c r="BO14" i="6"/>
  <c r="BP13" i="6"/>
  <c r="BQ12" i="6"/>
  <c r="BQ12" i="1" s="1"/>
  <c r="BH21" i="6"/>
  <c r="BD24" i="6"/>
  <c r="BC25" i="6"/>
  <c r="BA27" i="6"/>
  <c r="AZ28" i="6"/>
  <c r="BS10" i="6"/>
  <c r="BS10" i="1" s="1"/>
  <c r="BU8" i="6"/>
  <c r="BU8" i="1" s="1"/>
  <c r="BT9" i="6"/>
  <c r="BT9" i="1" s="1"/>
  <c r="BR11" i="6"/>
  <c r="BR11" i="1" s="1"/>
  <c r="BX7" i="4"/>
  <c r="BU47" i="6"/>
  <c r="BU6" i="6" s="1"/>
  <c r="BU47" i="4"/>
  <c r="BU6" i="4" s="1"/>
  <c r="BV47" i="1"/>
  <c r="BU6" i="1"/>
  <c r="BA27" i="1" l="1"/>
  <c r="BM16" i="1"/>
  <c r="BD24" i="1"/>
  <c r="BM17" i="6"/>
  <c r="BM17" i="1" s="1"/>
  <c r="AY30" i="6"/>
  <c r="AV78" i="1"/>
  <c r="AV77" i="1" s="1"/>
  <c r="AV76" i="1" s="1"/>
  <c r="AV75" i="1" s="1"/>
  <c r="AV74" i="1" s="1"/>
  <c r="AV73" i="1" s="1"/>
  <c r="AV72" i="1" s="1"/>
  <c r="AV71" i="1" s="1"/>
  <c r="AV70" i="1" s="1"/>
  <c r="AV69" i="1" s="1"/>
  <c r="AV68" i="1" s="1"/>
  <c r="AV67" i="1" s="1"/>
  <c r="AV66" i="1" s="1"/>
  <c r="AV65" i="1" s="1"/>
  <c r="AV64" i="1" s="1"/>
  <c r="AV63" i="1" s="1"/>
  <c r="AV62" i="1" s="1"/>
  <c r="AV61" i="1" s="1"/>
  <c r="AV60" i="1" s="1"/>
  <c r="AV59" i="1" s="1"/>
  <c r="AV58" i="1" s="1"/>
  <c r="AV57" i="1" s="1"/>
  <c r="AV56" i="1" s="1"/>
  <c r="AV55" i="1" s="1"/>
  <c r="AV54" i="1" s="1"/>
  <c r="BC25" i="1"/>
  <c r="BP13" i="1"/>
  <c r="BI21" i="6"/>
  <c r="BI20" i="1"/>
  <c r="BL18" i="6"/>
  <c r="BB26" i="1"/>
  <c r="BO14" i="1"/>
  <c r="AW31" i="1"/>
  <c r="BK18" i="1"/>
  <c r="BK19" i="6"/>
  <c r="BK19" i="1" s="1"/>
  <c r="BJ20" i="6"/>
  <c r="BG22" i="1"/>
  <c r="AW32" i="1"/>
  <c r="AW79" i="1" s="1"/>
  <c r="BN15" i="1"/>
  <c r="AZ29" i="6"/>
  <c r="BH21" i="1"/>
  <c r="AY29" i="1"/>
  <c r="AX31" i="6"/>
  <c r="AX30" i="1"/>
  <c r="BG23" i="6"/>
  <c r="BG23" i="1" s="1"/>
  <c r="BN16" i="6"/>
  <c r="BO15" i="6"/>
  <c r="AZ28" i="1"/>
  <c r="BQ13" i="6"/>
  <c r="BP14" i="6"/>
  <c r="BD25" i="6"/>
  <c r="BA28" i="6"/>
  <c r="BC26" i="6"/>
  <c r="BB27" i="6"/>
  <c r="BE24" i="6"/>
  <c r="BU9" i="6"/>
  <c r="BU9" i="1" s="1"/>
  <c r="BS11" i="6"/>
  <c r="BS11" i="1" s="1"/>
  <c r="BV8" i="6"/>
  <c r="BV8" i="1" s="1"/>
  <c r="BT10" i="6"/>
  <c r="BT10" i="1" s="1"/>
  <c r="BR12" i="6"/>
  <c r="BR12" i="1" s="1"/>
  <c r="BH22" i="6"/>
  <c r="BY7" i="4"/>
  <c r="BV47" i="6"/>
  <c r="BV6" i="6" s="1"/>
  <c r="BV47" i="4"/>
  <c r="BV6" i="4" s="1"/>
  <c r="BW47" i="1"/>
  <c r="BV6" i="1"/>
  <c r="BB27" i="1" l="1"/>
  <c r="BN16" i="1"/>
  <c r="BE24" i="1"/>
  <c r="BP14" i="1"/>
  <c r="BM18" i="6"/>
  <c r="BO15" i="1"/>
  <c r="BJ20" i="1"/>
  <c r="AY31" i="6"/>
  <c r="AW78" i="1"/>
  <c r="AW77" i="1" s="1"/>
  <c r="AW76" i="1" s="1"/>
  <c r="AW75" i="1" s="1"/>
  <c r="AW74" i="1" s="1"/>
  <c r="AW73" i="1" s="1"/>
  <c r="AW72" i="1" s="1"/>
  <c r="AW71" i="1" s="1"/>
  <c r="AW70" i="1" s="1"/>
  <c r="AW69" i="1" s="1"/>
  <c r="AW68" i="1" s="1"/>
  <c r="AW67" i="1" s="1"/>
  <c r="AW66" i="1" s="1"/>
  <c r="AW65" i="1" s="1"/>
  <c r="AW64" i="1" s="1"/>
  <c r="AW63" i="1" s="1"/>
  <c r="AW62" i="1" s="1"/>
  <c r="AW61" i="1" s="1"/>
  <c r="AW60" i="1" s="1"/>
  <c r="AW59" i="1" s="1"/>
  <c r="AW58" i="1" s="1"/>
  <c r="AW57" i="1" s="1"/>
  <c r="AW56" i="1" s="1"/>
  <c r="AW55" i="1" s="1"/>
  <c r="AW54" i="1" s="1"/>
  <c r="BD25" i="1"/>
  <c r="BQ13" i="1"/>
  <c r="BI22" i="6"/>
  <c r="BL18" i="1"/>
  <c r="AX31" i="1"/>
  <c r="BH22" i="1"/>
  <c r="BC26" i="1"/>
  <c r="BK20" i="6"/>
  <c r="AZ30" i="6"/>
  <c r="AZ29" i="1"/>
  <c r="BI21" i="1"/>
  <c r="AY30" i="1"/>
  <c r="BA28" i="1"/>
  <c r="BQ14" i="6"/>
  <c r="BN17" i="6"/>
  <c r="BN17" i="1" s="1"/>
  <c r="BO16" i="6"/>
  <c r="BP15" i="6"/>
  <c r="BP15" i="1" s="1"/>
  <c r="BA29" i="6"/>
  <c r="BR13" i="6"/>
  <c r="BD26" i="6"/>
  <c r="BT11" i="6"/>
  <c r="BT11" i="1" s="1"/>
  <c r="BE25" i="6"/>
  <c r="BG24" i="6"/>
  <c r="BF24" i="6"/>
  <c r="BC27" i="6"/>
  <c r="BB28" i="6"/>
  <c r="BH23" i="6"/>
  <c r="BH23" i="1" s="1"/>
  <c r="BW8" i="6"/>
  <c r="BW8" i="1" s="1"/>
  <c r="BS12" i="6"/>
  <c r="BS12" i="1" s="1"/>
  <c r="BJ21" i="6"/>
  <c r="BV9" i="6"/>
  <c r="BV9" i="1" s="1"/>
  <c r="BU10" i="6"/>
  <c r="BU10" i="1" s="1"/>
  <c r="BL19" i="6"/>
  <c r="BL19" i="1" s="1"/>
  <c r="BZ7" i="4"/>
  <c r="BW47" i="6"/>
  <c r="BW6" i="6" s="1"/>
  <c r="BW47" i="4"/>
  <c r="BW6" i="4" s="1"/>
  <c r="BX47" i="1"/>
  <c r="BW6" i="1"/>
  <c r="BC27" i="1" l="1"/>
  <c r="BO17" i="6"/>
  <c r="BO17" i="1" s="1"/>
  <c r="BF24" i="1"/>
  <c r="BG25" i="6" s="1"/>
  <c r="BM18" i="1"/>
  <c r="BQ14" i="1"/>
  <c r="BK20" i="1"/>
  <c r="AY31" i="1"/>
  <c r="AY78" i="1" s="1"/>
  <c r="AY77" i="1" s="1"/>
  <c r="AY76" i="1" s="1"/>
  <c r="AY75" i="1" s="1"/>
  <c r="AY74" i="1" s="1"/>
  <c r="AY73" i="1" s="1"/>
  <c r="AY72" i="1" s="1"/>
  <c r="AY71" i="1" s="1"/>
  <c r="AY70" i="1" s="1"/>
  <c r="AY69" i="1" s="1"/>
  <c r="AY68" i="1" s="1"/>
  <c r="AY67" i="1" s="1"/>
  <c r="AY66" i="1" s="1"/>
  <c r="AY65" i="1" s="1"/>
  <c r="AY64" i="1" s="1"/>
  <c r="AY63" i="1" s="1"/>
  <c r="AY62" i="1" s="1"/>
  <c r="AY61" i="1" s="1"/>
  <c r="AY60" i="1" s="1"/>
  <c r="AY59" i="1" s="1"/>
  <c r="AY58" i="1" s="1"/>
  <c r="AY57" i="1" s="1"/>
  <c r="AY56" i="1" s="1"/>
  <c r="AY55" i="1" s="1"/>
  <c r="AY54" i="1" s="1"/>
  <c r="AX78" i="1"/>
  <c r="AX77" i="1" s="1"/>
  <c r="AX76" i="1" s="1"/>
  <c r="AX75" i="1" s="1"/>
  <c r="AX74" i="1" s="1"/>
  <c r="AX73" i="1" s="1"/>
  <c r="AX72" i="1" s="1"/>
  <c r="AX71" i="1" s="1"/>
  <c r="AX70" i="1" s="1"/>
  <c r="AX69" i="1" s="1"/>
  <c r="AX68" i="1" s="1"/>
  <c r="AX67" i="1" s="1"/>
  <c r="AX66" i="1" s="1"/>
  <c r="AX65" i="1" s="1"/>
  <c r="AX64" i="1" s="1"/>
  <c r="AX63" i="1" s="1"/>
  <c r="AX62" i="1" s="1"/>
  <c r="AX61" i="1" s="1"/>
  <c r="AX60" i="1" s="1"/>
  <c r="AX59" i="1" s="1"/>
  <c r="AX58" i="1" s="1"/>
  <c r="AX57" i="1" s="1"/>
  <c r="AX56" i="1" s="1"/>
  <c r="AX55" i="1" s="1"/>
  <c r="AX54" i="1" s="1"/>
  <c r="BE25" i="1"/>
  <c r="BR13" i="1"/>
  <c r="BK21" i="6"/>
  <c r="BM19" i="6"/>
  <c r="BM20" i="6" s="1"/>
  <c r="BI22" i="1"/>
  <c r="BI23" i="6"/>
  <c r="BI23" i="1" s="1"/>
  <c r="BD26" i="1"/>
  <c r="BA30" i="6"/>
  <c r="AZ30" i="1"/>
  <c r="BJ22" i="6"/>
  <c r="BB28" i="1"/>
  <c r="BQ15" i="6"/>
  <c r="BQ15" i="1" s="1"/>
  <c r="AZ31" i="6"/>
  <c r="BN18" i="6"/>
  <c r="BA29" i="1"/>
  <c r="BJ21" i="1"/>
  <c r="BO16" i="1"/>
  <c r="BP16" i="6"/>
  <c r="BB29" i="6"/>
  <c r="BH24" i="6"/>
  <c r="BF25" i="6"/>
  <c r="BD27" i="6"/>
  <c r="BC28" i="6"/>
  <c r="BE26" i="6"/>
  <c r="BS13" i="6"/>
  <c r="BX8" i="6"/>
  <c r="BX8" i="1" s="1"/>
  <c r="BV10" i="6"/>
  <c r="BV10" i="1" s="1"/>
  <c r="BW9" i="6"/>
  <c r="BW9" i="1" s="1"/>
  <c r="BU11" i="6"/>
  <c r="BU11" i="1" s="1"/>
  <c r="BT12" i="6"/>
  <c r="BT12" i="1" s="1"/>
  <c r="BR14" i="6"/>
  <c r="BL20" i="6"/>
  <c r="CA7" i="4"/>
  <c r="BX47" i="6"/>
  <c r="BX6" i="6" s="1"/>
  <c r="BX47" i="4"/>
  <c r="BX6" i="4" s="1"/>
  <c r="BY47" i="1"/>
  <c r="BX6" i="1"/>
  <c r="BD27" i="1" l="1"/>
  <c r="BO18" i="6"/>
  <c r="BG24" i="1"/>
  <c r="BN18" i="1"/>
  <c r="BR14" i="1"/>
  <c r="BL20" i="1"/>
  <c r="BM21" i="6" s="1"/>
  <c r="BK22" i="6"/>
  <c r="BM19" i="1"/>
  <c r="AZ31" i="1"/>
  <c r="AZ78" i="1" s="1"/>
  <c r="AZ77" i="1" s="1"/>
  <c r="AZ76" i="1" s="1"/>
  <c r="AZ75" i="1" s="1"/>
  <c r="AZ74" i="1" s="1"/>
  <c r="AZ73" i="1" s="1"/>
  <c r="AZ72" i="1" s="1"/>
  <c r="AZ71" i="1" s="1"/>
  <c r="AZ70" i="1" s="1"/>
  <c r="AZ69" i="1" s="1"/>
  <c r="AZ68" i="1" s="1"/>
  <c r="AZ67" i="1" s="1"/>
  <c r="AZ66" i="1" s="1"/>
  <c r="AZ65" i="1" s="1"/>
  <c r="AZ64" i="1" s="1"/>
  <c r="AZ63" i="1" s="1"/>
  <c r="AZ62" i="1" s="1"/>
  <c r="AZ61" i="1" s="1"/>
  <c r="AZ60" i="1" s="1"/>
  <c r="AZ59" i="1" s="1"/>
  <c r="AZ58" i="1" s="1"/>
  <c r="AZ57" i="1" s="1"/>
  <c r="AZ56" i="1" s="1"/>
  <c r="AZ55" i="1" s="1"/>
  <c r="AZ54" i="1" s="1"/>
  <c r="BF25" i="1"/>
  <c r="BG25" i="1" s="1"/>
  <c r="BS13" i="1"/>
  <c r="BJ23" i="6"/>
  <c r="BJ23" i="1" s="1"/>
  <c r="BE26" i="1"/>
  <c r="BC28" i="1"/>
  <c r="BN19" i="6"/>
  <c r="BA30" i="1"/>
  <c r="BA77" i="1" s="1"/>
  <c r="BA76" i="1" s="1"/>
  <c r="BA75" i="1" s="1"/>
  <c r="BA74" i="1" s="1"/>
  <c r="BA73" i="1" s="1"/>
  <c r="BA72" i="1" s="1"/>
  <c r="BA71" i="1" s="1"/>
  <c r="BA70" i="1" s="1"/>
  <c r="BA69" i="1" s="1"/>
  <c r="BA68" i="1" s="1"/>
  <c r="BA67" i="1" s="1"/>
  <c r="BA66" i="1" s="1"/>
  <c r="BA65" i="1" s="1"/>
  <c r="BA64" i="1" s="1"/>
  <c r="BA63" i="1" s="1"/>
  <c r="BA62" i="1" s="1"/>
  <c r="BA61" i="1" s="1"/>
  <c r="BA60" i="1" s="1"/>
  <c r="BA59" i="1" s="1"/>
  <c r="BA58" i="1" s="1"/>
  <c r="BA57" i="1" s="1"/>
  <c r="BA56" i="1" s="1"/>
  <c r="BA55" i="1" s="1"/>
  <c r="BA54" i="1" s="1"/>
  <c r="BJ22" i="1"/>
  <c r="BQ16" i="6"/>
  <c r="BH24" i="1"/>
  <c r="BK21" i="1"/>
  <c r="BP16" i="1"/>
  <c r="BS14" i="6"/>
  <c r="BP17" i="6"/>
  <c r="BP17" i="1" s="1"/>
  <c r="BB30" i="6"/>
  <c r="BB29" i="1"/>
  <c r="BU12" i="6"/>
  <c r="BU12" i="1" s="1"/>
  <c r="BC29" i="6"/>
  <c r="BE27" i="6"/>
  <c r="BW10" i="6"/>
  <c r="BW10" i="1" s="1"/>
  <c r="BI24" i="6"/>
  <c r="BV11" i="6"/>
  <c r="BV11" i="1" s="1"/>
  <c r="BD28" i="6"/>
  <c r="BF26" i="6"/>
  <c r="BY8" i="6"/>
  <c r="BY8" i="1" s="1"/>
  <c r="BX9" i="6"/>
  <c r="BX9" i="1" s="1"/>
  <c r="BT13" i="6"/>
  <c r="BR15" i="6"/>
  <c r="BL21" i="6"/>
  <c r="CB7" i="4"/>
  <c r="BY47" i="6"/>
  <c r="BY6" i="6" s="1"/>
  <c r="BY47" i="4"/>
  <c r="BY6" i="4" s="1"/>
  <c r="BZ47" i="1"/>
  <c r="BY6" i="1"/>
  <c r="BE27" i="1" l="1"/>
  <c r="BO19" i="6"/>
  <c r="BO18" i="1"/>
  <c r="BS14" i="1"/>
  <c r="BK22" i="1"/>
  <c r="BM20" i="1"/>
  <c r="BN19" i="1"/>
  <c r="BG26" i="6"/>
  <c r="BT13" i="1"/>
  <c r="BN20" i="6"/>
  <c r="BF26" i="1"/>
  <c r="BL21" i="1"/>
  <c r="BM21" i="1" s="1"/>
  <c r="BK23" i="6"/>
  <c r="BK24" i="6" s="1"/>
  <c r="BP18" i="6"/>
  <c r="BB30" i="1"/>
  <c r="BB77" i="1" s="1"/>
  <c r="BB76" i="1" s="1"/>
  <c r="BB75" i="1" s="1"/>
  <c r="BB74" i="1" s="1"/>
  <c r="BB73" i="1" s="1"/>
  <c r="BB72" i="1" s="1"/>
  <c r="BB71" i="1" s="1"/>
  <c r="BB70" i="1" s="1"/>
  <c r="BB69" i="1" s="1"/>
  <c r="BB68" i="1" s="1"/>
  <c r="BB67" i="1" s="1"/>
  <c r="BB66" i="1" s="1"/>
  <c r="BB65" i="1" s="1"/>
  <c r="BB64" i="1" s="1"/>
  <c r="BB63" i="1" s="1"/>
  <c r="BB62" i="1" s="1"/>
  <c r="BB61" i="1" s="1"/>
  <c r="BB60" i="1" s="1"/>
  <c r="BB59" i="1" s="1"/>
  <c r="BB58" i="1" s="1"/>
  <c r="BB57" i="1" s="1"/>
  <c r="BB56" i="1" s="1"/>
  <c r="BB55" i="1" s="1"/>
  <c r="BB54" i="1" s="1"/>
  <c r="BD28" i="1"/>
  <c r="BQ16" i="1"/>
  <c r="BI24" i="1"/>
  <c r="BS15" i="6"/>
  <c r="BQ17" i="6"/>
  <c r="BQ17" i="1" s="1"/>
  <c r="BC29" i="1"/>
  <c r="BR16" i="6"/>
  <c r="BR15" i="1"/>
  <c r="BD29" i="6"/>
  <c r="BC30" i="6"/>
  <c r="BH25" i="6"/>
  <c r="BH25" i="1" s="1"/>
  <c r="BI25" i="6"/>
  <c r="BW11" i="6"/>
  <c r="BW11" i="1" s="1"/>
  <c r="BX10" i="6"/>
  <c r="BX10" i="1" s="1"/>
  <c r="BT14" i="6"/>
  <c r="BE28" i="6"/>
  <c r="BF27" i="6"/>
  <c r="BZ8" i="6"/>
  <c r="BZ8" i="1" s="1"/>
  <c r="BY9" i="6"/>
  <c r="BY9" i="1" s="1"/>
  <c r="BV12" i="6"/>
  <c r="BV12" i="1" s="1"/>
  <c r="BU13" i="6"/>
  <c r="BL22" i="6"/>
  <c r="BL22" i="1" s="1"/>
  <c r="CC7" i="4"/>
  <c r="BZ47" i="6"/>
  <c r="BZ6" i="6" s="1"/>
  <c r="BZ47" i="4"/>
  <c r="BZ6" i="4" s="1"/>
  <c r="CA47" i="1"/>
  <c r="BZ6" i="1"/>
  <c r="BO19" i="1" l="1"/>
  <c r="BF27" i="1"/>
  <c r="BP18" i="1"/>
  <c r="BN20" i="1"/>
  <c r="BT14" i="1"/>
  <c r="BO20" i="6"/>
  <c r="BU13" i="1"/>
  <c r="BG26" i="1"/>
  <c r="BM22" i="6"/>
  <c r="BM22" i="1" s="1"/>
  <c r="BK23" i="1"/>
  <c r="BN21" i="6"/>
  <c r="BN21" i="1" s="1"/>
  <c r="BP19" i="6"/>
  <c r="BC30" i="1"/>
  <c r="BC77" i="1" s="1"/>
  <c r="BC76" i="1" s="1"/>
  <c r="BC75" i="1" s="1"/>
  <c r="BC74" i="1" s="1"/>
  <c r="BC73" i="1" s="1"/>
  <c r="BC72" i="1" s="1"/>
  <c r="BC71" i="1" s="1"/>
  <c r="BC70" i="1" s="1"/>
  <c r="BC69" i="1" s="1"/>
  <c r="BC68" i="1" s="1"/>
  <c r="BC67" i="1" s="1"/>
  <c r="BC66" i="1" s="1"/>
  <c r="BC65" i="1" s="1"/>
  <c r="BC64" i="1" s="1"/>
  <c r="BC63" i="1" s="1"/>
  <c r="BC62" i="1" s="1"/>
  <c r="BC61" i="1" s="1"/>
  <c r="BC60" i="1" s="1"/>
  <c r="BC59" i="1" s="1"/>
  <c r="BC58" i="1" s="1"/>
  <c r="BC57" i="1" s="1"/>
  <c r="BC56" i="1" s="1"/>
  <c r="BC55" i="1" s="1"/>
  <c r="BC54" i="1" s="1"/>
  <c r="BR17" i="6"/>
  <c r="BR17" i="1" s="1"/>
  <c r="BR16" i="1"/>
  <c r="BS15" i="1"/>
  <c r="BQ18" i="6"/>
  <c r="BD29" i="1"/>
  <c r="BD76" i="1" s="1"/>
  <c r="BD75" i="1" s="1"/>
  <c r="BD74" i="1" s="1"/>
  <c r="BD73" i="1" s="1"/>
  <c r="BD72" i="1" s="1"/>
  <c r="BD71" i="1" s="1"/>
  <c r="BD70" i="1" s="1"/>
  <c r="BD69" i="1" s="1"/>
  <c r="BD68" i="1" s="1"/>
  <c r="BD67" i="1" s="1"/>
  <c r="BD66" i="1" s="1"/>
  <c r="BD65" i="1" s="1"/>
  <c r="BD64" i="1" s="1"/>
  <c r="BD63" i="1" s="1"/>
  <c r="BD62" i="1" s="1"/>
  <c r="BD61" i="1" s="1"/>
  <c r="BD60" i="1" s="1"/>
  <c r="BD59" i="1" s="1"/>
  <c r="BD58" i="1" s="1"/>
  <c r="BD57" i="1" s="1"/>
  <c r="BD56" i="1" s="1"/>
  <c r="BD55" i="1" s="1"/>
  <c r="BD54" i="1" s="1"/>
  <c r="BI25" i="1"/>
  <c r="BV13" i="6"/>
  <c r="BE29" i="6"/>
  <c r="BE28" i="1"/>
  <c r="BW12" i="6"/>
  <c r="BW12" i="1" s="1"/>
  <c r="BH26" i="6"/>
  <c r="BT15" i="6"/>
  <c r="BX11" i="6"/>
  <c r="BX11" i="1" s="1"/>
  <c r="BJ24" i="6"/>
  <c r="BF28" i="6"/>
  <c r="BG27" i="6"/>
  <c r="BY10" i="6"/>
  <c r="BY10" i="1" s="1"/>
  <c r="CA8" i="6"/>
  <c r="CA8" i="1" s="1"/>
  <c r="BS16" i="6"/>
  <c r="BZ9" i="6"/>
  <c r="BZ9" i="1" s="1"/>
  <c r="BU14" i="6"/>
  <c r="BL23" i="6"/>
  <c r="CD7" i="4"/>
  <c r="CA47" i="6"/>
  <c r="CA6" i="6" s="1"/>
  <c r="CA47" i="4"/>
  <c r="CA6" i="4" s="1"/>
  <c r="CB47" i="1"/>
  <c r="CA6" i="1"/>
  <c r="BP19" i="1" l="1"/>
  <c r="BQ18" i="1"/>
  <c r="BG27" i="1"/>
  <c r="BU14" i="1"/>
  <c r="BO21" i="6"/>
  <c r="BO21" i="1" s="1"/>
  <c r="BV13" i="1"/>
  <c r="BO20" i="1"/>
  <c r="BH26" i="1"/>
  <c r="BL23" i="1"/>
  <c r="BN22" i="6"/>
  <c r="BN22" i="1" s="1"/>
  <c r="BT15" i="1"/>
  <c r="BR18" i="6"/>
  <c r="BS17" i="6"/>
  <c r="BS17" i="1" s="1"/>
  <c r="BP20" i="6"/>
  <c r="BE29" i="1"/>
  <c r="BE76" i="1" s="1"/>
  <c r="BE75" i="1" s="1"/>
  <c r="BE74" i="1" s="1"/>
  <c r="BE73" i="1" s="1"/>
  <c r="BE72" i="1" s="1"/>
  <c r="BE71" i="1" s="1"/>
  <c r="BE70" i="1" s="1"/>
  <c r="BE69" i="1" s="1"/>
  <c r="BE68" i="1" s="1"/>
  <c r="BE67" i="1" s="1"/>
  <c r="BE66" i="1" s="1"/>
  <c r="BE65" i="1" s="1"/>
  <c r="BE64" i="1" s="1"/>
  <c r="BE63" i="1" s="1"/>
  <c r="BE62" i="1" s="1"/>
  <c r="BE61" i="1" s="1"/>
  <c r="BE60" i="1" s="1"/>
  <c r="BE59" i="1" s="1"/>
  <c r="BE58" i="1" s="1"/>
  <c r="BE57" i="1" s="1"/>
  <c r="BE56" i="1" s="1"/>
  <c r="BE55" i="1" s="1"/>
  <c r="BE54" i="1" s="1"/>
  <c r="BQ19" i="6"/>
  <c r="BS16" i="1"/>
  <c r="BF28" i="1"/>
  <c r="BJ25" i="6"/>
  <c r="BJ25" i="1" s="1"/>
  <c r="BJ24" i="1"/>
  <c r="BK24" i="1" s="1"/>
  <c r="BZ10" i="6"/>
  <c r="BZ10" i="1" s="1"/>
  <c r="BT16" i="6"/>
  <c r="BI26" i="6"/>
  <c r="BW13" i="6"/>
  <c r="BU15" i="6"/>
  <c r="BH27" i="6"/>
  <c r="BX12" i="6"/>
  <c r="BX12" i="1" s="1"/>
  <c r="BF29" i="6"/>
  <c r="BG28" i="6"/>
  <c r="BY11" i="6"/>
  <c r="BY11" i="1" s="1"/>
  <c r="CB8" i="6"/>
  <c r="CB8" i="1" s="1"/>
  <c r="BV14" i="6"/>
  <c r="BV14" i="1" s="1"/>
  <c r="CA9" i="6"/>
  <c r="CA10" i="6" s="1"/>
  <c r="BM23" i="6"/>
  <c r="BL24" i="6"/>
  <c r="CE7" i="4"/>
  <c r="CB47" i="6"/>
  <c r="CB6" i="6" s="1"/>
  <c r="CB47" i="4"/>
  <c r="CB6" i="4" s="1"/>
  <c r="CC47" i="1"/>
  <c r="CB6" i="1"/>
  <c r="BQ19" i="1" l="1"/>
  <c r="BR18" i="1"/>
  <c r="BH27" i="1"/>
  <c r="BO22" i="6"/>
  <c r="BO23" i="6" s="1"/>
  <c r="BN23" i="6"/>
  <c r="BI26" i="1"/>
  <c r="BW13" i="1"/>
  <c r="BP20" i="1"/>
  <c r="BM23" i="1"/>
  <c r="BU15" i="1"/>
  <c r="BP21" i="6"/>
  <c r="BP22" i="6" s="1"/>
  <c r="BR19" i="6"/>
  <c r="BS18" i="6"/>
  <c r="BQ20" i="6"/>
  <c r="BF29" i="1"/>
  <c r="BF76" i="1" s="1"/>
  <c r="BF75" i="1" s="1"/>
  <c r="BF74" i="1" s="1"/>
  <c r="BF73" i="1" s="1"/>
  <c r="BF72" i="1" s="1"/>
  <c r="BF71" i="1" s="1"/>
  <c r="BF70" i="1" s="1"/>
  <c r="BF69" i="1" s="1"/>
  <c r="BF68" i="1" s="1"/>
  <c r="BF67" i="1" s="1"/>
  <c r="BF66" i="1" s="1"/>
  <c r="BF65" i="1" s="1"/>
  <c r="BF64" i="1" s="1"/>
  <c r="BF63" i="1" s="1"/>
  <c r="BF62" i="1" s="1"/>
  <c r="BF61" i="1" s="1"/>
  <c r="BF60" i="1" s="1"/>
  <c r="BF59" i="1" s="1"/>
  <c r="BF58" i="1" s="1"/>
  <c r="BF57" i="1" s="1"/>
  <c r="BF56" i="1" s="1"/>
  <c r="BF55" i="1" s="1"/>
  <c r="BF54" i="1" s="1"/>
  <c r="BL24" i="1"/>
  <c r="BT17" i="6"/>
  <c r="BT17" i="1" s="1"/>
  <c r="BT16" i="1"/>
  <c r="BJ26" i="6"/>
  <c r="CA10" i="1"/>
  <c r="BG28" i="1"/>
  <c r="BG75" i="1" s="1"/>
  <c r="BG74" i="1" s="1"/>
  <c r="BG73" i="1" s="1"/>
  <c r="BG72" i="1" s="1"/>
  <c r="BG71" i="1" s="1"/>
  <c r="BG70" i="1" s="1"/>
  <c r="BG69" i="1" s="1"/>
  <c r="BG68" i="1" s="1"/>
  <c r="BG67" i="1" s="1"/>
  <c r="BG66" i="1" s="1"/>
  <c r="BG65" i="1" s="1"/>
  <c r="BG64" i="1" s="1"/>
  <c r="BG63" i="1" s="1"/>
  <c r="BG62" i="1" s="1"/>
  <c r="BG61" i="1" s="1"/>
  <c r="BG60" i="1" s="1"/>
  <c r="BG59" i="1" s="1"/>
  <c r="BG58" i="1" s="1"/>
  <c r="BG57" i="1" s="1"/>
  <c r="BG56" i="1" s="1"/>
  <c r="BG55" i="1" s="1"/>
  <c r="BG54" i="1" s="1"/>
  <c r="BK25" i="6"/>
  <c r="BK25" i="1" s="1"/>
  <c r="CA9" i="1"/>
  <c r="BW14" i="6"/>
  <c r="BW14" i="1" s="1"/>
  <c r="BU16" i="6"/>
  <c r="BX13" i="6"/>
  <c r="BY12" i="6"/>
  <c r="BY12" i="1" s="1"/>
  <c r="BI27" i="6"/>
  <c r="BH28" i="6"/>
  <c r="BM24" i="6"/>
  <c r="BV15" i="6"/>
  <c r="CC8" i="6"/>
  <c r="CC8" i="1" s="1"/>
  <c r="CB9" i="6"/>
  <c r="CA11" i="6"/>
  <c r="BZ11" i="6"/>
  <c r="BZ11" i="1" s="1"/>
  <c r="BL25" i="6"/>
  <c r="CF7" i="4"/>
  <c r="CC47" i="6"/>
  <c r="CC6" i="6" s="1"/>
  <c r="CC47" i="4"/>
  <c r="CC6" i="4" s="1"/>
  <c r="CD47" i="1"/>
  <c r="CC6" i="1"/>
  <c r="BR19" i="1" l="1"/>
  <c r="BS18" i="1"/>
  <c r="BI27" i="1"/>
  <c r="BX14" i="6"/>
  <c r="BX15" i="6" s="1"/>
  <c r="BO22" i="1"/>
  <c r="BP22" i="1" s="1"/>
  <c r="BN23" i="1"/>
  <c r="BO24" i="6" s="1"/>
  <c r="BJ27" i="6"/>
  <c r="BJ27" i="1" s="1"/>
  <c r="BJ74" i="1" s="1"/>
  <c r="BQ20" i="1"/>
  <c r="BU16" i="1"/>
  <c r="BN24" i="6"/>
  <c r="BV16" i="6"/>
  <c r="BR20" i="6"/>
  <c r="BP21" i="1"/>
  <c r="BS19" i="6"/>
  <c r="BQ21" i="6"/>
  <c r="BT18" i="6"/>
  <c r="BH28" i="1"/>
  <c r="BH75" i="1" s="1"/>
  <c r="BH74" i="1" s="1"/>
  <c r="BH73" i="1" s="1"/>
  <c r="BH72" i="1" s="1"/>
  <c r="BH71" i="1" s="1"/>
  <c r="BH70" i="1" s="1"/>
  <c r="BH69" i="1" s="1"/>
  <c r="BH68" i="1" s="1"/>
  <c r="BH67" i="1" s="1"/>
  <c r="BH66" i="1" s="1"/>
  <c r="BH65" i="1" s="1"/>
  <c r="BH64" i="1" s="1"/>
  <c r="BH63" i="1" s="1"/>
  <c r="BH62" i="1" s="1"/>
  <c r="BH61" i="1" s="1"/>
  <c r="BH60" i="1" s="1"/>
  <c r="BH59" i="1" s="1"/>
  <c r="BH58" i="1" s="1"/>
  <c r="BH57" i="1" s="1"/>
  <c r="BH56" i="1" s="1"/>
  <c r="BH55" i="1" s="1"/>
  <c r="BH54" i="1" s="1"/>
  <c r="BM24" i="1"/>
  <c r="BJ26" i="1"/>
  <c r="BK26" i="6"/>
  <c r="BL25" i="1"/>
  <c r="CA11" i="1"/>
  <c r="CB9" i="1"/>
  <c r="BX14" i="1"/>
  <c r="BV15" i="1"/>
  <c r="BX13" i="1"/>
  <c r="BU17" i="6"/>
  <c r="BU17" i="1" s="1"/>
  <c r="BI28" i="6"/>
  <c r="BW15" i="6"/>
  <c r="BY13" i="6"/>
  <c r="BM25" i="6"/>
  <c r="CD8" i="6"/>
  <c r="CD8" i="1" s="1"/>
  <c r="CB10" i="6"/>
  <c r="CB10" i="1" s="1"/>
  <c r="CC9" i="6"/>
  <c r="BZ12" i="6"/>
  <c r="BZ12" i="1" s="1"/>
  <c r="BL26" i="6"/>
  <c r="BP23" i="6"/>
  <c r="CA12" i="6"/>
  <c r="CG7" i="4"/>
  <c r="CD47" i="6"/>
  <c r="CD6" i="6" s="1"/>
  <c r="CD47" i="4"/>
  <c r="CD6" i="4" s="1"/>
  <c r="CE47" i="1"/>
  <c r="CD6" i="1"/>
  <c r="BS19" i="1" l="1"/>
  <c r="BT18" i="1"/>
  <c r="BO23" i="1"/>
  <c r="BP23" i="1" s="1"/>
  <c r="BR20" i="1"/>
  <c r="BN24" i="1"/>
  <c r="BO24" i="1" s="1"/>
  <c r="BV16" i="1"/>
  <c r="BV17" i="6"/>
  <c r="BV18" i="6" s="1"/>
  <c r="BJ73" i="1"/>
  <c r="BJ72" i="1" s="1"/>
  <c r="BJ71" i="1" s="1"/>
  <c r="BJ70" i="1" s="1"/>
  <c r="BJ69" i="1" s="1"/>
  <c r="BJ68" i="1" s="1"/>
  <c r="BJ67" i="1" s="1"/>
  <c r="BJ66" i="1" s="1"/>
  <c r="BJ65" i="1" s="1"/>
  <c r="BJ64" i="1" s="1"/>
  <c r="BJ63" i="1" s="1"/>
  <c r="BJ62" i="1" s="1"/>
  <c r="BJ61" i="1" s="1"/>
  <c r="BJ60" i="1" s="1"/>
  <c r="BJ59" i="1" s="1"/>
  <c r="BJ58" i="1" s="1"/>
  <c r="BJ57" i="1" s="1"/>
  <c r="BJ56" i="1" s="1"/>
  <c r="BJ55" i="1" s="1"/>
  <c r="BJ54" i="1" s="1"/>
  <c r="BR21" i="6"/>
  <c r="BQ21" i="1"/>
  <c r="BQ22" i="6"/>
  <c r="BQ22" i="1" s="1"/>
  <c r="BS20" i="6"/>
  <c r="BT19" i="6"/>
  <c r="BI28" i="1"/>
  <c r="BI75" i="1" s="1"/>
  <c r="BI74" i="1" s="1"/>
  <c r="BI73" i="1" s="1"/>
  <c r="BI72" i="1" s="1"/>
  <c r="BI71" i="1" s="1"/>
  <c r="BI70" i="1" s="1"/>
  <c r="BI69" i="1" s="1"/>
  <c r="BI68" i="1" s="1"/>
  <c r="BI67" i="1" s="1"/>
  <c r="BI66" i="1" s="1"/>
  <c r="BI65" i="1" s="1"/>
  <c r="BI64" i="1" s="1"/>
  <c r="BI63" i="1" s="1"/>
  <c r="BI62" i="1" s="1"/>
  <c r="BI61" i="1" s="1"/>
  <c r="BI60" i="1" s="1"/>
  <c r="BI59" i="1" s="1"/>
  <c r="BI58" i="1" s="1"/>
  <c r="BI57" i="1" s="1"/>
  <c r="BI56" i="1" s="1"/>
  <c r="BI55" i="1" s="1"/>
  <c r="BI54" i="1" s="1"/>
  <c r="BU18" i="6"/>
  <c r="BK27" i="6"/>
  <c r="BK27" i="1" s="1"/>
  <c r="BK74" i="1" s="1"/>
  <c r="CC9" i="1"/>
  <c r="BK26" i="1"/>
  <c r="BL27" i="6" s="1"/>
  <c r="BM25" i="1"/>
  <c r="BW15" i="1"/>
  <c r="BX15" i="1" s="1"/>
  <c r="CA12" i="1"/>
  <c r="BY13" i="1"/>
  <c r="BW16" i="6"/>
  <c r="BY14" i="6"/>
  <c r="BY14" i="1" s="1"/>
  <c r="CC10" i="6"/>
  <c r="CC10" i="1" s="1"/>
  <c r="BM26" i="6"/>
  <c r="CB11" i="6"/>
  <c r="CB11" i="1" s="1"/>
  <c r="BN25" i="6"/>
  <c r="CE8" i="6"/>
  <c r="CE8" i="1" s="1"/>
  <c r="CD9" i="6"/>
  <c r="BZ13" i="6"/>
  <c r="CA13" i="6"/>
  <c r="CH7" i="4"/>
  <c r="CE47" i="6"/>
  <c r="CE6" i="6" s="1"/>
  <c r="CE47" i="4"/>
  <c r="CE6" i="4" s="1"/>
  <c r="CF47" i="1"/>
  <c r="CE6" i="1"/>
  <c r="BT19" i="1" l="1"/>
  <c r="BU18" i="1"/>
  <c r="BV19" i="6" s="1"/>
  <c r="BV17" i="1"/>
  <c r="BP24" i="6"/>
  <c r="BP25" i="6" s="1"/>
  <c r="BS20" i="1"/>
  <c r="BW16" i="1"/>
  <c r="BT20" i="6"/>
  <c r="BO25" i="6"/>
  <c r="BK73" i="1"/>
  <c r="BK72" i="1" s="1"/>
  <c r="BK71" i="1" s="1"/>
  <c r="BK70" i="1" s="1"/>
  <c r="BK69" i="1" s="1"/>
  <c r="BK68" i="1" s="1"/>
  <c r="BK67" i="1" s="1"/>
  <c r="BK66" i="1" s="1"/>
  <c r="BK65" i="1" s="1"/>
  <c r="BK64" i="1" s="1"/>
  <c r="BK63" i="1" s="1"/>
  <c r="BK62" i="1" s="1"/>
  <c r="BK61" i="1" s="1"/>
  <c r="BK60" i="1" s="1"/>
  <c r="BK59" i="1" s="1"/>
  <c r="BK58" i="1" s="1"/>
  <c r="BK57" i="1" s="1"/>
  <c r="BK56" i="1" s="1"/>
  <c r="BK55" i="1" s="1"/>
  <c r="BK54" i="1" s="1"/>
  <c r="BR21" i="1"/>
  <c r="BQ23" i="6"/>
  <c r="BQ23" i="1" s="1"/>
  <c r="BS21" i="6"/>
  <c r="BU19" i="6"/>
  <c r="CD9" i="1"/>
  <c r="BL27" i="1"/>
  <c r="BL74" i="1" s="1"/>
  <c r="BN25" i="1"/>
  <c r="BL26" i="1"/>
  <c r="BM26" i="1" s="1"/>
  <c r="BM73" i="1" s="1"/>
  <c r="BM72" i="1" s="1"/>
  <c r="BM71" i="1" s="1"/>
  <c r="BM70" i="1" s="1"/>
  <c r="BM69" i="1" s="1"/>
  <c r="BM68" i="1" s="1"/>
  <c r="BM67" i="1" s="1"/>
  <c r="BM66" i="1" s="1"/>
  <c r="BM65" i="1" s="1"/>
  <c r="BM64" i="1" s="1"/>
  <c r="BM63" i="1" s="1"/>
  <c r="BM62" i="1" s="1"/>
  <c r="BM61" i="1" s="1"/>
  <c r="BM60" i="1" s="1"/>
  <c r="BM59" i="1" s="1"/>
  <c r="BM58" i="1" s="1"/>
  <c r="BM57" i="1" s="1"/>
  <c r="BM56" i="1" s="1"/>
  <c r="BM55" i="1" s="1"/>
  <c r="BM54" i="1" s="1"/>
  <c r="BX16" i="6"/>
  <c r="BZ13" i="1"/>
  <c r="CA13" i="1" s="1"/>
  <c r="BW17" i="6"/>
  <c r="BY15" i="6"/>
  <c r="BY15" i="1" s="1"/>
  <c r="BN26" i="6"/>
  <c r="CD10" i="6"/>
  <c r="CD10" i="1" s="1"/>
  <c r="CF8" i="6"/>
  <c r="CF8" i="1" s="1"/>
  <c r="CE9" i="6"/>
  <c r="CB12" i="6"/>
  <c r="CB12" i="1" s="1"/>
  <c r="CC11" i="6"/>
  <c r="CC11" i="1" s="1"/>
  <c r="BZ14" i="6"/>
  <c r="BZ14" i="1" s="1"/>
  <c r="BR22" i="6"/>
  <c r="BR22" i="1" s="1"/>
  <c r="CI7" i="4"/>
  <c r="CF47" i="6"/>
  <c r="CF6" i="6" s="1"/>
  <c r="CF47" i="4"/>
  <c r="CF6" i="4" s="1"/>
  <c r="CG47" i="1"/>
  <c r="CF6" i="1"/>
  <c r="BU19" i="1" l="1"/>
  <c r="BV20" i="6" s="1"/>
  <c r="BV18" i="1"/>
  <c r="BW17" i="1"/>
  <c r="BP24" i="1"/>
  <c r="BT20" i="1"/>
  <c r="BT21" i="6"/>
  <c r="BX16" i="1"/>
  <c r="BO25" i="1"/>
  <c r="BP25" i="1" s="1"/>
  <c r="BP72" i="1" s="1"/>
  <c r="BP71" i="1" s="1"/>
  <c r="BP70" i="1" s="1"/>
  <c r="BP69" i="1" s="1"/>
  <c r="BP68" i="1" s="1"/>
  <c r="BP67" i="1" s="1"/>
  <c r="BP66" i="1" s="1"/>
  <c r="BP65" i="1" s="1"/>
  <c r="BP64" i="1" s="1"/>
  <c r="BP63" i="1" s="1"/>
  <c r="BP62" i="1" s="1"/>
  <c r="BP61" i="1" s="1"/>
  <c r="BP60" i="1" s="1"/>
  <c r="BP59" i="1" s="1"/>
  <c r="BP58" i="1" s="1"/>
  <c r="BP57" i="1" s="1"/>
  <c r="BP56" i="1" s="1"/>
  <c r="BP55" i="1" s="1"/>
  <c r="BP54" i="1" s="1"/>
  <c r="BL73" i="1"/>
  <c r="BL72" i="1" s="1"/>
  <c r="BL71" i="1" s="1"/>
  <c r="BL70" i="1" s="1"/>
  <c r="BL69" i="1" s="1"/>
  <c r="BL68" i="1" s="1"/>
  <c r="BL67" i="1" s="1"/>
  <c r="BL66" i="1" s="1"/>
  <c r="BL65" i="1" s="1"/>
  <c r="BL64" i="1" s="1"/>
  <c r="BL63" i="1" s="1"/>
  <c r="BL62" i="1" s="1"/>
  <c r="BL61" i="1" s="1"/>
  <c r="BL60" i="1" s="1"/>
  <c r="BL59" i="1" s="1"/>
  <c r="BL58" i="1" s="1"/>
  <c r="BL57" i="1" s="1"/>
  <c r="BL56" i="1" s="1"/>
  <c r="BL55" i="1" s="1"/>
  <c r="BL54" i="1" s="1"/>
  <c r="BS21" i="1"/>
  <c r="BQ24" i="6"/>
  <c r="BS22" i="6"/>
  <c r="BS22" i="1" s="1"/>
  <c r="BU20" i="6"/>
  <c r="CE9" i="1"/>
  <c r="BO26" i="6"/>
  <c r="BN26" i="1"/>
  <c r="BN73" i="1" s="1"/>
  <c r="BN72" i="1" s="1"/>
  <c r="BN71" i="1" s="1"/>
  <c r="BN70" i="1" s="1"/>
  <c r="BN69" i="1" s="1"/>
  <c r="BN68" i="1" s="1"/>
  <c r="BN67" i="1" s="1"/>
  <c r="BN66" i="1" s="1"/>
  <c r="BN65" i="1" s="1"/>
  <c r="BN64" i="1" s="1"/>
  <c r="BN63" i="1" s="1"/>
  <c r="BN62" i="1" s="1"/>
  <c r="BN61" i="1" s="1"/>
  <c r="BN60" i="1" s="1"/>
  <c r="BN59" i="1" s="1"/>
  <c r="BN58" i="1" s="1"/>
  <c r="BN57" i="1" s="1"/>
  <c r="BN56" i="1" s="1"/>
  <c r="BN55" i="1" s="1"/>
  <c r="BN54" i="1" s="1"/>
  <c r="BX17" i="6"/>
  <c r="BW18" i="6"/>
  <c r="BY16" i="6"/>
  <c r="CC12" i="6"/>
  <c r="CC12" i="1" s="1"/>
  <c r="CA14" i="6"/>
  <c r="CA14" i="1" s="1"/>
  <c r="CD11" i="6"/>
  <c r="CD11" i="1" s="1"/>
  <c r="CG8" i="6"/>
  <c r="CG8" i="1" s="1"/>
  <c r="CF9" i="6"/>
  <c r="CE10" i="6"/>
  <c r="CE10" i="1" s="1"/>
  <c r="CB13" i="6"/>
  <c r="BZ15" i="6"/>
  <c r="BZ15" i="1" s="1"/>
  <c r="BR23" i="6"/>
  <c r="BR23" i="1" s="1"/>
  <c r="CJ7" i="4"/>
  <c r="CG47" i="6"/>
  <c r="CG6" i="6" s="1"/>
  <c r="CG47" i="4"/>
  <c r="CG6" i="4" s="1"/>
  <c r="CH47" i="1"/>
  <c r="CG6" i="1"/>
  <c r="BV19" i="1" l="1"/>
  <c r="BW18" i="1"/>
  <c r="BX17" i="1"/>
  <c r="BQ24" i="1"/>
  <c r="BU20" i="1"/>
  <c r="BV20" i="1" s="1"/>
  <c r="BT21" i="1"/>
  <c r="BY16" i="1"/>
  <c r="BS23" i="6"/>
  <c r="BS24" i="6" s="1"/>
  <c r="BT22" i="6"/>
  <c r="BT22" i="1" s="1"/>
  <c r="BQ25" i="6"/>
  <c r="BQ25" i="1" s="1"/>
  <c r="BQ72" i="1" s="1"/>
  <c r="BU21" i="6"/>
  <c r="CF9" i="1"/>
  <c r="BO26" i="1"/>
  <c r="BO73" i="1" s="1"/>
  <c r="BO72" i="1" s="1"/>
  <c r="BO71" i="1" s="1"/>
  <c r="BO70" i="1" s="1"/>
  <c r="BO69" i="1" s="1"/>
  <c r="BO68" i="1" s="1"/>
  <c r="BO67" i="1" s="1"/>
  <c r="BO66" i="1" s="1"/>
  <c r="BO65" i="1" s="1"/>
  <c r="BO64" i="1" s="1"/>
  <c r="BO63" i="1" s="1"/>
  <c r="BO62" i="1" s="1"/>
  <c r="BO61" i="1" s="1"/>
  <c r="BO60" i="1" s="1"/>
  <c r="BO59" i="1" s="1"/>
  <c r="BO58" i="1" s="1"/>
  <c r="BO57" i="1" s="1"/>
  <c r="BO56" i="1" s="1"/>
  <c r="BO55" i="1" s="1"/>
  <c r="BO54" i="1" s="1"/>
  <c r="BX18" i="6"/>
  <c r="CB14" i="6"/>
  <c r="CB14" i="1" s="1"/>
  <c r="CB13" i="1"/>
  <c r="BW19" i="6"/>
  <c r="BW19" i="1" s="1"/>
  <c r="CA15" i="6"/>
  <c r="CA15" i="1" s="1"/>
  <c r="BY17" i="6"/>
  <c r="BY17" i="1" s="1"/>
  <c r="CD12" i="6"/>
  <c r="CD12" i="1" s="1"/>
  <c r="CF10" i="6"/>
  <c r="CF10" i="1" s="1"/>
  <c r="CH8" i="6"/>
  <c r="CH8" i="1" s="1"/>
  <c r="CE11" i="6"/>
  <c r="CE11" i="1" s="1"/>
  <c r="CG9" i="6"/>
  <c r="CC13" i="6"/>
  <c r="BZ16" i="6"/>
  <c r="BR24" i="6"/>
  <c r="CK7" i="4"/>
  <c r="CH47" i="6"/>
  <c r="CH6" i="6" s="1"/>
  <c r="CH47" i="4"/>
  <c r="CH6" i="4" s="1"/>
  <c r="CI47" i="1"/>
  <c r="CH6" i="1"/>
  <c r="BX18" i="1" l="1"/>
  <c r="BQ71" i="1"/>
  <c r="BQ70" i="1" s="1"/>
  <c r="BQ69" i="1" s="1"/>
  <c r="BQ68" i="1" s="1"/>
  <c r="BQ67" i="1" s="1"/>
  <c r="BQ66" i="1" s="1"/>
  <c r="BQ65" i="1" s="1"/>
  <c r="BQ64" i="1" s="1"/>
  <c r="BQ63" i="1" s="1"/>
  <c r="BQ62" i="1" s="1"/>
  <c r="BQ61" i="1" s="1"/>
  <c r="BQ60" i="1" s="1"/>
  <c r="BQ59" i="1" s="1"/>
  <c r="BQ58" i="1" s="1"/>
  <c r="BQ57" i="1" s="1"/>
  <c r="BQ56" i="1" s="1"/>
  <c r="BQ55" i="1" s="1"/>
  <c r="BQ54" i="1" s="1"/>
  <c r="BV21" i="6"/>
  <c r="BR24" i="1"/>
  <c r="BS24" i="1" s="1"/>
  <c r="BS71" i="1" s="1"/>
  <c r="BU21" i="1"/>
  <c r="BS23" i="1"/>
  <c r="BT23" i="6"/>
  <c r="CG9" i="1"/>
  <c r="BU22" i="6"/>
  <c r="BU22" i="1" s="1"/>
  <c r="BX19" i="6"/>
  <c r="BX19" i="1" s="1"/>
  <c r="CA16" i="6"/>
  <c r="CC13" i="1"/>
  <c r="CB15" i="6"/>
  <c r="CB15" i="1" s="1"/>
  <c r="BW20" i="6"/>
  <c r="BW20" i="1" s="1"/>
  <c r="BZ17" i="6"/>
  <c r="BZ17" i="1" s="1"/>
  <c r="BZ16" i="1"/>
  <c r="BY18" i="6"/>
  <c r="CD13" i="6"/>
  <c r="CF11" i="6"/>
  <c r="CF11" i="1" s="1"/>
  <c r="CE12" i="6"/>
  <c r="CE12" i="1" s="1"/>
  <c r="CG10" i="6"/>
  <c r="CG10" i="1" s="1"/>
  <c r="CI8" i="6"/>
  <c r="CI8" i="1" s="1"/>
  <c r="CH9" i="6"/>
  <c r="CC14" i="6"/>
  <c r="CC14" i="1" s="1"/>
  <c r="BR25" i="6"/>
  <c r="BR25" i="1" s="1"/>
  <c r="BR72" i="1" s="1"/>
  <c r="CL7" i="4"/>
  <c r="CI47" i="6"/>
  <c r="CI6" i="6" s="1"/>
  <c r="CI47" i="4"/>
  <c r="CI6" i="4" s="1"/>
  <c r="CJ47" i="1"/>
  <c r="CI6" i="1"/>
  <c r="BY18" i="1" l="1"/>
  <c r="BV21" i="1"/>
  <c r="BR71" i="1"/>
  <c r="BR70" i="1" s="1"/>
  <c r="BR69" i="1" s="1"/>
  <c r="BR68" i="1" s="1"/>
  <c r="BR67" i="1" s="1"/>
  <c r="BR66" i="1" s="1"/>
  <c r="BR65" i="1" s="1"/>
  <c r="BR64" i="1" s="1"/>
  <c r="BR63" i="1" s="1"/>
  <c r="BR62" i="1" s="1"/>
  <c r="BR61" i="1" s="1"/>
  <c r="BR60" i="1" s="1"/>
  <c r="BR59" i="1" s="1"/>
  <c r="BR58" i="1" s="1"/>
  <c r="BR57" i="1" s="1"/>
  <c r="BR56" i="1" s="1"/>
  <c r="BR55" i="1" s="1"/>
  <c r="BR54" i="1" s="1"/>
  <c r="BV22" i="6"/>
  <c r="BV23" i="6" s="1"/>
  <c r="BT23" i="1"/>
  <c r="BS70" i="1"/>
  <c r="BS69" i="1" s="1"/>
  <c r="BS68" i="1" s="1"/>
  <c r="BS67" i="1" s="1"/>
  <c r="BS66" i="1" s="1"/>
  <c r="BS65" i="1" s="1"/>
  <c r="BS64" i="1" s="1"/>
  <c r="BS63" i="1" s="1"/>
  <c r="BS62" i="1" s="1"/>
  <c r="BS61" i="1" s="1"/>
  <c r="BS60" i="1" s="1"/>
  <c r="BS59" i="1" s="1"/>
  <c r="BS58" i="1" s="1"/>
  <c r="BS57" i="1" s="1"/>
  <c r="BS56" i="1" s="1"/>
  <c r="BS55" i="1" s="1"/>
  <c r="BS54" i="1" s="1"/>
  <c r="BT24" i="6"/>
  <c r="BT24" i="1" s="1"/>
  <c r="BT71" i="1" s="1"/>
  <c r="BU23" i="6"/>
  <c r="BZ18" i="6"/>
  <c r="BZ18" i="1" s="1"/>
  <c r="CB16" i="6"/>
  <c r="BX20" i="6"/>
  <c r="BX20" i="1" s="1"/>
  <c r="CH9" i="1"/>
  <c r="CD13" i="1"/>
  <c r="CA16" i="1"/>
  <c r="BY19" i="6"/>
  <c r="BY19" i="1" s="1"/>
  <c r="BW21" i="6"/>
  <c r="CE13" i="6"/>
  <c r="CG11" i="6"/>
  <c r="CG11" i="1" s="1"/>
  <c r="CA17" i="6"/>
  <c r="CA17" i="1" s="1"/>
  <c r="CF12" i="6"/>
  <c r="CF12" i="1" s="1"/>
  <c r="CD14" i="6"/>
  <c r="CD14" i="1" s="1"/>
  <c r="CI9" i="6"/>
  <c r="CH10" i="6"/>
  <c r="CH10" i="1" s="1"/>
  <c r="CJ8" i="6"/>
  <c r="CJ8" i="1" s="1"/>
  <c r="CC15" i="6"/>
  <c r="CC15" i="1" s="1"/>
  <c r="CM7" i="4"/>
  <c r="CJ47" i="6"/>
  <c r="CJ6" i="6" s="1"/>
  <c r="CJ47" i="4"/>
  <c r="CJ6" i="4" s="1"/>
  <c r="CK47" i="1"/>
  <c r="CJ6" i="1"/>
  <c r="BW21" i="1" l="1"/>
  <c r="BV22" i="1"/>
  <c r="BU24" i="6"/>
  <c r="BU24" i="1" s="1"/>
  <c r="BU71" i="1" s="1"/>
  <c r="BT70" i="1"/>
  <c r="BT69" i="1" s="1"/>
  <c r="BT68" i="1" s="1"/>
  <c r="BT67" i="1" s="1"/>
  <c r="BT66" i="1" s="1"/>
  <c r="BT65" i="1" s="1"/>
  <c r="BT64" i="1" s="1"/>
  <c r="BT63" i="1" s="1"/>
  <c r="BT62" i="1" s="1"/>
  <c r="BT61" i="1" s="1"/>
  <c r="BT60" i="1" s="1"/>
  <c r="BT59" i="1" s="1"/>
  <c r="BT58" i="1" s="1"/>
  <c r="BT57" i="1" s="1"/>
  <c r="BT56" i="1" s="1"/>
  <c r="BT55" i="1" s="1"/>
  <c r="BT54" i="1" s="1"/>
  <c r="BU23" i="1"/>
  <c r="BV23" i="1" s="1"/>
  <c r="BV70" i="1" s="1"/>
  <c r="BZ19" i="6"/>
  <c r="BZ20" i="6" s="1"/>
  <c r="CE14" i="6"/>
  <c r="CE14" i="1" s="1"/>
  <c r="CB17" i="6"/>
  <c r="CB17" i="1" s="1"/>
  <c r="BX21" i="6"/>
  <c r="CI9" i="1"/>
  <c r="CB16" i="1"/>
  <c r="CD15" i="6"/>
  <c r="CD16" i="6" s="1"/>
  <c r="BW22" i="6"/>
  <c r="BY20" i="6"/>
  <c r="BY20" i="1" s="1"/>
  <c r="CE13" i="1"/>
  <c r="CG12" i="6"/>
  <c r="CG12" i="1" s="1"/>
  <c r="CI10" i="6"/>
  <c r="CI10" i="1" s="1"/>
  <c r="CF13" i="6"/>
  <c r="CH11" i="6"/>
  <c r="CH11" i="1" s="1"/>
  <c r="CK8" i="6"/>
  <c r="CJ9" i="6"/>
  <c r="CC16" i="6"/>
  <c r="CA18" i="6"/>
  <c r="CA18" i="1" s="1"/>
  <c r="CN7" i="4"/>
  <c r="CK47" i="6"/>
  <c r="CK6" i="6" s="1"/>
  <c r="CK47" i="4"/>
  <c r="CK6" i="4" s="1"/>
  <c r="CL47" i="1"/>
  <c r="CK6" i="1"/>
  <c r="BX21" i="1" l="1"/>
  <c r="BW22" i="1"/>
  <c r="BV69" i="1"/>
  <c r="BV68" i="1" s="1"/>
  <c r="BV67" i="1" s="1"/>
  <c r="BV66" i="1" s="1"/>
  <c r="BV65" i="1" s="1"/>
  <c r="BV64" i="1" s="1"/>
  <c r="BV63" i="1" s="1"/>
  <c r="BV62" i="1" s="1"/>
  <c r="BV61" i="1" s="1"/>
  <c r="BV60" i="1" s="1"/>
  <c r="BV59" i="1" s="1"/>
  <c r="BV58" i="1" s="1"/>
  <c r="BV57" i="1" s="1"/>
  <c r="BV56" i="1" s="1"/>
  <c r="BV55" i="1" s="1"/>
  <c r="BV54" i="1" s="1"/>
  <c r="BU70" i="1"/>
  <c r="BU69" i="1" s="1"/>
  <c r="BU68" i="1" s="1"/>
  <c r="BU67" i="1" s="1"/>
  <c r="BU66" i="1" s="1"/>
  <c r="BU65" i="1" s="1"/>
  <c r="BU64" i="1" s="1"/>
  <c r="BU63" i="1" s="1"/>
  <c r="BU62" i="1" s="1"/>
  <c r="BU61" i="1" s="1"/>
  <c r="BU60" i="1" s="1"/>
  <c r="BU59" i="1" s="1"/>
  <c r="BU58" i="1" s="1"/>
  <c r="BU57" i="1" s="1"/>
  <c r="BU56" i="1" s="1"/>
  <c r="BU55" i="1" s="1"/>
  <c r="BU54" i="1" s="1"/>
  <c r="CG13" i="6"/>
  <c r="CJ9" i="1"/>
  <c r="BZ19" i="1"/>
  <c r="CD15" i="1"/>
  <c r="BW23" i="6"/>
  <c r="BW23" i="1" s="1"/>
  <c r="BW70" i="1" s="1"/>
  <c r="BX22" i="6"/>
  <c r="CE15" i="6"/>
  <c r="BY21" i="6"/>
  <c r="BZ20" i="1"/>
  <c r="CF14" i="6"/>
  <c r="CF14" i="1" s="1"/>
  <c r="CF13" i="1"/>
  <c r="CC17" i="6"/>
  <c r="CC17" i="1" s="1"/>
  <c r="CC16" i="1"/>
  <c r="CD16" i="1" s="1"/>
  <c r="CJ10" i="6"/>
  <c r="CJ10" i="1" s="1"/>
  <c r="CB18" i="6"/>
  <c r="CB18" i="1" s="1"/>
  <c r="CK9" i="6"/>
  <c r="CH12" i="6"/>
  <c r="CH12" i="1" s="1"/>
  <c r="CL8" i="6"/>
  <c r="CI11" i="6"/>
  <c r="CA19" i="6"/>
  <c r="BZ21" i="6"/>
  <c r="CK8" i="1"/>
  <c r="CO7" i="4"/>
  <c r="CL47" i="6"/>
  <c r="CL6" i="6" s="1"/>
  <c r="CL47" i="4"/>
  <c r="CL6" i="4" s="1"/>
  <c r="CM47" i="1"/>
  <c r="CL6" i="1"/>
  <c r="BY21" i="1" l="1"/>
  <c r="BZ21" i="1" s="1"/>
  <c r="BX22" i="1"/>
  <c r="BW69" i="1"/>
  <c r="BW68" i="1" s="1"/>
  <c r="BW67" i="1" s="1"/>
  <c r="BW66" i="1" s="1"/>
  <c r="BW65" i="1" s="1"/>
  <c r="BW64" i="1" s="1"/>
  <c r="BW63" i="1" s="1"/>
  <c r="BW62" i="1" s="1"/>
  <c r="BW61" i="1" s="1"/>
  <c r="BW60" i="1" s="1"/>
  <c r="BW59" i="1" s="1"/>
  <c r="BW58" i="1" s="1"/>
  <c r="BW57" i="1" s="1"/>
  <c r="BW56" i="1" s="1"/>
  <c r="BW55" i="1" s="1"/>
  <c r="BW54" i="1" s="1"/>
  <c r="CK9" i="1"/>
  <c r="CF15" i="6"/>
  <c r="CG13" i="1"/>
  <c r="CA19" i="1"/>
  <c r="BX23" i="6"/>
  <c r="BX23" i="1" s="1"/>
  <c r="BX70" i="1" s="1"/>
  <c r="CE15" i="1"/>
  <c r="CE16" i="6"/>
  <c r="CE16" i="1" s="1"/>
  <c r="BY22" i="6"/>
  <c r="CD17" i="6"/>
  <c r="CD18" i="6" s="1"/>
  <c r="CC18" i="6"/>
  <c r="CC18" i="1" s="1"/>
  <c r="CI12" i="6"/>
  <c r="CI12" i="1" s="1"/>
  <c r="CI11" i="1"/>
  <c r="CJ11" i="6"/>
  <c r="CL9" i="6"/>
  <c r="CB19" i="6"/>
  <c r="CH13" i="6"/>
  <c r="CM8" i="6"/>
  <c r="CK10" i="6"/>
  <c r="CK10" i="1" s="1"/>
  <c r="CG14" i="6"/>
  <c r="CG14" i="1" s="1"/>
  <c r="CA20" i="6"/>
  <c r="CA20" i="1" s="1"/>
  <c r="CL8" i="1"/>
  <c r="CP7" i="4"/>
  <c r="CQ7" i="1" s="1"/>
  <c r="CM47" i="6"/>
  <c r="CM6" i="6" s="1"/>
  <c r="CM47" i="4"/>
  <c r="CM6" i="4" s="1"/>
  <c r="CN47" i="1"/>
  <c r="CM6" i="1"/>
  <c r="BZ22" i="6" l="1"/>
  <c r="BY22" i="1"/>
  <c r="BY69" i="1" s="1"/>
  <c r="BY68" i="1" s="1"/>
  <c r="BY67" i="1" s="1"/>
  <c r="BY66" i="1" s="1"/>
  <c r="BY65" i="1" s="1"/>
  <c r="BY64" i="1" s="1"/>
  <c r="BY63" i="1" s="1"/>
  <c r="BY62" i="1" s="1"/>
  <c r="BY61" i="1" s="1"/>
  <c r="BY60" i="1" s="1"/>
  <c r="BY59" i="1" s="1"/>
  <c r="BY58" i="1" s="1"/>
  <c r="BY57" i="1" s="1"/>
  <c r="BY56" i="1" s="1"/>
  <c r="BY55" i="1" s="1"/>
  <c r="BY54" i="1" s="1"/>
  <c r="BX69" i="1"/>
  <c r="BX68" i="1" s="1"/>
  <c r="BX67" i="1" s="1"/>
  <c r="BX66" i="1" s="1"/>
  <c r="BX65" i="1" s="1"/>
  <c r="BX64" i="1" s="1"/>
  <c r="BX63" i="1" s="1"/>
  <c r="BX62" i="1" s="1"/>
  <c r="BX61" i="1" s="1"/>
  <c r="BX60" i="1" s="1"/>
  <c r="BX59" i="1" s="1"/>
  <c r="BX58" i="1" s="1"/>
  <c r="BX57" i="1" s="1"/>
  <c r="BX56" i="1" s="1"/>
  <c r="BX55" i="1" s="1"/>
  <c r="BX54" i="1" s="1"/>
  <c r="CF15" i="1"/>
  <c r="CH14" i="6"/>
  <c r="CH15" i="6" s="1"/>
  <c r="CL9" i="1"/>
  <c r="CE17" i="6"/>
  <c r="CB19" i="1"/>
  <c r="CF16" i="6"/>
  <c r="CF17" i="6" s="1"/>
  <c r="CD17" i="1"/>
  <c r="CC19" i="6"/>
  <c r="CD18" i="1"/>
  <c r="CI13" i="6"/>
  <c r="CH13" i="1"/>
  <c r="CJ11" i="1"/>
  <c r="CB20" i="6"/>
  <c r="CB21" i="6" s="1"/>
  <c r="CM9" i="6"/>
  <c r="CN8" i="6"/>
  <c r="CG15" i="6"/>
  <c r="CL10" i="6"/>
  <c r="CL10" i="1" s="1"/>
  <c r="CK11" i="6"/>
  <c r="CJ12" i="6"/>
  <c r="CJ12" i="1" s="1"/>
  <c r="CA21" i="6"/>
  <c r="CA21" i="1" s="1"/>
  <c r="CM8" i="1"/>
  <c r="CD19" i="6"/>
  <c r="CQ7" i="4"/>
  <c r="CR7" i="1" s="1"/>
  <c r="CN47" i="6"/>
  <c r="CN6" i="6" s="1"/>
  <c r="CN47" i="4"/>
  <c r="CN6" i="4" s="1"/>
  <c r="CO47" i="1"/>
  <c r="CN6" i="1"/>
  <c r="CE17" i="1" l="1"/>
  <c r="CF17" i="1" s="1"/>
  <c r="BZ22" i="1"/>
  <c r="BZ69" i="1" s="1"/>
  <c r="BZ68" i="1" s="1"/>
  <c r="BZ67" i="1" s="1"/>
  <c r="BZ66" i="1" s="1"/>
  <c r="BZ65" i="1" s="1"/>
  <c r="BZ64" i="1" s="1"/>
  <c r="BZ63" i="1" s="1"/>
  <c r="BZ62" i="1" s="1"/>
  <c r="BZ61" i="1" s="1"/>
  <c r="BZ60" i="1" s="1"/>
  <c r="BZ59" i="1" s="1"/>
  <c r="BZ58" i="1" s="1"/>
  <c r="BZ57" i="1" s="1"/>
  <c r="BZ56" i="1" s="1"/>
  <c r="BZ55" i="1" s="1"/>
  <c r="BZ54" i="1" s="1"/>
  <c r="CC20" i="6"/>
  <c r="CF16" i="1"/>
  <c r="CH14" i="1"/>
  <c r="CG15" i="1"/>
  <c r="CH15" i="1" s="1"/>
  <c r="CM9" i="1"/>
  <c r="CE18" i="6"/>
  <c r="CE18" i="1" s="1"/>
  <c r="CC19" i="1"/>
  <c r="CD19" i="1" s="1"/>
  <c r="CI14" i="6"/>
  <c r="CI13" i="1"/>
  <c r="CB20" i="1"/>
  <c r="CB21" i="1"/>
  <c r="CB68" i="1" s="1"/>
  <c r="CK11" i="1"/>
  <c r="CK12" i="6"/>
  <c r="CK13" i="6" s="1"/>
  <c r="CG16" i="6"/>
  <c r="CL11" i="6"/>
  <c r="CN9" i="6"/>
  <c r="CJ13" i="6"/>
  <c r="CO8" i="6"/>
  <c r="CM10" i="6"/>
  <c r="CM10" i="1" s="1"/>
  <c r="CA22" i="6"/>
  <c r="CA22" i="1" s="1"/>
  <c r="CA69" i="1" s="1"/>
  <c r="CA68" i="1" s="1"/>
  <c r="CA67" i="1" s="1"/>
  <c r="CA66" i="1" s="1"/>
  <c r="CA65" i="1" s="1"/>
  <c r="CA64" i="1" s="1"/>
  <c r="CA63" i="1" s="1"/>
  <c r="CA62" i="1" s="1"/>
  <c r="CA61" i="1" s="1"/>
  <c r="CA60" i="1" s="1"/>
  <c r="CA59" i="1" s="1"/>
  <c r="CA58" i="1" s="1"/>
  <c r="CA57" i="1" s="1"/>
  <c r="CA56" i="1" s="1"/>
  <c r="CA55" i="1" s="1"/>
  <c r="CA54" i="1" s="1"/>
  <c r="CN8" i="1"/>
  <c r="CR7" i="4"/>
  <c r="CS7" i="1" s="1"/>
  <c r="CO47" i="6"/>
  <c r="CO6" i="6" s="1"/>
  <c r="CO47" i="4"/>
  <c r="CO6" i="4" s="1"/>
  <c r="CP47" i="1"/>
  <c r="CO6" i="1"/>
  <c r="CF18" i="6" l="1"/>
  <c r="CF18" i="1" s="1"/>
  <c r="CC20" i="1"/>
  <c r="CG16" i="1"/>
  <c r="CI14" i="1"/>
  <c r="CE19" i="6"/>
  <c r="CE19" i="1" s="1"/>
  <c r="CN9" i="1"/>
  <c r="CB67" i="1"/>
  <c r="CB66" i="1" s="1"/>
  <c r="CB65" i="1" s="1"/>
  <c r="CB64" i="1" s="1"/>
  <c r="CB63" i="1" s="1"/>
  <c r="CB62" i="1" s="1"/>
  <c r="CB61" i="1" s="1"/>
  <c r="CB60" i="1" s="1"/>
  <c r="CB59" i="1" s="1"/>
  <c r="CB58" i="1" s="1"/>
  <c r="CB57" i="1" s="1"/>
  <c r="CB56" i="1" s="1"/>
  <c r="CB55" i="1" s="1"/>
  <c r="CB54" i="1" s="1"/>
  <c r="CD20" i="6"/>
  <c r="CL11" i="1"/>
  <c r="CI15" i="6"/>
  <c r="CI15" i="1" s="1"/>
  <c r="CK12" i="1"/>
  <c r="CJ13" i="1"/>
  <c r="CK13" i="1" s="1"/>
  <c r="CC21" i="6"/>
  <c r="CC21" i="1" s="1"/>
  <c r="CC68" i="1" s="1"/>
  <c r="CN10" i="6"/>
  <c r="CN10" i="1" s="1"/>
  <c r="CJ14" i="6"/>
  <c r="CP8" i="6"/>
  <c r="CH16" i="6"/>
  <c r="CO9" i="6"/>
  <c r="CM11" i="6"/>
  <c r="CL12" i="6"/>
  <c r="CG17" i="6"/>
  <c r="CG17" i="1" s="1"/>
  <c r="CO8" i="1"/>
  <c r="CS7" i="4"/>
  <c r="CT7" i="1" s="1"/>
  <c r="CP47" i="6"/>
  <c r="CP6" i="6" s="1"/>
  <c r="CP47" i="4"/>
  <c r="CP6" i="4" s="1"/>
  <c r="CQ47" i="1"/>
  <c r="CP6" i="1"/>
  <c r="CC67" i="1" l="1"/>
  <c r="CC66" i="1" s="1"/>
  <c r="CC65" i="1" s="1"/>
  <c r="CC64" i="1" s="1"/>
  <c r="CC63" i="1" s="1"/>
  <c r="CC62" i="1" s="1"/>
  <c r="CC61" i="1" s="1"/>
  <c r="CC60" i="1" s="1"/>
  <c r="CC59" i="1" s="1"/>
  <c r="CC58" i="1" s="1"/>
  <c r="CC57" i="1" s="1"/>
  <c r="CC56" i="1" s="1"/>
  <c r="CC55" i="1" s="1"/>
  <c r="CC54" i="1" s="1"/>
  <c r="CF19" i="6"/>
  <c r="CF20" i="6" s="1"/>
  <c r="CD21" i="6"/>
  <c r="CD21" i="1" s="1"/>
  <c r="CD68" i="1" s="1"/>
  <c r="CH16" i="1"/>
  <c r="CE20" i="6"/>
  <c r="CJ14" i="1"/>
  <c r="CO9" i="1"/>
  <c r="CD20" i="1"/>
  <c r="CM11" i="1"/>
  <c r="CI16" i="6"/>
  <c r="CL12" i="1"/>
  <c r="CK14" i="6"/>
  <c r="CM12" i="6"/>
  <c r="CH17" i="6"/>
  <c r="CH17" i="1" s="1"/>
  <c r="CJ15" i="6"/>
  <c r="CO10" i="6"/>
  <c r="CO10" i="1" s="1"/>
  <c r="CN11" i="6"/>
  <c r="CP9" i="6"/>
  <c r="CQ8" i="6"/>
  <c r="CL13" i="6"/>
  <c r="CL13" i="1" s="1"/>
  <c r="CG18" i="6"/>
  <c r="CG18" i="1" s="1"/>
  <c r="CP8" i="1"/>
  <c r="CT7" i="4"/>
  <c r="CU7" i="1" s="1"/>
  <c r="CQ47" i="6"/>
  <c r="CQ6" i="6" s="1"/>
  <c r="CQ47" i="4"/>
  <c r="CQ6" i="4" s="1"/>
  <c r="CR47" i="1"/>
  <c r="CQ6" i="1"/>
  <c r="CF19" i="1" l="1"/>
  <c r="CI16" i="1"/>
  <c r="CE20" i="1"/>
  <c r="CE67" i="1" s="1"/>
  <c r="CE66" i="1" s="1"/>
  <c r="CE65" i="1" s="1"/>
  <c r="CE64" i="1" s="1"/>
  <c r="CE63" i="1" s="1"/>
  <c r="CE62" i="1" s="1"/>
  <c r="CE61" i="1" s="1"/>
  <c r="CE60" i="1" s="1"/>
  <c r="CE59" i="1" s="1"/>
  <c r="CE58" i="1" s="1"/>
  <c r="CE57" i="1" s="1"/>
  <c r="CE56" i="1" s="1"/>
  <c r="CE55" i="1" s="1"/>
  <c r="CE54" i="1" s="1"/>
  <c r="CP9" i="1"/>
  <c r="CK14" i="1"/>
  <c r="CD67" i="1"/>
  <c r="CD66" i="1" s="1"/>
  <c r="CD65" i="1" s="1"/>
  <c r="CD64" i="1" s="1"/>
  <c r="CD63" i="1" s="1"/>
  <c r="CD62" i="1" s="1"/>
  <c r="CD61" i="1" s="1"/>
  <c r="CD60" i="1" s="1"/>
  <c r="CD59" i="1" s="1"/>
  <c r="CD58" i="1" s="1"/>
  <c r="CD57" i="1" s="1"/>
  <c r="CD56" i="1" s="1"/>
  <c r="CD55" i="1" s="1"/>
  <c r="CD54" i="1" s="1"/>
  <c r="CN11" i="1"/>
  <c r="CM12" i="1"/>
  <c r="CK15" i="6"/>
  <c r="CJ16" i="6"/>
  <c r="CJ16" i="1" s="1"/>
  <c r="CJ15" i="1"/>
  <c r="CM13" i="6"/>
  <c r="CM13" i="1" s="1"/>
  <c r="CO11" i="6"/>
  <c r="CI17" i="6"/>
  <c r="CG19" i="6"/>
  <c r="CQ9" i="6"/>
  <c r="CH18" i="6"/>
  <c r="CH18" i="1" s="1"/>
  <c r="CR8" i="6"/>
  <c r="CN12" i="6"/>
  <c r="CP10" i="6"/>
  <c r="CP10" i="1" s="1"/>
  <c r="CL14" i="6"/>
  <c r="CQ8" i="1"/>
  <c r="CU7" i="4"/>
  <c r="CV7" i="1" s="1"/>
  <c r="CR47" i="6"/>
  <c r="CR6" i="6" s="1"/>
  <c r="CR47" i="4"/>
  <c r="CR6" i="4" s="1"/>
  <c r="CS47" i="1"/>
  <c r="CR6" i="1"/>
  <c r="CG19" i="1" l="1"/>
  <c r="CF20" i="1"/>
  <c r="CF67" i="1" s="1"/>
  <c r="CF66" i="1" s="1"/>
  <c r="CF65" i="1" s="1"/>
  <c r="CF64" i="1" s="1"/>
  <c r="CF63" i="1" s="1"/>
  <c r="CF62" i="1" s="1"/>
  <c r="CF61" i="1" s="1"/>
  <c r="CF60" i="1" s="1"/>
  <c r="CF59" i="1" s="1"/>
  <c r="CF58" i="1" s="1"/>
  <c r="CF57" i="1" s="1"/>
  <c r="CF56" i="1" s="1"/>
  <c r="CF55" i="1" s="1"/>
  <c r="CF54" i="1" s="1"/>
  <c r="CQ9" i="1"/>
  <c r="CL14" i="1"/>
  <c r="CN12" i="1"/>
  <c r="CO11" i="1"/>
  <c r="CK16" i="6"/>
  <c r="CK16" i="1" s="1"/>
  <c r="CK15" i="1"/>
  <c r="CJ17" i="6"/>
  <c r="CI18" i="6"/>
  <c r="CI18" i="1" s="1"/>
  <c r="CI17" i="1"/>
  <c r="CM14" i="6"/>
  <c r="CO12" i="6"/>
  <c r="CO12" i="1" s="1"/>
  <c r="CH19" i="6"/>
  <c r="CG20" i="6"/>
  <c r="CN13" i="6"/>
  <c r="CN13" i="1" s="1"/>
  <c r="CQ10" i="6"/>
  <c r="CQ10" i="1" s="1"/>
  <c r="CP11" i="6"/>
  <c r="CR9" i="6"/>
  <c r="CS8" i="6"/>
  <c r="CL15" i="6"/>
  <c r="CR8" i="1"/>
  <c r="CV7" i="4"/>
  <c r="CW7" i="1" s="1"/>
  <c r="CS47" i="6"/>
  <c r="CS6" i="6" s="1"/>
  <c r="CS47" i="4"/>
  <c r="CS6" i="4" s="1"/>
  <c r="CT47" i="1"/>
  <c r="CS6" i="1"/>
  <c r="CH19" i="1" l="1"/>
  <c r="CH66" i="1" s="1"/>
  <c r="CH65" i="1" s="1"/>
  <c r="CH64" i="1" s="1"/>
  <c r="CH63" i="1" s="1"/>
  <c r="CH62" i="1" s="1"/>
  <c r="CH61" i="1" s="1"/>
  <c r="CH60" i="1" s="1"/>
  <c r="CH59" i="1" s="1"/>
  <c r="CH58" i="1" s="1"/>
  <c r="CH57" i="1" s="1"/>
  <c r="CH56" i="1" s="1"/>
  <c r="CH55" i="1" s="1"/>
  <c r="CH54" i="1" s="1"/>
  <c r="CM14" i="1"/>
  <c r="CP11" i="1"/>
  <c r="CG20" i="1"/>
  <c r="CG67" i="1" s="1"/>
  <c r="CG66" i="1" s="1"/>
  <c r="CG65" i="1" s="1"/>
  <c r="CG64" i="1" s="1"/>
  <c r="CG63" i="1" s="1"/>
  <c r="CG62" i="1" s="1"/>
  <c r="CG61" i="1" s="1"/>
  <c r="CG60" i="1" s="1"/>
  <c r="CG59" i="1" s="1"/>
  <c r="CG58" i="1" s="1"/>
  <c r="CG57" i="1" s="1"/>
  <c r="CG56" i="1" s="1"/>
  <c r="CG55" i="1" s="1"/>
  <c r="CG54" i="1" s="1"/>
  <c r="CR9" i="1"/>
  <c r="CL15" i="1"/>
  <c r="CI19" i="6"/>
  <c r="CK17" i="6"/>
  <c r="CJ18" i="6"/>
  <c r="CJ18" i="1" s="1"/>
  <c r="CJ17" i="1"/>
  <c r="CM15" i="6"/>
  <c r="CO13" i="6"/>
  <c r="CO13" i="1" s="1"/>
  <c r="CL16" i="6"/>
  <c r="CL16" i="1" s="1"/>
  <c r="CS9" i="6"/>
  <c r="CQ11" i="6"/>
  <c r="CQ11" i="1" s="1"/>
  <c r="CT8" i="6"/>
  <c r="CN14" i="6"/>
  <c r="CR10" i="6"/>
  <c r="CR10" i="1" s="1"/>
  <c r="CP12" i="6"/>
  <c r="CP12" i="1" s="1"/>
  <c r="CS8" i="1"/>
  <c r="CW7" i="4"/>
  <c r="CX7" i="1" s="1"/>
  <c r="CT47" i="6"/>
  <c r="CT6" i="6" s="1"/>
  <c r="CT47" i="4"/>
  <c r="CT6" i="4" s="1"/>
  <c r="CU47" i="1"/>
  <c r="CT6" i="1"/>
  <c r="CI19" i="1" l="1"/>
  <c r="CI66" i="1" s="1"/>
  <c r="CI65" i="1" s="1"/>
  <c r="CI64" i="1" s="1"/>
  <c r="CI63" i="1" s="1"/>
  <c r="CI62" i="1" s="1"/>
  <c r="CI61" i="1" s="1"/>
  <c r="CI60" i="1" s="1"/>
  <c r="CI59" i="1" s="1"/>
  <c r="CI58" i="1" s="1"/>
  <c r="CI57" i="1" s="1"/>
  <c r="CI56" i="1" s="1"/>
  <c r="CI55" i="1" s="1"/>
  <c r="CI54" i="1" s="1"/>
  <c r="CN14" i="1"/>
  <c r="CS9" i="1"/>
  <c r="CM15" i="1"/>
  <c r="CK17" i="1"/>
  <c r="CM16" i="6"/>
  <c r="CM16" i="1" s="1"/>
  <c r="CL17" i="6"/>
  <c r="CO14" i="6"/>
  <c r="CS10" i="6"/>
  <c r="CS10" i="1" s="1"/>
  <c r="CK18" i="6"/>
  <c r="CK18" i="1" s="1"/>
  <c r="CK65" i="1" s="1"/>
  <c r="CJ19" i="6"/>
  <c r="CQ12" i="6"/>
  <c r="CQ12" i="1" s="1"/>
  <c r="CN15" i="6"/>
  <c r="CT9" i="6"/>
  <c r="CR11" i="6"/>
  <c r="CR11" i="1" s="1"/>
  <c r="CU8" i="6"/>
  <c r="CP13" i="6"/>
  <c r="CP13" i="1" s="1"/>
  <c r="CT8" i="1"/>
  <c r="CX7" i="4"/>
  <c r="CY7" i="1" s="1"/>
  <c r="CU47" i="6"/>
  <c r="CU6" i="6" s="1"/>
  <c r="CU47" i="4"/>
  <c r="CU6" i="4" s="1"/>
  <c r="CV47" i="1"/>
  <c r="CU6" i="1"/>
  <c r="CJ19" i="1" l="1"/>
  <c r="CJ66" i="1" s="1"/>
  <c r="CJ65" i="1" s="1"/>
  <c r="CJ64" i="1" s="1"/>
  <c r="CJ63" i="1" s="1"/>
  <c r="CJ62" i="1" s="1"/>
  <c r="CJ61" i="1" s="1"/>
  <c r="CJ60" i="1" s="1"/>
  <c r="CJ59" i="1" s="1"/>
  <c r="CJ58" i="1" s="1"/>
  <c r="CJ57" i="1" s="1"/>
  <c r="CJ56" i="1" s="1"/>
  <c r="CJ55" i="1" s="1"/>
  <c r="CJ54" i="1" s="1"/>
  <c r="CO14" i="1"/>
  <c r="CT9" i="1"/>
  <c r="CK64" i="1"/>
  <c r="CK63" i="1" s="1"/>
  <c r="CK62" i="1" s="1"/>
  <c r="CK61" i="1" s="1"/>
  <c r="CK60" i="1" s="1"/>
  <c r="CK59" i="1" s="1"/>
  <c r="CK58" i="1" s="1"/>
  <c r="CK57" i="1" s="1"/>
  <c r="CK56" i="1" s="1"/>
  <c r="CK55" i="1" s="1"/>
  <c r="CK54" i="1" s="1"/>
  <c r="CL17" i="1"/>
  <c r="CN15" i="1"/>
  <c r="CS11" i="6"/>
  <c r="CS11" i="1" s="1"/>
  <c r="CM17" i="6"/>
  <c r="CL18" i="6"/>
  <c r="CL18" i="1" s="1"/>
  <c r="CL65" i="1" s="1"/>
  <c r="CO15" i="6"/>
  <c r="CN16" i="6"/>
  <c r="CN16" i="1" s="1"/>
  <c r="CR12" i="6"/>
  <c r="CR12" i="1" s="1"/>
  <c r="CP14" i="6"/>
  <c r="CV8" i="6"/>
  <c r="CU9" i="6"/>
  <c r="CQ13" i="6"/>
  <c r="CQ13" i="1" s="1"/>
  <c r="CT10" i="6"/>
  <c r="CT10" i="1" s="1"/>
  <c r="CU8" i="1"/>
  <c r="CY7" i="4"/>
  <c r="CZ7" i="1" s="1"/>
  <c r="CV47" i="6"/>
  <c r="CV6" i="6" s="1"/>
  <c r="CV47" i="4"/>
  <c r="CV6" i="4" s="1"/>
  <c r="CW47" i="1"/>
  <c r="CV6" i="1"/>
  <c r="CU9" i="1" l="1"/>
  <c r="CP14" i="1"/>
  <c r="CL64" i="1"/>
  <c r="CL63" i="1" s="1"/>
  <c r="CL62" i="1" s="1"/>
  <c r="CL61" i="1" s="1"/>
  <c r="CL60" i="1" s="1"/>
  <c r="CL59" i="1" s="1"/>
  <c r="CL58" i="1" s="1"/>
  <c r="CL57" i="1" s="1"/>
  <c r="CL56" i="1" s="1"/>
  <c r="CL55" i="1" s="1"/>
  <c r="CL54" i="1" s="1"/>
  <c r="CO15" i="1"/>
  <c r="CM18" i="6"/>
  <c r="CM18" i="1" s="1"/>
  <c r="CM65" i="1" s="1"/>
  <c r="CM17" i="1"/>
  <c r="CR13" i="6"/>
  <c r="CR13" i="1" s="1"/>
  <c r="CS12" i="6"/>
  <c r="CS12" i="1" s="1"/>
  <c r="CP15" i="6"/>
  <c r="CO16" i="6"/>
  <c r="CQ14" i="6"/>
  <c r="CV9" i="6"/>
  <c r="CU10" i="6"/>
  <c r="CU10" i="1" s="1"/>
  <c r="CT11" i="6"/>
  <c r="CT12" i="6" s="1"/>
  <c r="CW8" i="6"/>
  <c r="CN17" i="6"/>
  <c r="CV8" i="1"/>
  <c r="CZ7" i="4"/>
  <c r="DA7" i="1" s="1"/>
  <c r="CW47" i="6"/>
  <c r="CW6" i="6" s="1"/>
  <c r="CW47" i="4"/>
  <c r="CW6" i="4" s="1"/>
  <c r="CX47" i="1"/>
  <c r="CW6" i="1"/>
  <c r="CV9" i="1" l="1"/>
  <c r="CQ14" i="1"/>
  <c r="CP15" i="1"/>
  <c r="CM64" i="1"/>
  <c r="CM63" i="1" s="1"/>
  <c r="CM62" i="1" s="1"/>
  <c r="CM61" i="1" s="1"/>
  <c r="CM60" i="1" s="1"/>
  <c r="CM59" i="1" s="1"/>
  <c r="CM58" i="1" s="1"/>
  <c r="CM57" i="1" s="1"/>
  <c r="CM56" i="1" s="1"/>
  <c r="CM55" i="1" s="1"/>
  <c r="CM54" i="1" s="1"/>
  <c r="CN17" i="1"/>
  <c r="CN64" i="1" s="1"/>
  <c r="CN63" i="1" s="1"/>
  <c r="CN62" i="1" s="1"/>
  <c r="CN61" i="1" s="1"/>
  <c r="CN60" i="1" s="1"/>
  <c r="CN59" i="1" s="1"/>
  <c r="CN58" i="1" s="1"/>
  <c r="CN57" i="1" s="1"/>
  <c r="CN56" i="1" s="1"/>
  <c r="CN55" i="1" s="1"/>
  <c r="CN54" i="1" s="1"/>
  <c r="CT11" i="1"/>
  <c r="CT12" i="1"/>
  <c r="CO17" i="6"/>
  <c r="CO16" i="1"/>
  <c r="CS13" i="6"/>
  <c r="CS13" i="1" s="1"/>
  <c r="CU11" i="6"/>
  <c r="CP16" i="6"/>
  <c r="CV10" i="6"/>
  <c r="CV10" i="1" s="1"/>
  <c r="CW9" i="6"/>
  <c r="CX8" i="6"/>
  <c r="CT13" i="6"/>
  <c r="CQ15" i="6"/>
  <c r="CR14" i="6"/>
  <c r="CW8" i="1"/>
  <c r="DA7" i="4"/>
  <c r="DB7" i="1" s="1"/>
  <c r="CX47" i="6"/>
  <c r="CX6" i="6" s="1"/>
  <c r="CX47" i="4"/>
  <c r="CX6" i="4" s="1"/>
  <c r="CX6" i="1"/>
  <c r="CY47" i="1"/>
  <c r="CW9" i="1" l="1"/>
  <c r="CR14" i="1"/>
  <c r="CQ16" i="6"/>
  <c r="CO17" i="1"/>
  <c r="CO64" i="1" s="1"/>
  <c r="CO63" i="1" s="1"/>
  <c r="CO62" i="1" s="1"/>
  <c r="CO61" i="1" s="1"/>
  <c r="CO60" i="1" s="1"/>
  <c r="CO59" i="1" s="1"/>
  <c r="CO58" i="1" s="1"/>
  <c r="CO57" i="1" s="1"/>
  <c r="CO56" i="1" s="1"/>
  <c r="CO55" i="1" s="1"/>
  <c r="CO54" i="1" s="1"/>
  <c r="CU11" i="1"/>
  <c r="CT13" i="1"/>
  <c r="CQ15" i="1"/>
  <c r="CS14" i="6"/>
  <c r="CP16" i="1"/>
  <c r="CP17" i="6"/>
  <c r="CV11" i="6"/>
  <c r="CU12" i="6"/>
  <c r="CW10" i="6"/>
  <c r="CW10" i="1" s="1"/>
  <c r="CY8" i="6"/>
  <c r="CX9" i="6"/>
  <c r="CR15" i="6"/>
  <c r="CX8" i="1"/>
  <c r="DB7" i="4"/>
  <c r="DC7" i="1" s="1"/>
  <c r="CY47" i="6"/>
  <c r="CY6" i="6" s="1"/>
  <c r="CY47" i="4"/>
  <c r="CY6" i="4" s="1"/>
  <c r="CZ47" i="1"/>
  <c r="CY6" i="1"/>
  <c r="CX9" i="1" l="1"/>
  <c r="CS14" i="1"/>
  <c r="CQ16" i="1"/>
  <c r="CQ63" i="1" s="1"/>
  <c r="CQ62" i="1" s="1"/>
  <c r="CQ61" i="1" s="1"/>
  <c r="CQ60" i="1" s="1"/>
  <c r="CQ59" i="1" s="1"/>
  <c r="CQ58" i="1" s="1"/>
  <c r="CQ57" i="1" s="1"/>
  <c r="CQ56" i="1" s="1"/>
  <c r="CQ55" i="1" s="1"/>
  <c r="CQ54" i="1" s="1"/>
  <c r="CP17" i="1"/>
  <c r="CP64" i="1" s="1"/>
  <c r="CP63" i="1" s="1"/>
  <c r="CP62" i="1" s="1"/>
  <c r="CP61" i="1" s="1"/>
  <c r="CP60" i="1" s="1"/>
  <c r="CP59" i="1" s="1"/>
  <c r="CP58" i="1" s="1"/>
  <c r="CP57" i="1" s="1"/>
  <c r="CP56" i="1" s="1"/>
  <c r="CP55" i="1" s="1"/>
  <c r="CP54" i="1" s="1"/>
  <c r="CR15" i="1"/>
  <c r="CV11" i="1"/>
  <c r="CU13" i="6"/>
  <c r="CU13" i="1" s="1"/>
  <c r="CU12" i="1"/>
  <c r="CV12" i="6"/>
  <c r="CW11" i="6"/>
  <c r="CX10" i="6"/>
  <c r="CX10" i="1" s="1"/>
  <c r="CT14" i="6"/>
  <c r="CZ8" i="6"/>
  <c r="CY9" i="6"/>
  <c r="CS15" i="6"/>
  <c r="CR16" i="6"/>
  <c r="CY8" i="1"/>
  <c r="DC7" i="4"/>
  <c r="DD7" i="1" s="1"/>
  <c r="CZ47" i="6"/>
  <c r="CZ6" i="6" s="1"/>
  <c r="CZ47" i="4"/>
  <c r="CZ6" i="4" s="1"/>
  <c r="DA47" i="1"/>
  <c r="CZ6" i="1"/>
  <c r="CY9" i="1" l="1"/>
  <c r="CT15" i="6"/>
  <c r="CR16" i="1"/>
  <c r="CR63" i="1" s="1"/>
  <c r="CR62" i="1" s="1"/>
  <c r="CR61" i="1" s="1"/>
  <c r="CR60" i="1" s="1"/>
  <c r="CR59" i="1" s="1"/>
  <c r="CR58" i="1" s="1"/>
  <c r="CR57" i="1" s="1"/>
  <c r="CR56" i="1" s="1"/>
  <c r="CR55" i="1" s="1"/>
  <c r="CR54" i="1" s="1"/>
  <c r="CW11" i="1"/>
  <c r="CS15" i="1"/>
  <c r="CT14" i="1"/>
  <c r="CU14" i="6"/>
  <c r="CV12" i="1"/>
  <c r="CV13" i="6"/>
  <c r="CV14" i="6" s="1"/>
  <c r="CW12" i="6"/>
  <c r="CX11" i="6"/>
  <c r="DA8" i="6"/>
  <c r="CZ9" i="6"/>
  <c r="CY10" i="6"/>
  <c r="CY10" i="1" s="1"/>
  <c r="CS16" i="6"/>
  <c r="CZ8" i="1"/>
  <c r="DD7" i="4"/>
  <c r="DE7" i="1" s="1"/>
  <c r="DA47" i="6"/>
  <c r="DA6" i="6" s="1"/>
  <c r="DA47" i="4"/>
  <c r="DA6" i="4" s="1"/>
  <c r="DB47" i="1"/>
  <c r="DA6" i="1"/>
  <c r="CZ9" i="1" l="1"/>
  <c r="CT15" i="1"/>
  <c r="CT62" i="1" s="1"/>
  <c r="CT61" i="1" s="1"/>
  <c r="CT60" i="1" s="1"/>
  <c r="CT59" i="1" s="1"/>
  <c r="CT58" i="1" s="1"/>
  <c r="CT57" i="1" s="1"/>
  <c r="CT56" i="1" s="1"/>
  <c r="CT55" i="1" s="1"/>
  <c r="CT54" i="1" s="1"/>
  <c r="CS16" i="1"/>
  <c r="CS63" i="1" s="1"/>
  <c r="CS62" i="1" s="1"/>
  <c r="CS61" i="1" s="1"/>
  <c r="CS60" i="1" s="1"/>
  <c r="CS59" i="1" s="1"/>
  <c r="CS58" i="1" s="1"/>
  <c r="CS57" i="1" s="1"/>
  <c r="CS56" i="1" s="1"/>
  <c r="CS55" i="1" s="1"/>
  <c r="CS54" i="1" s="1"/>
  <c r="CX11" i="1"/>
  <c r="CW12" i="1"/>
  <c r="CU14" i="1"/>
  <c r="CV14" i="1" s="1"/>
  <c r="CV13" i="1"/>
  <c r="CW13" i="6"/>
  <c r="DB8" i="6"/>
  <c r="CZ10" i="6"/>
  <c r="CZ10" i="1" s="1"/>
  <c r="DA9" i="6"/>
  <c r="CU15" i="6"/>
  <c r="CY11" i="6"/>
  <c r="CX12" i="6"/>
  <c r="DA8" i="1"/>
  <c r="DE7" i="4"/>
  <c r="DF7" i="1" s="1"/>
  <c r="DB47" i="6"/>
  <c r="DB6" i="6" s="1"/>
  <c r="DB47" i="4"/>
  <c r="DB6" i="4" s="1"/>
  <c r="DC47" i="1"/>
  <c r="DB6" i="1"/>
  <c r="DA9" i="1" l="1"/>
  <c r="CU15" i="1"/>
  <c r="CU62" i="1" s="1"/>
  <c r="CU61" i="1" s="1"/>
  <c r="CU60" i="1" s="1"/>
  <c r="CU59" i="1" s="1"/>
  <c r="CU58" i="1" s="1"/>
  <c r="CU57" i="1" s="1"/>
  <c r="CU56" i="1" s="1"/>
  <c r="CU55" i="1" s="1"/>
  <c r="CU54" i="1" s="1"/>
  <c r="CY11" i="1"/>
  <c r="CX12" i="1"/>
  <c r="CW13" i="1"/>
  <c r="CY12" i="6"/>
  <c r="CW14" i="6"/>
  <c r="CW14" i="1" s="1"/>
  <c r="CW61" i="1" s="1"/>
  <c r="DA10" i="6"/>
  <c r="DA10" i="1" s="1"/>
  <c r="CV15" i="6"/>
  <c r="CZ11" i="6"/>
  <c r="DC8" i="6"/>
  <c r="DB9" i="6"/>
  <c r="CX13" i="6"/>
  <c r="CX13" i="1" s="1"/>
  <c r="DB8" i="1"/>
  <c r="DF7" i="4"/>
  <c r="DG7" i="1" s="1"/>
  <c r="DC47" i="6"/>
  <c r="DC6" i="6" s="1"/>
  <c r="DC47" i="4"/>
  <c r="DC6" i="4" s="1"/>
  <c r="DD47" i="1"/>
  <c r="DC6" i="1"/>
  <c r="DB9" i="1" l="1"/>
  <c r="CV15" i="1"/>
  <c r="CV62" i="1" s="1"/>
  <c r="CV61" i="1" s="1"/>
  <c r="CV60" i="1" s="1"/>
  <c r="CV59" i="1" s="1"/>
  <c r="CV58" i="1" s="1"/>
  <c r="CV57" i="1" s="1"/>
  <c r="CV56" i="1" s="1"/>
  <c r="CV55" i="1" s="1"/>
  <c r="CV54" i="1" s="1"/>
  <c r="CW60" i="1"/>
  <c r="CW59" i="1" s="1"/>
  <c r="CW58" i="1" s="1"/>
  <c r="CW57" i="1" s="1"/>
  <c r="CW56" i="1" s="1"/>
  <c r="CW55" i="1" s="1"/>
  <c r="CW54" i="1" s="1"/>
  <c r="CZ11" i="1"/>
  <c r="CY12" i="1"/>
  <c r="DB10" i="6"/>
  <c r="DB11" i="6" s="1"/>
  <c r="DA11" i="6"/>
  <c r="CZ12" i="6"/>
  <c r="DD8" i="6"/>
  <c r="DC9" i="6"/>
  <c r="CY13" i="6"/>
  <c r="CY13" i="1" s="1"/>
  <c r="CX14" i="6"/>
  <c r="CX14" i="1" s="1"/>
  <c r="CX61" i="1" s="1"/>
  <c r="CX60" i="1" s="1"/>
  <c r="CX59" i="1" s="1"/>
  <c r="CX58" i="1" s="1"/>
  <c r="CX57" i="1" s="1"/>
  <c r="CX56" i="1" s="1"/>
  <c r="CX55" i="1" s="1"/>
  <c r="CX54" i="1" s="1"/>
  <c r="DC8" i="1"/>
  <c r="DG7" i="4"/>
  <c r="DH7" i="1" s="1"/>
  <c r="DD47" i="6"/>
  <c r="DD6" i="6" s="1"/>
  <c r="DD47" i="4"/>
  <c r="DD6" i="4" s="1"/>
  <c r="DE47" i="1"/>
  <c r="DD6" i="1"/>
  <c r="DC9" i="1" l="1"/>
  <c r="DA11" i="1"/>
  <c r="DB12" i="6" s="1"/>
  <c r="CZ12" i="1"/>
  <c r="DB10" i="1"/>
  <c r="CZ13" i="6"/>
  <c r="CZ13" i="1" s="1"/>
  <c r="CZ60" i="1" s="1"/>
  <c r="CY14" i="6"/>
  <c r="CY14" i="1" s="1"/>
  <c r="CY61" i="1" s="1"/>
  <c r="CY60" i="1" s="1"/>
  <c r="CY59" i="1" s="1"/>
  <c r="CY58" i="1" s="1"/>
  <c r="CY57" i="1" s="1"/>
  <c r="CY56" i="1" s="1"/>
  <c r="CY55" i="1" s="1"/>
  <c r="CY54" i="1" s="1"/>
  <c r="DD9" i="6"/>
  <c r="DE8" i="6"/>
  <c r="DC10" i="6"/>
  <c r="DA12" i="6"/>
  <c r="DD8" i="1"/>
  <c r="DH7" i="4"/>
  <c r="DI7" i="1" s="1"/>
  <c r="DE47" i="6"/>
  <c r="DE6" i="6" s="1"/>
  <c r="DE47" i="4"/>
  <c r="DE6" i="4" s="1"/>
  <c r="DF47" i="1"/>
  <c r="DE6" i="1"/>
  <c r="DD9" i="1" l="1"/>
  <c r="CZ59" i="1"/>
  <c r="CZ58" i="1" s="1"/>
  <c r="CZ57" i="1" s="1"/>
  <c r="CZ56" i="1" s="1"/>
  <c r="CZ55" i="1" s="1"/>
  <c r="CZ54" i="1" s="1"/>
  <c r="DB11" i="1"/>
  <c r="DA12" i="1"/>
  <c r="DB12" i="1" s="1"/>
  <c r="DC10" i="1"/>
  <c r="DA13" i="6"/>
  <c r="DA13" i="1" s="1"/>
  <c r="DA60" i="1" s="1"/>
  <c r="DD10" i="6"/>
  <c r="DC11" i="6"/>
  <c r="DF8" i="6"/>
  <c r="DE9" i="6"/>
  <c r="DE8" i="1"/>
  <c r="DI7" i="4"/>
  <c r="DJ7" i="1" s="1"/>
  <c r="DF47" i="6"/>
  <c r="DF6" i="6" s="1"/>
  <c r="DF47" i="4"/>
  <c r="DF6" i="4" s="1"/>
  <c r="DG47" i="1"/>
  <c r="DF6" i="1"/>
  <c r="DE9" i="1" l="1"/>
  <c r="DA59" i="1"/>
  <c r="DA58" i="1" s="1"/>
  <c r="DA57" i="1" s="1"/>
  <c r="DA56" i="1" s="1"/>
  <c r="DA55" i="1" s="1"/>
  <c r="DA54" i="1" s="1"/>
  <c r="DC11" i="1"/>
  <c r="DB13" i="6"/>
  <c r="DB13" i="1" s="1"/>
  <c r="DB60" i="1" s="1"/>
  <c r="DB59" i="1" s="1"/>
  <c r="DB58" i="1" s="1"/>
  <c r="DB57" i="1" s="1"/>
  <c r="DB56" i="1" s="1"/>
  <c r="DB55" i="1" s="1"/>
  <c r="DB54" i="1" s="1"/>
  <c r="DD10" i="1"/>
  <c r="DE10" i="6"/>
  <c r="DD11" i="6"/>
  <c r="DG8" i="6"/>
  <c r="DF9" i="6"/>
  <c r="DC12" i="6"/>
  <c r="DC12" i="1" s="1"/>
  <c r="DC59" i="1" s="1"/>
  <c r="DF8" i="1"/>
  <c r="DJ7" i="4"/>
  <c r="DK7" i="1" s="1"/>
  <c r="DG47" i="6"/>
  <c r="DG6" i="6" s="1"/>
  <c r="DG47" i="4"/>
  <c r="DG6" i="4" s="1"/>
  <c r="DH47" i="1"/>
  <c r="DG6" i="1"/>
  <c r="DF9" i="1" l="1"/>
  <c r="DC58" i="1"/>
  <c r="DC57" i="1" s="1"/>
  <c r="DC56" i="1" s="1"/>
  <c r="DC55" i="1" s="1"/>
  <c r="DC54" i="1" s="1"/>
  <c r="DE10" i="1"/>
  <c r="DD12" i="6"/>
  <c r="DD12" i="1" s="1"/>
  <c r="DD59" i="1" s="1"/>
  <c r="DD11" i="1"/>
  <c r="DE11" i="6"/>
  <c r="DF10" i="6"/>
  <c r="DH8" i="6"/>
  <c r="DG9" i="6"/>
  <c r="DG9" i="1" s="1"/>
  <c r="DG8" i="1"/>
  <c r="DK7" i="4"/>
  <c r="DL7" i="1" s="1"/>
  <c r="DH47" i="6"/>
  <c r="DH6" i="6" s="1"/>
  <c r="DH47" i="4"/>
  <c r="DH6" i="4" s="1"/>
  <c r="DI47" i="1"/>
  <c r="DH6" i="1"/>
  <c r="DF10" i="1" l="1"/>
  <c r="DD58" i="1"/>
  <c r="DD57" i="1" s="1"/>
  <c r="DD56" i="1" s="1"/>
  <c r="DD55" i="1" s="1"/>
  <c r="DD54" i="1" s="1"/>
  <c r="DE11" i="1"/>
  <c r="DE12" i="6"/>
  <c r="DE12" i="1" s="1"/>
  <c r="DE59" i="1" s="1"/>
  <c r="DI8" i="6"/>
  <c r="DH9" i="6"/>
  <c r="DH9" i="1" s="1"/>
  <c r="DF11" i="6"/>
  <c r="DG10" i="6"/>
  <c r="DH8" i="1"/>
  <c r="DL7" i="4"/>
  <c r="DM7" i="1" s="1"/>
  <c r="DI47" i="6"/>
  <c r="DI6" i="6" s="1"/>
  <c r="DI47" i="4"/>
  <c r="DI6" i="4" s="1"/>
  <c r="DJ47" i="1"/>
  <c r="DI6" i="1"/>
  <c r="DG10" i="1" l="1"/>
  <c r="DF11" i="1"/>
  <c r="DF58" i="1" s="1"/>
  <c r="DF57" i="1" s="1"/>
  <c r="DF56" i="1" s="1"/>
  <c r="DF55" i="1" s="1"/>
  <c r="DF54" i="1" s="1"/>
  <c r="DE58" i="1"/>
  <c r="DE57" i="1" s="1"/>
  <c r="DE56" i="1" s="1"/>
  <c r="DE55" i="1" s="1"/>
  <c r="DE54" i="1" s="1"/>
  <c r="DG11" i="6"/>
  <c r="DH10" i="6"/>
  <c r="DJ8" i="6"/>
  <c r="DI9" i="6"/>
  <c r="DI9" i="1" s="1"/>
  <c r="DI8" i="1"/>
  <c r="DM7" i="4"/>
  <c r="DN7" i="1" s="1"/>
  <c r="DJ47" i="6"/>
  <c r="DJ6" i="6" s="1"/>
  <c r="DJ47" i="4"/>
  <c r="DJ6" i="4" s="1"/>
  <c r="DK47" i="1"/>
  <c r="DJ6" i="1"/>
  <c r="DH10" i="1" l="1"/>
  <c r="DG11" i="1"/>
  <c r="DG58" i="1" s="1"/>
  <c r="DG57" i="1" s="1"/>
  <c r="DG56" i="1" s="1"/>
  <c r="DG55" i="1" s="1"/>
  <c r="DG54" i="1" s="1"/>
  <c r="DI10" i="6"/>
  <c r="DK8" i="6"/>
  <c r="DJ9" i="6"/>
  <c r="DJ9" i="1" s="1"/>
  <c r="DH11" i="6"/>
  <c r="DJ8" i="1"/>
  <c r="DN7" i="4"/>
  <c r="DO7" i="1" s="1"/>
  <c r="DK47" i="6"/>
  <c r="DK6" i="6" s="1"/>
  <c r="DK47" i="4"/>
  <c r="DK6" i="4" s="1"/>
  <c r="DL47" i="1"/>
  <c r="DK6" i="1"/>
  <c r="DI10" i="1" l="1"/>
  <c r="DI57" i="1" s="1"/>
  <c r="DI56" i="1" s="1"/>
  <c r="DI55" i="1" s="1"/>
  <c r="DI54" i="1" s="1"/>
  <c r="DH11" i="1"/>
  <c r="DH58" i="1" s="1"/>
  <c r="DH57" i="1" s="1"/>
  <c r="DH56" i="1" s="1"/>
  <c r="DH55" i="1" s="1"/>
  <c r="DH54" i="1" s="1"/>
  <c r="DJ10" i="6"/>
  <c r="DL8" i="6"/>
  <c r="DK9" i="6"/>
  <c r="DK9" i="1" s="1"/>
  <c r="DK8" i="1"/>
  <c r="DO7" i="4"/>
  <c r="DP7" i="1" s="1"/>
  <c r="DL47" i="6"/>
  <c r="DL6" i="6" s="1"/>
  <c r="DL47" i="4"/>
  <c r="DL6" i="4" s="1"/>
  <c r="DM47" i="1"/>
  <c r="DL6" i="1"/>
  <c r="DJ10" i="1" l="1"/>
  <c r="DJ57" i="1" s="1"/>
  <c r="DJ56" i="1" s="1"/>
  <c r="DJ55" i="1" s="1"/>
  <c r="DJ54" i="1" s="1"/>
  <c r="DK10" i="6"/>
  <c r="DM8" i="6"/>
  <c r="DL9" i="6"/>
  <c r="DL9" i="1" s="1"/>
  <c r="DL56" i="1" s="1"/>
  <c r="DL8" i="1"/>
  <c r="DP7" i="4"/>
  <c r="DQ7" i="1" s="1"/>
  <c r="DM47" i="6"/>
  <c r="DM6" i="6" s="1"/>
  <c r="DM47" i="4"/>
  <c r="DM6" i="4" s="1"/>
  <c r="DN47" i="1"/>
  <c r="DM6" i="1"/>
  <c r="DK10" i="1" l="1"/>
  <c r="DK57" i="1" s="1"/>
  <c r="DK56" i="1" s="1"/>
  <c r="DK55" i="1" s="1"/>
  <c r="DK54" i="1" s="1"/>
  <c r="DL55" i="1"/>
  <c r="DL54" i="1" s="1"/>
  <c r="DN8" i="6"/>
  <c r="DM9" i="6"/>
  <c r="DM9" i="1" s="1"/>
  <c r="DM56" i="1" s="1"/>
  <c r="DM8" i="1"/>
  <c r="DQ7" i="4"/>
  <c r="DR7" i="4" s="1"/>
  <c r="DS7" i="4" s="1"/>
  <c r="DN47" i="6"/>
  <c r="DN6" i="6" s="1"/>
  <c r="DN47" i="4"/>
  <c r="DN6" i="4" s="1"/>
  <c r="DO47" i="1"/>
  <c r="DN6" i="1"/>
  <c r="DM55" i="1" l="1"/>
  <c r="DM54" i="1" s="1"/>
  <c r="DR7" i="1"/>
  <c r="DO8" i="6"/>
  <c r="DN9" i="6"/>
  <c r="DN9" i="1" s="1"/>
  <c r="DN56" i="1" s="1"/>
  <c r="DN8" i="1"/>
  <c r="DO47" i="6"/>
  <c r="DO6" i="6" s="1"/>
  <c r="DO47" i="4"/>
  <c r="DO6" i="4" s="1"/>
  <c r="DP47" i="1"/>
  <c r="DO6" i="1"/>
  <c r="DO8" i="1" l="1"/>
  <c r="DO55" i="1" s="1"/>
  <c r="DO54" i="1" s="1"/>
  <c r="DN55" i="1"/>
  <c r="DN54" i="1" s="1"/>
  <c r="DS7" i="1"/>
  <c r="DR54" i="1"/>
  <c r="DP8" i="6"/>
  <c r="DP47" i="6"/>
  <c r="DP6" i="6" s="1"/>
  <c r="DP47" i="4"/>
  <c r="DP6" i="4" s="1"/>
  <c r="DQ47" i="1"/>
  <c r="DP6" i="1"/>
  <c r="DP8" i="1" l="1"/>
  <c r="DP55" i="1" s="1"/>
  <c r="DP54" i="1" s="1"/>
  <c r="DT7" i="1"/>
  <c r="DT54" i="1" s="1"/>
  <c r="DS54" i="1"/>
  <c r="DQ8" i="6"/>
  <c r="DQ47" i="6"/>
  <c r="DQ6" i="6" s="1"/>
  <c r="DQ47" i="4"/>
  <c r="DQ6" i="4" s="1"/>
  <c r="DR47" i="1"/>
  <c r="DQ6" i="1"/>
  <c r="DQ8" i="1" l="1"/>
  <c r="DQ55" i="1" s="1"/>
  <c r="DQ54" i="1" s="1"/>
  <c r="DR47" i="6"/>
  <c r="DR6" i="6" s="1"/>
  <c r="DR47" i="4"/>
  <c r="DR6" i="4" s="1"/>
  <c r="DS47" i="1"/>
  <c r="DR6" i="1"/>
  <c r="DS47" i="6" l="1"/>
  <c r="DS6" i="6" s="1"/>
  <c r="DS47" i="4"/>
  <c r="DS6" i="4" s="1"/>
  <c r="DT47" i="1"/>
  <c r="DS6" i="1"/>
  <c r="DT47" i="6" l="1"/>
  <c r="DT6" i="6" s="1"/>
  <c r="DT47" i="4"/>
  <c r="DT6" i="4" s="1"/>
  <c r="DU47" i="1"/>
  <c r="DT6" i="1"/>
  <c r="DU47" i="6" l="1"/>
  <c r="DU6" i="6" s="1"/>
  <c r="DU47" i="4"/>
  <c r="DU6" i="4" s="1"/>
  <c r="DV47" i="1"/>
  <c r="DU6" i="1"/>
  <c r="DV47" i="6" l="1"/>
  <c r="DV6" i="6" s="1"/>
  <c r="DV47" i="4"/>
  <c r="DV6" i="4" s="1"/>
  <c r="DW47" i="1"/>
  <c r="DV6" i="1"/>
  <c r="DW6" i="1" l="1"/>
  <c r="DW47" i="6"/>
  <c r="DW6" i="6" s="1"/>
  <c r="DW47" i="4"/>
  <c r="DW6" i="4" s="1"/>
</calcChain>
</file>

<file path=xl/comments1.xml><?xml version="1.0" encoding="utf-8"?>
<comments xmlns="http://schemas.openxmlformats.org/spreadsheetml/2006/main">
  <authors>
    <author>Murakami</author>
  </authors>
  <commentList>
    <comment ref="G7" authorId="0">
      <text>
        <r>
          <rPr>
            <b/>
            <sz val="9"/>
            <color indexed="81"/>
            <rFont val="ＭＳ Ｐゴシック"/>
            <family val="3"/>
            <charset val="128"/>
          </rPr>
          <t>Murakami:</t>
        </r>
        <r>
          <rPr>
            <sz val="9"/>
            <color indexed="81"/>
            <rFont val="ＭＳ Ｐゴシック"/>
            <family val="3"/>
            <charset val="128"/>
          </rPr>
          <t xml:space="preserve">
これはL(t, 9.75,10.00)のt∊[0, 1/12)の間のVolatility</t>
        </r>
      </text>
    </comment>
    <comment ref="G45" authorId="0">
      <text>
        <r>
          <rPr>
            <b/>
            <sz val="9"/>
            <color indexed="81"/>
            <rFont val="ＭＳ Ｐゴシック"/>
            <family val="3"/>
            <charset val="128"/>
          </rPr>
          <t>Murakami:</t>
        </r>
        <r>
          <rPr>
            <sz val="9"/>
            <color indexed="81"/>
            <rFont val="ＭＳ Ｐゴシック"/>
            <family val="3"/>
            <charset val="128"/>
          </rPr>
          <t xml:space="preserve">
これはL(t, 0.25, 0.50)のt∊[0, 1/12)の間のVolatility</t>
        </r>
      </text>
    </comment>
  </commentList>
</comments>
</file>

<file path=xl/sharedStrings.xml><?xml version="1.0" encoding="utf-8"?>
<sst xmlns="http://schemas.openxmlformats.org/spreadsheetml/2006/main" count="23" uniqueCount="14">
  <si>
    <t>Maturity (in years)</t>
    <phoneticPr fontId="2"/>
  </si>
  <si>
    <t>Initial</t>
    <phoneticPr fontId="2"/>
  </si>
  <si>
    <t>Forward Libor</t>
    <phoneticPr fontId="2"/>
  </si>
  <si>
    <t>Discount Factor</t>
    <phoneticPr fontId="2"/>
  </si>
  <si>
    <t>Sample from N(0,1)-&gt;</t>
    <phoneticPr fontId="2"/>
  </si>
  <si>
    <t>&lt;- 3month</t>
    <phoneticPr fontId="2"/>
  </si>
  <si>
    <t>t (years) =</t>
    <phoneticPr fontId="2"/>
  </si>
  <si>
    <t>Time Step</t>
    <phoneticPr fontId="2"/>
  </si>
  <si>
    <t>Libor Tenor</t>
    <phoneticPr fontId="2"/>
  </si>
  <si>
    <t>&lt;- 1month</t>
    <phoneticPr fontId="2"/>
  </si>
  <si>
    <t>Calculation of the Sum that appears in the drift part of Libor Market Model's SDE</t>
    <phoneticPr fontId="2"/>
  </si>
  <si>
    <t>Calculation of the Summation Term that appears in the drift part of Libor Market Model's SDE</t>
    <phoneticPr fontId="2"/>
  </si>
  <si>
    <t>Simulated Forward Libor Curve</t>
    <phoneticPr fontId="2"/>
  </si>
  <si>
    <t>Simulated Future Discount Factor Curve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</si>
</sst>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76" formatCode="#,##0.0000;[Red]\-#,##0.0000"/>
    <numFmt numFmtId="177" formatCode="_(* #,##0_);_(* \(#,##0\);_(* &quot;-&quot;_);_(@_)"/>
    <numFmt numFmtId="178" formatCode="0.0000"/>
    <numFmt numFmtId="179" formatCode="#,##0.000000;[Red]\-#,##0.000000"/>
    <numFmt numFmtId="180" formatCode="0.0000%"/>
    <numFmt numFmtId="181" formatCode="#,##0.00000;[Red]\-#,##0.00000"/>
  </numFmts>
  <fonts count="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0000FF"/>
      <name val="Arial"/>
      <family val="2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3" fillId="0" borderId="0"/>
    <xf numFmtId="9" fontId="3" fillId="0" borderId="0" applyFont="0" applyFill="0" applyBorder="0" applyAlignment="0" applyProtection="0"/>
    <xf numFmtId="177" fontId="3" fillId="0" borderId="0" applyFont="0" applyFill="0" applyBorder="0" applyAlignment="0" applyProtection="0"/>
  </cellStyleXfs>
  <cellXfs count="25">
    <xf numFmtId="0" fontId="0" fillId="0" borderId="0" xfId="0">
      <alignment vertical="center"/>
    </xf>
    <xf numFmtId="0" fontId="4" fillId="0" borderId="0" xfId="0" applyFont="1">
      <alignment vertical="center"/>
    </xf>
    <xf numFmtId="40" fontId="4" fillId="0" borderId="0" xfId="1" applyNumberFormat="1" applyFont="1">
      <alignment vertical="center"/>
    </xf>
    <xf numFmtId="176" fontId="4" fillId="0" borderId="0" xfId="1" applyNumberFormat="1" applyFont="1">
      <alignment vertical="center"/>
    </xf>
    <xf numFmtId="10" fontId="4" fillId="0" borderId="0" xfId="0" applyNumberFormat="1" applyFont="1" applyAlignment="1">
      <alignment horizontal="right" vertical="center"/>
    </xf>
    <xf numFmtId="0" fontId="4" fillId="0" borderId="0" xfId="0" quotePrefix="1" applyFont="1">
      <alignment vertical="center"/>
    </xf>
    <xf numFmtId="178" fontId="3" fillId="0" borderId="0" xfId="2" applyNumberFormat="1" applyAlignment="1">
      <alignment horizontal="center"/>
    </xf>
    <xf numFmtId="40" fontId="6" fillId="0" borderId="0" xfId="1" applyNumberFormat="1" applyFont="1">
      <alignment vertical="center"/>
    </xf>
    <xf numFmtId="40" fontId="4" fillId="0" borderId="0" xfId="1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9" fontId="4" fillId="0" borderId="0" xfId="1" applyNumberFormat="1" applyFont="1">
      <alignment vertical="center"/>
    </xf>
    <xf numFmtId="0" fontId="4" fillId="0" borderId="0" xfId="0" applyFont="1" applyAlignment="1">
      <alignment horizontal="right" vertical="center"/>
    </xf>
    <xf numFmtId="179" fontId="4" fillId="0" borderId="0" xfId="1" applyNumberFormat="1" applyFont="1" applyAlignment="1">
      <alignment horizontal="right" vertical="center"/>
    </xf>
    <xf numFmtId="10" fontId="6" fillId="0" borderId="0" xfId="0" applyNumberFormat="1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40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78" fontId="3" fillId="0" borderId="0" xfId="2" applyNumberFormat="1" applyAlignment="1">
      <alignment horizontal="center"/>
    </xf>
    <xf numFmtId="180" fontId="4" fillId="0" borderId="0" xfId="0" applyNumberFormat="1" applyFont="1">
      <alignment vertical="center"/>
    </xf>
    <xf numFmtId="180" fontId="6" fillId="0" borderId="0" xfId="0" applyNumberFormat="1" applyFont="1" applyAlignment="1">
      <alignment horizontal="center" vertical="center"/>
    </xf>
    <xf numFmtId="180" fontId="5" fillId="0" borderId="0" xfId="0" applyNumberFormat="1" applyFont="1" applyAlignment="1">
      <alignment horizontal="center" vertical="center"/>
    </xf>
    <xf numFmtId="176" fontId="6" fillId="0" borderId="0" xfId="1" applyNumberFormat="1" applyFont="1" applyAlignment="1">
      <alignment horizontal="center" vertical="center"/>
    </xf>
    <xf numFmtId="181" fontId="4" fillId="0" borderId="0" xfId="1" applyNumberFormat="1" applyFont="1">
      <alignment vertical="center"/>
    </xf>
    <xf numFmtId="40" fontId="4" fillId="0" borderId="0" xfId="0" applyNumberFormat="1" applyFont="1" applyAlignment="1">
      <alignment horizontal="right" vertical="center"/>
    </xf>
    <xf numFmtId="176" fontId="5" fillId="0" borderId="0" xfId="1" applyNumberFormat="1" applyFont="1" applyAlignment="1">
      <alignment horizontal="center" vertical="center"/>
    </xf>
  </cellXfs>
  <cellStyles count="5">
    <cellStyle name="パーセント 2" xfId="3"/>
    <cellStyle name="桁区切り" xfId="1" builtinId="6"/>
    <cellStyle name="桁区切り 2" xfId="4"/>
    <cellStyle name="標準" xfId="0" builtinId="0"/>
    <cellStyle name="標準 2" xfId="2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D177"/>
  <sheetViews>
    <sheetView tabSelected="1" zoomScale="60" zoomScaleNormal="60" workbookViewId="0"/>
  </sheetViews>
  <sheetFormatPr defaultRowHeight="13.8" x14ac:dyDescent="0.2"/>
  <cols>
    <col min="1" max="1" width="2.21875" style="1" customWidth="1"/>
    <col min="2" max="2" width="3.33203125" style="1" customWidth="1"/>
    <col min="3" max="3" width="5.21875" style="1" customWidth="1"/>
    <col min="4" max="4" width="18.33203125" style="1" bestFit="1" customWidth="1"/>
    <col min="5" max="5" width="22.6640625" style="1" bestFit="1" customWidth="1"/>
    <col min="6" max="6" width="15.5546875" style="11" bestFit="1" customWidth="1"/>
    <col min="7" max="7" width="16.33203125" style="1" customWidth="1"/>
    <col min="8" max="10" width="12.109375" style="1" bestFit="1" customWidth="1"/>
    <col min="11" max="11" width="10.6640625" style="1" bestFit="1" customWidth="1"/>
    <col min="12" max="16" width="10" style="1" bestFit="1" customWidth="1"/>
    <col min="17" max="17" width="10.6640625" style="1" bestFit="1" customWidth="1"/>
    <col min="18" max="21" width="10" style="1" bestFit="1" customWidth="1"/>
    <col min="22" max="23" width="10.6640625" style="1" bestFit="1" customWidth="1"/>
    <col min="24" max="24" width="10" style="1" bestFit="1" customWidth="1"/>
    <col min="25" max="25" width="10.6640625" style="1" bestFit="1" customWidth="1"/>
    <col min="26" max="27" width="10" style="1" bestFit="1" customWidth="1"/>
    <col min="28" max="28" width="10.6640625" style="1" bestFit="1" customWidth="1"/>
    <col min="29" max="32" width="10" style="1" bestFit="1" customWidth="1"/>
    <col min="33" max="33" width="10.6640625" style="1" bestFit="1" customWidth="1"/>
    <col min="34" max="35" width="10" style="1" bestFit="1" customWidth="1"/>
    <col min="36" max="39" width="10.6640625" style="1" bestFit="1" customWidth="1"/>
    <col min="40" max="42" width="10" style="1" bestFit="1" customWidth="1"/>
    <col min="43" max="43" width="10.6640625" style="1" bestFit="1" customWidth="1"/>
    <col min="44" max="45" width="10" style="1" bestFit="1" customWidth="1"/>
    <col min="46" max="48" width="10.6640625" style="1" bestFit="1" customWidth="1"/>
    <col min="49" max="50" width="10" style="1" bestFit="1" customWidth="1"/>
    <col min="51" max="51" width="10.6640625" style="1" bestFit="1" customWidth="1"/>
    <col min="52" max="54" width="10" style="1" bestFit="1" customWidth="1"/>
    <col min="55" max="59" width="10.6640625" style="1" bestFit="1" customWidth="1"/>
    <col min="60" max="60" width="10" style="1" bestFit="1" customWidth="1"/>
    <col min="61" max="62" width="10.6640625" style="1" bestFit="1" customWidth="1"/>
    <col min="63" max="64" width="10" style="1" bestFit="1" customWidth="1"/>
    <col min="65" max="66" width="10.6640625" style="1" bestFit="1" customWidth="1"/>
    <col min="67" max="67" width="10" style="1" bestFit="1" customWidth="1"/>
    <col min="68" max="70" width="10.6640625" style="1" bestFit="1" customWidth="1"/>
    <col min="71" max="73" width="10" style="1" bestFit="1" customWidth="1"/>
    <col min="74" max="74" width="10.6640625" style="1" bestFit="1" customWidth="1"/>
    <col min="75" max="75" width="10" style="1" bestFit="1" customWidth="1"/>
    <col min="76" max="76" width="10.6640625" style="1" bestFit="1" customWidth="1"/>
    <col min="77" max="77" width="10" style="1" bestFit="1" customWidth="1"/>
    <col min="78" max="81" width="10.6640625" style="1" bestFit="1" customWidth="1"/>
    <col min="82" max="83" width="10" style="1" bestFit="1" customWidth="1"/>
    <col min="84" max="84" width="10.6640625" style="1" bestFit="1" customWidth="1"/>
    <col min="85" max="85" width="10" style="1" bestFit="1" customWidth="1"/>
    <col min="86" max="86" width="10.6640625" style="1" bestFit="1" customWidth="1"/>
    <col min="87" max="87" width="10" style="1" bestFit="1" customWidth="1"/>
    <col min="88" max="89" width="10.6640625" style="1" bestFit="1" customWidth="1"/>
    <col min="90" max="94" width="10" style="1" bestFit="1" customWidth="1"/>
    <col min="95" max="97" width="10.6640625" style="1" bestFit="1" customWidth="1"/>
    <col min="98" max="101" width="10" style="1" bestFit="1" customWidth="1"/>
    <col min="102" max="103" width="10.6640625" style="1" bestFit="1" customWidth="1"/>
    <col min="104" max="105" width="10" style="1" bestFit="1" customWidth="1"/>
    <col min="106" max="107" width="10.6640625" style="1" bestFit="1" customWidth="1"/>
    <col min="108" max="109" width="10" style="1" bestFit="1" customWidth="1"/>
    <col min="110" max="110" width="10.6640625" style="1" bestFit="1" customWidth="1"/>
    <col min="111" max="111" width="10" style="1" bestFit="1" customWidth="1"/>
    <col min="112" max="112" width="10.6640625" style="1" bestFit="1" customWidth="1"/>
    <col min="113" max="113" width="10" style="1" bestFit="1" customWidth="1"/>
    <col min="114" max="114" width="10.6640625" style="1" bestFit="1" customWidth="1"/>
    <col min="115" max="115" width="10" style="1" bestFit="1" customWidth="1"/>
    <col min="116" max="116" width="10.6640625" style="1" bestFit="1" customWidth="1"/>
    <col min="117" max="118" width="10" style="1" bestFit="1" customWidth="1"/>
    <col min="119" max="119" width="10.6640625" style="1" bestFit="1" customWidth="1"/>
    <col min="120" max="123" width="10" style="1" bestFit="1" customWidth="1"/>
    <col min="124" max="124" width="10.6640625" style="1" bestFit="1" customWidth="1"/>
    <col min="125" max="126" width="10" style="1" bestFit="1" customWidth="1"/>
    <col min="127" max="127" width="9.77734375" style="1" bestFit="1" customWidth="1"/>
    <col min="128" max="16384" width="8.88671875" style="1"/>
  </cols>
  <sheetData>
    <row r="1" spans="2:127" x14ac:dyDescent="0.2">
      <c r="D1" s="2"/>
      <c r="H1" s="18"/>
    </row>
    <row r="2" spans="2:127" x14ac:dyDescent="0.2">
      <c r="D2" s="2" t="s">
        <v>7</v>
      </c>
      <c r="E2" s="7">
        <f>1/12/1</f>
        <v>8.3333333333333329E-2</v>
      </c>
      <c r="F2" s="16" t="s">
        <v>9</v>
      </c>
      <c r="H2" s="18"/>
    </row>
    <row r="3" spans="2:127" x14ac:dyDescent="0.2">
      <c r="D3" s="2" t="s">
        <v>8</v>
      </c>
      <c r="E3" s="7">
        <v>0.25</v>
      </c>
      <c r="F3" s="16" t="s">
        <v>5</v>
      </c>
      <c r="H3" s="18" t="s">
        <v>12</v>
      </c>
    </row>
    <row r="4" spans="2:127" x14ac:dyDescent="0.2">
      <c r="D4" s="2"/>
      <c r="G4" s="9" t="s">
        <v>1</v>
      </c>
      <c r="H4" s="18"/>
    </row>
    <row r="5" spans="2:127" x14ac:dyDescent="0.2">
      <c r="D5" s="2"/>
      <c r="E5" s="9" t="s">
        <v>1</v>
      </c>
      <c r="G5" s="9" t="s">
        <v>2</v>
      </c>
    </row>
    <row r="6" spans="2:127" x14ac:dyDescent="0.2">
      <c r="D6" s="8" t="s">
        <v>0</v>
      </c>
      <c r="E6" s="9" t="s">
        <v>3</v>
      </c>
      <c r="F6" s="15" t="str">
        <f>+F47</f>
        <v>t (years) =</v>
      </c>
      <c r="G6" s="15">
        <f>+G47</f>
        <v>0</v>
      </c>
      <c r="H6" s="15">
        <f t="shared" ref="H6:BS6" si="0">+H47</f>
        <v>8.3333333333333329E-2</v>
      </c>
      <c r="I6" s="15">
        <f t="shared" si="0"/>
        <v>0.16666666666666666</v>
      </c>
      <c r="J6" s="15">
        <f t="shared" si="0"/>
        <v>0.25</v>
      </c>
      <c r="K6" s="15">
        <f t="shared" si="0"/>
        <v>0.33333333333333331</v>
      </c>
      <c r="L6" s="15">
        <f t="shared" si="0"/>
        <v>0.41666666666666663</v>
      </c>
      <c r="M6" s="15">
        <f t="shared" si="0"/>
        <v>0.49999999999999994</v>
      </c>
      <c r="N6" s="15">
        <f t="shared" si="0"/>
        <v>0.58333333333333326</v>
      </c>
      <c r="O6" s="15">
        <f t="shared" si="0"/>
        <v>0.66666666666666663</v>
      </c>
      <c r="P6" s="15">
        <f t="shared" si="0"/>
        <v>0.75</v>
      </c>
      <c r="Q6" s="15">
        <f t="shared" si="0"/>
        <v>0.83333333333333337</v>
      </c>
      <c r="R6" s="15">
        <f t="shared" si="0"/>
        <v>0.91666666666666674</v>
      </c>
      <c r="S6" s="15">
        <f t="shared" si="0"/>
        <v>1</v>
      </c>
      <c r="T6" s="15">
        <f t="shared" si="0"/>
        <v>1.0833333333333333</v>
      </c>
      <c r="U6" s="15">
        <f t="shared" si="0"/>
        <v>1.1666666666666665</v>
      </c>
      <c r="V6" s="15">
        <f t="shared" si="0"/>
        <v>1.2499999999999998</v>
      </c>
      <c r="W6" s="15">
        <f t="shared" si="0"/>
        <v>1.333333333333333</v>
      </c>
      <c r="X6" s="15">
        <f t="shared" si="0"/>
        <v>1.4166666666666663</v>
      </c>
      <c r="Y6" s="15">
        <f t="shared" si="0"/>
        <v>1.4999999999999996</v>
      </c>
      <c r="Z6" s="15">
        <f t="shared" si="0"/>
        <v>1.5833333333333328</v>
      </c>
      <c r="AA6" s="15">
        <f t="shared" si="0"/>
        <v>1.6666666666666661</v>
      </c>
      <c r="AB6" s="15">
        <f t="shared" si="0"/>
        <v>1.7499999999999993</v>
      </c>
      <c r="AC6" s="15">
        <f t="shared" si="0"/>
        <v>1.8333333333333326</v>
      </c>
      <c r="AD6" s="15">
        <f t="shared" si="0"/>
        <v>1.9166666666666659</v>
      </c>
      <c r="AE6" s="15">
        <f t="shared" si="0"/>
        <v>1.9999999999999991</v>
      </c>
      <c r="AF6" s="15">
        <f t="shared" si="0"/>
        <v>2.0833333333333326</v>
      </c>
      <c r="AG6" s="15">
        <f t="shared" si="0"/>
        <v>2.1666666666666661</v>
      </c>
      <c r="AH6" s="15">
        <f t="shared" si="0"/>
        <v>2.2499999999999996</v>
      </c>
      <c r="AI6" s="15">
        <f t="shared" si="0"/>
        <v>2.333333333333333</v>
      </c>
      <c r="AJ6" s="15">
        <f t="shared" si="0"/>
        <v>2.4166666666666665</v>
      </c>
      <c r="AK6" s="15">
        <f t="shared" si="0"/>
        <v>2.5</v>
      </c>
      <c r="AL6" s="15">
        <f t="shared" si="0"/>
        <v>2.5833333333333335</v>
      </c>
      <c r="AM6" s="15">
        <f t="shared" si="0"/>
        <v>2.666666666666667</v>
      </c>
      <c r="AN6" s="15">
        <f t="shared" si="0"/>
        <v>2.7500000000000004</v>
      </c>
      <c r="AO6" s="15">
        <f t="shared" si="0"/>
        <v>2.8333333333333339</v>
      </c>
      <c r="AP6" s="15">
        <f t="shared" si="0"/>
        <v>2.9166666666666674</v>
      </c>
      <c r="AQ6" s="15">
        <f t="shared" si="0"/>
        <v>3.0000000000000009</v>
      </c>
      <c r="AR6" s="15">
        <f t="shared" si="0"/>
        <v>3.0833333333333344</v>
      </c>
      <c r="AS6" s="15">
        <f t="shared" si="0"/>
        <v>3.1666666666666679</v>
      </c>
      <c r="AT6" s="15">
        <f t="shared" si="0"/>
        <v>3.2500000000000013</v>
      </c>
      <c r="AU6" s="15">
        <f t="shared" si="0"/>
        <v>3.3333333333333348</v>
      </c>
      <c r="AV6" s="15">
        <f t="shared" si="0"/>
        <v>3.4166666666666683</v>
      </c>
      <c r="AW6" s="15">
        <f t="shared" si="0"/>
        <v>3.5000000000000018</v>
      </c>
      <c r="AX6" s="15">
        <f t="shared" si="0"/>
        <v>3.5833333333333353</v>
      </c>
      <c r="AY6" s="15">
        <f t="shared" si="0"/>
        <v>3.6666666666666687</v>
      </c>
      <c r="AZ6" s="15">
        <f t="shared" si="0"/>
        <v>3.7500000000000022</v>
      </c>
      <c r="BA6" s="15">
        <f t="shared" si="0"/>
        <v>3.8333333333333357</v>
      </c>
      <c r="BB6" s="15">
        <f t="shared" si="0"/>
        <v>3.9166666666666692</v>
      </c>
      <c r="BC6" s="15">
        <f t="shared" si="0"/>
        <v>4.0000000000000027</v>
      </c>
      <c r="BD6" s="15">
        <f t="shared" si="0"/>
        <v>4.0833333333333357</v>
      </c>
      <c r="BE6" s="15">
        <f t="shared" si="0"/>
        <v>4.1666666666666687</v>
      </c>
      <c r="BF6" s="15">
        <f t="shared" si="0"/>
        <v>4.2500000000000018</v>
      </c>
      <c r="BG6" s="15">
        <f t="shared" si="0"/>
        <v>4.3333333333333348</v>
      </c>
      <c r="BH6" s="15">
        <f t="shared" si="0"/>
        <v>4.4166666666666679</v>
      </c>
      <c r="BI6" s="15">
        <f t="shared" si="0"/>
        <v>4.5000000000000009</v>
      </c>
      <c r="BJ6" s="15">
        <f t="shared" si="0"/>
        <v>4.5833333333333339</v>
      </c>
      <c r="BK6" s="15">
        <f t="shared" si="0"/>
        <v>4.666666666666667</v>
      </c>
      <c r="BL6" s="15">
        <f t="shared" si="0"/>
        <v>4.75</v>
      </c>
      <c r="BM6" s="15">
        <f t="shared" si="0"/>
        <v>4.833333333333333</v>
      </c>
      <c r="BN6" s="15">
        <f t="shared" si="0"/>
        <v>4.9166666666666661</v>
      </c>
      <c r="BO6" s="15">
        <f t="shared" si="0"/>
        <v>4.9999999999999991</v>
      </c>
      <c r="BP6" s="15">
        <f t="shared" si="0"/>
        <v>5.0833333333333321</v>
      </c>
      <c r="BQ6" s="15">
        <f t="shared" si="0"/>
        <v>5.1666666666666652</v>
      </c>
      <c r="BR6" s="15">
        <f t="shared" si="0"/>
        <v>5.2499999999999982</v>
      </c>
      <c r="BS6" s="15">
        <f t="shared" si="0"/>
        <v>5.3333333333333313</v>
      </c>
      <c r="BT6" s="15">
        <f t="shared" ref="BT6:DW6" si="1">+BT47</f>
        <v>5.4166666666666643</v>
      </c>
      <c r="BU6" s="15">
        <f t="shared" si="1"/>
        <v>5.4999999999999973</v>
      </c>
      <c r="BV6" s="15">
        <f t="shared" si="1"/>
        <v>5.5833333333333304</v>
      </c>
      <c r="BW6" s="15">
        <f t="shared" si="1"/>
        <v>5.6666666666666634</v>
      </c>
      <c r="BX6" s="15">
        <f t="shared" si="1"/>
        <v>5.7499999999999964</v>
      </c>
      <c r="BY6" s="15">
        <f t="shared" si="1"/>
        <v>5.8333333333333295</v>
      </c>
      <c r="BZ6" s="15">
        <f t="shared" si="1"/>
        <v>5.9166666666666625</v>
      </c>
      <c r="CA6" s="15">
        <f t="shared" si="1"/>
        <v>5.9999999999999956</v>
      </c>
      <c r="CB6" s="15">
        <f t="shared" si="1"/>
        <v>6.0833333333333286</v>
      </c>
      <c r="CC6" s="15">
        <f t="shared" si="1"/>
        <v>6.1666666666666616</v>
      </c>
      <c r="CD6" s="15">
        <f t="shared" si="1"/>
        <v>6.2499999999999947</v>
      </c>
      <c r="CE6" s="15">
        <f t="shared" si="1"/>
        <v>6.3333333333333277</v>
      </c>
      <c r="CF6" s="15">
        <f t="shared" si="1"/>
        <v>6.4166666666666607</v>
      </c>
      <c r="CG6" s="15">
        <f t="shared" si="1"/>
        <v>6.4999999999999938</v>
      </c>
      <c r="CH6" s="15">
        <f t="shared" si="1"/>
        <v>6.5833333333333268</v>
      </c>
      <c r="CI6" s="15">
        <f t="shared" si="1"/>
        <v>6.6666666666666599</v>
      </c>
      <c r="CJ6" s="15">
        <f t="shared" si="1"/>
        <v>6.7499999999999929</v>
      </c>
      <c r="CK6" s="15">
        <f t="shared" si="1"/>
        <v>6.8333333333333259</v>
      </c>
      <c r="CL6" s="15">
        <f t="shared" si="1"/>
        <v>6.916666666666659</v>
      </c>
      <c r="CM6" s="15">
        <f t="shared" si="1"/>
        <v>6.999999999999992</v>
      </c>
      <c r="CN6" s="15">
        <f t="shared" si="1"/>
        <v>7.083333333333325</v>
      </c>
      <c r="CO6" s="15">
        <f t="shared" si="1"/>
        <v>7.1666666666666581</v>
      </c>
      <c r="CP6" s="15">
        <f t="shared" si="1"/>
        <v>7.2499999999999911</v>
      </c>
      <c r="CQ6" s="15">
        <f t="shared" si="1"/>
        <v>7.3333333333333242</v>
      </c>
      <c r="CR6" s="15">
        <f t="shared" si="1"/>
        <v>7.4166666666666572</v>
      </c>
      <c r="CS6" s="15">
        <f t="shared" si="1"/>
        <v>7.4999999999999902</v>
      </c>
      <c r="CT6" s="15">
        <f t="shared" si="1"/>
        <v>7.5833333333333233</v>
      </c>
      <c r="CU6" s="15">
        <f t="shared" si="1"/>
        <v>7.6666666666666563</v>
      </c>
      <c r="CV6" s="15">
        <f t="shared" si="1"/>
        <v>7.7499999999999893</v>
      </c>
      <c r="CW6" s="15">
        <f t="shared" si="1"/>
        <v>7.8333333333333224</v>
      </c>
      <c r="CX6" s="15">
        <f t="shared" si="1"/>
        <v>7.9166666666666554</v>
      </c>
      <c r="CY6" s="15">
        <f t="shared" si="1"/>
        <v>7.9999999999999885</v>
      </c>
      <c r="CZ6" s="15">
        <f t="shared" si="1"/>
        <v>8.0833333333333215</v>
      </c>
      <c r="DA6" s="15">
        <f t="shared" si="1"/>
        <v>8.1666666666666554</v>
      </c>
      <c r="DB6" s="15">
        <f t="shared" si="1"/>
        <v>8.2499999999999893</v>
      </c>
      <c r="DC6" s="15">
        <f t="shared" si="1"/>
        <v>8.3333333333333233</v>
      </c>
      <c r="DD6" s="15">
        <f t="shared" si="1"/>
        <v>8.4166666666666572</v>
      </c>
      <c r="DE6" s="15">
        <f t="shared" si="1"/>
        <v>8.4999999999999911</v>
      </c>
      <c r="DF6" s="15">
        <f t="shared" si="1"/>
        <v>8.583333333333325</v>
      </c>
      <c r="DG6" s="15">
        <f t="shared" si="1"/>
        <v>8.666666666666659</v>
      </c>
      <c r="DH6" s="15">
        <f t="shared" si="1"/>
        <v>8.7499999999999929</v>
      </c>
      <c r="DI6" s="15">
        <f t="shared" si="1"/>
        <v>8.8333333333333268</v>
      </c>
      <c r="DJ6" s="15">
        <f t="shared" si="1"/>
        <v>8.9166666666666607</v>
      </c>
      <c r="DK6" s="15">
        <f t="shared" si="1"/>
        <v>8.9999999999999947</v>
      </c>
      <c r="DL6" s="15">
        <f t="shared" si="1"/>
        <v>9.0833333333333286</v>
      </c>
      <c r="DM6" s="15">
        <f t="shared" si="1"/>
        <v>9.1666666666666625</v>
      </c>
      <c r="DN6" s="15">
        <f t="shared" si="1"/>
        <v>9.2499999999999964</v>
      </c>
      <c r="DO6" s="15">
        <f t="shared" si="1"/>
        <v>9.3333333333333304</v>
      </c>
      <c r="DP6" s="15">
        <f t="shared" si="1"/>
        <v>9.4166666666666643</v>
      </c>
      <c r="DQ6" s="15">
        <f t="shared" si="1"/>
        <v>9.4999999999999982</v>
      </c>
      <c r="DR6" s="15">
        <f t="shared" si="1"/>
        <v>9.5833333333333321</v>
      </c>
      <c r="DS6" s="15">
        <f t="shared" si="1"/>
        <v>9.6666666666666661</v>
      </c>
      <c r="DT6" s="15">
        <f t="shared" si="1"/>
        <v>9.75</v>
      </c>
      <c r="DU6" s="15">
        <f t="shared" si="1"/>
        <v>9.8333333333333339</v>
      </c>
      <c r="DV6" s="15">
        <f t="shared" si="1"/>
        <v>9.9166666666666679</v>
      </c>
      <c r="DW6" s="15">
        <f t="shared" si="1"/>
        <v>10.000000000000002</v>
      </c>
    </row>
    <row r="7" spans="2:127" x14ac:dyDescent="0.2">
      <c r="D7" s="2">
        <f t="shared" ref="D7:D45" si="2">+D8+$E$3</f>
        <v>10</v>
      </c>
      <c r="E7" s="10">
        <f>+E8/(1+(D7-D8)*G7)</f>
        <v>0.62440566841067946</v>
      </c>
      <c r="F7" s="12" t="str">
        <f>+"L(t;"&amp;D8&amp;","&amp;D7&amp;")"</f>
        <v>L(t;9.75,10)</v>
      </c>
      <c r="G7" s="19">
        <v>0.05</v>
      </c>
      <c r="H7" s="20">
        <f ca="1">+G7+G7*Volatility!G7*(-DriftSum!H7*TimeStep+SQRT(TimeStep)*H$49)</f>
        <v>5.0874067923516175E-2</v>
      </c>
      <c r="I7" s="20">
        <f ca="1">+H7+H7*Volatility!H7*(-DriftSum!I7*TimeStep+SQRT(TimeStep)*I$49)</f>
        <v>5.0933969810814765E-2</v>
      </c>
      <c r="J7" s="20">
        <f ca="1">+I7+I7*Volatility!I7*(-DriftSum!J7*TimeStep+SQRT(TimeStep)*J$49)</f>
        <v>5.0090072364298042E-2</v>
      </c>
      <c r="K7" s="20">
        <f ca="1">+J7+J7*Volatility!J7*(-DriftSum!K7*TimeStep+SQRT(TimeStep)*K$49)</f>
        <v>5.0387196134213982E-2</v>
      </c>
      <c r="L7" s="20">
        <f ca="1">+K7+K7*Volatility!K7*(-DriftSum!L7*TimeStep+SQRT(TimeStep)*L$49)</f>
        <v>4.9437444641718495E-2</v>
      </c>
      <c r="M7" s="20">
        <f ca="1">+L7+L7*Volatility!L7*(-DriftSum!M7*TimeStep+SQRT(TimeStep)*M$49)</f>
        <v>5.1456836115355065E-2</v>
      </c>
      <c r="N7" s="20">
        <f ca="1">+M7+M7*Volatility!M7*(-DriftSum!N7*TimeStep+SQRT(TimeStep)*N$49)</f>
        <v>5.115489765519466E-2</v>
      </c>
      <c r="O7" s="20">
        <f ca="1">+N7+N7*Volatility!N7*(-DriftSum!O7*TimeStep+SQRT(TimeStep)*O$49)</f>
        <v>5.2316916138271011E-2</v>
      </c>
      <c r="P7" s="20">
        <f ca="1">+O7+O7*Volatility!O7*(-DriftSum!P7*TimeStep+SQRT(TimeStep)*P$49)</f>
        <v>5.1437714976480135E-2</v>
      </c>
      <c r="Q7" s="20">
        <f ca="1">+P7+P7*Volatility!P7*(-DriftSum!Q7*TimeStep+SQRT(TimeStep)*Q$49)</f>
        <v>5.16265834789583E-2</v>
      </c>
      <c r="R7" s="20">
        <f ca="1">+Q7+Q7*Volatility!Q7*(-DriftSum!R7*TimeStep+SQRT(TimeStep)*R$49)</f>
        <v>5.2526514579235586E-2</v>
      </c>
      <c r="S7" s="20">
        <f ca="1">+R7+R7*Volatility!R7*(-DriftSum!S7*TimeStep+SQRT(TimeStep)*S$49)</f>
        <v>5.4260956687186154E-2</v>
      </c>
      <c r="T7" s="20">
        <f ca="1">+S7+S7*Volatility!S7*(-DriftSum!T7*TimeStep+SQRT(TimeStep)*T$49)</f>
        <v>5.3628469999809823E-2</v>
      </c>
      <c r="U7" s="20">
        <f ca="1">+T7+T7*Volatility!T7*(-DriftSum!U7*TimeStep+SQRT(TimeStep)*U$49)</f>
        <v>5.3547279026660788E-2</v>
      </c>
      <c r="V7" s="20">
        <f ca="1">+U7+U7*Volatility!U7*(-DriftSum!V7*TimeStep+SQRT(TimeStep)*V$49)</f>
        <v>5.2565997838461657E-2</v>
      </c>
      <c r="W7" s="20">
        <f ca="1">+V7+V7*Volatility!V7*(-DriftSum!W7*TimeStep+SQRT(TimeStep)*W$49)</f>
        <v>5.0182568608288403E-2</v>
      </c>
      <c r="X7" s="20">
        <f ca="1">+W7+W7*Volatility!W7*(-DriftSum!X7*TimeStep+SQRT(TimeStep)*X$49)</f>
        <v>5.0843429518897282E-2</v>
      </c>
      <c r="Y7" s="20">
        <f ca="1">+X7+X7*Volatility!X7*(-DriftSum!Y7*TimeStep+SQRT(TimeStep)*Y$49)</f>
        <v>5.031148724025699E-2</v>
      </c>
      <c r="Z7" s="20">
        <f ca="1">+Y7+Y7*Volatility!Y7*(-DriftSum!Z7*TimeStep+SQRT(TimeStep)*Z$49)</f>
        <v>5.1146419673129585E-2</v>
      </c>
      <c r="AA7" s="20">
        <f ca="1">+Z7+Z7*Volatility!Z7*(-DriftSum!AA7*TimeStep+SQRT(TimeStep)*AA$49)</f>
        <v>5.1815946655615557E-2</v>
      </c>
      <c r="AB7" s="20">
        <f ca="1">+AA7+AA7*Volatility!AA7*(-DriftSum!AB7*TimeStep+SQRT(TimeStep)*AB$49)</f>
        <v>5.1722214847421434E-2</v>
      </c>
      <c r="AC7" s="20">
        <f ca="1">+AB7+AB7*Volatility!AB7*(-DriftSum!AC7*TimeStep+SQRT(TimeStep)*AC$49)</f>
        <v>5.0976562746158381E-2</v>
      </c>
      <c r="AD7" s="20">
        <f ca="1">+AC7+AC7*Volatility!AC7*(-DriftSum!AD7*TimeStep+SQRT(TimeStep)*AD$49)</f>
        <v>5.0653332719151817E-2</v>
      </c>
      <c r="AE7" s="20">
        <f ca="1">+AD7+AD7*Volatility!AD7*(-DriftSum!AE7*TimeStep+SQRT(TimeStep)*AE$49)</f>
        <v>5.2466434716222296E-2</v>
      </c>
      <c r="AF7" s="20">
        <f ca="1">+AE7+AE7*Volatility!AE7*(-DriftSum!AF7*TimeStep+SQRT(TimeStep)*AF$49)</f>
        <v>5.2666655355079049E-2</v>
      </c>
      <c r="AG7" s="20">
        <f ca="1">+AF7+AF7*Volatility!AF7*(-DriftSum!AG7*TimeStep+SQRT(TimeStep)*AG$49)</f>
        <v>5.3156607274888086E-2</v>
      </c>
      <c r="AH7" s="20">
        <f ca="1">+AG7+AG7*Volatility!AG7*(-DriftSum!AH7*TimeStep+SQRT(TimeStep)*AH$49)</f>
        <v>5.3717469349312472E-2</v>
      </c>
      <c r="AI7" s="20">
        <f ca="1">+AH7+AH7*Volatility!AH7*(-DriftSum!AI7*TimeStep+SQRT(TimeStep)*AI$49)</f>
        <v>5.559114226517764E-2</v>
      </c>
      <c r="AJ7" s="20">
        <f ca="1">+AI7+AI7*Volatility!AI7*(-DriftSum!AJ7*TimeStep+SQRT(TimeStep)*AJ$49)</f>
        <v>5.6015621545556671E-2</v>
      </c>
      <c r="AK7" s="20">
        <f ca="1">+AJ7+AJ7*Volatility!AJ7*(-DriftSum!AK7*TimeStep+SQRT(TimeStep)*AK$49)</f>
        <v>5.7445843872091111E-2</v>
      </c>
      <c r="AL7" s="20">
        <f ca="1">+AK7+AK7*Volatility!AK7*(-DriftSum!AL7*TimeStep+SQRT(TimeStep)*AL$49)</f>
        <v>5.8118343490286863E-2</v>
      </c>
      <c r="AM7" s="20">
        <f ca="1">+AL7+AL7*Volatility!AL7*(-DriftSum!AM7*TimeStep+SQRT(TimeStep)*AM$49)</f>
        <v>5.7908651041582389E-2</v>
      </c>
      <c r="AN7" s="20">
        <f ca="1">+AM7+AM7*Volatility!AM7*(-DriftSum!AN7*TimeStep+SQRT(TimeStep)*AN$49)</f>
        <v>5.5549042952968732E-2</v>
      </c>
      <c r="AO7" s="20">
        <f ca="1">+AN7+AN7*Volatility!AN7*(-DriftSum!AO7*TimeStep+SQRT(TimeStep)*AO$49)</f>
        <v>5.4880486462621274E-2</v>
      </c>
      <c r="AP7" s="20">
        <f ca="1">+AO7+AO7*Volatility!AO7*(-DriftSum!AP7*TimeStep+SQRT(TimeStep)*AP$49)</f>
        <v>5.3469102602362997E-2</v>
      </c>
      <c r="AQ7" s="20">
        <f ca="1">+AP7+AP7*Volatility!AP7*(-DriftSum!AQ7*TimeStep+SQRT(TimeStep)*AQ$49)</f>
        <v>5.4254494689806636E-2</v>
      </c>
      <c r="AR7" s="20">
        <f ca="1">+AQ7+AQ7*Volatility!AQ7*(-DriftSum!AR7*TimeStep+SQRT(TimeStep)*AR$49)</f>
        <v>5.5319789725022633E-2</v>
      </c>
      <c r="AS7" s="20">
        <f ca="1">+AR7+AR7*Volatility!AR7*(-DriftSum!AS7*TimeStep+SQRT(TimeStep)*AS$49)</f>
        <v>5.4537351857736546E-2</v>
      </c>
      <c r="AT7" s="20">
        <f ca="1">+AS7+AS7*Volatility!AS7*(-DriftSum!AT7*TimeStep+SQRT(TimeStep)*AT$49)</f>
        <v>5.4207886430372235E-2</v>
      </c>
      <c r="AU7" s="20">
        <f ca="1">+AT7+AT7*Volatility!AT7*(-DriftSum!AU7*TimeStep+SQRT(TimeStep)*AU$49)</f>
        <v>5.5182533506195681E-2</v>
      </c>
      <c r="AV7" s="20">
        <f ca="1">+AU7+AU7*Volatility!AU7*(-DriftSum!AV7*TimeStep+SQRT(TimeStep)*AV$49)</f>
        <v>5.5389888290969018E-2</v>
      </c>
      <c r="AW7" s="20">
        <f ca="1">+AV7+AV7*Volatility!AV7*(-DriftSum!AW7*TimeStep+SQRT(TimeStep)*AW$49)</f>
        <v>5.6532926963595465E-2</v>
      </c>
      <c r="AX7" s="20">
        <f ca="1">+AW7+AW7*Volatility!AW7*(-DriftSum!AX7*TimeStep+SQRT(TimeStep)*AX$49)</f>
        <v>5.5339052492491533E-2</v>
      </c>
      <c r="AY7" s="20">
        <f ca="1">+AX7+AX7*Volatility!AX7*(-DriftSum!AY7*TimeStep+SQRT(TimeStep)*AY$49)</f>
        <v>5.6206638498870698E-2</v>
      </c>
      <c r="AZ7" s="20">
        <f ca="1">+AY7+AY7*Volatility!AY7*(-DriftSum!AZ7*TimeStep+SQRT(TimeStep)*AZ$49)</f>
        <v>5.6940197139910775E-2</v>
      </c>
      <c r="BA7" s="20">
        <f ca="1">+AZ7+AZ7*Volatility!AZ7*(-DriftSum!BA7*TimeStep+SQRT(TimeStep)*BA$49)</f>
        <v>5.8883634002256421E-2</v>
      </c>
      <c r="BB7" s="20">
        <f ca="1">+BA7+BA7*Volatility!BA7*(-DriftSum!BB7*TimeStep+SQRT(TimeStep)*BB$49)</f>
        <v>5.9371957810894938E-2</v>
      </c>
      <c r="BC7" s="20">
        <f ca="1">+BB7+BB7*Volatility!BB7*(-DriftSum!BC7*TimeStep+SQRT(TimeStep)*BC$49)</f>
        <v>5.8121386724992077E-2</v>
      </c>
      <c r="BD7" s="20">
        <f ca="1">+BC7+BC7*Volatility!BC7*(-DriftSum!BD7*TimeStep+SQRT(TimeStep)*BD$49)</f>
        <v>5.803572289947196E-2</v>
      </c>
      <c r="BE7" s="20">
        <f ca="1">+BD7+BD7*Volatility!BD7*(-DriftSum!BE7*TimeStep+SQRT(TimeStep)*BE$49)</f>
        <v>5.7440847456412494E-2</v>
      </c>
      <c r="BF7" s="20">
        <f ca="1">+BE7+BE7*Volatility!BE7*(-DriftSum!BF7*TimeStep+SQRT(TimeStep)*BF$49)</f>
        <v>5.5486354445226933E-2</v>
      </c>
      <c r="BG7" s="20">
        <f ca="1">+BF7+BF7*Volatility!BF7*(-DriftSum!BG7*TimeStep+SQRT(TimeStep)*BG$49)</f>
        <v>5.7632422213637145E-2</v>
      </c>
      <c r="BH7" s="20">
        <f ca="1">+BG7+BG7*Volatility!BG7*(-DriftSum!BH7*TimeStep+SQRT(TimeStep)*BH$49)</f>
        <v>5.6618691113898847E-2</v>
      </c>
      <c r="BI7" s="20">
        <f ca="1">+BH7+BH7*Volatility!BH7*(-DriftSum!BI7*TimeStep+SQRT(TimeStep)*BI$49)</f>
        <v>5.3922817003730125E-2</v>
      </c>
      <c r="BJ7" s="20">
        <f ca="1">+BI7+BI7*Volatility!BI7*(-DriftSum!BJ7*TimeStep+SQRT(TimeStep)*BJ$49)</f>
        <v>5.4563538219738826E-2</v>
      </c>
      <c r="BK7" s="20">
        <f ca="1">+BJ7+BJ7*Volatility!BJ7*(-DriftSum!BK7*TimeStep+SQRT(TimeStep)*BK$49)</f>
        <v>5.5439722432990737E-2</v>
      </c>
      <c r="BL7" s="20">
        <f ca="1">+BK7+BK7*Volatility!BK7*(-DriftSum!BL7*TimeStep+SQRT(TimeStep)*BL$49)</f>
        <v>5.635873253640588E-2</v>
      </c>
      <c r="BM7" s="20">
        <f ca="1">+BL7+BL7*Volatility!BL7*(-DriftSum!BM7*TimeStep+SQRT(TimeStep)*BM$49)</f>
        <v>5.4731136816378576E-2</v>
      </c>
      <c r="BN7" s="20">
        <f ca="1">+BM7+BM7*Volatility!BM7*(-DriftSum!BN7*TimeStep+SQRT(TimeStep)*BN$49)</f>
        <v>5.5231837581775675E-2</v>
      </c>
      <c r="BO7" s="20">
        <f ca="1">+BN7+BN7*Volatility!BN7*(-DriftSum!BO7*TimeStep+SQRT(TimeStep)*BO$49)</f>
        <v>5.6580210806554759E-2</v>
      </c>
      <c r="BP7" s="20">
        <f ca="1">+BO7+BO7*Volatility!BO7*(-DriftSum!BP7*TimeStep+SQRT(TimeStep)*BP$49)</f>
        <v>5.6806677397807731E-2</v>
      </c>
      <c r="BQ7" s="20">
        <f ca="1">+BP7+BP7*Volatility!BP7*(-DriftSum!BQ7*TimeStep+SQRT(TimeStep)*BQ$49)</f>
        <v>5.6904381019649015E-2</v>
      </c>
      <c r="BR7" s="20">
        <f ca="1">+BQ7+BQ7*Volatility!BQ7*(-DriftSum!BR7*TimeStep+SQRT(TimeStep)*BR$49)</f>
        <v>5.851297606062246E-2</v>
      </c>
      <c r="BS7" s="20">
        <f ca="1">+BR7+BR7*Volatility!BR7*(-DriftSum!BS7*TimeStep+SQRT(TimeStep)*BS$49)</f>
        <v>5.6469899292447591E-2</v>
      </c>
      <c r="BT7" s="20">
        <f ca="1">+BS7+BS7*Volatility!BS7*(-DriftSum!BT7*TimeStep+SQRT(TimeStep)*BT$49)</f>
        <v>5.4943399541046913E-2</v>
      </c>
      <c r="BU7" s="20">
        <f ca="1">+BT7+BT7*Volatility!BT7*(-DriftSum!BU7*TimeStep+SQRT(TimeStep)*BU$49)</f>
        <v>5.3550654631918819E-2</v>
      </c>
      <c r="BV7" s="20">
        <f ca="1">+BU7+BU7*Volatility!BU7*(-DriftSum!BV7*TimeStep+SQRT(TimeStep)*BV$49)</f>
        <v>5.5521497268798535E-2</v>
      </c>
      <c r="BW7" s="20">
        <f ca="1">+BV7+BV7*Volatility!BV7*(-DriftSum!BW7*TimeStep+SQRT(TimeStep)*BW$49)</f>
        <v>5.2963104517604734E-2</v>
      </c>
      <c r="BX7" s="20">
        <f ca="1">+BW7+BW7*Volatility!BW7*(-DriftSum!BX7*TimeStep+SQRT(TimeStep)*BX$49)</f>
        <v>5.2187643154070672E-2</v>
      </c>
      <c r="BY7" s="20">
        <f ca="1">+BX7+BX7*Volatility!BX7*(-DriftSum!BY7*TimeStep+SQRT(TimeStep)*BY$49)</f>
        <v>5.246686313710492E-2</v>
      </c>
      <c r="BZ7" s="20">
        <f ca="1">+BY7+BY7*Volatility!BY7*(-DriftSum!BZ7*TimeStep+SQRT(TimeStep)*BZ$49)</f>
        <v>5.4860903372013763E-2</v>
      </c>
      <c r="CA7" s="20">
        <f ca="1">+BZ7+BZ7*Volatility!BZ7*(-DriftSum!CA7*TimeStep+SQRT(TimeStep)*CA$49)</f>
        <v>5.3633351161138224E-2</v>
      </c>
      <c r="CB7" s="20">
        <f ca="1">+CA7+CA7*Volatility!CA7*(-DriftSum!CB7*TimeStep+SQRT(TimeStep)*CB$49)</f>
        <v>5.4608326098342742E-2</v>
      </c>
      <c r="CC7" s="20">
        <f ca="1">+CB7+CB7*Volatility!CB7*(-DriftSum!CC7*TimeStep+SQRT(TimeStep)*CC$49)</f>
        <v>5.4413467895031736E-2</v>
      </c>
      <c r="CD7" s="20">
        <f ca="1">+CC7+CC7*Volatility!CC7*(-DriftSum!CD7*TimeStep+SQRT(TimeStep)*CD$49)</f>
        <v>5.4885348422275528E-2</v>
      </c>
      <c r="CE7" s="20">
        <f ca="1">+CD7+CD7*Volatility!CD7*(-DriftSum!CE7*TimeStep+SQRT(TimeStep)*CE$49)</f>
        <v>5.333614145713849E-2</v>
      </c>
      <c r="CF7" s="20">
        <f ca="1">+CE7+CE7*Volatility!CE7*(-DriftSum!CF7*TimeStep+SQRT(TimeStep)*CF$49)</f>
        <v>5.4724369761663019E-2</v>
      </c>
      <c r="CG7" s="20">
        <f ca="1">+CF7+CF7*Volatility!CF7*(-DriftSum!CG7*TimeStep+SQRT(TimeStep)*CG$49)</f>
        <v>5.5236240623035171E-2</v>
      </c>
      <c r="CH7" s="20">
        <f ca="1">+CG7+CG7*Volatility!CG7*(-DriftSum!CH7*TimeStep+SQRT(TimeStep)*CH$49)</f>
        <v>5.403107918915212E-2</v>
      </c>
      <c r="CI7" s="20">
        <f ca="1">+CH7+CH7*Volatility!CH7*(-DriftSum!CI7*TimeStep+SQRT(TimeStep)*CI$49)</f>
        <v>5.3800631730358275E-2</v>
      </c>
      <c r="CJ7" s="20">
        <f ca="1">+CI7+CI7*Volatility!CI7*(-DriftSum!CJ7*TimeStep+SQRT(TimeStep)*CJ$49)</f>
        <v>5.2979451544299991E-2</v>
      </c>
      <c r="CK7" s="20">
        <f ca="1">+CJ7+CJ7*Volatility!CJ7*(-DriftSum!CK7*TimeStep+SQRT(TimeStep)*CK$49)</f>
        <v>5.257430004589693E-2</v>
      </c>
      <c r="CL7" s="20">
        <f ca="1">+CK7+CK7*Volatility!CK7*(-DriftSum!CL7*TimeStep+SQRT(TimeStep)*CL$49)</f>
        <v>5.3525589134176911E-2</v>
      </c>
      <c r="CM7" s="20">
        <f ca="1">+CL7+CL7*Volatility!CL7*(-DriftSum!CM7*TimeStep+SQRT(TimeStep)*CM$49)</f>
        <v>5.3002973298591549E-2</v>
      </c>
      <c r="CN7" s="20">
        <f ca="1">+CM7+CM7*Volatility!CM7*(-DriftSum!CN7*TimeStep+SQRT(TimeStep)*CN$49)</f>
        <v>5.2378916169821078E-2</v>
      </c>
      <c r="CO7" s="20">
        <f ca="1">+CN7+CN7*Volatility!CN7*(-DriftSum!CO7*TimeStep+SQRT(TimeStep)*CO$49)</f>
        <v>5.0515780690720408E-2</v>
      </c>
      <c r="CP7" s="20">
        <f ca="1">+CO7+CO7*Volatility!CO7*(-DriftSum!CP7*TimeStep+SQRT(TimeStep)*CP$49)</f>
        <v>5.1184298136355222E-2</v>
      </c>
      <c r="CQ7" s="20">
        <f ca="1">+CP7+CP7*Volatility!CP7*(-DriftSum!CQ7*TimeStep+SQRT(TimeStep)*CQ$49)</f>
        <v>5.2419709964448349E-2</v>
      </c>
      <c r="CR7" s="20">
        <f ca="1">+CQ7+CQ7*Volatility!CQ7*(-DriftSum!CR7*TimeStep+SQRT(TimeStep)*CR$49)</f>
        <v>5.3565123788084708E-2</v>
      </c>
      <c r="CS7" s="20">
        <f ca="1">+CR7+CR7*Volatility!CR7*(-DriftSum!CS7*TimeStep+SQRT(TimeStep)*CS$49)</f>
        <v>5.4104594810602112E-2</v>
      </c>
      <c r="CT7" s="20">
        <f ca="1">+CS7+CS7*Volatility!CS7*(-DriftSum!CT7*TimeStep+SQRT(TimeStep)*CT$49)</f>
        <v>5.5241469703597106E-2</v>
      </c>
      <c r="CU7" s="20">
        <f ca="1">+CT7+CT7*Volatility!CT7*(-DriftSum!CU7*TimeStep+SQRT(TimeStep)*CU$49)</f>
        <v>5.518543793539242E-2</v>
      </c>
      <c r="CV7" s="20">
        <f ca="1">+CU7+CU7*Volatility!CU7*(-DriftSum!CV7*TimeStep+SQRT(TimeStep)*CV$49)</f>
        <v>5.5272832003222354E-2</v>
      </c>
      <c r="CW7" s="20">
        <f ca="1">+CV7+CV7*Volatility!CV7*(-DriftSum!CW7*TimeStep+SQRT(TimeStep)*CW$49)</f>
        <v>5.6307159480004199E-2</v>
      </c>
      <c r="CX7" s="20">
        <f ca="1">+CW7+CW7*Volatility!CW7*(-DriftSum!CX7*TimeStep+SQRT(TimeStep)*CX$49)</f>
        <v>5.6917261271979221E-2</v>
      </c>
      <c r="CY7" s="20">
        <f ca="1">+CX7+CX7*Volatility!CX7*(-DriftSum!CY7*TimeStep+SQRT(TimeStep)*CY$49)</f>
        <v>5.857733840455738E-2</v>
      </c>
      <c r="CZ7" s="20">
        <f ca="1">+CY7+CY7*Volatility!CY7*(-DriftSum!CZ7*TimeStep+SQRT(TimeStep)*CZ$49)</f>
        <v>5.8925261802144274E-2</v>
      </c>
      <c r="DA7" s="20">
        <f ca="1">+CZ7+CZ7*Volatility!CZ7*(-DriftSum!DA7*TimeStep+SQRT(TimeStep)*DA$49)</f>
        <v>5.9828902791349628E-2</v>
      </c>
      <c r="DB7" s="20">
        <f ca="1">+DA7+DA7*Volatility!DA7*(-DriftSum!DB7*TimeStep+SQRT(TimeStep)*DB$49)</f>
        <v>6.0615077408336333E-2</v>
      </c>
      <c r="DC7" s="20">
        <f ca="1">+DB7+DB7*Volatility!DB7*(-DriftSum!DC7*TimeStep+SQRT(TimeStep)*DC$49)</f>
        <v>5.9564148262134499E-2</v>
      </c>
      <c r="DD7" s="20">
        <f ca="1">+DC7+DC7*Volatility!DC7*(-DriftSum!DD7*TimeStep+SQRT(TimeStep)*DD$49)</f>
        <v>6.0384736223322182E-2</v>
      </c>
      <c r="DE7" s="20">
        <f ca="1">+DD7+DD7*Volatility!DD7*(-DriftSum!DE7*TimeStep+SQRT(TimeStep)*DE$49)</f>
        <v>6.2405791846116464E-2</v>
      </c>
      <c r="DF7" s="20">
        <f ca="1">+DE7+DE7*Volatility!DE7*(-DriftSum!DF7*TimeStep+SQRT(TimeStep)*DF$49)</f>
        <v>6.1926004543132622E-2</v>
      </c>
      <c r="DG7" s="20">
        <f ca="1">+DF7+DF7*Volatility!DF7*(-DriftSum!DG7*TimeStep+SQRT(TimeStep)*DG$49)</f>
        <v>6.2556554441033987E-2</v>
      </c>
      <c r="DH7" s="20">
        <f ca="1">+DG7+DG7*Volatility!DG7*(-DriftSum!DH7*TimeStep+SQRT(TimeStep)*DH$49)</f>
        <v>6.4326337017401758E-2</v>
      </c>
      <c r="DI7" s="20">
        <f ca="1">+DH7+DH7*Volatility!DH7*(-DriftSum!DI7*TimeStep+SQRT(TimeStep)*DI$49)</f>
        <v>6.4632502697849023E-2</v>
      </c>
      <c r="DJ7" s="20">
        <f ca="1">+DI7+DI7*Volatility!DI7*(-DriftSum!DJ7*TimeStep+SQRT(TimeStep)*DJ$49)</f>
        <v>6.412393614547407E-2</v>
      </c>
      <c r="DK7" s="20">
        <f ca="1">+DJ7+DJ7*Volatility!DJ7*(-DriftSum!DK7*TimeStep+SQRT(TimeStep)*DK$49)</f>
        <v>6.4534967832361262E-2</v>
      </c>
      <c r="DL7" s="20">
        <f ca="1">+DK7+DK7*Volatility!DK7*(-DriftSum!DL7*TimeStep+SQRT(TimeStep)*DL$49)</f>
        <v>6.4050195608138308E-2</v>
      </c>
      <c r="DM7" s="20">
        <f ca="1">+DL7+DL7*Volatility!DL7*(-DriftSum!DM7*TimeStep+SQRT(TimeStep)*DM$49)</f>
        <v>6.4629995565379808E-2</v>
      </c>
      <c r="DN7" s="20">
        <f ca="1">+DM7+DM7*Volatility!DM7*(-DriftSum!DN7*TimeStep+SQRT(TimeStep)*DN$49)</f>
        <v>6.6687123305698259E-2</v>
      </c>
      <c r="DO7" s="20">
        <f ca="1">+DN7+DN7*Volatility!DN7*(-DriftSum!DO7*TimeStep+SQRT(TimeStep)*DO$49)</f>
        <v>6.7973576081570702E-2</v>
      </c>
      <c r="DP7" s="20">
        <f ca="1">+DO7+DO7*Volatility!DO7*(-DriftSum!DP7*TimeStep+SQRT(TimeStep)*DP$49)</f>
        <v>6.5256910278961938E-2</v>
      </c>
      <c r="DQ7" s="20">
        <f ca="1">+DP7+DP7*Volatility!DP7*(-DriftSum!DQ7*TimeStep+SQRT(TimeStep)*DQ$49)</f>
        <v>6.2160962018672439E-2</v>
      </c>
      <c r="DR7" s="20">
        <f ca="1">+DQ7+DQ7*Volatility!DQ7*(-DriftSum!DR7*TimeStep+SQRT(TimeStep)*DR$49)</f>
        <v>6.3068174344928563E-2</v>
      </c>
      <c r="DS7" s="20">
        <f ca="1">+DR7+DR7*Volatility!DR7*(-DriftSum!DS7*TimeStep+SQRT(TimeStep)*DS$49)</f>
        <v>6.4330326717027236E-2</v>
      </c>
      <c r="DT7" s="20">
        <f ca="1">+DS7+DS7*Volatility!DS7*(-DriftSum!DT7*TimeStep+SQRT(TimeStep)*DT$49)</f>
        <v>6.2346111612446846E-2</v>
      </c>
      <c r="DU7" s="20"/>
      <c r="DV7" s="20"/>
      <c r="DW7" s="20"/>
    </row>
    <row r="8" spans="2:127" x14ac:dyDescent="0.2">
      <c r="B8" s="5"/>
      <c r="D8" s="2">
        <f t="shared" si="2"/>
        <v>9.75</v>
      </c>
      <c r="E8" s="10">
        <f>+E9/(1+(D8-D9)*G8)</f>
        <v>0.63221073926581295</v>
      </c>
      <c r="F8" s="12" t="str">
        <f>+"L(t;"&amp;D9&amp;","&amp;D8&amp;")"</f>
        <v>L(t;9.5,9.75)</v>
      </c>
      <c r="G8" s="19">
        <v>0.05</v>
      </c>
      <c r="H8" s="20">
        <f ca="1">+G8+G8*Volatility!G8*(-DriftSum!H8*TimeStep+SQRT(TimeStep)*H$49)</f>
        <v>5.0911815321156975E-2</v>
      </c>
      <c r="I8" s="20">
        <f ca="1">+H8+H8*Volatility!H8*(-DriftSum!I8*TimeStep+SQRT(TimeStep)*I$49)</f>
        <v>5.0974058508984725E-2</v>
      </c>
      <c r="J8" s="20">
        <f ca="1">+I8+I8*Volatility!I8*(-DriftSum!J8*TimeStep+SQRT(TimeStep)*J$49)</f>
        <v>5.0093530536073037E-2</v>
      </c>
      <c r="K8" s="20">
        <f ca="1">+J8+J8*Volatility!J8*(-DriftSum!K8*TimeStep+SQRT(TimeStep)*K$49)</f>
        <v>5.0402958956572798E-2</v>
      </c>
      <c r="L8" s="20">
        <f ca="1">+K8+K8*Volatility!K8*(-DriftSum!L8*TimeStep+SQRT(TimeStep)*L$49)</f>
        <v>4.9412492921566811E-2</v>
      </c>
      <c r="M8" s="20">
        <f ca="1">+L8+L8*Volatility!L8*(-DriftSum!M8*TimeStep+SQRT(TimeStep)*M$49)</f>
        <v>5.1515884393644282E-2</v>
      </c>
      <c r="N8" s="20">
        <f ca="1">+M8+M8*Volatility!M8*(-DriftSum!N8*TimeStep+SQRT(TimeStep)*N$49)</f>
        <v>5.1200540374919966E-2</v>
      </c>
      <c r="O8" s="20">
        <f ca="1">+N8+N8*Volatility!N8*(-DriftSum!O8*TimeStep+SQRT(TimeStep)*O$49)</f>
        <v>5.2412455776172637E-2</v>
      </c>
      <c r="P8" s="20">
        <f ca="1">+O8+O8*Volatility!O8*(-DriftSum!P8*TimeStep+SQRT(TimeStep)*P$49)</f>
        <v>5.1494135590575196E-2</v>
      </c>
      <c r="Q8" s="20">
        <f ca="1">+P8+P8*Volatility!P8*(-DriftSum!Q8*TimeStep+SQRT(TimeStep)*Q$49)</f>
        <v>5.1690914124630685E-2</v>
      </c>
      <c r="R8" s="20">
        <f ca="1">+Q8+Q8*Volatility!Q8*(-DriftSum!R8*TimeStep+SQRT(TimeStep)*R$49)</f>
        <v>5.2629750866313156E-2</v>
      </c>
      <c r="S8" s="20">
        <f ca="1">+R8+R8*Volatility!R8*(-DriftSum!S8*TimeStep+SQRT(TimeStep)*S$49)</f>
        <v>5.4440733522280627E-2</v>
      </c>
      <c r="T8" s="20">
        <f ca="1">+S8+S8*Volatility!S8*(-DriftSum!T8*TimeStep+SQRT(TimeStep)*T$49)</f>
        <v>5.3779018939599639E-2</v>
      </c>
      <c r="U8" s="20">
        <f ca="1">+T8+T8*Volatility!T8*(-DriftSum!U8*TimeStep+SQRT(TimeStep)*U$49)</f>
        <v>5.3693848296529428E-2</v>
      </c>
      <c r="V8" s="20">
        <f ca="1">+U8+U8*Volatility!U8*(-DriftSum!V8*TimeStep+SQRT(TimeStep)*V$49)</f>
        <v>5.2667994522344469E-2</v>
      </c>
      <c r="W8" s="20">
        <f ca="1">+V8+V8*Volatility!V8*(-DriftSum!W8*TimeStep+SQRT(TimeStep)*W$49)</f>
        <v>5.0178737797166674E-2</v>
      </c>
      <c r="X8" s="20">
        <f ca="1">+W8+W8*Volatility!W8*(-DriftSum!X8*TimeStep+SQRT(TimeStep)*X$49)</f>
        <v>5.0867197616404292E-2</v>
      </c>
      <c r="Y8" s="20">
        <f ca="1">+X8+X8*Volatility!X8*(-DriftSum!Y8*TimeStep+SQRT(TimeStep)*Y$49)</f>
        <v>5.031224019097038E-2</v>
      </c>
      <c r="Z8" s="20">
        <f ca="1">+Y8+Y8*Volatility!Y8*(-DriftSum!Z8*TimeStep+SQRT(TimeStep)*Z$49)</f>
        <v>5.1182190854002142E-2</v>
      </c>
      <c r="AA8" s="20">
        <f ca="1">+Z8+Z8*Volatility!Z8*(-DriftSum!AA8*TimeStep+SQRT(TimeStep)*AA$49)</f>
        <v>5.1880212832693368E-2</v>
      </c>
      <c r="AB8" s="20">
        <f ca="1">+AA8+AA8*Volatility!AA8*(-DriftSum!AB8*TimeStep+SQRT(TimeStep)*AB$49)</f>
        <v>5.178210887455207E-2</v>
      </c>
      <c r="AC8" s="20">
        <f ca="1">+AB8+AB8*Volatility!AB8*(-DriftSum!AC8*TimeStep+SQRT(TimeStep)*AC$49)</f>
        <v>5.1003760983059435E-2</v>
      </c>
      <c r="AD8" s="20">
        <f ca="1">+AC8+AC8*Volatility!AC8*(-DriftSum!AD8*TimeStep+SQRT(TimeStep)*AD$49)</f>
        <v>5.0666412594873915E-2</v>
      </c>
      <c r="AE8" s="20">
        <f ca="1">+AD8+AD8*Volatility!AD8*(-DriftSum!AE8*TimeStep+SQRT(TimeStep)*AE$49)</f>
        <v>5.2556335099828586E-2</v>
      </c>
      <c r="AF8" s="20">
        <f ca="1">+AE8+AE8*Volatility!AE8*(-DriftSum!AF8*TimeStep+SQRT(TimeStep)*AF$49)</f>
        <v>5.2765075419105238E-2</v>
      </c>
      <c r="AG8" s="20">
        <f ca="1">+AF8+AF8*Volatility!AF8*(-DriftSum!AG8*TimeStep+SQRT(TimeStep)*AG$49)</f>
        <v>5.3276383582987502E-2</v>
      </c>
      <c r="AH8" s="20">
        <f ca="1">+AG8+AG8*Volatility!AG8*(-DriftSum!AH8*TimeStep+SQRT(TimeStep)*AH$49)</f>
        <v>5.386195530912373E-2</v>
      </c>
      <c r="AI8" s="20">
        <f ca="1">+AH8+AH8*Volatility!AH8*(-DriftSum!AI8*TimeStep+SQRT(TimeStep)*AI$49)</f>
        <v>5.5819737636333189E-2</v>
      </c>
      <c r="AJ8" s="20">
        <f ca="1">+AI8+AI8*Volatility!AI8*(-DriftSum!AJ8*TimeStep+SQRT(TimeStep)*AJ$49)</f>
        <v>5.626363690559899E-2</v>
      </c>
      <c r="AK8" s="20">
        <f ca="1">+AJ8+AJ8*Volatility!AJ8*(-DriftSum!AK8*TimeStep+SQRT(TimeStep)*AK$49)</f>
        <v>5.7760550988729516E-2</v>
      </c>
      <c r="AL8" s="20">
        <f ca="1">+AK8+AK8*Volatility!AK8*(-DriftSum!AL8*TimeStep+SQRT(TimeStep)*AL$49)</f>
        <v>5.8464947873889145E-2</v>
      </c>
      <c r="AM8" s="20">
        <f ca="1">+AL8+AL8*Volatility!AL8*(-DriftSum!AM8*TimeStep+SQRT(TimeStep)*AM$49)</f>
        <v>5.8244725182688015E-2</v>
      </c>
      <c r="AN8" s="20">
        <f ca="1">+AM8+AM8*Volatility!AM8*(-DriftSum!AN8*TimeStep+SQRT(TimeStep)*AN$49)</f>
        <v>5.5770778764067511E-2</v>
      </c>
      <c r="AO8" s="20">
        <f ca="1">+AN8+AN8*Volatility!AN8*(-DriftSum!AO8*TimeStep+SQRT(TimeStep)*AO$49)</f>
        <v>5.5070857502588666E-2</v>
      </c>
      <c r="AP8" s="20">
        <f ca="1">+AO8+AO8*Volatility!AO8*(-DriftSum!AP8*TimeStep+SQRT(TimeStep)*AP$49)</f>
        <v>5.3594408647797721E-2</v>
      </c>
      <c r="AQ8" s="20">
        <f ca="1">+AP8+AP8*Volatility!AP8*(-DriftSum!AQ8*TimeStep+SQRT(TimeStep)*AQ$49)</f>
        <v>5.4414595140461368E-2</v>
      </c>
      <c r="AR8" s="20">
        <f ca="1">+AQ8+AQ8*Volatility!AQ8*(-DriftSum!AR8*TimeStep+SQRT(TimeStep)*AR$49)</f>
        <v>5.5527860243522804E-2</v>
      </c>
      <c r="AS8" s="20">
        <f ca="1">+AR8+AR8*Volatility!AR8*(-DriftSum!AS8*TimeStep+SQRT(TimeStep)*AS$49)</f>
        <v>5.4708962696114458E-2</v>
      </c>
      <c r="AT8" s="20">
        <f ca="1">+AS8+AS8*Volatility!AS8*(-DriftSum!AT8*TimeStep+SQRT(TimeStep)*AT$49)</f>
        <v>5.4364173475751815E-2</v>
      </c>
      <c r="AU8" s="20">
        <f ca="1">+AT8+AT8*Volatility!AT8*(-DriftSum!AU8*TimeStep+SQRT(TimeStep)*AU$49)</f>
        <v>5.5382613308292264E-2</v>
      </c>
      <c r="AV8" s="20">
        <f ca="1">+AU8+AU8*Volatility!AU8*(-DriftSum!AV8*TimeStep+SQRT(TimeStep)*AV$49)</f>
        <v>5.5599183183865523E-2</v>
      </c>
      <c r="AW8" s="20">
        <f ca="1">+AV8+AV8*Volatility!AV8*(-DriftSum!AW8*TimeStep+SQRT(TimeStep)*AW$49)</f>
        <v>5.679468833157534E-2</v>
      </c>
      <c r="AX8" s="20">
        <f ca="1">+AW8+AW8*Volatility!AW8*(-DriftSum!AX8*TimeStep+SQRT(TimeStep)*AX$49)</f>
        <v>5.5544260405287683E-2</v>
      </c>
      <c r="AY8" s="20">
        <f ca="1">+AX8+AX8*Volatility!AX8*(-DriftSum!AY8*TimeStep+SQRT(TimeStep)*AY$49)</f>
        <v>5.645152623091676E-2</v>
      </c>
      <c r="AZ8" s="20">
        <f ca="1">+AY8+AY8*Volatility!AY8*(-DriftSum!AZ8*TimeStep+SQRT(TimeStep)*AZ$49)</f>
        <v>5.7219068913866356E-2</v>
      </c>
      <c r="BA8" s="20">
        <f ca="1">+AZ8+AZ8*Volatility!AZ8*(-DriftSum!BA8*TimeStep+SQRT(TimeStep)*BA$49)</f>
        <v>5.9254191614587191E-2</v>
      </c>
      <c r="BB8" s="20">
        <f ca="1">+BA8+BA8*Volatility!BA8*(-DriftSum!BB8*TimeStep+SQRT(TimeStep)*BB$49)</f>
        <v>5.9765975345619345E-2</v>
      </c>
      <c r="BC8" s="20">
        <f ca="1">+BB8+BB8*Volatility!BB8*(-DriftSum!BC8*TimeStep+SQRT(TimeStep)*BC$49)</f>
        <v>5.8453530507682608E-2</v>
      </c>
      <c r="BD8" s="20">
        <f ca="1">+BC8+BC8*Volatility!BC8*(-DriftSum!BD8*TimeStep+SQRT(TimeStep)*BD$49)</f>
        <v>5.8363370312064788E-2</v>
      </c>
      <c r="BE8" s="20">
        <f ca="1">+BD8+BD8*Volatility!BD8*(-DriftSum!BE8*TimeStep+SQRT(TimeStep)*BE$49)</f>
        <v>5.773949349203477E-2</v>
      </c>
      <c r="BF8" s="20">
        <f ca="1">+BE8+BE8*Volatility!BE8*(-DriftSum!BF8*TimeStep+SQRT(TimeStep)*BF$49)</f>
        <v>5.5691467221335195E-2</v>
      </c>
      <c r="BG8" s="20">
        <f ca="1">+BF8+BF8*Volatility!BF8*(-DriftSum!BG8*TimeStep+SQRT(TimeStep)*BG$49)</f>
        <v>5.7936148733391153E-2</v>
      </c>
      <c r="BH8" s="20">
        <f ca="1">+BG8+BG8*Volatility!BG8*(-DriftSum!BH8*TimeStep+SQRT(TimeStep)*BH$49)</f>
        <v>5.6873655471335535E-2</v>
      </c>
      <c r="BI8" s="20">
        <f ca="1">+BH8+BH8*Volatility!BH8*(-DriftSum!BI8*TimeStep+SQRT(TimeStep)*BI$49)</f>
        <v>5.4050870664534005E-2</v>
      </c>
      <c r="BJ8" s="20">
        <f ca="1">+BI8+BI8*Volatility!BI8*(-DriftSum!BJ8*TimeStep+SQRT(TimeStep)*BJ$49)</f>
        <v>5.4719935676159681E-2</v>
      </c>
      <c r="BK8" s="20">
        <f ca="1">+BJ8+BJ8*Volatility!BJ8*(-DriftSum!BK8*TimeStep+SQRT(TimeStep)*BK$49)</f>
        <v>5.5635436900220332E-2</v>
      </c>
      <c r="BL8" s="20">
        <f ca="1">+BK8+BK8*Volatility!BK8*(-DriftSum!BL8*TimeStep+SQRT(TimeStep)*BL$49)</f>
        <v>5.6596326809224717E-2</v>
      </c>
      <c r="BM8" s="20">
        <f ca="1">+BL8+BL8*Volatility!BL8*(-DriftSum!BM8*TimeStep+SQRT(TimeStep)*BM$49)</f>
        <v>5.489246369190115E-2</v>
      </c>
      <c r="BN8" s="20">
        <f ca="1">+BM8+BM8*Volatility!BM8*(-DriftSum!BN8*TimeStep+SQRT(TimeStep)*BN$49)</f>
        <v>5.5415534657096165E-2</v>
      </c>
      <c r="BO8" s="20">
        <f ca="1">+BN8+BN8*Volatility!BN8*(-DriftSum!BO8*TimeStep+SQRT(TimeStep)*BO$49)</f>
        <v>5.6825225023089086E-2</v>
      </c>
      <c r="BP8" s="20">
        <f ca="1">+BO8+BO8*Volatility!BO8*(-DriftSum!BP8*TimeStep+SQRT(TimeStep)*BP$49)</f>
        <v>5.7061935730793475E-2</v>
      </c>
      <c r="BQ8" s="20">
        <f ca="1">+BP8+BP8*Volatility!BP8*(-DriftSum!BQ8*TimeStep+SQRT(TimeStep)*BQ$49)</f>
        <v>5.7163875411340534E-2</v>
      </c>
      <c r="BR8" s="20">
        <f ca="1">+BQ8+BQ8*Volatility!BQ8*(-DriftSum!BR8*TimeStep+SQRT(TimeStep)*BR$49)</f>
        <v>5.8847733634774288E-2</v>
      </c>
      <c r="BS8" s="20">
        <f ca="1">+BR8+BR8*Volatility!BR8*(-DriftSum!BS8*TimeStep+SQRT(TimeStep)*BS$49)</f>
        <v>5.6705775713056128E-2</v>
      </c>
      <c r="BT8" s="20">
        <f ca="1">+BS8+BS8*Volatility!BS8*(-DriftSum!BT8*TimeStep+SQRT(TimeStep)*BT$49)</f>
        <v>5.5107784694937496E-2</v>
      </c>
      <c r="BU8" s="20">
        <f ca="1">+BT8+BT8*Volatility!BT8*(-DriftSum!BU8*TimeStep+SQRT(TimeStep)*BU$49)</f>
        <v>5.3651521459208339E-2</v>
      </c>
      <c r="BV8" s="20">
        <f ca="1">+BU8+BU8*Volatility!BU8*(-DriftSum!BV8*TimeStep+SQRT(TimeStep)*BV$49)</f>
        <v>5.5709197900312576E-2</v>
      </c>
      <c r="BW8" s="20">
        <f ca="1">+BV8+BV8*Volatility!BV8*(-DriftSum!BW8*TimeStep+SQRT(TimeStep)*BW$49)</f>
        <v>5.3033355548170839E-2</v>
      </c>
      <c r="BX8" s="20">
        <f ca="1">+BW8+BW8*Volatility!BW8*(-DriftSum!BX8*TimeStep+SQRT(TimeStep)*BX$49)</f>
        <v>5.2223752736922431E-2</v>
      </c>
      <c r="BY8" s="20">
        <f ca="1">+BX8+BX8*Volatility!BX8*(-DriftSum!BY8*TimeStep+SQRT(TimeStep)*BY$49)</f>
        <v>5.2514677628603706E-2</v>
      </c>
      <c r="BZ8" s="20">
        <f ca="1">+BY8+BY8*Volatility!BY8*(-DriftSum!BZ8*TimeStep+SQRT(TimeStep)*BZ$49)</f>
        <v>5.5011850750732907E-2</v>
      </c>
      <c r="CA8" s="20">
        <f ca="1">+BZ8+BZ8*Volatility!BZ8*(-DriftSum!CA8*TimeStep+SQRT(TimeStep)*CA$49)</f>
        <v>5.3728583990888416E-2</v>
      </c>
      <c r="CB8" s="20">
        <f ca="1">+CA8+CA8*Volatility!CA8*(-DriftSum!CB8*TimeStep+SQRT(TimeStep)*CB$49)</f>
        <v>5.4746248146385658E-2</v>
      </c>
      <c r="CC8" s="20">
        <f ca="1">+CB8+CB8*Volatility!CB8*(-DriftSum!CC8*TimeStep+SQRT(TimeStep)*CC$49)</f>
        <v>5.454232072802824E-2</v>
      </c>
      <c r="CD8" s="20">
        <f ca="1">+CC8+CC8*Volatility!CC8*(-DriftSum!CD8*TimeStep+SQRT(TimeStep)*CD$49)</f>
        <v>5.5034984017896457E-2</v>
      </c>
      <c r="CE8" s="20">
        <f ca="1">+CD8+CD8*Volatility!CD8*(-DriftSum!CE8*TimeStep+SQRT(TimeStep)*CE$49)</f>
        <v>5.3415589333240726E-2</v>
      </c>
      <c r="CF8" s="20">
        <f ca="1">+CE8+CE8*Volatility!CE8*(-DriftSum!CF8*TimeStep+SQRT(TimeStep)*CF$49)</f>
        <v>5.4864322667083978E-2</v>
      </c>
      <c r="CG8" s="20">
        <f ca="1">+CF8+CF8*Volatility!CF8*(-DriftSum!CG8*TimeStep+SQRT(TimeStep)*CG$49)</f>
        <v>5.5398862049474813E-2</v>
      </c>
      <c r="CH8" s="20">
        <f ca="1">+CG8+CG8*Volatility!CG8*(-DriftSum!CH8*TimeStep+SQRT(TimeStep)*CH$49)</f>
        <v>5.4138749873043748E-2</v>
      </c>
      <c r="CI8" s="20">
        <f ca="1">+CH8+CH8*Volatility!CH8*(-DriftSum!CI8*TimeStep+SQRT(TimeStep)*CI$49)</f>
        <v>5.3897770651105306E-2</v>
      </c>
      <c r="CJ8" s="20">
        <f ca="1">+CI8+CI8*Volatility!CI8*(-DriftSum!CJ8*TimeStep+SQRT(TimeStep)*CJ$49)</f>
        <v>5.3040034205535415E-2</v>
      </c>
      <c r="CK8" s="20">
        <f ca="1">+CJ8-CJ8*Volatility!CJ8*DriftSum!CK8*TimeStep+Volatility!CJ8*CJ8*SQRT(TimeStep)*CK$49</f>
        <v>5.2616977197294135E-2</v>
      </c>
      <c r="CL8" s="20">
        <f ca="1">+CK8-CK8*Volatility!CK8*DriftSum!CL8*TimeStep+Volatility!CK8*CK8*SQRT(TimeStep)*CL$49</f>
        <v>5.3608967569440141E-2</v>
      </c>
      <c r="CM8" s="20">
        <f ca="1">+CL8-CL8*Volatility!CL8*DriftSum!CM8*TimeStep+Volatility!CL8*CL8*SQRT(TimeStep)*CM$49</f>
        <v>5.3063110943705867E-2</v>
      </c>
      <c r="CN8" s="20">
        <f ca="1">+CM8-CM8*Volatility!CM8*DriftSum!CN8*TimeStep+Volatility!CM8*CM8*SQRT(TimeStep)*CN$49</f>
        <v>5.2411643399095424E-2</v>
      </c>
      <c r="CO8" s="20">
        <f ca="1">+CN8-CN8*Volatility!CN8*DriftSum!CO8*TimeStep+Volatility!CN8*CN8*SQRT(TimeStep)*CO$49</f>
        <v>5.0468273970990588E-2</v>
      </c>
      <c r="CP8" s="20">
        <f ca="1">+CO8-CO8*Volatility!CO8*DriftSum!CP8*TimeStep+Volatility!CO8*CO8*SQRT(TimeStep)*CP$49</f>
        <v>5.1164107794319638E-2</v>
      </c>
      <c r="CQ8" s="20">
        <f ca="1">+CP8-CP8*Volatility!CP8*DriftSum!CQ8*TimeStep+Volatility!CP8*CP8*SQRT(TimeStep)*CQ$49</f>
        <v>5.2450929178284686E-2</v>
      </c>
      <c r="CR8" s="20">
        <f ca="1">+CQ8-CQ8*Volatility!CQ8*DriftSum!CR8*TimeStep+Volatility!CQ8*CQ8*SQRT(TimeStep)*CR$49</f>
        <v>5.3645154699889633E-2</v>
      </c>
      <c r="CS8" s="20">
        <f ca="1">+CR8-CR8*Volatility!CR8*DriftSum!CS8*TimeStep+Volatility!CR8*CR8*SQRT(TimeStep)*CS$49</f>
        <v>5.4207949972633424E-2</v>
      </c>
      <c r="CT8" s="20">
        <f ca="1">+CS8-CS8*Volatility!CS8*DriftSum!CT8*TimeStep+Volatility!CS8*CS8*SQRT(TimeStep)*CT$49</f>
        <v>5.5394808605646773E-2</v>
      </c>
      <c r="CU8" s="20">
        <f ca="1">+CT8-CT8*Volatility!CT8*DriftSum!CU8*TimeStep+Volatility!CT8*CT8*SQRT(TimeStep)*CU$49</f>
        <v>5.5335916803913414E-2</v>
      </c>
      <c r="CV8" s="20">
        <f ca="1">+CU8-CU8*Volatility!CU8*DriftSum!CV8*TimeStep+Volatility!CU8*CU8*SQRT(TimeStep)*CV$49</f>
        <v>5.5426922244790747E-2</v>
      </c>
      <c r="CW8" s="20">
        <f ca="1">+CV8-CV8*Volatility!CV8*DriftSum!CW8*TimeStep+Volatility!CV8*CV8*SQRT(TimeStep)*CW$49</f>
        <v>5.6507628281769549E-2</v>
      </c>
      <c r="CX8" s="20">
        <f ca="1">+CW8-CW8*Volatility!CW8*DriftSum!CX8*TimeStep+Volatility!CW8*CW8*SQRT(TimeStep)*CX$49</f>
        <v>5.7145429492811831E-2</v>
      </c>
      <c r="CY8" s="20">
        <f ca="1">+CX8-CX8*Volatility!CX8*DriftSum!CY8*TimeStep+Volatility!CX8*CX8*SQRT(TimeStep)*CY$49</f>
        <v>5.888223576381954E-2</v>
      </c>
      <c r="CZ8" s="20">
        <f ca="1">+CY8-CY8*Volatility!CY8*DriftSum!CZ8*TimeStep+Volatility!CY8*CY8*SQRT(TimeStep)*CZ$49</f>
        <v>5.9246375533493018E-2</v>
      </c>
      <c r="DA8" s="20">
        <f ca="1">+CZ8-CZ8*Volatility!CZ8*DriftSum!DA8*TimeStep+Volatility!CZ8*CZ8*SQRT(TimeStep)*DA$49</f>
        <v>6.0192954425730374E-2</v>
      </c>
      <c r="DB8" s="20">
        <f ca="1">+DA8-DA8*Volatility!DA8*DriftSum!DB8*TimeStep+Volatility!DA8*DA8*SQRT(TimeStep)*DB$49</f>
        <v>6.1016945216531455E-2</v>
      </c>
      <c r="DC8" s="20">
        <f ca="1">+DB8-DB8*Volatility!DB8*DriftSum!DC8*TimeStep+Volatility!DB8*DB8*SQRT(TimeStep)*DC$49</f>
        <v>5.9913949934984723E-2</v>
      </c>
      <c r="DD8" s="20">
        <f ca="1">+DC8-DC8*Volatility!DC8*DriftSum!DD8*TimeStep+Volatility!DC8*DC8*SQRT(TimeStep)*DD$49</f>
        <v>6.0773848411303004E-2</v>
      </c>
      <c r="DE8" s="20">
        <f ca="1">+DD8-DD8*Volatility!DD8*DriftSum!DE8*TimeStep+Volatility!DD8*DD8*SQRT(TimeStep)*DE$49</f>
        <v>6.2893478765652988E-2</v>
      </c>
      <c r="DF8" s="20">
        <f ca="1">+DE8-DE8*Volatility!DE8*DriftSum!DF8*TimeStep+Volatility!DE8*DE8*SQRT(TimeStep)*DF$49</f>
        <v>6.2389087890456392E-2</v>
      </c>
      <c r="DG8" s="20">
        <f ca="1">+DF8-DF8*Volatility!DF8*DriftSum!DG8*TimeStep+Volatility!DF8*DF8*SQRT(TimeStep)*DG$49</f>
        <v>6.3050778791381809E-2</v>
      </c>
      <c r="DH8" s="20">
        <f ca="1">+DG8-DG8*Volatility!DG8*DriftSum!DH8*TimeStep+Volatility!DG8*DG8*SQRT(TimeStep)*DH$49</f>
        <v>6.4909488684974356E-2</v>
      </c>
      <c r="DI8" s="20">
        <f ca="1">+DH8-DH8*Volatility!DH8*DriftSum!DI8*TimeStep+Volatility!DH8*DH8*SQRT(TimeStep)*DI$49</f>
        <v>6.5231033973508823E-2</v>
      </c>
      <c r="DJ8" s="20">
        <f ca="1">+DI8-DI8*Volatility!DI8*DriftSum!DJ8*TimeStep+Volatility!DI8*DI8*SQRT(TimeStep)*DJ$49</f>
        <v>6.4695615957219899E-2</v>
      </c>
      <c r="DK8" s="20">
        <f ca="1">+DJ8-DJ8*Volatility!DJ8*DriftSum!DK8*TimeStep+Volatility!DJ8*DJ8*SQRT(TimeStep)*DK$49</f>
        <v>6.512738753160878E-2</v>
      </c>
      <c r="DL8" s="20">
        <f ca="1">+DK8-DK8*Volatility!DK8*DriftSum!DL8*TimeStep+Volatility!DK8*DK8*SQRT(TimeStep)*DL$49</f>
        <v>6.4617041068280645E-2</v>
      </c>
      <c r="DM8" s="20">
        <f ca="1">+DL8-DL8*Volatility!DL8*DriftSum!DM8*TimeStep+Volatility!DL8*DL8*SQRT(TimeStep)*DM$49</f>
        <v>6.5226241789725789E-2</v>
      </c>
      <c r="DN8" s="20">
        <f ca="1">+DM8-DM8*Volatility!DM8*DriftSum!DN8*TimeStep+Volatility!DM8*DM8*SQRT(TimeStep)*DN$49</f>
        <v>6.7389616321659143E-2</v>
      </c>
      <c r="DO8" s="20">
        <f ca="1">+DN8-DN8*Volatility!DN8*DriftSum!DO8*TimeStep+Volatility!DN8*DN8*SQRT(TimeStep)*DO$49</f>
        <v>6.8744066725863806E-2</v>
      </c>
      <c r="DP8" s="20">
        <f ca="1">+DO8-DO8*Volatility!DO8*DriftSum!DP8*TimeStep+Volatility!DO8*DO8*SQRT(TimeStep)*DP$49</f>
        <v>6.5880014339179088E-2</v>
      </c>
      <c r="DQ8" s="20">
        <f ca="1">+DP8-DP8*Volatility!DP8*DriftSum!DQ8*TimeStep+Volatility!DP8*DP8*SQRT(TimeStep)*DQ$49</f>
        <v>6.262197767256647E-2</v>
      </c>
      <c r="DR8" s="20"/>
      <c r="DS8" s="20"/>
      <c r="DT8" s="20"/>
      <c r="DU8" s="20"/>
      <c r="DV8" s="20"/>
      <c r="DW8" s="20"/>
    </row>
    <row r="9" spans="2:127" x14ac:dyDescent="0.2">
      <c r="B9" s="7"/>
      <c r="D9" s="2">
        <f t="shared" si="2"/>
        <v>9.5</v>
      </c>
      <c r="E9" s="10">
        <f t="shared" ref="E9:E46" si="3">+E10/(1+(D9-D10)*G9)</f>
        <v>0.64011337350663555</v>
      </c>
      <c r="F9" s="12" t="str">
        <f>+"L(t;"&amp;D10&amp;","&amp;D9&amp;")"</f>
        <v>L(t;9.25,9.5)</v>
      </c>
      <c r="G9" s="19">
        <v>0.05</v>
      </c>
      <c r="H9" s="20">
        <f ca="1">+G9+G9*Volatility!G9*(-DriftSum!H9*TimeStep+SQRT(TimeStep)*H$49)</f>
        <v>5.0949529848427405E-2</v>
      </c>
      <c r="I9" s="20">
        <f ca="1">+H9+H9*Volatility!H9*(-DriftSum!I9*TimeStep+SQRT(TimeStep)*I$49)</f>
        <v>5.1014082931600563E-2</v>
      </c>
      <c r="J9" s="20">
        <f ca="1">+I9+I9*Volatility!I9*(-DriftSum!J9*TimeStep+SQRT(TimeStep)*J$49)</f>
        <v>5.0096833661869351E-2</v>
      </c>
      <c r="K9" s="20">
        <f ca="1">+J9+J9*Volatility!J9*(-DriftSum!K9*TimeStep+SQRT(TimeStep)*K$49)</f>
        <v>5.0418533491210164E-2</v>
      </c>
      <c r="L9" s="20">
        <f ca="1">+K9+K9*Volatility!K9*(-DriftSum!L9*TimeStep+SQRT(TimeStep)*L$49)</f>
        <v>4.9387297052911269E-2</v>
      </c>
      <c r="M9" s="20">
        <f ca="1">+L9+L9*Volatility!L9*(-DriftSum!M9*TimeStep+SQRT(TimeStep)*M$49)</f>
        <v>5.1574558978076432E-2</v>
      </c>
      <c r="N9" s="20">
        <f ca="1">+M9+M9*Volatility!M9*(-DriftSum!N9*TimeStep+SQRT(TimeStep)*N$49)</f>
        <v>5.1245745630207049E-2</v>
      </c>
      <c r="O9" s="20">
        <f ca="1">+N9+N9*Volatility!N9*(-DriftSum!O9*TimeStep+SQRT(TimeStep)*O$49)</f>
        <v>5.2507598591100942E-2</v>
      </c>
      <c r="P9" s="20">
        <f ca="1">+O9+O9*Volatility!O9*(-DriftSum!P9*TimeStep+SQRT(TimeStep)*P$49)</f>
        <v>5.1549992161418839E-2</v>
      </c>
      <c r="Q9" s="20">
        <f ca="1">+P9+P9*Volatility!P9*(-DriftSum!Q9*TimeStep+SQRT(TimeStep)*Q$49)</f>
        <v>5.1754659197151547E-2</v>
      </c>
      <c r="R9" s="20">
        <f ca="1">+Q9+Q9*Volatility!Q9*(-DriftSum!R9*TimeStep+SQRT(TimeStep)*R$49)</f>
        <v>5.2732448072589998E-2</v>
      </c>
      <c r="S9" s="20">
        <f ca="1">+R9+R9*Volatility!R9*(-DriftSum!S9*TimeStep+SQRT(TimeStep)*S$49)</f>
        <v>5.4620200831171174E-2</v>
      </c>
      <c r="T9" s="20">
        <f ca="1">+S9+S9*Volatility!S9*(-DriftSum!T9*TimeStep+SQRT(TimeStep)*T$49)</f>
        <v>5.3929041916226897E-2</v>
      </c>
      <c r="U9" s="20">
        <f ca="1">+T9+T9*Volatility!T9*(-DriftSum!U9*TimeStep+SQRT(TimeStep)*U$49)</f>
        <v>5.3839831466870838E-2</v>
      </c>
      <c r="V9" s="20">
        <f ca="1">+U9+U9*Volatility!U9*(-DriftSum!V9*TimeStep+SQRT(TimeStep)*V$49)</f>
        <v>5.2769148232407935E-2</v>
      </c>
      <c r="W9" s="20">
        <f ca="1">+V9+V9*Volatility!V9*(-DriftSum!W9*TimeStep+SQRT(TimeStep)*W$49)</f>
        <v>5.0173675398348494E-2</v>
      </c>
      <c r="X9" s="20">
        <f ca="1">+W9+W9*Volatility!W9*(-DriftSum!X9*TimeStep+SQRT(TimeStep)*X$49)</f>
        <v>5.088967831460272E-2</v>
      </c>
      <c r="Y9" s="20">
        <f ca="1">+X9+X9*Volatility!X9*(-DriftSum!Y9*TimeStep+SQRT(TimeStep)*Y$49)</f>
        <v>5.0311663977764334E-2</v>
      </c>
      <c r="Z9" s="20">
        <f ca="1">+Y9+Y9*Volatility!Y9*(-DriftSum!Z9*TimeStep+SQRT(TimeStep)*Z$49)</f>
        <v>5.1216575790738093E-2</v>
      </c>
      <c r="AA9" s="20">
        <f ca="1">+Z9+Z9*Volatility!Z9*(-DriftSum!AA9*TimeStep+SQRT(TimeStep)*AA$49)</f>
        <v>5.1943076662319398E-2</v>
      </c>
      <c r="AB9" s="20">
        <f ca="1">+AA9+AA9*Volatility!AA9*(-DriftSum!AB9*TimeStep+SQRT(TimeStep)*AB$49)</f>
        <v>5.184055602245128E-2</v>
      </c>
      <c r="AC9" s="20">
        <f ca="1">+AB9+AB9*Volatility!AB9*(-DriftSum!AC9*TimeStep+SQRT(TimeStep)*AC$49)</f>
        <v>5.1029424749354839E-2</v>
      </c>
      <c r="AD9" s="20">
        <f ca="1">+AC9+AC9*Volatility!AC9*(-DriftSum!AD9*TimeStep+SQRT(TimeStep)*AD$49)</f>
        <v>5.0677918377321177E-2</v>
      </c>
      <c r="AE9" s="20">
        <f ca="1">+AD9+AD9*Volatility!AD9*(-DriftSum!AE9*TimeStep+SQRT(TimeStep)*AE$49)</f>
        <v>5.2644604950841917E-2</v>
      </c>
      <c r="AF9" s="20">
        <f ca="1">+AE9+AE9*Volatility!AE9*(-DriftSum!AF9*TimeStep+SQRT(TimeStep)*AF$49)</f>
        <v>5.2861848330049074E-2</v>
      </c>
      <c r="AG9" s="20">
        <f ca="1">+AF9+AF9*Volatility!AF9*(-DriftSum!AG9*TimeStep+SQRT(TimeStep)*AG$49)</f>
        <v>5.3394534179213124E-2</v>
      </c>
      <c r="AH9" s="20">
        <f ca="1">+AG9+AG9*Volatility!AG9*(-DriftSum!AH9*TimeStep+SQRT(TimeStep)*AH$49)</f>
        <v>5.4004863316687676E-2</v>
      </c>
      <c r="AI9" s="20">
        <f ca="1">+AH9+AH9*Volatility!AH9*(-DriftSum!AI9*TimeStep+SQRT(TimeStep)*AI$49)</f>
        <v>5.6047079512743118E-2</v>
      </c>
      <c r="AJ9" s="20">
        <f ca="1">+AI9+AI9*Volatility!AI9*(-DriftSum!AJ9*TimeStep+SQRT(TimeStep)*AJ$49)</f>
        <v>5.6510489627154208E-2</v>
      </c>
      <c r="AK9" s="20">
        <f ca="1">+AJ9+AJ9*Volatility!AJ9*(-DriftSum!AK9*TimeStep+SQRT(TimeStep)*AK$49)</f>
        <v>5.8074551078934777E-2</v>
      </c>
      <c r="AL9" s="20">
        <f ca="1">+AK9+AK9*Volatility!AK9*(-DriftSum!AL9*TimeStep+SQRT(TimeStep)*AL$49)</f>
        <v>5.8811096574973284E-2</v>
      </c>
      <c r="AM9" s="20">
        <f ca="1">+AL9+AL9*Volatility!AL9*(-DriftSum!AM9*TimeStep+SQRT(TimeStep)*AM$49)</f>
        <v>5.8580186937757302E-2</v>
      </c>
      <c r="AN9" s="20">
        <f ca="1">+AM9+AM9*Volatility!AM9*(-DriftSum!AN9*TimeStep+SQRT(TimeStep)*AN$49)</f>
        <v>5.5990719775993097E-2</v>
      </c>
      <c r="AO9" s="20">
        <f ca="1">+AN9+AN9*Volatility!AN9*(-DriftSum!AO9*TimeStep+SQRT(TimeStep)*AO$49)</f>
        <v>5.5259185587532594E-2</v>
      </c>
      <c r="AP9" s="20">
        <f ca="1">+AO9+AO9*Volatility!AO9*(-DriftSum!AP9*TimeStep+SQRT(TimeStep)*AP$49)</f>
        <v>5.371727058914489E-2</v>
      </c>
      <c r="AQ9" s="20">
        <f ca="1">+AP9+AP9*Volatility!AP9*(-DriftSum!AQ9*TimeStep+SQRT(TimeStep)*AQ$49)</f>
        <v>5.4572327102656568E-2</v>
      </c>
      <c r="AR9" s="20">
        <f ca="1">+AQ9+AQ9*Volatility!AQ9*(-DriftSum!AR9*TimeStep+SQRT(TimeStep)*AR$49)</f>
        <v>5.5733734652453057E-2</v>
      </c>
      <c r="AS9" s="20">
        <f ca="1">+AR9+AR9*Volatility!AR9*(-DriftSum!AS9*TimeStep+SQRT(TimeStep)*AS$49)</f>
        <v>5.4878116989342182E-2</v>
      </c>
      <c r="AT9" s="20">
        <f ca="1">+AS9+AS9*Volatility!AS9*(-DriftSum!AT9*TimeStep+SQRT(TimeStep)*AT$49)</f>
        <v>5.451788896554275E-2</v>
      </c>
      <c r="AU9" s="20">
        <f ca="1">+AT9+AT9*Volatility!AT9*(-DriftSum!AU9*TimeStep+SQRT(TimeStep)*AU$49)</f>
        <v>5.558026618301292E-2</v>
      </c>
      <c r="AV9" s="20">
        <f ca="1">+AU9+AU9*Volatility!AU9*(-DriftSum!AV9*TimeStep+SQRT(TimeStep)*AV$49)</f>
        <v>5.5806059744918535E-2</v>
      </c>
      <c r="AW9" s="20">
        <f ca="1">+AV9+AV9*Volatility!AV9*(-DriftSum!AW9*TimeStep+SQRT(TimeStep)*AW$49)</f>
        <v>5.7054296681414415E-2</v>
      </c>
      <c r="AX9" s="20">
        <f ca="1">+AW9+AW9*Volatility!AW9*(-DriftSum!AX9*TimeStep+SQRT(TimeStep)*AX$49)</f>
        <v>5.5746849036104794E-2</v>
      </c>
      <c r="AY9" s="20">
        <f ca="1">+AX9+AX9*Volatility!AX9*(-DriftSum!AY9*TimeStep+SQRT(TimeStep)*AY$49)</f>
        <v>5.6693976629359794E-2</v>
      </c>
      <c r="AZ9" s="20">
        <f ca="1">+AY9+AY9*Volatility!AY9*(-DriftSum!AZ9*TimeStep+SQRT(TimeStep)*AZ$49)</f>
        <v>5.7495691388872047E-2</v>
      </c>
      <c r="BA9" s="20">
        <f ca="1">+AZ9+AZ9*Volatility!AZ9*(-DriftSum!BA9*TimeStep+SQRT(TimeStep)*BA$49)</f>
        <v>5.9623171594797672E-2</v>
      </c>
      <c r="BB9" s="20">
        <f ca="1">+BA9+BA9*Volatility!BA9*(-DriftSum!BB9*TimeStep+SQRT(TimeStep)*BB$49)</f>
        <v>6.0158606161601652E-2</v>
      </c>
      <c r="BC9" s="20">
        <f ca="1">+BB9+BB9*Volatility!BB9*(-DriftSum!BC9*TimeStep+SQRT(TimeStep)*BC$49)</f>
        <v>5.8783561964332605E-2</v>
      </c>
      <c r="BD9" s="20">
        <f ca="1">+BC9+BC9*Volatility!BC9*(-DriftSum!BD9*TimeStep+SQRT(TimeStep)*BD$49)</f>
        <v>5.8688814920078942E-2</v>
      </c>
      <c r="BE9" s="20">
        <f ca="1">+BD9+BD9*Volatility!BD9*(-DriftSum!BE9*TimeStep+SQRT(TimeStep)*BE$49)</f>
        <v>5.8035625151729067E-2</v>
      </c>
      <c r="BF9" s="20">
        <f ca="1">+BE9+BE9*Volatility!BE9*(-DriftSum!BF9*TimeStep+SQRT(TimeStep)*BF$49)</f>
        <v>5.5893249010203754E-2</v>
      </c>
      <c r="BG9" s="20">
        <f ca="1">+BF9+BF9*Volatility!BF9*(-DriftSum!BG9*TimeStep+SQRT(TimeStep)*BG$49)</f>
        <v>5.8237029348484064E-2</v>
      </c>
      <c r="BH9" s="20">
        <f ca="1">+BG9+BG9*Volatility!BG9*(-DriftSum!BH9*TimeStep+SQRT(TimeStep)*BH$49)</f>
        <v>5.7125325670022258E-2</v>
      </c>
      <c r="BI9" s="20">
        <f ca="1">+BH9+BH9*Volatility!BH9*(-DriftSum!BI9*TimeStep+SQRT(TimeStep)*BI$49)</f>
        <v>5.4174725945360505E-2</v>
      </c>
      <c r="BJ9" s="20">
        <f ca="1">+BI9+BI9*Volatility!BI9*(-DriftSum!BJ9*TimeStep+SQRT(TimeStep)*BJ$49)</f>
        <v>5.4872167536157736E-2</v>
      </c>
      <c r="BK9" s="20">
        <f ca="1">+BJ9+BJ9*Volatility!BJ9*(-DriftSum!BK9*TimeStep+SQRT(TimeStep)*BK$49)</f>
        <v>5.5827082246583629E-2</v>
      </c>
      <c r="BL9" s="20">
        <f ca="1">+BK9+BK9*Volatility!BK9*(-DriftSum!BL9*TimeStep+SQRT(TimeStep)*BL$49)</f>
        <v>5.683000763500342E-2</v>
      </c>
      <c r="BM9" s="20">
        <f ca="1">+BL9+BL9*Volatility!BL9*(-DriftSum!BM9*TimeStep+SQRT(TimeStep)*BM$49)</f>
        <v>5.5049372208617518E-2</v>
      </c>
      <c r="BN9" s="20">
        <f ca="1">+BM9+BM9*Volatility!BM9*(-DriftSum!BN9*TimeStep+SQRT(TimeStep)*BN$49)</f>
        <v>5.559485069589748E-2</v>
      </c>
      <c r="BO9" s="20">
        <f ca="1">+BN9+BN9*Volatility!BN9*(-DriftSum!BO9*TimeStep+SQRT(TimeStep)*BO$49)</f>
        <v>5.7066076415590604E-2</v>
      </c>
      <c r="BP9" s="20">
        <f ca="1">+BO9+BO9*Volatility!BO9*(-DriftSum!BP9*TimeStep+SQRT(TimeStep)*BP$49)</f>
        <v>5.7313047911413999E-2</v>
      </c>
      <c r="BQ9" s="20">
        <f ca="1">+BP9+BP9*Volatility!BP9*(-DriftSum!BQ9*TimeStep+SQRT(TimeStep)*BQ$49)</f>
        <v>5.7419204311210587E-2</v>
      </c>
      <c r="BR9" s="20">
        <f ca="1">+BQ9+BQ9*Volatility!BQ9*(-DriftSum!BR9*TimeStep+SQRT(TimeStep)*BR$49)</f>
        <v>5.9178768964137013E-2</v>
      </c>
      <c r="BS9" s="20">
        <f ca="1">+BR9+BR9*Volatility!BR9*(-DriftSum!BS9*TimeStep+SQRT(TimeStep)*BS$49)</f>
        <v>5.6937029894302243E-2</v>
      </c>
      <c r="BT9" s="20">
        <f ca="1">+BS9+BS9*Volatility!BS9*(-DriftSum!BT9*TimeStep+SQRT(TimeStep)*BT$49)</f>
        <v>5.5267096515746593E-2</v>
      </c>
      <c r="BU9" s="20">
        <f ca="1">+BT9+BT9*Volatility!BT9*(-DriftSum!BU9*TimeStep+SQRT(TimeStep)*BU$49)</f>
        <v>5.3747058347405015E-2</v>
      </c>
      <c r="BV9" s="20">
        <f ca="1">+BU9+BU9*Volatility!BU9*(-DriftSum!BV9*TimeStep+SQRT(TimeStep)*BV$49)</f>
        <v>5.5891628959762497E-2</v>
      </c>
      <c r="BW9" s="20">
        <f ca="1">+BV9+BV9*Volatility!BV9*(-DriftSum!BW9*TimeStep+SQRT(TimeStep)*BW$49)</f>
        <v>5.3097824141680558E-2</v>
      </c>
      <c r="BX9" s="20">
        <f ca="1">+BW9+BW9*Volatility!BW9*(-DriftSum!BX9*TimeStep+SQRT(TimeStep)*BX$49)</f>
        <v>5.2254045620314896E-2</v>
      </c>
      <c r="BY9" s="20">
        <f ca="1">+BX9+BX9*Volatility!BX9*(-DriftSum!BY9*TimeStep+SQRT(TimeStep)*BY$49)</f>
        <v>5.2556620590901985E-2</v>
      </c>
      <c r="BZ9" s="20">
        <f ca="1">+BY9+BY9*Volatility!BY9*(-DriftSum!BZ9*TimeStep+SQRT(TimeStep)*BZ$49)</f>
        <v>5.515678239729465E-2</v>
      </c>
      <c r="CA9" s="20">
        <f ca="1">+BZ9+BZ9*Volatility!BZ9*(-DriftSum!CA9*TimeStep+SQRT(TimeStep)*CA$49)</f>
        <v>5.3817618106562534E-2</v>
      </c>
      <c r="CB9" s="20">
        <f ca="1">+CA9+CA9*Volatility!CA9*(-DriftSum!CB9*TimeStep+SQRT(TimeStep)*CB$49)</f>
        <v>5.4877954963192872E-2</v>
      </c>
      <c r="CC9" s="20">
        <f ca="1">+CB9+CB9*Volatility!CB9*(-DriftSum!CC9*TimeStep+SQRT(TimeStep)*CC$49)</f>
        <v>5.4664897898046877E-2</v>
      </c>
      <c r="CD9" s="20">
        <f ca="1">+CC9+CC9*Volatility!CC9*(-DriftSum!CD9*TimeStep+SQRT(TimeStep)*CD$49)</f>
        <v>5.5178336937058668E-2</v>
      </c>
      <c r="CE9" s="20">
        <f ca="1">+CD9+CD9*Volatility!CD9*(-DriftSum!CE9*TimeStep+SQRT(TimeStep)*CE$49)</f>
        <v>5.3488546383075569E-2</v>
      </c>
      <c r="CF9" s="20">
        <f ca="1">+CE9+CE9*Volatility!CE9*(-DriftSum!CF9*TimeStep+SQRT(TimeStep)*CF$49)</f>
        <v>5.4997736408890108E-2</v>
      </c>
      <c r="CG9" s="20">
        <f ca="1">+CF9+CF9*Volatility!CF9*(-DriftSum!CG9*TimeStep+SQRT(TimeStep)*CG$49)</f>
        <v>5.5554945498481716E-2</v>
      </c>
      <c r="CH9" s="20">
        <f ca="1">+CG9+CG9*Volatility!CG9*(-DriftSum!CH9*TimeStep+SQRT(TimeStep)*CH$49)</f>
        <v>5.4239693105260126E-2</v>
      </c>
      <c r="CI9" s="20">
        <f ca="1">+CH9+CH9*Volatility!CH9*(-DriftSum!CI9*TimeStep+SQRT(TimeStep)*CI$49)</f>
        <v>5.3988132999048366E-2</v>
      </c>
      <c r="CJ9" s="20">
        <f ca="1">+CI9+CI9*Volatility!CI9*(-DriftSum!CJ9*TimeStep+SQRT(TimeStep)*CJ$49)</f>
        <v>5.3093786287018212E-2</v>
      </c>
      <c r="CK9" s="20">
        <f ca="1">+CJ9-CJ9*Volatility!CJ9*DriftSum!CK9*TimeStep+Volatility!CJ9*CJ9*SQRT(TimeStep)*CK$49</f>
        <v>5.265280228199163E-2</v>
      </c>
      <c r="CL9" s="20">
        <f ca="1">+CK9-CK9*Volatility!CK9*DriftSum!CL9*TimeStep+Volatility!CK9*CK9*SQRT(TimeStep)*CL$49</f>
        <v>5.3685386670258836E-2</v>
      </c>
      <c r="CM9" s="20">
        <f ca="1">+CL9-CL9*Volatility!CL9*DriftSum!CM9*TimeStep+Volatility!CL9*CL9*SQRT(TimeStep)*CM$49</f>
        <v>5.3116253936514278E-2</v>
      </c>
      <c r="CN9" s="20">
        <f ca="1">+CM9-CM9*Volatility!CM9*DriftSum!CN9*TimeStep+Volatility!CM9*CM9*SQRT(TimeStep)*CN$49</f>
        <v>5.2437366445931249E-2</v>
      </c>
      <c r="CO9" s="20">
        <f ca="1">+CN9-CN9*Volatility!CN9*DriftSum!CO9*TimeStep+Volatility!CN9*CN9*SQRT(TimeStep)*CO$49</f>
        <v>5.0413897289931224E-2</v>
      </c>
      <c r="CP9" s="20">
        <f ca="1">+CO9-CO9*Volatility!CO9*DriftSum!CP9*TimeStep+Volatility!CO9*CO9*SQRT(TimeStep)*CP$49</f>
        <v>5.1136862210658815E-2</v>
      </c>
      <c r="CQ9" s="20">
        <f ca="1">+CP9-CP9*Volatility!CP9*DriftSum!CQ9*TimeStep+Volatility!CP9*CP9*SQRT(TimeStep)*CQ$49</f>
        <v>5.247483233618775E-2</v>
      </c>
      <c r="CR9" s="20">
        <f ca="1">+CQ9-CQ9*Volatility!CQ9*DriftSum!CR9*TimeStep+Volatility!CQ9*CQ9*SQRT(TimeStep)*CR$49</f>
        <v>5.3717716208635559E-2</v>
      </c>
      <c r="CS9" s="20">
        <f ca="1">+CR9-CR9*Volatility!CR9*DriftSum!CS9*TimeStep+Volatility!CR9*CR9*SQRT(TimeStep)*CS$49</f>
        <v>5.4303782061301473E-2</v>
      </c>
      <c r="CT9" s="20">
        <f ca="1">+CS9-CS9*Volatility!CS9*DriftSum!CT9*TimeStep+Volatility!CS9*CS9*SQRT(TimeStep)*CT$49</f>
        <v>5.5540595078386261E-2</v>
      </c>
      <c r="CU9" s="20">
        <f ca="1">+CT9-CT9*Volatility!CT9*DriftSum!CU9*TimeStep+Volatility!CT9*CT9*SQRT(TimeStep)*CU$49</f>
        <v>5.5478794261600559E-2</v>
      </c>
      <c r="CV9" s="20">
        <f ca="1">+CU9-CU9*Volatility!CU9*DriftSum!CV9*TimeStep+Volatility!CU9*CU9*SQRT(TimeStep)*CV$49</f>
        <v>5.5573374156276695E-2</v>
      </c>
      <c r="CW9" s="20">
        <f ca="1">+CV9-CV9*Volatility!CV9*DriftSum!CW9*TimeStep+Volatility!CV9*CV9*SQRT(TimeStep)*CW$49</f>
        <v>5.6700503206419804E-2</v>
      </c>
      <c r="CX9" s="20">
        <f ca="1">+CW9-CW9*Volatility!CW9*DriftSum!CX9*TimeStep+Volatility!CW9*CW9*SQRT(TimeStep)*CX$49</f>
        <v>5.736605141254237E-2</v>
      </c>
      <c r="CY9" s="20">
        <f ca="1">+CX9-CX9*Volatility!CX9*DriftSum!CY9*TimeStep+Volatility!CX9*CX9*SQRT(TimeStep)*CY$49</f>
        <v>5.9179862220944054E-2</v>
      </c>
      <c r="CZ9" s="20">
        <f ca="1">+CY9-CY9*Volatility!CY9*DriftSum!CZ9*TimeStep+Volatility!CY9*CY9*SQRT(TimeStep)*CZ$49</f>
        <v>5.9560271959516582E-2</v>
      </c>
      <c r="DA9" s="20">
        <f ca="1">+CZ9-CZ9*Volatility!CZ9*DriftSum!DA9*TimeStep+Volatility!CZ9*CZ9*SQRT(TimeStep)*DA$49</f>
        <v>6.0550031332416758E-2</v>
      </c>
      <c r="DB9" s="20">
        <f ca="1">+DA9-DA9*Volatility!DA9*DriftSum!DB9*TimeStep+Volatility!DA9*DA9*SQRT(TimeStep)*DB$49</f>
        <v>6.1412087162167742E-2</v>
      </c>
      <c r="DC9" s="20">
        <f ca="1">+DB9-DB9*Volatility!DB9*DriftSum!DC9*TimeStep+Volatility!DB9*DB9*SQRT(TimeStep)*DC$49</f>
        <v>6.0256505210798686E-2</v>
      </c>
      <c r="DD9" s="20">
        <f ca="1">+DC9-DC9*Volatility!DC9*DriftSum!DD9*TimeStep+Volatility!DC9*DC9*SQRT(TimeStep)*DD$49</f>
        <v>6.1155957944238615E-2</v>
      </c>
      <c r="DE9" s="20">
        <f ca="1">+DD9-DD9*Volatility!DD9*DriftSum!DE9*TimeStep+Volatility!DD9*DD9*SQRT(TimeStep)*DE$49</f>
        <v>6.3374951908321084E-2</v>
      </c>
      <c r="DF9" s="20">
        <f ca="1">+DE9-DE9*Volatility!DE9*DriftSum!DF9*TimeStep+Volatility!DE9*DE9*SQRT(TimeStep)*DF$49</f>
        <v>6.2845629082366419E-2</v>
      </c>
      <c r="DG9" s="20">
        <f ca="1">+DF9-DF9*Volatility!DF9*DriftSum!DG9*TimeStep+Volatility!DF9*DF9*SQRT(TimeStep)*DG$49</f>
        <v>6.3538725314032304E-2</v>
      </c>
      <c r="DH9" s="20">
        <f ca="1">+DG9-DG9*Volatility!DG9*DriftSum!DH9*TimeStep+Volatility!DG9*DG9*SQRT(TimeStep)*DH$49</f>
        <v>6.5487287733554403E-2</v>
      </c>
      <c r="DI9" s="20">
        <f ca="1">+DH9-DH9*Volatility!DH9*DriftSum!DI9*TimeStep+Volatility!DH9*DH9*SQRT(TimeStep)*DI$49</f>
        <v>6.5824350409690424E-2</v>
      </c>
      <c r="DJ9" s="20">
        <f ca="1">+DI9-DI9*Volatility!DI9*DriftSum!DJ9*TimeStep+Volatility!DI9*DI9*SQRT(TimeStep)*DJ$49</f>
        <v>6.5261657340376963E-2</v>
      </c>
      <c r="DK9" s="20">
        <f ca="1">+DJ9-DJ9*Volatility!DJ9*DriftSum!DK9*TimeStep+Volatility!DJ9*DJ9*SQRT(TimeStep)*DK$49</f>
        <v>6.5714370790809884E-2</v>
      </c>
      <c r="DL9" s="20">
        <f ca="1">+DK9-DK9*Volatility!DK9*DriftSum!DL9*TimeStep+Volatility!DK9*DK9*SQRT(TimeStep)*DL$49</f>
        <v>6.5178048548349327E-2</v>
      </c>
      <c r="DM9" s="20">
        <f ca="1">+DL9-DL9*Volatility!DL9*DriftSum!DM9*TimeStep+Volatility!DL9*DL9*SQRT(TimeStep)*DM$49</f>
        <v>6.5816958116513197E-2</v>
      </c>
      <c r="DN9" s="20">
        <f ca="1">+DM9-DM9*Volatility!DM9*DriftSum!DN9*TimeStep+Volatility!DM9*DM9*SQRT(TimeStep)*DN$49</f>
        <v>6.8087922303044904E-2</v>
      </c>
      <c r="DO9" s="20"/>
      <c r="DP9" s="20"/>
      <c r="DQ9" s="20"/>
      <c r="DR9" s="20"/>
      <c r="DS9" s="20"/>
      <c r="DT9" s="20"/>
      <c r="DU9" s="20"/>
      <c r="DV9" s="20"/>
      <c r="DW9" s="20"/>
    </row>
    <row r="10" spans="2:127" x14ac:dyDescent="0.2">
      <c r="D10" s="2">
        <f t="shared" si="2"/>
        <v>9.25</v>
      </c>
      <c r="E10" s="10">
        <f t="shared" si="3"/>
        <v>0.64811479067546851</v>
      </c>
      <c r="F10" s="12" t="str">
        <f>+"L(t;"&amp;D11&amp;","&amp;D10&amp;")"</f>
        <v>L(t;9,9.25)</v>
      </c>
      <c r="G10" s="19">
        <v>0.05</v>
      </c>
      <c r="H10" s="20">
        <f ca="1">+G10+G10*Volatility!G10*(-DriftSum!H10*TimeStep+SQRT(TimeStep)*H$49)</f>
        <v>5.0987210116438572E-2</v>
      </c>
      <c r="I10" s="20">
        <f ca="1">+H10+H10*Volatility!H10*(-DriftSum!I10*TimeStep+SQRT(TimeStep)*I$49)</f>
        <v>5.1054040121591412E-2</v>
      </c>
      <c r="J10" s="20">
        <f ca="1">+I10+I10*Volatility!I10*(-DriftSum!J10*TimeStep+SQRT(TimeStep)*J$49)</f>
        <v>5.0099977401296666E-2</v>
      </c>
      <c r="K10" s="20">
        <f ca="1">+J10+J10*Volatility!J10*(-DriftSum!K10*TimeStep+SQRT(TimeStep)*K$49)</f>
        <v>5.0433913851139052E-2</v>
      </c>
      <c r="L10" s="20">
        <f ca="1">+K10+K10*Volatility!K10*(-DriftSum!L10*TimeStep+SQRT(TimeStep)*L$49)</f>
        <v>4.9361850266358934E-2</v>
      </c>
      <c r="M10" s="20">
        <f ca="1">+L10+L10*Volatility!L10*(-DriftSum!M10*TimeStep+SQRT(TimeStep)*M$49)</f>
        <v>5.1632850252643372E-2</v>
      </c>
      <c r="N10" s="20">
        <f ca="1">+M10+M10*Volatility!M10*(-DriftSum!N10*TimeStep+SQRT(TimeStep)*N$49)</f>
        <v>5.1290502486146208E-2</v>
      </c>
      <c r="O10" s="20">
        <f ca="1">+N10+N10*Volatility!N10*(-DriftSum!O10*TimeStep+SQRT(TimeStep)*O$49)</f>
        <v>5.2602330513604093E-2</v>
      </c>
      <c r="P10" s="20">
        <f ca="1">+O10+O10*Volatility!O10*(-DriftSum!P10*TimeStep+SQRT(TimeStep)*P$49)</f>
        <v>5.1605269891973012E-2</v>
      </c>
      <c r="Q10" s="20">
        <f ca="1">+P10+P10*Volatility!P10*(-DriftSum!Q10*TimeStep+SQRT(TimeStep)*Q$49)</f>
        <v>5.1817801930750508E-2</v>
      </c>
      <c r="R10" s="20">
        <f ca="1">+Q10+Q10*Volatility!Q10*(-DriftSum!R10*TimeStep+SQRT(TimeStep)*R$49)</f>
        <v>5.28345861262405E-2</v>
      </c>
      <c r="S10" s="20">
        <f ca="1">+R10+R10*Volatility!R10*(-DriftSum!S10*TimeStep+SQRT(TimeStep)*S$49)</f>
        <v>5.479933366314356E-2</v>
      </c>
      <c r="T10" s="20">
        <f ca="1">+S10+S10*Volatility!S10*(-DriftSum!T10*TimeStep+SQRT(TimeStep)*T$49)</f>
        <v>5.4078512488054904E-2</v>
      </c>
      <c r="U10" s="20">
        <f ca="1">+T10+T10*Volatility!T10*(-DriftSum!U10*TimeStep+SQRT(TimeStep)*U$49)</f>
        <v>5.3985200123707479E-2</v>
      </c>
      <c r="V10" s="20">
        <f ca="1">+U10+U10*Volatility!U10*(-DriftSum!V10*TimeStep+SQRT(TimeStep)*V$49)</f>
        <v>5.2869430406226964E-2</v>
      </c>
      <c r="W10" s="20">
        <f ca="1">+V10+V10*Volatility!V10*(-DriftSum!W10*TimeStep+SQRT(TimeStep)*W$49)</f>
        <v>5.0167357288504556E-2</v>
      </c>
      <c r="X10" s="20">
        <f ca="1">+W10+W10*Volatility!W10*(-DriftSum!X10*TimeStep+SQRT(TimeStep)*X$49)</f>
        <v>5.0910843723219919E-2</v>
      </c>
      <c r="Y10" s="20">
        <f ca="1">+X10+X10*Volatility!X10*(-DriftSum!Y10*TimeStep+SQRT(TimeStep)*Y$49)</f>
        <v>5.0309731266684185E-2</v>
      </c>
      <c r="Z10" s="20">
        <f ca="1">+Y10+Y10*Volatility!Y10*(-DriftSum!Z10*TimeStep+SQRT(TimeStep)*Z$49)</f>
        <v>5.1249542469679027E-2</v>
      </c>
      <c r="AA10" s="20">
        <f ca="1">+Z10+Z10*Volatility!Z10*(-DriftSum!AA10*TimeStep+SQRT(TimeStep)*AA$49)</f>
        <v>5.2004501823525083E-2</v>
      </c>
      <c r="AB10" s="20">
        <f ca="1">+AA10+AA10*Volatility!AA10*(-DriftSum!AB10*TimeStep+SQRT(TimeStep)*AB$49)</f>
        <v>5.189751869452161E-2</v>
      </c>
      <c r="AC10" s="20">
        <f ca="1">+AB10+AB10*Volatility!AB10*(-DriftSum!AC10*TimeStep+SQRT(TimeStep)*AC$49)</f>
        <v>5.1053518053976531E-2</v>
      </c>
      <c r="AD10" s="20">
        <f ca="1">+AC10+AC10*Volatility!AC10*(-DriftSum!AD10*TimeStep+SQRT(TimeStep)*AD$49)</f>
        <v>5.0687814073818095E-2</v>
      </c>
      <c r="AE10" s="20">
        <f ca="1">+AD10+AD10*Volatility!AD10*(-DriftSum!AE10*TimeStep+SQRT(TimeStep)*AE$49)</f>
        <v>5.2731198257258721E-2</v>
      </c>
      <c r="AF10" s="20">
        <f ca="1">+AE10+AE10*Volatility!AE10*(-DriftSum!AF10*TimeStep+SQRT(TimeStep)*AF$49)</f>
        <v>5.2956925295409442E-2</v>
      </c>
      <c r="AG10" s="20">
        <f ca="1">+AF10+AF10*Volatility!AF10*(-DriftSum!AG10*TimeStep+SQRT(TimeStep)*AG$49)</f>
        <v>5.3511005981240957E-2</v>
      </c>
      <c r="AH10" s="20">
        <f ca="1">+AG10+AG10*Volatility!AG10*(-DriftSum!AH10*TimeStep+SQRT(TimeStep)*AH$49)</f>
        <v>5.4146135540318885E-2</v>
      </c>
      <c r="AI10" s="20">
        <f ca="1">+AH10+AH10*Volatility!AH10*(-DriftSum!AI10*TimeStep+SQRT(TimeStep)*AI$49)</f>
        <v>5.6273098741437967E-2</v>
      </c>
      <c r="AJ10" s="20">
        <f ca="1">+AI10+AI10*Volatility!AI10*(-DriftSum!AJ10*TimeStep+SQRT(TimeStep)*AJ$49)</f>
        <v>5.6756106220766614E-2</v>
      </c>
      <c r="AK10" s="20">
        <f ca="1">+AJ10+AJ10*Volatility!AJ10*(-DriftSum!AK10*TimeStep+SQRT(TimeStep)*AK$49)</f>
        <v>5.8387762138292332E-2</v>
      </c>
      <c r="AL10" s="20">
        <f ca="1">+AK10+AK10*Volatility!AK10*(-DriftSum!AL10*TimeStep+SQRT(TimeStep)*AL$49)</f>
        <v>5.9156702429621948E-2</v>
      </c>
      <c r="AM10" s="20">
        <f ca="1">+AL10+AL10*Volatility!AL10*(-DriftSum!AM10*TimeStep+SQRT(TimeStep)*AM$49)</f>
        <v>5.8914946483431409E-2</v>
      </c>
      <c r="AN10" s="20">
        <f ca="1">+AM10+AM10*Volatility!AM10*(-DriftSum!AN10*TimeStep+SQRT(TimeStep)*AN$49)</f>
        <v>5.6208780295935484E-2</v>
      </c>
      <c r="AO10" s="20">
        <f ca="1">+AN10+AN10*Volatility!AN10*(-DriftSum!AO10*TimeStep+SQRT(TimeStep)*AO$49)</f>
        <v>5.5445386442452296E-2</v>
      </c>
      <c r="AP10" s="20">
        <f ca="1">+AO10+AO10*Volatility!AO10*(-DriftSum!AP10*TimeStep+SQRT(TimeStep)*AP$49)</f>
        <v>5.3837610945611458E-2</v>
      </c>
      <c r="AQ10" s="20">
        <f ca="1">+AP10+AP10*Volatility!AP10*(-DriftSum!AQ10*TimeStep+SQRT(TimeStep)*AQ$49)</f>
        <v>5.4727605301948014E-2</v>
      </c>
      <c r="AR10" s="20">
        <f ca="1">+AQ10+AQ10*Volatility!AQ10*(-DriftSum!AR10*TimeStep+SQRT(TimeStep)*AR$49)</f>
        <v>5.5937317753699277E-2</v>
      </c>
      <c r="AS10" s="20">
        <f ca="1">+AR10+AR10*Volatility!AR10*(-DriftSum!AS10*TimeStep+SQRT(TimeStep)*AS$49)</f>
        <v>5.5044722592344678E-2</v>
      </c>
      <c r="AT10" s="20">
        <f ca="1">+AS10+AS10*Volatility!AS10*(-DriftSum!AT10*TimeStep+SQRT(TimeStep)*AT$49)</f>
        <v>5.4668941061665359E-2</v>
      </c>
      <c r="AU10" s="20">
        <f ca="1">+AT10+AT10*Volatility!AT10*(-DriftSum!AU10*TimeStep+SQRT(TimeStep)*AU$49)</f>
        <v>5.5775390452092531E-2</v>
      </c>
      <c r="AV10" s="20">
        <f ca="1">+AU10+AU10*Volatility!AU10*(-DriftSum!AV10*TimeStep+SQRT(TimeStep)*AV$49)</f>
        <v>5.601041235502157E-2</v>
      </c>
      <c r="AW10" s="20">
        <f ca="1">+AV10+AV10*Volatility!AV10*(-DriftSum!AW10*TimeStep+SQRT(TimeStep)*AW$49)</f>
        <v>5.7311635207659854E-2</v>
      </c>
      <c r="AX10" s="20">
        <f ca="1">+AW10+AW10*Volatility!AW10*(-DriftSum!AX10*TimeStep+SQRT(TimeStep)*AX$49)</f>
        <v>5.5946707421902948E-2</v>
      </c>
      <c r="AY10" s="20">
        <f ca="1">+AX10+AX10*Volatility!AX10*(-DriftSum!AY10*TimeStep+SQRT(TimeStep)*AY$49)</f>
        <v>5.6933869186483022E-2</v>
      </c>
      <c r="AZ10" s="20">
        <f ca="1">+AY10+AY10*Volatility!AY10*(-DriftSum!AZ10*TimeStep+SQRT(TimeStep)*AZ$49)</f>
        <v>5.7769935651802391E-2</v>
      </c>
      <c r="BA10" s="20">
        <f ca="1">+AZ10+AZ10*Volatility!AZ10*(-DriftSum!BA10*TimeStep+SQRT(TimeStep)*BA$49)</f>
        <v>5.999042754390789E-2</v>
      </c>
      <c r="BB10" s="20">
        <f ca="1">+BA10+BA10*Volatility!BA10*(-DriftSum!BB10*TimeStep+SQRT(TimeStep)*BB$49)</f>
        <v>6.0549697482810499E-2</v>
      </c>
      <c r="BC10" s="20">
        <f ca="1">+BB10+BB10*Volatility!BB10*(-DriftSum!BC10*TimeStep+SQRT(TimeStep)*BC$49)</f>
        <v>5.9111332149551291E-2</v>
      </c>
      <c r="BD10" s="20">
        <f ca="1">+BC10+BC10*Volatility!BC10*(-DriftSum!BD10*TimeStep+SQRT(TimeStep)*BD$49)</f>
        <v>5.9011905309660898E-2</v>
      </c>
      <c r="BE10" s="20">
        <f ca="1">+BD10+BD10*Volatility!BD10*(-DriftSum!BE10*TimeStep+SQRT(TimeStep)*BE$49)</f>
        <v>5.8329092550401765E-2</v>
      </c>
      <c r="BF10" s="20">
        <f ca="1">+BE10+BE10*Volatility!BE10*(-DriftSum!BF10*TimeStep+SQRT(TimeStep)*BF$49)</f>
        <v>5.6091563611481175E-2</v>
      </c>
      <c r="BG10" s="20">
        <f ca="1">+BF10+BF10*Volatility!BF10*(-DriftSum!BG10*TimeStep+SQRT(TimeStep)*BG$49)</f>
        <v>5.8534903223963895E-2</v>
      </c>
      <c r="BH10" s="20">
        <f ca="1">+BG10+BG10*Volatility!BG10*(-DriftSum!BH10*TimeStep+SQRT(TimeStep)*BH$49)</f>
        <v>5.7373547475922645E-2</v>
      </c>
      <c r="BI10" s="20">
        <f ca="1">+BH10+BH10*Volatility!BH10*(-DriftSum!BI10*TimeStep+SQRT(TimeStep)*BI$49)</f>
        <v>5.4294254124043574E-2</v>
      </c>
      <c r="BJ10" s="20">
        <f ca="1">+BI10+BI10*Volatility!BI10*(-DriftSum!BJ10*TimeStep+SQRT(TimeStep)*BJ$49)</f>
        <v>5.502009508177251E-2</v>
      </c>
      <c r="BK10" s="20">
        <f ca="1">+BJ10+BJ10*Volatility!BJ10*(-DriftSum!BK10*TimeStep+SQRT(TimeStep)*BK$49)</f>
        <v>5.6014506668928724E-2</v>
      </c>
      <c r="BL10" s="20">
        <f ca="1">+BK10+BK10*Volatility!BK10*(-DriftSum!BL10*TimeStep+SQRT(TimeStep)*BL$49)</f>
        <v>5.7059609518142297E-2</v>
      </c>
      <c r="BM10" s="20">
        <f ca="1">+BL10+BL10*Volatility!BL10*(-DriftSum!BM10*TimeStep+SQRT(TimeStep)*BM$49)</f>
        <v>5.5201714043434005E-2</v>
      </c>
      <c r="BN10" s="20">
        <f ca="1">+BM10+BM10*Volatility!BM10*(-DriftSum!BN10*TimeStep+SQRT(TimeStep)*BN$49)</f>
        <v>5.5769628604223562E-2</v>
      </c>
      <c r="BO10" s="20">
        <f ca="1">+BN10+BN10*Volatility!BN10*(-DriftSum!BO10*TimeStep+SQRT(TimeStep)*BO$49)</f>
        <v>5.7302587773943606E-2</v>
      </c>
      <c r="BP10" s="20">
        <f ca="1">+BO10+BO10*Volatility!BO10*(-DriftSum!BP10*TimeStep+SQRT(TimeStep)*BP$49)</f>
        <v>5.7559831241651503E-2</v>
      </c>
      <c r="BQ10" s="20">
        <f ca="1">+BP10+BP10*Volatility!BP10*(-DriftSum!BQ10*TimeStep+SQRT(TimeStep)*BQ$49)</f>
        <v>5.7670181128948589E-2</v>
      </c>
      <c r="BR10" s="20">
        <f ca="1">+BQ10+BQ10*Volatility!BQ10*(-DriftSum!BR10*TimeStep+SQRT(TimeStep)*BR$49)</f>
        <v>5.9505871931154176E-2</v>
      </c>
      <c r="BS10" s="20">
        <f ca="1">+BR10+BR10*Volatility!BR10*(-DriftSum!BS10*TimeStep+SQRT(TimeStep)*BS$49)</f>
        <v>5.7163473357832763E-2</v>
      </c>
      <c r="BT10" s="20">
        <f ca="1">+BS10+BS10*Volatility!BS10*(-DriftSum!BT10*TimeStep+SQRT(TimeStep)*BT$49)</f>
        <v>5.5421165585890213E-2</v>
      </c>
      <c r="BU10" s="20">
        <f ca="1">+BT10+BT10*Volatility!BT10*(-DriftSum!BU10*TimeStep+SQRT(TimeStep)*BU$49)</f>
        <v>5.383711489512135E-2</v>
      </c>
      <c r="BV10" s="20">
        <f ca="1">+BU10+BU10*Volatility!BU10*(-DriftSum!BV10*TimeStep+SQRT(TimeStep)*BV$49)</f>
        <v>5.6068607149450972E-2</v>
      </c>
      <c r="BW10" s="20">
        <f ca="1">+BV10+BV10*Volatility!BV10*(-DriftSum!BW10*TimeStep+SQRT(TimeStep)*BW$49)</f>
        <v>5.3156365051173361E-2</v>
      </c>
      <c r="BX10" s="20">
        <f ca="1">+BW10+BW10*Volatility!BW10*(-DriftSum!BX10*TimeStep+SQRT(TimeStep)*BX$49)</f>
        <v>5.227838804886626E-2</v>
      </c>
      <c r="BY10" s="20">
        <f ca="1">+BX10+BX10*Volatility!BX10*(-DriftSum!BY10*TimeStep+SQRT(TimeStep)*BY$49)</f>
        <v>5.2592552045417601E-2</v>
      </c>
      <c r="BZ10" s="20">
        <f ca="1">+BY10+BY10*Volatility!BY10*(-DriftSum!BZ10*TimeStep+SQRT(TimeStep)*BZ$49)</f>
        <v>5.5295515648515092E-2</v>
      </c>
      <c r="CA10" s="20">
        <f ca="1">+BZ10+BZ10*Volatility!BZ10*(-DriftSum!CA10*TimeStep+SQRT(TimeStep)*CA$49)</f>
        <v>5.3900290472073648E-2</v>
      </c>
      <c r="CB10" s="20">
        <f ca="1">+CA10+CA10*Volatility!CA10*(-DriftSum!CB10*TimeStep+SQRT(TimeStep)*CB$49)</f>
        <v>5.5003264135445026E-2</v>
      </c>
      <c r="CC10" s="20">
        <f ca="1">+CB10+CB10*Volatility!CB10*(-DriftSum!CC10*TimeStep+SQRT(TimeStep)*CC$49)</f>
        <v>5.4781018566125106E-2</v>
      </c>
      <c r="CD10" s="20">
        <f ca="1">+CC10+CC10*Volatility!CC10*(-DriftSum!CD10*TimeStep+SQRT(TimeStep)*CD$49)</f>
        <v>5.5315215752425796E-2</v>
      </c>
      <c r="CE10" s="20">
        <f ca="1">+CD10+CD10*Volatility!CD10*(-DriftSum!CE10*TimeStep+SQRT(TimeStep)*CE$49)</f>
        <v>5.3554847716991122E-2</v>
      </c>
      <c r="CF10" s="20">
        <f ca="1">+CE10+CE10*Volatility!CE10*(-DriftSum!CF10*TimeStep+SQRT(TimeStep)*CF$49)</f>
        <v>5.512441817526964E-2</v>
      </c>
      <c r="CG10" s="20">
        <f ca="1">+CF10+CF10*Volatility!CF10*(-DriftSum!CG10*TimeStep+SQRT(TimeStep)*CG$49)</f>
        <v>5.5704286397095272E-2</v>
      </c>
      <c r="CH10" s="20">
        <f ca="1">+CG10+CG10*Volatility!CG10*(-DriftSum!CH10*TimeStep+SQRT(TimeStep)*CH$49)</f>
        <v>5.4333725330224077E-2</v>
      </c>
      <c r="CI10" s="20">
        <f ca="1">+CH10+CH10*Volatility!CH10*(-DriftSum!CI10*TimeStep+SQRT(TimeStep)*CI$49)</f>
        <v>5.4071537929927624E-2</v>
      </c>
      <c r="CJ10" s="20">
        <f ca="1">+CI10+CI10*Volatility!CI10*(-DriftSum!CJ10*TimeStep+SQRT(TimeStep)*CJ$49)</f>
        <v>5.3140541411709603E-2</v>
      </c>
      <c r="CK10" s="20">
        <f ca="1">+CJ10-CJ10*Volatility!CJ10*DriftSum!CK10*TimeStep+Volatility!CJ10*CJ10*SQRT(TimeStep)*CK$49</f>
        <v>5.2681615404350353E-2</v>
      </c>
      <c r="CL10" s="20">
        <f ca="1">+CK10-CK10*Volatility!CK10*DriftSum!CL10*TimeStep+Volatility!CK10*CK10*SQRT(TimeStep)*CL$49</f>
        <v>5.375466607773189E-2</v>
      </c>
      <c r="CM10" s="20">
        <f ca="1">+CL10-CL10*Volatility!CL10*DriftSum!CM10*TimeStep+Volatility!CL10*CL10*SQRT(TimeStep)*CM$49</f>
        <v>5.3162230832766715E-2</v>
      </c>
      <c r="CN10" s="20">
        <f ca="1">+CM10-CM10*Volatility!CM10*DriftSum!CN10*TimeStep+Volatility!CM10*CM10*SQRT(TimeStep)*CN$49</f>
        <v>5.2455925011175526E-2</v>
      </c>
      <c r="CO10" s="20">
        <f ca="1">+CN10-CN10*Volatility!CN10*DriftSum!CO10*TimeStep+Volatility!CN10*CN10*SQRT(TimeStep)*CO$49</f>
        <v>5.0352526916818373E-2</v>
      </c>
      <c r="CP10" s="20">
        <f ca="1">+CO10-CO10*Volatility!CO10*DriftSum!CP10*TimeStep+Volatility!CO10*CO10*SQRT(TimeStep)*CP$49</f>
        <v>5.1102423210435337E-2</v>
      </c>
      <c r="CQ10" s="20">
        <f ca="1">+CP10-CP10*Volatility!CP10*DriftSum!CQ10*TimeStep+Volatility!CP10*CP10*SQRT(TimeStep)*CQ$49</f>
        <v>5.2491254726474944E-2</v>
      </c>
      <c r="CR10" s="20">
        <f ca="1">+CQ10-CQ10*Volatility!CQ10*DriftSum!CR10*TimeStep+Volatility!CQ10*CQ10*SQRT(TimeStep)*CR$49</f>
        <v>5.3782617857346886E-2</v>
      </c>
      <c r="CS10" s="20">
        <f ca="1">+CR10-CR10*Volatility!CR10*DriftSum!CS10*TimeStep+Volatility!CR10*CR10*SQRT(TimeStep)*CS$49</f>
        <v>5.4391887263918692E-2</v>
      </c>
      <c r="CT10" s="20">
        <f ca="1">+CS10-CS10*Volatility!CS10*DriftSum!CT10*TimeStep+Volatility!CS10*CS10*SQRT(TimeStep)*CT$49</f>
        <v>5.5678598671868786E-2</v>
      </c>
      <c r="CU10" s="20">
        <f ca="1">+CT10-CT10*Volatility!CT10*DriftSum!CU10*TimeStep+Volatility!CT10*CT10*SQRT(TimeStep)*CU$49</f>
        <v>5.5613839063791484E-2</v>
      </c>
      <c r="CV10" s="20">
        <f ca="1">+CU10-CU10*Volatility!CU10*DriftSum!CV10*TimeStep+Volatility!CU10*CU10*SQRT(TimeStep)*CV$49</f>
        <v>5.5711952541166294E-2</v>
      </c>
      <c r="CW10" s="20">
        <f ca="1">+CV10-CV10*Volatility!CV10*DriftSum!CW10*TimeStep+Volatility!CV10*CV10*SQRT(TimeStep)*CW$49</f>
        <v>5.6885523948092064E-2</v>
      </c>
      <c r="CX10" s="20">
        <f ca="1">+CW10-CW10*Volatility!CW10*DriftSum!CX10*TimeStep+Volatility!CW10*CW10*SQRT(TimeStep)*CX$49</f>
        <v>5.7578850838348523E-2</v>
      </c>
      <c r="CY10" s="20">
        <f ca="1">+CX10-CX10*Volatility!CX10*DriftSum!CY10*TimeStep+Volatility!CX10*CX10*SQRT(TimeStep)*CY$49</f>
        <v>5.9469902175377759E-2</v>
      </c>
      <c r="CZ10" s="20">
        <f ca="1">+CY10-CY10*Volatility!CY10*DriftSum!CZ10*TimeStep+Volatility!CY10*CY10*SQRT(TimeStep)*CZ$49</f>
        <v>5.9866625021425132E-2</v>
      </c>
      <c r="DA10" s="20">
        <f ca="1">+CZ10-CZ10*Volatility!CZ10*DriftSum!DA10*TimeStep+Volatility!CZ10*CZ10*SQRT(TimeStep)*DA$49</f>
        <v>6.0899784821013075E-2</v>
      </c>
      <c r="DB10" s="20">
        <f ca="1">+DA10-DA10*Volatility!DA10*DriftSum!DB10*TimeStep+Volatility!DA10*DA10*SQRT(TimeStep)*DB$49</f>
        <v>6.1800134545892373E-2</v>
      </c>
      <c r="DC10" s="20">
        <f ca="1">+DB10-DB10*Volatility!DB10*DriftSum!DC10*TimeStep+Volatility!DB10*DB10*SQRT(TimeStep)*DC$49</f>
        <v>6.0591463909804633E-2</v>
      </c>
      <c r="DD10" s="20">
        <f ca="1">+DC10-DC10*Volatility!DC10*DriftSum!DD10*TimeStep+Volatility!DC10*DC10*SQRT(TimeStep)*DD$49</f>
        <v>6.1530693414252366E-2</v>
      </c>
      <c r="DE10" s="20">
        <f ca="1">+DD10-DD10*Volatility!DD10*DriftSum!DE10*TimeStep+Volatility!DD10*DD10*SQRT(TimeStep)*DE$49</f>
        <v>6.3849792768849598E-2</v>
      </c>
      <c r="DF10" s="20">
        <f ca="1">+DE10-DE10*Volatility!DE10*DriftSum!DF10*TimeStep+Volatility!DE10*DE10*SQRT(TimeStep)*DF$49</f>
        <v>6.3295215273140124E-2</v>
      </c>
      <c r="DG10" s="20">
        <f ca="1">+DF10-DF10*Volatility!DF10*DriftSum!DG10*TimeStep+Volatility!DF10*DF10*SQRT(TimeStep)*DG$49</f>
        <v>6.4019964126817833E-2</v>
      </c>
      <c r="DH10" s="20">
        <f ca="1">+DG10-DG10*Volatility!DG10*DriftSum!DH10*TimeStep+Volatility!DG10*DG10*SQRT(TimeStep)*DH$49</f>
        <v>6.6059264001279941E-2</v>
      </c>
      <c r="DI10" s="20">
        <f ca="1">+DH10-DH10*Volatility!DH10*DriftSum!DI10*TimeStep+Volatility!DH10*DH10*SQRT(TimeStep)*DI$49</f>
        <v>6.6411971414990403E-2</v>
      </c>
      <c r="DJ10" s="20">
        <f ca="1">+DI10-DI10*Volatility!DI10*DriftSum!DJ10*TimeStep+Volatility!DI10*DI10*SQRT(TimeStep)*DJ$49</f>
        <v>6.5821584378293566E-2</v>
      </c>
      <c r="DK10" s="20">
        <f ca="1">+DJ10-DJ10*Volatility!DJ10*DriftSum!DK10*TimeStep+Volatility!DJ10*DJ10*SQRT(TimeStep)*DK$49</f>
        <v>6.6295429080429819E-2</v>
      </c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</row>
    <row r="11" spans="2:127" x14ac:dyDescent="0.2">
      <c r="D11" s="2">
        <f t="shared" si="2"/>
        <v>9</v>
      </c>
      <c r="E11" s="10">
        <f t="shared" si="3"/>
        <v>0.65621622555891179</v>
      </c>
      <c r="F11" s="12" t="str">
        <f>+"L(t;"&amp;D12&amp;","&amp;D11&amp;")"</f>
        <v>L(t;8.75,9)</v>
      </c>
      <c r="G11" s="19">
        <v>0.05</v>
      </c>
      <c r="H11" s="20">
        <f ca="1">+G11+G11*Volatility!G11*(-DriftSum!H11*TimeStep+SQRT(TimeStep)*H$49)</f>
        <v>5.1024854736301598E-2</v>
      </c>
      <c r="I11" s="20">
        <f ca="1">+H11+H11*Volatility!H11*(-DriftSum!I11*TimeStep+SQRT(TimeStep)*I$49)</f>
        <v>5.1093927114646602E-2</v>
      </c>
      <c r="J11" s="20">
        <f ca="1">+I11+I11*Volatility!I11*(-DriftSum!J11*TimeStep+SQRT(TimeStep)*J$49)</f>
        <v>5.0102957407979314E-2</v>
      </c>
      <c r="K11" s="20">
        <f ca="1">+J11+J11*Volatility!J11*(-DriftSum!K11*TimeStep+SQRT(TimeStep)*K$49)</f>
        <v>5.0449094139461012E-2</v>
      </c>
      <c r="L11" s="20">
        <f ca="1">+K11+K11*Volatility!K11*(-DriftSum!L11*TimeStep+SQRT(TimeStep)*L$49)</f>
        <v>4.9336145800005581E-2</v>
      </c>
      <c r="M11" s="20">
        <f ca="1">+L11+L11*Volatility!L11*(-DriftSum!M11*TimeStep+SQRT(TimeStep)*M$49)</f>
        <v>5.1690748568640296E-2</v>
      </c>
      <c r="N11" s="20">
        <f ca="1">+M11+M11*Volatility!M11*(-DriftSum!N11*TimeStep+SQRT(TimeStep)*N$49)</f>
        <v>5.1334799976099112E-2</v>
      </c>
      <c r="O11" s="20">
        <f ca="1">+N11+N11*Volatility!N11*(-DriftSum!O11*TimeStep+SQRT(TimeStep)*O$49)</f>
        <v>5.2696637394039923E-2</v>
      </c>
      <c r="P11" s="20">
        <f ca="1">+O11+O11*Volatility!O11*(-DriftSum!P11*TimeStep+SQRT(TimeStep)*P$49)</f>
        <v>5.165995393037888E-2</v>
      </c>
      <c r="Q11" s="20">
        <f ca="1">+P11+P11*Volatility!P11*(-DriftSum!Q11*TimeStep+SQRT(TimeStep)*Q$49)</f>
        <v>5.1880325488560197E-2</v>
      </c>
      <c r="R11" s="20">
        <f ca="1">+Q11+Q11*Volatility!Q11*(-DriftSum!R11*TimeStep+SQRT(TimeStep)*R$49)</f>
        <v>5.2936144825239111E-2</v>
      </c>
      <c r="S11" s="20">
        <f ca="1">+R11+R11*Volatility!R11*(-DriftSum!S11*TimeStep+SQRT(TimeStep)*S$49)</f>
        <v>5.4978106803544584E-2</v>
      </c>
      <c r="T11" s="20">
        <f ca="1">+S11+S11*Volatility!S11*(-DriftSum!T11*TimeStep+SQRT(TimeStep)*T$49)</f>
        <v>5.4227403966344213E-2</v>
      </c>
      <c r="U11" s="20">
        <f ca="1">+T11+T11*Volatility!T11*(-DriftSum!U11*TimeStep+SQRT(TimeStep)*U$49)</f>
        <v>5.4129925585841239E-2</v>
      </c>
      <c r="V11" s="20">
        <f ca="1">+U11+U11*Volatility!U11*(-DriftSum!V11*TimeStep+SQRT(TimeStep)*V$49)</f>
        <v>5.2968812281983545E-2</v>
      </c>
      <c r="W11" s="20">
        <f ca="1">+V11+V11*Volatility!V11*(-DriftSum!W11*TimeStep+SQRT(TimeStep)*W$49)</f>
        <v>5.0159759360248177E-2</v>
      </c>
      <c r="X11" s="20">
        <f ca="1">+W11+W11*Volatility!W11*(-DriftSum!X11*TimeStep+SQRT(TimeStep)*X$49)</f>
        <v>5.0930665923589115E-2</v>
      </c>
      <c r="Y11" s="20">
        <f ca="1">+X11+X11*Volatility!X11*(-DriftSum!Y11*TimeStep+SQRT(TimeStep)*Y$49)</f>
        <v>5.0306414749597086E-2</v>
      </c>
      <c r="Z11" s="20">
        <f ca="1">+Y11+Y11*Volatility!Y11*(-DriftSum!Z11*TimeStep+SQRT(TimeStep)*Z$49)</f>
        <v>5.1281058835832699E-2</v>
      </c>
      <c r="AA11" s="20">
        <f ca="1">+Z11+Z11*Volatility!Z11*(-DriftSum!AA11*TimeStep+SQRT(TimeStep)*AA$49)</f>
        <v>5.2064451885594165E-2</v>
      </c>
      <c r="AB11" s="20">
        <f ca="1">+AA11+AA11*Volatility!AA11*(-DriftSum!AB11*TimeStep+SQRT(TimeStep)*AB$49)</f>
        <v>5.1952959193460019E-2</v>
      </c>
      <c r="AC11" s="20">
        <f ca="1">+AB11+AB11*Volatility!AB11*(-DriftSum!AC11*TimeStep+SQRT(TimeStep)*AC$49)</f>
        <v>5.1076004897373135E-2</v>
      </c>
      <c r="AD11" s="20">
        <f ca="1">+AC11+AC11*Volatility!AC11*(-DriftSum!AD11*TimeStep+SQRT(TimeStep)*AD$49)</f>
        <v>5.0696063727594221E-2</v>
      </c>
      <c r="AE11" s="20">
        <f ca="1">+AD11+AD11*Volatility!AD11*(-DriftSum!AE11*TimeStep+SQRT(TimeStep)*AE$49)</f>
        <v>5.2816068835353683E-2</v>
      </c>
      <c r="AF11" s="20">
        <f ca="1">+AE11+AE11*Volatility!AE11*(-DriftSum!AF11*TimeStep+SQRT(TimeStep)*AF$49)</f>
        <v>5.3050257314786832E-2</v>
      </c>
      <c r="AG11" s="20">
        <f ca="1">+AF11+AF11*Volatility!AF11*(-DriftSum!AG11*TimeStep+SQRT(TimeStep)*AG$49)</f>
        <v>5.3625745612549784E-2</v>
      </c>
      <c r="AH11" s="20">
        <f ca="1">+AG11+AG11*Volatility!AG11*(-DriftSum!AH11*TimeStep+SQRT(TimeStep)*AH$49)</f>
        <v>5.4285713743916095E-2</v>
      </c>
      <c r="AI11" s="20">
        <f ca="1">+AH11+AH11*Volatility!AH11*(-DriftSum!AI11*TimeStep+SQRT(TimeStep)*AI$49)</f>
        <v>5.6497725389982732E-2</v>
      </c>
      <c r="AJ11" s="20">
        <f ca="1">+AI11+AI11*Volatility!AI11*(-DriftSum!AJ11*TimeStep+SQRT(TimeStep)*AJ$49)</f>
        <v>5.7000412281269459E-2</v>
      </c>
      <c r="AK11" s="20">
        <f ca="1">+AJ11+AJ11*Volatility!AJ11*(-DriftSum!AK11*TimeStep+SQRT(TimeStep)*AK$49)</f>
        <v>5.8700100856572617E-2</v>
      </c>
      <c r="AL11" s="20">
        <f ca="1">+AK11+AK11*Volatility!AK11*(-DriftSum!AL11*TimeStep+SQRT(TimeStep)*AL$49)</f>
        <v>5.9501676720704069E-2</v>
      </c>
      <c r="AM11" s="20">
        <f ca="1">+AL11+AL11*Volatility!AL11*(-DriftSum!AM11*TimeStep+SQRT(TimeStep)*AM$49)</f>
        <v>5.9248912424397976E-2</v>
      </c>
      <c r="AN11" s="20">
        <f ca="1">+AM11+AM11*Volatility!AM11*(-DriftSum!AN11*TimeStep+SQRT(TimeStep)*AN$49)</f>
        <v>5.6424873678632567E-2</v>
      </c>
      <c r="AO11" s="20">
        <f ca="1">+AN11+AN11*Volatility!AN11*(-DriftSum!AO11*TimeStep+SQRT(TimeStep)*AO$49)</f>
        <v>5.5629374993812E-2</v>
      </c>
      <c r="AP11" s="20">
        <f ca="1">+AO11+AO11*Volatility!AO11*(-DriftSum!AP11*TimeStep+SQRT(TimeStep)*AP$49)</f>
        <v>5.3955351803905975E-2</v>
      </c>
      <c r="AQ11" s="20">
        <f ca="1">+AP11+AP11*Volatility!AP11*(-DriftSum!AQ11*TimeStep+SQRT(TimeStep)*AQ$49)</f>
        <v>5.488034382486575E-2</v>
      </c>
      <c r="AR11" s="20">
        <f ca="1">+AQ11+AQ11*Volatility!AQ11*(-DriftSum!AR11*TimeStep+SQRT(TimeStep)*AR$49)</f>
        <v>5.6138513397657991E-2</v>
      </c>
      <c r="AS11" s="20">
        <f ca="1">+AR11+AR11*Volatility!AR11*(-DriftSum!AS11*TimeStep+SQRT(TimeStep)*AS$49)</f>
        <v>5.5208686624718707E-2</v>
      </c>
      <c r="AT11" s="20">
        <f ca="1">+AS11+AS11*Volatility!AS11*(-DriftSum!AT11*TimeStep+SQRT(TimeStep)*AT$49)</f>
        <v>5.4817237273370428E-2</v>
      </c>
      <c r="AU11" s="20">
        <f ca="1">+AT11+AT11*Volatility!AT11*(-DriftSum!AU11*TimeStep+SQRT(TimeStep)*AU$49)</f>
        <v>5.5967883479520593E-2</v>
      </c>
      <c r="AV11" s="20">
        <f ca="1">+AU11+AU11*Volatility!AU11*(-DriftSum!AV11*TimeStep+SQRT(TimeStep)*AV$49)</f>
        <v>5.6212134345251089E-2</v>
      </c>
      <c r="AW11" s="20">
        <f ca="1">+AV11+AV11*Volatility!AV11*(-DriftSum!AW11*TimeStep+SQRT(TimeStep)*AW$49)</f>
        <v>5.7566585635868424E-2</v>
      </c>
      <c r="AX11" s="20">
        <f ca="1">+AW11+AW11*Volatility!AW11*(-DriftSum!AX11*TimeStep+SQRT(TimeStep)*AX$49)</f>
        <v>5.6143723543366664E-2</v>
      </c>
      <c r="AY11" s="20">
        <f ca="1">+AX11+AX11*Volatility!AX11*(-DriftSum!AY11*TimeStep+SQRT(TimeStep)*AY$49)</f>
        <v>5.7171082002080265E-2</v>
      </c>
      <c r="AZ11" s="20">
        <f ca="1">+AY11+AY11*Volatility!AY11*(-DriftSum!AZ11*TimeStep+SQRT(TimeStep)*AZ$49)</f>
        <v>5.8041671076175819E-2</v>
      </c>
      <c r="BA11" s="20">
        <f ca="1">+AZ11+AZ11*Volatility!AZ11*(-DriftSum!BA11*TimeStep+SQRT(TimeStep)*BA$49)</f>
        <v>6.0355810493667013E-2</v>
      </c>
      <c r="BB11" s="20">
        <f ca="1">+BA11+BA11*Volatility!BA11*(-DriftSum!BB11*TimeStep+SQRT(TimeStep)*BB$49)</f>
        <v>6.093909365902108E-2</v>
      </c>
      <c r="BC11" s="20">
        <f ca="1">+BB11+BB11*Volatility!BB11*(-DriftSum!BC11*TimeStep+SQRT(TimeStep)*BC$49)</f>
        <v>5.9436689775091853E-2</v>
      </c>
      <c r="BD11" s="20">
        <f ca="1">+BC11+BC11*Volatility!BC11*(-DriftSum!BD11*TimeStep+SQRT(TimeStep)*BD$49)</f>
        <v>5.9332487706095276E-2</v>
      </c>
      <c r="BE11" s="20">
        <f ca="1">+BD11+BD11*Volatility!BD11*(-DriftSum!BE11*TimeStep+SQRT(TimeStep)*BE$49)</f>
        <v>5.8619743675647894E-2</v>
      </c>
      <c r="BF11" s="20">
        <f ca="1">+BE11+BE11*Volatility!BE11*(-DriftSum!BF11*TimeStep+SQRT(TimeStep)*BF$49)</f>
        <v>5.6286273597553435E-2</v>
      </c>
      <c r="BG11" s="20">
        <f ca="1">+BF11+BF11*Volatility!BF11*(-DriftSum!BG11*TimeStep+SQRT(TimeStep)*BG$49)</f>
        <v>5.8829607334992463E-2</v>
      </c>
      <c r="BH11" s="20">
        <f ca="1">+BG11+BG11*Volatility!BG11*(-DriftSum!BH11*TimeStep+SQRT(TimeStep)*BH$49)</f>
        <v>5.7618164943215387E-2</v>
      </c>
      <c r="BI11" s="20">
        <f ca="1">+BH11+BH11*Volatility!BH11*(-DriftSum!BI11*TimeStep+SQRT(TimeStep)*BI$49)</f>
        <v>5.4409326074225481E-2</v>
      </c>
      <c r="BJ11" s="20">
        <f ca="1">+BI11+BI11*Volatility!BI11*(-DriftSum!BJ11*TimeStep+SQRT(TimeStep)*BJ$49)</f>
        <v>5.5163578933220728E-2</v>
      </c>
      <c r="BK11" s="20">
        <f ca="1">+BJ11+BJ11*Volatility!BJ11*(-DriftSum!BK11*TimeStep+SQRT(TimeStep)*BK$49)</f>
        <v>5.6197557313853425E-2</v>
      </c>
      <c r="BL11" s="20">
        <f ca="1">+BK11+BK11*Volatility!BK11*(-DriftSum!BL11*TimeStep+SQRT(TimeStep)*BL$49)</f>
        <v>5.7284965458418581E-2</v>
      </c>
      <c r="BM11" s="20">
        <f ca="1">+BL11+BL11*Volatility!BL11*(-DriftSum!BM11*TimeStep+SQRT(TimeStep)*BM$49)</f>
        <v>5.5349340207700319E-2</v>
      </c>
      <c r="BN11" s="20">
        <f ca="1">+BM11+BM11*Volatility!BM11*(-DriftSum!BN11*TimeStep+SQRT(TimeStep)*BN$49)</f>
        <v>5.59397103876157E-2</v>
      </c>
      <c r="BO11" s="20">
        <f ca="1">+BN11+BN11*Volatility!BN11*(-DriftSum!BO11*TimeStep+SQRT(TimeStep)*BO$49)</f>
        <v>5.7534580310147097E-2</v>
      </c>
      <c r="BP11" s="20">
        <f ca="1">+BO11+BO11*Volatility!BO11*(-DriftSum!BP11*TimeStep+SQRT(TimeStep)*BP$49)</f>
        <v>5.7802101299226548E-2</v>
      </c>
      <c r="BQ11" s="20">
        <f ca="1">+BP11+BP11*Volatility!BP11*(-DriftSum!BQ11*TimeStep+SQRT(TimeStep)*BQ$49)</f>
        <v>5.7916617471783845E-2</v>
      </c>
      <c r="BR11" s="20">
        <f ca="1">+BQ11+BQ11*Volatility!BQ11*(-DriftSum!BR11*TimeStep+SQRT(TimeStep)*BR$49)</f>
        <v>5.9828829642350444E-2</v>
      </c>
      <c r="BS11" s="20">
        <f ca="1">+BR11+BR11*Volatility!BR11*(-DriftSum!BS11*TimeStep+SQRT(TimeStep)*BS$49)</f>
        <v>5.7384916157447535E-2</v>
      </c>
      <c r="BT11" s="20">
        <f ca="1">+BS11+BS11*Volatility!BS11*(-DriftSum!BT11*TimeStep+SQRT(TimeStep)*BT$49)</f>
        <v>5.5569821914409789E-2</v>
      </c>
      <c r="BU11" s="20">
        <f ca="1">+BT11+BT11*Volatility!BT11*(-DriftSum!BU11*TimeStep+SQRT(TimeStep)*BU$49)</f>
        <v>5.3921540876640958E-2</v>
      </c>
      <c r="BV11" s="20">
        <f ca="1">+BU11+BU11*Volatility!BU11*(-DriftSum!BV11*TimeStep+SQRT(TimeStep)*BV$49)</f>
        <v>5.6239948439964271E-2</v>
      </c>
      <c r="BW11" s="20">
        <f ca="1">+BV11+BV11*Volatility!BV11*(-DriftSum!BW11*TimeStep+SQRT(TimeStep)*BW$49)</f>
        <v>5.320883376781025E-2</v>
      </c>
      <c r="BX11" s="20">
        <f ca="1">+BW11+BW11*Volatility!BW11*(-DriftSum!BX11*TimeStep+SQRT(TimeStep)*BX$49)</f>
        <v>5.2296647381434615E-2</v>
      </c>
      <c r="BY11" s="20">
        <f ca="1">+BX11+BX11*Volatility!BX11*(-DriftSum!BY11*TimeStep+SQRT(TimeStep)*BY$49)</f>
        <v>5.2622333049081232E-2</v>
      </c>
      <c r="BZ11" s="20">
        <f ca="1">+BY11+BY11*Volatility!BY11*(-DriftSum!BZ11*TimeStep+SQRT(TimeStep)*BZ$49)</f>
        <v>5.5427867886230324E-2</v>
      </c>
      <c r="CA11" s="20">
        <f ca="1">+BZ11+BZ11*Volatility!BZ11*(-DriftSum!CA11*TimeStep+SQRT(TimeStep)*CA$49)</f>
        <v>5.3976438802211819E-2</v>
      </c>
      <c r="CB11" s="20">
        <f ca="1">+CA11+CA11*Volatility!CA11*(-DriftSum!CB11*TimeStep+SQRT(TimeStep)*CB$49)</f>
        <v>5.5121993543801859E-2</v>
      </c>
      <c r="CC11" s="20">
        <f ca="1">+CB11+CB11*Volatility!CB11*(-DriftSum!CC11*TimeStep+SQRT(TimeStep)*CC$49)</f>
        <v>5.489050231642581E-2</v>
      </c>
      <c r="CD11" s="20">
        <f ca="1">+CC11+CC11*Volatility!CC11*(-DriftSum!CD11*TimeStep+SQRT(TimeStep)*CD$49)</f>
        <v>5.5445429221608583E-2</v>
      </c>
      <c r="CE11" s="20">
        <f ca="1">+CD11+CD11*Volatility!CD11*(-DriftSum!CE11*TimeStep+SQRT(TimeStep)*CE$49)</f>
        <v>5.3614329556135473E-2</v>
      </c>
      <c r="CF11" s="20">
        <f ca="1">+CE11+CE11*Volatility!CE11*(-DriftSum!CF11*TimeStep+SQRT(TimeStep)*CF$49)</f>
        <v>5.5244175606749511E-2</v>
      </c>
      <c r="CG11" s="20">
        <f ca="1">+CF11+CF11*Volatility!CF11*(-DriftSum!CG11*TimeStep+SQRT(TimeStep)*CG$49)</f>
        <v>5.5846680347423606E-2</v>
      </c>
      <c r="CH11" s="20">
        <f ca="1">+CG11+CG11*Volatility!CG11*(-DriftSum!CH11*TimeStep+SQRT(TimeStep)*CH$49)</f>
        <v>5.4420663935608606E-2</v>
      </c>
      <c r="CI11" s="20">
        <f ca="1">+CH11+CH11*Volatility!CH11*(-DriftSum!CI11*TimeStep+SQRT(TimeStep)*CI$49)</f>
        <v>5.4147805700389816E-2</v>
      </c>
      <c r="CJ11" s="20">
        <f ca="1">+CI11+CI11*Volatility!CI11*(-DriftSum!CJ11*TimeStep+SQRT(TimeStep)*CJ$49)</f>
        <v>5.3180134782672459E-2</v>
      </c>
      <c r="CK11" s="20">
        <f ca="1">+CJ11-CJ11*Volatility!CJ11*DriftSum!CK11*TimeStep+Volatility!CJ11*CJ11*SQRT(TimeStep)*CK$49</f>
        <v>5.2703258488632297E-2</v>
      </c>
      <c r="CL11" s="20">
        <f ca="1">+CK11-CK11*Volatility!CK11*DriftSum!CL11*TimeStep+Volatility!CK11*CK11*SQRT(TimeStep)*CL$49</f>
        <v>5.3816626844282324E-2</v>
      </c>
      <c r="CM11" s="20">
        <f ca="1">+CL11-CL11*Volatility!CL11*DriftSum!CM11*TimeStep+Volatility!CL11*CL11*SQRT(TimeStep)*CM$49</f>
        <v>5.3200871917190258E-2</v>
      </c>
      <c r="CN11" s="20">
        <f ca="1">+CM11-CM11*Volatility!CM11*DriftSum!CN11*TimeStep+Volatility!CM11*CM11*SQRT(TimeStep)*CN$49</f>
        <v>5.2467160882273392E-2</v>
      </c>
      <c r="CO11" s="20">
        <f ca="1">+CN11-CN11*Volatility!CN11*DriftSum!CO11*TimeStep+Volatility!CN11*CN11*SQRT(TimeStep)*CO$49</f>
        <v>5.028404212908677E-2</v>
      </c>
      <c r="CP11" s="20">
        <f ca="1">+CO11-CO11*Volatility!CO11*DriftSum!CP11*TimeStep+Volatility!CO11*CO11*SQRT(TimeStep)*CP$49</f>
        <v>5.1060655451424394E-2</v>
      </c>
      <c r="CQ11" s="20">
        <f ca="1">+CP11-CP11*Volatility!CP11*DriftSum!CQ11*TimeStep+Volatility!CP11*CP11*SQRT(TimeStep)*CQ$49</f>
        <v>5.2500034038951544E-2</v>
      </c>
      <c r="CR11" s="20">
        <f ca="1">+CQ11-CQ11*Volatility!CQ11*DriftSum!CR11*TimeStep+Volatility!CQ11*CQ11*SQRT(TimeStep)*CR$49</f>
        <v>5.3839671090684153E-2</v>
      </c>
      <c r="CS11" s="20">
        <f ca="1">+CR11-CR11*Volatility!CR11*DriftSum!CS11*TimeStep+Volatility!CR11*CR11*SQRT(TimeStep)*CS$49</f>
        <v>5.447206340821853E-2</v>
      </c>
      <c r="CT11" s="20">
        <f ca="1">+CS11-CS11*Volatility!CS11*DriftSum!CT11*TimeStep+Volatility!CS11*CS11*SQRT(TimeStep)*CT$49</f>
        <v>5.5808589930158782E-2</v>
      </c>
      <c r="CU11" s="20">
        <f ca="1">+CT11-CT11*Volatility!CT11*DriftSum!CU11*TimeStep+Volatility!CT11*CT11*SQRT(TimeStep)*CU$49</f>
        <v>5.5740821026570568E-2</v>
      </c>
      <c r="CV11" s="20">
        <f ca="1">+CU11-CU11*Volatility!CU11*DriftSum!CV11*TimeStep+Volatility!CU11*CU11*SQRT(TimeStep)*CV$49</f>
        <v>5.5842423233139572E-2</v>
      </c>
      <c r="CW11" s="20">
        <f ca="1">+CV11-CV11*Volatility!CV11*DriftSum!CW11*TimeStep+Volatility!CV11*CV11*SQRT(TimeStep)*CW$49</f>
        <v>5.7062430538825731E-2</v>
      </c>
      <c r="CX11" s="20">
        <f ca="1">+CW11-CW11*Volatility!CW11*DriftSum!CX11*TimeStep+Volatility!CW11*CW11*SQRT(TimeStep)*CX$49</f>
        <v>5.778355146261549E-2</v>
      </c>
      <c r="CY11" s="20">
        <f ca="1">+CX11-CX11*Volatility!CX11*DriftSum!CY11*TimeStep+Volatility!CX11*CX11*SQRT(TimeStep)*CY$49</f>
        <v>5.9752038560045205E-2</v>
      </c>
      <c r="CZ11" s="20">
        <f ca="1">+CY11-CY11*Volatility!CY11*DriftSum!CZ11*TimeStep+Volatility!CY11*CY11*SQRT(TimeStep)*CZ$49</f>
        <v>6.0165106861201682E-2</v>
      </c>
      <c r="DA11" s="20">
        <f ca="1">+CZ11-CZ11*Volatility!CZ11*DriftSum!DA11*TimeStep+Volatility!CZ11*CZ11*SQRT(TimeStep)*DA$49</f>
        <v>6.1241863514591176E-2</v>
      </c>
      <c r="DB11" s="20">
        <f ca="1">+DA11-DA11*Volatility!DA11*DriftSum!DB11*TimeStep+Volatility!DA11*DA11*SQRT(TimeStep)*DB$49</f>
        <v>6.2180715143520346E-2</v>
      </c>
      <c r="DC11" s="20">
        <f ca="1">+DB11-DB11*Volatility!DB11*DriftSum!DC11*TimeStep+Volatility!DB11*DB11*SQRT(TimeStep)*DC$49</f>
        <v>6.0918473444619696E-2</v>
      </c>
      <c r="DD11" s="20">
        <f ca="1">+DC11-DC11*Volatility!DC11*DriftSum!DD11*TimeStep+Volatility!DC11*DC11*SQRT(TimeStep)*DD$49</f>
        <v>6.1897680135255401E-2</v>
      </c>
      <c r="DE11" s="20">
        <f ca="1">+DD11-DD11*Volatility!DD11*DriftSum!DE11*TimeStep+Volatility!DD11*DD11*SQRT(TimeStep)*DE$49</f>
        <v>6.4317577305921511E-2</v>
      </c>
      <c r="DF11" s="20">
        <f ca="1">+DE11-DE11*Volatility!DE11*DriftSum!DF11*TimeStep+Volatility!DE11*DE11*SQRT(TimeStep)*DF$49</f>
        <v>6.3737428611342753E-2</v>
      </c>
      <c r="DG11" s="20">
        <f ca="1">+DF11-DF11*Volatility!DF11*DriftSum!DG11*TimeStep+Volatility!DF11*DF11*SQRT(TimeStep)*DG$49</f>
        <v>6.4494059518906868E-2</v>
      </c>
      <c r="DH11" s="20">
        <f ca="1">+DG11-DG11*Volatility!DG11*DriftSum!DH11*TimeStep+Volatility!DG11*DG11*SQRT(TimeStep)*DH$49</f>
        <v>6.6624939185035204E-2</v>
      </c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</row>
    <row r="12" spans="2:127" x14ac:dyDescent="0.2">
      <c r="B12" s="7"/>
      <c r="D12" s="2">
        <f t="shared" si="2"/>
        <v>8.75</v>
      </c>
      <c r="E12" s="10">
        <f t="shared" si="3"/>
        <v>0.66441892837839811</v>
      </c>
      <c r="F12" s="12" t="str">
        <f t="shared" ref="F12:F46" si="4">+"L(t;"&amp;D13&amp;","&amp;D12&amp;")"</f>
        <v>L(t;8.5,8.75)</v>
      </c>
      <c r="G12" s="19">
        <v>0.05</v>
      </c>
      <c r="H12" s="20">
        <f ca="1">+G12+G12*Volatility!G12*(-DriftSum!H12*TimeStep+SQRT(TimeStep)*H$49)</f>
        <v>5.1062462319127581E-2</v>
      </c>
      <c r="I12" s="20">
        <f ca="1">+H12+H12*Volatility!H12*(-DriftSum!I12*TimeStep+SQRT(TimeStep)*I$49)</f>
        <v>5.113374093923366E-2</v>
      </c>
      <c r="J12" s="20">
        <f ca="1">+I12+I12*Volatility!I12*(-DriftSum!J12*TimeStep+SQRT(TimeStep)*J$49)</f>
        <v>5.0105769329646263E-2</v>
      </c>
      <c r="K12" s="20">
        <f ca="1">+J12+J12*Volatility!J12*(-DriftSum!K12*TimeStep+SQRT(TimeStep)*K$49)</f>
        <v>5.0464068449557101E-2</v>
      </c>
      <c r="L12" s="20">
        <f ca="1">+K12+K12*Volatility!K12*(-DriftSum!L12*TimeStep+SQRT(TimeStep)*L$49)</f>
        <v>4.9310176899799149E-2</v>
      </c>
      <c r="M12" s="20">
        <f ca="1">+L12+L12*Volatility!L12*(-DriftSum!M12*TimeStep+SQRT(TimeStep)*M$49)</f>
        <v>5.1748244245269817E-2</v>
      </c>
      <c r="N12" s="20">
        <f ca="1">+M12+M12*Volatility!M12*(-DriftSum!N12*TimeStep+SQRT(TimeStep)*N$49)</f>
        <v>5.137862710258357E-2</v>
      </c>
      <c r="O12" s="20">
        <f ca="1">+N12+N12*Volatility!N12*(-DriftSum!O12*TimeStep+SQRT(TimeStep)*O$49)</f>
        <v>5.2790505003624942E-2</v>
      </c>
      <c r="P12" s="20">
        <f ca="1">+O12+O12*Volatility!O12*(-DriftSum!P12*TimeStep+SQRT(TimeStep)*P$49)</f>
        <v>5.1714029371544609E-2</v>
      </c>
      <c r="Q12" s="20">
        <f ca="1">+P12+P12*Volatility!P12*(-DriftSum!Q12*TimeStep+SQRT(TimeStep)*Q$49)</f>
        <v>5.1942212964554674E-2</v>
      </c>
      <c r="R12" s="20">
        <f ca="1">+Q12+Q12*Volatility!Q12*(-DriftSum!R12*TimeStep+SQRT(TimeStep)*R$49)</f>
        <v>5.3037103839491707E-2</v>
      </c>
      <c r="S12" s="20">
        <f ca="1">+R12+R12*Volatility!R12*(-DriftSum!S12*TimeStep+SQRT(TimeStep)*S$49)</f>
        <v>5.5156494775492206E-2</v>
      </c>
      <c r="T12" s="20">
        <f ca="1">+S12+S12*Volatility!S12*(-DriftSum!T12*TimeStep+SQRT(TimeStep)*T$49)</f>
        <v>5.4375689417812068E-2</v>
      </c>
      <c r="U12" s="20">
        <f ca="1">+T12+T12*Volatility!T12*(-DriftSum!U12*TimeStep+SQRT(TimeStep)*U$49)</f>
        <v>5.4273978907895017E-2</v>
      </c>
      <c r="V12" s="20">
        <f ca="1">+U12+U12*Volatility!U12*(-DriftSum!V12*TimeStep+SQRT(TimeStep)*V$49)</f>
        <v>5.3067264902942828E-2</v>
      </c>
      <c r="W12" s="20">
        <f ca="1">+V12+V12*Volatility!V12*(-DriftSum!W12*TimeStep+SQRT(TimeStep)*W$49)</f>
        <v>5.0150857528918229E-2</v>
      </c>
      <c r="X12" s="20">
        <f ca="1">+W12+W12*Volatility!W12*(-DriftSum!X12*TimeStep+SQRT(TimeStep)*X$49)</f>
        <v>5.0949116976329846E-2</v>
      </c>
      <c r="Y12" s="20">
        <f ca="1">+X12+X12*Volatility!X12*(-DriftSum!Y12*TimeStep+SQRT(TimeStep)*Y$49)</f>
        <v>5.0301687152669479E-2</v>
      </c>
      <c r="Z12" s="20">
        <f ca="1">+Y12+Y12*Volatility!Y12*(-DriftSum!Z12*TimeStep+SQRT(TimeStep)*Z$49)</f>
        <v>5.1311092802432803E-2</v>
      </c>
      <c r="AA12" s="20">
        <f ca="1">+Z12+Z12*Volatility!Z12*(-DriftSum!AA12*TimeStep+SQRT(TimeStep)*AA$49)</f>
        <v>5.2122890318584206E-2</v>
      </c>
      <c r="AB12" s="20">
        <f ca="1">+AA12+AA12*Volatility!AA12*(-DriftSum!AB12*TimeStep+SQRT(TimeStep)*AB$49)</f>
        <v>5.200683973278928E-2</v>
      </c>
      <c r="AC12" s="20">
        <f ca="1">+AB12+AB12*Volatility!AB12*(-DriftSum!AC12*TimeStep+SQRT(TimeStep)*AC$49)</f>
        <v>5.1096849284169472E-2</v>
      </c>
      <c r="AD12" s="20">
        <f ca="1">+AC12+AC12*Volatility!AC12*(-DriftSum!AD12*TimeStep+SQRT(TimeStep)*AD$49)</f>
        <v>5.0702631431379278E-2</v>
      </c>
      <c r="AE12" s="20">
        <f ca="1">+AD12+AD12*Volatility!AD12*(-DriftSum!AE12*TimeStep+SQRT(TimeStep)*AE$49)</f>
        <v>5.2899170345158529E-2</v>
      </c>
      <c r="AF12" s="20">
        <f ca="1">+AE12+AE12*Volatility!AE12*(-DriftSum!AF12*TimeStep+SQRT(TimeStep)*AF$49)</f>
        <v>5.3141795196500648E-2</v>
      </c>
      <c r="AG12" s="20">
        <f ca="1">+AF12+AF12*Volatility!AF12*(-DriftSum!AG12*TimeStep+SQRT(TimeStep)*AG$49)</f>
        <v>5.3738699420061882E-2</v>
      </c>
      <c r="AH12" s="20">
        <f ca="1">+AG12+AG12*Volatility!AG12*(-DriftSum!AH12*TimeStep+SQRT(TimeStep)*AH$49)</f>
        <v>5.4423539305453711E-2</v>
      </c>
      <c r="AI12" s="20">
        <f ca="1">+AH12+AH12*Volatility!AH12*(-DriftSum!AI12*TimeStep+SQRT(TimeStep)*AI$49)</f>
        <v>5.6720888764072101E-2</v>
      </c>
      <c r="AJ12" s="20">
        <f ca="1">+AI12+AI12*Volatility!AI12*(-DriftSum!AJ12*TimeStep+SQRT(TimeStep)*AJ$49)</f>
        <v>5.7243332505451619E-2</v>
      </c>
      <c r="AK12" s="20">
        <f ca="1">+AJ12+AJ12*Volatility!AJ12*(-DriftSum!AK12*TimeStep+SQRT(TimeStep)*AK$49)</f>
        <v>5.901148263213566E-2</v>
      </c>
      <c r="AL12" s="20">
        <f ca="1">+AK12+AK12*Volatility!AK12*(-DriftSum!AL12*TimeStep+SQRT(TimeStep)*AL$49)</f>
        <v>5.9845929190047407E-2</v>
      </c>
      <c r="AM12" s="20">
        <f ca="1">+AL12+AL12*Volatility!AL12*(-DriftSum!AM12*TimeStep+SQRT(TimeStep)*AM$49)</f>
        <v>5.9581991807289375E-2</v>
      </c>
      <c r="AN12" s="20">
        <f ca="1">+AM12+AM12*Volatility!AM12*(-DriftSum!AN12*TimeStep+SQRT(TimeStep)*AN$49)</f>
        <v>5.6638912353883193E-2</v>
      </c>
      <c r="AO12" s="20">
        <f ca="1">+AN12+AN12*Volatility!AN12*(-DriftSum!AO12*TimeStep+SQRT(TimeStep)*AO$49)</f>
        <v>5.581106540075513E-2</v>
      </c>
      <c r="AP12" s="20">
        <f ca="1">+AO12+AO12*Volatility!AO12*(-DriftSum!AP12*TimeStep+SQRT(TimeStep)*AP$49)</f>
        <v>5.4070414854645928E-2</v>
      </c>
      <c r="AQ12" s="20">
        <f ca="1">+AP12+AP12*Volatility!AP12*(-DriftSum!AQ12*TimeStep+SQRT(TimeStep)*AQ$49)</f>
        <v>5.5030456156583342E-2</v>
      </c>
      <c r="AR12" s="20">
        <f ca="1">+AQ12+AQ12*Volatility!AQ12*(-DriftSum!AR12*TimeStep+SQRT(TimeStep)*AR$49)</f>
        <v>5.6337224521167094E-2</v>
      </c>
      <c r="AS12" s="20">
        <f ca="1">+AR12+AR12*Volatility!AR12*(-DriftSum!AS12*TimeStep+SQRT(TimeStep)*AS$49)</f>
        <v>5.5369915512883922E-2</v>
      </c>
      <c r="AT12" s="20">
        <f ca="1">+AS12+AS12*Volatility!AS12*(-DriftSum!AT12*TimeStep+SQRT(TimeStep)*AT$49)</f>
        <v>5.4962684502161775E-2</v>
      </c>
      <c r="AU12" s="20">
        <f ca="1">+AT12+AT12*Volatility!AT12*(-DriftSum!AU12*TimeStep+SQRT(TimeStep)*AU$49)</f>
        <v>5.6157641717157848E-2</v>
      </c>
      <c r="AV12" s="20">
        <f ca="1">+AU12+AU12*Volatility!AU12*(-DriftSum!AV12*TimeStep+SQRT(TimeStep)*AV$49)</f>
        <v>5.6411118044163426E-2</v>
      </c>
      <c r="AW12" s="20">
        <f ca="1">+AV12+AV12*Volatility!AV12*(-DriftSum!AW12*TimeStep+SQRT(TimeStep)*AW$49)</f>
        <v>5.7819028268780936E-2</v>
      </c>
      <c r="AX12" s="20">
        <f ca="1">+AW12+AW12*Volatility!AW12*(-DriftSum!AX12*TimeStep+SQRT(TimeStep)*AX$49)</f>
        <v>5.6337784378668862E-2</v>
      </c>
      <c r="AY12" s="20">
        <f ca="1">+AX12+AX12*Volatility!AX12*(-DriftSum!AY12*TimeStep+SQRT(TimeStep)*AY$49)</f>
        <v>5.7405491837188474E-2</v>
      </c>
      <c r="AZ12" s="20">
        <f ca="1">+AY12+AY12*Volatility!AY12*(-DriftSum!AZ12*TimeStep+SQRT(TimeStep)*AZ$49)</f>
        <v>5.8310765375339045E-2</v>
      </c>
      <c r="BA12" s="20">
        <f ca="1">+AZ12+AZ12*Volatility!AZ12*(-DriftSum!BA12*TimeStep+SQRT(TimeStep)*BA$49)</f>
        <v>6.0719168951985279E-2</v>
      </c>
      <c r="BB12" s="20">
        <f ca="1">+BA12+BA12*Volatility!BA12*(-DriftSum!BB12*TimeStep+SQRT(TimeStep)*BB$49)</f>
        <v>6.1326636209229769E-2</v>
      </c>
      <c r="BC12" s="20">
        <f ca="1">+BB12+BB12*Volatility!BB12*(-DriftSum!BC12*TimeStep+SQRT(TimeStep)*BC$49)</f>
        <v>5.9759481266869453E-2</v>
      </c>
      <c r="BD12" s="20">
        <f ca="1">+BC12+BC12*Volatility!BC12*(-DriftSum!BD12*TimeStep+SQRT(TimeStep)*BD$49)</f>
        <v>5.9650406033944378E-2</v>
      </c>
      <c r="BE12" s="20">
        <f ca="1">+BD12+BD12*Volatility!BD12*(-DriftSum!BE12*TimeStep+SQRT(TimeStep)*BE$49)</f>
        <v>5.8907424454848298E-2</v>
      </c>
      <c r="BF12" s="20">
        <f ca="1">+BE12+BE12*Volatility!BE12*(-DriftSum!BF12*TimeStep+SQRT(TimeStep)*BF$49)</f>
        <v>5.6477240395973891E-2</v>
      </c>
      <c r="BG12" s="20">
        <f ca="1">+BF12+BF12*Volatility!BF12*(-DriftSum!BG12*TimeStep+SQRT(TimeStep)*BG$49)</f>
        <v>5.9120976546241703E-2</v>
      </c>
      <c r="BH12" s="20">
        <f ca="1">+BG12+BG12*Volatility!BG12*(-DriftSum!BH12*TimeStep+SQRT(TimeStep)*BH$49)</f>
        <v>5.7859020503273122E-2</v>
      </c>
      <c r="BI12" s="20">
        <f ca="1">+BH12+BH12*Volatility!BH12*(-DriftSum!BI12*TimeStep+SQRT(TimeStep)*BI$49)</f>
        <v>5.4519812369764491E-2</v>
      </c>
      <c r="BJ12" s="20">
        <f ca="1">+BI12+BI12*Volatility!BI12*(-DriftSum!BJ12*TimeStep+SQRT(TimeStep)*BJ$49)</f>
        <v>5.5302479157179014E-2</v>
      </c>
      <c r="BK12" s="20">
        <f ca="1">+BJ12+BJ12*Volatility!BJ12*(-DriftSum!BK12*TimeStep+SQRT(TimeStep)*BK$49)</f>
        <v>5.6376080389386803E-2</v>
      </c>
      <c r="BL12" s="20">
        <f ca="1">+BK12+BK12*Volatility!BK12*(-DriftSum!BL12*TimeStep+SQRT(TimeStep)*BL$49)</f>
        <v>5.7505907064931153E-2</v>
      </c>
      <c r="BM12" s="20">
        <f ca="1">+BL12+BL12*Volatility!BL12*(-DriftSum!BM12*TimeStep+SQRT(TimeStep)*BM$49)</f>
        <v>5.5492101170167028E-2</v>
      </c>
      <c r="BN12" s="20">
        <f ca="1">+BM12+BM12*Volatility!BM12*(-DriftSum!BN12*TimeStep+SQRT(TimeStep)*BN$49)</f>
        <v>5.6104937277929298E-2</v>
      </c>
      <c r="BO12" s="20">
        <f ca="1">+BN12+BN12*Volatility!BN12*(-DriftSum!BO12*TimeStep+SQRT(TimeStep)*BO$49)</f>
        <v>5.7761873788142834E-2</v>
      </c>
      <c r="BP12" s="20">
        <f ca="1">+BO12+BO12*Volatility!BO12*(-DriftSum!BP12*TimeStep+SQRT(TimeStep)*BP$49)</f>
        <v>5.8039672070825575E-2</v>
      </c>
      <c r="BQ12" s="20">
        <f ca="1">+BP12+BP12*Volatility!BP12*(-DriftSum!BQ12*TimeStep+SQRT(TimeStep)*BQ$49)</f>
        <v>5.8158323281534911E-2</v>
      </c>
      <c r="BR12" s="20">
        <f ca="1">+BQ12+BQ12*Volatility!BQ12*(-DriftSum!BR12*TimeStep+SQRT(TimeStep)*BR$49)</f>
        <v>6.0147426563542467E-2</v>
      </c>
      <c r="BS12" s="20">
        <f ca="1">+BR12+BR12*Volatility!BR12*(-DriftSum!BS12*TimeStep+SQRT(TimeStep)*BS$49)</f>
        <v>5.7601167033349818E-2</v>
      </c>
      <c r="BT12" s="20">
        <f ca="1">+BS12+BS12*Volatility!BS12*(-DriftSum!BT12*TimeStep+SQRT(TimeStep)*BT$49)</f>
        <v>5.5712895099040989E-2</v>
      </c>
      <c r="BU12" s="20">
        <f ca="1">+BT12+BT12*Volatility!BT12*(-DriftSum!BU12*TimeStep+SQRT(TimeStep)*BU$49)</f>
        <v>5.400018640644217E-2</v>
      </c>
      <c r="BV12" s="20">
        <f ca="1">+BU12+BU12*Volatility!BU12*(-DriftSum!BV12*TimeStep+SQRT(TimeStep)*BV$49)</f>
        <v>5.6405468247477587E-2</v>
      </c>
      <c r="BW12" s="20">
        <f ca="1">+BV12+BV12*Volatility!BV12*(-DriftSum!BW12*TimeStep+SQRT(TimeStep)*BW$49)</f>
        <v>5.3255086700082124E-2</v>
      </c>
      <c r="BX12" s="20">
        <f ca="1">+BW12+BW12*Volatility!BW12*(-DriftSum!BX12*TimeStep+SQRT(TimeStep)*BX$49)</f>
        <v>5.2308692268975408E-2</v>
      </c>
      <c r="BY12" s="20">
        <f ca="1">+BX12+BX12*Volatility!BX12*(-DriftSum!BY12*TimeStep+SQRT(TimeStep)*BY$49)</f>
        <v>5.2645825878460902E-2</v>
      </c>
      <c r="BZ12" s="20">
        <f ca="1">+BY12+BY12*Volatility!BY12*(-DriftSum!BZ12*TimeStep+SQRT(TimeStep)*BZ$49)</f>
        <v>5.5553656745574567E-2</v>
      </c>
      <c r="CA12" s="20">
        <f ca="1">+BZ12+BZ12*Volatility!BZ12*(-DriftSum!CA12*TimeStep+SQRT(TimeStep)*CA$49)</f>
        <v>5.4045901769995359E-2</v>
      </c>
      <c r="CB12" s="20">
        <f ca="1">+CA12+CA12*Volatility!CA12*(-DriftSum!CB12*TimeStep+SQRT(TimeStep)*CB$49)</f>
        <v>5.5233961582289604E-2</v>
      </c>
      <c r="CC12" s="20">
        <f ca="1">+CB12+CB12*Volatility!CB12*(-DriftSum!CC12*TimeStep+SQRT(TimeStep)*CC$49)</f>
        <v>5.4993169379431453E-2</v>
      </c>
      <c r="CD12" s="20">
        <f ca="1">+CC12+CC12*Volatility!CC12*(-DriftSum!CD12*TimeStep+SQRT(TimeStep)*CD$49)</f>
        <v>5.5568786518431501E-2</v>
      </c>
      <c r="CE12" s="20">
        <f ca="1">+CD12+CD12*Volatility!CD12*(-DriftSum!CE12*TimeStep+SQRT(TimeStep)*CE$49)</f>
        <v>5.3666829459866977E-2</v>
      </c>
      <c r="CF12" s="20">
        <f ca="1">+CE12+CE12*Volatility!CE12*(-DriftSum!CF12*TimeStep+SQRT(TimeStep)*CF$49)</f>
        <v>5.5356817041547629E-2</v>
      </c>
      <c r="CG12" s="20">
        <f ca="1">+CF12+CF12*Volatility!CF12*(-DriftSum!CG12*TimeStep+SQRT(TimeStep)*CG$49)</f>
        <v>5.5981923380922893E-2</v>
      </c>
      <c r="CH12" s="20">
        <f ca="1">+CG12+CG12*Volatility!CG12*(-DriftSum!CH12*TimeStep+SQRT(TimeStep)*CH$49)</f>
        <v>5.4500327504563177E-2</v>
      </c>
      <c r="CI12" s="20">
        <f ca="1">+CH12+CH12*Volatility!CH12*(-DriftSum!CI12*TimeStep+SQRT(TimeStep)*CI$49)</f>
        <v>5.4216757923161336E-2</v>
      </c>
      <c r="CJ12" s="20">
        <f ca="1">+CI12+CI12*Volatility!CI12*(-DriftSum!CJ12*TimeStep+SQRT(TimeStep)*CJ$49)</f>
        <v>5.3212403435019824E-2</v>
      </c>
      <c r="CK12" s="20">
        <f ca="1">+CJ12-CJ12*Volatility!CJ12*DriftSum!CK12*TimeStep+Volatility!CJ12*CJ12*SQRT(TimeStep)*CK$49</f>
        <v>5.2717575530793058E-2</v>
      </c>
      <c r="CL12" s="20">
        <f ca="1">+CK12-CK12*Volatility!CK12*DriftSum!CL12*TimeStep+Volatility!CK12*CK12*SQRT(TimeStep)*CL$49</f>
        <v>5.3871091702501712E-2</v>
      </c>
      <c r="CM12" s="20">
        <f ca="1">+CL12-CL12*Volatility!CL12*DriftSum!CM12*TimeStep+Volatility!CL12*CL12*SQRT(TimeStep)*CM$49</f>
        <v>5.3232009471292238E-2</v>
      </c>
      <c r="CN12" s="20">
        <f ca="1">+CM12-CM12*Volatility!CM12*DriftSum!CN12*TimeStep+Volatility!CM12*CM12*SQRT(TimeStep)*CN$49</f>
        <v>5.24709181977999E-2</v>
      </c>
      <c r="CO12" s="20">
        <f ca="1">+CN12-CN12*Volatility!CN12*DriftSum!CO12*TimeStep+Volatility!CN12*CN12*SQRT(TimeStep)*CO$49</f>
        <v>5.0208325454368596E-2</v>
      </c>
      <c r="CP12" s="20">
        <f ca="1">+CO12-CO12*Volatility!CO12*DriftSum!CP12*TimeStep+Volatility!CO12*CO12*SQRT(TimeStep)*CP$49</f>
        <v>5.1011426682123912E-2</v>
      </c>
      <c r="CQ12" s="20">
        <f ca="1">+CP12-CP12*Volatility!CP12*DriftSum!CQ12*TimeStep+Volatility!CP12*CP12*SQRT(TimeStep)*CQ$49</f>
        <v>5.2501010648970912E-2</v>
      </c>
      <c r="CR12" s="20">
        <f ca="1">+CQ12-CQ12*Volatility!CQ12*DriftSum!CR12*TimeStep+Volatility!CQ12*CQ12*SQRT(TimeStep)*CR$49</f>
        <v>5.3888689562352224E-2</v>
      </c>
      <c r="CS12" s="20">
        <f ca="1">+CR12-CR12*Volatility!CR12*DriftSum!CS12*TimeStep+Volatility!CR12*CR12*SQRT(TimeStep)*CS$49</f>
        <v>5.4544110282915642E-2</v>
      </c>
      <c r="CT12" s="20">
        <f ca="1">+CS12-CS12*Volatility!CS12*DriftSum!CT12*TimeStep+Volatility!CS12*CS12*SQRT(TimeStep)*CT$49</f>
        <v>5.5930340732982038E-2</v>
      </c>
      <c r="CU12" s="20">
        <f ca="1">+CT12-CT12*Volatility!CT12*DriftSum!CU12*TimeStep+Volatility!CT12*CT12*SQRT(TimeStep)*CU$49</f>
        <v>5.5859511373996591E-2</v>
      </c>
      <c r="CV12" s="20">
        <f ca="1">+CU12-CU12*Volatility!CU12*DriftSum!CV12*TimeStep+Volatility!CU12*CU12*SQRT(TimeStep)*CV$49</f>
        <v>5.5964553450547697E-2</v>
      </c>
      <c r="CW12" s="20">
        <f ca="1">+CV12-CV12*Volatility!CV12*DriftSum!CW12*TimeStep+Volatility!CV12*CV12*SQRT(TimeStep)*CW$49</f>
        <v>5.7230963721455738E-2</v>
      </c>
      <c r="CX12" s="20">
        <f ca="1">+CW12-CW12*Volatility!CW12*DriftSum!CX12*TimeStep+Volatility!CW12*CW12*SQRT(TimeStep)*CX$49</f>
        <v>5.7979877248287397E-2</v>
      </c>
      <c r="CY12" s="20">
        <f ca="1">+CX12-CX12*Volatility!CX12*DriftSum!CY12*TimeStep+Volatility!CX12*CX12*SQRT(TimeStep)*CY$49</f>
        <v>6.0025953246678344E-2</v>
      </c>
      <c r="CZ12" s="20">
        <f ca="1">+CY12-CY12*Volatility!CY12*DriftSum!CZ12*TimeStep+Volatility!CY12*CY12*SQRT(TimeStep)*CZ$49</f>
        <v>6.0455388235688905E-2</v>
      </c>
      <c r="DA12" s="20">
        <f ca="1">+CZ12-CZ12*Volatility!CZ12*DriftSum!DA12*TimeStep+Volatility!CZ12*CZ12*SQRT(TimeStep)*DA$49</f>
        <v>6.1575913773473122E-2</v>
      </c>
      <c r="DB12" s="20">
        <f ca="1">+DA12-DA12*Volatility!DA12*DriftSum!DB12*TimeStep+Volatility!DA12*DA12*SQRT(TimeStep)*DB$49</f>
        <v>6.2553453637201009E-2</v>
      </c>
      <c r="DC12" s="20">
        <f ca="1">+DB12-DB12*Volatility!DB12*DriftSum!DC12*TimeStep+Volatility!DB12*DB12*SQRT(TimeStep)*DC$49</f>
        <v>6.1237179263562189E-2</v>
      </c>
      <c r="DD12" s="20">
        <f ca="1">+DC12-DC12*Volatility!DC12*DriftSum!DD12*TimeStep+Volatility!DC12*DC12*SQRT(TimeStep)*DD$49</f>
        <v>6.2256540594896763E-2</v>
      </c>
      <c r="DE12" s="20">
        <f ca="1">+DD12-DD12*Volatility!DD12*DriftSum!DE12*TimeStep+Volatility!DD12*DD12*SQRT(TimeStep)*DE$49</f>
        <v>6.4777876397743822E-2</v>
      </c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</row>
    <row r="13" spans="2:127" x14ac:dyDescent="0.2">
      <c r="D13" s="2">
        <f t="shared" si="2"/>
        <v>8.5</v>
      </c>
      <c r="E13" s="10">
        <f t="shared" si="3"/>
        <v>0.67272416498312804</v>
      </c>
      <c r="F13" s="12" t="str">
        <f t="shared" si="4"/>
        <v>L(t;8.25,8.5)</v>
      </c>
      <c r="G13" s="19">
        <v>0.05</v>
      </c>
      <c r="H13" s="20">
        <f ca="1">+G13+G13*Volatility!G13*(-DriftSum!H13*TimeStep+SQRT(TimeStep)*H$49)</f>
        <v>5.1100031476027638E-2</v>
      </c>
      <c r="I13" s="20">
        <f ca="1">+H13+H13*Volatility!H13*(-DriftSum!I13*TimeStep+SQRT(TimeStep)*I$49)</f>
        <v>5.1173478616617529E-2</v>
      </c>
      <c r="J13" s="20">
        <f ca="1">+I13+I13*Volatility!I13*(-DriftSum!J13*TimeStep+SQRT(TimeStep)*J$49)</f>
        <v>5.0108408808224897E-2</v>
      </c>
      <c r="K13" s="20">
        <f ca="1">+J13+J13*Volatility!J13*(-DriftSum!K13*TimeStep+SQRT(TimeStep)*K$49)</f>
        <v>5.0478830865286151E-2</v>
      </c>
      <c r="L13" s="20">
        <f ca="1">+K13+K13*Volatility!K13*(-DriftSum!L13*TimeStep+SQRT(TimeStep)*L$49)</f>
        <v>4.928393681991429E-2</v>
      </c>
      <c r="M13" s="20">
        <f ca="1">+L13+L13*Volatility!L13*(-DriftSum!M13*TimeStep+SQRT(TimeStep)*M$49)</f>
        <v>5.180532757026609E-2</v>
      </c>
      <c r="N13" s="20">
        <f ca="1">+M13+M13*Volatility!M13*(-DriftSum!N13*TimeStep+SQRT(TimeStep)*N$49)</f>
        <v>5.1421972838186683E-2</v>
      </c>
      <c r="O13" s="20">
        <f ca="1">+N13+N13*Volatility!N13*(-DriftSum!O13*TimeStep+SQRT(TimeStep)*O$49)</f>
        <v>5.2883919035527818E-2</v>
      </c>
      <c r="P13" s="20">
        <f ca="1">+O13+O13*Volatility!O13*(-DriftSum!P13*TimeStep+SQRT(TimeStep)*P$49)</f>
        <v>5.1767481258787273E-2</v>
      </c>
      <c r="Q13" s="20">
        <f ca="1">+P13+P13*Volatility!P13*(-DriftSum!Q13*TimeStep+SQRT(TimeStep)*Q$49)</f>
        <v>5.2003447385557809E-2</v>
      </c>
      <c r="R13" s="20">
        <f ca="1">+Q13+Q13*Volatility!Q13*(-DriftSum!R13*TimeStep+SQRT(TimeStep)*R$49)</f>
        <v>5.3137442713063428E-2</v>
      </c>
      <c r="S13" s="20">
        <f ca="1">+R13+R13*Volatility!R13*(-DriftSum!S13*TimeStep+SQRT(TimeStep)*S$49)</f>
        <v>5.5334471841725894E-2</v>
      </c>
      <c r="T13" s="20">
        <f ca="1">+S13+S13*Volatility!S13*(-DriftSum!T13*TimeStep+SQRT(TimeStep)*T$49)</f>
        <v>5.4523341667356111E-2</v>
      </c>
      <c r="U13" s="20">
        <f ca="1">+T13+T13*Volatility!T13*(-DriftSum!U13*TimeStep+SQRT(TimeStep)*U$49)</f>
        <v>5.4417330883549241E-2</v>
      </c>
      <c r="V13" s="20">
        <f ca="1">+U13+U13*Volatility!U13*(-DriftSum!V13*TimeStep+SQRT(TimeStep)*V$49)</f>
        <v>5.316475912213961E-2</v>
      </c>
      <c r="W13" s="20">
        <f ca="1">+V13+V13*Volatility!V13*(-DriftSum!W13*TimeStep+SQRT(TimeStep)*W$49)</f>
        <v>5.0140627739540332E-2</v>
      </c>
      <c r="X13" s="20">
        <f ca="1">+W13+W13*Volatility!W13*(-DriftSum!X13*TimeStep+SQRT(TimeStep)*X$49)</f>
        <v>5.0966168929248955E-2</v>
      </c>
      <c r="Y13" s="20">
        <f ca="1">+X13+X13*Volatility!X13*(-DriftSum!Y13*TimeStep+SQRT(TimeStep)*Y$49)</f>
        <v>5.0295521245064138E-2</v>
      </c>
      <c r="Z13" s="20">
        <f ca="1">+Y13+Y13*Volatility!Y13*(-DriftSum!Z13*TimeStep+SQRT(TimeStep)*Z$49)</f>
        <v>5.1339612260777587E-2</v>
      </c>
      <c r="AA13" s="20">
        <f ca="1">+Z13+Z13*Volatility!Z13*(-DriftSum!AA13*TimeStep+SQRT(TimeStep)*AA$49)</f>
        <v>5.2179780504189907E-2</v>
      </c>
      <c r="AB13" s="20">
        <f ca="1">+AA13+AA13*Volatility!AA13*(-DriftSum!AB13*TimeStep+SQRT(TimeStep)*AB$49)</f>
        <v>5.2059122448759536E-2</v>
      </c>
      <c r="AC13" s="20">
        <f ca="1">+AB13+AB13*Volatility!AB13*(-DriftSum!AC13*TimeStep+SQRT(TimeStep)*AC$49)</f>
        <v>5.111601523618186E-2</v>
      </c>
      <c r="AD13" s="20">
        <f ca="1">+AC13+AC13*Volatility!AC13*(-DriftSum!AD13*TimeStep+SQRT(TimeStep)*AD$49)</f>
        <v>5.0707481341359148E-2</v>
      </c>
      <c r="AE13" s="20">
        <f ca="1">+AD13+AD13*Volatility!AD13*(-DriftSum!AE13*TimeStep+SQRT(TimeStep)*AE$49)</f>
        <v>5.2980456306467326E-2</v>
      </c>
      <c r="AF13" s="20">
        <f ca="1">+AE13+AE13*Volatility!AE13*(-DriftSum!AF13*TimeStep+SQRT(TimeStep)*AF$49)</f>
        <v>5.3231489574796342E-2</v>
      </c>
      <c r="AG13" s="20">
        <f ca="1">+AF13+AF13*Volatility!AF13*(-DriftSum!AG13*TimeStep+SQRT(TimeStep)*AG$49)</f>
        <v>5.3849813492469548E-2</v>
      </c>
      <c r="AH13" s="20">
        <f ca="1">+AG13+AG13*Volatility!AG13*(-DriftSum!AH13*TimeStep+SQRT(TimeStep)*AH$49)</f>
        <v>5.4559553236273116E-2</v>
      </c>
      <c r="AI13" s="20">
        <f ca="1">+AH13+AH13*Volatility!AH13*(-DriftSum!AI13*TimeStep+SQRT(TimeStep)*AI$49)</f>
        <v>5.6942517426190963E-2</v>
      </c>
      <c r="AJ13" s="20">
        <f ca="1">+AI13+AI13*Volatility!AI13*(-DriftSum!AJ13*TimeStep+SQRT(TimeStep)*AJ$49)</f>
        <v>5.7484790710927984E-2</v>
      </c>
      <c r="AK13" s="20">
        <f ca="1">+AJ13+AJ13*Volatility!AJ13*(-DriftSum!AK13*TimeStep+SQRT(TimeStep)*AK$49)</f>
        <v>5.9321821587795587E-2</v>
      </c>
      <c r="AL13" s="20">
        <f ca="1">+AK13+AK13*Volatility!AK13*(-DriftSum!AL13*TimeStep+SQRT(TimeStep)*AL$49)</f>
        <v>6.0189368052260134E-2</v>
      </c>
      <c r="AM13" s="20">
        <f ca="1">+AL13+AL13*Volatility!AL13*(-DriftSum!AM13*TimeStep+SQRT(TimeStep)*AM$49)</f>
        <v>5.9914090136348651E-2</v>
      </c>
      <c r="AN13" s="20">
        <f ca="1">+AM13+AM13*Volatility!AM13*(-DriftSum!AN13*TimeStep+SQRT(TimeStep)*AN$49)</f>
        <v>5.6850807855735049E-2</v>
      </c>
      <c r="AO13" s="20">
        <f ca="1">+AN13+AN13*Volatility!AN13*(-DriftSum!AO13*TimeStep+SQRT(TimeStep)*AO$49)</f>
        <v>5.5990371088000181E-2</v>
      </c>
      <c r="AP13" s="20">
        <f ca="1">+AO13+AO13*Volatility!AO13*(-DriftSum!AP13*TimeStep+SQRT(TimeStep)*AP$49)</f>
        <v>5.4182721430296142E-2</v>
      </c>
      <c r="AQ13" s="20">
        <f ca="1">+AP13+AP13*Volatility!AP13*(-DriftSum!AQ13*TimeStep+SQRT(TimeStep)*AQ$49)</f>
        <v>5.5177855220365356E-2</v>
      </c>
      <c r="AR13" s="20">
        <f ca="1">+AQ13+AQ13*Volatility!AQ13*(-DriftSum!AR13*TimeStep+SQRT(TimeStep)*AR$49)</f>
        <v>5.6533353187546542E-2</v>
      </c>
      <c r="AS13" s="20">
        <f ca="1">+AR13+AR13*Volatility!AR13*(-DriftSum!AS13*TimeStep+SQRT(TimeStep)*AS$49)</f>
        <v>5.5528315034294902E-2</v>
      </c>
      <c r="AT13" s="20">
        <f ca="1">+AS13+AS13*Volatility!AS13*(-DriftSum!AT13*TimeStep+SQRT(TimeStep)*AT$49)</f>
        <v>5.5105189088810576E-2</v>
      </c>
      <c r="AU13" s="20">
        <f ca="1">+AT13+AT13*Volatility!AT13*(-DriftSum!AU13*TimeStep+SQRT(TimeStep)*AU$49)</f>
        <v>5.6344560752802711E-2</v>
      </c>
      <c r="AV13" s="20">
        <f ca="1">+AU13+AU13*Volatility!AU13*(-DriftSum!AV13*TimeStep+SQRT(TimeStep)*AV$49)</f>
        <v>5.6607254827726397E-2</v>
      </c>
      <c r="AW13" s="20">
        <f ca="1">+AV13+AV13*Volatility!AV13*(-DriftSum!AW13*TimeStep+SQRT(TimeStep)*AW$49)</f>
        <v>5.8068842035584239E-2</v>
      </c>
      <c r="AX13" s="20">
        <f ca="1">+AW13+AW13*Volatility!AW13*(-DriftSum!AX13*TimeStep+SQRT(TimeStep)*AX$49)</f>
        <v>5.6528775960160267E-2</v>
      </c>
      <c r="AY13" s="20">
        <f ca="1">+AX13+AX13*Volatility!AX13*(-DriftSum!AY13*TimeStep+SQRT(TimeStep)*AY$49)</f>
        <v>5.7636974171159143E-2</v>
      </c>
      <c r="AZ13" s="20">
        <f ca="1">+AY13+AY13*Volatility!AY13*(-DriftSum!AZ13*TimeStep+SQRT(TimeStep)*AZ$49)</f>
        <v>5.8577084659389538E-2</v>
      </c>
      <c r="BA13" s="20">
        <f ca="1">+AZ13+AZ13*Volatility!AZ13*(-DriftSum!BA13*TimeStep+SQRT(TimeStep)*BA$49)</f>
        <v>6.1080348952912894E-2</v>
      </c>
      <c r="BB13" s="20">
        <f ca="1">+BA13+BA13*Volatility!BA13*(-DriftSum!BB13*TimeStep+SQRT(TimeStep)*BB$49)</f>
        <v>6.1712163870000954E-2</v>
      </c>
      <c r="BC13" s="20">
        <f ca="1">+BB13+BB13*Volatility!BB13*(-DriftSum!BC13*TimeStep+SQRT(TimeStep)*BC$49)</f>
        <v>6.0079550826809408E-2</v>
      </c>
      <c r="BD13" s="20">
        <f ca="1">+BC13+BC13*Volatility!BC13*(-DriftSum!BD13*TimeStep+SQRT(TimeStep)*BD$49)</f>
        <v>5.9965501982223231E-2</v>
      </c>
      <c r="BE13" s="20">
        <f ca="1">+BD13+BD13*Volatility!BD13*(-DriftSum!BE13*TimeStep+SQRT(TimeStep)*BE$49)</f>
        <v>5.919197882731933E-2</v>
      </c>
      <c r="BF13" s="20">
        <f ca="1">+BE13+BE13*Volatility!BE13*(-DriftSum!BF13*TimeStep+SQRT(TimeStep)*BF$49)</f>
        <v>5.6664324376377306E-2</v>
      </c>
      <c r="BG13" s="20">
        <f ca="1">+BF13+BF13*Volatility!BF13*(-DriftSum!BG13*TimeStep+SQRT(TimeStep)*BG$49)</f>
        <v>5.9408843696970762E-2</v>
      </c>
      <c r="BH13" s="20">
        <f ca="1">+BG13+BG13*Volatility!BG13*(-DriftSum!BH13*TimeStep+SQRT(TimeStep)*BH$49)</f>
        <v>5.809595505908495E-2</v>
      </c>
      <c r="BI13" s="20">
        <f ca="1">+BH13+BH13*Volatility!BH13*(-DriftSum!BI13*TimeStep+SQRT(TimeStep)*BI$49)</f>
        <v>5.4625583393400096E-2</v>
      </c>
      <c r="BJ13" s="20">
        <f ca="1">+BI13+BI13*Volatility!BI13*(-DriftSum!BJ13*TimeStep+SQRT(TimeStep)*BJ$49)</f>
        <v>5.5436655379828309E-2</v>
      </c>
      <c r="BK13" s="20">
        <f ca="1">+BJ13+BJ13*Volatility!BJ13*(-DriftSum!BK13*TimeStep+SQRT(TimeStep)*BK$49)</f>
        <v>5.6549921282117672E-2</v>
      </c>
      <c r="BL13" s="20">
        <f ca="1">+BK13+BK13*Volatility!BK13*(-DriftSum!BL13*TimeStep+SQRT(TimeStep)*BL$49)</f>
        <v>5.7722264676255054E-2</v>
      </c>
      <c r="BM13" s="20">
        <f ca="1">+BL13+BL13*Volatility!BL13*(-DriftSum!BM13*TimeStep+SQRT(TimeStep)*BM$49)</f>
        <v>5.5629846985309872E-2</v>
      </c>
      <c r="BN13" s="20">
        <f ca="1">+BM13+BM13*Volatility!BM13*(-DriftSum!BN13*TimeStep+SQRT(TimeStep)*BN$49)</f>
        <v>5.6265149866022532E-2</v>
      </c>
      <c r="BO13" s="20">
        <f ca="1">+BN13+BN13*Volatility!BN13*(-DriftSum!BO13*TimeStep+SQRT(TimeStep)*BO$49)</f>
        <v>5.7984286660657962E-2</v>
      </c>
      <c r="BP13" s="20">
        <f ca="1">+BO13+BO13*Volatility!BO13*(-DriftSum!BP13*TimeStep+SQRT(TimeStep)*BP$49)</f>
        <v>5.8272356092742082E-2</v>
      </c>
      <c r="BQ13" s="20">
        <f ca="1">+BP13+BP13*Volatility!BP13*(-DriftSum!BQ13*TimeStep+SQRT(TimeStep)*BQ$49)</f>
        <v>5.8395106979390619E-2</v>
      </c>
      <c r="BR13" s="20">
        <f ca="1">+BQ13+BQ13*Volatility!BQ13*(-DriftSum!BR13*TimeStep+SQRT(TimeStep)*BR$49)</f>
        <v>6.0461444664288315E-2</v>
      </c>
      <c r="BS13" s="20">
        <f ca="1">+BR13+BR13*Volatility!BR13*(-DriftSum!BS13*TimeStep+SQRT(TimeStep)*BS$49)</f>
        <v>5.7812033574356332E-2</v>
      </c>
      <c r="BT13" s="20">
        <f ca="1">+BS13+BS13*Volatility!BS13*(-DriftSum!BT13*TimeStep+SQRT(TimeStep)*BT$49)</f>
        <v>5.5850214495153185E-2</v>
      </c>
      <c r="BU13" s="20">
        <f ca="1">+BT13+BT13*Volatility!BT13*(-DriftSum!BU13*TimeStep+SQRT(TimeStep)*BU$49)</f>
        <v>5.4072902109507381E-2</v>
      </c>
      <c r="BV13" s="20">
        <f ca="1">+BU13+BU13*Volatility!BU13*(-DriftSum!BV13*TimeStep+SQRT(TimeStep)*BV$49)</f>
        <v>5.6564981618768544E-2</v>
      </c>
      <c r="BW13" s="20">
        <f ca="1">+BV13+BV13*Volatility!BV13*(-DriftSum!BW13*TimeStep+SQRT(TimeStep)*BW$49)</f>
        <v>5.3294981358409092E-2</v>
      </c>
      <c r="BX13" s="20">
        <f ca="1">+BW13+BW13*Volatility!BW13*(-DriftSum!BX13*TimeStep+SQRT(TimeStep)*BX$49)</f>
        <v>5.2314392837118563E-2</v>
      </c>
      <c r="BY13" s="20">
        <f ca="1">+BX13+BX13*Volatility!BX13*(-DriftSum!BY13*TimeStep+SQRT(TimeStep)*BY$49)</f>
        <v>5.2662894218944087E-2</v>
      </c>
      <c r="BZ13" s="20">
        <f ca="1">+BY13+BY13*Volatility!BY13*(-DriftSum!BZ13*TimeStep+SQRT(TimeStep)*BZ$49)</f>
        <v>5.5672700330809906E-2</v>
      </c>
      <c r="CA13" s="20">
        <f ca="1">+BZ13+BZ13*Volatility!BZ13*(-DriftSum!CA13*TimeStep+SQRT(TimeStep)*CA$49)</f>
        <v>5.4108519220347207E-2</v>
      </c>
      <c r="CB13" s="20">
        <f ca="1">+CA13+CA13*Volatility!CA13*(-DriftSum!CB13*TimeStep+SQRT(TimeStep)*CB$49)</f>
        <v>5.5338987385226884E-2</v>
      </c>
      <c r="CC13" s="20">
        <f ca="1">+CB13+CB13*Volatility!CB13*(-DriftSum!CC13*TimeStep+SQRT(TimeStep)*CC$49)</f>
        <v>5.5088840862600019E-2</v>
      </c>
      <c r="CD13" s="20">
        <f ca="1">+CC13+CC13*Volatility!CC13*(-DriftSum!CD13*TimeStep+SQRT(TimeStep)*CD$49)</f>
        <v>5.5685097472380464E-2</v>
      </c>
      <c r="CE13" s="20">
        <f ca="1">+CD13+CD13*Volatility!CD13*(-DriftSum!CE13*TimeStep+SQRT(TimeStep)*CE$49)</f>
        <v>5.3712186559570906E-2</v>
      </c>
      <c r="CF13" s="20">
        <f ca="1">+CE13+CE13*Volatility!CE13*(-DriftSum!CF13*TimeStep+SQRT(TimeStep)*CF$49)</f>
        <v>5.5462151769141294E-2</v>
      </c>
      <c r="CG13" s="20">
        <f ca="1">+CF13+CF13*Volatility!CF13*(-DriftSum!CG13*TimeStep+SQRT(TimeStep)*CG$49)</f>
        <v>5.6109812221731503E-2</v>
      </c>
      <c r="CH13" s="20">
        <f ca="1">+CG13+CG13*Volatility!CG13*(-DriftSum!CH13*TimeStep+SQRT(TimeStep)*CH$49)</f>
        <v>5.457253607552659E-2</v>
      </c>
      <c r="CI13" s="20">
        <f ca="1">+CH13+CH13*Volatility!CH13*(-DriftSum!CI13*TimeStep+SQRT(TimeStep)*CI$49)</f>
        <v>5.4278217829622791E-2</v>
      </c>
      <c r="CJ13" s="20">
        <f ca="1">+CI13+CI13*Volatility!CI13*(-DriftSum!CJ13*TimeStep+SQRT(TimeStep)*CJ$49)</f>
        <v>5.3237186494254067E-2</v>
      </c>
      <c r="CK13" s="20">
        <f ca="1">+CJ13-CJ13*Volatility!CJ13*DriftSum!CK13*TimeStep+Volatility!CJ13*CJ13*SQRT(TimeStep)*CK$49</f>
        <v>5.2724412856197542E-2</v>
      </c>
      <c r="CL13" s="20">
        <f ca="1">+CK13-CK13*Volatility!CK13*DriftSum!CL13*TimeStep+Volatility!CK13*CK13*SQRT(TimeStep)*CL$49</f>
        <v>5.3917885341272564E-2</v>
      </c>
      <c r="CM13" s="20">
        <f ca="1">+CL13-CL13*Volatility!CL13*DriftSum!CM13*TimeStep+Volatility!CL13*CL13*SQRT(TimeStep)*CM$49</f>
        <v>5.3255478047791259E-2</v>
      </c>
      <c r="CN13" s="20">
        <f ca="1">+CM13-CM13*Volatility!CM13*DriftSum!CN13*TimeStep+Volatility!CM13*CM13*SQRT(TimeStep)*CN$49</f>
        <v>5.2467043717804022E-2</v>
      </c>
      <c r="CO13" s="20">
        <f ca="1">+CN13-CN13*Volatility!CN13*DriftSum!CO13*TimeStep+Volatility!CN13*CN13*SQRT(TimeStep)*CO$49</f>
        <v>5.0125262915755316E-2</v>
      </c>
      <c r="CP13" s="20">
        <f ca="1">+CO13-CO13*Volatility!CO13*DriftSum!CP13*TimeStep+Volatility!CO13*CO13*SQRT(TimeStep)*CP$49</f>
        <v>5.0954608003839011E-2</v>
      </c>
      <c r="CQ13" s="20">
        <f ca="1">+CP13-CP13*Volatility!CP13*DriftSum!CQ13*TimeStep+Volatility!CP13*CP13*SQRT(TimeStep)*CQ$49</f>
        <v>5.2494027907277148E-2</v>
      </c>
      <c r="CR13" s="20">
        <f ca="1">+CQ13-CQ13*Volatility!CQ13*DriftSum!CR13*TimeStep+Volatility!CQ13*CQ13*SQRT(TimeStep)*CR$49</f>
        <v>5.3929489450072511E-2</v>
      </c>
      <c r="CS13" s="20">
        <f ca="1">+CR13-CR13*Volatility!CR13*DriftSum!CS13*TimeStep+Volatility!CR13*CR13*SQRT(TimeStep)*CS$49</f>
        <v>5.4607829966808186E-2</v>
      </c>
      <c r="CT13" s="20">
        <f ca="1">+CS13-CS13*Volatility!CS13*DriftSum!CT13*TimeStep+Volatility!CS13*CS13*SQRT(TimeStep)*CT$49</f>
        <v>5.6043624647973966E-2</v>
      </c>
      <c r="CU13" s="20">
        <f ca="1">+CT13-CT13*Volatility!CT13*DriftSum!CU13*TimeStep+Volatility!CT13*CT13*SQRT(TimeStep)*CU$49</f>
        <v>5.5969683096009026E-2</v>
      </c>
      <c r="CV13" s="20">
        <f ca="1">+CU13-CU13*Volatility!CU13*DriftSum!CV13*TimeStep+Volatility!CU13*CU13*SQRT(TimeStep)*CV$49</f>
        <v>5.6078112161908694E-2</v>
      </c>
      <c r="CW13" s="20">
        <f ca="1">+CV13-CV13*Volatility!CV13*DriftSum!CW13*TimeStep+Volatility!CV13*CV13*SQRT(TimeStep)*CW$49</f>
        <v>5.7390865335649063E-2</v>
      </c>
      <c r="CX13" s="20">
        <f ca="1">+CW13-CW13*Volatility!CW13*DriftSum!CX13*TimeStep+Volatility!CW13*CW13*SQRT(TimeStep)*CX$49</f>
        <v>5.8167552828809803E-2</v>
      </c>
      <c r="CY13" s="20">
        <f ca="1">+CX13-CX13*Volatility!CX13*DriftSum!CY13*TimeStep+Volatility!CX13*CX13*SQRT(TimeStep)*CY$49</f>
        <v>6.029132746940425E-2</v>
      </c>
      <c r="CZ13" s="20">
        <f ca="1">+CY13-CY13*Volatility!CY13*DriftSum!CZ13*TimeStep+Volatility!CY13*CY13*SQRT(TimeStep)*CZ$49</f>
        <v>6.0737138950076174E-2</v>
      </c>
      <c r="DA13" s="20">
        <f ca="1">+CZ13-CZ13*Volatility!CZ13*DriftSum!DA13*TimeStep+Volatility!CZ13*CZ13*SQRT(TimeStep)*DA$49</f>
        <v>6.1901580140820318E-2</v>
      </c>
      <c r="DB13" s="20">
        <f ca="1">+DA13-DA13*Volatility!DA13*DriftSum!DB13*TimeStep+Volatility!DA13*DA13*SQRT(TimeStep)*DB$49</f>
        <v>6.291797207065504E-2</v>
      </c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</row>
    <row r="14" spans="2:127" x14ac:dyDescent="0.2">
      <c r="D14" s="2">
        <f t="shared" si="2"/>
        <v>8.25</v>
      </c>
      <c r="E14" s="10">
        <f t="shared" si="3"/>
        <v>0.68113321704541707</v>
      </c>
      <c r="F14" s="12" t="str">
        <f t="shared" si="4"/>
        <v>L(t;8,8.25)</v>
      </c>
      <c r="G14" s="19">
        <v>0.05</v>
      </c>
      <c r="H14" s="20">
        <f ca="1">+G14+G14*Volatility!G14*(-DriftSum!H14*TimeStep+SQRT(TimeStep)*H$49)</f>
        <v>5.1137560818112882E-2</v>
      </c>
      <c r="I14" s="20">
        <f ca="1">+H14+H14*Volatility!H14*(-DriftSum!I14*TimeStep+SQRT(TimeStep)*I$49)</f>
        <v>5.1213137160880905E-2</v>
      </c>
      <c r="J14" s="20">
        <f ca="1">+I14+I14*Volatility!I14*(-DriftSum!J14*TimeStep+SQRT(TimeStep)*J$49)</f>
        <v>5.0110871479938486E-2</v>
      </c>
      <c r="K14" s="20">
        <f ca="1">+J14+J14*Volatility!J14*(-DriftSum!K14*TimeStep+SQRT(TimeStep)*K$49)</f>
        <v>5.0493375461190447E-2</v>
      </c>
      <c r="L14" s="20">
        <f ca="1">+K14+K14*Volatility!K14*(-DriftSum!L14*TimeStep+SQRT(TimeStep)*L$49)</f>
        <v>4.9257418823138145E-2</v>
      </c>
      <c r="M14" s="20">
        <f ca="1">+L14+L14*Volatility!L14*(-DriftSum!M14*TimeStep+SQRT(TimeStep)*M$49)</f>
        <v>5.1861988800539265E-2</v>
      </c>
      <c r="N14" s="20">
        <f ca="1">+M14+M14*Volatility!M14*(-DriftSum!N14*TimeStep+SQRT(TimeStep)*N$49)</f>
        <v>5.1464826126506595E-2</v>
      </c>
      <c r="O14" s="20">
        <f ca="1">+N14+N14*Volatility!N14*(-DriftSum!O14*TimeStep+SQRT(TimeStep)*O$49)</f>
        <v>5.2976865106007652E-2</v>
      </c>
      <c r="P14" s="20">
        <f ca="1">+O14+O14*Volatility!O14*(-DriftSum!P14*TimeStep+SQRT(TimeStep)*P$49)</f>
        <v>5.1820294585529107E-2</v>
      </c>
      <c r="Q14" s="20">
        <f ca="1">+P14+P14*Volatility!P14*(-DriftSum!Q14*TimeStep+SQRT(TimeStep)*Q$49)</f>
        <v>5.2064011713322103E-2</v>
      </c>
      <c r="R14" s="20">
        <f ca="1">+Q14+Q14*Volatility!Q14*(-DriftSum!R14*TimeStep+SQRT(TimeStep)*R$49)</f>
        <v>5.3237140866503968E-2</v>
      </c>
      <c r="S14" s="20">
        <f ca="1">+R14+R14*Volatility!R14*(-DriftSum!S14*TimeStep+SQRT(TimeStep)*S$49)</f>
        <v>5.551201200659929E-2</v>
      </c>
      <c r="T14" s="20">
        <f ca="1">+S14+S14*Volatility!S14*(-DriftSum!T14*TimeStep+SQRT(TimeStep)*T$49)</f>
        <v>5.4670333300944451E-2</v>
      </c>
      <c r="U14" s="20">
        <f ca="1">+T14+T14*Volatility!T14*(-DriftSum!U14*TimeStep+SQRT(TimeStep)*U$49)</f>
        <v>5.4559952048975853E-2</v>
      </c>
      <c r="V14" s="20">
        <f ca="1">+U14+U14*Volatility!U14*(-DriftSum!V14*TimeStep+SQRT(TimeStep)*V$49)</f>
        <v>5.3261265607277411E-2</v>
      </c>
      <c r="W14" s="20">
        <f ca="1">+V14+V14*Volatility!V14*(-DriftSum!W14*TimeStep+SQRT(TimeStep)*W$49)</f>
        <v>5.0129045973965766E-2</v>
      </c>
      <c r="X14" s="20">
        <f ca="1">+W14+W14*Volatility!W14*(-DriftSum!X14*TimeStep+SQRT(TimeStep)*X$49)</f>
        <v>5.098179382546196E-2</v>
      </c>
      <c r="Y14" s="20">
        <f ca="1">+X14+X14*Volatility!X14*(-DriftSum!Y14*TimeStep+SQRT(TimeStep)*Y$49)</f>
        <v>5.028788984785576E-2</v>
      </c>
      <c r="Z14" s="20">
        <f ca="1">+Y14+Y14*Volatility!Y14*(-DriftSum!Z14*TimeStep+SQRT(TimeStep)*Z$49)</f>
        <v>5.1366585090347049E-2</v>
      </c>
      <c r="AA14" s="20">
        <f ca="1">+Z14+Z14*Volatility!Z14*(-DriftSum!AA14*TimeStep+SQRT(TimeStep)*AA$49)</f>
        <v>5.2235085746948913E-2</v>
      </c>
      <c r="AB14" s="20">
        <f ca="1">+AA14+AA14*Volatility!AA14*(-DriftSum!AB14*TimeStep+SQRT(TimeStep)*AB$49)</f>
        <v>5.2109769412620403E-2</v>
      </c>
      <c r="AC14" s="20">
        <f ca="1">+AB14+AB14*Volatility!AB14*(-DriftSum!AC14*TimeStep+SQRT(TimeStep)*AC$49)</f>
        <v>5.1133466805787668E-2</v>
      </c>
      <c r="AD14" s="20">
        <f ca="1">+AC14+AC14*Volatility!AC14*(-DriftSum!AD14*TimeStep+SQRT(TimeStep)*AD$49)</f>
        <v>5.0710577691490143E-2</v>
      </c>
      <c r="AE14" s="20">
        <f ca="1">+AD14+AD14*Volatility!AD14*(-DriftSum!AE14*TimeStep+SQRT(TimeStep)*AE$49)</f>
        <v>5.3059880115368815E-2</v>
      </c>
      <c r="AF14" s="20">
        <f ca="1">+AE14+AE14*Volatility!AE14*(-DriftSum!AF14*TimeStep+SQRT(TimeStep)*AF$49)</f>
        <v>5.3319290927643606E-2</v>
      </c>
      <c r="AG14" s="20">
        <f ca="1">+AF14+AF14*Volatility!AF14*(-DriftSum!AG14*TimeStep+SQRT(TimeStep)*AG$49)</f>
        <v>5.3959033679250194E-2</v>
      </c>
      <c r="AH14" s="20">
        <f ca="1">+AG14+AG14*Volatility!AG14*(-DriftSum!AH14*TimeStep+SQRT(TimeStep)*AH$49)</f>
        <v>5.4693696201178803E-2</v>
      </c>
      <c r="AI14" s="20">
        <f ca="1">+AH14+AH14*Volatility!AH14*(-DriftSum!AI14*TimeStep+SQRT(TimeStep)*AI$49)</f>
        <v>5.7162539215353927E-2</v>
      </c>
      <c r="AJ14" s="20">
        <f ca="1">+AI14+AI14*Volatility!AI14*(-DriftSum!AJ14*TimeStep+SQRT(TimeStep)*AJ$49)</f>
        <v>5.7724709856231654E-2</v>
      </c>
      <c r="AK14" s="20">
        <f ca="1">+AJ14+AJ14*Volatility!AJ14*(-DriftSum!AK14*TimeStep+SQRT(TimeStep)*AK$49)</f>
        <v>5.9631030588174816E-2</v>
      </c>
      <c r="AL14" s="20">
        <f ca="1">+AK14+AK14*Volatility!AK14*(-DriftSum!AL14*TimeStep+SQRT(TimeStep)*AL$49)</f>
        <v>6.0531900010240655E-2</v>
      </c>
      <c r="AM14" s="20">
        <f ca="1">+AL14+AL14*Volatility!AL14*(-DriftSum!AM14*TimeStep+SQRT(TimeStep)*AM$49)</f>
        <v>6.0245111390905277E-2</v>
      </c>
      <c r="AN14" s="20">
        <f ca="1">+AM14+AM14*Volatility!AM14*(-DriftSum!AN14*TimeStep+SQRT(TimeStep)*AN$49)</f>
        <v>5.7060470853370612E-2</v>
      </c>
      <c r="AO14" s="20">
        <f ca="1">+AN14+AN14*Volatility!AN14*(-DriftSum!AO14*TimeStep+SQRT(TimeStep)*AO$49)</f>
        <v>5.6167204780436748E-2</v>
      </c>
      <c r="AP14" s="20">
        <f ca="1">+AO14+AO14*Volatility!AO14*(-DriftSum!AP14*TimeStep+SQRT(TimeStep)*AP$49)</f>
        <v>5.4292192544644506E-2</v>
      </c>
      <c r="AQ14" s="20">
        <f ca="1">+AP14+AP14*Volatility!AP14*(-DriftSum!AQ14*TimeStep+SQRT(TimeStep)*AQ$49)</f>
        <v>5.5322453418805657E-2</v>
      </c>
      <c r="AR14" s="20">
        <f ca="1">+AQ14+AQ14*Volatility!AQ14*(-DriftSum!AR14*TimeStep+SQRT(TimeStep)*AR$49)</f>
        <v>5.6726800628772396E-2</v>
      </c>
      <c r="AS14" s="20">
        <f ca="1">+AR14+AR14*Volatility!AR14*(-DriftSum!AS14*TimeStep+SQRT(TimeStep)*AS$49)</f>
        <v>5.568379036372953E-2</v>
      </c>
      <c r="AT14" s="20">
        <f ca="1">+AS14+AS14*Volatility!AS14*(-DriftSum!AT14*TimeStep+SQRT(TimeStep)*AT$49)</f>
        <v>5.524465686247329E-2</v>
      </c>
      <c r="AU14" s="20">
        <f ca="1">+AT14+AT14*Volatility!AT14*(-DriftSum!AU14*TimeStep+SQRT(TimeStep)*AU$49)</f>
        <v>5.6528535360730756E-2</v>
      </c>
      <c r="AV14" s="20">
        <f ca="1">+AU14+AU14*Volatility!AU14*(-DriftSum!AV14*TimeStep+SQRT(TimeStep)*AV$49)</f>
        <v>5.6800435171912508E-2</v>
      </c>
      <c r="AW14" s="20">
        <f ca="1">+AV14+AV14*Volatility!AV14*(-DriftSum!AW14*TimeStep+SQRT(TimeStep)*AW$49)</f>
        <v>5.831590454430554E-2</v>
      </c>
      <c r="AX14" s="20">
        <f ca="1">+AW14+AW14*Volatility!AW14*(-DriftSum!AX14*TimeStep+SQRT(TimeStep)*AX$49)</f>
        <v>5.6716583434011328E-2</v>
      </c>
      <c r="AY14" s="20">
        <f ca="1">+AX14+AX14*Volatility!AX14*(-DriftSum!AY14*TimeStep+SQRT(TimeStep)*AY$49)</f>
        <v>5.7865403262110517E-2</v>
      </c>
      <c r="AZ14" s="20">
        <f ca="1">+AY14+AY14*Volatility!AY14*(-DriftSum!AZ14*TimeStep+SQRT(TimeStep)*AZ$49)</f>
        <v>5.8840493495893341E-2</v>
      </c>
      <c r="BA14" s="20">
        <f ca="1">+AZ14+AZ14*Volatility!AZ14*(-DriftSum!BA14*TimeStep+SQRT(TimeStep)*BA$49)</f>
        <v>6.1439194111266554E-2</v>
      </c>
      <c r="BB14" s="20">
        <f ca="1">+BA14+BA14*Volatility!BA14*(-DriftSum!BB14*TimeStep+SQRT(TimeStep)*BB$49)</f>
        <v>6.2095512648865869E-2</v>
      </c>
      <c r="BC14" s="20">
        <f ca="1">+BB14+BB14*Volatility!BB14*(-DriftSum!BC14*TimeStep+SQRT(TimeStep)*BC$49)</f>
        <v>6.0396740499619461E-2</v>
      </c>
      <c r="BD14" s="20">
        <f ca="1">+BC14+BC14*Volatility!BC14*(-DriftSum!BD14*TimeStep+SQRT(TimeStep)*BD$49)</f>
        <v>6.0277615074706942E-2</v>
      </c>
      <c r="BE14" s="20">
        <f ca="1">+BD14+BD14*Volatility!BD14*(-DriftSum!BE14*TimeStep+SQRT(TimeStep)*BE$49)</f>
        <v>5.9473248821600426E-2</v>
      </c>
      <c r="BF14" s="20">
        <f ca="1">+BE14+BE14*Volatility!BE14*(-DriftSum!BF14*TimeStep+SQRT(TimeStep)*BF$49)</f>
        <v>5.6847384941912216E-2</v>
      </c>
      <c r="BG14" s="20">
        <f ca="1">+BF14+BF14*Volatility!BF14*(-DriftSum!BG14*TimeStep+SQRT(TimeStep)*BG$49)</f>
        <v>5.9693039691871043E-2</v>
      </c>
      <c r="BH14" s="20">
        <f ca="1">+BG14+BG14*Volatility!BG14*(-DriftSum!BH14*TimeStep+SQRT(TimeStep)*BH$49)</f>
        <v>5.8328808085181837E-2</v>
      </c>
      <c r="BI14" s="20">
        <f ca="1">+BH14+BH14*Volatility!BH14*(-DriftSum!BI14*TimeStep+SQRT(TimeStep)*BI$49)</f>
        <v>5.4726509449655937E-2</v>
      </c>
      <c r="BJ14" s="20">
        <f ca="1">+BI14+BI14*Volatility!BI14*(-DriftSum!BJ14*TimeStep+SQRT(TimeStep)*BJ$49)</f>
        <v>5.556596690465139E-2</v>
      </c>
      <c r="BK14" s="20">
        <f ca="1">+BJ14+BJ14*Volatility!BJ14*(-DriftSum!BK14*TimeStep+SQRT(TimeStep)*BK$49)</f>
        <v>5.6718924679780909E-2</v>
      </c>
      <c r="BL14" s="20">
        <f ca="1">+BK14+BK14*Volatility!BK14*(-DriftSum!BL14*TimeStep+SQRT(TimeStep)*BL$49)</f>
        <v>5.7933867486841907E-2</v>
      </c>
      <c r="BM14" s="20">
        <f ca="1">+BL14+BL14*Volatility!BL14*(-DriftSum!BM14*TimeStep+SQRT(TimeStep)*BM$49)</f>
        <v>5.5762427427002104E-2</v>
      </c>
      <c r="BN14" s="20">
        <f ca="1">+BM14+BM14*Volatility!BM14*(-DriftSum!BN14*TimeStep+SQRT(TimeStep)*BN$49)</f>
        <v>5.6420188240308894E-2</v>
      </c>
      <c r="BO14" s="20">
        <f ca="1">+BN14+BN14*Volatility!BN14*(-DriftSum!BO14*TimeStep+SQRT(TimeStep)*BO$49)</f>
        <v>5.8201636213093627E-2</v>
      </c>
      <c r="BP14" s="20">
        <f ca="1">+BO14+BO14*Volatility!BO14*(-DriftSum!BP14*TimeStep+SQRT(TimeStep)*BP$49)</f>
        <v>5.8499964598970201E-2</v>
      </c>
      <c r="BQ14" s="20">
        <f ca="1">+BP14+BP14*Volatility!BP14*(-DriftSum!BQ14*TimeStep+SQRT(TimeStep)*BQ$49)</f>
        <v>5.8626775618464903E-2</v>
      </c>
      <c r="BR14" s="20">
        <f ca="1">+BQ14+BQ14*Volatility!BQ14*(-DriftSum!BR14*TimeStep+SQRT(TimeStep)*BR$49)</f>
        <v>6.0770663571683613E-2</v>
      </c>
      <c r="BS14" s="20">
        <f ca="1">+BR14+BR14*Volatility!BR14*(-DriftSum!BS14*TimeStep+SQRT(TimeStep)*BS$49)</f>
        <v>5.8017322388078302E-2</v>
      </c>
      <c r="BT14" s="20">
        <f ca="1">+BS14+BS14*Volatility!BS14*(-DriftSum!BT14*TimeStep+SQRT(TimeStep)*BT$49)</f>
        <v>5.5981609391504525E-2</v>
      </c>
      <c r="BU14" s="20">
        <f ca="1">+BT14+BT14*Volatility!BT14*(-DriftSum!BU14*TimeStep+SQRT(TimeStep)*BU$49)</f>
        <v>5.4139539297308123E-2</v>
      </c>
      <c r="BV14" s="20">
        <f ca="1">+BU14+BU14*Volatility!BU14*(-DriftSum!BV14*TimeStep+SQRT(TimeStep)*BV$49)</f>
        <v>5.6718303423879464E-2</v>
      </c>
      <c r="BW14" s="20">
        <f ca="1">+BV14+BV14*Volatility!BV14*(-DriftSum!BW14*TimeStep+SQRT(TimeStep)*BW$49)</f>
        <v>5.3328376544964348E-2</v>
      </c>
      <c r="BX14" s="20">
        <f ca="1">+BW14+BW14*Volatility!BW14*(-DriftSum!BX14*TimeStep+SQRT(TimeStep)*BX$49)</f>
        <v>5.2313620873269753E-2</v>
      </c>
      <c r="BY14" s="20">
        <f ca="1">+BX14+BX14*Volatility!BX14*(-DriftSum!BY14*TimeStep+SQRT(TimeStep)*BY$49)</f>
        <v>5.2673403358778556E-2</v>
      </c>
      <c r="BZ14" s="20">
        <f ca="1">+BY14+BY14*Volatility!BY14*(-DriftSum!BZ14*TimeStep+SQRT(TimeStep)*BZ$49)</f>
        <v>5.578481743855554E-2</v>
      </c>
      <c r="CA14" s="20">
        <f ca="1">+BZ14+BZ14*Volatility!BZ14*(-DriftSum!CA14*TimeStep+SQRT(TimeStep)*CA$49)</f>
        <v>5.4164132389890325E-2</v>
      </c>
      <c r="CB14" s="20">
        <f ca="1">+CA14+CA14*Volatility!CA14*(-DriftSum!CB14*TimeStep+SQRT(TimeStep)*CB$49)</f>
        <v>5.543689106150218E-2</v>
      </c>
      <c r="CC14" s="20">
        <f ca="1">+CB14+CB14*Volatility!CB14*(-DriftSum!CC14*TimeStep+SQRT(TimeStep)*CC$49)</f>
        <v>5.5177338988279243E-2</v>
      </c>
      <c r="CD14" s="20">
        <f ca="1">+CC14+CC14*Volatility!CC14*(-DriftSum!CD14*TimeStep+SQRT(TimeStep)*CD$49)</f>
        <v>5.579417281603509E-2</v>
      </c>
      <c r="CE14" s="20">
        <f ca="1">+CD14+CD14*Volatility!CD14*(-DriftSum!CE14*TimeStep+SQRT(TimeStep)*CE$49)</f>
        <v>5.3750241798615241E-2</v>
      </c>
      <c r="CF14" s="20">
        <f ca="1">+CE14+CE14*Volatility!CE14*(-DriftSum!CF14*TimeStep+SQRT(TimeStep)*CF$49)</f>
        <v>5.5559990291813195E-2</v>
      </c>
      <c r="CG14" s="20">
        <f ca="1">+CF14+CF14*Volatility!CF14*(-DriftSum!CG14*TimeStep+SQRT(TimeStep)*CG$49)</f>
        <v>5.6230144558829118E-2</v>
      </c>
      <c r="CH14" s="20">
        <f ca="1">+CG14+CG14*Volatility!CG14*(-DriftSum!CH14*TimeStep+SQRT(TimeStep)*CH$49)</f>
        <v>5.4637111409333965E-2</v>
      </c>
      <c r="CI14" s="20">
        <f ca="1">+CH14+CH14*Volatility!CH14*(-DriftSum!CI14*TimeStep+SQRT(TimeStep)*CI$49)</f>
        <v>5.4332010539472314E-2</v>
      </c>
      <c r="CJ14" s="20">
        <f ca="1">+CI14+CI14*Volatility!CI14*(-DriftSum!CJ14*TimeStep+SQRT(TimeStep)*CJ$49)</f>
        <v>5.3254325440643846E-2</v>
      </c>
      <c r="CK14" s="20">
        <f ca="1">+CJ14-CJ14*Volatility!CJ14*DriftSum!CK14*TimeStep+Volatility!CJ14*CJ14*SQRT(TimeStep)*CK$49</f>
        <v>5.2723619382881712E-2</v>
      </c>
      <c r="CL14" s="20">
        <f ca="1">+CK14-CK14*Volatility!CK14*DriftSum!CL14*TimeStep+Volatility!CK14*CK14*SQRT(TimeStep)*CL$49</f>
        <v>5.3956834688801088E-2</v>
      </c>
      <c r="CM14" s="20">
        <f ca="1">+CL14-CL14*Volatility!CL14*DriftSum!CM14*TimeStep+Volatility!CL14*CL14*SQRT(TimeStep)*CM$49</f>
        <v>5.3271114751278548E-2</v>
      </c>
      <c r="CN14" s="20">
        <f ca="1">+CM14-CM14*Volatility!CM14*DriftSum!CN14*TimeStep+Volatility!CM14*CM14*SQRT(TimeStep)*CN$49</f>
        <v>5.2455387099536364E-2</v>
      </c>
      <c r="CO14" s="20">
        <f ca="1">+CN14-CN14*Volatility!CN14*DriftSum!CO14*TimeStep+Volatility!CN14*CN14*SQRT(TimeStep)*CO$49</f>
        <v>5.0034744279798225E-2</v>
      </c>
      <c r="CP14" s="20">
        <f ca="1">+CO14-CO14*Volatility!CO14*DriftSum!CP14*TimeStep+Volatility!CO14*CO14*SQRT(TimeStep)*CP$49</f>
        <v>5.0890074136346795E-2</v>
      </c>
      <c r="CQ14" s="20">
        <f ca="1">+CP14-CP14*Volatility!CP14*DriftSum!CQ14*TimeStep+Volatility!CP14*CP14*SQRT(TimeStep)*CQ$49</f>
        <v>5.2478932435134906E-2</v>
      </c>
      <c r="CR14" s="20">
        <f ca="1">+CQ14-CQ14*Volatility!CQ14*DriftSum!CR14*TimeStep+Volatility!CQ14*CQ14*SQRT(TimeStep)*CR$49</f>
        <v>5.3961889777631528E-2</v>
      </c>
      <c r="CS14" s="20">
        <f ca="1">+CR14-CR14*Volatility!CR14*DriftSum!CS14*TimeStep+Volatility!CR14*CR14*SQRT(TimeStep)*CS$49</f>
        <v>5.4663027165934665E-2</v>
      </c>
      <c r="CT14" s="20">
        <f ca="1">+CS14-CS14*Volatility!CS14*DriftSum!CT14*TimeStep+Volatility!CS14*CS14*SQRT(TimeStep)*CT$49</f>
        <v>5.6148217293062047E-2</v>
      </c>
      <c r="CU14" s="20">
        <f ca="1">+CT14-CT14*Volatility!CT14*DriftSum!CU14*TimeStep+Volatility!CT14*CT14*SQRT(TimeStep)*CU$49</f>
        <v>5.607111131653069E-2</v>
      </c>
      <c r="CV14" s="20">
        <f ca="1">+CU14-CU14*Volatility!CU14*DriftSum!CV14*TimeStep+Volatility!CU14*CU14*SQRT(TimeStep)*CV$49</f>
        <v>5.6182870461927291E-2</v>
      </c>
      <c r="CW14" s="20">
        <f ca="1">+CV14-CV14*Volatility!CV14*DriftSum!CW14*TimeStep+Volatility!CV14*CV14*SQRT(TimeStep)*CW$49</f>
        <v>5.7541878716622863E-2</v>
      </c>
      <c r="CX14" s="20">
        <f ca="1">+CW14-CW14*Volatility!CW14*DriftSum!CX14*TimeStep+Volatility!CW14*CW14*SQRT(TimeStep)*CX$49</f>
        <v>5.8346303922221843E-2</v>
      </c>
      <c r="CY14" s="20">
        <f ca="1">+CX14-CX14*Volatility!CX14*DriftSum!CY14*TimeStep+Volatility!CX14*CX14*SQRT(TimeStep)*CY$49</f>
        <v>6.0547842266243594E-2</v>
      </c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</row>
    <row r="15" spans="2:127" x14ac:dyDescent="0.2">
      <c r="D15" s="2">
        <f t="shared" si="2"/>
        <v>8</v>
      </c>
      <c r="E15" s="10">
        <f t="shared" si="3"/>
        <v>0.68964738225848476</v>
      </c>
      <c r="F15" s="12" t="str">
        <f t="shared" si="4"/>
        <v>L(t;7.75,8)</v>
      </c>
      <c r="G15" s="19">
        <v>0.05</v>
      </c>
      <c r="H15" s="20">
        <f ca="1">+G15+G15*Volatility!G15*(-DriftSum!H15*TimeStep+SQRT(TimeStep)*H$49)</f>
        <v>5.1175048956494426E-2</v>
      </c>
      <c r="I15" s="20">
        <f ca="1">+H15+H15*Volatility!H15*(-DriftSum!I15*TimeStep+SQRT(TimeStep)*I$49)</f>
        <v>5.1252713578945827E-2</v>
      </c>
      <c r="J15" s="20">
        <f ca="1">+I15+I15*Volatility!I15*(-DriftSum!J15*TimeStep+SQRT(TimeStep)*J$49)</f>
        <v>5.0113152975407395E-2</v>
      </c>
      <c r="K15" s="20">
        <f ca="1">+J15+J15*Volatility!J15*(-DriftSum!K15*TimeStep+SQRT(TimeStep)*K$49)</f>
        <v>5.050769630270871E-2</v>
      </c>
      <c r="L15" s="20">
        <f ca="1">+K15+K15*Volatility!K15*(-DriftSum!L15*TimeStep+SQRT(TimeStep)*L$49)</f>
        <v>4.9230616181267152E-2</v>
      </c>
      <c r="M15" s="20">
        <f ca="1">+L15+L15*Volatility!L15*(-DriftSum!M15*TimeStep+SQRT(TimeStep)*M$49)</f>
        <v>5.1918218162840091E-2</v>
      </c>
      <c r="N15" s="20">
        <f ca="1">+M15+M15*Volatility!M15*(-DriftSum!N15*TimeStep+SQRT(TimeStep)*N$49)</f>
        <v>5.1507175883122695E-2</v>
      </c>
      <c r="O15" s="20">
        <f ca="1">+N15+N15*Volatility!N15*(-DriftSum!O15*TimeStep+SQRT(TimeStep)*O$49)</f>
        <v>5.3069328755597264E-2</v>
      </c>
      <c r="P15" s="20">
        <f ca="1">+O15+O15*Volatility!O15*(-DriftSum!P15*TimeStep+SQRT(TimeStep)*P$49)</f>
        <v>5.1872454297048315E-2</v>
      </c>
      <c r="Q15" s="20">
        <f ca="1">+P15+P15*Volatility!P15*(-DriftSum!Q15*TimeStep+SQRT(TimeStep)*Q$49)</f>
        <v>5.2123888846678228E-2</v>
      </c>
      <c r="R15" s="20">
        <f ca="1">+Q15+Q15*Volatility!Q15*(-DriftSum!R15*TimeStep+SQRT(TimeStep)*R$49)</f>
        <v>5.3336177599271041E-2</v>
      </c>
      <c r="S15" s="20">
        <f ca="1">+R15+R15*Volatility!R15*(-DriftSum!S15*TimeStep+SQRT(TimeStep)*S$49)</f>
        <v>5.56890890182173E-2</v>
      </c>
      <c r="T15" s="20">
        <f ca="1">+S15+S15*Volatility!S15*(-DriftSum!T15*TimeStep+SQRT(TimeStep)*T$49)</f>
        <v>5.4816636668674576E-2</v>
      </c>
      <c r="U15" s="20">
        <f ca="1">+T15+T15*Volatility!T15*(-DriftSum!U15*TimeStep+SQRT(TimeStep)*U$49)</f>
        <v>5.4701812686472749E-2</v>
      </c>
      <c r="V15" s="20">
        <f ca="1">+U15+U15*Volatility!U15*(-DriftSum!V15*TimeStep+SQRT(TimeStep)*V$49)</f>
        <v>5.3356754845842409E-2</v>
      </c>
      <c r="W15" s="20">
        <f ca="1">+V15+V15*Volatility!V15*(-DriftSum!W15*TimeStep+SQRT(TimeStep)*W$49)</f>
        <v>5.0116088258187752E-2</v>
      </c>
      <c r="X15" s="20">
        <f ca="1">+W15+W15*Volatility!W15*(-DriftSum!X15*TimeStep+SQRT(TimeStep)*X$49)</f>
        <v>5.099596371173467E-2</v>
      </c>
      <c r="Y15" s="20">
        <f ca="1">+X15+X15*Volatility!X15*(-DriftSum!Y15*TimeStep+SQRT(TimeStep)*Y$49)</f>
        <v>5.0278765843163938E-2</v>
      </c>
      <c r="Z15" s="20">
        <f ca="1">+Y15+Y15*Volatility!Y15*(-DriftSum!Z15*TimeStep+SQRT(TimeStep)*Z$49)</f>
        <v>5.1391979169198021E-2</v>
      </c>
      <c r="AA15" s="20">
        <f ca="1">+Z15+Z15*Volatility!Z15*(-DriftSum!AA15*TimeStep+SQRT(TimeStep)*AA$49)</f>
        <v>5.2288769285789939E-2</v>
      </c>
      <c r="AB15" s="20">
        <f ca="1">+AA15+AA15*Volatility!AA15*(-DriftSum!AB15*TimeStep+SQRT(TimeStep)*AB$49)</f>
        <v>5.2158742643262958E-2</v>
      </c>
      <c r="AC15" s="20">
        <f ca="1">+AB15+AB15*Volatility!AB15*(-DriftSum!AC15*TimeStep+SQRT(TimeStep)*AC$49)</f>
        <v>5.1149168089646757E-2</v>
      </c>
      <c r="AD15" s="20">
        <f ca="1">+AC15+AC15*Volatility!AC15*(-DriftSum!AD15*TimeStep+SQRT(TimeStep)*AD$49)</f>
        <v>5.0711884808167927E-2</v>
      </c>
      <c r="AE15" s="20">
        <f ca="1">+AD15+AD15*Volatility!AD15*(-DriftSum!AE15*TimeStep+SQRT(TimeStep)*AE$49)</f>
        <v>5.3137395061305097E-2</v>
      </c>
      <c r="AF15" s="20">
        <f ca="1">+AE15+AE15*Volatility!AE15*(-DriftSum!AF15*TimeStep+SQRT(TimeStep)*AF$49)</f>
        <v>5.3405149595124921E-2</v>
      </c>
      <c r="AG15" s="20">
        <f ca="1">+AF15+AF15*Volatility!AF15*(-DriftSum!AG15*TimeStep+SQRT(TimeStep)*AG$49)</f>
        <v>5.4066305610370777E-2</v>
      </c>
      <c r="AH15" s="20">
        <f ca="1">+AG15+AG15*Volatility!AG15*(-DriftSum!AH15*TimeStep+SQRT(TimeStep)*AH$49)</f>
        <v>5.4825908539342244E-2</v>
      </c>
      <c r="AI15" s="20">
        <f ca="1">+AH15+AH15*Volatility!AH15*(-DriftSum!AI15*TimeStep+SQRT(TimeStep)*AI$49)</f>
        <v>5.7380881267935731E-2</v>
      </c>
      <c r="AJ15" s="20">
        <f ca="1">+AI15+AI15*Volatility!AI15*(-DriftSum!AJ15*TimeStep+SQRT(TimeStep)*AJ$49)</f>
        <v>5.7963012062144034E-2</v>
      </c>
      <c r="AK15" s="20">
        <f ca="1">+AJ15+AJ15*Volatility!AJ15*(-DriftSum!AK15*TimeStep+SQRT(TimeStep)*AK$49)</f>
        <v>5.9939021258576114E-2</v>
      </c>
      <c r="AL15" s="20">
        <f ca="1">+AK15+AK15*Volatility!AK15*(-DriftSum!AL15*TimeStep+SQRT(TimeStep)*AL$49)</f>
        <v>6.087343027241314E-2</v>
      </c>
      <c r="AM15" s="20">
        <f ca="1">+AL15+AL15*Volatility!AL15*(-DriftSum!AM15*TimeStep+SQRT(TimeStep)*AM$49)</f>
        <v>6.0574958044700998E-2</v>
      </c>
      <c r="AN15" s="20">
        <f ca="1">+AM15+AM15*Volatility!AM15*(-DriftSum!AN15*TimeStep+SQRT(TimeStep)*AN$49)</f>
        <v>5.7267811183712193E-2</v>
      </c>
      <c r="AO15" s="20">
        <f ca="1">+AN15+AN15*Volatility!AN15*(-DriftSum!AO15*TimeStep+SQRT(TimeStep)*AO$49)</f>
        <v>5.6341478539437981E-2</v>
      </c>
      <c r="AP15" s="20">
        <f ca="1">+AO15+AO15*Volatility!AO15*(-DriftSum!AP15*TimeStep+SQRT(TimeStep)*AP$49)</f>
        <v>5.4398748933818353E-2</v>
      </c>
      <c r="AQ15" s="20">
        <f ca="1">+AP15+AP15*Volatility!AP15*(-DriftSum!AQ15*TimeStep+SQRT(TimeStep)*AQ$49)</f>
        <v>5.5464162676865943E-2</v>
      </c>
      <c r="AR15" s="20">
        <f ca="1">+AQ15+AQ15*Volatility!AQ15*(-DriftSum!AR15*TimeStep+SQRT(TimeStep)*AR$49)</f>
        <v>5.6917467289804353E-2</v>
      </c>
      <c r="AS15" s="20">
        <f ca="1">+AR15+AR15*Volatility!AR15*(-DriftSum!AS15*TimeStep+SQRT(TimeStep)*AS$49)</f>
        <v>5.5836246121665434E-2</v>
      </c>
      <c r="AT15" s="20">
        <f ca="1">+AS15+AS15*Volatility!AS15*(-DriftSum!AT15*TimeStep+SQRT(TimeStep)*AT$49)</f>
        <v>5.5380993191921163E-2</v>
      </c>
      <c r="AU15" s="20">
        <f ca="1">+AT15+AT15*Volatility!AT15*(-DriftSum!AU15*TimeStep+SQRT(TimeStep)*AU$49)</f>
        <v>5.6709459554726144E-2</v>
      </c>
      <c r="AV15" s="20">
        <f ca="1">+AU15+AU15*Volatility!AU15*(-DriftSum!AV15*TimeStep+SQRT(TimeStep)*AV$49)</f>
        <v>5.6990548707976041E-2</v>
      </c>
      <c r="AW15" s="20">
        <f ca="1">+AV15+AV15*Volatility!AV15*(-DriftSum!AW15*TimeStep+SQRT(TimeStep)*AW$49)</f>
        <v>5.8560092137379074E-2</v>
      </c>
      <c r="AX15" s="20">
        <f ca="1">+AW15+AW15*Volatility!AW15*(-DriftSum!AX15*TimeStep+SQRT(TimeStep)*AX$49)</f>
        <v>5.6901091122828103E-2</v>
      </c>
      <c r="AY15" s="20">
        <f ca="1">+AX15+AX15*Volatility!AX15*(-DriftSum!AY15*TimeStep+SQRT(TimeStep)*AY$49)</f>
        <v>5.8090652210796782E-2</v>
      </c>
      <c r="AZ15" s="20">
        <f ca="1">+AY15+AY15*Volatility!AY15*(-DriftSum!AZ15*TimeStep+SQRT(TimeStep)*AZ$49)</f>
        <v>5.9100854974449869E-2</v>
      </c>
      <c r="BA15" s="20">
        <f ca="1">+AZ15+AZ15*Volatility!AZ15*(-DriftSum!BA15*TimeStep+SQRT(TimeStep)*BA$49)</f>
        <v>6.1795545681998618E-2</v>
      </c>
      <c r="BB15" s="20">
        <f ca="1">+BA15+BA15*Volatility!BA15*(-DriftSum!BB15*TimeStep+SQRT(TimeStep)*BB$49)</f>
        <v>6.2476515882887523E-2</v>
      </c>
      <c r="BC15" s="20">
        <f ca="1">+BB15+BB15*Volatility!BB15*(-DriftSum!BC15*TimeStep+SQRT(TimeStep)*BC$49)</f>
        <v>6.0710890244573538E-2</v>
      </c>
      <c r="BD15" s="20">
        <f ca="1">+BC15+BC15*Volatility!BC15*(-DriftSum!BD15*TimeStep+SQRT(TimeStep)*BD$49)</f>
        <v>6.0586582745460416E-2</v>
      </c>
      <c r="BE15" s="20">
        <f ca="1">+BD15+BD15*Volatility!BD15*(-DriftSum!BE15*TimeStep+SQRT(TimeStep)*BE$49)</f>
        <v>5.9751074637957584E-2</v>
      </c>
      <c r="BF15" s="20">
        <f ca="1">+BE15+BE15*Volatility!BE15*(-DriftSum!BF15*TimeStep+SQRT(TimeStep)*BF$49)</f>
        <v>5.7026280625217987E-2</v>
      </c>
      <c r="BG15" s="20">
        <f ca="1">+BF15+BF15*Volatility!BF15*(-DriftSum!BG15*TimeStep+SQRT(TimeStep)*BG$49)</f>
        <v>5.9973393597758148E-2</v>
      </c>
      <c r="BH15" s="20">
        <f ca="1">+BG15+BG15*Volatility!BG15*(-DriftSum!BH15*TimeStep+SQRT(TimeStep)*BH$49)</f>
        <v>5.8557417733114965E-2</v>
      </c>
      <c r="BI15" s="20">
        <f ca="1">+BH15+BH15*Volatility!BH15*(-DriftSum!BI15*TimeStep+SQRT(TimeStep)*BI$49)</f>
        <v>5.4822460881950745E-2</v>
      </c>
      <c r="BJ15" s="20">
        <f ca="1">+BI15+BI15*Volatility!BI15*(-DriftSum!BJ15*TimeStep+SQRT(TimeStep)*BJ$49)</f>
        <v>5.5690272834964367E-2</v>
      </c>
      <c r="BK15" s="20">
        <f ca="1">+BJ15+BJ15*Volatility!BJ15*(-DriftSum!BK15*TimeStep+SQRT(TimeStep)*BK$49)</f>
        <v>5.688293469930121E-2</v>
      </c>
      <c r="BL15" s="20">
        <f ca="1">+BK15+BK15*Volatility!BK15*(-DriftSum!BL15*TimeStep+SQRT(TimeStep)*BL$49)</f>
        <v>5.8140543679689995E-2</v>
      </c>
      <c r="BM15" s="20">
        <f ca="1">+BL15+BL15*Volatility!BL15*(-DriftSum!BM15*TimeStep+SQRT(TimeStep)*BM$49)</f>
        <v>5.5889692127503332E-2</v>
      </c>
      <c r="BN15" s="20">
        <f ca="1">+BM15+BM15*Volatility!BM15*(-DriftSum!BN15*TimeStep+SQRT(TimeStep)*BN$49)</f>
        <v>5.6569892131152148E-2</v>
      </c>
      <c r="BO15" s="20">
        <f ca="1">+BN15+BN15*Volatility!BN15*(-DriftSum!BO15*TimeStep+SQRT(TimeStep)*BO$49)</f>
        <v>5.8413738714476054E-2</v>
      </c>
      <c r="BP15" s="20">
        <f ca="1">+BO15+BO15*Volatility!BO15*(-DriftSum!BP15*TimeStep+SQRT(TimeStep)*BP$49)</f>
        <v>5.872230767677418E-2</v>
      </c>
      <c r="BQ15" s="20">
        <f ca="1">+BP15+BP15*Volatility!BP15*(-DriftSum!BQ15*TimeStep+SQRT(TimeStep)*BQ$49)</f>
        <v>5.885313504415135E-2</v>
      </c>
      <c r="BR15" s="20">
        <f ca="1">+BQ15+BQ15*Volatility!BQ15*(-DriftSum!BR15*TimeStep+SQRT(TimeStep)*BR$49)</f>
        <v>6.107486073359477E-2</v>
      </c>
      <c r="BS15" s="20">
        <f ca="1">+BR15+BR15*Volatility!BR15*(-DriftSum!BS15*TimeStep+SQRT(TimeStep)*BS$49)</f>
        <v>5.8216839279065388E-2</v>
      </c>
      <c r="BT15" s="20">
        <f ca="1">+BS15+BS15*Volatility!BS15*(-DriftSum!BT15*TimeStep+SQRT(TimeStep)*BT$49)</f>
        <v>5.6106909192737947E-2</v>
      </c>
      <c r="BU15" s="20">
        <f ca="1">+BT15+BT15*Volatility!BT15*(-DriftSum!BU15*TimeStep+SQRT(TimeStep)*BU$49)</f>
        <v>5.4199950149336498E-2</v>
      </c>
      <c r="BV15" s="20">
        <f ca="1">+BU15+BU15*Volatility!BU15*(-DriftSum!BV15*TimeStep+SQRT(TimeStep)*BV$49)</f>
        <v>5.6865248556346483E-2</v>
      </c>
      <c r="BW15" s="20">
        <f ca="1">+BV15+BV15*Volatility!BV15*(-DriftSum!BW15*TimeStep+SQRT(TimeStep)*BW$49)</f>
        <v>5.3355132548535016E-2</v>
      </c>
      <c r="BX15" s="20">
        <f ca="1">+BW15+BW15*Volatility!BW15*(-DriftSum!BX15*TimeStep+SQRT(TimeStep)*BX$49)</f>
        <v>5.2306250018019661E-2</v>
      </c>
      <c r="BY15" s="20">
        <f ca="1">+BX15+BX15*Volatility!BX15*(-DriftSum!BY15*TimeStep+SQRT(TimeStep)*BY$49)</f>
        <v>5.2677220387751272E-2</v>
      </c>
      <c r="BZ15" s="20">
        <f ca="1">+BY15+BY15*Volatility!BY15*(-DriftSum!BZ15*TimeStep+SQRT(TimeStep)*BZ$49)</f>
        <v>5.5889827788237922E-2</v>
      </c>
      <c r="CA15" s="20">
        <f ca="1">+BZ15+BZ15*Volatility!BZ15*(-DriftSum!CA15*TimeStep+SQRT(TimeStep)*CA$49)</f>
        <v>5.4212584132630047E-2</v>
      </c>
      <c r="CB15" s="20">
        <f ca="1">+CA15+CA15*Volatility!CA15*(-DriftSum!CB15*TimeStep+SQRT(TimeStep)*CB$49)</f>
        <v>5.5527493935986966E-2</v>
      </c>
      <c r="CC15" s="20">
        <f ca="1">+CB15+CB15*Volatility!CB15*(-DriftSum!CC15*TimeStep+SQRT(TimeStep)*CC$49)</f>
        <v>5.5258487338645641E-2</v>
      </c>
      <c r="CD15" s="20">
        <f ca="1">+CC15+CC15*Volatility!CC15*(-DriftSum!CD15*TimeStep+SQRT(TimeStep)*CD$49)</f>
        <v>5.5895824440256661E-2</v>
      </c>
      <c r="CE15" s="20">
        <f ca="1">+CD15+CD15*Volatility!CD15*(-DriftSum!CE15*TimeStep+SQRT(TimeStep)*CE$49)</f>
        <v>5.3780838178147577E-2</v>
      </c>
      <c r="CF15" s="20">
        <f ca="1">+CE15+CE15*Volatility!CE15*(-DriftSum!CF15*TimeStep+SQRT(TimeStep)*CF$49)</f>
        <v>5.5650144593901468E-2</v>
      </c>
      <c r="CG15" s="20">
        <f ca="1">+CF15+CF15*Volatility!CF15*(-DriftSum!CG15*TimeStep+SQRT(TimeStep)*CG$49)</f>
        <v>5.6342719326753825E-2</v>
      </c>
      <c r="CH15" s="20">
        <f ca="1">+CG15+CG15*Volatility!CG15*(-DriftSum!CH15*TimeStep+SQRT(TimeStep)*CH$49)</f>
        <v>5.4693877263289642E-2</v>
      </c>
      <c r="CI15" s="20">
        <f ca="1">+CH15+CH15*Volatility!CH15*(-DriftSum!CI15*TimeStep+SQRT(TimeStep)*CI$49)</f>
        <v>5.4377963337128785E-2</v>
      </c>
      <c r="CJ15" s="20">
        <f ca="1">+CI15+CI15*Volatility!CI15*(-DriftSum!CJ15*TimeStep+SQRT(TimeStep)*CJ$49)</f>
        <v>5.3263664379251632E-2</v>
      </c>
      <c r="CK15" s="20">
        <f ca="1">+CJ15-CJ15*Volatility!CJ15*DriftSum!CK15*TimeStep+Volatility!CJ15*CJ15*SQRT(TimeStep)*CK$49</f>
        <v>5.2715046889949199E-2</v>
      </c>
      <c r="CL15" s="20">
        <f ca="1">+CK15-CK15*Volatility!CK15*DriftSum!CL15*TimeStep+Volatility!CK15*CK15*SQRT(TimeStep)*CL$49</f>
        <v>5.3987769202153972E-2</v>
      </c>
      <c r="CM15" s="20">
        <f ca="1">+CL15-CL15*Volatility!CL15*DriftSum!CM15*TimeStep+Volatility!CL15*CL15*SQRT(TimeStep)*CM$49</f>
        <v>5.327875952467364E-2</v>
      </c>
      <c r="CN15" s="20">
        <f ca="1">+CM15-CM15*Volatility!CM15*DriftSum!CN15*TimeStep+Volatility!CM15*CM15*SQRT(TimeStep)*CN$49</f>
        <v>5.2435801178094349E-2</v>
      </c>
      <c r="CO15" s="20">
        <f ca="1">+CN15-CN15*Volatility!CN15*DriftSum!CO15*TimeStep+Volatility!CN15*CN15*SQRT(TimeStep)*CO$49</f>
        <v>4.9936663306731618E-2</v>
      </c>
      <c r="CP15" s="20">
        <f ca="1">+CO15-CO15*Volatility!CO15*DriftSum!CP15*TimeStep+Volatility!CO15*CO15*SQRT(TimeStep)*CP$49</f>
        <v>5.0817703686612176E-2</v>
      </c>
      <c r="CQ15" s="20">
        <f ca="1">+CP15-CP15*Volatility!CP15*DriftSum!CQ15*TimeStep+Volatility!CP15*CP15*SQRT(TimeStep)*CQ$49</f>
        <v>5.2455574424210172E-2</v>
      </c>
      <c r="CR15" s="20">
        <f ca="1">+CQ15-CQ15*Volatility!CQ15*DriftSum!CR15*TimeStep+Volatility!CQ15*CQ15*SQRT(TimeStep)*CR$49</f>
        <v>5.3985712743471505E-2</v>
      </c>
      <c r="CS15" s="20">
        <f ca="1">+CR15-CR15*Volatility!CR15*DriftSum!CS15*TimeStep+Volatility!CR15*CR15*SQRT(TimeStep)*CS$49</f>
        <v>5.4709509558247577E-2</v>
      </c>
      <c r="CT15" s="20">
        <f ca="1">+CS15-CS15*Volatility!CS15*DriftSum!CT15*TimeStep+Volatility!CS15*CS15*SQRT(TimeStep)*CT$49</f>
        <v>5.6243896708461964E-2</v>
      </c>
      <c r="CU15" s="20">
        <f ca="1">+CT15-CT15*Volatility!CT15*DriftSum!CU15*TimeStep+Volatility!CT15*CT15*SQRT(TimeStep)*CU$49</f>
        <v>5.6163573671226118E-2</v>
      </c>
      <c r="CV15" s="20">
        <f ca="1">+CU15-CU15*Volatility!CU15*DriftSum!CV15*TimeStep+Volatility!CU15*CU15*SQRT(TimeStep)*CV$49</f>
        <v>5.6278601957483826E-2</v>
      </c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</row>
    <row r="16" spans="2:127" x14ac:dyDescent="0.2">
      <c r="D16" s="2">
        <f t="shared" si="2"/>
        <v>7.75</v>
      </c>
      <c r="E16" s="10">
        <f t="shared" si="3"/>
        <v>0.69826797453671574</v>
      </c>
      <c r="F16" s="12" t="str">
        <f t="shared" si="4"/>
        <v>L(t;7.5,7.75)</v>
      </c>
      <c r="G16" s="19">
        <v>0.05</v>
      </c>
      <c r="H16" s="20">
        <f ca="1">+G16+G16*Volatility!G16*(-DriftSum!H16*TimeStep+SQRT(TimeStep)*H$49)</f>
        <v>5.1212494502283372E-2</v>
      </c>
      <c r="I16" s="20">
        <f ca="1">+H16+H16*Volatility!H16*(-DriftSum!I16*TimeStep+SQRT(TimeStep)*I$49)</f>
        <v>5.1292204870596436E-2</v>
      </c>
      <c r="J16" s="20">
        <f ca="1">+I16+I16*Volatility!I16*(-DriftSum!J16*TimeStep+SQRT(TimeStep)*J$49)</f>
        <v>5.0115248919754114E-2</v>
      </c>
      <c r="K16" s="20">
        <f ca="1">+J16+J16*Volatility!J16*(-DriftSum!K16*TimeStep+SQRT(TimeStep)*K$49)</f>
        <v>5.0521787446396633E-2</v>
      </c>
      <c r="L16" s="20">
        <f ca="1">+K16+K16*Volatility!K16*(-DriftSum!L16*TimeStep+SQRT(TimeStep)*L$49)</f>
        <v>4.920352217551513E-2</v>
      </c>
      <c r="M16" s="20">
        <f ca="1">+L16+L16*Volatility!L16*(-DriftSum!M16*TimeStep+SQRT(TimeStep)*M$49)</f>
        <v>5.197400585444506E-2</v>
      </c>
      <c r="N16" s="20">
        <f ca="1">+M16+M16*Volatility!M16*(-DriftSum!N16*TimeStep+SQRT(TimeStep)*N$49)</f>
        <v>5.154901099659482E-2</v>
      </c>
      <c r="O16" s="20">
        <f ca="1">+N16+N16*Volatility!N16*(-DriftSum!O16*TimeStep+SQRT(TimeStep)*O$49)</f>
        <v>5.316129545033213E-2</v>
      </c>
      <c r="P16" s="20">
        <f ca="1">+O16+O16*Volatility!O16*(-DriftSum!P16*TimeStep+SQRT(TimeStep)*P$49)</f>
        <v>5.1923945292284966E-2</v>
      </c>
      <c r="Q16" s="20">
        <f ca="1">+P16+P16*Volatility!P16*(-DriftSum!Q16*TimeStep+SQRT(TimeStep)*Q$49)</f>
        <v>5.2183061623755828E-2</v>
      </c>
      <c r="R16" s="20">
        <f ca="1">+Q16+Q16*Volatility!Q16*(-DriftSum!R16*TimeStep+SQRT(TimeStep)*R$49)</f>
        <v>5.343453209225299E-2</v>
      </c>
      <c r="S16" s="20">
        <f ca="1">+R16+R16*Volatility!R16*(-DriftSum!S16*TimeStep+SQRT(TimeStep)*S$49)</f>
        <v>5.5865676370719632E-2</v>
      </c>
      <c r="T16" s="20">
        <f ca="1">+S16+S16*Volatility!S16*(-DriftSum!T16*TimeStep+SQRT(TimeStep)*T$49)</f>
        <v>5.4962223888003169E-2</v>
      </c>
      <c r="U16" s="20">
        <f ca="1">+T16+T16*Volatility!T16*(-DriftSum!U16*TimeStep+SQRT(TimeStep)*U$49)</f>
        <v>5.4842882828301312E-2</v>
      </c>
      <c r="V16" s="20">
        <f ca="1">+U16+U16*Volatility!U16*(-DriftSum!V16*TimeStep+SQRT(TimeStep)*V$49)</f>
        <v>5.3451197150434421E-2</v>
      </c>
      <c r="W16" s="20">
        <f ca="1">+V16+V16*Volatility!V16*(-DriftSum!W16*TimeStep+SQRT(TimeStep)*W$49)</f>
        <v>5.0101730669834407E-2</v>
      </c>
      <c r="X16" s="20">
        <f ca="1">+W16+W16*Volatility!W16*(-DriftSum!X16*TimeStep+SQRT(TimeStep)*X$49)</f>
        <v>5.1008650647044747E-2</v>
      </c>
      <c r="Y16" s="20">
        <f ca="1">+X16+X16*Volatility!X16*(-DriftSum!Y16*TimeStep+SQRT(TimeStep)*Y$49)</f>
        <v>5.0268122183502122E-2</v>
      </c>
      <c r="Z16" s="20">
        <f ca="1">+Y16+Y16*Volatility!Y16*(-DriftSum!Z16*TimeStep+SQRT(TimeStep)*Z$49)</f>
        <v>5.1415762384636354E-2</v>
      </c>
      <c r="AA16" s="20">
        <f ca="1">+Z16+Z16*Volatility!Z16*(-DriftSum!AA16*TimeStep+SQRT(TimeStep)*AA$49)</f>
        <v>5.2340794305923186E-2</v>
      </c>
      <c r="AB16" s="20">
        <f ca="1">+AA16+AA16*Volatility!AA16*(-DriftSum!AB16*TimeStep+SQRT(TimeStep)*AB$49)</f>
        <v>5.2206004120231228E-2</v>
      </c>
      <c r="AC16" s="20">
        <f ca="1">+AB16+AB16*Volatility!AB16*(-DriftSum!AC16*TimeStep+SQRT(TimeStep)*AC$49)</f>
        <v>5.1163083242772397E-2</v>
      </c>
      <c r="AD16" s="20">
        <f ca="1">+AC16+AC16*Volatility!AC16*(-DriftSum!AD16*TimeStep+SQRT(TimeStep)*AD$49)</f>
        <v>5.0711367125247452E-2</v>
      </c>
      <c r="AE16" s="20">
        <f ca="1">+AD16+AD16*Volatility!AD16*(-DriftSum!AE16*TimeStep+SQRT(TimeStep)*AE$49)</f>
        <v>5.3212954344655818E-2</v>
      </c>
      <c r="AF16" s="20">
        <f ca="1">+AE16+AE16*Volatility!AE16*(-DriftSum!AF16*TimeStep+SQRT(TimeStep)*AF$49)</f>
        <v>5.3489015798414252E-2</v>
      </c>
      <c r="AG16" s="20">
        <f ca="1">+AF16+AF16*Volatility!AF16*(-DriftSum!AG16*TimeStep+SQRT(TimeStep)*AG$49)</f>
        <v>5.4171574716682623E-2</v>
      </c>
      <c r="AH16" s="20">
        <f ca="1">+AG16+AG16*Volatility!AG16*(-DriftSum!AH16*TimeStep+SQRT(TimeStep)*AH$49)</f>
        <v>5.4956130286016633E-2</v>
      </c>
      <c r="AI16" s="20">
        <f ca="1">+AH16+AH16*Volatility!AH16*(-DriftSum!AI16*TimeStep+SQRT(TimeStep)*AI$49)</f>
        <v>5.7597470039604068E-2</v>
      </c>
      <c r="AJ16" s="20">
        <f ca="1">+AI16+AI16*Volatility!AI16*(-DriftSum!AJ16*TimeStep+SQRT(TimeStep)*AJ$49)</f>
        <v>5.8199618634278354E-2</v>
      </c>
      <c r="AK16" s="20">
        <f ca="1">+AJ16+AJ16*Volatility!AJ16*(-DriftSum!AK16*TimeStep+SQRT(TimeStep)*AK$49)</f>
        <v>6.0245704005399706E-2</v>
      </c>
      <c r="AL16" s="20">
        <f ca="1">+AK16+AK16*Volatility!AK16*(-DriftSum!AL16*TimeStep+SQRT(TimeStep)*AL$49)</f>
        <v>6.1213862571725279E-2</v>
      </c>
      <c r="AM16" s="20">
        <f ca="1">+AL16+AL16*Volatility!AL16*(-DriftSum!AM16*TimeStep+SQRT(TimeStep)*AM$49)</f>
        <v>6.0903531087104987E-2</v>
      </c>
      <c r="AN16" s="20">
        <f ca="1">+AM16+AM16*Volatility!AM16*(-DriftSum!AN16*TimeStep+SQRT(TimeStep)*AN$49)</f>
        <v>5.7472737885765304E-2</v>
      </c>
      <c r="AO16" s="20">
        <f ca="1">+AN16+AN16*Volatility!AN16*(-DriftSum!AO16*TimeStep+SQRT(TimeStep)*AO$49)</f>
        <v>5.651310380090345E-2</v>
      </c>
      <c r="AP16" s="20">
        <f ca="1">+AO16+AO16*Volatility!AO16*(-DriftSum!AP16*TimeStep+SQRT(TimeStep)*AP$49)</f>
        <v>5.4502311098842703E-2</v>
      </c>
      <c r="AQ16" s="20">
        <f ca="1">+AP16+AP16*Volatility!AP16*(-DriftSum!AQ16*TimeStep+SQRT(TimeStep)*AQ$49)</f>
        <v>5.560289448672176E-2</v>
      </c>
      <c r="AR16" s="20">
        <f ca="1">+AQ16+AQ16*Volatility!AQ16*(-DriftSum!AR16*TimeStep+SQRT(TimeStep)*AR$49)</f>
        <v>5.7105252875084223E-2</v>
      </c>
      <c r="AS16" s="20">
        <f ca="1">+AR16+AR16*Volatility!AR16*(-DriftSum!AS16*TimeStep+SQRT(TimeStep)*AS$49)</f>
        <v>5.5985586424753424E-2</v>
      </c>
      <c r="AT16" s="20">
        <f ca="1">+AS16+AS16*Volatility!AS16*(-DriftSum!AT16*TimeStep+SQRT(TimeStep)*AT$49)</f>
        <v>5.5514103038886126E-2</v>
      </c>
      <c r="AU16" s="20">
        <f ca="1">+AT16+AT16*Volatility!AT16*(-DriftSum!AU16*TimeStep+SQRT(TimeStep)*AU$49)</f>
        <v>5.6887226643620559E-2</v>
      </c>
      <c r="AV16" s="20">
        <f ca="1">+AU16+AU16*Volatility!AU16*(-DriftSum!AV16*TimeStep+SQRT(TimeStep)*AV$49)</f>
        <v>5.7177484280432754E-2</v>
      </c>
      <c r="AW16" s="20">
        <f ca="1">+AV16+AV16*Volatility!AV16*(-DriftSum!AW16*TimeStep+SQRT(TimeStep)*AW$49)</f>
        <v>5.8801279950421115E-2</v>
      </c>
      <c r="AX16" s="20">
        <f ca="1">+AW16+AW16*Volatility!AW16*(-DriftSum!AX16*TimeStep+SQRT(TimeStep)*AX$49)</f>
        <v>5.7082182591259287E-2</v>
      </c>
      <c r="AY16" s="20">
        <f ca="1">+AX16+AX16*Volatility!AX16*(-DriftSum!AY16*TimeStep+SQRT(TimeStep)*AY$49)</f>
        <v>5.8312593027925561E-2</v>
      </c>
      <c r="AZ16" s="20">
        <f ca="1">+AY16+AY16*Volatility!AY16*(-DriftSum!AZ16*TimeStep+SQRT(TimeStep)*AZ$49)</f>
        <v>5.9358030775149874E-2</v>
      </c>
      <c r="BA16" s="20">
        <f ca="1">+AZ16+AZ16*Volatility!AZ16*(-DriftSum!BA16*TimeStep+SQRT(TimeStep)*BA$49)</f>
        <v>6.2149242624398596E-2</v>
      </c>
      <c r="BB16" s="20">
        <f ca="1">+BA16+BA16*Volatility!BA16*(-DriftSum!BB16*TimeStep+SQRT(TimeStep)*BB$49)</f>
        <v>6.2855004302500267E-2</v>
      </c>
      <c r="BC16" s="20">
        <f ca="1">+BB16+BB16*Volatility!BB16*(-DriftSum!BC16*TimeStep+SQRT(TimeStep)*BC$49)</f>
        <v>6.1021838012387711E-2</v>
      </c>
      <c r="BD16" s="20">
        <f ca="1">+BC16+BC16*Volatility!BC16*(-DriftSum!BD16*TimeStep+SQRT(TimeStep)*BD$49)</f>
        <v>6.0892240419673067E-2</v>
      </c>
      <c r="BE16" s="20">
        <f ca="1">+BD16+BD16*Volatility!BD16*(-DriftSum!BE16*TimeStep+SQRT(TimeStep)*BE$49)</f>
        <v>6.0025294736172456E-2</v>
      </c>
      <c r="BF16" s="20">
        <f ca="1">+BE16+BE16*Volatility!BE16*(-DriftSum!BF16*TimeStep+SQRT(TimeStep)*BF$49)</f>
        <v>5.7200869188963076E-2</v>
      </c>
      <c r="BG16" s="20">
        <f ca="1">+BF16+BF16*Volatility!BF16*(-DriftSum!BG16*TimeStep+SQRT(TimeStep)*BG$49)</f>
        <v>6.0249732746178744E-2</v>
      </c>
      <c r="BH16" s="20">
        <f ca="1">+BG16+BG16*Volatility!BG16*(-DriftSum!BH16*TimeStep+SQRT(TimeStep)*BH$49)</f>
        <v>5.8781620942525217E-2</v>
      </c>
      <c r="BI16" s="20">
        <f ca="1">+BH16+BH16*Volatility!BH16*(-DriftSum!BI16*TimeStep+SQRT(TimeStep)*BI$49)</f>
        <v>5.4913308193874508E-2</v>
      </c>
      <c r="BJ16" s="20">
        <f ca="1">+BI16+BI16*Volatility!BI16*(-DriftSum!BJ16*TimeStep+SQRT(TimeStep)*BJ$49)</f>
        <v>5.5809432201148798E-2</v>
      </c>
      <c r="BK16" s="20">
        <f ca="1">+BJ16+BJ16*Volatility!BJ16*(-DriftSum!BK16*TimeStep+SQRT(TimeStep)*BK$49)</f>
        <v>5.7041795020278584E-2</v>
      </c>
      <c r="BL16" s="20">
        <f ca="1">+BK16+BK16*Volatility!BK16*(-DriftSum!BL16*TimeStep+SQRT(TimeStep)*BL$49)</f>
        <v>5.8342120565291575E-2</v>
      </c>
      <c r="BM16" s="20">
        <f ca="1">+BL16+BL16*Volatility!BL16*(-DriftSum!BM16*TimeStep+SQRT(TimeStep)*BM$49)</f>
        <v>5.6011490721716406E-2</v>
      </c>
      <c r="BN16" s="20">
        <f ca="1">+BM16+BM16*Volatility!BM16*(-DriftSum!BN16*TimeStep+SQRT(TimeStep)*BN$49)</f>
        <v>5.6714101061064122E-2</v>
      </c>
      <c r="BO16" s="20">
        <f ca="1">+BN16+BN16*Volatility!BN16*(-DriftSum!BO16*TimeStep+SQRT(TimeStep)*BO$49)</f>
        <v>5.8620409575466915E-2</v>
      </c>
      <c r="BP16" s="20">
        <f ca="1">+BO16+BO16*Volatility!BO16*(-DriftSum!BP16*TimeStep+SQRT(TimeStep)*BP$49)</f>
        <v>5.8939194429736108E-2</v>
      </c>
      <c r="BQ16" s="20">
        <f ca="1">+BP16+BP16*Volatility!BP16*(-DriftSum!BQ16*TimeStep+SQRT(TimeStep)*BQ$49)</f>
        <v>5.9073990062281333E-2</v>
      </c>
      <c r="BR16" s="20">
        <f ca="1">+BQ16+BQ16*Volatility!BQ16*(-DriftSum!BR16*TimeStep+SQRT(TimeStep)*BR$49)</f>
        <v>6.1373811591396418E-2</v>
      </c>
      <c r="BS16" s="20">
        <f ca="1">+BR16+BR16*Volatility!BR16*(-DriftSum!BS16*TimeStep+SQRT(TimeStep)*BS$49)</f>
        <v>5.8410389434879986E-2</v>
      </c>
      <c r="BT16" s="20">
        <f ca="1">+BS16+BS16*Volatility!BS16*(-DriftSum!BT16*TimeStep+SQRT(TimeStep)*BT$49)</f>
        <v>5.622594360851868E-2</v>
      </c>
      <c r="BU16" s="20">
        <f ca="1">+BT16+BT16*Volatility!BT16*(-DriftSum!BU16*TimeStep+SQRT(TimeStep)*BU$49)</f>
        <v>5.4253987900029318E-2</v>
      </c>
      <c r="BV16" s="20">
        <f ca="1">+BU16+BU16*Volatility!BU16*(-DriftSum!BV16*TimeStep+SQRT(TimeStep)*BV$49)</f>
        <v>5.7005632140885672E-2</v>
      </c>
      <c r="BW16" s="20">
        <f ca="1">+BV16+BV16*Volatility!BV16*(-DriftSum!BW16*TimeStep+SQRT(TimeStep)*BW$49)</f>
        <v>5.3375111344206624E-2</v>
      </c>
      <c r="BX16" s="20">
        <f ca="1">+BW16+BW16*Volatility!BW16*(-DriftSum!BX16*TimeStep+SQRT(TimeStep)*BX$49)</f>
        <v>5.2292155960619931E-2</v>
      </c>
      <c r="BY16" s="20">
        <f ca="1">+BX16+BX16*Volatility!BX16*(-DriftSum!BY16*TimeStep+SQRT(TimeStep)*BY$49)</f>
        <v>5.2674214400258337E-2</v>
      </c>
      <c r="BZ16" s="20">
        <f ca="1">+BY16+BY16*Volatility!BY16*(-DriftSum!BZ16*TimeStep+SQRT(TimeStep)*BZ$49)</f>
        <v>5.5987552259550578E-2</v>
      </c>
      <c r="CA16" s="20">
        <f ca="1">+BZ16+BZ16*Volatility!BZ16*(-DriftSum!CA16*TimeStep+SQRT(TimeStep)*CA$49)</f>
        <v>5.4253719151260073E-2</v>
      </c>
      <c r="CB16" s="20">
        <f ca="1">+CA16+CA16*Volatility!CA16*(-DriftSum!CB16*TimeStep+SQRT(TimeStep)*CB$49)</f>
        <v>5.5610618797834264E-2</v>
      </c>
      <c r="CC16" s="20">
        <f ca="1">+CB16+CB16*Volatility!CB16*(-DriftSum!CC16*TimeStep+SQRT(TimeStep)*CC$49)</f>
        <v>5.5332111107400092E-2</v>
      </c>
      <c r="CD16" s="20">
        <f ca="1">+CC16+CC16*Volatility!CC16*(-DriftSum!CD16*TimeStep+SQRT(TimeStep)*CD$49)</f>
        <v>5.5989865656866193E-2</v>
      </c>
      <c r="CE16" s="20">
        <f ca="1">+CD16+CD16*Volatility!CD16*(-DriftSum!CE16*TimeStep+SQRT(TimeStep)*CE$49)</f>
        <v>5.38038210084009E-2</v>
      </c>
      <c r="CF16" s="20">
        <f ca="1">+CE16+CE16*Volatility!CE16*(-DriftSum!CF16*TimeStep+SQRT(TimeStep)*CF$49)</f>
        <v>5.5732428418441025E-2</v>
      </c>
      <c r="CG16" s="20">
        <f ca="1">+CF16+CF16*Volatility!CF16*(-DriftSum!CG16*TimeStep+SQRT(TimeStep)*CG$49)</f>
        <v>5.6447336994568192E-2</v>
      </c>
      <c r="CH16" s="20">
        <f ca="1">+CG16+CG16*Volatility!CG16*(-DriftSum!CH16*TimeStep+SQRT(TimeStep)*CH$49)</f>
        <v>5.4742659671837751E-2</v>
      </c>
      <c r="CI16" s="20">
        <f ca="1">+CH16+CH16*Volatility!CH16*(-DriftSum!CI16*TimeStep+SQRT(TimeStep)*CI$49)</f>
        <v>5.4415905954485415E-2</v>
      </c>
      <c r="CJ16" s="20">
        <f ca="1">+CI16+CI16*Volatility!CI16*(-DriftSum!CJ16*TimeStep+SQRT(TimeStep)*CJ$49)</f>
        <v>5.3265050315184879E-2</v>
      </c>
      <c r="CK16" s="20">
        <f ca="1">+CJ16-CJ16*Volatility!CJ16*DriftSum!CK16*TimeStep+Volatility!CJ16*CJ16*SQRT(TimeStep)*CK$49</f>
        <v>5.2698550290652291E-2</v>
      </c>
      <c r="CL16" s="20">
        <f ca="1">+CK16-CK16*Volatility!CK16*DriftSum!CL16*TimeStep+Volatility!CK16*CK16*SQRT(TimeStep)*CL$49</f>
        <v>5.4010521162849975E-2</v>
      </c>
      <c r="CM16" s="20">
        <f ca="1">+CL16-CL16*Volatility!CL16*DriftSum!CM16*TimeStep+Volatility!CL16*CL16*SQRT(TimeStep)*CM$49</f>
        <v>5.3278255440996757E-2</v>
      </c>
      <c r="CN16" s="20">
        <f ca="1">+CM16-CM16*Volatility!CM16*DriftSum!CN16*TimeStep+Volatility!CM16*CM16*SQRT(TimeStep)*CN$49</f>
        <v>5.2408142251478877E-2</v>
      </c>
      <c r="CO16" s="20">
        <f ca="1">+CN16-CN16*Volatility!CN16*DriftSum!CO16*TimeStep+Volatility!CN16*CN16*SQRT(TimeStep)*CO$49</f>
        <v>4.983091800236962E-2</v>
      </c>
      <c r="CP16" s="20">
        <f ca="1">+CO16-CO16*Volatility!CO16*DriftSum!CP16*TimeStep+Volatility!CO16*CO16*SQRT(TimeStep)*CP$49</f>
        <v>5.0737379419989362E-2</v>
      </c>
      <c r="CQ16" s="20">
        <f ca="1">+CP16-CP16*Volatility!CP16*DriftSum!CQ16*TimeStep+Volatility!CP16*CP16*SQRT(TimeStep)*CQ$49</f>
        <v>5.2423807940623242E-2</v>
      </c>
      <c r="CR16" s="20">
        <f ca="1">+CQ16-CQ16*Volatility!CQ16*DriftSum!CR16*TimeStep+Volatility!CQ16*CQ16*SQRT(TimeStep)*CR$49</f>
        <v>5.4000784055239857E-2</v>
      </c>
      <c r="CS16" s="20">
        <f ca="1">+CR16-CR16*Volatility!CR16*DriftSum!CS16*TimeStep+Volatility!CR16*CR16*SQRT(TimeStep)*CS$49</f>
        <v>5.4747088145213459E-2</v>
      </c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</row>
    <row r="17" spans="4:127" x14ac:dyDescent="0.2">
      <c r="D17" s="2">
        <f t="shared" si="2"/>
        <v>7.5</v>
      </c>
      <c r="E17" s="10">
        <f t="shared" si="3"/>
        <v>0.70699632421842462</v>
      </c>
      <c r="F17" s="12" t="str">
        <f t="shared" si="4"/>
        <v>L(t;7.25,7.5)</v>
      </c>
      <c r="G17" s="19">
        <v>0.05</v>
      </c>
      <c r="H17" s="20">
        <f ca="1">+G17+G17*Volatility!G17*(-DriftSum!H17*TimeStep+SQRT(TimeStep)*H$49)</f>
        <v>5.124989606659084E-2</v>
      </c>
      <c r="I17" s="20">
        <f ca="1">+H17+H17*Volatility!H17*(-DriftSum!I17*TimeStep+SQRT(TimeStep)*I$49)</f>
        <v>5.1331608028502958E-2</v>
      </c>
      <c r="J17" s="20">
        <f ca="1">+I17+I17*Volatility!I17*(-DriftSum!J17*TimeStep+SQRT(TimeStep)*J$49)</f>
        <v>5.0117154932712057E-2</v>
      </c>
      <c r="K17" s="20">
        <f ca="1">+J17+J17*Volatility!J17*(-DriftSum!K17*TimeStep+SQRT(TimeStep)*K$49)</f>
        <v>5.05356429401548E-2</v>
      </c>
      <c r="L17" s="20">
        <f ca="1">+K17+K17*Volatility!K17*(-DriftSum!L17*TimeStep+SQRT(TimeStep)*L$49)</f>
        <v>4.9176130096932398E-2</v>
      </c>
      <c r="M17" s="20">
        <f ca="1">+L17+L17*Volatility!L17*(-DriftSum!M17*TimeStep+SQRT(TimeStep)*M$49)</f>
        <v>5.2029342043861941E-2</v>
      </c>
      <c r="N17" s="20">
        <f ca="1">+M17+M17*Volatility!M17*(-DriftSum!N17*TimeStep+SQRT(TimeStep)*N$49)</f>
        <v>5.1590320329491082E-2</v>
      </c>
      <c r="O17" s="20">
        <f ca="1">+N17+N17*Volatility!N17*(-DriftSum!O17*TimeStep+SQRT(TimeStep)*O$49)</f>
        <v>5.3252750583024901E-2</v>
      </c>
      <c r="P17" s="20">
        <f ca="1">+O17+O17*Volatility!O17*(-DriftSum!P17*TimeStep+SQRT(TimeStep)*P$49)</f>
        <v>5.1974752425701841E-2</v>
      </c>
      <c r="Q17" s="20">
        <f ca="1">+P17+P17*Volatility!P17*(-DriftSum!Q17*TimeStep+SQRT(TimeStep)*Q$49)</f>
        <v>5.2241512824275776E-2</v>
      </c>
      <c r="R17" s="20">
        <f ca="1">+Q17+Q17*Volatility!Q17*(-DriftSum!R17*TimeStep+SQRT(TimeStep)*R$49)</f>
        <v>5.3532183410391218E-2</v>
      </c>
      <c r="S17" s="20">
        <f ca="1">+R17+R17*Volatility!R17*(-DriftSum!S17*TimeStep+SQRT(TimeStep)*S$49)</f>
        <v>5.6041747306712887E-2</v>
      </c>
      <c r="T17" s="20">
        <f ca="1">+S17+S17*Volatility!S17*(-DriftSum!T17*TimeStep+SQRT(TimeStep)*T$49)</f>
        <v>5.5107066847149125E-2</v>
      </c>
      <c r="U17" s="20">
        <f ca="1">+T17+T17*Volatility!T17*(-DriftSum!U17*TimeStep+SQRT(TimeStep)*U$49)</f>
        <v>5.4983132260729581E-2</v>
      </c>
      <c r="V17" s="20">
        <f ca="1">+U17+U17*Volatility!U17*(-DriftSum!V17*TimeStep+SQRT(TimeStep)*V$49)</f>
        <v>5.3544562664316724E-2</v>
      </c>
      <c r="W17" s="20">
        <f ca="1">+V17+V17*Volatility!V17*(-DriftSum!W17*TimeStep+SQRT(TimeStep)*W$49)</f>
        <v>5.0085949345837495E-2</v>
      </c>
      <c r="X17" s="20">
        <f ca="1">+W17+W17*Volatility!W17*(-DriftSum!X17*TimeStep+SQRT(TimeStep)*X$49)</f>
        <v>5.1019826711362432E-2</v>
      </c>
      <c r="Y17" s="20">
        <f ca="1">+X17+X17*Volatility!X17*(-DriftSum!Y17*TimeStep+SQRT(TimeStep)*Y$49)</f>
        <v>5.0255931901340901E-2</v>
      </c>
      <c r="Z17" s="20">
        <f ca="1">+Y17+Y17*Volatility!Y17*(-DriftSum!Z17*TimeStep+SQRT(TimeStep)*Z$49)</f>
        <v>5.1437902644165062E-2</v>
      </c>
      <c r="AA17" s="20">
        <f ca="1">+Z17+Z17*Volatility!Z17*(-DriftSum!AA17*TimeStep+SQRT(TimeStep)*AA$49)</f>
        <v>5.2391123951072517E-2</v>
      </c>
      <c r="AB17" s="20">
        <f ca="1">+AA17+AA17*Volatility!AA17*(-DriftSum!AB17*TimeStep+SQRT(TimeStep)*AB$49)</f>
        <v>5.225151579710207E-2</v>
      </c>
      <c r="AC17" s="20">
        <f ca="1">+AB17+AB17*Volatility!AB17*(-DriftSum!AC17*TimeStep+SQRT(TimeStep)*AC$49)</f>
        <v>5.1175176492948622E-2</v>
      </c>
      <c r="AD17" s="20">
        <f ca="1">+AC17+AC17*Volatility!AC17*(-DriftSum!AD17*TimeStep+SQRT(TimeStep)*AD$49)</f>
        <v>5.0708989199409596E-2</v>
      </c>
      <c r="AE17" s="20">
        <f ca="1">+AD17+AD17*Volatility!AD17*(-DriftSum!AE17*TimeStep+SQRT(TimeStep)*AE$49)</f>
        <v>5.3286511094846306E-2</v>
      </c>
      <c r="AF17" s="20">
        <f ca="1">+AE17+AE17*Volatility!AE17*(-DriftSum!AF17*TimeStep+SQRT(TimeStep)*AF$49)</f>
        <v>5.3570839659344234E-2</v>
      </c>
      <c r="AG17" s="20">
        <f ca="1">+AF17+AF17*Volatility!AF17*(-DriftSum!AG17*TimeStep+SQRT(TimeStep)*AG$49)</f>
        <v>5.4274786251006242E-2</v>
      </c>
      <c r="AH17" s="20">
        <f ca="1">+AG17+AG17*Volatility!AG17*(-DriftSum!AH17*TimeStep+SQRT(TimeStep)*AH$49)</f>
        <v>5.508430119506412E-2</v>
      </c>
      <c r="AI17" s="20">
        <f ca="1">+AH17+AH17*Volatility!AH17*(-DriftSum!AI17*TimeStep+SQRT(TimeStep)*AI$49)</f>
        <v>5.7812231328365278E-2</v>
      </c>
      <c r="AJ17" s="20">
        <f ca="1">+AI17+AI17*Volatility!AI17*(-DriftSum!AJ17*TimeStep+SQRT(TimeStep)*AJ$49)</f>
        <v>5.8434450086931253E-2</v>
      </c>
      <c r="AK17" s="20">
        <f ca="1">+AJ17+AJ17*Volatility!AJ17*(-DriftSum!AK17*TimeStep+SQRT(TimeStep)*AK$49)</f>
        <v>6.0550988038132136E-2</v>
      </c>
      <c r="AL17" s="20">
        <f ca="1">+AK17+AK17*Volatility!AK17*(-DriftSum!AL17*TimeStep+SQRT(TimeStep)*AL$49)</f>
        <v>6.1553099186444353E-2</v>
      </c>
      <c r="AM17" s="20">
        <f ca="1">+AL17+AL17*Volatility!AL17*(-DriftSum!AM17*TimeStep+SQRT(TimeStep)*AM$49)</f>
        <v>6.1230730046256898E-2</v>
      </c>
      <c r="AN17" s="20">
        <f ca="1">+AM17+AM17*Volatility!AM17*(-DriftSum!AN17*TimeStep+SQRT(TimeStep)*AN$49)</f>
        <v>5.7675159236718329E-2</v>
      </c>
      <c r="AO17" s="20">
        <f ca="1">+AN17+AN17*Volatility!AN17*(-DriftSum!AO17*TimeStep+SQRT(TimeStep)*AO$49)</f>
        <v>5.6681991415045235E-2</v>
      </c>
      <c r="AP17" s="20">
        <f ca="1">+AO17+AO17*Volatility!AO17*(-DriftSum!AP17*TimeStep+SQRT(TimeStep)*AP$49)</f>
        <v>5.4602799349739738E-2</v>
      </c>
      <c r="AQ17" s="20">
        <f ca="1">+AP17+AP17*Volatility!AP17*(-DriftSum!AQ17*TimeStep+SQRT(TimeStep)*AQ$49)</f>
        <v>5.5738559954420869E-2</v>
      </c>
      <c r="AR17" s="20">
        <f ca="1">+AQ17+AQ17*Volatility!AQ17*(-DriftSum!AR17*TimeStep+SQRT(TimeStep)*AR$49)</f>
        <v>5.7290056397220436E-2</v>
      </c>
      <c r="AS17" s="20">
        <f ca="1">+AR17+AR17*Volatility!AR17*(-DriftSum!AS17*TimeStep+SQRT(TimeStep)*AS$49)</f>
        <v>5.6131714938393903E-2</v>
      </c>
      <c r="AT17" s="20">
        <f ca="1">+AS17+AS17*Volatility!AS17*(-DriftSum!AT17*TimeStep+SQRT(TimeStep)*AT$49)</f>
        <v>5.5643891013524877E-2</v>
      </c>
      <c r="AU17" s="20">
        <f ca="1">+AT17+AT17*Volatility!AT17*(-DriftSum!AU17*TimeStep+SQRT(TimeStep)*AU$49)</f>
        <v>5.706172928935184E-2</v>
      </c>
      <c r="AV17" s="20">
        <f ca="1">+AU17+AU17*Volatility!AU17*(-DriftSum!AV17*TimeStep+SQRT(TimeStep)*AV$49)</f>
        <v>5.7361130007757145E-2</v>
      </c>
      <c r="AW17" s="20">
        <f ca="1">+AV17+AV17*Volatility!AV17*(-DriftSum!AW17*TimeStep+SQRT(TimeStep)*AW$49)</f>
        <v>5.9039341974245443E-2</v>
      </c>
      <c r="AX17" s="20">
        <f ca="1">+AW17+AW17*Volatility!AW17*(-DriftSum!AX17*TimeStep+SQRT(TimeStep)*AX$49)</f>
        <v>5.7259740714607106E-2</v>
      </c>
      <c r="AY17" s="20">
        <f ca="1">+AX17+AX17*Volatility!AX17*(-DriftSum!AY17*TimeStep+SQRT(TimeStep)*AY$49)</f>
        <v>5.8531096704950297E-2</v>
      </c>
      <c r="AZ17" s="20">
        <f ca="1">+AY17+AY17*Volatility!AY17*(-DriftSum!AZ17*TimeStep+SQRT(TimeStep)*AZ$49)</f>
        <v>5.9611881240967821E-2</v>
      </c>
      <c r="BA17" s="20">
        <f ca="1">+AZ17+AZ17*Volatility!AZ17*(-DriftSum!BA17*TimeStep+SQRT(TimeStep)*BA$49)</f>
        <v>6.2500121671211356E-2</v>
      </c>
      <c r="BB17" s="20">
        <f ca="1">+BA17+BA17*Volatility!BA17*(-DriftSum!BB17*TimeStep+SQRT(TimeStep)*BB$49)</f>
        <v>6.3230806100726983E-2</v>
      </c>
      <c r="BC17" s="20">
        <f ca="1">+BB17+BB17*Volatility!BB17*(-DriftSum!BC17*TimeStep+SQRT(TimeStep)*BC$49)</f>
        <v>6.1329419827262366E-2</v>
      </c>
      <c r="BD17" s="20">
        <f ca="1">+BC17+BC17*Volatility!BC17*(-DriftSum!BD17*TimeStep+SQRT(TimeStep)*BD$49)</f>
        <v>6.1194421599874101E-2</v>
      </c>
      <c r="BE17" s="20">
        <f ca="1">+BD17+BD17*Volatility!BD17*(-DriftSum!BE17*TimeStep+SQRT(TimeStep)*BE$49)</f>
        <v>6.0295745928679131E-2</v>
      </c>
      <c r="BF17" s="20">
        <f ca="1">+BE17+BE17*Volatility!BE17*(-DriftSum!BF17*TimeStep+SQRT(TimeStep)*BF$49)</f>
        <v>5.7371007730952758E-2</v>
      </c>
      <c r="BG17" s="20">
        <f ca="1">+BF17+BF17*Volatility!BF17*(-DriftSum!BG17*TimeStep+SQRT(TimeStep)*BG$49)</f>
        <v>6.0521882841991656E-2</v>
      </c>
      <c r="BH17" s="20">
        <f ca="1">+BG17+BG17*Volatility!BG17*(-DriftSum!BH17*TimeStep+SQRT(TimeStep)*BH$49)</f>
        <v>5.9001253557832679E-2</v>
      </c>
      <c r="BI17" s="20">
        <f ca="1">+BH17+BH17*Volatility!BH17*(-DriftSum!BI17*TimeStep+SQRT(TimeStep)*BI$49)</f>
        <v>5.4998922174577636E-2</v>
      </c>
      <c r="BJ17" s="20">
        <f ca="1">+BI17+BI17*Volatility!BI17*(-DriftSum!BJ17*TimeStep+SQRT(TimeStep)*BJ$49)</f>
        <v>5.5923304092540906E-2</v>
      </c>
      <c r="BK17" s="20">
        <f ca="1">+BJ17+BJ17*Volatility!BJ17*(-DriftSum!BK17*TimeStep+SQRT(TimeStep)*BK$49)</f>
        <v>5.719534902388855E-2</v>
      </c>
      <c r="BL17" s="20">
        <f ca="1">+BK17+BK17*Volatility!BK17*(-DriftSum!BL17*TimeStep+SQRT(TimeStep)*BL$49)</f>
        <v>5.8538424726852376E-2</v>
      </c>
      <c r="BM17" s="20">
        <f ca="1">+BL17+BL17*Volatility!BL17*(-DriftSum!BM17*TimeStep+SQRT(TimeStep)*BM$49)</f>
        <v>5.6127672996651279E-2</v>
      </c>
      <c r="BN17" s="20">
        <f ca="1">+BM17+BM17*Volatility!BM17*(-DriftSum!BN17*TimeStep+SQRT(TimeStep)*BN$49)</f>
        <v>5.6852654500652147E-2</v>
      </c>
      <c r="BO17" s="20">
        <f ca="1">+BN17+BN17*Volatility!BN17*(-DriftSum!BO17*TimeStep+SQRT(TimeStep)*BO$49)</f>
        <v>5.8821463513414635E-2</v>
      </c>
      <c r="BP17" s="20">
        <f ca="1">+BO17+BO17*Volatility!BO17*(-DriftSum!BP17*TimeStep+SQRT(TimeStep)*BP$49)</f>
        <v>5.9150433148268421E-2</v>
      </c>
      <c r="BQ17" s="20">
        <f ca="1">+BP17+BP17*Volatility!BP17*(-DriftSum!BQ17*TimeStep+SQRT(TimeStep)*BQ$49)</f>
        <v>5.9289144615072641E-2</v>
      </c>
      <c r="BR17" s="20">
        <f ca="1">+BQ17+BQ17*Volatility!BQ17*(-DriftSum!BR17*TimeStep+SQRT(TimeStep)*BR$49)</f>
        <v>6.1667289762261115E-2</v>
      </c>
      <c r="BS17" s="20">
        <f ca="1">+BR17+BR17*Volatility!BR17*(-DriftSum!BS17*TimeStep+SQRT(TimeStep)*BS$49)</f>
        <v>5.8597777620049675E-2</v>
      </c>
      <c r="BT17" s="20">
        <f ca="1">+BS17+BS17*Volatility!BS17*(-DriftSum!BT17*TimeStep+SQRT(TimeStep)*BT$49)</f>
        <v>5.6338542849194324E-2</v>
      </c>
      <c r="BU17" s="20">
        <f ca="1">+BT17+BT17*Volatility!BT17*(-DriftSum!BU17*TimeStep+SQRT(TimeStep)*BU$49)</f>
        <v>5.4301507030912473E-2</v>
      </c>
      <c r="BV17" s="20">
        <f ca="1">+BU17+BU17*Volatility!BU17*(-DriftSum!BV17*TimeStep+SQRT(TimeStep)*BV$49)</f>
        <v>5.713926974840372E-2</v>
      </c>
      <c r="BW17" s="20">
        <f ca="1">+BV17+BV17*Volatility!BV17*(-DriftSum!BW17*TimeStep+SQRT(TimeStep)*BW$49)</f>
        <v>5.3388176797637021E-2</v>
      </c>
      <c r="BX17" s="20">
        <f ca="1">+BW17+BW17*Volatility!BW17*(-DriftSum!BX17*TimeStep+SQRT(TimeStep)*BX$49)</f>
        <v>5.2271216638264201E-2</v>
      </c>
      <c r="BY17" s="20">
        <f ca="1">+BX17+BX17*Volatility!BX17*(-DriftSum!BY17*TimeStep+SQRT(TimeStep)*BY$49)</f>
        <v>5.2664256702497227E-2</v>
      </c>
      <c r="BZ17" s="20">
        <f ca="1">+BY17+BY17*Volatility!BY17*(-DriftSum!BZ17*TimeStep+SQRT(TimeStep)*BZ$49)</f>
        <v>5.6077813136684945E-2</v>
      </c>
      <c r="CA17" s="20">
        <f ca="1">+BZ17+BZ17*Volatility!BZ17*(-DriftSum!CA17*TimeStep+SQRT(TimeStep)*CA$49)</f>
        <v>5.4287384233802694E-2</v>
      </c>
      <c r="CB17" s="20">
        <f ca="1">+CA17+CA17*Volatility!CA17*(-DriftSum!CB17*TimeStep+SQRT(TimeStep)*CB$49)</f>
        <v>5.5686090155383013E-2</v>
      </c>
      <c r="CC17" s="20">
        <f ca="1">+CB17+CB17*Volatility!CB17*(-DriftSum!CC17*TimeStep+SQRT(TimeStep)*CC$49)</f>
        <v>5.5398037357921294E-2</v>
      </c>
      <c r="CD17" s="20">
        <f ca="1">+CC17+CC17*Volatility!CC17*(-DriftSum!CD17*TimeStep+SQRT(TimeStep)*CD$49)</f>
        <v>5.6076111468513996E-2</v>
      </c>
      <c r="CE17" s="20">
        <f ca="1">+CD17+CD17*Volatility!CD17*(-DriftSum!CE17*TimeStep+SQRT(TimeStep)*CE$49)</f>
        <v>5.3819038165145695E-2</v>
      </c>
      <c r="CF17" s="20">
        <f ca="1">+CE17+CE17*Volatility!CE17*(-DriftSum!CF17*TimeStep+SQRT(TimeStep)*CF$49)</f>
        <v>5.5806657550848147E-2</v>
      </c>
      <c r="CG17" s="20">
        <f ca="1">+CF17+CF17*Volatility!CF17*(-DriftSum!CG17*TimeStep+SQRT(TimeStep)*CG$49)</f>
        <v>5.6543799862727326E-2</v>
      </c>
      <c r="CH17" s="20">
        <f ca="1">+CG17+CG17*Volatility!CG17*(-DriftSum!CH17*TimeStep+SQRT(TimeStep)*CH$49)</f>
        <v>5.4783287233426008E-2</v>
      </c>
      <c r="CI17" s="20">
        <f ca="1">+CH17+CH17*Volatility!CH17*(-DriftSum!CI17*TimeStep+SQRT(TimeStep)*CI$49)</f>
        <v>5.4445670859587687E-2</v>
      </c>
      <c r="CJ17" s="20">
        <f ca="1">+CI17+CI17*Volatility!CI17*(-DriftSum!CJ17*TimeStep+SQRT(TimeStep)*CJ$49)</f>
        <v>5.32583334336095E-2</v>
      </c>
      <c r="CK17" s="20">
        <f ca="1">+CJ17-CJ17*Volatility!CJ17*DriftSum!CK17*TimeStep+Volatility!CJ17*CJ17*SQRT(TimeStep)*CK$49</f>
        <v>5.2673987909672898E-2</v>
      </c>
      <c r="CL17" s="20">
        <f ca="1">+CK17-CK17*Volatility!CK17*DriftSum!CL17*TimeStep+Volatility!CK17*CK17*SQRT(TimeStep)*CL$49</f>
        <v>5.4024925978017835E-2</v>
      </c>
      <c r="CM17" s="20">
        <f ca="1">+CL17-CL17*Volatility!CL17*DriftSum!CM17*TimeStep+Volatility!CL17*CL17*SQRT(TimeStep)*CM$49</f>
        <v>5.3269448999941196E-2</v>
      </c>
      <c r="CN17" s="20">
        <f ca="1">+CM17-CM17*Volatility!CM17*DriftSum!CN17*TimeStep+Volatility!CM17*CM17*SQRT(TimeStep)*CN$49</f>
        <v>5.2372270369518456E-2</v>
      </c>
      <c r="CO17" s="20">
        <f ca="1">+CN17-CN17*Volatility!CN17*DriftSum!CO17*TimeStep+Volatility!CN17*CN17*SQRT(TimeStep)*CO$49</f>
        <v>4.9717410871096379E-2</v>
      </c>
      <c r="CP17" s="20">
        <f ca="1">+CO17-CO17*Volatility!CO17*DriftSum!CP17*TimeStep+Volatility!CO17*CO17*SQRT(TimeStep)*CP$49</f>
        <v>5.064898853330848E-2</v>
      </c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</row>
    <row r="18" spans="4:127" x14ac:dyDescent="0.2">
      <c r="D18" s="2">
        <f t="shared" si="2"/>
        <v>7.25</v>
      </c>
      <c r="E18" s="10">
        <f t="shared" si="3"/>
        <v>0.71583377827115491</v>
      </c>
      <c r="F18" s="12" t="str">
        <f t="shared" si="4"/>
        <v>L(t;7,7.25)</v>
      </c>
      <c r="G18" s="19">
        <v>0.05</v>
      </c>
      <c r="H18" s="20">
        <f ca="1">+G18+G18*Volatility!G18*(-DriftSum!H18*TimeStep+SQRT(TimeStep)*H$49)</f>
        <v>5.1287252260527938E-2</v>
      </c>
      <c r="I18" s="20">
        <f ca="1">+H18+H18*Volatility!H18*(-DriftSum!I18*TimeStep+SQRT(TimeStep)*I$49)</f>
        <v>5.1370920038246858E-2</v>
      </c>
      <c r="J18" s="20">
        <f ca="1">+I18+I18*Volatility!I18*(-DriftSum!J18*TimeStep+SQRT(TimeStep)*J$49)</f>
        <v>5.0118866628738143E-2</v>
      </c>
      <c r="K18" s="20">
        <f ca="1">+J18+J18*Volatility!J18*(-DriftSum!K18*TimeStep+SQRT(TimeStep)*K$49)</f>
        <v>5.0549256823464089E-2</v>
      </c>
      <c r="L18" s="20">
        <f ca="1">+K18+K18*Volatility!K18*(-DriftSum!L18*TimeStep+SQRT(TimeStep)*L$49)</f>
        <v>4.9148433246836057E-2</v>
      </c>
      <c r="M18" s="20">
        <f ca="1">+L18+L18*Volatility!L18*(-DriftSum!M18*TimeStep+SQRT(TimeStep)*M$49)</f>
        <v>5.2084216871555886E-2</v>
      </c>
      <c r="N18" s="20">
        <f ca="1">+M18+M18*Volatility!M18*(-DriftSum!N18*TimeStep+SQRT(TimeStep)*N$49)</f>
        <v>5.1631092719444771E-2</v>
      </c>
      <c r="O18" s="20">
        <f ca="1">+N18+N18*Volatility!N18*(-DriftSum!O18*TimeStep+SQRT(TimeStep)*O$49)</f>
        <v>5.3343679474586167E-2</v>
      </c>
      <c r="P18" s="20">
        <f ca="1">+O18+O18*Volatility!O18*(-DriftSum!P18*TimeStep+SQRT(TimeStep)*P$49)</f>
        <v>5.202486050920084E-2</v>
      </c>
      <c r="Q18" s="20">
        <f ca="1">+P18+P18*Volatility!P18*(-DriftSum!Q18*TimeStep+SQRT(TimeStep)*Q$49)</f>
        <v>5.2299225171914328E-2</v>
      </c>
      <c r="R18" s="20">
        <f ca="1">+Q18+Q18*Volatility!Q18*(-DriftSum!R18*TimeStep+SQRT(TimeStep)*R$49)</f>
        <v>5.3629110505403241E-2</v>
      </c>
      <c r="S18" s="20">
        <f ca="1">+R18+R18*Volatility!R18*(-DriftSum!S18*TimeStep+SQRT(TimeStep)*S$49)</f>
        <v>5.6217274819853051E-2</v>
      </c>
      <c r="T18" s="20">
        <f ca="1">+S18+S18*Volatility!S18*(-DriftSum!T18*TimeStep+SQRT(TimeStep)*T$49)</f>
        <v>5.5251137208671801E-2</v>
      </c>
      <c r="U18" s="20">
        <f ca="1">+T18+T18*Volatility!T18*(-DriftSum!U18*TimeStep+SQRT(TimeStep)*U$49)</f>
        <v>5.5122530528283795E-2</v>
      </c>
      <c r="V18" s="20">
        <f ca="1">+U18+U18*Volatility!U18*(-DriftSum!V18*TimeStep+SQRT(TimeStep)*V$49)</f>
        <v>5.3636821367186976E-2</v>
      </c>
      <c r="W18" s="20">
        <f ca="1">+V18+V18*Volatility!V18*(-DriftSum!W18*TimeStep+SQRT(TimeStep)*W$49)</f>
        <v>5.0068720490276254E-2</v>
      </c>
      <c r="X18" s="20">
        <f ca="1">+W18+W18*Volatility!W18*(-DriftSum!X18*TimeStep+SQRT(TimeStep)*X$49)</f>
        <v>5.1029464014650035E-2</v>
      </c>
      <c r="Y18" s="20">
        <f ca="1">+X18+X18*Volatility!X18*(-DriftSum!Y18*TimeStep+SQRT(TimeStep)*Y$49)</f>
        <v>5.0242168118883872E-2</v>
      </c>
      <c r="Z18" s="20">
        <f ca="1">+Y18+Y18*Volatility!Y18*(-DriftSum!Z18*TimeStep+SQRT(TimeStep)*Z$49)</f>
        <v>5.1458367886706963E-2</v>
      </c>
      <c r="AA18" s="20">
        <f ca="1">+Z18+Z18*Volatility!Z18*(-DriftSum!AA18*TimeStep+SQRT(TimeStep)*AA$49)</f>
        <v>5.2439721336048399E-2</v>
      </c>
      <c r="AB18" s="20">
        <f ca="1">+AA18+AA18*Volatility!AA18*(-DriftSum!AB18*TimeStep+SQRT(TimeStep)*AB$49)</f>
        <v>5.22952396152319E-2</v>
      </c>
      <c r="AC18" s="20">
        <f ca="1">+AB18+AB18*Volatility!AB18*(-DriftSum!AC18*TimeStep+SQRT(TimeStep)*AC$49)</f>
        <v>5.1185412155490551E-2</v>
      </c>
      <c r="AD18" s="20">
        <f ca="1">+AC18+AC18*Volatility!AC18*(-DriftSum!AD18*TimeStep+SQRT(TimeStep)*AD$49)</f>
        <v>5.0704715725869674E-2</v>
      </c>
      <c r="AE18" s="20">
        <f ca="1">+AD18+AD18*Volatility!AD18*(-DriftSum!AE18*TimeStep+SQRT(TimeStep)*AE$49)</f>
        <v>5.3358018388977357E-2</v>
      </c>
      <c r="AF18" s="20">
        <f ca="1">+AE18+AE18*Volatility!AE18*(-DriftSum!AF18*TimeStep+SQRT(TimeStep)*AF$49)</f>
        <v>5.3650571220559738E-2</v>
      </c>
      <c r="AG18" s="20">
        <f ca="1">+AF18+AF18*Volatility!AF18*(-DriftSum!AG18*TimeStep+SQRT(TimeStep)*AG$49)</f>
        <v>5.4375885309905198E-2</v>
      </c>
      <c r="AH18" s="20">
        <f ca="1">+AG18+AG18*Volatility!AG18*(-DriftSum!AH18*TimeStep+SQRT(TimeStep)*AH$49)</f>
        <v>5.5210360762296365E-2</v>
      </c>
      <c r="AI18" s="20">
        <f ca="1">+AH18+AH18*Volatility!AH18*(-DriftSum!AI18*TimeStep+SQRT(TimeStep)*AI$49)</f>
        <v>5.8025090298731923E-2</v>
      </c>
      <c r="AJ18" s="20">
        <f ca="1">+AI18+AI18*Volatility!AI18*(-DriftSum!AJ18*TimeStep+SQRT(TimeStep)*AJ$49)</f>
        <v>5.866742616821518E-2</v>
      </c>
      <c r="AK18" s="20">
        <f ca="1">+AJ18+AJ18*Volatility!AJ18*(-DriftSum!AK18*TimeStep+SQRT(TimeStep)*AK$49)</f>
        <v>6.0854781392931205E-2</v>
      </c>
      <c r="AL18" s="20">
        <f ca="1">+AK18+AK18*Volatility!AK18*(-DriftSum!AL18*TimeStep+SQRT(TimeStep)*AL$49)</f>
        <v>6.1891040962785152E-2</v>
      </c>
      <c r="AM18" s="20">
        <f ca="1">+AL18+AL18*Volatility!AL18*(-DriftSum!AM18*TimeStep+SQRT(TimeStep)*AM$49)</f>
        <v>6.1556453014173777E-2</v>
      </c>
      <c r="AN18" s="20">
        <f ca="1">+AM18+AM18*Volatility!AM18*(-DriftSum!AN18*TimeStep+SQRT(TimeStep)*AN$49)</f>
        <v>5.7874982789813463E-2</v>
      </c>
      <c r="AO18" s="20">
        <f ca="1">+AN18+AN18*Volatility!AN18*(-DriftSum!AO18*TimeStep+SQRT(TimeStep)*AO$49)</f>
        <v>5.6848051687926386E-2</v>
      </c>
      <c r="AP18" s="20">
        <f ca="1">+AO18+AO18*Volatility!AO18*(-DriftSum!AP18*TimeStep+SQRT(TimeStep)*AP$49)</f>
        <v>5.4700133851165324E-2</v>
      </c>
      <c r="AQ18" s="20">
        <f ca="1">+AP18+AP18*Volatility!AP18*(-DriftSum!AQ18*TimeStep+SQRT(TimeStep)*AQ$49)</f>
        <v>5.587106984835518E-2</v>
      </c>
      <c r="AR18" s="20">
        <f ca="1">+AQ18+AQ18*Volatility!AQ18*(-DriftSum!AR18*TimeStep+SQRT(TimeStep)*AR$49)</f>
        <v>5.7471776227869517E-2</v>
      </c>
      <c r="AS18" s="20">
        <f ca="1">+AR18+AR18*Volatility!AR18*(-DriftSum!AS18*TimeStep+SQRT(TimeStep)*AS$49)</f>
        <v>5.6274534931418048E-2</v>
      </c>
      <c r="AT18" s="20">
        <f ca="1">+AS18+AS18*Volatility!AS18*(-DriftSum!AT18*TimeStep+SQRT(TimeStep)*AT$49)</f>
        <v>5.5770261431998154E-2</v>
      </c>
      <c r="AU18" s="20">
        <f ca="1">+AT18+AT18*Volatility!AT18*(-DriftSum!AU18*TimeStep+SQRT(TimeStep)*AU$49)</f>
        <v>5.7232859567549192E-2</v>
      </c>
      <c r="AV18" s="20">
        <f ca="1">+AU18+AU18*Volatility!AU18*(-DriftSum!AV18*TimeStep+SQRT(TimeStep)*AV$49)</f>
        <v>5.7541373345806543E-2</v>
      </c>
      <c r="AW18" s="20">
        <f ca="1">+AV18+AV18*Volatility!AV18*(-DriftSum!AW18*TimeStep+SQRT(TimeStep)*AW$49)</f>
        <v>5.9274151120145002E-2</v>
      </c>
      <c r="AX18" s="20">
        <f ca="1">+AW18+AW18*Volatility!AW18*(-DriftSum!AX18*TimeStep+SQRT(TimeStep)*AX$49)</f>
        <v>5.7433647750447944E-2</v>
      </c>
      <c r="AY18" s="20">
        <f ca="1">+AX18+AX18*Volatility!AX18*(-DriftSum!AY18*TimeStep+SQRT(TimeStep)*AY$49)</f>
        <v>5.8746033288356855E-2</v>
      </c>
      <c r="AZ18" s="20">
        <f ca="1">+AY18+AY18*Volatility!AY18*(-DriftSum!AZ18*TimeStep+SQRT(TimeStep)*AZ$49)</f>
        <v>5.9862265454122071E-2</v>
      </c>
      <c r="BA18" s="20">
        <f ca="1">+AZ18+AZ18*Volatility!AZ18*(-DriftSum!BA18*TimeStep+SQRT(TimeStep)*BA$49)</f>
        <v>6.2848017402748299E-2</v>
      </c>
      <c r="BB18" s="20">
        <f ca="1">+BA18+BA18*Volatility!BA18*(-DriftSum!BB18*TimeStep+SQRT(TimeStep)*BB$49)</f>
        <v>6.3603747007868583E-2</v>
      </c>
      <c r="BC18" s="20">
        <f ca="1">+BB18+BB18*Volatility!BB18*(-DriftSum!BC18*TimeStep+SQRT(TimeStep)*BC$49)</f>
        <v>6.1633469874155536E-2</v>
      </c>
      <c r="BD18" s="20">
        <f ca="1">+BC18+BC18*Volatility!BC18*(-DriftSum!BD18*TimeStep+SQRT(TimeStep)*BD$49)</f>
        <v>6.149295795759413E-2</v>
      </c>
      <c r="BE18" s="20">
        <f ca="1">+BD18+BD18*Volatility!BD18*(-DriftSum!BE18*TimeStep+SQRT(TimeStep)*BE$49)</f>
        <v>6.0562263479100049E-2</v>
      </c>
      <c r="BF18" s="20">
        <f ca="1">+BE18+BE18*Volatility!BE18*(-DriftSum!BF18*TimeStep+SQRT(TimeStep)*BF$49)</f>
        <v>5.7536552793802827E-2</v>
      </c>
      <c r="BG18" s="20">
        <f ca="1">+BF18+BF18*Volatility!BF18*(-DriftSum!BG18*TimeStep+SQRT(TimeStep)*BG$49)</f>
        <v>6.0789668077969268E-2</v>
      </c>
      <c r="BH18" s="20">
        <f ca="1">+BG18+BG18*Volatility!BG18*(-DriftSum!BH18*TimeStep+SQRT(TimeStep)*BH$49)</f>
        <v>5.9216150450560688E-2</v>
      </c>
      <c r="BI18" s="20">
        <f ca="1">+BH18+BH18*Volatility!BH18*(-DriftSum!BI18*TimeStep+SQRT(TimeStep)*BI$49)</f>
        <v>5.5079174028205918E-2</v>
      </c>
      <c r="BJ18" s="20">
        <f ca="1">+BI18+BI18*Volatility!BI18*(-DriftSum!BJ18*TimeStep+SQRT(TimeStep)*BJ$49)</f>
        <v>5.6031747793918084E-2</v>
      </c>
      <c r="BK18" s="20">
        <f ca="1">+BJ18+BJ18*Volatility!BJ18*(-DriftSum!BK18*TimeStep+SQRT(TimeStep)*BK$49)</f>
        <v>5.734343993715256E-2</v>
      </c>
      <c r="BL18" s="20">
        <f ca="1">+BK18+BK18*Volatility!BK18*(-DriftSum!BL18*TimeStep+SQRT(TimeStep)*BL$49)</f>
        <v>5.8729282171759489E-2</v>
      </c>
      <c r="BM18" s="20">
        <f ca="1">+BL18+BL18*Volatility!BL18*(-DriftSum!BM18*TimeStep+SQRT(TimeStep)*BM$49)</f>
        <v>5.6238089046015495E-2</v>
      </c>
      <c r="BN18" s="20">
        <f ca="1">+BM18+BM18*Volatility!BM18*(-DriftSum!BN18*TimeStep+SQRT(TimeStep)*BN$49)</f>
        <v>5.6985392030242339E-2</v>
      </c>
      <c r="BO18" s="20">
        <f ca="1">+BN18+BN18*Volatility!BN18*(-DriftSum!BO18*TimeStep+SQRT(TimeStep)*BO$49)</f>
        <v>5.9016714724405547E-2</v>
      </c>
      <c r="BP18" s="20">
        <f ca="1">+BO18+BO18*Volatility!BO18*(-DriftSum!BP18*TimeStep+SQRT(TimeStep)*BP$49)</f>
        <v>5.9355831487553426E-2</v>
      </c>
      <c r="BQ18" s="20">
        <f ca="1">+BP18+BP18*Volatility!BP18*(-DriftSum!BQ18*TimeStep+SQRT(TimeStep)*BQ$49)</f>
        <v>5.9498401964830146E-2</v>
      </c>
      <c r="BR18" s="20">
        <f ca="1">+BQ18+BQ18*Volatility!BQ18*(-DriftSum!BR18*TimeStep+SQRT(TimeStep)*BR$49)</f>
        <v>6.195506723102203E-2</v>
      </c>
      <c r="BS18" s="20">
        <f ca="1">+BR18+BR18*Volatility!BR18*(-DriftSum!BS18*TimeStep+SQRT(TimeStep)*BS$49)</f>
        <v>5.8778808377817279E-2</v>
      </c>
      <c r="BT18" s="20">
        <f ca="1">+BS18+BS18*Volatility!BS18*(-DriftSum!BT18*TimeStep+SQRT(TimeStep)*BT$49)</f>
        <v>5.6444537827830502E-2</v>
      </c>
      <c r="BU18" s="20">
        <f ca="1">+BT18+BT18*Volatility!BT18*(-DriftSum!BU18*TimeStep+SQRT(TimeStep)*BU$49)</f>
        <v>5.4342363467765775E-2</v>
      </c>
      <c r="BV18" s="20">
        <f ca="1">+BU18+BU18*Volatility!BU18*(-DriftSum!BV18*TimeStep+SQRT(TimeStep)*BV$49)</f>
        <v>5.7265977618169039E-2</v>
      </c>
      <c r="BW18" s="20">
        <f ca="1">+BV18+BV18*Volatility!BV18*(-DriftSum!BW18*TimeStep+SQRT(TimeStep)*BW$49)</f>
        <v>5.339419487365718E-2</v>
      </c>
      <c r="BX18" s="20">
        <f ca="1">+BW18+BW18*Volatility!BW18*(-DriftSum!BX18*TimeStep+SQRT(TimeStep)*BX$49)</f>
        <v>5.2243312438885567E-2</v>
      </c>
      <c r="BY18" s="20">
        <f ca="1">+BX18+BX18*Volatility!BX18*(-DriftSum!BY18*TimeStep+SQRT(TimeStep)*BY$49)</f>
        <v>5.2647221023484375E-2</v>
      </c>
      <c r="BZ18" s="20">
        <f ca="1">+BY18+BY18*Volatility!BY18*(-DriftSum!BZ18*TimeStep+SQRT(TimeStep)*BZ$49)</f>
        <v>5.6160434359058528E-2</v>
      </c>
      <c r="CA18" s="20">
        <f ca="1">+BZ18+BZ18*Volatility!BZ18*(-DriftSum!CA18*TimeStep+SQRT(TimeStep)*CA$49)</f>
        <v>5.4313428495260538E-2</v>
      </c>
      <c r="CB18" s="20">
        <f ca="1">+CA18+CA18*Volatility!CA18*(-DriftSum!CB18*TimeStep+SQRT(TimeStep)*CB$49)</f>
        <v>5.5753734497351659E-2</v>
      </c>
      <c r="CC18" s="20">
        <f ca="1">+CB18+CB18*Volatility!CB18*(-DriftSum!CC18*TimeStep+SQRT(TimeStep)*CC$49)</f>
        <v>5.5456095287541134E-2</v>
      </c>
      <c r="CD18" s="20">
        <f ca="1">+CC18+CC18*Volatility!CC18*(-DriftSum!CD18*TimeStep+SQRT(TimeStep)*CD$49)</f>
        <v>5.6154378845402649E-2</v>
      </c>
      <c r="CE18" s="20">
        <f ca="1">+CD18+CD18*Volatility!CD18*(-DriftSum!CE18*TimeStep+SQRT(TimeStep)*CE$49)</f>
        <v>5.3826340350889318E-2</v>
      </c>
      <c r="CF18" s="20">
        <f ca="1">+CE18+CE18*Volatility!CE18*(-DriftSum!CF18*TimeStep+SQRT(TimeStep)*CF$49)</f>
        <v>5.5872650109258272E-2</v>
      </c>
      <c r="CG18" s="20">
        <f ca="1">+CF18+CF18*Volatility!CF18*(-DriftSum!CG18*TimeStep+SQRT(TimeStep)*CG$49)</f>
        <v>5.663191236745703E-2</v>
      </c>
      <c r="CH18" s="20">
        <f ca="1">+CG18+CG18*Volatility!CG18*(-DriftSum!CH18*TimeStep+SQRT(TimeStep)*CH$49)</f>
        <v>5.481559140311637E-2</v>
      </c>
      <c r="CI18" s="20">
        <f ca="1">+CH18+CH18*Volatility!CH18*(-DriftSum!CI18*TimeStep+SQRT(TimeStep)*CI$49)</f>
        <v>5.4467093550767301E-2</v>
      </c>
      <c r="CJ18" s="20">
        <f ca="1">+CI18+CI18*Volatility!CI18*(-DriftSum!CJ18*TimeStep+SQRT(TimeStep)*CJ$49)</f>
        <v>5.3243367384023708E-2</v>
      </c>
      <c r="CK18" s="20">
        <f ca="1">+CJ18-CJ18*Volatility!CJ18*DriftSum!CK18*TimeStep+Volatility!CJ18*CJ18*SQRT(TimeStep)*CK$49</f>
        <v>5.2641221764079323E-2</v>
      </c>
      <c r="CL18" s="20">
        <f ca="1">+CK18-CK18*Volatility!CK18*DriftSum!CL18*TimeStep+Volatility!CK18*CK18*SQRT(TimeStep)*CL$49</f>
        <v>5.4030822486587853E-2</v>
      </c>
      <c r="CM18" s="20">
        <f ca="1">+CL18-CL18*Volatility!CL18*DriftSum!CM18*TimeStep+Volatility!CL18*CL18*SQRT(TimeStep)*CM$49</f>
        <v>5.3252190428686792E-2</v>
      </c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</row>
    <row r="19" spans="4:127" x14ac:dyDescent="0.2">
      <c r="D19" s="2">
        <f t="shared" si="2"/>
        <v>7</v>
      </c>
      <c r="E19" s="10">
        <f t="shared" si="3"/>
        <v>0.72478170049954427</v>
      </c>
      <c r="F19" s="12" t="str">
        <f t="shared" si="4"/>
        <v>L(t;6.75,7)</v>
      </c>
      <c r="G19" s="19">
        <v>0.05</v>
      </c>
      <c r="H19" s="20">
        <f ca="1">+G19+G19*Volatility!G19*(-DriftSum!H19*TimeStep+SQRT(TimeStep)*H$49)</f>
        <v>5.1324561695205773E-2</v>
      </c>
      <c r="I19" s="20">
        <f ca="1">+H19+H19*Volatility!H19*(-DriftSum!I19*TimeStep+SQRT(TimeStep)*I$49)</f>
        <v>5.1410137878347216E-2</v>
      </c>
      <c r="J19" s="20">
        <f ca="1">+I19+I19*Volatility!I19*(-DriftSum!J19*TimeStep+SQRT(TimeStep)*J$49)</f>
        <v>5.0120379617129195E-2</v>
      </c>
      <c r="K19" s="20">
        <f ca="1">+J19+J19*Volatility!J19*(-DriftSum!K19*TimeStep+SQRT(TimeStep)*K$49)</f>
        <v>5.0562623127628561E-2</v>
      </c>
      <c r="L19" s="20">
        <f ca="1">+K19+K19*Volatility!K19*(-DriftSum!L19*TimeStep+SQRT(TimeStep)*L$49)</f>
        <v>4.9120424937251335E-2</v>
      </c>
      <c r="M19" s="20">
        <f ca="1">+L19+L19*Volatility!L19*(-DriftSum!M19*TimeStep+SQRT(TimeStep)*M$49)</f>
        <v>5.2138620450696088E-2</v>
      </c>
      <c r="N19" s="20">
        <f ca="1">+M19+M19*Volatility!M19*(-DriftSum!N19*TimeStep+SQRT(TimeStep)*N$49)</f>
        <v>5.1671316980240072E-2</v>
      </c>
      <c r="O19" s="20">
        <f ca="1">+N19+N19*Volatility!N19*(-DriftSum!O19*TimeStep+SQRT(TimeStep)*O$49)</f>
        <v>5.3434067375391386E-2</v>
      </c>
      <c r="P19" s="20">
        <f ca="1">+O19+O19*Volatility!O19*(-DriftSum!P19*TimeStep+SQRT(TimeStep)*P$49)</f>
        <v>5.2074254314094737E-2</v>
      </c>
      <c r="Q19" s="20">
        <f ca="1">+P19+P19*Volatility!P19*(-DriftSum!Q19*TimeStep+SQRT(TimeStep)*Q$49)</f>
        <v>5.2356181336739228E-2</v>
      </c>
      <c r="R19" s="20">
        <f ca="1">+Q19+Q19*Volatility!Q19*(-DriftSum!R19*TimeStep+SQRT(TimeStep)*R$49)</f>
        <v>5.372529221860696E-2</v>
      </c>
      <c r="S19" s="20">
        <f ca="1">+R19+R19*Volatility!R19*(-DriftSum!S19*TimeStep+SQRT(TimeStep)*S$49)</f>
        <v>5.6392231657580345E-2</v>
      </c>
      <c r="T19" s="20">
        <f ca="1">+S19+S19*Volatility!S19*(-DriftSum!T19*TimeStep+SQRT(TimeStep)*T$49)</f>
        <v>5.5394406413226481E-2</v>
      </c>
      <c r="U19" s="20">
        <f ca="1">+T19+T19*Volatility!T19*(-DriftSum!U19*TimeStep+SQRT(TimeStep)*U$49)</f>
        <v>5.5261046938210462E-2</v>
      </c>
      <c r="V19" s="20">
        <f ca="1">+U19+U19*Volatility!U19*(-DriftSum!V19*TimeStep+SQRT(TimeStep)*V$49)</f>
        <v>5.3727943081170501E-2</v>
      </c>
      <c r="W19" s="20">
        <f ca="1">+V19+V19*Volatility!V19*(-DriftSum!W19*TimeStep+SQRT(TimeStep)*W$49)</f>
        <v>5.0050020382394721E-2</v>
      </c>
      <c r="X19" s="20">
        <f ca="1">+W19+W19*Volatility!W19*(-DriftSum!X19*TimeStep+SQRT(TimeStep)*X$49)</f>
        <v>5.1037534706078719E-2</v>
      </c>
      <c r="Y19" s="20">
        <f ca="1">+X19+X19*Volatility!X19*(-DriftSum!Y19*TimeStep+SQRT(TimeStep)*Y$49)</f>
        <v>5.0226804058053721E-2</v>
      </c>
      <c r="Z19" s="20">
        <f ca="1">+Y19+Y19*Volatility!Y19*(-DriftSum!Z19*TimeStep+SQRT(TimeStep)*Z$49)</f>
        <v>5.1477126094100059E-2</v>
      </c>
      <c r="AA19" s="20">
        <f ca="1">+Z19+Z19*Volatility!Z19*(-DriftSum!AA19*TimeStep+SQRT(TimeStep)*AA$49)</f>
        <v>5.2486549559660492E-2</v>
      </c>
      <c r="AB19" s="20">
        <f ca="1">+AA19+AA19*Volatility!AA19*(-DriftSum!AB19*TimeStep+SQRT(TimeStep)*AB$49)</f>
        <v>5.2337137517868518E-2</v>
      </c>
      <c r="AC19" s="20">
        <f ca="1">+AB19+AB19*Volatility!AB19*(-DriftSum!AC19*TimeStep+SQRT(TimeStep)*AC$49)</f>
        <v>5.1193754648343748E-2</v>
      </c>
      <c r="AD19" s="20">
        <f ca="1">+AC19+AC19*Volatility!AC19*(-DriftSum!AD19*TimeStep+SQRT(TimeStep)*AD$49)</f>
        <v>5.0698511554422482E-2</v>
      </c>
      <c r="AE19" s="20">
        <f ca="1">+AD19+AD19*Volatility!AD19*(-DriftSum!AE19*TimeStep+SQRT(TimeStep)*AE$49)</f>
        <v>5.3427429270973735E-2</v>
      </c>
      <c r="AF19" s="20">
        <f ca="1">+AE19+AE19*Volatility!AE19*(-DriftSum!AF19*TimeStep+SQRT(TimeStep)*AF$49)</f>
        <v>5.3728160466254928E-2</v>
      </c>
      <c r="AG19" s="20">
        <f ca="1">+AF19+AF19*Volatility!AF19*(-DriftSum!AG19*TimeStep+SQRT(TimeStep)*AG$49)</f>
        <v>5.4474816856147093E-2</v>
      </c>
      <c r="AH19" s="20">
        <f ca="1">+AG19+AG19*Volatility!AG19*(-DriftSum!AH19*TimeStep+SQRT(TimeStep)*AH$49)</f>
        <v>5.533424824962823E-2</v>
      </c>
      <c r="AI19" s="20">
        <f ca="1">+AH19+AH19*Volatility!AH19*(-DriftSum!AI19*TimeStep+SQRT(TimeStep)*AI$49)</f>
        <v>5.823597150702034E-2</v>
      </c>
      <c r="AJ19" s="20">
        <f ca="1">+AI19+AI19*Volatility!AI19*(-DriftSum!AJ19*TimeStep+SQRT(TimeStep)*AJ$49)</f>
        <v>5.8898465886483578E-2</v>
      </c>
      <c r="AK19" s="20">
        <f ca="1">+AJ19+AJ19*Volatility!AJ19*(-DriftSum!AK19*TimeStep+SQRT(TimeStep)*AK$49)</f>
        <v>6.1156990957830844E-2</v>
      </c>
      <c r="AL19" s="20">
        <f ca="1">+AK19+AK19*Volatility!AK19*(-DriftSum!AL19*TimeStep+SQRT(TimeStep)*AL$49)</f>
        <v>6.2227587339402923E-2</v>
      </c>
      <c r="AM19" s="20">
        <f ca="1">+AL19+AL19*Volatility!AL19*(-DriftSum!AM19*TimeStep+SQRT(TimeStep)*AM$49)</f>
        <v>6.1880596673856217E-2</v>
      </c>
      <c r="AN19" s="20">
        <f ca="1">+AM19+AM19*Volatility!AM19*(-DriftSum!AN19*TimeStep+SQRT(TimeStep)*AN$49)</f>
        <v>5.807211541400259E-2</v>
      </c>
      <c r="AO19" s="20">
        <f ca="1">+AN19+AN19*Volatility!AN19*(-DriftSum!AO19*TimeStep+SQRT(TimeStep)*AO$49)</f>
        <v>5.7011194424759735E-2</v>
      </c>
      <c r="AP19" s="20">
        <f ca="1">+AO19+AO19*Volatility!AO19*(-DriftSum!AP19*TimeStep+SQRT(TimeStep)*AP$49)</f>
        <v>5.4794234669576655E-2</v>
      </c>
      <c r="AQ19" s="20">
        <f ca="1">+AP19+AP19*Volatility!AP19*(-DriftSum!AQ19*TimeStep+SQRT(TimeStep)*AQ$49)</f>
        <v>5.6000334649545395E-2</v>
      </c>
      <c r="AR19" s="20">
        <f ca="1">+AQ19+AQ19*Volatility!AQ19*(-DriftSum!AR19*TimeStep+SQRT(TimeStep)*AR$49)</f>
        <v>5.7650310150823184E-2</v>
      </c>
      <c r="AS19" s="20">
        <f ca="1">+AR19+AR19*Volatility!AR19*(-DriftSum!AS19*TimeStep+SQRT(TimeStep)*AS$49)</f>
        <v>5.6413949332872887E-2</v>
      </c>
      <c r="AT19" s="20">
        <f ca="1">+AS19+AS19*Volatility!AS19*(-DriftSum!AT19*TimeStep+SQRT(TimeStep)*AT$49)</f>
        <v>5.5893118376159671E-2</v>
      </c>
      <c r="AU19" s="20">
        <f ca="1">+AT19+AT19*Volatility!AT19*(-DriftSum!AU19*TimeStep+SQRT(TimeStep)*AU$49)</f>
        <v>5.7400509030649055E-2</v>
      </c>
      <c r="AV19" s="20">
        <f ca="1">+AU19+AU19*Volatility!AU19*(-DriftSum!AV19*TimeStep+SQRT(TimeStep)*AV$49)</f>
        <v>5.7718101153978317E-2</v>
      </c>
      <c r="AW19" s="20">
        <f ca="1">+AV19+AV19*Volatility!AV19*(-DriftSum!AW19*TimeStep+SQRT(TimeStep)*AW$49)</f>
        <v>5.9505579288462444E-2</v>
      </c>
      <c r="AX19" s="20">
        <f ca="1">+AW19+AW19*Volatility!AW19*(-DriftSum!AX19*TimeStep+SQRT(TimeStep)*AX$49)</f>
        <v>5.7603785413265045E-2</v>
      </c>
      <c r="AY19" s="20">
        <f ca="1">+AX19+AX19*Volatility!AX19*(-DriftSum!AY19*TimeStep+SQRT(TimeStep)*AY$49)</f>
        <v>5.8957271957459444E-2</v>
      </c>
      <c r="AZ19" s="20">
        <f ca="1">+AY19+AY19*Volatility!AY19*(-DriftSum!AZ19*TimeStep+SQRT(TimeStep)*AZ$49)</f>
        <v>6.0109041316431744E-2</v>
      </c>
      <c r="BA19" s="20">
        <f ca="1">+AZ19+AZ19*Volatility!AZ19*(-DriftSum!BA19*TimeStep+SQRT(TimeStep)*BA$49)</f>
        <v>6.3192762326062829E-2</v>
      </c>
      <c r="BB19" s="20">
        <f ca="1">+BA19+BA19*Volatility!BA19*(-DriftSum!BB19*TimeStep+SQRT(TimeStep)*BB$49)</f>
        <v>6.3973650371754745E-2</v>
      </c>
      <c r="BC19" s="20">
        <f ca="1">+BB19+BB19*Volatility!BB19*(-DriftSum!BC19*TimeStep+SQRT(TimeStep)*BC$49)</f>
        <v>6.1933820591345383E-2</v>
      </c>
      <c r="BD19" s="20">
        <f ca="1">+BC19+BC19*Volatility!BC19*(-DriftSum!BD19*TimeStep+SQRT(TimeStep)*BD$49)</f>
        <v>6.1787679430531449E-2</v>
      </c>
      <c r="BE19" s="20">
        <f ca="1">+BD19+BD19*Volatility!BD19*(-DriftSum!BE19*TimeStep+SQRT(TimeStep)*BE$49)</f>
        <v>6.0824681206224383E-2</v>
      </c>
      <c r="BF19" s="20">
        <f ca="1">+BE19+BE19*Volatility!BE19*(-DriftSum!BF19*TimeStep+SQRT(TimeStep)*BF$49)</f>
        <v>5.7697360479167036E-2</v>
      </c>
      <c r="BG19" s="20">
        <f ca="1">+BF19+BF19*Volatility!BF19*(-DriftSum!BG19*TimeStep+SQRT(TimeStep)*BG$49)</f>
        <v>6.1052911255455602E-2</v>
      </c>
      <c r="BH19" s="20">
        <f ca="1">+BG19+BG19*Volatility!BG19*(-DriftSum!BH19*TimeStep+SQRT(TimeStep)*BH$49)</f>
        <v>5.9426145647298728E-2</v>
      </c>
      <c r="BI19" s="20">
        <f ca="1">+BH19+BH19*Volatility!BH19*(-DriftSum!BI19*TimeStep+SQRT(TimeStep)*BI$49)</f>
        <v>5.5153935507303846E-2</v>
      </c>
      <c r="BJ19" s="20">
        <f ca="1">+BI19+BI19*Volatility!BI19*(-DriftSum!BJ19*TimeStep+SQRT(TimeStep)*BJ$49)</f>
        <v>5.61346229265118E-2</v>
      </c>
      <c r="BK19" s="20">
        <f ca="1">+BJ19+BJ19*Volatility!BJ19*(-DriftSum!BK19*TimeStep+SQRT(TimeStep)*BK$49)</f>
        <v>5.7485910982521544E-2</v>
      </c>
      <c r="BL19" s="20">
        <f ca="1">+BK19+BK19*Volatility!BK19*(-DriftSum!BL19*TimeStep+SQRT(TimeStep)*BL$49)</f>
        <v>5.891451848925984E-2</v>
      </c>
      <c r="BM19" s="20">
        <f ca="1">+BL19+BL19*Volatility!BL19*(-DriftSum!BM19*TimeStep+SQRT(TimeStep)*BM$49)</f>
        <v>5.6342589429837373E-2</v>
      </c>
      <c r="BN19" s="20">
        <f ca="1">+BM19+BM19*Volatility!BM19*(-DriftSum!BN19*TimeStep+SQRT(TimeStep)*BN$49)</f>
        <v>5.7112153507090195E-2</v>
      </c>
      <c r="BO19" s="20">
        <f ca="1">+BN19+BN19*Volatility!BN19*(-DriftSum!BO19*TimeStep+SQRT(TimeStep)*BO$49)</f>
        <v>5.9205977062257061E-2</v>
      </c>
      <c r="BP19" s="20">
        <f ca="1">+BO19+BO19*Volatility!BO19*(-DriftSum!BP19*TimeStep+SQRT(TimeStep)*BP$49)</f>
        <v>5.9555196652854428E-2</v>
      </c>
      <c r="BQ19" s="20">
        <f ca="1">+BP19+BP19*Volatility!BP19*(-DriftSum!BQ19*TimeStep+SQRT(TimeStep)*BQ$49)</f>
        <v>5.9701564885341202E-2</v>
      </c>
      <c r="BR19" s="20">
        <f ca="1">+BQ19+BQ19*Volatility!BQ19*(-DriftSum!BR19*TimeStep+SQRT(TimeStep)*BR$49)</f>
        <v>6.2236914551608062E-2</v>
      </c>
      <c r="BS19" s="20">
        <f ca="1">+BR19+BR19*Volatility!BR19*(-DriftSum!BS19*TimeStep+SQRT(TimeStep)*BS$49)</f>
        <v>5.8953286239586733E-2</v>
      </c>
      <c r="BT19" s="20">
        <f ca="1">+BS19+BS19*Volatility!BS19*(-DriftSum!BT19*TimeStep+SQRT(TimeStep)*BT$49)</f>
        <v>5.6543760368454279E-2</v>
      </c>
      <c r="BU19" s="20">
        <f ca="1">+BT19+BT19*Volatility!BT19*(-DriftSum!BU19*TimeStep+SQRT(TimeStep)*BU$49)</f>
        <v>5.4376414782589207E-2</v>
      </c>
      <c r="BV19" s="20">
        <f ca="1">+BU19+BU19*Volatility!BU19*(-DriftSum!BV19*TimeStep+SQRT(TimeStep)*BV$49)</f>
        <v>5.7385572886955408E-2</v>
      </c>
      <c r="BW19" s="20">
        <f ca="1">+BV19+BV19*Volatility!BV19*(-DriftSum!BW19*TimeStep+SQRT(TimeStep)*BW$49)</f>
        <v>5.3393033848915306E-2</v>
      </c>
      <c r="BX19" s="20">
        <f ca="1">+BW19+BW19*Volatility!BW19*(-DriftSum!BX19*TimeStep+SQRT(TimeStep)*BX$49)</f>
        <v>5.2208326407161297E-2</v>
      </c>
      <c r="BY19" s="20">
        <f ca="1">+BX19+BX19*Volatility!BX19*(-DriftSum!BY19*TimeStep+SQRT(TimeStep)*BY$49)</f>
        <v>5.2622983729578951E-2</v>
      </c>
      <c r="BZ19" s="20">
        <f ca="1">+BY19+BY19*Volatility!BY19*(-DriftSum!BZ19*TimeStep+SQRT(TimeStep)*BZ$49)</f>
        <v>5.6235241778237653E-2</v>
      </c>
      <c r="CA19" s="20">
        <f ca="1">+BZ19+BZ19*Volatility!BZ19*(-DriftSum!CA19*TimeStep+SQRT(TimeStep)*CA$49)</f>
        <v>5.4331703623929938E-2</v>
      </c>
      <c r="CB19" s="20">
        <f ca="1">+CA19+CA19*Volatility!CA19*(-DriftSum!CB19*TimeStep+SQRT(TimeStep)*CB$49)</f>
        <v>5.5813380559973542E-2</v>
      </c>
      <c r="CC19" s="20">
        <f ca="1">+CB19+CB19*Volatility!CB19*(-DriftSum!CC19*TimeStep+SQRT(TimeStep)*CC$49)</f>
        <v>5.5506116497574282E-2</v>
      </c>
      <c r="CD19" s="20">
        <f ca="1">+CC19+CC19*Volatility!CC19*(-DriftSum!CD19*TimeStep+SQRT(TimeStep)*CD$49)</f>
        <v>5.6224487008490753E-2</v>
      </c>
      <c r="CE19" s="20">
        <f ca="1">+CD19+CD19*Volatility!CD19*(-DriftSum!CE19*TimeStep+SQRT(TimeStep)*CE$49)</f>
        <v>5.382558136039272E-2</v>
      </c>
      <c r="CF19" s="20">
        <f ca="1">+CE19+CE19*Volatility!CE19*(-DriftSum!CF19*TimeStep+SQRT(TimeStep)*CF$49)</f>
        <v>5.5930226841090225E-2</v>
      </c>
      <c r="CG19" s="20">
        <f ca="1">+CF19+CF19*Volatility!CF19*(-DriftSum!CG19*TimeStep+SQRT(TimeStep)*CG$49)</f>
        <v>5.6711481392210362E-2</v>
      </c>
      <c r="CH19" s="20">
        <f ca="1">+CG19+CG19*Volatility!CG19*(-DriftSum!CH19*TimeStep+SQRT(TimeStep)*CH$49)</f>
        <v>5.4839406790458761E-2</v>
      </c>
      <c r="CI19" s="20">
        <f ca="1">+CH19+CH19*Volatility!CH19*(-DriftSum!CI19*TimeStep+SQRT(TimeStep)*CI$49)</f>
        <v>5.4480012855726088E-2</v>
      </c>
      <c r="CJ19" s="20">
        <f ca="1">+CI19+CI19*Volatility!CI19*(-DriftSum!CJ19*TimeStep+SQRT(TimeStep)*CJ$49)</f>
        <v>5.3220009568255011E-2</v>
      </c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</row>
    <row r="20" spans="4:127" x14ac:dyDescent="0.2">
      <c r="D20" s="2">
        <f t="shared" si="2"/>
        <v>6.75</v>
      </c>
      <c r="E20" s="10">
        <f t="shared" si="3"/>
        <v>0.73384147175578851</v>
      </c>
      <c r="F20" s="12" t="str">
        <f t="shared" si="4"/>
        <v>L(t;6.5,6.75)</v>
      </c>
      <c r="G20" s="19">
        <v>0.05</v>
      </c>
      <c r="H20" s="20">
        <f ca="1">+G20+G20*Volatility!G20*(-DriftSum!H20*TimeStep+SQRT(TimeStep)*H$49)</f>
        <v>5.1361822981735458E-2</v>
      </c>
      <c r="I20" s="20">
        <f ca="1">+H20+H20*Volatility!H20*(-DriftSum!I20*TimeStep+SQRT(TimeStep)*I$49)</f>
        <v>5.1449258520288373E-2</v>
      </c>
      <c r="J20" s="20">
        <f ca="1">+I20+I20*Volatility!I20*(-DriftSum!J20*TimeStep+SQRT(TimeStep)*J$49)</f>
        <v>5.0121689502142242E-2</v>
      </c>
      <c r="K20" s="20">
        <f ca="1">+J20+J20*Volatility!J20*(-DriftSum!K20*TimeStep+SQRT(TimeStep)*K$49)</f>
        <v>5.0575735876025964E-2</v>
      </c>
      <c r="L20" s="20">
        <f ca="1">+K20+K20*Volatility!K20*(-DriftSum!L20*TimeStep+SQRT(TimeStep)*L$49)</f>
        <v>4.9092098491364124E-2</v>
      </c>
      <c r="M20" s="20">
        <f ca="1">+L20+L20*Volatility!L20*(-DriftSum!M20*TimeStep+SQRT(TimeStep)*M$49)</f>
        <v>5.2192542867923283E-2</v>
      </c>
      <c r="N20" s="20">
        <f ca="1">+M20+M20*Volatility!M20*(-DriftSum!N20*TimeStep+SQRT(TimeStep)*N$49)</f>
        <v>5.171098190292709E-2</v>
      </c>
      <c r="O20" s="20">
        <f ca="1">+N20+N20*Volatility!N20*(-DriftSum!O20*TimeStep+SQRT(TimeStep)*O$49)</f>
        <v>5.3523899466694676E-2</v>
      </c>
      <c r="P20" s="20">
        <f ca="1">+O20+O20*Volatility!O20*(-DriftSum!P20*TimeStep+SQRT(TimeStep)*P$49)</f>
        <v>5.2122918573134926E-2</v>
      </c>
      <c r="Q20" s="20">
        <f ca="1">+P20+P20*Volatility!P20*(-DriftSum!Q20*TimeStep+SQRT(TimeStep)*Q$49)</f>
        <v>5.2412363937718441E-2</v>
      </c>
      <c r="R20" s="20">
        <f ca="1">+Q20+Q20*Volatility!Q20*(-DriftSum!R20*TimeStep+SQRT(TimeStep)*R$49)</f>
        <v>5.3820707283847039E-2</v>
      </c>
      <c r="S20" s="20">
        <f ca="1">+R20+R20*Volatility!R20*(-DriftSum!S20*TimeStep+SQRT(TimeStep)*S$49)</f>
        <v>5.6566590324008383E-2</v>
      </c>
      <c r="T20" s="20">
        <f ca="1">+S20+S20*Volatility!S20*(-DriftSum!T20*TimeStep+SQRT(TimeStep)*T$49)</f>
        <v>5.5536845683499182E-2</v>
      </c>
      <c r="U20" s="20">
        <f ca="1">+T20+T20*Volatility!T20*(-DriftSum!U20*TimeStep+SQRT(TimeStep)*U$49)</f>
        <v>5.5398650565151697E-2</v>
      </c>
      <c r="V20" s="20">
        <f ca="1">+U20+U20*Volatility!U20*(-DriftSum!V20*TimeStep+SQRT(TimeStep)*V$49)</f>
        <v>5.3817897477038072E-2</v>
      </c>
      <c r="W20" s="20">
        <f ca="1">+V20+V20*Volatility!V20*(-DriftSum!W20*TimeStep+SQRT(TimeStep)*W$49)</f>
        <v>5.0029825384791726E-2</v>
      </c>
      <c r="X20" s="20">
        <f ca="1">+W20+W20*Volatility!W20*(-DriftSum!X20*TimeStep+SQRT(TimeStep)*X$49)</f>
        <v>5.1044010983461827E-2</v>
      </c>
      <c r="Y20" s="20">
        <f ca="1">+X20+X20*Volatility!X20*(-DriftSum!Y20*TimeStep+SQRT(TimeStep)*Y$49)</f>
        <v>5.0209813050686468E-2</v>
      </c>
      <c r="Z20" s="20">
        <f ca="1">+Y20+Y20*Volatility!Y20*(-DriftSum!Z20*TimeStep+SQRT(TimeStep)*Z$49)</f>
        <v>5.1494145302863725E-2</v>
      </c>
      <c r="AA20" s="20">
        <f ca="1">+Z20+Z20*Volatility!Z20*(-DriftSum!AA20*TimeStep+SQRT(TimeStep)*AA$49)</f>
        <v>5.2531571717968156E-2</v>
      </c>
      <c r="AB20" s="20">
        <f ca="1">+AA20+AA20*Volatility!AA20*(-DriftSum!AB20*TimeStep+SQRT(TimeStep)*AB$49)</f>
        <v>5.2377171464625685E-2</v>
      </c>
      <c r="AC20" s="20">
        <f ca="1">+AB20+AB20*Volatility!AB20*(-DriftSum!AC20*TimeStep+SQRT(TimeStep)*AC$49)</f>
        <v>5.1200168507518289E-2</v>
      </c>
      <c r="AD20" s="20">
        <f ca="1">+AC20+AC20*Volatility!AC20*(-DriftSum!AD20*TimeStep+SQRT(TimeStep)*AD$49)</f>
        <v>5.0690341705818147E-2</v>
      </c>
      <c r="AE20" s="20">
        <f ca="1">+AD20+AD20*Volatility!AD20*(-DriftSum!AE20*TimeStep+SQRT(TimeStep)*AE$49)</f>
        <v>5.3494696771247977E-2</v>
      </c>
      <c r="AF20" s="20">
        <f ca="1">+AE20+AE20*Volatility!AE20*(-DriftSum!AF20*TimeStep+SQRT(TimeStep)*AF$49)</f>
        <v>5.3803557343490162E-2</v>
      </c>
      <c r="AG20" s="20">
        <f ca="1">+AF20+AF20*Volatility!AF20*(-DriftSum!AG20*TimeStep+SQRT(TimeStep)*AG$49)</f>
        <v>5.4571525741848904E-2</v>
      </c>
      <c r="AH20" s="20">
        <f ca="1">+AG20+AG20*Volatility!AG20*(-DriftSum!AH20*TimeStep+SQRT(TimeStep)*AH$49)</f>
        <v>5.54559027100434E-2</v>
      </c>
      <c r="AI20" s="20">
        <f ca="1">+AH20+AH20*Volatility!AH20*(-DriftSum!AI20*TimeStep+SQRT(TimeStep)*AI$49)</f>
        <v>5.8444798927785049E-2</v>
      </c>
      <c r="AJ20" s="20">
        <f ca="1">+AI20+AI20*Volatility!AI20*(-DriftSum!AJ20*TimeStep+SQRT(TimeStep)*AJ$49)</f>
        <v>5.9127487538059305E-2</v>
      </c>
      <c r="AK20" s="20">
        <f ca="1">+AJ20+AJ20*Volatility!AJ20*(-DriftSum!AK20*TimeStep+SQRT(TimeStep)*AK$49)</f>
        <v>6.145752249958783E-2</v>
      </c>
      <c r="AL20" s="20">
        <f ca="1">+AK20+AK20*Volatility!AK20*(-DriftSum!AL20*TimeStep+SQRT(TimeStep)*AL$49)</f>
        <v>6.256263637378226E-2</v>
      </c>
      <c r="AM20" s="20">
        <f ca="1">+AL20+AL20*Volatility!AL20*(-DriftSum!AM20*TimeStep+SQRT(TimeStep)*AM$49)</f>
        <v>6.2203056328426723E-2</v>
      </c>
      <c r="AN20" s="20">
        <f ca="1">+AM20+AM20*Volatility!AM20*(-DriftSum!AN20*TimeStep+SQRT(TimeStep)*AN$49)</f>
        <v>5.826646333539881E-2</v>
      </c>
      <c r="AO20" s="20">
        <f ca="1">+AN20+AN20*Volatility!AN20*(-DriftSum!AO20*TimeStep+SQRT(TimeStep)*AO$49)</f>
        <v>5.7171328974971528E-2</v>
      </c>
      <c r="AP20" s="20">
        <f ca="1">+AO20+AO20*Volatility!AO20*(-DriftSum!AP20*TimeStep+SQRT(TimeStep)*AP$49)</f>
        <v>5.488502182192171E-2</v>
      </c>
      <c r="AQ20" s="20">
        <f ca="1">+AP20+AP20*Volatility!AP20*(-DriftSum!AQ20*TimeStep+SQRT(TimeStep)*AQ$49)</f>
        <v>5.6126264603733704E-2</v>
      </c>
      <c r="AR20" s="20">
        <f ca="1">+AQ20+AQ20*Volatility!AQ20*(-DriftSum!AR20*TimeStep+SQRT(TimeStep)*AR$49)</f>
        <v>5.7825555417305344E-2</v>
      </c>
      <c r="AS20" s="20">
        <f ca="1">+AR20+AR20*Volatility!AR20*(-DriftSum!AS20*TimeStep+SQRT(TimeStep)*AS$49)</f>
        <v>5.6549860790904703E-2</v>
      </c>
      <c r="AT20" s="20">
        <f ca="1">+AS20+AS20*Volatility!AS20*(-DriftSum!AT20*TimeStep+SQRT(TimeStep)*AT$49)</f>
        <v>5.601236575534381E-2</v>
      </c>
      <c r="AU20" s="20">
        <f ca="1">+AT20+AT20*Volatility!AT20*(-DriftSum!AU20*TimeStep+SQRT(TimeStep)*AU$49)</f>
        <v>5.7564568773539715E-2</v>
      </c>
      <c r="AV20" s="20">
        <f ca="1">+AU20+AU20*Volatility!AU20*(-DriftSum!AV20*TimeStep+SQRT(TimeStep)*AV$49)</f>
        <v>5.7891199764099885E-2</v>
      </c>
      <c r="AW20" s="20">
        <f ca="1">+AV20+AV20*Volatility!AV20*(-DriftSum!AW20*TimeStep+SQRT(TimeStep)*AW$49)</f>
        <v>5.9733497440464738E-2</v>
      </c>
      <c r="AX20" s="20">
        <f ca="1">+AW20+AW20*Volatility!AW20*(-DriftSum!AX20*TimeStep+SQRT(TimeStep)*AX$49)</f>
        <v>5.7770034952087837E-2</v>
      </c>
      <c r="AY20" s="20">
        <f ca="1">+AX20+AX20*Volatility!AX20*(-DriftSum!AY20*TimeStep+SQRT(TimeStep)*AY$49)</f>
        <v>5.9164681105712748E-2</v>
      </c>
      <c r="AZ20" s="20">
        <f ca="1">+AY20+AY20*Volatility!AY20*(-DriftSum!AZ20*TimeStep+SQRT(TimeStep)*AZ$49)</f>
        <v>6.0352065633690159E-2</v>
      </c>
      <c r="BA20" s="20">
        <f ca="1">+AZ20+AZ20*Volatility!AZ20*(-DriftSum!BA20*TimeStep+SQRT(TimeStep)*BA$49)</f>
        <v>6.3534186959252018E-2</v>
      </c>
      <c r="BB20" s="20">
        <f ca="1">+BA20+BA20*Volatility!BA20*(-DriftSum!BB20*TimeStep+SQRT(TimeStep)*BB$49)</f>
        <v>6.4340337243635581E-2</v>
      </c>
      <c r="BC20" s="20">
        <f ca="1">+BB20+BB20*Volatility!BB20*(-DriftSum!BC20*TimeStep+SQRT(TimeStep)*BC$49)</f>
        <v>6.2230302768329769E-2</v>
      </c>
      <c r="BD20" s="20">
        <f ca="1">+BC20+BC20*Volatility!BC20*(-DriftSum!BD20*TimeStep+SQRT(TimeStep)*BD$49)</f>
        <v>6.2078414325270483E-2</v>
      </c>
      <c r="BE20" s="20">
        <f ca="1">+BD20+BD20*Volatility!BD20*(-DriftSum!BE20*TimeStep+SQRT(TimeStep)*BE$49)</f>
        <v>6.1082831593460618E-2</v>
      </c>
      <c r="BF20" s="20">
        <f ca="1">+BE20+BE20*Volatility!BE20*(-DriftSum!BF20*TimeStep+SQRT(TimeStep)*BF$49)</f>
        <v>5.7853286566493696E-2</v>
      </c>
      <c r="BG20" s="20">
        <f ca="1">+BF20+BF20*Volatility!BF20*(-DriftSum!BG20*TimeStep+SQRT(TimeStep)*BG$49)</f>
        <v>6.131143391110324E-2</v>
      </c>
      <c r="BH20" s="20">
        <f ca="1">+BG20+BG20*Volatility!BG20*(-DriftSum!BH20*TimeStep+SQRT(TimeStep)*BH$49)</f>
        <v>5.9631072463293543E-2</v>
      </c>
      <c r="BI20" s="20">
        <f ca="1">+BH20+BH20*Volatility!BH20*(-DriftSum!BI20*TimeStep+SQRT(TimeStep)*BI$49)</f>
        <v>5.5223079050093923E-2</v>
      </c>
      <c r="BJ20" s="20">
        <f ca="1">+BI20+BI20*Volatility!BI20*(-DriftSum!BJ20*TimeStep+SQRT(TimeStep)*BJ$49)</f>
        <v>5.6231789593459584E-2</v>
      </c>
      <c r="BK20" s="20">
        <f ca="1">+BJ20+BJ20*Volatility!BJ20*(-DriftSum!BK20*TimeStep+SQRT(TimeStep)*BK$49)</f>
        <v>5.762260553269772E-2</v>
      </c>
      <c r="BL20" s="20">
        <f ca="1">+BK20+BK20*Volatility!BK20*(-DriftSum!BL20*TimeStep+SQRT(TimeStep)*BL$49)</f>
        <v>5.909395901429209E-2</v>
      </c>
      <c r="BM20" s="20">
        <f ca="1">+BL20+BL20*Volatility!BL20*(-DriftSum!BM20*TimeStep+SQRT(TimeStep)*BM$49)</f>
        <v>5.6441025339008452E-2</v>
      </c>
      <c r="BN20" s="20">
        <f ca="1">+BM20+BM20*Volatility!BM20*(-DriftSum!BN20*TimeStep+SQRT(TimeStep)*BN$49)</f>
        <v>5.7232779238069027E-2</v>
      </c>
      <c r="BO20" s="20">
        <f ca="1">+BN20+BN20*Volatility!BN20*(-DriftSum!BO20*TimeStep+SQRT(TimeStep)*BO$49)</f>
        <v>5.9389064224371707E-2</v>
      </c>
      <c r="BP20" s="20">
        <f ca="1">+BO20+BO20*Volatility!BO20*(-DriftSum!BP20*TimeStep+SQRT(TimeStep)*BP$49)</f>
        <v>5.9748335592118243E-2</v>
      </c>
      <c r="BQ20" s="20">
        <f ca="1">+BP20+BP20*Volatility!BP20*(-DriftSum!BQ20*TimeStep+SQRT(TimeStep)*BQ$49)</f>
        <v>5.9898435860882407E-2</v>
      </c>
      <c r="BR20" s="20">
        <f ca="1">+BQ20+BQ20*Volatility!BQ20*(-DriftSum!BR20*TimeStep+SQRT(TimeStep)*BR$49)</f>
        <v>6.2512601058021783E-2</v>
      </c>
      <c r="BS20" s="20">
        <f ca="1">+BR20+BR20*Volatility!BR20*(-DriftSum!BS20*TimeStep+SQRT(TimeStep)*BS$49)</f>
        <v>5.9121015941933808E-2</v>
      </c>
      <c r="BT20" s="20">
        <f ca="1">+BS20+BS20*Volatility!BS20*(-DriftSum!BT20*TimeStep+SQRT(TimeStep)*BT$49)</f>
        <v>5.6636043420309388E-2</v>
      </c>
      <c r="BU20" s="20">
        <f ca="1">+BT20+BT20*Volatility!BT20*(-DriftSum!BU20*TimeStep+SQRT(TimeStep)*BU$49)</f>
        <v>5.4403520400124208E-2</v>
      </c>
      <c r="BV20" s="20">
        <f ca="1">+BU20+BU20*Volatility!BU20*(-DriftSum!BV20*TimeStep+SQRT(TimeStep)*BV$49)</f>
        <v>5.7497873824937797E-2</v>
      </c>
      <c r="BW20" s="20">
        <f ca="1">+BV20+BV20*Volatility!BV20*(-DriftSum!BW20*TimeStep+SQRT(TimeStep)*BW$49)</f>
        <v>5.3384564528252645E-2</v>
      </c>
      <c r="BX20" s="20">
        <f ca="1">+BW20+BW20*Volatility!BW20*(-DriftSum!BX20*TimeStep+SQRT(TimeStep)*BX$49)</f>
        <v>5.2166144453389338E-2</v>
      </c>
      <c r="BY20" s="20">
        <f ca="1">+BX20+BX20*Volatility!BX20*(-DriftSum!BY20*TimeStep+SQRT(TimeStep)*BY$49)</f>
        <v>5.2591424042166393E-2</v>
      </c>
      <c r="BZ20" s="20">
        <f ca="1">+BY20+BY20*Volatility!BY20*(-DriftSum!BZ20*TimeStep+SQRT(TimeStep)*BZ$49)</f>
        <v>5.6302063420717245E-2</v>
      </c>
      <c r="CA20" s="20">
        <f ca="1">+BZ20+BZ20*Volatility!BZ20*(-DriftSum!CA20*TimeStep+SQRT(TimeStep)*CA$49)</f>
        <v>5.434206413199353E-2</v>
      </c>
      <c r="CB20" s="20">
        <f ca="1">+CA20+CA20*Volatility!CA20*(-DriftSum!CB20*TimeStep+SQRT(TimeStep)*CB$49)</f>
        <v>5.5864859599690231E-2</v>
      </c>
      <c r="CC20" s="20">
        <f ca="1">+CB20+CB20*Volatility!CB20*(-DriftSum!CC20*TimeStep+SQRT(TimeStep)*CC$49)</f>
        <v>5.554793526869764E-2</v>
      </c>
      <c r="CD20" s="20">
        <f ca="1">+CC20+CC20*Volatility!CC20*(-DriftSum!CD20*TimeStep+SQRT(TimeStep)*CD$49)</f>
        <v>5.6286257718765637E-2</v>
      </c>
      <c r="CE20" s="20">
        <f ca="1">+CD20+CD20*Volatility!CD20*(-DriftSum!CE20*TimeStep+SQRT(TimeStep)*CE$49)</f>
        <v>5.381661835003923E-2</v>
      </c>
      <c r="CF20" s="20">
        <f ca="1">+CE20+CE20*Volatility!CE20*(-DriftSum!CF20*TimeStep+SQRT(TimeStep)*CF$49)</f>
        <v>5.5979211425368942E-2</v>
      </c>
      <c r="CG20" s="20">
        <f ca="1">+CF20+CF20*Volatility!CF20*(-DriftSum!CG20*TimeStep+SQRT(TimeStep)*CG$49)</f>
        <v>5.6782316585726529E-2</v>
      </c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</row>
    <row r="21" spans="4:127" x14ac:dyDescent="0.2">
      <c r="D21" s="2">
        <f t="shared" si="2"/>
        <v>6.5</v>
      </c>
      <c r="E21" s="10">
        <f t="shared" si="3"/>
        <v>0.7430144901527358</v>
      </c>
      <c r="F21" s="12" t="str">
        <f t="shared" si="4"/>
        <v>L(t;6.25,6.5)</v>
      </c>
      <c r="G21" s="19">
        <v>0.05</v>
      </c>
      <c r="H21" s="20">
        <f ca="1">+G21+G21*Volatility!G21*(-DriftSum!H21*TimeStep+SQRT(TimeStep)*H$49)</f>
        <v>5.1399034731228109E-2</v>
      </c>
      <c r="I21" s="20">
        <f ca="1">+H21+H21*Volatility!H21*(-DriftSum!I21*TimeStep+SQRT(TimeStep)*I$49)</f>
        <v>5.1488278928548688E-2</v>
      </c>
      <c r="J21" s="20">
        <f ca="1">+I21+I21*Volatility!I21*(-DriftSum!J21*TimeStep+SQRT(TimeStep)*J$49)</f>
        <v>5.0122791883118543E-2</v>
      </c>
      <c r="K21" s="20">
        <f ca="1">+J21+J21*Volatility!J21*(-DriftSum!K21*TimeStep+SQRT(TimeStep)*K$49)</f>
        <v>5.0588589084365615E-2</v>
      </c>
      <c r="L21" s="20">
        <f ca="1">+K21+K21*Volatility!K21*(-DriftSum!L21*TimeStep+SQRT(TimeStep)*L$49)</f>
        <v>4.9063447243984405E-2</v>
      </c>
      <c r="M21" s="20">
        <f ca="1">+L21+L21*Volatility!L21*(-DriftSum!M21*TimeStep+SQRT(TimeStep)*M$49)</f>
        <v>5.2245974184137775E-2</v>
      </c>
      <c r="N21" s="20">
        <f ca="1">+M21+M21*Volatility!M21*(-DriftSum!N21*TimeStep+SQRT(TimeStep)*N$49)</f>
        <v>5.1750076256965781E-2</v>
      </c>
      <c r="O21" s="20">
        <f ca="1">+N21+N21*Volatility!N21*(-DriftSum!O21*TimeStep+SQRT(TimeStep)*O$49)</f>
        <v>5.3613160862089337E-2</v>
      </c>
      <c r="P21" s="20">
        <f ca="1">+O21+O21*Volatility!O21*(-DriftSum!P21*TimeStep+SQRT(TimeStep)*P$49)</f>
        <v>5.2170837982594906E-2</v>
      </c>
      <c r="Q21" s="20">
        <f ca="1">+P21+P21*Volatility!P21*(-DriftSum!Q21*TimeStep+SQRT(TimeStep)*Q$49)</f>
        <v>5.2467755545301205E-2</v>
      </c>
      <c r="R21" s="20">
        <f ca="1">+Q21+Q21*Volatility!Q21*(-DriftSum!R21*TimeStep+SQRT(TimeStep)*R$49)</f>
        <v>5.3915334330523722E-2</v>
      </c>
      <c r="S21" s="20">
        <f ca="1">+R21+R21*Volatility!R21*(-DriftSum!S21*TimeStep+SQRT(TimeStep)*S$49)</f>
        <v>5.6740323082969328E-2</v>
      </c>
      <c r="T21" s="20">
        <f ca="1">+S21+S21*Volatility!S21*(-DriftSum!T21*TimeStep+SQRT(TimeStep)*T$49)</f>
        <v>5.5678426028322549E-2</v>
      </c>
      <c r="U21" s="20">
        <f ca="1">+T21+T21*Volatility!T21*(-DriftSum!U21*TimeStep+SQRT(TimeStep)*U$49)</f>
        <v>5.5535310256035787E-2</v>
      </c>
      <c r="V21" s="20">
        <f ca="1">+U21+U21*Volatility!U21*(-DriftSum!V21*TimeStep+SQRT(TimeStep)*V$49)</f>
        <v>5.3906654080649409E-2</v>
      </c>
      <c r="W21" s="20">
        <f ca="1">+V21+V21*Volatility!V21*(-DriftSum!W21*TimeStep+SQRT(TimeStep)*W$49)</f>
        <v>5.0008111951781696E-2</v>
      </c>
      <c r="X21" s="20">
        <f ca="1">+W21+W21*Volatility!W21*(-DriftSum!X21*TimeStep+SQRT(TimeStep)*X$49)</f>
        <v>5.1048865102903102E-2</v>
      </c>
      <c r="Y21" s="20">
        <f ca="1">+X21+X21*Volatility!X21*(-DriftSum!Y21*TimeStep+SQRT(TimeStep)*Y$49)</f>
        <v>5.0191168548931082E-2</v>
      </c>
      <c r="Z21" s="20">
        <f ca="1">+Y21+Y21*Volatility!Y21*(-DriftSum!Z21*TimeStep+SQRT(TimeStep)*Z$49)</f>
        <v>5.1509393616233308E-2</v>
      </c>
      <c r="AA21" s="20">
        <f ca="1">+Z21+Z21*Volatility!Z21*(-DriftSum!AA21*TimeStep+SQRT(TimeStep)*AA$49)</f>
        <v>5.2574750917867098E-2</v>
      </c>
      <c r="AB21" s="20">
        <f ca="1">+AA21+AA21*Volatility!AA21*(-DriftSum!AB21*TimeStep+SQRT(TimeStep)*AB$49)</f>
        <v>5.2415303446317875E-2</v>
      </c>
      <c r="AC21" s="20">
        <f ca="1">+AB21+AB21*Volatility!AB21*(-DriftSum!AC21*TimeStep+SQRT(TimeStep)*AC$49)</f>
        <v>5.1204618402852814E-2</v>
      </c>
      <c r="AD21" s="20">
        <f ca="1">+AC21+AC21*Volatility!AC21*(-DriftSum!AD21*TimeStep+SQRT(TimeStep)*AD$49)</f>
        <v>5.0680171388462571E-2</v>
      </c>
      <c r="AE21" s="20">
        <f ca="1">+AD21+AD21*Volatility!AD21*(-DriftSum!AE21*TimeStep+SQRT(TimeStep)*AE$49)</f>
        <v>5.3559773926875338E-2</v>
      </c>
      <c r="AF21" s="20">
        <f ca="1">+AE21+AE21*Volatility!AE21*(-DriftSum!AF21*TimeStep+SQRT(TimeStep)*AF$49)</f>
        <v>5.3876711784084493E-2</v>
      </c>
      <c r="AG21" s="20">
        <f ca="1">+AF21+AF21*Volatility!AF21*(-DriftSum!AG21*TimeStep+SQRT(TimeStep)*AG$49)</f>
        <v>5.4665956732303254E-2</v>
      </c>
      <c r="AH21" s="20">
        <f ca="1">+AG21+AG21*Volatility!AG21*(-DriftSum!AH21*TimeStep+SQRT(TimeStep)*AH$49)</f>
        <v>5.5575263013370034E-2</v>
      </c>
      <c r="AI21" s="20">
        <f ca="1">+AH21+AH21*Volatility!AH21*(-DriftSum!AI21*TimeStep+SQRT(TimeStep)*AI$49)</f>
        <v>5.8651495981395949E-2</v>
      </c>
      <c r="AJ21" s="20">
        <f ca="1">+AI21+AI21*Volatility!AI21*(-DriftSum!AJ21*TimeStep+SQRT(TimeStep)*AJ$49)</f>
        <v>5.9354408736275691E-2</v>
      </c>
      <c r="AK21" s="20">
        <f ca="1">+AJ21+AJ21*Volatility!AJ21*(-DriftSum!AK21*TimeStep+SQRT(TimeStep)*AK$49)</f>
        <v>6.1756280692191252E-2</v>
      </c>
      <c r="AL21" s="20">
        <f ca="1">+AK21+AK21*Volatility!AK21*(-DriftSum!AL21*TimeStep+SQRT(TimeStep)*AL$49)</f>
        <v>6.289608477055203E-2</v>
      </c>
      <c r="AM21" s="20">
        <f ca="1">+AL21+AL21*Volatility!AL21*(-DriftSum!AM21*TimeStep+SQRT(TimeStep)*AM$49)</f>
        <v>6.2523725932332255E-2</v>
      </c>
      <c r="AN21" s="20">
        <f ca="1">+AM21+AM21*Volatility!AM21*(-DriftSum!AN21*TimeStep+SQRT(TimeStep)*AN$49)</f>
        <v>5.8457932180532919E-2</v>
      </c>
      <c r="AO21" s="20">
        <f ca="1">+AN21+AN21*Volatility!AN21*(-DriftSum!AO21*TimeStep+SQRT(TimeStep)*AO$49)</f>
        <v>5.7328364279032887E-2</v>
      </c>
      <c r="AP21" s="20">
        <f ca="1">+AO21+AO21*Volatility!AO21*(-DriftSum!AP21*TimeStep+SQRT(TimeStep)*AP$49)</f>
        <v>5.4972415325839193E-2</v>
      </c>
      <c r="AQ21" s="20">
        <f ca="1">+AP21+AP21*Volatility!AP21*(-DriftSum!AQ21*TimeStep+SQRT(TimeStep)*AQ$49)</f>
        <v>5.6248769775277541E-2</v>
      </c>
      <c r="AR21" s="20">
        <f ca="1">+AQ21+AQ21*Volatility!AQ21*(-DriftSum!AR21*TimeStep+SQRT(TimeStep)*AR$49)</f>
        <v>5.7997408803480817E-2</v>
      </c>
      <c r="AS21" s="20">
        <f ca="1">+AR21+AR21*Volatility!AR21*(-DriftSum!AS21*TimeStep+SQRT(TimeStep)*AS$49)</f>
        <v>5.668217173373253E-2</v>
      </c>
      <c r="AT21" s="20">
        <f ca="1">+AS21+AS21*Volatility!AS21*(-DriftSum!AT21*TimeStep+SQRT(TimeStep)*AT$49)</f>
        <v>5.6127907370238511E-2</v>
      </c>
      <c r="AU21" s="20">
        <f ca="1">+AT21+AT21*Volatility!AT21*(-DriftSum!AU21*TimeStep+SQRT(TimeStep)*AU$49)</f>
        <v>5.7724929501729763E-2</v>
      </c>
      <c r="AV21" s="20">
        <f ca="1">+AU21+AU21*Volatility!AU21*(-DriftSum!AV21*TimeStep+SQRT(TimeStep)*AV$49)</f>
        <v>5.8060555052047866E-2</v>
      </c>
      <c r="AW21" s="20">
        <f ca="1">+AV21+AV21*Volatility!AV21*(-DriftSum!AW21*TimeStep+SQRT(TimeStep)*AW$49)</f>
        <v>5.9957775673533387E-2</v>
      </c>
      <c r="AX21" s="20">
        <f ca="1">+AW21+AW21*Volatility!AW21*(-DriftSum!AX21*TimeStep+SQRT(TimeStep)*AX$49)</f>
        <v>5.7932277231128239E-2</v>
      </c>
      <c r="AY21" s="20">
        <f ca="1">+AX21+AX21*Volatility!AX21*(-DriftSum!AY21*TimeStep+SQRT(TimeStep)*AY$49)</f>
        <v>5.936812842554233E-2</v>
      </c>
      <c r="AZ21" s="20">
        <f ca="1">+AY21+AY21*Volatility!AY21*(-DriftSum!AZ21*TimeStep+SQRT(TimeStep)*AZ$49)</f>
        <v>6.0591194204069436E-2</v>
      </c>
      <c r="BA21" s="20">
        <f ca="1">+AZ21+AZ21*Volatility!AZ21*(-DriftSum!BA21*TimeStep+SQRT(TimeStep)*BA$49)</f>
        <v>6.3872119920939954E-2</v>
      </c>
      <c r="BB21" s="20">
        <f ca="1">+BA21+BA21*Volatility!BA21*(-DriftSum!BB21*TimeStep+SQRT(TimeStep)*BB$49)</f>
        <v>6.4703626469786266E-2</v>
      </c>
      <c r="BC21" s="20">
        <f ca="1">+BB21+BB21*Volatility!BB21*(-DriftSum!BC21*TimeStep+SQRT(TimeStep)*BC$49)</f>
        <v>6.2522745649102124E-2</v>
      </c>
      <c r="BD21" s="20">
        <f ca="1">+BC21+BC21*Volatility!BC21*(-DriftSum!BD21*TimeStep+SQRT(TimeStep)*BD$49)</f>
        <v>6.2364989425590434E-2</v>
      </c>
      <c r="BE21" s="20">
        <f ca="1">+BD21+BD21*Volatility!BD21*(-DriftSum!BE21*TimeStep+SQRT(TimeStep)*BE$49)</f>
        <v>6.1336545903784886E-2</v>
      </c>
      <c r="BF21" s="20">
        <f ca="1">+BE21+BE21*Volatility!BE21*(-DriftSum!BF21*TimeStep+SQRT(TimeStep)*BF$49)</f>
        <v>5.8004186636276198E-2</v>
      </c>
      <c r="BG21" s="20">
        <f ca="1">+BF21+BF21*Volatility!BF21*(-DriftSum!BG21*TimeStep+SQRT(TimeStep)*BG$49)</f>
        <v>6.1565056449699292E-2</v>
      </c>
      <c r="BH21" s="20">
        <f ca="1">+BG21+BG21*Volatility!BG21*(-DriftSum!BH21*TimeStep+SQRT(TimeStep)*BH$49)</f>
        <v>5.9830763641645086E-2</v>
      </c>
      <c r="BI21" s="20">
        <f ca="1">+BH21+BH21*Volatility!BH21*(-DriftSum!BI21*TimeStep+SQRT(TimeStep)*BI$49)</f>
        <v>5.5286477921527313E-2</v>
      </c>
      <c r="BJ21" s="20">
        <f ca="1">+BI21+BI21*Volatility!BI21*(-DriftSum!BJ21*TimeStep+SQRT(TimeStep)*BJ$49)</f>
        <v>5.632310852959542E-2</v>
      </c>
      <c r="BK21" s="20">
        <f ca="1">+BJ21+BJ21*Volatility!BJ21*(-DriftSum!BK21*TimeStep+SQRT(TimeStep)*BK$49)</f>
        <v>5.7753367270604879E-2</v>
      </c>
      <c r="BL21" s="20">
        <f ca="1">+BK21+BK21*Volatility!BK21*(-DriftSum!BL21*TimeStep+SQRT(TimeStep)*BL$49)</f>
        <v>5.9267428997398133E-2</v>
      </c>
      <c r="BM21" s="20">
        <f ca="1">+BL21+BL21*Volatility!BL21*(-DriftSum!BM21*TimeStep+SQRT(TimeStep)*BM$49)</f>
        <v>5.6533248764615698E-2</v>
      </c>
      <c r="BN21" s="20">
        <f ca="1">+BM21+BM21*Volatility!BM21*(-DriftSum!BN21*TimeStep+SQRT(TimeStep)*BN$49)</f>
        <v>5.7347110157709283E-2</v>
      </c>
      <c r="BO21" s="20">
        <f ca="1">+BN21+BN21*Volatility!BN21*(-DriftSum!BO21*TimeStep+SQRT(TimeStep)*BO$49)</f>
        <v>5.9565789944350793E-2</v>
      </c>
      <c r="BP21" s="20">
        <f ca="1">+BO21+BO21*Volatility!BO21*(-DriftSum!BP21*TimeStep+SQRT(TimeStep)*BP$49)</f>
        <v>5.9935055195767507E-2</v>
      </c>
      <c r="BQ21" s="20">
        <f ca="1">+BP21+BP21*Volatility!BP21*(-DriftSum!BQ21*TimeStep+SQRT(TimeStep)*BQ$49)</f>
        <v>6.0088817292731703E-2</v>
      </c>
      <c r="BR21" s="20">
        <f ca="1">+BQ21+BQ21*Volatility!BQ21*(-DriftSum!BR21*TimeStep+SQRT(TimeStep)*BR$49)</f>
        <v>6.2781895084805153E-2</v>
      </c>
      <c r="BS21" s="20">
        <f ca="1">+BR21+BR21*Volatility!BR21*(-DriftSum!BS21*TimeStep+SQRT(TimeStep)*BS$49)</f>
        <v>5.9281802651025665E-2</v>
      </c>
      <c r="BT21" s="20">
        <f ca="1">+BS21+BS21*Volatility!BS21*(-DriftSum!BT21*TimeStep+SQRT(TimeStep)*BT$49)</f>
        <v>5.6721221277903029E-2</v>
      </c>
      <c r="BU21" s="20">
        <f ca="1">+BT21+BT21*Volatility!BT21*(-DriftSum!BU21*TimeStep+SQRT(TimeStep)*BU$49)</f>
        <v>5.4423541808661616E-2</v>
      </c>
      <c r="BV21" s="20">
        <f ca="1">+BU21+BU21*Volatility!BU21*(-DriftSum!BV21*TimeStep+SQRT(TimeStep)*BV$49)</f>
        <v>5.7602700078093018E-2</v>
      </c>
      <c r="BW21" s="20">
        <f ca="1">+BV21+BV21*Volatility!BV21*(-DriftSum!BW21*TimeStep+SQRT(TimeStep)*BW$49)</f>
        <v>5.3368660464476192E-2</v>
      </c>
      <c r="BX21" s="20">
        <f ca="1">+BW21+BW21*Volatility!BW21*(-DriftSum!BX21*TimeStep+SQRT(TimeStep)*BX$49)</f>
        <v>5.2116655564878961E-2</v>
      </c>
      <c r="BY21" s="20">
        <f ca="1">+BX21+BX21*Volatility!BX21*(-DriftSum!BY21*TimeStep+SQRT(TimeStep)*BY$49)</f>
        <v>5.2552424258131294E-2</v>
      </c>
      <c r="BZ21" s="20">
        <f ca="1">+BY21+BY21*Volatility!BY21*(-DriftSum!BZ21*TimeStep+SQRT(TimeStep)*BZ$49)</f>
        <v>5.6360729756188346E-2</v>
      </c>
      <c r="CA21" s="20">
        <f ca="1">+BZ21+BZ21*Volatility!BZ21*(-DriftSum!CA21*TimeStep+SQRT(TimeStep)*CA$49)</f>
        <v>5.4344367609980668E-2</v>
      </c>
      <c r="CB21" s="20">
        <f ca="1">+CA21+CA21*Volatility!CA21*(-DriftSum!CB21*TimeStep+SQRT(TimeStep)*CB$49)</f>
        <v>5.590800567098568E-2</v>
      </c>
      <c r="CC21" s="20">
        <f ca="1">+CB21+CB21*Volatility!CB21*(-DriftSum!CC21*TimeStep+SQRT(TimeStep)*CC$49)</f>
        <v>5.5581388841241225E-2</v>
      </c>
      <c r="CD21" s="20">
        <f ca="1">+CC21+CC21*Volatility!CC21*(-DriftSum!CD21*TimeStep+SQRT(TimeStep)*CD$49)</f>
        <v>5.6339515572136317E-2</v>
      </c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</row>
    <row r="22" spans="4:127" x14ac:dyDescent="0.2">
      <c r="D22" s="2">
        <f t="shared" si="2"/>
        <v>6.25</v>
      </c>
      <c r="E22" s="10">
        <f t="shared" si="3"/>
        <v>0.75230217127964494</v>
      </c>
      <c r="F22" s="12" t="str">
        <f t="shared" si="4"/>
        <v>L(t;6,6.25)</v>
      </c>
      <c r="G22" s="19">
        <v>0.05</v>
      </c>
      <c r="H22" s="20">
        <f ca="1">+G22+G22*Volatility!G22*(-DriftSum!H22*TimeStep+SQRT(TimeStep)*H$49)</f>
        <v>5.1436195554794839E-2</v>
      </c>
      <c r="I22" s="20">
        <f ca="1">+H22+H22*Volatility!H22*(-DriftSum!I22*TimeStep+SQRT(TimeStep)*I$49)</f>
        <v>5.1527196060630602E-2</v>
      </c>
      <c r="J22" s="20">
        <f ca="1">+I22+I22*Volatility!I22*(-DriftSum!J22*TimeStep+SQRT(TimeStep)*J$49)</f>
        <v>5.0123682354611614E-2</v>
      </c>
      <c r="K22" s="20">
        <f ca="1">+J22+J22*Volatility!J22*(-DriftSum!K22*TimeStep+SQRT(TimeStep)*K$49)</f>
        <v>5.0601176760954013E-2</v>
      </c>
      <c r="L22" s="20">
        <f ca="1">+K22+K22*Volatility!K22*(-DriftSum!L22*TimeStep+SQRT(TimeStep)*L$49)</f>
        <v>4.9034464542020942E-2</v>
      </c>
      <c r="M22" s="20">
        <f ca="1">+L22+L22*Volatility!L22*(-DriftSum!M22*TimeStep+SQRT(TimeStep)*M$49)</f>
        <v>5.2298904435308498E-2</v>
      </c>
      <c r="N22" s="20">
        <f ca="1">+M22+M22*Volatility!M22*(-DriftSum!N22*TimeStep+SQRT(TimeStep)*N$49)</f>
        <v>5.1788588791399241E-2</v>
      </c>
      <c r="O22" s="20">
        <f ca="1">+N22+N22*Volatility!N22*(-DriftSum!O22*TimeStep+SQRT(TimeStep)*O$49)</f>
        <v>5.3701836609015653E-2</v>
      </c>
      <c r="P22" s="20">
        <f ca="1">+O22+O22*Volatility!O22*(-DriftSum!P22*TimeStep+SQRT(TimeStep)*P$49)</f>
        <v>5.2217997204409908E-2</v>
      </c>
      <c r="Q22" s="20">
        <f ca="1">+P22+P22*Volatility!P22*(-DriftSum!Q22*TimeStep+SQRT(TimeStep)*Q$49)</f>
        <v>5.2522338684072092E-2</v>
      </c>
      <c r="R22" s="20">
        <f ca="1">+Q22+Q22*Volatility!Q22*(-DriftSum!R22*TimeStep+SQRT(TimeStep)*R$49)</f>
        <v>5.4009151886724928E-2</v>
      </c>
      <c r="S22" s="20">
        <f ca="1">+R22+R22*Volatility!R22*(-DriftSum!S22*TimeStep+SQRT(TimeStep)*S$49)</f>
        <v>5.6913401961216942E-2</v>
      </c>
      <c r="T22" s="20">
        <f ca="1">+S22+S22*Volatility!S22*(-DriftSum!T22*TimeStep+SQRT(TimeStep)*T$49)</f>
        <v>5.5819118246974747E-2</v>
      </c>
      <c r="U22" s="20">
        <f ca="1">+T22+T22*Volatility!T22*(-DriftSum!U22*TimeStep+SQRT(TimeStep)*U$49)</f>
        <v>5.5670994635185364E-2</v>
      </c>
      <c r="V22" s="20">
        <f ca="1">+U22+U22*Volatility!U22*(-DriftSum!V22*TimeStep+SQRT(TimeStep)*V$49)</f>
        <v>5.3994182279623881E-2</v>
      </c>
      <c r="W22" s="20">
        <f ca="1">+V22+V22*Volatility!V22*(-DriftSum!W22*TimeStep+SQRT(TimeStep)*W$49)</f>
        <v>4.9984856637924777E-2</v>
      </c>
      <c r="X22" s="20">
        <f ca="1">+W22+W22*Volatility!W22*(-DriftSum!X22*TimeStep+SQRT(TimeStep)*X$49)</f>
        <v>5.1052069388658187E-2</v>
      </c>
      <c r="Y22" s="20">
        <f ca="1">+X22+X22*Volatility!X22*(-DriftSum!Y22*TimeStep+SQRT(TimeStep)*Y$49)</f>
        <v>5.0170844135851697E-2</v>
      </c>
      <c r="Z22" s="20">
        <f ca="1">+Y22+Y22*Volatility!Y22*(-DriftSum!Z22*TimeStep+SQRT(TimeStep)*Z$49)</f>
        <v>5.1522839216460496E-2</v>
      </c>
      <c r="AA22" s="20">
        <f ca="1">+Z22+Z22*Volatility!Z22*(-DriftSum!AA22*TimeStep+SQRT(TimeStep)*AA$49)</f>
        <v>5.2616050291009596E-2</v>
      </c>
      <c r="AB22" s="20">
        <f ca="1">+AA22+AA22*Volatility!AA22*(-DriftSum!AB22*TimeStep+SQRT(TimeStep)*AB$49)</f>
        <v>5.245149550015181E-2</v>
      </c>
      <c r="AC22" s="20">
        <f ca="1">+AB22+AB22*Volatility!AB22*(-DriftSum!AC22*TimeStep+SQRT(TimeStep)*AC$49)</f>
        <v>5.1207069154102884E-2</v>
      </c>
      <c r="AD22" s="20">
        <f ca="1">+AC22+AC22*Volatility!AC22*(-DriftSum!AD22*TimeStep+SQRT(TimeStep)*AD$49)</f>
        <v>5.0667966015435148E-2</v>
      </c>
      <c r="AE22" s="20">
        <f ca="1">+AD22+AD22*Volatility!AD22*(-DriftSum!AE22*TimeStep+SQRT(TimeStep)*AE$49)</f>
        <v>5.3622613802274531E-2</v>
      </c>
      <c r="AF22" s="20">
        <f ca="1">+AE22+AE22*Volatility!AE22*(-DriftSum!AF22*TimeStep+SQRT(TimeStep)*AF$49)</f>
        <v>5.3947573727078001E-2</v>
      </c>
      <c r="AG22" s="20">
        <f ca="1">+AF22+AF22*Volatility!AF22*(-DriftSum!AG22*TimeStep+SQRT(TimeStep)*AG$49)</f>
        <v>5.4758054530480424E-2</v>
      </c>
      <c r="AH22" s="20">
        <f ca="1">+AG22+AG22*Volatility!AG22*(-DriftSum!AH22*TimeStep+SQRT(TimeStep)*AH$49)</f>
        <v>5.5692267872862425E-2</v>
      </c>
      <c r="AI22" s="20">
        <f ca="1">+AH22+AH22*Volatility!AH22*(-DriftSum!AI22*TimeStep+SQRT(TimeStep)*AI$49)</f>
        <v>5.885598556276183E-2</v>
      </c>
      <c r="AJ22" s="20">
        <f ca="1">+AI22+AI22*Volatility!AI22*(-DriftSum!AJ22*TimeStep+SQRT(TimeStep)*AJ$49)</f>
        <v>5.9579146441837143E-2</v>
      </c>
      <c r="AK22" s="20">
        <f ca="1">+AJ22+AJ22*Volatility!AJ22*(-DriftSum!AK22*TimeStep+SQRT(TimeStep)*AK$49)</f>
        <v>6.2053169147052979E-2</v>
      </c>
      <c r="AL22" s="20">
        <f ca="1">+AK22+AK22*Volatility!AK22*(-DriftSum!AL22*TimeStep+SQRT(TimeStep)*AL$49)</f>
        <v>6.322782791175327E-2</v>
      </c>
      <c r="AM22" s="20">
        <f ca="1">+AL22+AL22*Volatility!AL22*(-DriftSum!AM22*TimeStep+SQRT(TimeStep)*AM$49)</f>
        <v>6.2842498124639434E-2</v>
      </c>
      <c r="AN22" s="20">
        <f ca="1">+AM22+AM22*Volatility!AM22*(-DriftSum!AN22*TimeStep+SQRT(TimeStep)*AN$49)</f>
        <v>5.8646427021420061E-2</v>
      </c>
      <c r="AO22" s="20">
        <f ca="1">+AN22+AN22*Volatility!AN22*(-DriftSum!AO22*TimeStep+SQRT(TimeStep)*AO$49)</f>
        <v>5.7482208917057617E-2</v>
      </c>
      <c r="AP22" s="20">
        <f ca="1">+AO22+AO22*Volatility!AO22*(-DriftSum!AP22*TimeStep+SQRT(TimeStep)*AP$49)</f>
        <v>5.5056335251353297E-2</v>
      </c>
      <c r="AQ22" s="20">
        <f ca="1">+AP22+AP22*Volatility!AP22*(-DriftSum!AQ22*TimeStep+SQRT(TimeStep)*AQ$49)</f>
        <v>5.6367760102832801E-2</v>
      </c>
      <c r="AR22" s="20">
        <f ca="1">+AQ22+AQ22*Volatility!AQ22*(-DriftSum!AR22*TimeStep+SQRT(TimeStep)*AR$49)</f>
        <v>5.8165766670172245E-2</v>
      </c>
      <c r="AS22" s="20">
        <f ca="1">+AR22+AR22*Volatility!AR22*(-DriftSum!AS22*TimeStep+SQRT(TimeStep)*AS$49)</f>
        <v>5.6810784432697839E-2</v>
      </c>
      <c r="AT22" s="20">
        <f ca="1">+AS22+AS22*Volatility!AS22*(-DriftSum!AT22*TimeStep+SQRT(TimeStep)*AT$49)</f>
        <v>5.6239646978823707E-2</v>
      </c>
      <c r="AU22" s="20">
        <f ca="1">+AT22+AT22*Volatility!AT22*(-DriftSum!AU22*TimeStep+SQRT(TimeStep)*AU$49)</f>
        <v>5.7881481602028537E-2</v>
      </c>
      <c r="AV22" s="20">
        <f ca="1">+AU22+AU22*Volatility!AU22*(-DriftSum!AV22*TimeStep+SQRT(TimeStep)*AV$49)</f>
        <v>5.8226052512085444E-2</v>
      </c>
      <c r="AW22" s="20">
        <f ca="1">+AV22+AV22*Volatility!AV22*(-DriftSum!AW22*TimeStep+SQRT(TimeStep)*AW$49)</f>
        <v>6.0178283299673785E-2</v>
      </c>
      <c r="AX22" s="20">
        <f ca="1">+AW22+AW22*Volatility!AW22*(-DriftSum!AX22*TimeStep+SQRT(TimeStep)*AX$49)</f>
        <v>5.8090392813396008E-2</v>
      </c>
      <c r="AY22" s="20">
        <f ca="1">+AX22+AX22*Volatility!AX22*(-DriftSum!AY22*TimeStep+SQRT(TimeStep)*AY$49)</f>
        <v>5.9567480996686212E-2</v>
      </c>
      <c r="AZ22" s="20">
        <f ca="1">+AY22+AY22*Volatility!AY22*(-DriftSum!AZ22*TimeStep+SQRT(TimeStep)*AZ$49)</f>
        <v>6.0826281910560963E-2</v>
      </c>
      <c r="BA22" s="20">
        <f ca="1">+AZ22+AZ22*Volatility!AZ22*(-DriftSum!BA22*TimeStep+SQRT(TimeStep)*BA$49)</f>
        <v>6.4206388024988043E-2</v>
      </c>
      <c r="BB22" s="20">
        <f ca="1">+BA22+BA22*Volatility!BA22*(-DriftSum!BB22*TimeStep+SQRT(TimeStep)*BB$49)</f>
        <v>6.5063334788886318E-2</v>
      </c>
      <c r="BC22" s="20">
        <f ca="1">+BB22+BB22*Volatility!BB22*(-DriftSum!BC22*TimeStep+SQRT(TimeStep)*BC$49)</f>
        <v>6.2810977040831675E-2</v>
      </c>
      <c r="BD22" s="20">
        <f ca="1">+BC22+BC22*Volatility!BC22*(-DriftSum!BD22*TimeStep+SQRT(TimeStep)*BD$49)</f>
        <v>6.2647230106390478E-2</v>
      </c>
      <c r="BE22" s="20">
        <f ca="1">+BD22+BD22*Volatility!BD22*(-DriftSum!BE22*TimeStep+SQRT(TimeStep)*BE$49)</f>
        <v>6.1585654300194151E-2</v>
      </c>
      <c r="BF22" s="20">
        <f ca="1">+BE22+BE22*Volatility!BE22*(-DriftSum!BF22*TimeStep+SQRT(TimeStep)*BF$49)</f>
        <v>5.8149916197749348E-2</v>
      </c>
      <c r="BG22" s="20">
        <f ca="1">+BF22+BF22*Volatility!BF22*(-DriftSum!BG22*TimeStep+SQRT(TimeStep)*BG$49)</f>
        <v>6.1813598283075387E-2</v>
      </c>
      <c r="BH22" s="20">
        <f ca="1">+BG22+BG22*Volatility!BG22*(-DriftSum!BH22*TimeStep+SQRT(TimeStep)*BH$49)</f>
        <v>6.0025051498068312E-2</v>
      </c>
      <c r="BI22" s="20">
        <f ca="1">+BH22+BH22*Volatility!BH22*(-DriftSum!BI22*TimeStep+SQRT(TimeStep)*BI$49)</f>
        <v>5.5344006357986135E-2</v>
      </c>
      <c r="BJ22" s="20">
        <f ca="1">+BI22+BI22*Volatility!BI22*(-DriftSum!BJ22*TimeStep+SQRT(TimeStep)*BJ$49)</f>
        <v>5.6408441255461406E-2</v>
      </c>
      <c r="BK22" s="20">
        <f ca="1">+BJ22+BJ22*Volatility!BJ22*(-DriftSum!BK22*TimeStep+SQRT(TimeStep)*BK$49)</f>
        <v>5.7878040354398939E-2</v>
      </c>
      <c r="BL22" s="20">
        <f ca="1">+BK22+BK22*Volatility!BK22*(-DriftSum!BL22*TimeStep+SQRT(TimeStep)*BL$49)</f>
        <v>5.9434753780620138E-2</v>
      </c>
      <c r="BM22" s="20">
        <f ca="1">+BL22+BL22*Volatility!BL22*(-DriftSum!BM22*TimeStep+SQRT(TimeStep)*BM$49)</f>
        <v>5.6619112671914197E-2</v>
      </c>
      <c r="BN22" s="20">
        <f ca="1">+BM22+BM22*Volatility!BM22*(-DriftSum!BN22*TimeStep+SQRT(TimeStep)*BN$49)</f>
        <v>5.7454988011440437E-2</v>
      </c>
      <c r="BO22" s="20">
        <f ca="1">+BN22+BN22*Volatility!BN22*(-DriftSum!BO22*TimeStep+SQRT(TimeStep)*BO$49)</f>
        <v>5.9735968191242446E-2</v>
      </c>
      <c r="BP22" s="20">
        <f ca="1">+BO22+BO22*Volatility!BO22*(-DriftSum!BP22*TimeStep+SQRT(TimeStep)*BP$49)</f>
        <v>6.0115162503555655E-2</v>
      </c>
      <c r="BQ22" s="20">
        <f ca="1">+BP22+BP22*Volatility!BP22*(-DriftSum!BQ22*TimeStep+SQRT(TimeStep)*BQ$49)</f>
        <v>6.0272511713052951E-2</v>
      </c>
      <c r="BR22" s="20">
        <f ca="1">+BQ22+BQ22*Volatility!BQ22*(-DriftSum!BR22*TimeStep+SQRT(TimeStep)*BR$49)</f>
        <v>6.3044564196907293E-2</v>
      </c>
      <c r="BS22" s="20">
        <f ca="1">+BR22+BR22*Volatility!BR22*(-DriftSum!BS22*TimeStep+SQRT(TimeStep)*BS$49)</f>
        <v>5.9435452194263397E-2</v>
      </c>
      <c r="BT22" s="20">
        <f ca="1">+BS22+BS22*Volatility!BS22*(-DriftSum!BT22*TimeStep+SQRT(TimeStep)*BT$49)</f>
        <v>5.6799129806595898E-2</v>
      </c>
      <c r="BU22" s="20">
        <f ca="1">+BT22+BT22*Volatility!BT22*(-DriftSum!BU22*TimeStep+SQRT(TimeStep)*BU$49)</f>
        <v>5.4436342774841259E-2</v>
      </c>
      <c r="BV22" s="20">
        <f ca="1">+BU22+BU22*Volatility!BU22*(-DriftSum!BV22*TimeStep+SQRT(TimeStep)*BV$49)</f>
        <v>5.7699872916825094E-2</v>
      </c>
      <c r="BW22" s="20">
        <f ca="1">+BV22+BV22*Volatility!BV22*(-DriftSum!BW22*TimeStep+SQRT(TimeStep)*BW$49)</f>
        <v>5.3345198181166092E-2</v>
      </c>
      <c r="BX22" s="20">
        <f ca="1">+BW22+BW22*Volatility!BW22*(-DriftSum!BX22*TimeStep+SQRT(TimeStep)*BX$49)</f>
        <v>5.2059752019472244E-2</v>
      </c>
      <c r="BY22" s="20">
        <f ca="1">+BX22+BX22*Volatility!BX22*(-DriftSum!BY22*TimeStep+SQRT(TimeStep)*BY$49)</f>
        <v>5.2505869972722288E-2</v>
      </c>
      <c r="BZ22" s="20">
        <f ca="1">+BY22+BY22*Volatility!BY22*(-DriftSum!BZ22*TimeStep+SQRT(TimeStep)*BZ$49)</f>
        <v>5.6411073970888827E-2</v>
      </c>
      <c r="CA22" s="20">
        <f ca="1">+BZ22+BZ22*Volatility!BZ22*(-DriftSum!CA22*TimeStep+SQRT(TimeStep)*CA$49)</f>
        <v>5.4338474984651525E-2</v>
      </c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</row>
    <row r="23" spans="4:127" x14ac:dyDescent="0.2">
      <c r="D23" s="2">
        <f t="shared" si="2"/>
        <v>6</v>
      </c>
      <c r="E23" s="10">
        <f t="shared" si="3"/>
        <v>0.76170594842064043</v>
      </c>
      <c r="F23" s="12" t="str">
        <f t="shared" si="4"/>
        <v>L(t;5.75,6)</v>
      </c>
      <c r="G23" s="19">
        <v>4.9687500000000002E-2</v>
      </c>
      <c r="H23" s="20">
        <f ca="1">+G23+G23*Volatility!G23*(-DriftSum!H23*TimeStep+SQRT(TimeStep)*H$49)</f>
        <v>5.1151595913149578E-2</v>
      </c>
      <c r="I23" s="20">
        <f ca="1">+H23+H23*Volatility!H23*(-DriftSum!I23*TimeStep+SQRT(TimeStep)*I$49)</f>
        <v>5.1243719324172557E-2</v>
      </c>
      <c r="J23" s="20">
        <f ca="1">+I23+I23*Volatility!I23*(-DriftSum!J23*TimeStep+SQRT(TimeStep)*J$49)</f>
        <v>4.9811079278353265E-2</v>
      </c>
      <c r="K23" s="20">
        <f ca="1">+J23+J23*Volatility!J23*(-DriftSum!K23*TimeStep+SQRT(TimeStep)*K$49)</f>
        <v>5.0297158576299364E-2</v>
      </c>
      <c r="L23" s="20">
        <f ca="1">+K23+K23*Volatility!K23*(-DriftSum!L23*TimeStep+SQRT(TimeStep)*L$49)</f>
        <v>4.8698861596560755E-2</v>
      </c>
      <c r="M23" s="20">
        <f ca="1">+L23+L23*Volatility!L23*(-DriftSum!M23*TimeStep+SQRT(TimeStep)*M$49)</f>
        <v>5.2024127860594592E-2</v>
      </c>
      <c r="N23" s="20">
        <f ca="1">+M23+M23*Volatility!M23*(-DriftSum!N23*TimeStep+SQRT(TimeStep)*N$49)</f>
        <v>5.1502592559580757E-2</v>
      </c>
      <c r="O23" s="20">
        <f ca="1">+N23+N23*Volatility!N23*(-DriftSum!O23*TimeStep+SQRT(TimeStep)*O$49)</f>
        <v>5.3453724742251511E-2</v>
      </c>
      <c r="P23" s="20">
        <f ca="1">+O23+O23*Volatility!O23*(-DriftSum!P23*TimeStep+SQRT(TimeStep)*P$49)</f>
        <v>5.1937728487945291E-2</v>
      </c>
      <c r="Q23" s="20">
        <f ca="1">+P23+P23*Volatility!P23*(-DriftSum!Q23*TimeStep+SQRT(TimeStep)*Q$49)</f>
        <v>5.2247495236506111E-2</v>
      </c>
      <c r="R23" s="20">
        <f ca="1">+Q23+Q23*Volatility!Q23*(-DriftSum!R23*TimeStep+SQRT(TimeStep)*R$49)</f>
        <v>5.3764000017571555E-2</v>
      </c>
      <c r="S23" s="20">
        <f ca="1">+R23+R23*Volatility!R23*(-DriftSum!S23*TimeStep+SQRT(TimeStep)*S$49)</f>
        <v>5.6729012509590386E-2</v>
      </c>
      <c r="T23" s="20">
        <f ca="1">+S23+S23*Volatility!S23*(-DriftSum!T23*TimeStep+SQRT(TimeStep)*T$49)</f>
        <v>5.5609149852827625E-2</v>
      </c>
      <c r="U23" s="20">
        <f ca="1">+T23+T23*Volatility!T23*(-DriftSum!U23*TimeStep+SQRT(TimeStep)*U$49)</f>
        <v>5.5456886658959856E-2</v>
      </c>
      <c r="V23" s="20">
        <f ca="1">+U23+U23*Volatility!U23*(-DriftSum!V23*TimeStep+SQRT(TimeStep)*V$49)</f>
        <v>5.3742448509425583E-2</v>
      </c>
      <c r="W23" s="20">
        <f ca="1">+V23+V23*Volatility!V23*(-DriftSum!W23*TimeStep+SQRT(TimeStep)*W$49)</f>
        <v>4.9647785881057303E-2</v>
      </c>
      <c r="X23" s="20">
        <f ca="1">+W23+W23*Volatility!W23*(-DriftSum!X23*TimeStep+SQRT(TimeStep)*X$49)</f>
        <v>5.0734511266687543E-2</v>
      </c>
      <c r="Y23" s="20">
        <f ca="1">+X23+X23*Volatility!X23*(-DriftSum!Y23*TimeStep+SQRT(TimeStep)*Y$49)</f>
        <v>4.9835383451627753E-2</v>
      </c>
      <c r="Z23" s="20">
        <f ca="1">+Y23+Y23*Volatility!Y23*(-DriftSum!Z23*TimeStep+SQRT(TimeStep)*Z$49)</f>
        <v>5.1212360062517844E-2</v>
      </c>
      <c r="AA23" s="20">
        <f ca="1">+Z23+Z23*Volatility!Z23*(-DriftSum!AA23*TimeStep+SQRT(TimeStep)*AA$49)</f>
        <v>5.2326336551755268E-2</v>
      </c>
      <c r="AB23" s="20">
        <f ca="1">+AA23+AA23*Volatility!AA23*(-DriftSum!AB23*TimeStep+SQRT(TimeStep)*AB$49)</f>
        <v>5.2157674039488428E-2</v>
      </c>
      <c r="AC23" s="20">
        <f ca="1">+AB23+AB23*Volatility!AB23*(-DriftSum!AC23*TimeStep+SQRT(TimeStep)*AC$49)</f>
        <v>5.088743896142725E-2</v>
      </c>
      <c r="AD23" s="20">
        <f ca="1">+AC23+AC23*Volatility!AC23*(-DriftSum!AD23*TimeStep+SQRT(TimeStep)*AD$49)</f>
        <v>5.0337105651680585E-2</v>
      </c>
      <c r="AE23" s="20">
        <f ca="1">+AD23+AD23*Volatility!AD23*(-DriftSum!AE23*TimeStep+SQRT(TimeStep)*AE$49)</f>
        <v>5.3347649700949171E-2</v>
      </c>
      <c r="AF23" s="20">
        <f ca="1">+AE23+AE23*Volatility!AE23*(-DriftSum!AF23*TimeStep+SQRT(TimeStep)*AF$49)</f>
        <v>5.3678492559622475E-2</v>
      </c>
      <c r="AG23" s="20">
        <f ca="1">+AF23+AF23*Volatility!AF23*(-DriftSum!AG23*TimeStep+SQRT(TimeStep)*AG$49)</f>
        <v>5.4504965278437359E-2</v>
      </c>
      <c r="AH23" s="20">
        <f ca="1">+AG23+AG23*Volatility!AG23*(-DriftSum!AH23*TimeStep+SQRT(TimeStep)*AH$49)</f>
        <v>5.5458063023381271E-2</v>
      </c>
      <c r="AI23" s="20">
        <f ca="1">+AH23+AH23*Volatility!AH23*(-DriftSum!AI23*TimeStep+SQRT(TimeStep)*AI$49)</f>
        <v>5.8689076383258917E-2</v>
      </c>
      <c r="AJ23" s="20">
        <f ca="1">+AI23+AI23*Volatility!AI23*(-DriftSum!AJ23*TimeStep+SQRT(TimeStep)*AJ$49)</f>
        <v>5.942785688829038E-2</v>
      </c>
      <c r="AK23" s="20">
        <f ca="1">+AJ23+AJ23*Volatility!AJ23*(-DriftSum!AK23*TimeStep+SQRT(TimeStep)*AK$49)</f>
        <v>6.1958414879616265E-2</v>
      </c>
      <c r="AL23" s="20">
        <f ca="1">+AK23+AK23*Volatility!AK23*(-DriftSum!AL23*TimeStep+SQRT(TimeStep)*AL$49)</f>
        <v>6.3160523889780024E-2</v>
      </c>
      <c r="AM23" s="20">
        <f ca="1">+AL23+AL23*Volatility!AL23*(-DriftSum!AM23*TimeStep+SQRT(TimeStep)*AM$49)</f>
        <v>6.2764518862798005E-2</v>
      </c>
      <c r="AN23" s="20">
        <f ca="1">+AM23+AM23*Volatility!AM23*(-DriftSum!AN23*TimeStep+SQRT(TimeStep)*AN$49)</f>
        <v>5.8464153344800943E-2</v>
      </c>
      <c r="AO23" s="20">
        <f ca="1">+AN23+AN23*Volatility!AN23*(-DriftSum!AO23*TimeStep+SQRT(TimeStep)*AO$49)</f>
        <v>5.7272566339419441E-2</v>
      </c>
      <c r="AP23" s="20">
        <f ca="1">+AO23+AO23*Volatility!AO23*(-DriftSum!AP23*TimeStep+SQRT(TimeStep)*AP$49)</f>
        <v>5.4792097387958705E-2</v>
      </c>
      <c r="AQ23" s="20">
        <f ca="1">+AP23+AP23*Volatility!AP23*(-DriftSum!AQ23*TimeStep+SQRT(TimeStep)*AQ$49)</f>
        <v>5.6130125797707972E-2</v>
      </c>
      <c r="AR23" s="20">
        <f ca="1">+AQ23+AQ23*Volatility!AQ23*(-DriftSum!AR23*TimeStep+SQRT(TimeStep)*AR$49)</f>
        <v>5.7965959243374637E-2</v>
      </c>
      <c r="AS23" s="20">
        <f ca="1">+AR23+AR23*Volatility!AR23*(-DriftSum!AS23*TimeStep+SQRT(TimeStep)*AS$49)</f>
        <v>5.6579753560703071E-2</v>
      </c>
      <c r="AT23" s="20">
        <f ca="1">+AS23+AS23*Volatility!AS23*(-DriftSum!AT23*TimeStep+SQRT(TimeStep)*AT$49)</f>
        <v>5.5995316562075778E-2</v>
      </c>
      <c r="AU23" s="20">
        <f ca="1">+AT23+AT23*Volatility!AT23*(-DriftSum!AU23*TimeStep+SQRT(TimeStep)*AU$49)</f>
        <v>5.7671401995625517E-2</v>
      </c>
      <c r="AV23" s="20">
        <f ca="1">+AU23+AU23*Volatility!AU23*(-DriftSum!AV23*TimeStep+SQRT(TimeStep)*AV$49)</f>
        <v>5.8022654975566516E-2</v>
      </c>
      <c r="AW23" s="20">
        <f ca="1">+AV23+AV23*Volatility!AV23*(-DriftSum!AW23*TimeStep+SQRT(TimeStep)*AW$49)</f>
        <v>6.0017420871546955E-2</v>
      </c>
      <c r="AX23" s="20">
        <f ca="1">+AW23+AW23*Volatility!AW23*(-DriftSum!AX23*TimeStep+SQRT(TimeStep)*AX$49)</f>
        <v>5.7880235409475081E-2</v>
      </c>
      <c r="AY23" s="20">
        <f ca="1">+AX23+AX23*Volatility!AX23*(-DriftSum!AY23*TimeStep+SQRT(TimeStep)*AY$49)</f>
        <v>5.9389089094422642E-2</v>
      </c>
      <c r="AZ23" s="20">
        <f ca="1">+AY23+AY23*Volatility!AY23*(-DriftSum!AZ23*TimeStep+SQRT(TimeStep)*AZ$49)</f>
        <v>6.0675575424841463E-2</v>
      </c>
      <c r="BA23" s="20">
        <f ca="1">+AZ23+AZ23*Volatility!AZ23*(-DriftSum!BA23*TimeStep+SQRT(TimeStep)*BA$49)</f>
        <v>6.4133461278092135E-2</v>
      </c>
      <c r="BB23" s="20">
        <f ca="1">+BA23+BA23*Volatility!BA23*(-DriftSum!BB23*TimeStep+SQRT(TimeStep)*BB$49)</f>
        <v>6.5010406454381664E-2</v>
      </c>
      <c r="BC23" s="20">
        <f ca="1">+BB23+BB23*Volatility!BB23*(-DriftSum!BC23*TimeStep+SQRT(TimeStep)*BC$49)</f>
        <v>6.2700480781542126E-2</v>
      </c>
      <c r="BD23" s="20">
        <f ca="1">+BC23+BC23*Volatility!BC23*(-DriftSum!BD23*TimeStep+SQRT(TimeStep)*BD$49)</f>
        <v>6.2531679450414851E-2</v>
      </c>
      <c r="BE23" s="20">
        <f ca="1">+BD23+BD23*Volatility!BD23*(-DriftSum!BE23*TimeStep+SQRT(TimeStep)*BE$49)</f>
        <v>6.1443548559339541E-2</v>
      </c>
      <c r="BF23" s="20">
        <f ca="1">+BE23+BE23*Volatility!BE23*(-DriftSum!BF23*TimeStep+SQRT(TimeStep)*BF$49)</f>
        <v>5.792601625334113E-2</v>
      </c>
      <c r="BG23" s="20">
        <f ca="1">+BF23+BF23*Volatility!BF23*(-DriftSum!BG23*TimeStep+SQRT(TimeStep)*BG$49)</f>
        <v>6.1669022487739297E-2</v>
      </c>
      <c r="BH23" s="20">
        <f ca="1">+BG23+BG23*Volatility!BG23*(-DriftSum!BH23*TimeStep+SQRT(TimeStep)*BH$49)</f>
        <v>5.983743202072328E-2</v>
      </c>
      <c r="BI23" s="20">
        <f ca="1">+BH23+BH23*Volatility!BH23*(-DriftSum!BI23*TimeStep+SQRT(TimeStep)*BI$49)</f>
        <v>5.504931759228289E-2</v>
      </c>
      <c r="BJ23" s="20">
        <f ca="1">+BI23+BI23*Volatility!BI23*(-DriftSum!BJ23*TimeStep+SQRT(TimeStep)*BJ$49)</f>
        <v>5.6134602421437897E-2</v>
      </c>
      <c r="BK23" s="20">
        <f ca="1">+BJ23+BJ23*Volatility!BJ23*(-DriftSum!BK23*TimeStep+SQRT(TimeStep)*BK$49)</f>
        <v>5.7633991652473571E-2</v>
      </c>
      <c r="BL23" s="20">
        <f ca="1">+BK23+BK23*Volatility!BK23*(-DriftSum!BL23*TimeStep+SQRT(TimeStep)*BL$49)</f>
        <v>5.9223285485650819E-2</v>
      </c>
      <c r="BM23" s="20">
        <f ca="1">+BL23+BL23*Volatility!BL23*(-DriftSum!BM23*TimeStep+SQRT(TimeStep)*BM$49)</f>
        <v>5.6344105733906878E-2</v>
      </c>
      <c r="BN23" s="20">
        <f ca="1">+BM23+BM23*Volatility!BM23*(-DriftSum!BN23*TimeStep+SQRT(TimeStep)*BN$49)</f>
        <v>5.7196528946719644E-2</v>
      </c>
      <c r="BO23" s="20">
        <f ca="1">+BN23+BN23*Volatility!BN23*(-DriftSum!BO23*TimeStep+SQRT(TimeStep)*BO$49)</f>
        <v>5.9525042041681721E-2</v>
      </c>
      <c r="BP23" s="20">
        <f ca="1">+BO23+BO23*Volatility!BO23*(-DriftSum!BP23*TimeStep+SQRT(TimeStep)*BP$49)</f>
        <v>5.991166201259486E-2</v>
      </c>
      <c r="BQ23" s="20">
        <f ca="1">+BP23+BP23*Volatility!BP23*(-DriftSum!BQ23*TimeStep+SQRT(TimeStep)*BQ$49)</f>
        <v>6.0071513743458128E-2</v>
      </c>
      <c r="BR23" s="20">
        <f ca="1">+BQ23+BQ23*Volatility!BQ23*(-DriftSum!BR23*TimeStep+SQRT(TimeStep)*BR$49)</f>
        <v>6.2904748082410256E-2</v>
      </c>
      <c r="BS23" s="20">
        <f ca="1">+BR23+BR23*Volatility!BR23*(-DriftSum!BS23*TimeStep+SQRT(TimeStep)*BS$49)</f>
        <v>5.9209385228316314E-2</v>
      </c>
      <c r="BT23" s="20">
        <f ca="1">+BS23+BS23*Volatility!BS23*(-DriftSum!BT23*TimeStep+SQRT(TimeStep)*BT$49)</f>
        <v>5.651417163175225E-2</v>
      </c>
      <c r="BU23" s="20">
        <f ca="1">+BT23+BT23*Volatility!BT23*(-DriftSum!BU23*TimeStep+SQRT(TimeStep)*BU$49)</f>
        <v>5.4101528377361617E-2</v>
      </c>
      <c r="BV23" s="20">
        <f ca="1">+BU23+BU23*Volatility!BU23*(-DriftSum!BV23*TimeStep+SQRT(TimeStep)*BV$49)</f>
        <v>5.7428032893690792E-2</v>
      </c>
      <c r="BW23" s="20">
        <f ca="1">+BV23+BV23*Volatility!BV23*(-DriftSum!BW23*TimeStep+SQRT(TimeStep)*BW$49)</f>
        <v>5.298084453939373E-2</v>
      </c>
      <c r="BX23" s="20">
        <f ca="1">+BW23+BW23*Volatility!BW23*(-DriftSum!BX23*TimeStep+SQRT(TimeStep)*BX$49)</f>
        <v>5.1670358790786283E-2</v>
      </c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</row>
    <row r="24" spans="4:127" x14ac:dyDescent="0.2">
      <c r="D24" s="2">
        <f t="shared" si="2"/>
        <v>5.75</v>
      </c>
      <c r="E24" s="10">
        <f t="shared" si="3"/>
        <v>0.77116776449867808</v>
      </c>
      <c r="F24" s="12" t="str">
        <f t="shared" si="4"/>
        <v>L(t;5.5,5.75)</v>
      </c>
      <c r="G24" s="19">
        <v>4.9375000000000002E-2</v>
      </c>
      <c r="H24" s="20">
        <f ca="1">+G24+G24*Volatility!G24*(-DriftSum!H24*TimeStep+SQRT(TimeStep)*H$49)</f>
        <v>5.0866483785512083E-2</v>
      </c>
      <c r="I24" s="20">
        <f ca="1">+H24+H24*Volatility!H24*(-DriftSum!I24*TimeStep+SQRT(TimeStep)*I$49)</f>
        <v>5.0959658593905777E-2</v>
      </c>
      <c r="J24" s="20">
        <f ca="1">+I24+I24*Volatility!I24*(-DriftSum!J24*TimeStep+SQRT(TimeStep)*J$49)</f>
        <v>4.9498263535783883E-2</v>
      </c>
      <c r="K24" s="20">
        <f ca="1">+J24+J24*Volatility!J24*(-DriftSum!K24*TimeStep+SQRT(TimeStep)*K$49)</f>
        <v>4.9992730820712802E-2</v>
      </c>
      <c r="L24" s="20">
        <f ca="1">+K24+K24*Volatility!K24*(-DriftSum!L24*TimeStep+SQRT(TimeStep)*L$49)</f>
        <v>4.8363307259014846E-2</v>
      </c>
      <c r="M24" s="20">
        <f ca="1">+L24+L24*Volatility!L24*(-DriftSum!M24*TimeStep+SQRT(TimeStep)*M$49)</f>
        <v>5.1748209954439288E-2</v>
      </c>
      <c r="N24" s="20">
        <f ca="1">+M24+M24*Volatility!M24*(-DriftSum!N24*TimeStep+SQRT(TimeStep)*N$49)</f>
        <v>5.121555866844317E-2</v>
      </c>
      <c r="O24" s="20">
        <f ca="1">+N24+N24*Volatility!N24*(-DriftSum!O24*TimeStep+SQRT(TimeStep)*O$49)</f>
        <v>5.3203943222727916E-2</v>
      </c>
      <c r="P24" s="20">
        <f ca="1">+O24+O24*Volatility!O24*(-DriftSum!P24*TimeStep+SQRT(TimeStep)*P$49)</f>
        <v>5.1656142362828415E-2</v>
      </c>
      <c r="Q24" s="20">
        <f ca="1">+P24+P24*Volatility!P24*(-DriftSum!Q24*TimeStep+SQRT(TimeStep)*Q$49)</f>
        <v>5.1971195518955654E-2</v>
      </c>
      <c r="R24" s="20">
        <f ca="1">+Q24+Q24*Volatility!Q24*(-DriftSum!R24*TimeStep+SQRT(TimeStep)*R$49)</f>
        <v>5.3516898928297883E-2</v>
      </c>
      <c r="S24" s="20">
        <f ca="1">+R24+R24*Volatility!R24*(-DriftSum!S24*TimeStep+SQRT(TimeStep)*S$49)</f>
        <v>5.6541830079441371E-2</v>
      </c>
      <c r="T24" s="20">
        <f ca="1">+S24+S24*Volatility!S24*(-DriftSum!T24*TimeStep+SQRT(TimeStep)*T$49)</f>
        <v>5.5396567243682568E-2</v>
      </c>
      <c r="U24" s="20">
        <f ca="1">+T24+T24*Volatility!T24*(-DriftSum!U24*TimeStep+SQRT(TimeStep)*U$49)</f>
        <v>5.5240143263447061E-2</v>
      </c>
      <c r="V24" s="20">
        <f ca="1">+U24+U24*Volatility!U24*(-DriftSum!V24*TimeStep+SQRT(TimeStep)*V$49)</f>
        <v>5.3488439588879159E-2</v>
      </c>
      <c r="W24" s="20">
        <f ca="1">+V24+V24*Volatility!V24*(-DriftSum!W24*TimeStep+SQRT(TimeStep)*W$49)</f>
        <v>4.9309533203941963E-2</v>
      </c>
      <c r="X24" s="20">
        <f ca="1">+W24+W24*Volatility!W24*(-DriftSum!X24*TimeStep+SQRT(TimeStep)*X$49)</f>
        <v>5.0415333090751961E-2</v>
      </c>
      <c r="Y24" s="20">
        <f ca="1">+X24+X24*Volatility!X24*(-DriftSum!Y24*TimeStep+SQRT(TimeStep)*Y$49)</f>
        <v>4.9498573395872533E-2</v>
      </c>
      <c r="Z24" s="20">
        <f ca="1">+Y24+Y24*Volatility!Y24*(-DriftSum!Z24*TimeStep+SQRT(TimeStep)*Z$49)</f>
        <v>5.08999859442609E-2</v>
      </c>
      <c r="AA24" s="20">
        <f ca="1">+Z24+Z24*Volatility!Z24*(-DriftSum!AA24*TimeStep+SQRT(TimeStep)*AA$49)</f>
        <v>5.2034301329278942E-2</v>
      </c>
      <c r="AB24" s="20">
        <f ca="1">+AA24+AA24*Volatility!AA24*(-DriftSum!AB24*TimeStep+SQRT(TimeStep)*AB$49)</f>
        <v>5.1861538974283597E-2</v>
      </c>
      <c r="AC24" s="20">
        <f ca="1">+AB24+AB24*Volatility!AB24*(-DriftSum!AC24*TimeStep+SQRT(TimeStep)*AC$49)</f>
        <v>5.0565867366220291E-2</v>
      </c>
      <c r="AD24" s="20">
        <f ca="1">+AC24+AC24*Volatility!AC24*(-DriftSum!AD24*TimeStep+SQRT(TimeStep)*AD$49)</f>
        <v>5.0004456987709389E-2</v>
      </c>
      <c r="AE24" s="20">
        <f ca="1">+AD24+AD24*Volatility!AD24*(-DriftSum!AE24*TimeStep+SQRT(TimeStep)*AE$49)</f>
        <v>5.3069748767023923E-2</v>
      </c>
      <c r="AF24" s="20">
        <f ca="1">+AE24+AE24*Volatility!AE24*(-DriftSum!AF24*TimeStep+SQRT(TimeStep)*AF$49)</f>
        <v>5.3406320278959085E-2</v>
      </c>
      <c r="AG24" s="20">
        <f ca="1">+AF24+AF24*Volatility!AF24*(-DriftSum!AG24*TimeStep+SQRT(TimeStep)*AG$49)</f>
        <v>5.4248476642776218E-2</v>
      </c>
      <c r="AH24" s="20">
        <f ca="1">+AG24+AG24*Volatility!AG24*(-DriftSum!AH24*TimeStep+SQRT(TimeStep)*AH$49)</f>
        <v>5.5220121630110412E-2</v>
      </c>
      <c r="AI24" s="20">
        <f ca="1">+AH24+AH24*Volatility!AH24*(-DriftSum!AI24*TimeStep+SQRT(TimeStep)*AI$49)</f>
        <v>5.8517463469449228E-2</v>
      </c>
      <c r="AJ24" s="20">
        <f ca="1">+AI24+AI24*Volatility!AI24*(-DriftSum!AJ24*TimeStep+SQRT(TimeStep)*AJ$49)</f>
        <v>5.9271630238920167E-2</v>
      </c>
      <c r="AK24" s="20">
        <f ca="1">+AJ24+AJ24*Volatility!AJ24*(-DriftSum!AK24*TimeStep+SQRT(TimeStep)*AK$49)</f>
        <v>6.1858113876892315E-2</v>
      </c>
      <c r="AL24" s="20">
        <f ca="1">+AK24+AK24*Volatility!AK24*(-DriftSum!AL24*TimeStep+SQRT(TimeStep)*AL$49)</f>
        <v>6.3087391540613755E-2</v>
      </c>
      <c r="AM24" s="20">
        <f ca="1">+AL24+AL24*Volatility!AL24*(-DriftSum!AM24*TimeStep+SQRT(TimeStep)*AM$49)</f>
        <v>6.2680686828532908E-2</v>
      </c>
      <c r="AN24" s="20">
        <f ca="1">+AM24+AM24*Volatility!AM24*(-DriftSum!AN24*TimeStep+SQRT(TimeStep)*AN$49)</f>
        <v>5.827662583561697E-2</v>
      </c>
      <c r="AO24" s="20">
        <f ca="1">+AN24+AN24*Volatility!AN24*(-DriftSum!AO24*TimeStep+SQRT(TimeStep)*AO$49)</f>
        <v>5.7057901609497752E-2</v>
      </c>
      <c r="AP24" s="20">
        <f ca="1">+AO24+AO24*Volatility!AO24*(-DriftSum!AP24*TimeStep+SQRT(TimeStep)*AP$49)</f>
        <v>5.4523456878457777E-2</v>
      </c>
      <c r="AQ24" s="20">
        <f ca="1">+AP24+AP24*Volatility!AP24*(-DriftSum!AQ24*TimeStep+SQRT(TimeStep)*AQ$49)</f>
        <v>5.5887600114777065E-2</v>
      </c>
      <c r="AR24" s="20">
        <f ca="1">+AQ24+AQ24*Volatility!AQ24*(-DriftSum!AR24*TimeStep+SQRT(TimeStep)*AR$49)</f>
        <v>5.7760647204061356E-2</v>
      </c>
      <c r="AS24" s="20">
        <f ca="1">+AR24+AR24*Volatility!AR24*(-DriftSum!AS24*TimeStep+SQRT(TimeStep)*AS$49)</f>
        <v>5.6343530586403255E-2</v>
      </c>
      <c r="AT24" s="20">
        <f ca="1">+AS24+AS24*Volatility!AS24*(-DriftSum!AT24*TimeStep+SQRT(TimeStep)*AT$49)</f>
        <v>5.5745910686710122E-2</v>
      </c>
      <c r="AU24" s="20">
        <f ca="1">+AT24+AT24*Volatility!AT24*(-DriftSum!AU24*TimeStep+SQRT(TimeStep)*AU$49)</f>
        <v>5.7455665713492213E-2</v>
      </c>
      <c r="AV24" s="20">
        <f ca="1">+AU24+AU24*Volatility!AU24*(-DriftSum!AV24*TimeStep+SQRT(TimeStep)*AV$49)</f>
        <v>5.7813438757716835E-2</v>
      </c>
      <c r="AW24" s="20">
        <f ca="1">+AV24+AV24*Volatility!AV24*(-DriftSum!AW24*TimeStep+SQRT(TimeStep)*AW$49)</f>
        <v>5.98501187931069E-2</v>
      </c>
      <c r="AX24" s="20">
        <f ca="1">+AW24+AW24*Volatility!AW24*(-DriftSum!AX24*TimeStep+SQRT(TimeStep)*AX$49)</f>
        <v>5.7664092040556808E-2</v>
      </c>
      <c r="AY24" s="20">
        <f ca="1">+AX24+AX24*Volatility!AX24*(-DriftSum!AY24*TimeStep+SQRT(TimeStep)*AY$49)</f>
        <v>5.9204212373298599E-2</v>
      </c>
      <c r="AZ24" s="20">
        <f ca="1">+AY24+AY24*Volatility!AY24*(-DriftSum!AZ24*TimeStep+SQRT(TimeStep)*AZ$49)</f>
        <v>6.0517977461355212E-2</v>
      </c>
      <c r="BA24" s="20">
        <f ca="1">+AZ24+AZ24*Volatility!AZ24*(-DriftSum!BA24*TimeStep+SQRT(TimeStep)*BA$49)</f>
        <v>6.4052734994729146E-2</v>
      </c>
      <c r="BB24" s="20">
        <f ca="1">+BA24+BA24*Volatility!BA24*(-DriftSum!BB24*TimeStep+SQRT(TimeStep)*BB$49)</f>
        <v>6.494943350456063E-2</v>
      </c>
      <c r="BC24" s="20">
        <f ca="1">+BB24+BB24*Volatility!BB24*(-DriftSum!BC24*TimeStep+SQRT(TimeStep)*BC$49)</f>
        <v>6.2582238823941483E-2</v>
      </c>
      <c r="BD24" s="20">
        <f ca="1">+BC24+BC24*Volatility!BC24*(-DriftSum!BD24*TimeStep+SQRT(TimeStep)*BD$49)</f>
        <v>6.240833984073834E-2</v>
      </c>
      <c r="BE24" s="20">
        <f ca="1">+BD24+BD24*Volatility!BD24*(-DriftSum!BE24*TimeStep+SQRT(TimeStep)*BE$49)</f>
        <v>6.1293815277419512E-2</v>
      </c>
      <c r="BF24" s="20">
        <f ca="1">+BE24+BE24*Volatility!BE24*(-DriftSum!BF24*TimeStep+SQRT(TimeStep)*BF$49)</f>
        <v>5.7695271888027741E-2</v>
      </c>
      <c r="BG24" s="20">
        <f ca="1">+BF24+BF24*Volatility!BF24*(-DriftSum!BG24*TimeStep+SQRT(TimeStep)*BG$49)</f>
        <v>6.1516357325825159E-2</v>
      </c>
      <c r="BH24" s="20">
        <f ca="1">+BG24+BG24*Volatility!BG24*(-DriftSum!BH24*TimeStep+SQRT(TimeStep)*BH$49)</f>
        <v>5.9642110822348431E-2</v>
      </c>
      <c r="BI24" s="20">
        <f ca="1">+BH24+BH24*Volatility!BH24*(-DriftSum!BI24*TimeStep+SQRT(TimeStep)*BI$49)</f>
        <v>5.4748247482273915E-2</v>
      </c>
      <c r="BJ24" s="20">
        <f ca="1">+BI24+BI24*Volatility!BI24*(-DriftSum!BJ24*TimeStep+SQRT(TimeStep)*BJ$49)</f>
        <v>5.5853908078747842E-2</v>
      </c>
      <c r="BK24" s="20">
        <f ca="1">+BJ24+BJ24*Volatility!BJ24*(-DriftSum!BK24*TimeStep+SQRT(TimeStep)*BK$49)</f>
        <v>5.7382475324658275E-2</v>
      </c>
      <c r="BL24" s="20">
        <f ca="1">+BK24+BK24*Volatility!BK24*(-DriftSum!BL24*TimeStep+SQRT(TimeStep)*BL$49)</f>
        <v>5.9003738740100571E-2</v>
      </c>
      <c r="BM24" s="20">
        <f ca="1">+BL24+BL24*Volatility!BL24*(-DriftSum!BM24*TimeStep+SQRT(TimeStep)*BM$49)</f>
        <v>5.6061875625929257E-2</v>
      </c>
      <c r="BN24" s="20">
        <f ca="1">+BM24+BM24*Volatility!BM24*(-DriftSum!BN24*TimeStep+SQRT(TimeStep)*BN$49)</f>
        <v>5.6930468910079968E-2</v>
      </c>
      <c r="BO24" s="20">
        <f ca="1">+BN24+BN24*Volatility!BN24*(-DriftSum!BO24*TimeStep+SQRT(TimeStep)*BO$49)</f>
        <v>5.9305608463287869E-2</v>
      </c>
      <c r="BP24" s="20">
        <f ca="1">+BO24+BO24*Volatility!BO24*(-DriftSum!BP24*TimeStep+SQRT(TimeStep)*BP$49)</f>
        <v>5.9699461914081195E-2</v>
      </c>
      <c r="BQ24" s="20">
        <f ca="1">+BP24+BP24*Volatility!BP24*(-DriftSum!BQ24*TimeStep+SQRT(TimeStep)*BQ$49)</f>
        <v>5.9861697234146395E-2</v>
      </c>
      <c r="BR24" s="20">
        <f ca="1">+BQ24+BQ24*Volatility!BQ24*(-DriftSum!BR24*TimeStep+SQRT(TimeStep)*BR$49)</f>
        <v>6.2755140769913467E-2</v>
      </c>
      <c r="BS24" s="20">
        <f ca="1">+BR24+BR24*Volatility!BR24*(-DriftSum!BS24*TimeStep+SQRT(TimeStep)*BS$49)</f>
        <v>5.8974452312517245E-2</v>
      </c>
      <c r="BT24" s="20">
        <f ca="1">+BS24+BS24*Volatility!BS24*(-DriftSum!BT24*TimeStep+SQRT(TimeStep)*BT$49)</f>
        <v>5.6221215179869638E-2</v>
      </c>
      <c r="BU24" s="20">
        <f ca="1">+BT24+BT24*Volatility!BT24*(-DriftSum!BU24*TimeStep+SQRT(TimeStep)*BU$49)</f>
        <v>5.3759623254352129E-2</v>
      </c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</row>
    <row r="25" spans="4:127" x14ac:dyDescent="0.2">
      <c r="D25" s="2">
        <f t="shared" si="2"/>
        <v>5.5</v>
      </c>
      <c r="E25" s="10">
        <f t="shared" si="3"/>
        <v>0.78068686659170872</v>
      </c>
      <c r="F25" s="12" t="str">
        <f t="shared" si="4"/>
        <v>L(t;5.25,5.5)</v>
      </c>
      <c r="G25" s="19">
        <v>4.9062500000000002E-2</v>
      </c>
      <c r="H25" s="20">
        <f ca="1">+G25+G25*Volatility!G25*(-DriftSum!H25*TimeStep+SQRT(TimeStep)*H$49)</f>
        <v>5.0580859291173771E-2</v>
      </c>
      <c r="I25" s="20">
        <f ca="1">+H25+H25*Volatility!H25*(-DriftSum!I25*TimeStep+SQRT(TimeStep)*I$49)</f>
        <v>5.0675013915991614E-2</v>
      </c>
      <c r="J25" s="20">
        <f ca="1">+I25+I25*Volatility!I25*(-DriftSum!J25*TimeStep+SQRT(TimeStep)*J$49)</f>
        <v>4.9185236412214769E-2</v>
      </c>
      <c r="K25" s="20">
        <f ca="1">+J25+J25*Volatility!J25*(-DriftSum!K25*TimeStep+SQRT(TimeStep)*K$49)</f>
        <v>4.9687894789857148E-2</v>
      </c>
      <c r="L25" s="20">
        <f ca="1">+K25+K25*Volatility!K25*(-DriftSum!L25*TimeStep+SQRT(TimeStep)*L$49)</f>
        <v>4.8027803881637611E-2</v>
      </c>
      <c r="M25" s="20">
        <f ca="1">+L25+L25*Volatility!L25*(-DriftSum!M25*TimeStep+SQRT(TimeStep)*M$49)</f>
        <v>5.1471153754065704E-2</v>
      </c>
      <c r="N25" s="20">
        <f ca="1">+M25+M25*Volatility!M25*(-DriftSum!N25*TimeStep+SQRT(TimeStep)*N$49)</f>
        <v>5.0927490967031835E-2</v>
      </c>
      <c r="O25" s="20">
        <f ca="1">+N25+N25*Volatility!N25*(-DriftSum!O25*TimeStep+SQRT(TimeStep)*O$49)</f>
        <v>5.2952493119741866E-2</v>
      </c>
      <c r="P25" s="20">
        <f ca="1">+O25+O25*Volatility!O25*(-DriftSum!P25*TimeStep+SQRT(TimeStep)*P$49)</f>
        <v>5.1373243286307387E-2</v>
      </c>
      <c r="Q25" s="20">
        <f ca="1">+P25+P25*Volatility!P25*(-DriftSum!Q25*TimeStep+SQRT(TimeStep)*Q$49)</f>
        <v>5.1693443441440876E-2</v>
      </c>
      <c r="R25" s="20">
        <f ca="1">+Q25+Q25*Volatility!Q25*(-DriftSum!R25*TimeStep+SQRT(TimeStep)*R$49)</f>
        <v>5.3267849444597011E-2</v>
      </c>
      <c r="S25" s="20">
        <f ca="1">+R25+R25*Volatility!R25*(-DriftSum!S25*TimeStep+SQRT(TimeStep)*S$49)</f>
        <v>5.6351847246804782E-2</v>
      </c>
      <c r="T25" s="20">
        <f ca="1">+S25+S25*Volatility!S25*(-DriftSum!T25*TimeStep+SQRT(TimeStep)*T$49)</f>
        <v>5.5181366781559639E-2</v>
      </c>
      <c r="U25" s="20">
        <f ca="1">+T25+T25*Volatility!T25*(-DriftSum!U25*TimeStep+SQRT(TimeStep)*U$49)</f>
        <v>5.5020760993864701E-2</v>
      </c>
      <c r="V25" s="20">
        <f ca="1">+U25+U25*Volatility!U25*(-DriftSum!V25*TimeStep+SQRT(TimeStep)*V$49)</f>
        <v>5.3232157997755582E-2</v>
      </c>
      <c r="W25" s="20">
        <f ca="1">+V25+V25*Volatility!V25*(-DriftSum!W25*TimeStep+SQRT(TimeStep)*W$49)</f>
        <v>4.8970113886831271E-2</v>
      </c>
      <c r="X25" s="20">
        <f ca="1">+W25+W25*Volatility!W25*(-DriftSum!X25*TimeStep+SQRT(TimeStep)*X$49)</f>
        <v>5.0094548865230466E-2</v>
      </c>
      <c r="Y25" s="20">
        <f ca="1">+X25+X25*Volatility!X25*(-DriftSum!Y25*TimeStep+SQRT(TimeStep)*Y$49)</f>
        <v>4.9160430129074499E-2</v>
      </c>
      <c r="Z25" s="20">
        <f ca="1">+Y25+Y25*Volatility!Y25*(-DriftSum!Z25*TimeStep+SQRT(TimeStep)*Z$49)</f>
        <v>5.0585731000431573E-2</v>
      </c>
      <c r="AA25" s="20">
        <f ca="1">+Z25+Z25*Volatility!Z25*(-DriftSum!AA25*TimeStep+SQRT(TimeStep)*AA$49)</f>
        <v>5.1739956187185132E-2</v>
      </c>
      <c r="AB25" s="20">
        <f ca="1">+AA25+AA25*Volatility!AA25*(-DriftSum!AB25*TimeStep+SQRT(TimeStep)*AB$49)</f>
        <v>5.1563102515659008E-2</v>
      </c>
      <c r="AC25" s="20">
        <f ca="1">+AB25+AB25*Volatility!AB25*(-DriftSum!AC25*TimeStep+SQRT(TimeStep)*AC$49)</f>
        <v>5.0242370673028947E-2</v>
      </c>
      <c r="AD25" s="20">
        <f ca="1">+AC25+AC25*Volatility!AC25*(-DriftSum!AD25*TimeStep+SQRT(TimeStep)*AD$49)</f>
        <v>4.9670038003099146E-2</v>
      </c>
      <c r="AE25" s="20">
        <f ca="1">+AD25+AD25*Volatility!AD25*(-DriftSum!AE25*TimeStep+SQRT(TimeStep)*AE$49)</f>
        <v>5.2788922346541076E-2</v>
      </c>
      <c r="AF25" s="20">
        <f ca="1">+AE25+AE25*Volatility!AE25*(-DriftSum!AF25*TimeStep+SQRT(TimeStep)*AF$49)</f>
        <v>5.3131066989612438E-2</v>
      </c>
      <c r="AG25" s="20">
        <f ca="1">+AF25+AF25*Volatility!AF25*(-DriftSum!AG25*TimeStep+SQRT(TimeStep)*AG$49)</f>
        <v>5.3988595325754868E-2</v>
      </c>
      <c r="AH25" s="20">
        <f ca="1">+AG25+AG25*Volatility!AG25*(-DriftSum!AH25*TimeStep+SQRT(TimeStep)*AH$49)</f>
        <v>5.4978445971982835E-2</v>
      </c>
      <c r="AI25" s="20">
        <f ca="1">+AH25+AH25*Volatility!AH25*(-DriftSum!AI25*TimeStep+SQRT(TimeStep)*AI$49)</f>
        <v>5.8341132619749492E-2</v>
      </c>
      <c r="AJ25" s="20">
        <f ca="1">+AI25+AI25*Volatility!AI25*(-DriftSum!AJ25*TimeStep+SQRT(TimeStep)*AJ$49)</f>
        <v>5.911044704934014E-2</v>
      </c>
      <c r="AK25" s="20">
        <f ca="1">+AJ25+AJ25*Volatility!AJ25*(-DriftSum!AK25*TimeStep+SQRT(TimeStep)*AK$49)</f>
        <v>6.1752229243584339E-2</v>
      </c>
      <c r="AL25" s="20">
        <f ca="1">+AK25+AK25*Volatility!AK25*(-DriftSum!AL25*TimeStep+SQRT(TimeStep)*AL$49)</f>
        <v>6.30083839832042E-2</v>
      </c>
      <c r="AM25" s="20">
        <f ca="1">+AL25+AL25*Volatility!AL25*(-DriftSum!AM25*TimeStep+SQRT(TimeStep)*AM$49)</f>
        <v>6.2590956904718664E-2</v>
      </c>
      <c r="AN25" s="20">
        <f ca="1">+AM25+AM25*Volatility!AM25*(-DriftSum!AN25*TimeStep+SQRT(TimeStep)*AN$49)</f>
        <v>5.808383173466633E-2</v>
      </c>
      <c r="AO25" s="20">
        <f ca="1">+AN25+AN25*Volatility!AN25*(-DriftSum!AO25*TimeStep+SQRT(TimeStep)*AO$49)</f>
        <v>5.6838209900484091E-2</v>
      </c>
      <c r="AP25" s="20">
        <f ca="1">+AO25+AO25*Volatility!AO25*(-DriftSum!AP25*TimeStep+SQRT(TimeStep)*AP$49)</f>
        <v>5.4250425307235034E-2</v>
      </c>
      <c r="AQ25" s="20">
        <f ca="1">+AP25+AP25*Volatility!AP25*(-DriftSum!AQ25*TimeStep+SQRT(TimeStep)*AQ$49)</f>
        <v>5.5640186871936642E-2</v>
      </c>
      <c r="AR25" s="20">
        <f ca="1">+AQ25+AQ25*Volatility!AQ25*(-DriftSum!AR25*TimeStep+SQRT(TimeStep)*AR$49)</f>
        <v>5.7549822324071978E-2</v>
      </c>
      <c r="AS25" s="20">
        <f ca="1">+AR25+AR25*Volatility!AR25*(-DriftSum!AS25*TimeStep+SQRT(TimeStep)*AS$49)</f>
        <v>5.61021171410169E-2</v>
      </c>
      <c r="AT25" s="20">
        <f ca="1">+AS25+AS25*Volatility!AS25*(-DriftSum!AT25*TimeStep+SQRT(TimeStep)*AT$49)</f>
        <v>5.5491434916148781E-2</v>
      </c>
      <c r="AU25" s="20">
        <f ca="1">+AT25+AT25*Volatility!AT25*(-DriftSum!AU25*TimeStep+SQRT(TimeStep)*AU$49)</f>
        <v>5.7234266979205188E-2</v>
      </c>
      <c r="AV25" s="20">
        <f ca="1">+AU25+AU25*Volatility!AU25*(-DriftSum!AV25*TimeStep+SQRT(TimeStep)*AV$49)</f>
        <v>5.7598395215298998E-2</v>
      </c>
      <c r="AW25" s="20">
        <f ca="1">+AV25+AV25*Volatility!AV25*(-DriftSum!AW25*TimeStep+SQRT(TimeStep)*AW$49)</f>
        <v>5.9676352717801827E-2</v>
      </c>
      <c r="AX25" s="20">
        <f ca="1">+AW25+AW25*Volatility!AW25*(-DriftSum!AX25*TimeStep+SQRT(TimeStep)*AX$49)</f>
        <v>5.7441956076891738E-2</v>
      </c>
      <c r="AY25" s="20">
        <f ca="1">+AX25+AX25*Volatility!AX25*(-DriftSum!AY25*TimeStep+SQRT(TimeStep)*AY$49)</f>
        <v>5.9012832013246815E-2</v>
      </c>
      <c r="AZ25" s="20">
        <f ca="1">+AY25+AY25*Volatility!AY25*(-DriftSum!AZ25*TimeStep+SQRT(TimeStep)*AZ$49)</f>
        <v>6.0353457741722454E-2</v>
      </c>
      <c r="BA25" s="20">
        <f ca="1">+AZ25+AZ25*Volatility!AZ25*(-DriftSum!BA25*TimeStep+SQRT(TimeStep)*BA$49)</f>
        <v>6.3964146790586179E-2</v>
      </c>
      <c r="BB25" s="20">
        <f ca="1">+BA25+BA25*Volatility!BA25*(-DriftSum!BB25*TimeStep+SQRT(TimeStep)*BB$49)</f>
        <v>6.4880343427171985E-2</v>
      </c>
      <c r="BC25" s="20">
        <f ca="1">+BB25+BB25*Volatility!BB25*(-DriftSum!BC25*TimeStep+SQRT(TimeStep)*BC$49)</f>
        <v>6.2456201656555584E-2</v>
      </c>
      <c r="BD25" s="20">
        <f ca="1">+BC25+BC25*Volatility!BC25*(-DriftSum!BD25*TimeStep+SQRT(TimeStep)*BD$49)</f>
        <v>6.2277162623009197E-2</v>
      </c>
      <c r="BE25" s="20">
        <f ca="1">+BD25+BD25*Volatility!BD25*(-DriftSum!BE25*TimeStep+SQRT(TimeStep)*BE$49)</f>
        <v>6.1136416123062524E-2</v>
      </c>
      <c r="BF25" s="20">
        <f ca="1">+BE25+BE25*Volatility!BE25*(-DriftSum!BF25*TimeStep+SQRT(TimeStep)*BF$49)</f>
        <v>5.745767948256815E-2</v>
      </c>
      <c r="BG25" s="20">
        <f ca="1">+BF25+BF25*Volatility!BF25*(-DriftSum!BG25*TimeStep+SQRT(TimeStep)*BG$49)</f>
        <v>6.1355565414358625E-2</v>
      </c>
      <c r="BH25" s="20">
        <f ca="1">+BG25+BG25*Volatility!BG25*(-DriftSum!BH25*TimeStep+SQRT(TimeStep)*BH$49)</f>
        <v>5.943906928017919E-2</v>
      </c>
      <c r="BI25" s="20">
        <f ca="1">+BH25+BH25*Volatility!BH25*(-DriftSum!BI25*TimeStep+SQRT(TimeStep)*BI$49)</f>
        <v>5.4440825302106206E-2</v>
      </c>
      <c r="BJ25" s="20">
        <f ca="1">+BI25+BI25*Volatility!BI25*(-DriftSum!BJ25*TimeStep+SQRT(TimeStep)*BJ$49)</f>
        <v>5.5566378947595106E-2</v>
      </c>
      <c r="BK25" s="20">
        <f ca="1">+BJ25+BJ25*Volatility!BJ25*(-DriftSum!BK25*TimeStep+SQRT(TimeStep)*BK$49)</f>
        <v>5.712349907676352E-2</v>
      </c>
      <c r="BL25" s="20">
        <f ca="1">+BK25+BK25*Volatility!BK25*(-DriftSum!BL25*TimeStep+SQRT(TimeStep)*BL$49)</f>
        <v>5.8776105994865067E-2</v>
      </c>
      <c r="BM25" s="20">
        <f ca="1">+BL25+BL25*Volatility!BL25*(-DriftSum!BM25*TimeStep+SQRT(TimeStep)*BM$49)</f>
        <v>5.5772444796457432E-2</v>
      </c>
      <c r="BN25" s="20">
        <f ca="1">+BM25+BM25*Volatility!BM25*(-DriftSum!BN25*TimeStep+SQRT(TimeStep)*BN$49)</f>
        <v>5.665682272216687E-2</v>
      </c>
      <c r="BO25" s="20">
        <f ca="1">+BN25+BN25*Volatility!BN25*(-DriftSum!BO25*TimeStep+SQRT(TimeStep)*BO$49)</f>
        <v>5.9077659703795339E-2</v>
      </c>
      <c r="BP25" s="20">
        <f ca="1">+BO25+BO25*Volatility!BO25*(-DriftSum!BP25*TimeStep+SQRT(TimeStep)*BP$49)</f>
        <v>5.9478550151834446E-2</v>
      </c>
      <c r="BQ25" s="20">
        <f ca="1">+BP25+BP25*Volatility!BP25*(-DriftSum!BQ25*TimeStep+SQRT(TimeStep)*BQ$49)</f>
        <v>5.9643048226395622E-2</v>
      </c>
      <c r="BR25" s="20">
        <f ca="1">+BQ25+BQ25*Volatility!BQ25*(-DriftSum!BR25*TimeStep+SQRT(TimeStep)*BR$49)</f>
        <v>6.2595696028742195E-2</v>
      </c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</row>
    <row r="26" spans="4:127" x14ac:dyDescent="0.2">
      <c r="D26" s="2">
        <f t="shared" si="2"/>
        <v>5.25</v>
      </c>
      <c r="E26" s="10">
        <f t="shared" si="3"/>
        <v>0.79026247893974755</v>
      </c>
      <c r="F26" s="12" t="str">
        <f t="shared" si="4"/>
        <v>L(t;5,5.25)</v>
      </c>
      <c r="G26" s="19">
        <v>4.8750000000000002E-2</v>
      </c>
      <c r="H26" s="20">
        <f ca="1">+G26+G26*Volatility!G26*(-DriftSum!H26*TimeStep+SQRT(TimeStep)*H$49)</f>
        <v>5.0294722592327305E-2</v>
      </c>
      <c r="I26" s="20">
        <f ca="1">+H26+H26*Volatility!H26*(-DriftSum!I26*TimeStep+SQRT(TimeStep)*I$49)</f>
        <v>5.038978542571064E-2</v>
      </c>
      <c r="J26" s="20">
        <f ca="1">+I26+I26*Volatility!I26*(-DriftSum!J26*TimeStep+SQRT(TimeStep)*J$49)</f>
        <v>4.8871999325936229E-2</v>
      </c>
      <c r="K26" s="20">
        <f ca="1">+J26+J26*Volatility!J26*(-DriftSum!K26*TimeStep+SQRT(TimeStep)*K$49)</f>
        <v>4.9382651959528276E-2</v>
      </c>
      <c r="L26" s="20">
        <f ca="1">+K26+K26*Volatility!K26*(-DriftSum!L26*TimeStep+SQRT(TimeStep)*L$49)</f>
        <v>4.7692354032459423E-2</v>
      </c>
      <c r="M26" s="20">
        <f ca="1">+L26+L26*Volatility!L26*(-DriftSum!M26*TimeStep+SQRT(TimeStep)*M$49)</f>
        <v>5.1192962587366712E-2</v>
      </c>
      <c r="N26" s="20">
        <f ca="1">+M26+M26*Volatility!M26*(-DriftSum!N26*TimeStep+SQRT(TimeStep)*N$49)</f>
        <v>5.063839364022147E-2</v>
      </c>
      <c r="O26" s="20">
        <f ca="1">+N26+N26*Volatility!N26*(-DriftSum!O26*TimeStep+SQRT(TimeStep)*O$49)</f>
        <v>5.269937591770002E-2</v>
      </c>
      <c r="P26" s="20">
        <f ca="1">+O26+O26*Volatility!O26*(-DriftSum!P26*TimeStep+SQRT(TimeStep)*P$49)</f>
        <v>5.1089036170144778E-2</v>
      </c>
      <c r="Q26" s="20">
        <f ca="1">+P26+P26*Volatility!P26*(-DriftSum!Q26*TimeStep+SQRT(TimeStep)*Q$49)</f>
        <v>5.1414243427367924E-2</v>
      </c>
      <c r="R26" s="20">
        <f ca="1">+Q26+Q26*Volatility!Q26*(-DriftSum!R26*TimeStep+SQRT(TimeStep)*R$49)</f>
        <v>5.3016852987411774E-2</v>
      </c>
      <c r="S26" s="20">
        <f ca="1">+R26+R26*Volatility!R26*(-DriftSum!S26*TimeStep+SQRT(TimeStep)*S$49)</f>
        <v>5.615905728065719E-2</v>
      </c>
      <c r="T26" s="20">
        <f ca="1">+S26+S26*Volatility!S26*(-DriftSum!T26*TimeStep+SQRT(TimeStep)*T$49)</f>
        <v>5.4963545583956962E-2</v>
      </c>
      <c r="U26" s="20">
        <f ca="1">+T26+T26*Volatility!T26*(-DriftSum!U26*TimeStep+SQRT(TimeStep)*U$49)</f>
        <v>5.4798737212177977E-2</v>
      </c>
      <c r="V26" s="20">
        <f ca="1">+U26+U26*Volatility!U26*(-DriftSum!V26*TimeStep+SQRT(TimeStep)*V$49)</f>
        <v>5.2973607079216535E-2</v>
      </c>
      <c r="W26" s="20">
        <f ca="1">+V26+V26*Volatility!V26*(-DriftSum!W26*TimeStep+SQRT(TimeStep)*W$49)</f>
        <v>4.8629544044981383E-2</v>
      </c>
      <c r="X26" s="20">
        <f ca="1">+W26+W26*Volatility!W26*(-DriftSum!X26*TimeStep+SQRT(TimeStep)*X$49)</f>
        <v>4.9772173536133987E-2</v>
      </c>
      <c r="Y26" s="20">
        <f ca="1">+X26+X26*Volatility!X26*(-DriftSum!Y26*TimeStep+SQRT(TimeStep)*Y$49)</f>
        <v>4.8820970767367577E-2</v>
      </c>
      <c r="Z26" s="20">
        <f ca="1">+Y26+Y26*Volatility!Y26*(-DriftSum!Z26*TimeStep+SQRT(TimeStep)*Z$49)</f>
        <v>5.0269610453546394E-2</v>
      </c>
      <c r="AA26" s="20">
        <f ca="1">+Z26+Z26*Volatility!Z26*(-DriftSum!AA26*TimeStep+SQRT(TimeStep)*AA$49)</f>
        <v>5.1443313888638917E-2</v>
      </c>
      <c r="AB26" s="20">
        <f ca="1">+AA26+AA26*Volatility!AA26*(-DriftSum!AB26*TimeStep+SQRT(TimeStep)*AB$49)</f>
        <v>5.1262378129461952E-2</v>
      </c>
      <c r="AC26" s="20">
        <f ca="1">+AB26+AB26*Volatility!AB26*(-DriftSum!AC26*TimeStep+SQRT(TimeStep)*AC$49)</f>
        <v>4.991696644137239E-2</v>
      </c>
      <c r="AD26" s="20">
        <f ca="1">+AC26+AC26*Volatility!AC26*(-DriftSum!AD26*TimeStep+SQRT(TimeStep)*AD$49)</f>
        <v>4.9333867959960975E-2</v>
      </c>
      <c r="AE26" s="20">
        <f ca="1">+AD26+AD26*Volatility!AD26*(-DriftSum!AE26*TimeStep+SQRT(TimeStep)*AE$49)</f>
        <v>5.2505183317612891E-2</v>
      </c>
      <c r="AF26" s="20">
        <f ca="1">+AE26+AE26*Volatility!AE26*(-DriftSum!AF26*TimeStep+SQRT(TimeStep)*AF$49)</f>
        <v>5.2852744414206204E-2</v>
      </c>
      <c r="AG26" s="20">
        <f ca="1">+AF26+AF26*Volatility!AF26*(-DriftSum!AG26*TimeStep+SQRT(TimeStep)*AG$49)</f>
        <v>5.3725329760350472E-2</v>
      </c>
      <c r="AH26" s="20">
        <f ca="1">+AG26+AG26*Volatility!AG26*(-DriftSum!AH26*TimeStep+SQRT(TimeStep)*AH$49)</f>
        <v>5.4733040175867873E-2</v>
      </c>
      <c r="AI26" s="20">
        <f ca="1">+AH26+AH26*Volatility!AH26*(-DriftSum!AI26*TimeStep+SQRT(TimeStep)*AI$49)</f>
        <v>5.8160071685449594E-2</v>
      </c>
      <c r="AJ26" s="20">
        <f ca="1">+AI26+AI26*Volatility!AI26*(-DriftSum!AJ26*TimeStep+SQRT(TimeStep)*AJ$49)</f>
        <v>5.8944290020737165E-2</v>
      </c>
      <c r="AK26" s="20">
        <f ca="1">+AJ26+AJ26*Volatility!AJ26*(-DriftSum!AK26*TimeStep+SQRT(TimeStep)*AK$49)</f>
        <v>6.1640726329401464E-2</v>
      </c>
      <c r="AL26" s="20">
        <f ca="1">+AK26+AK26*Volatility!AK26*(-DriftSum!AL26*TimeStep+SQRT(TimeStep)*AL$49)</f>
        <v>6.2923456643567813E-2</v>
      </c>
      <c r="AM26" s="20">
        <f ca="1">+AL26+AL26*Volatility!AL26*(-DriftSum!AM26*TimeStep+SQRT(TimeStep)*AM$49)</f>
        <v>6.2495286383687836E-2</v>
      </c>
      <c r="AN26" s="20">
        <f ca="1">+AM26+AM26*Volatility!AM26*(-DriftSum!AN26*TimeStep+SQRT(TimeStep)*AN$49)</f>
        <v>5.7885760916213121E-2</v>
      </c>
      <c r="AO26" s="20">
        <f ca="1">+AN26+AN26*Volatility!AN26*(-DriftSum!AO26*TimeStep+SQRT(TimeStep)*AO$49)</f>
        <v>5.6613489077957151E-2</v>
      </c>
      <c r="AP26" s="20">
        <f ca="1">+AO26+AO26*Volatility!AO26*(-DriftSum!AP26*TimeStep+SQRT(TimeStep)*AP$49)</f>
        <v>5.3973016935720285E-2</v>
      </c>
      <c r="AQ26" s="20">
        <f ca="1">+AP26+AP26*Volatility!AP26*(-DriftSum!AQ26*TimeStep+SQRT(TimeStep)*AQ$49)</f>
        <v>5.5387892746556984E-2</v>
      </c>
      <c r="AR26" s="20">
        <f ca="1">+AQ26+AQ26*Volatility!AQ26*(-DriftSum!AR26*TimeStep+SQRT(TimeStep)*AR$49)</f>
        <v>5.7333479436282843E-2</v>
      </c>
      <c r="AS26" s="20">
        <f ca="1">+AR26+AR26*Volatility!AR26*(-DriftSum!AS26*TimeStep+SQRT(TimeStep)*AS$49)</f>
        <v>5.5855517952048496E-2</v>
      </c>
      <c r="AT26" s="20">
        <f ca="1">+AS26+AS26*Volatility!AS26*(-DriftSum!AT26*TimeStep+SQRT(TimeStep)*AT$49)</f>
        <v>5.5231897965552078E-2</v>
      </c>
      <c r="AU26" s="20">
        <f ca="1">+AT26+AT26*Volatility!AT26*(-DriftSum!AU26*TimeStep+SQRT(TimeStep)*AU$49)</f>
        <v>5.7007203376890067E-2</v>
      </c>
      <c r="AV26" s="20">
        <f ca="1">+AU26+AU26*Volatility!AU26*(-DriftSum!AV26*TimeStep+SQRT(TimeStep)*AV$49)</f>
        <v>5.7377519180374273E-2</v>
      </c>
      <c r="AW26" s="20">
        <f ca="1">+AV26+AV26*Volatility!AV26*(-DriftSum!AW26*TimeStep+SQRT(TimeStep)*AW$49)</f>
        <v>5.9496101970910119E-2</v>
      </c>
      <c r="AX26" s="20">
        <f ca="1">+AW26+AW26*Volatility!AW26*(-DriftSum!AX26*TimeStep+SQRT(TimeStep)*AX$49)</f>
        <v>5.7213824611061684E-2</v>
      </c>
      <c r="AY26" s="20">
        <f ca="1">+AX26+AX26*Volatility!AX26*(-DriftSum!AY26*TimeStep+SQRT(TimeStep)*AY$49)</f>
        <v>5.881493310359108E-2</v>
      </c>
      <c r="AZ26" s="20">
        <f ca="1">+AY26+AY26*Volatility!AY26*(-DriftSum!AZ26*TimeStep+SQRT(TimeStep)*AZ$49)</f>
        <v>6.018199005197164E-2</v>
      </c>
      <c r="BA26" s="20">
        <f ca="1">+AZ26+AZ26*Volatility!AZ26*(-DriftSum!BA26*TimeStep+SQRT(TimeStep)*BA$49)</f>
        <v>6.3867638529791174E-2</v>
      </c>
      <c r="BB26" s="20">
        <f ca="1">+BA26+BA26*Volatility!BA26*(-DriftSum!BB26*TimeStep+SQRT(TimeStep)*BB$49)</f>
        <v>6.4803068050632018E-2</v>
      </c>
      <c r="BC26" s="20">
        <f ca="1">+BB26+BB26*Volatility!BB26*(-DriftSum!BC26*TimeStep+SQRT(TimeStep)*BC$49)</f>
        <v>6.2322324320066631E-2</v>
      </c>
      <c r="BD26" s="20">
        <f ca="1">+BC26+BC26*Volatility!BC26*(-DriftSum!BD26*TimeStep+SQRT(TimeStep)*BD$49)</f>
        <v>6.213810381306055E-2</v>
      </c>
      <c r="BE26" s="20">
        <f ca="1">+BD26+BD26*Volatility!BD26*(-DriftSum!BE26*TimeStep+SQRT(TimeStep)*BE$49)</f>
        <v>6.0971317551742121E-2</v>
      </c>
      <c r="BF26" s="20">
        <f ca="1">+BE26+BE26*Volatility!BE26*(-DriftSum!BF26*TimeStep+SQRT(TimeStep)*BF$49)</f>
        <v>5.7213240249052034E-2</v>
      </c>
      <c r="BG26" s="20">
        <f ca="1">+BF26+BF26*Volatility!BF26*(-DriftSum!BG26*TimeStep+SQRT(TimeStep)*BG$49)</f>
        <v>6.1186614624277005E-2</v>
      </c>
      <c r="BH26" s="20">
        <f ca="1">+BG26+BG26*Volatility!BG26*(-DriftSum!BH26*TimeStep+SQRT(TimeStep)*BH$49)</f>
        <v>5.922829409331818E-2</v>
      </c>
      <c r="BI26" s="20">
        <f ca="1">+BH26+BH26*Volatility!BH26*(-DriftSum!BI26*TimeStep+SQRT(TimeStep)*BI$49)</f>
        <v>5.4127085460117297E-2</v>
      </c>
      <c r="BJ26" s="20">
        <f ca="1">+BI26+BI26*Volatility!BI26*(-DriftSum!BJ26*TimeStep+SQRT(TimeStep)*BJ$49)</f>
        <v>5.5272041153563115E-2</v>
      </c>
      <c r="BK26" s="20">
        <f ca="1">+BJ26+BJ26*Volatility!BJ26*(-DriftSum!BK26*TimeStep+SQRT(TimeStep)*BK$49)</f>
        <v>5.6857076340917953E-2</v>
      </c>
      <c r="BL26" s="20">
        <f ca="1">+BK26+BK26*Volatility!BK26*(-DriftSum!BL26*TimeStep+SQRT(TimeStep)*BL$49)</f>
        <v>5.8540385735719111E-2</v>
      </c>
      <c r="BM26" s="20">
        <f ca="1">+BL26+BL26*Volatility!BL26*(-DriftSum!BM26*TimeStep+SQRT(TimeStep)*BM$49)</f>
        <v>5.5475841575018427E-2</v>
      </c>
      <c r="BN26" s="20">
        <f ca="1">+BM26+BM26*Volatility!BM26*(-DriftSum!BN26*TimeStep+SQRT(TimeStep)*BN$49)</f>
        <v>5.6375611328433148E-2</v>
      </c>
      <c r="BO26" s="20">
        <f ca="1">+BN26+BN26*Volatility!BN26*(-DriftSum!BO26*TimeStep+SQRT(TimeStep)*BO$49)</f>
        <v>5.8841194583288937E-2</v>
      </c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</row>
    <row r="27" spans="4:127" x14ac:dyDescent="0.2">
      <c r="D27" s="2">
        <f t="shared" si="2"/>
        <v>5</v>
      </c>
      <c r="E27" s="10">
        <f t="shared" si="3"/>
        <v>0.79989380290182577</v>
      </c>
      <c r="F27" s="12" t="str">
        <f t="shared" si="4"/>
        <v>L(t;4.75,5)</v>
      </c>
      <c r="G27" s="19">
        <v>4.8437500000000001E-2</v>
      </c>
      <c r="H27" s="20">
        <f ca="1">+G27+G27*Volatility!G27*(-DriftSum!H27*TimeStep+SQRT(TimeStep)*H$49)</f>
        <v>5.0008073893354536E-2</v>
      </c>
      <c r="I27" s="20">
        <f ca="1">+H27+H27*Volatility!H27*(-DriftSum!I27*TimeStep+SQRT(TimeStep)*I$49)</f>
        <v>5.0103973346283061E-2</v>
      </c>
      <c r="J27" s="20">
        <f ca="1">+I27+I27*Volatility!I27*(-DriftSum!J27*TimeStep+SQRT(TimeStep)*J$49)</f>
        <v>4.8558553826301407E-2</v>
      </c>
      <c r="K27" s="20">
        <f ca="1">+J27+J27*Volatility!J27*(-DriftSum!K27*TimeStep+SQRT(TimeStep)*K$49)</f>
        <v>4.9077003983181579E-2</v>
      </c>
      <c r="L27" s="20">
        <f ca="1">+K27+K27*Volatility!K27*(-DriftSum!L27*TimeStep+SQRT(TimeStep)*L$49)</f>
        <v>4.7356960491554932E-2</v>
      </c>
      <c r="M27" s="20">
        <f ca="1">+L27+L27*Volatility!L27*(-DriftSum!M27*TimeStep+SQRT(TimeStep)*M$49)</f>
        <v>5.0913640069866373E-2</v>
      </c>
      <c r="N27" s="20">
        <f ca="1">+M27+M27*Volatility!M27*(-DriftSum!N27*TimeStep+SQRT(TimeStep)*N$49)</f>
        <v>5.03482712049972E-2</v>
      </c>
      <c r="O27" s="20">
        <f ca="1">+N27+N27*Volatility!N27*(-DriftSum!O27*TimeStep+SQRT(TimeStep)*O$49)</f>
        <v>5.2444593513403172E-2</v>
      </c>
      <c r="P27" s="20">
        <f ca="1">+O27+O27*Volatility!O27*(-DriftSum!P27*TimeStep+SQRT(TimeStep)*P$49)</f>
        <v>5.0803526376445189E-2</v>
      </c>
      <c r="Q27" s="20">
        <f ca="1">+P27+P27*Volatility!P27*(-DriftSum!Q27*TimeStep+SQRT(TimeStep)*Q$49)</f>
        <v>5.1133600409300047E-2</v>
      </c>
      <c r="R27" s="20">
        <f ca="1">+Q27+Q27*Volatility!Q27*(-DriftSum!R27*TimeStep+SQRT(TimeStep)*R$49)</f>
        <v>5.2763911570142097E-2</v>
      </c>
      <c r="S27" s="20">
        <f ca="1">+R27+R27*Volatility!R27*(-DriftSum!S27*TimeStep+SQRT(TimeStep)*S$49)</f>
        <v>5.5963454144110338E-2</v>
      </c>
      <c r="T27" s="20">
        <f ca="1">+S27+S27*Volatility!S27*(-DriftSum!T27*TimeStep+SQRT(TimeStep)*T$49)</f>
        <v>5.4743101524021259E-2</v>
      </c>
      <c r="U27" s="20">
        <f ca="1">+T27+T27*Volatility!T27*(-DriftSum!U27*TimeStep+SQRT(TimeStep)*U$49)</f>
        <v>5.4574070097467509E-2</v>
      </c>
      <c r="V27" s="20">
        <f ca="1">+U27+U27*Volatility!U27*(-DriftSum!V27*TimeStep+SQRT(TimeStep)*V$49)</f>
        <v>5.2712791037418563E-2</v>
      </c>
      <c r="W27" s="20">
        <f ca="1">+V27+V27*Volatility!V27*(-DriftSum!W27*TimeStep+SQRT(TimeStep)*W$49)</f>
        <v>4.8287840618179818E-2</v>
      </c>
      <c r="X27" s="20">
        <f ca="1">+W27+W27*Volatility!W27*(-DriftSum!X27*TimeStep+SQRT(TimeStep)*X$49)</f>
        <v>4.944822298178176E-2</v>
      </c>
      <c r="Y27" s="20">
        <f ca="1">+X27+X27*Volatility!X27*(-DriftSum!Y27*TimeStep+SQRT(TimeStep)*Y$49)</f>
        <v>4.8480213370586785E-2</v>
      </c>
      <c r="Z27" s="20">
        <f ca="1">+Y27+Y27*Volatility!Y27*(-DriftSum!Z27*TimeStep+SQRT(TimeStep)*Z$49)</f>
        <v>4.9951640600029816E-2</v>
      </c>
      <c r="AA27" s="20">
        <f ca="1">+Z27+Z27*Volatility!Z27*(-DriftSum!AA27*TimeStep+SQRT(TimeStep)*AA$49)</f>
        <v>5.1144388388617193E-2</v>
      </c>
      <c r="AB27" s="20">
        <f ca="1">+AA27+AA27*Volatility!AA27*(-DriftSum!AB27*TimeStep+SQRT(TimeStep)*AB$49)</f>
        <v>5.0959380527684534E-2</v>
      </c>
      <c r="AC27" s="20">
        <f ca="1">+AB27+AB27*Volatility!AB27*(-DriftSum!AC27*TimeStep+SQRT(TimeStep)*AC$49)</f>
        <v>4.9589673473124499E-2</v>
      </c>
      <c r="AD27" s="20">
        <f ca="1">+AC27+AC27*Volatility!AC27*(-DriftSum!AD27*TimeStep+SQRT(TimeStep)*AD$49)</f>
        <v>4.8995967388049094E-2</v>
      </c>
      <c r="AE27" s="20">
        <f ca="1">+AD27+AD27*Volatility!AD27*(-DriftSum!AE27*TimeStep+SQRT(TimeStep)*AE$49)</f>
        <v>5.2218546083382215E-2</v>
      </c>
      <c r="AF27" s="20">
        <f ca="1">+AE27+AE27*Volatility!AE27*(-DriftSum!AF27*TimeStep+SQRT(TimeStep)*AF$49)</f>
        <v>5.2571365887408877E-2</v>
      </c>
      <c r="AG27" s="20">
        <f ca="1">+AF27+AF27*Volatility!AF27*(-DriftSum!AG27*TimeStep+SQRT(TimeStep)*AG$49)</f>
        <v>5.3458690107164454E-2</v>
      </c>
      <c r="AH27" s="20">
        <f ca="1">+AG27+AG27*Volatility!AG27*(-DriftSum!AH27*TimeStep+SQRT(TimeStep)*AH$49)</f>
        <v>5.4483910217378549E-2</v>
      </c>
      <c r="AI27" s="20">
        <f ca="1">+AH27+AH27*Volatility!AH27*(-DriftSum!AI27*TimeStep+SQRT(TimeStep)*AI$49)</f>
        <v>5.7974270585566812E-2</v>
      </c>
      <c r="AJ27" s="20">
        <f ca="1">+AI27+AI27*Volatility!AI27*(-DriftSum!AJ27*TimeStep+SQRT(TimeStep)*AJ$49)</f>
        <v>5.8773144019638575E-2</v>
      </c>
      <c r="AK27" s="20">
        <f ca="1">+AJ27+AJ27*Volatility!AJ27*(-DriftSum!AK27*TimeStep+SQRT(TimeStep)*AK$49)</f>
        <v>6.1523572762992439E-2</v>
      </c>
      <c r="AL27" s="20">
        <f ca="1">+AK27+AK27*Volatility!AK27*(-DriftSum!AL27*TimeStep+SQRT(TimeStep)*AL$49)</f>
        <v>6.2832567297607084E-2</v>
      </c>
      <c r="AM27" s="20">
        <f ca="1">+AL27+AL27*Volatility!AL27*(-DriftSum!AM27*TimeStep+SQRT(TimeStep)*AM$49)</f>
        <v>6.2393635011100353E-2</v>
      </c>
      <c r="AN27" s="20">
        <f ca="1">+AM27+AM27*Volatility!AM27*(-DriftSum!AN27*TimeStep+SQRT(TimeStep)*AN$49)</f>
        <v>5.7682405910793821E-2</v>
      </c>
      <c r="AO27" s="20">
        <f ca="1">+AN27+AN27*Volatility!AN27*(-DriftSum!AO27*TimeStep+SQRT(TimeStep)*AO$49)</f>
        <v>5.6383739716844523E-2</v>
      </c>
      <c r="AP27" s="20">
        <f ca="1">+AO27+AO27*Volatility!AO27*(-DriftSum!AP27*TimeStep+SQRT(TimeStep)*AP$49)</f>
        <v>5.3691248704848836E-2</v>
      </c>
      <c r="AQ27" s="20">
        <f ca="1">+AP27+AP27*Volatility!AP27*(-DriftSum!AQ27*TimeStep+SQRT(TimeStep)*AQ$49)</f>
        <v>5.5130727286397625E-2</v>
      </c>
      <c r="AR27" s="20">
        <f ca="1">+AQ27+AQ27*Volatility!AQ27*(-DriftSum!AR27*TimeStep+SQRT(TimeStep)*AR$49)</f>
        <v>5.7111616458293019E-2</v>
      </c>
      <c r="AS27" s="20">
        <f ca="1">+AR27+AR27*Volatility!AR27*(-DriftSum!AS27*TimeStep+SQRT(TimeStep)*AS$49)</f>
        <v>5.5603740858373177E-2</v>
      </c>
      <c r="AT27" s="20">
        <f ca="1">+AS27+AS27*Volatility!AS27*(-DriftSum!AT27*TimeStep+SQRT(TimeStep)*AT$49)</f>
        <v>5.496731171343535E-2</v>
      </c>
      <c r="AU27" s="20">
        <f ca="1">+AT27+AT27*Volatility!AT27*(-DriftSum!AU27*TimeStep+SQRT(TimeStep)*AU$49)</f>
        <v>5.6774475875637324E-2</v>
      </c>
      <c r="AV27" s="20">
        <f ca="1">+AU27+AU27*Volatility!AU27*(-DriftSum!AV27*TimeStep+SQRT(TimeStep)*AV$49)</f>
        <v>5.7150808988598228E-2</v>
      </c>
      <c r="AW27" s="20">
        <f ca="1">+AV27+AV27*Volatility!AV27*(-DriftSum!AW27*TimeStep+SQRT(TimeStep)*AW$49)</f>
        <v>5.9309349595243567E-2</v>
      </c>
      <c r="AX27" s="20">
        <f ca="1">+AW27+AW27*Volatility!AW27*(-DriftSum!AX27*TimeStep+SQRT(TimeStep)*AX$49)</f>
        <v>5.697969848750431E-2</v>
      </c>
      <c r="AY27" s="20">
        <f ca="1">+AX27+AX27*Volatility!AX27*(-DriftSum!AY27*TimeStep+SQRT(TimeStep)*AY$49)</f>
        <v>5.8610504686858265E-2</v>
      </c>
      <c r="AZ27" s="20">
        <f ca="1">+AY27+AY27*Volatility!AY27*(-DriftSum!AZ27*TimeStep+SQRT(TimeStep)*AZ$49)</f>
        <v>6.0003552299902944E-2</v>
      </c>
      <c r="BA27" s="20">
        <f ca="1">+AZ27+AZ27*Volatility!AZ27*(-DriftSum!BA27*TimeStep+SQRT(TimeStep)*BA$49)</f>
        <v>6.3763156417476249E-2</v>
      </c>
      <c r="BB27" s="20">
        <f ca="1">+BA27+BA27*Volatility!BA27*(-DriftSum!BB27*TimeStep+SQRT(TimeStep)*BB$49)</f>
        <v>6.4717543649356279E-2</v>
      </c>
      <c r="BC27" s="20">
        <f ca="1">+BB27+BB27*Volatility!BB27*(-DriftSum!BC27*TimeStep+SQRT(TimeStep)*BC$49)</f>
        <v>6.2180566493616286E-2</v>
      </c>
      <c r="BD27" s="20">
        <f ca="1">+BC27+BC27*Volatility!BC27*(-DriftSum!BD27*TimeStep+SQRT(TimeStep)*BD$49)</f>
        <v>6.1991124184808684E-2</v>
      </c>
      <c r="BE27" s="20">
        <f ca="1">+BD27+BD27*Volatility!BD27*(-DriftSum!BE27*TimeStep+SQRT(TimeStep)*BE$49)</f>
        <v>6.0798490885081095E-2</v>
      </c>
      <c r="BF27" s="20">
        <f ca="1">+BE27+BE27*Volatility!BE27*(-DriftSum!BF27*TimeStep+SQRT(TimeStep)*BF$49)</f>
        <v>5.6961960273475581E-2</v>
      </c>
      <c r="BG27" s="20">
        <f ca="1">+BF27+BF27*Volatility!BF27*(-DriftSum!BG27*TimeStep+SQRT(TimeStep)*BG$49)</f>
        <v>6.1009478166548226E-2</v>
      </c>
      <c r="BH27" s="20">
        <f ca="1">+BG27+BG27*Volatility!BG27*(-DriftSum!BH27*TimeStep+SQRT(TimeStep)*BH$49)</f>
        <v>5.9009777349259183E-2</v>
      </c>
      <c r="BI27" s="20">
        <f ca="1">+BH27+BH27*Volatility!BH27*(-DriftSum!BI27*TimeStep+SQRT(TimeStep)*BI$49)</f>
        <v>5.3807067507803286E-2</v>
      </c>
      <c r="BJ27" s="20">
        <f ca="1">+BI27+BI27*Volatility!BI27*(-DriftSum!BJ27*TimeStep+SQRT(TimeStep)*BJ$49)</f>
        <v>5.497092624935359E-2</v>
      </c>
      <c r="BK27" s="20">
        <f ca="1">+BJ27+BJ27*Volatility!BJ27*(-DriftSum!BK27*TimeStep+SQRT(TimeStep)*BK$49)</f>
        <v>5.658322631637655E-2</v>
      </c>
      <c r="BL27" s="20">
        <f ca="1">+BK27+BK27*Volatility!BK27*(-DriftSum!BL27*TimeStep+SQRT(TimeStep)*BL$49)</f>
        <v>5.8296582546125041E-2</v>
      </c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</row>
    <row r="28" spans="4:127" x14ac:dyDescent="0.2">
      <c r="D28" s="2">
        <f t="shared" si="2"/>
        <v>4.75</v>
      </c>
      <c r="E28" s="10">
        <f t="shared" si="3"/>
        <v>0.80958001692134018</v>
      </c>
      <c r="F28" s="12" t="str">
        <f t="shared" si="4"/>
        <v>L(t;4.5,4.75)</v>
      </c>
      <c r="G28" s="19">
        <v>4.8125000000000001E-2</v>
      </c>
      <c r="H28" s="20">
        <f ca="1">+G28+G28*Volatility!G28*(-DriftSum!H28*TimeStep+SQRT(TimeStep)*H$49)</f>
        <v>4.972091344011427E-2</v>
      </c>
      <c r="I28" s="20">
        <f ca="1">+H28+H28*Volatility!H28*(-DriftSum!I28*TimeStep+SQRT(TimeStep)*I$49)</f>
        <v>4.9817577987681889E-2</v>
      </c>
      <c r="J28" s="20">
        <f ca="1">+I28+I28*Volatility!I28*(-DriftSum!J28*TimeStep+SQRT(TimeStep)*J$49)</f>
        <v>4.8244901591799616E-2</v>
      </c>
      <c r="K28" s="20">
        <f ca="1">+J28+J28*Volatility!J28*(-DriftSum!K28*TimeStep+SQRT(TimeStep)*K$49)</f>
        <v>4.8770952689439331E-2</v>
      </c>
      <c r="L28" s="20">
        <f ca="1">+K28+K28*Volatility!K28*(-DriftSum!L28*TimeStep+SQRT(TimeStep)*L$49)</f>
        <v>4.702162624729591E-2</v>
      </c>
      <c r="M28" s="20">
        <f ca="1">+L28+L28*Volatility!L28*(-DriftSum!M28*TimeStep+SQRT(TimeStep)*M$49)</f>
        <v>5.0633190101622122E-2</v>
      </c>
      <c r="N28" s="20">
        <f ca="1">+M28+M28*Volatility!M28*(-DriftSum!N28*TimeStep+SQRT(TimeStep)*N$49)</f>
        <v>5.0057128506661344E-2</v>
      </c>
      <c r="O28" s="20">
        <f ca="1">+N28+N28*Volatility!N28*(-DriftSum!O28*TimeStep+SQRT(TimeStep)*O$49)</f>
        <v>5.2188148213211549E-2</v>
      </c>
      <c r="P28" s="20">
        <f ca="1">+O28+O28*Volatility!O28*(-DriftSum!P28*TimeStep+SQRT(TimeStep)*P$49)</f>
        <v>5.0516719713351491E-2</v>
      </c>
      <c r="Q28" s="20">
        <f ca="1">+P28+P28*Volatility!P28*(-DriftSum!Q28*TimeStep+SQRT(TimeStep)*Q$49)</f>
        <v>5.085151982456608E-2</v>
      </c>
      <c r="R28" s="20">
        <f ca="1">+Q28+Q28*Volatility!Q28*(-DriftSum!R28*TimeStep+SQRT(TimeStep)*R$49)</f>
        <v>5.2509027795636501E-2</v>
      </c>
      <c r="S28" s="20">
        <f ca="1">+R28+R28*Volatility!R28*(-DriftSum!S28*TimeStep+SQRT(TimeStep)*S$49)</f>
        <v>5.5765032495317376E-2</v>
      </c>
      <c r="T28" s="20">
        <f ca="1">+S28+S28*Volatility!S28*(-DriftSum!T28*TimeStep+SQRT(TimeStep)*T$49)</f>
        <v>5.452003323039549E-2</v>
      </c>
      <c r="U28" s="20">
        <f ca="1">+T28+T28*Volatility!T28*(-DriftSum!U28*TimeStep+SQRT(TimeStep)*U$49)</f>
        <v>5.434675864593292E-2</v>
      </c>
      <c r="V28" s="20">
        <f ca="1">+U28+U28*Volatility!U28*(-DriftSum!V28*TimeStep+SQRT(TimeStep)*V$49)</f>
        <v>5.2449714934719373E-2</v>
      </c>
      <c r="W28" s="20">
        <f ca="1">+V28+V28*Volatility!V28*(-DriftSum!W28*TimeStep+SQRT(TimeStep)*W$49)</f>
        <v>4.7945021359890962E-2</v>
      </c>
      <c r="X28" s="20">
        <f ca="1">+W28+W28*Volatility!W28*(-DriftSum!X28*TimeStep+SQRT(TimeStep)*X$49)</f>
        <v>4.912271400301476E-2</v>
      </c>
      <c r="Y28" s="20">
        <f ca="1">+X28+X28*Volatility!X28*(-DriftSum!Y28*TimeStep+SQRT(TimeStep)*Y$49)</f>
        <v>4.8138176929850368E-2</v>
      </c>
      <c r="Z28" s="20">
        <f ca="1">+Y28+Y28*Volatility!Y28*(-DriftSum!Z28*TimeStep+SQRT(TimeStep)*Z$49)</f>
        <v>4.9631838799767757E-2</v>
      </c>
      <c r="AA28" s="20">
        <f ca="1">+Z28+Z28*Volatility!Z28*(-DriftSum!AA28*TimeStep+SQRT(TimeStep)*AA$49)</f>
        <v>5.0843194825481837E-2</v>
      </c>
      <c r="AB28" s="20">
        <f ca="1">+AA28+AA28*Volatility!AA28*(-DriftSum!AB28*TimeStep+SQRT(TimeStep)*AB$49)</f>
        <v>5.0654125659151693E-2</v>
      </c>
      <c r="AC28" s="20">
        <f ca="1">+AB28+AB28*Volatility!AB28*(-DriftSum!AC28*TimeStep+SQRT(TimeStep)*AC$49)</f>
        <v>4.9260511799156192E-2</v>
      </c>
      <c r="AD28" s="20">
        <f ca="1">+AC28+AC28*Volatility!AC28*(-DriftSum!AD28*TimeStep+SQRT(TimeStep)*AD$49)</f>
        <v>4.8656358069103366E-2</v>
      </c>
      <c r="AE28" s="20">
        <f ca="1">+AD28+AD28*Volatility!AD28*(-DriftSum!AE28*TimeStep+SQRT(TimeStep)*AE$49)</f>
        <v>5.1929026563974669E-2</v>
      </c>
      <c r="AF28" s="20">
        <f ca="1">+AE28+AE28*Volatility!AE28*(-DriftSum!AF28*TimeStep+SQRT(TimeStep)*AF$49)</f>
        <v>5.2286946348782171E-2</v>
      </c>
      <c r="AG28" s="20">
        <f ca="1">+AF28+AF28*Volatility!AF28*(-DriftSum!AG28*TimeStep+SQRT(TimeStep)*AG$49)</f>
        <v>5.3188688250118139E-2</v>
      </c>
      <c r="AH28" s="20">
        <f ca="1">+AG28+AG28*Volatility!AG28*(-DriftSum!AH28*TimeStep+SQRT(TimeStep)*AH$49)</f>
        <v>5.4231063920353817E-2</v>
      </c>
      <c r="AI28" s="20">
        <f ca="1">+AH28+AH28*Volatility!AH28*(-DriftSum!AI28*TimeStep+SQRT(TimeStep)*AI$49)</f>
        <v>5.7783721320206413E-2</v>
      </c>
      <c r="AJ28" s="20">
        <f ca="1">+AI28+AI28*Volatility!AI28*(-DriftSum!AJ28*TimeStep+SQRT(TimeStep)*AJ$49)</f>
        <v>5.8596996096099849E-2</v>
      </c>
      <c r="AK28" s="20">
        <f ca="1">+AJ28+AJ28*Volatility!AJ28*(-DriftSum!AK28*TimeStep+SQRT(TimeStep)*AK$49)</f>
        <v>6.1400738484257693E-2</v>
      </c>
      <c r="AL28" s="20">
        <f ca="1">+AK28+AK28*Volatility!AK28*(-DriftSum!AL28*TimeStep+SQRT(TimeStep)*AL$49)</f>
        <v>6.2735676112287808E-2</v>
      </c>
      <c r="AM28" s="20">
        <f ca="1">+AL28+AL28*Volatility!AL28*(-DriftSum!AM28*TimeStep+SQRT(TimeStep)*AM$49)</f>
        <v>6.2285965028064438E-2</v>
      </c>
      <c r="AN28" s="20">
        <f ca="1">+AM28+AM28*Volatility!AM28*(-DriftSum!AN28*TimeStep+SQRT(TimeStep)*AN$49)</f>
        <v>5.7473761925870899E-2</v>
      </c>
      <c r="AO28" s="20">
        <f ca="1">+AN28+AN28*Volatility!AN28*(-DriftSum!AO28*TimeStep+SQRT(TimeStep)*AO$49)</f>
        <v>5.6148965116089994E-2</v>
      </c>
      <c r="AP28" s="20">
        <f ca="1">+AO28+AO28*Volatility!AO28*(-DriftSum!AP28*TimeStep+SQRT(TimeStep)*AP$49)</f>
        <v>5.3405140235102656E-2</v>
      </c>
      <c r="AQ28" s="20">
        <f ca="1">+AP28+AP28*Volatility!AP28*(-DriftSum!AQ28*TimeStep+SQRT(TimeStep)*AQ$49)</f>
        <v>5.4868702917920398E-2</v>
      </c>
      <c r="AR28" s="20">
        <f ca="1">+AQ28+AQ28*Volatility!AQ28*(-DriftSum!AR28*TimeStep+SQRT(TimeStep)*AR$49)</f>
        <v>5.6884234413331798E-2</v>
      </c>
      <c r="AS28" s="20">
        <f ca="1">+AR28+AR28*Volatility!AR28*(-DriftSum!AS28*TimeStep+SQRT(TimeStep)*AS$49)</f>
        <v>5.5346796822391381E-2</v>
      </c>
      <c r="AT28" s="20">
        <f ca="1">+AS28+AS28*Volatility!AS28*(-DriftSum!AT28*TimeStep+SQRT(TimeStep)*AT$49)</f>
        <v>5.4697691210222374E-2</v>
      </c>
      <c r="AU28" s="20">
        <f ca="1">+AT28+AT28*Volatility!AT28*(-DriftSum!AU28*TimeStep+SQRT(TimeStep)*AU$49)</f>
        <v>5.6536088850658403E-2</v>
      </c>
      <c r="AV28" s="20">
        <f ca="1">+AU28+AU28*Volatility!AU28*(-DriftSum!AV28*TimeStep+SQRT(TimeStep)*AV$49)</f>
        <v>5.6918266504103296E-2</v>
      </c>
      <c r="AW28" s="20">
        <f ca="1">+AV28+AV28*Volatility!AV28*(-DriftSum!AW28*TimeStep+SQRT(TimeStep)*AW$49)</f>
        <v>5.911608239329523E-2</v>
      </c>
      <c r="AX28" s="20">
        <f ca="1">+AW28+AW28*Volatility!AW28*(-DriftSum!AX28*TimeStep+SQRT(TimeStep)*AX$49)</f>
        <v>5.6739582328218935E-2</v>
      </c>
      <c r="AY28" s="20">
        <f ca="1">+AX28+AX28*Volatility!AX28*(-DriftSum!AY28*TimeStep+SQRT(TimeStep)*AY$49)</f>
        <v>5.8399539798607222E-2</v>
      </c>
      <c r="AZ28" s="20">
        <f ca="1">+AY28+AY28*Volatility!AY28*(-DriftSum!AZ28*TimeStep+SQRT(TimeStep)*AZ$49)</f>
        <v>5.9818126568342074E-2</v>
      </c>
      <c r="BA28" s="20">
        <f ca="1">+AZ28+AZ28*Volatility!AZ28*(-DriftSum!BA28*TimeStep+SQRT(TimeStep)*BA$49)</f>
        <v>6.365065108828788E-2</v>
      </c>
      <c r="BB28" s="20">
        <f ca="1">+BA28+BA28*Volatility!BA28*(-DriftSum!BB28*TimeStep+SQRT(TimeStep)*BB$49)</f>
        <v>6.4623711045007637E-2</v>
      </c>
      <c r="BC28" s="20">
        <f ca="1">+BB28+BB28*Volatility!BB28*(-DriftSum!BC28*TimeStep+SQRT(TimeStep)*BC$49)</f>
        <v>6.2030892576467794E-2</v>
      </c>
      <c r="BD28" s="20">
        <f ca="1">+BC28+BC28*Volatility!BC28*(-DriftSum!BD28*TimeStep+SQRT(TimeStep)*BD$49)</f>
        <v>6.1836189353303705E-2</v>
      </c>
      <c r="BE28" s="20">
        <f ca="1">+BD28+BD28*Volatility!BD28*(-DriftSum!BE28*TimeStep+SQRT(TimeStep)*BE$49)</f>
        <v>6.061791238497985E-2</v>
      </c>
      <c r="BF28" s="20">
        <f ca="1">+BE28+BE28*Volatility!BE28*(-DriftSum!BF28*TimeStep+SQRT(TimeStep)*BF$49)</f>
        <v>5.6703850552584721E-2</v>
      </c>
      <c r="BG28" s="20">
        <f ca="1">+BF28+BF28*Volatility!BF28*(-DriftSum!BG28*TimeStep+SQRT(TimeStep)*BG$49)</f>
        <v>6.0824134672337993E-2</v>
      </c>
      <c r="BH28" s="20">
        <f ca="1">+BG28+BG28*Volatility!BG28*(-DriftSum!BH28*TimeStep+SQRT(TimeStep)*BH$49)</f>
        <v>5.8783516584043821E-2</v>
      </c>
      <c r="BI28" s="20">
        <f ca="1">+BH28+BH28*Volatility!BH28*(-DriftSum!BI28*TimeStep+SQRT(TimeStep)*BI$49)</f>
        <v>5.3480816141949807E-2</v>
      </c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</row>
    <row r="29" spans="4:127" x14ac:dyDescent="0.2">
      <c r="D29" s="2">
        <f t="shared" si="2"/>
        <v>4.5</v>
      </c>
      <c r="E29" s="10">
        <f t="shared" si="3"/>
        <v>0.819320276499925</v>
      </c>
      <c r="F29" s="12" t="str">
        <f t="shared" si="4"/>
        <v>L(t;4.25,4.5)</v>
      </c>
      <c r="G29" s="19">
        <v>4.7812500000000001E-2</v>
      </c>
      <c r="H29" s="20">
        <f ca="1">+G29+G29*Volatility!G29*(-DriftSum!H29*TimeStep+SQRT(TimeStep)*H$49)</f>
        <v>4.9433241519229766E-2</v>
      </c>
      <c r="I29" s="20">
        <f ca="1">+H29+H29*Volatility!H29*(-DriftSum!I29*TimeStep+SQRT(TimeStep)*I$49)</f>
        <v>4.9530599745438809E-2</v>
      </c>
      <c r="J29" s="20">
        <f ca="1">+I29+I29*Volatility!I29*(-DriftSum!J29*TimeStep+SQRT(TimeStep)*J$49)</f>
        <v>4.7931044428118984E-2</v>
      </c>
      <c r="K29" s="20">
        <f ca="1">+J29+J29*Volatility!J29*(-DriftSum!K29*TimeStep+SQRT(TimeStep)*K$49)</f>
        <v>4.8464500079578685E-2</v>
      </c>
      <c r="L29" s="20">
        <f ca="1">+K29+K29*Volatility!K29*(-DriftSum!L29*TimeStep+SQRT(TimeStep)*L$49)</f>
        <v>4.6686354492588525E-2</v>
      </c>
      <c r="M29" s="20">
        <f ca="1">+L29+L29*Volatility!L29*(-DriftSum!M29*TimeStep+SQRT(TimeStep)*M$49)</f>
        <v>5.0351616864067417E-2</v>
      </c>
      <c r="N29" s="20">
        <f ca="1">+M29+M29*Volatility!M29*(-DriftSum!N29*TimeStep+SQRT(TimeStep)*N$49)</f>
        <v>4.9764970714965592E-2</v>
      </c>
      <c r="O29" s="20">
        <f ca="1">+N29+N29*Volatility!N29*(-DriftSum!O29*TimeStep+SQRT(TimeStep)*O$49)</f>
        <v>5.1930042730089832E-2</v>
      </c>
      <c r="P29" s="20">
        <f ca="1">+O29+O29*Volatility!O29*(-DriftSum!P29*TimeStep+SQRT(TimeStep)*P$49)</f>
        <v>5.0228622430608945E-2</v>
      </c>
      <c r="Q29" s="20">
        <f ca="1">+P29+P29*Volatility!P29*(-DriftSum!Q29*TimeStep+SQRT(TimeStep)*Q$49)</f>
        <v>5.0568007610705255E-2</v>
      </c>
      <c r="R29" s="20">
        <f ca="1">+Q29+Q29*Volatility!Q29*(-DriftSum!R29*TimeStep+SQRT(TimeStep)*R$49)</f>
        <v>5.2252204852965778E-2</v>
      </c>
      <c r="S29" s="20">
        <f ca="1">+R29+R29*Volatility!R29*(-DriftSum!S29*TimeStep+SQRT(TimeStep)*S$49)</f>
        <v>5.5563787688087098E-2</v>
      </c>
      <c r="T29" s="20">
        <f ca="1">+S29+S29*Volatility!S29*(-DriftSum!T29*TimeStep+SQRT(TimeStep)*T$49)</f>
        <v>5.4294340086738384E-2</v>
      </c>
      <c r="U29" s="20">
        <f ca="1">+T29+T29*Volatility!T29*(-DriftSum!U29*TimeStep+SQRT(TimeStep)*U$49)</f>
        <v>5.4116802670526036E-2</v>
      </c>
      <c r="V29" s="20">
        <f ca="1">+U29+U29*Volatility!U29*(-DriftSum!V29*TimeStep+SQRT(TimeStep)*V$49)</f>
        <v>5.2184384688481224E-2</v>
      </c>
      <c r="W29" s="20">
        <f ca="1">+V29+V29*Volatility!V29*(-DriftSum!W29*TimeStep+SQRT(TimeStep)*W$49)</f>
        <v>4.7601104826019168E-2</v>
      </c>
      <c r="X29" s="20">
        <f ca="1">+W29+W29*Volatility!W29*(-DriftSum!X29*TimeStep+SQRT(TimeStep)*X$49)</f>
        <v>4.8795664312945006E-2</v>
      </c>
      <c r="Y29" s="20">
        <f ca="1">+X29+X29*Volatility!X29*(-DriftSum!Y29*TimeStep+SQRT(TimeStep)*Y$49)</f>
        <v>4.7794881354668688E-2</v>
      </c>
      <c r="Z29" s="20">
        <f ca="1">+Y29+Y29*Volatility!Y29*(-DriftSum!Z29*TimeStep+SQRT(TimeStep)*Z$49)</f>
        <v>4.931022346507976E-2</v>
      </c>
      <c r="AA29" s="20">
        <f ca="1">+Z29+Z29*Volatility!Z29*(-DriftSum!AA29*TimeStep+SQRT(TimeStep)*AA$49)</f>
        <v>5.0539749511870707E-2</v>
      </c>
      <c r="AB29" s="20">
        <f ca="1">+AA29+AA29*Volatility!AA29*(-DriftSum!AB29*TimeStep+SQRT(TimeStep)*AB$49)</f>
        <v>5.0346630699474045E-2</v>
      </c>
      <c r="AC29" s="20">
        <f ca="1">+AB29+AB29*Volatility!AB29*(-DriftSum!AC29*TimeStep+SQRT(TimeStep)*AC$49)</f>
        <v>4.8929502665236484E-2</v>
      </c>
      <c r="AD29" s="20">
        <f ca="1">+AC29+AC29*Volatility!AC29*(-DriftSum!AD29*TimeStep+SQRT(TimeStep)*AD$49)</f>
        <v>4.8315063020425236E-2</v>
      </c>
      <c r="AE29" s="20">
        <f ca="1">+AD29+AD29*Volatility!AD29*(-DriftSum!AE29*TimeStep+SQRT(TimeStep)*AE$49)</f>
        <v>5.1636642187435147E-2</v>
      </c>
      <c r="AF29" s="20">
        <f ca="1">+AE29+AE29*Volatility!AE29*(-DriftSum!AF29*TimeStep+SQRT(TimeStep)*AF$49)</f>
        <v>5.1999502334522892E-2</v>
      </c>
      <c r="AG29" s="20">
        <f ca="1">+AF29+AF29*Volatility!AF29*(-DriftSum!AG29*TimeStep+SQRT(TimeStep)*AG$49)</f>
        <v>5.2915337790925776E-2</v>
      </c>
      <c r="AH29" s="20">
        <f ca="1">+AG29+AG29*Volatility!AG29*(-DriftSum!AH29*TimeStep+SQRT(TimeStep)*AH$49)</f>
        <v>5.3974510954996592E-2</v>
      </c>
      <c r="AI29" s="20">
        <f ca="1">+AH29+AH29*Volatility!AH29*(-DriftSum!AI29*TimeStep+SQRT(TimeStep)*AI$49)</f>
        <v>5.758841798239251E-2</v>
      </c>
      <c r="AJ29" s="20">
        <f ca="1">+AI29+AI29*Volatility!AI29*(-DriftSum!AJ29*TimeStep+SQRT(TimeStep)*AJ$49)</f>
        <v>5.8415835500268624E-2</v>
      </c>
      <c r="AK29" s="20">
        <f ca="1">+AJ29+AJ29*Volatility!AJ29*(-DriftSum!AK29*TimeStep+SQRT(TimeStep)*AK$49)</f>
        <v>6.1272195774976619E-2</v>
      </c>
      <c r="AL29" s="20">
        <f ca="1">+AK29+AK29*Volatility!AK29*(-DriftSum!AL29*TimeStep+SQRT(TimeStep)*AL$49)</f>
        <v>6.2632745685098065E-2</v>
      </c>
      <c r="AM29" s="20">
        <f ca="1">+AL29+AL29*Volatility!AL29*(-DriftSum!AM29*TimeStep+SQRT(TimeStep)*AM$49)</f>
        <v>6.2172241211427615E-2</v>
      </c>
      <c r="AN29" s="20">
        <f ca="1">+AM29+AM29*Volatility!AM29*(-DriftSum!AN29*TimeStep+SQRT(TimeStep)*AN$49)</f>
        <v>5.7259826864271987E-2</v>
      </c>
      <c r="AO29" s="20">
        <f ca="1">+AN29+AN29*Volatility!AN29*(-DriftSum!AO29*TimeStep+SQRT(TimeStep)*AO$49)</f>
        <v>5.5909171310969251E-2</v>
      </c>
      <c r="AP29" s="20">
        <f ca="1">+AO29+AO29*Volatility!AO29*(-DriftSum!AP29*TimeStep+SQRT(TimeStep)*AP$49)</f>
        <v>5.3114713824091254E-2</v>
      </c>
      <c r="AQ29" s="20">
        <f ca="1">+AP29+AP29*Volatility!AP29*(-DriftSum!AQ29*TimeStep+SQRT(TimeStep)*AQ$49)</f>
        <v>5.4601834951944879E-2</v>
      </c>
      <c r="AR29" s="20">
        <f ca="1">+AQ29+AQ29*Volatility!AQ29*(-DriftSum!AR29*TimeStep+SQRT(TimeStep)*AR$49)</f>
        <v>5.665133744831221E-2</v>
      </c>
      <c r="AS29" s="20">
        <f ca="1">+AR29+AR29*Volatility!AR29*(-DriftSum!AS29*TimeStep+SQRT(TimeStep)*AS$49)</f>
        <v>5.508469993918675E-2</v>
      </c>
      <c r="AT29" s="20">
        <f ca="1">+AS29+AS29*Volatility!AS29*(-DriftSum!AT29*TimeStep+SQRT(TimeStep)*AT$49)</f>
        <v>5.4423054683670903E-2</v>
      </c>
      <c r="AU29" s="20">
        <f ca="1">+AT29+AT29*Volatility!AT29*(-DriftSum!AU29*TimeStep+SQRT(TimeStep)*AU$49)</f>
        <v>5.6292050101095462E-2</v>
      </c>
      <c r="AV29" s="20">
        <f ca="1">+AU29+AU29*Volatility!AU29*(-DriftSum!AV29*TimeStep+SQRT(TimeStep)*AV$49)</f>
        <v>5.6679897140872362E-2</v>
      </c>
      <c r="AW29" s="20">
        <f ca="1">+AV29+AV29*Volatility!AV29*(-DriftSum!AW29*TimeStep+SQRT(TimeStep)*AW$49)</f>
        <v>5.8916290965705824E-2</v>
      </c>
      <c r="AX29" s="20">
        <f ca="1">+AW29+AW29*Volatility!AW29*(-DriftSum!AX29*TimeStep+SQRT(TimeStep)*AX$49)</f>
        <v>5.6493484554546877E-2</v>
      </c>
      <c r="AY29" s="20">
        <f ca="1">+AX29+AX29*Volatility!AX29*(-DriftSum!AY29*TimeStep+SQRT(TimeStep)*AY$49)</f>
        <v>5.8182035503141265E-2</v>
      </c>
      <c r="AZ29" s="20">
        <f ca="1">+AY29+AY29*Volatility!AY29*(-DriftSum!AZ29*TimeStep+SQRT(TimeStep)*AZ$49)</f>
        <v>5.9625699164124871E-2</v>
      </c>
      <c r="BA29" s="20">
        <f ca="1">+AZ29+AZ29*Volatility!AZ29*(-DriftSum!BA29*TimeStep+SQRT(TimeStep)*BA$49)</f>
        <v>6.3530077690623091E-2</v>
      </c>
      <c r="BB29" s="20">
        <f ca="1">+BA29+BA29*Volatility!BA29*(-DriftSum!BB29*TimeStep+SQRT(TimeStep)*BB$49)</f>
        <v>6.4521515703412913E-2</v>
      </c>
      <c r="BC29" s="20">
        <f ca="1">+BB29+BB29*Volatility!BB29*(-DriftSum!BC29*TimeStep+SQRT(TimeStep)*BC$49)</f>
        <v>6.187327176479996E-2</v>
      </c>
      <c r="BD29" s="20">
        <f ca="1">+BC29+BC29*Volatility!BC29*(-DriftSum!BD29*TimeStep+SQRT(TimeStep)*BD$49)</f>
        <v>6.1673269852695396E-2</v>
      </c>
      <c r="BE29" s="20">
        <f ca="1">+BD29+BD29*Volatility!BD29*(-DriftSum!BE29*TimeStep+SQRT(TimeStep)*BE$49)</f>
        <v>6.0429563322338599E-2</v>
      </c>
      <c r="BF29" s="20">
        <f ca="1">+BE29+BE29*Volatility!BE29*(-DriftSum!BF29*TimeStep+SQRT(TimeStep)*BF$49)</f>
        <v>5.643892702481116E-2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</row>
    <row r="30" spans="4:127" x14ac:dyDescent="0.2">
      <c r="D30" s="2">
        <f t="shared" si="2"/>
        <v>4.25</v>
      </c>
      <c r="E30" s="10">
        <f t="shared" si="3"/>
        <v>0.82911371417996316</v>
      </c>
      <c r="F30" s="12" t="str">
        <f t="shared" si="4"/>
        <v>L(t;4,4.25)</v>
      </c>
      <c r="G30" s="19">
        <v>4.7500000000000001E-2</v>
      </c>
      <c r="H30" s="20">
        <f ca="1">+G30+G30*Volatility!G30*(-DriftSum!H30*TimeStep+SQRT(TimeStep)*H$49)</f>
        <v>4.914505845737601E-2</v>
      </c>
      <c r="I30" s="20">
        <f ca="1">+H30+H30*Volatility!H30*(-DriftSum!I30*TimeStep+SQRT(TimeStep)*I$49)</f>
        <v>4.9243039099442783E-2</v>
      </c>
      <c r="J30" s="20">
        <f ca="1">+I30+I30*Volatility!I30*(-DriftSum!J30*TimeStep+SQRT(TimeStep)*J$49)</f>
        <v>4.7616984266198599E-2</v>
      </c>
      <c r="K30" s="20">
        <f ca="1">+J30+J30*Volatility!J30*(-DriftSum!K30*TimeStep+SQRT(TimeStep)*K$49)</f>
        <v>4.8157648325000559E-2</v>
      </c>
      <c r="L30" s="20">
        <f ca="1">+K30+K30*Volatility!K30*(-DriftSum!L30*TimeStep+SQRT(TimeStep)*L$49)</f>
        <v>4.635114862109533E-2</v>
      </c>
      <c r="M30" s="20">
        <f ca="1">+L30+L30*Volatility!L30*(-DriftSum!M30*TimeStep+SQRT(TimeStep)*M$49)</f>
        <v>5.0068924816795056E-2</v>
      </c>
      <c r="N30" s="20">
        <f ca="1">+M30+M30*Volatility!M30*(-DriftSum!N30*TimeStep+SQRT(TimeStep)*N$49)</f>
        <v>4.947180332016881E-2</v>
      </c>
      <c r="O30" s="20">
        <f ca="1">+N30+N30*Volatility!N30*(-DriftSum!O30*TimeStep+SQRT(TimeStep)*O$49)</f>
        <v>5.1670280180531721E-2</v>
      </c>
      <c r="P30" s="20">
        <f ca="1">+O30+O30*Volatility!O30*(-DriftSum!P30*TimeStep+SQRT(TimeStep)*P$49)</f>
        <v>4.9939241214997335E-2</v>
      </c>
      <c r="Q30" s="20">
        <f ca="1">+P30+P30*Volatility!P30*(-DriftSum!Q30*TimeStep+SQRT(TimeStep)*Q$49)</f>
        <v>5.0283070200748098E-2</v>
      </c>
      <c r="R30" s="20">
        <f ca="1">+Q30+Q30*Volatility!Q30*(-DriftSum!R30*TimeStep+SQRT(TimeStep)*R$49)</f>
        <v>5.1993446513977394E-2</v>
      </c>
      <c r="S30" s="20">
        <f ca="1">+R30+R30*Volatility!R30*(-DriftSum!S30*TimeStep+SQRT(TimeStep)*S$49)</f>
        <v>5.5359715772201848E-2</v>
      </c>
      <c r="T30" s="20">
        <f ca="1">+S30+S30*Volatility!S30*(-DriftSum!T30*TimeStep+SQRT(TimeStep)*T$49)</f>
        <v>5.406602223091167E-2</v>
      </c>
      <c r="U30" s="20">
        <f ca="1">+T30+T30*Volatility!T30*(-DriftSum!U30*TimeStep+SQRT(TimeStep)*U$49)</f>
        <v>5.388420280020844E-2</v>
      </c>
      <c r="V30" s="20">
        <f ca="1">+U30+U30*Volatility!U30*(-DriftSum!V30*TimeStep+SQRT(TimeStep)*V$49)</f>
        <v>5.1916807067467277E-2</v>
      </c>
      <c r="W30" s="20">
        <f ca="1">+V30+V30*Volatility!V30*(-DriftSum!W30*TimeStep+SQRT(TimeStep)*W$49)</f>
        <v>4.7256110363290485E-2</v>
      </c>
      <c r="X30" s="20">
        <f ca="1">+W30+W30*Volatility!W30*(-DriftSum!X30*TimeStep+SQRT(TimeStep)*X$49)</f>
        <v>4.8467092526240499E-2</v>
      </c>
      <c r="Y30" s="20">
        <f ca="1">+X30+X30*Volatility!X30*(-DriftSum!Y30*TimeStep+SQRT(TimeStep)*Y$49)</f>
        <v>4.74503474595813E-2</v>
      </c>
      <c r="Z30" s="20">
        <f ca="1">+Y30+Y30*Volatility!Y30*(-DriftSum!Z30*TimeStep+SQRT(TimeStep)*Z$49)</f>
        <v>4.8986814049109262E-2</v>
      </c>
      <c r="AA30" s="20">
        <f ca="1">+Z30+Z30*Volatility!Z30*(-DriftSum!AA30*TimeStep+SQRT(TimeStep)*AA$49)</f>
        <v>5.0234069924903917E-2</v>
      </c>
      <c r="AB30" s="20">
        <f ca="1">+AA30+AA30*Volatility!AA30*(-DriftSum!AB30*TimeStep+SQRT(TimeStep)*AB$49)</f>
        <v>5.0036914040262961E-2</v>
      </c>
      <c r="AC30" s="20">
        <f ca="1">+AB30+AB30*Volatility!AB30*(-DriftSum!AC30*TimeStep+SQRT(TimeStep)*AC$49)</f>
        <v>4.8596668517192666E-2</v>
      </c>
      <c r="AD30" s="20">
        <f ca="1">+AC30+AC30*Volatility!AC30*(-DriftSum!AD30*TimeStep+SQRT(TimeStep)*AD$49)</f>
        <v>4.7972106477689069E-2</v>
      </c>
      <c r="AE30" s="20">
        <f ca="1">+AD30+AD30*Volatility!AD30*(-DriftSum!AE30*TimeStep+SQRT(TimeStep)*AE$49)</f>
        <v>5.1341411879642834E-2</v>
      </c>
      <c r="AF30" s="20">
        <f ca="1">+AE30+AE30*Volatility!AE30*(-DriftSum!AF30*TimeStep+SQRT(TimeStep)*AF$49)</f>
        <v>5.1709051968090523E-2</v>
      </c>
      <c r="AG30" s="20">
        <f ca="1">+AF30+AF30*Volatility!AF30*(-DriftSum!AG30*TimeStep+SQRT(TimeStep)*AG$49)</f>
        <v>5.2638654042333123E-2</v>
      </c>
      <c r="AH30" s="20">
        <f ca="1">+AG30+AG30*Volatility!AG30*(-DriftSum!AH30*TimeStep+SQRT(TimeStep)*AH$49)</f>
        <v>5.3714262834650736E-2</v>
      </c>
      <c r="AI30" s="20">
        <f ca="1">+AH30+AH30*Volatility!AH30*(-DriftSum!AI30*TimeStep+SQRT(TimeStep)*AI$49)</f>
        <v>5.7388356768335529E-2</v>
      </c>
      <c r="AJ30" s="20">
        <f ca="1">+AI30+AI30*Volatility!AI30*(-DriftSum!AJ30*TimeStep+SQRT(TimeStep)*AJ$49)</f>
        <v>5.8229653697283723E-2</v>
      </c>
      <c r="AK30" s="20">
        <f ca="1">+AJ30+AJ30*Volatility!AJ30*(-DriftSum!AK30*TimeStep+SQRT(TimeStep)*AK$49)</f>
        <v>6.1137919287690252E-2</v>
      </c>
      <c r="AL30" s="20">
        <f ca="1">+AK30+AK30*Volatility!AK30*(-DriftSum!AL30*TimeStep+SQRT(TimeStep)*AL$49)</f>
        <v>6.2523741081715101E-2</v>
      </c>
      <c r="AM30" s="20">
        <f ca="1">+AL30+AL30*Volatility!AL30*(-DriftSum!AM30*TimeStep+SQRT(TimeStep)*AM$49)</f>
        <v>6.2052430912158972E-2</v>
      </c>
      <c r="AN30" s="20">
        <f ca="1">+AM30+AM30*Volatility!AM30*(-DriftSum!AN30*TimeStep+SQRT(TimeStep)*AN$49)</f>
        <v>5.704060134035685E-2</v>
      </c>
      <c r="AO30" s="20">
        <f ca="1">+AN30+AN30*Volatility!AN30*(-DriftSum!AO30*TimeStep+SQRT(TimeStep)*AO$49)</f>
        <v>5.5664367083000828E-2</v>
      </c>
      <c r="AP30" s="20">
        <f ca="1">+AO30+AO30*Volatility!AO30*(-DriftSum!AP30*TimeStep+SQRT(TimeStep)*AP$49)</f>
        <v>5.2819994441636119E-2</v>
      </c>
      <c r="AQ30" s="20">
        <f ca="1">+AP30+AP30*Volatility!AP30*(-DriftSum!AQ30*TimeStep+SQRT(TimeStep)*AQ$49)</f>
        <v>5.4330141586596575E-2</v>
      </c>
      <c r="AR30" s="20">
        <f ca="1">+AQ30+AQ30*Volatility!AQ30*(-DriftSum!AR30*TimeStep+SQRT(TimeStep)*AR$49)</f>
        <v>5.6412932848960484E-2</v>
      </c>
      <c r="AS30" s="20">
        <f ca="1">+AR30+AR30*Volatility!AR30*(-DriftSum!AS30*TimeStep+SQRT(TimeStep)*AS$49)</f>
        <v>5.4817467442626354E-2</v>
      </c>
      <c r="AT30" s="20">
        <f ca="1">+AS30+AS30*Volatility!AS30*(-DriftSum!AT30*TimeStep+SQRT(TimeStep)*AT$49)</f>
        <v>5.4143423541111887E-2</v>
      </c>
      <c r="AU30" s="20">
        <f ca="1">+AT30+AT30*Volatility!AT30*(-DriftSum!AU30*TimeStep+SQRT(TimeStep)*AU$49)</f>
        <v>5.6042370864404674E-2</v>
      </c>
      <c r="AV30" s="20">
        <f ca="1">+AU30+AU30*Volatility!AU30*(-DriftSum!AV30*TimeStep+SQRT(TimeStep)*AV$49)</f>
        <v>5.6435709880514141E-2</v>
      </c>
      <c r="AW30" s="20">
        <f ca="1">+AV30+AV30*Volatility!AV30*(-DriftSum!AW30*TimeStep+SQRT(TimeStep)*AW$49)</f>
        <v>5.8709969745929166E-2</v>
      </c>
      <c r="AX30" s="20">
        <f ca="1">+AW30+AW30*Volatility!AW30*(-DriftSum!AX30*TimeStep+SQRT(TimeStep)*AX$49)</f>
        <v>5.6241417404927559E-2</v>
      </c>
      <c r="AY30" s="20">
        <f ca="1">+AX30+AX30*Volatility!AX30*(-DriftSum!AY30*TimeStep+SQRT(TimeStep)*AY$49)</f>
        <v>5.7957992924978906E-2</v>
      </c>
      <c r="AZ30" s="20">
        <f ca="1">+AY30+AY30*Volatility!AY30*(-DriftSum!AZ30*TimeStep+SQRT(TimeStep)*AZ$49)</f>
        <v>5.9426260662661171E-2</v>
      </c>
      <c r="BA30" s="20">
        <f ca="1">+AZ30+AZ30*Volatility!AZ30*(-DriftSum!BA30*TimeStep+SQRT(TimeStep)*BA$49)</f>
        <v>6.3401395966378268E-2</v>
      </c>
      <c r="BB30" s="20">
        <f ca="1">+BA30+BA30*Volatility!BA30*(-DriftSum!BB30*TimeStep+SQRT(TimeStep)*BB$49)</f>
        <v>6.4410907826907268E-2</v>
      </c>
      <c r="BC30" s="20">
        <f ca="1">+BB30+BB30*Volatility!BB30*(-DriftSum!BC30*TimeStep+SQRT(TimeStep)*BC$49)</f>
        <v>6.1707678123414364E-2</v>
      </c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</row>
    <row r="31" spans="4:127" x14ac:dyDescent="0.2">
      <c r="D31" s="2">
        <f t="shared" si="2"/>
        <v>4</v>
      </c>
      <c r="E31" s="10">
        <f t="shared" si="3"/>
        <v>0.83895943953585028</v>
      </c>
      <c r="F31" s="12" t="str">
        <f t="shared" si="4"/>
        <v>L(t;3.75,4)</v>
      </c>
      <c r="G31" s="19">
        <v>4.71875E-2</v>
      </c>
      <c r="H31" s="20">
        <f ca="1">+G31+G31*Volatility!G31*(-DriftSum!H31*TimeStep+SQRT(TimeStep)*H$49)</f>
        <v>4.8856364620566667E-2</v>
      </c>
      <c r="I31" s="20">
        <f ca="1">+H31+H31*Volatility!H31*(-DriftSum!I31*TimeStep+SQRT(TimeStep)*I$49)</f>
        <v>4.8954896612731148E-2</v>
      </c>
      <c r="J31" s="20">
        <f ca="1">+I31+I31*Volatility!I31*(-DriftSum!J31*TimeStep+SQRT(TimeStep)*J$49)</f>
        <v>4.7302723160269747E-2</v>
      </c>
      <c r="K31" s="20">
        <f ca="1">+J31+J31*Volatility!J31*(-DriftSum!K31*TimeStep+SQRT(TimeStep)*K$49)</f>
        <v>4.785039976467894E-2</v>
      </c>
      <c r="L31" s="20">
        <f ca="1">+K31+K31*Volatility!K31*(-DriftSum!L31*TimeStep+SQRT(TimeStep)*L$49)</f>
        <v>4.6016012223441614E-2</v>
      </c>
      <c r="M31" s="20">
        <f ca="1">+L31+L31*Volatility!L31*(-DriftSum!M31*TimeStep+SQRT(TimeStep)*M$49)</f>
        <v>4.9785118694280719E-2</v>
      </c>
      <c r="N31" s="20">
        <f ca="1">+M31+M31*Volatility!M31*(-DriftSum!N31*TimeStep+SQRT(TimeStep)*N$49)</f>
        <v>4.9177632129020113E-2</v>
      </c>
      <c r="O31" s="20">
        <f ca="1">+N31+N31*Volatility!N31*(-DriftSum!O31*TimeStep+SQRT(TimeStep)*O$49)</f>
        <v>5.140886408136304E-2</v>
      </c>
      <c r="P31" s="20">
        <f ca="1">+O31+O31*Volatility!O31*(-DriftSum!P31*TimeStep+SQRT(TimeStep)*P$49)</f>
        <v>4.9648583185630341E-2</v>
      </c>
      <c r="Q31" s="20">
        <f ca="1">+P31+P31*Volatility!P31*(-DriftSum!Q31*TimeStep+SQRT(TimeStep)*Q$49)</f>
        <v>4.9996714518332513E-2</v>
      </c>
      <c r="R31" s="20">
        <f ca="1">+Q31+Q31*Volatility!Q31*(-DriftSum!R31*TimeStep+SQRT(TimeStep)*R$49)</f>
        <v>5.1732757129628805E-2</v>
      </c>
      <c r="S31" s="20">
        <f ca="1">+R31+R31*Volatility!R31*(-DriftSum!S31*TimeStep+SQRT(TimeStep)*S$49)</f>
        <v>5.5152813493434767E-2</v>
      </c>
      <c r="T31" s="20">
        <f ca="1">+S31+S31*Volatility!S31*(-DriftSum!T31*TimeStep+SQRT(TimeStep)*T$49)</f>
        <v>5.3835080553830267E-2</v>
      </c>
      <c r="U31" s="20">
        <f ca="1">+T31+T31*Volatility!T31*(-DriftSum!U31*TimeStep+SQRT(TimeStep)*U$49)</f>
        <v>5.3648960478827883E-2</v>
      </c>
      <c r="V31" s="20">
        <f ca="1">+U31+U31*Volatility!U31*(-DriftSum!V31*TimeStep+SQRT(TimeStep)*V$49)</f>
        <v>5.1646989687826501E-2</v>
      </c>
      <c r="W31" s="20">
        <f ca="1">+V31+V31*Volatility!V31*(-DriftSum!W31*TimeStep+SQRT(TimeStep)*W$49)</f>
        <v>4.6910058097253814E-2</v>
      </c>
      <c r="X31" s="20">
        <f ca="1">+W31+W31*Volatility!W31*(-DriftSum!X31*TimeStep+SQRT(TimeStep)*X$49)</f>
        <v>4.813701814794568E-2</v>
      </c>
      <c r="Y31" s="20">
        <f ca="1">+X31+X31*Volatility!X31*(-DriftSum!Y31*TimeStep+SQRT(TimeStep)*Y$49)</f>
        <v>4.7104596950323735E-2</v>
      </c>
      <c r="Z31" s="20">
        <f ca="1">+Y31+Y31*Volatility!Y31*(-DriftSum!Z31*TimeStep+SQRT(TimeStep)*Z$49)</f>
        <v>4.8661631033631671E-2</v>
      </c>
      <c r="AA31" s="20">
        <f ca="1">+Z31+Z31*Volatility!Z31*(-DriftSum!AA31*TimeStep+SQRT(TimeStep)*AA$49)</f>
        <v>4.9926174695702832E-2</v>
      </c>
      <c r="AB31" s="20">
        <f ca="1">+AA31+AA31*Volatility!AA31*(-DriftSum!AB31*TimeStep+SQRT(TimeStep)*AB$49)</f>
        <v>4.9724995277605641E-2</v>
      </c>
      <c r="AC31" s="20">
        <f ca="1">+AB31+AB31*Volatility!AB31*(-DriftSum!AC31*TimeStep+SQRT(TimeStep)*AC$49)</f>
        <v>4.8262032985330501E-2</v>
      </c>
      <c r="AD31" s="20">
        <f ca="1">+AC31+AC31*Volatility!AC31*(-DriftSum!AD31*TimeStep+SQRT(TimeStep)*AD$49)</f>
        <v>4.7627513876991358E-2</v>
      </c>
      <c r="AE31" s="20">
        <f ca="1">+AD31+AD31*Volatility!AD31*(-DriftSum!AE31*TimeStep+SQRT(TimeStep)*AE$49)</f>
        <v>5.1043356053199949E-2</v>
      </c>
      <c r="AF31" s="20">
        <f ca="1">+AE31+AE31*Volatility!AE31*(-DriftSum!AF31*TimeStep+SQRT(TimeStep)*AF$49)</f>
        <v>5.1415614949714208E-2</v>
      </c>
      <c r="AG31" s="20">
        <f ca="1">+AF31+AF31*Volatility!AF31*(-DriftSum!AG31*TimeStep+SQRT(TimeStep)*AG$49)</f>
        <v>5.2358654020111486E-2</v>
      </c>
      <c r="AH31" s="20">
        <f ca="1">+AG31+AG31*Volatility!AG31*(-DriftSum!AH31*TimeStep+SQRT(TimeStep)*AH$49)</f>
        <v>5.3450332911201409E-2</v>
      </c>
      <c r="AI31" s="20">
        <f ca="1">+AH31+AH31*Volatility!AH31*(-DriftSum!AI31*TimeStep+SQRT(TimeStep)*AI$49)</f>
        <v>5.7183535986103838E-2</v>
      </c>
      <c r="AJ31" s="20">
        <f ca="1">+AI31+AI31*Volatility!AI31*(-DriftSum!AJ31*TimeStep+SQRT(TimeStep)*AJ$49)</f>
        <v>5.803844438046897E-2</v>
      </c>
      <c r="AK31" s="20">
        <f ca="1">+AJ31+AJ31*Volatility!AJ31*(-DriftSum!AK31*TimeStep+SQRT(TimeStep)*AK$49)</f>
        <v>6.0997886072779978E-2</v>
      </c>
      <c r="AL31" s="20">
        <f ca="1">+AK31+AK31*Volatility!AK31*(-DriftSum!AL31*TimeStep+SQRT(TimeStep)*AL$49)</f>
        <v>6.2408629871807467E-2</v>
      </c>
      <c r="AM31" s="20">
        <f ca="1">+AL31+AL31*Volatility!AL31*(-DriftSum!AM31*TimeStep+SQRT(TimeStep)*AM$49)</f>
        <v>6.1926504091745153E-2</v>
      </c>
      <c r="AN31" s="20">
        <f ca="1">+AM31+AM31*Volatility!AM31*(-DriftSum!AN31*TimeStep+SQRT(TimeStep)*AN$49)</f>
        <v>5.6816088693856522E-2</v>
      </c>
      <c r="AO31" s="20">
        <f ca="1">+AN31+AN31*Volatility!AN31*(-DriftSum!AO31*TimeStep+SQRT(TimeStep)*AO$49)</f>
        <v>5.5414563967401603E-2</v>
      </c>
      <c r="AP31" s="20">
        <f ca="1">+AO31+AO31*Volatility!AO31*(-DriftSum!AP31*TimeStep+SQRT(TimeStep)*AP$49)</f>
        <v>5.252100972232536E-2</v>
      </c>
      <c r="AQ31" s="20">
        <f ca="1">+AP31+AP31*Volatility!AP31*(-DriftSum!AQ31*TimeStep+SQRT(TimeStep)*AQ$49)</f>
        <v>5.4053643907500934E-2</v>
      </c>
      <c r="AR31" s="20">
        <f ca="1">+AQ31+AQ31*Volatility!AQ31*(-DriftSum!AR31*TimeStep+SQRT(TimeStep)*AR$49)</f>
        <v>5.6169031051954352E-2</v>
      </c>
      <c r="AS31" s="20">
        <f ca="1">+AR31+AR31*Volatility!AR31*(-DriftSum!AS31*TimeStep+SQRT(TimeStep)*AS$49)</f>
        <v>5.4545119708346024E-2</v>
      </c>
      <c r="AT31" s="20">
        <f ca="1">+AS31+AS31*Volatility!AS31*(-DriftSum!AT31*TimeStep+SQRT(TimeStep)*AT$49)</f>
        <v>5.3858822368448286E-2</v>
      </c>
      <c r="AU31" s="20">
        <f ca="1">+AT31+AT31*Volatility!AT31*(-DriftSum!AU31*TimeStep+SQRT(TimeStep)*AU$49)</f>
        <v>5.5787065827237359E-2</v>
      </c>
      <c r="AV31" s="20">
        <f ca="1">+AU31+AU31*Volatility!AU31*(-DriftSum!AV31*TimeStep+SQRT(TimeStep)*AV$49)</f>
        <v>5.6185717286356004E-2</v>
      </c>
      <c r="AW31" s="20">
        <f ca="1">+AV31+AV31*Volatility!AV31*(-DriftSum!AW31*TimeStep+SQRT(TimeStep)*AW$49)</f>
        <v>5.8497117030982121E-2</v>
      </c>
      <c r="AX31" s="20">
        <f ca="1">+AW31+AW31*Volatility!AW31*(-DriftSum!AX31*TimeStep+SQRT(TimeStep)*AX$49)</f>
        <v>5.5983396948537288E-2</v>
      </c>
      <c r="AY31" s="20">
        <f ca="1">+AX31+AX31*Volatility!AX31*(-DriftSum!AY31*TimeStep+SQRT(TimeStep)*AY$49)</f>
        <v>5.7727417275963436E-2</v>
      </c>
      <c r="AZ31" s="20">
        <f ca="1">+AY31+AY31*Volatility!AY31*(-DriftSum!AZ31*TimeStep+SQRT(TimeStep)*AZ$49)</f>
        <v>5.9219805947932441E-2</v>
      </c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</row>
    <row r="32" spans="4:127" x14ac:dyDescent="0.2">
      <c r="D32" s="2">
        <f t="shared" si="2"/>
        <v>3.75</v>
      </c>
      <c r="E32" s="10">
        <f t="shared" si="3"/>
        <v>0.84885653917412474</v>
      </c>
      <c r="F32" s="12" t="str">
        <f t="shared" si="4"/>
        <v>L(t;3.5,3.75)</v>
      </c>
      <c r="G32" s="19">
        <v>4.6875E-2</v>
      </c>
      <c r="H32" s="20">
        <f ca="1">+G32+G32*Volatility!G32*(-DriftSum!H32*TimeStep+SQRT(TimeStep)*H$49)</f>
        <v>4.8567160413440912E-2</v>
      </c>
      <c r="I32" s="20">
        <f ca="1">+H32+H32*Volatility!H32*(-DriftSum!I32*TimeStep+SQRT(TimeStep)*I$49)</f>
        <v>4.8666172930273546E-2</v>
      </c>
      <c r="J32" s="20">
        <f ca="1">+I32+I32*Volatility!I32*(-DriftSum!J32*TimeStep+SQRT(TimeStep)*J$49)</f>
        <v>4.6988263285886699E-2</v>
      </c>
      <c r="K32" s="20">
        <f ca="1">+J32+J32*Volatility!J32*(-DriftSum!K32*TimeStep+SQRT(TimeStep)*K$49)</f>
        <v>4.7542756902591098E-2</v>
      </c>
      <c r="L32" s="20">
        <f ca="1">+K32+K32*Volatility!K32*(-DriftSum!L32*TimeStep+SQRT(TimeStep)*L$49)</f>
        <v>4.568094908340678E-2</v>
      </c>
      <c r="M32" s="20">
        <f ca="1">+L32+L32*Volatility!L32*(-DriftSum!M32*TimeStep+SQRT(TimeStep)*M$49)</f>
        <v>4.9500203502547219E-2</v>
      </c>
      <c r="N32" s="20">
        <f ca="1">+M32+M32*Volatility!M32*(-DriftSum!N32*TimeStep+SQRT(TimeStep)*N$49)</f>
        <v>4.888246326066762E-2</v>
      </c>
      <c r="O32" s="20">
        <f ca="1">+N32+N32*Volatility!N32*(-DriftSum!O32*TimeStep+SQRT(TimeStep)*O$49)</f>
        <v>5.114579834642341E-2</v>
      </c>
      <c r="P32" s="20">
        <f ca="1">+O32+O32*Volatility!O32*(-DriftSum!P32*TimeStep+SQRT(TimeStep)*P$49)</f>
        <v>4.9356655889122587E-2</v>
      </c>
      <c r="Q32" s="20">
        <f ca="1">+P32+P32*Volatility!P32*(-DriftSum!Q32*TimeStep+SQRT(TimeStep)*Q$49)</f>
        <v>4.9708947972655286E-2</v>
      </c>
      <c r="R32" s="20">
        <f ca="1">+Q32+Q32*Volatility!Q32*(-DriftSum!R32*TimeStep+SQRT(TimeStep)*R$49)</f>
        <v>5.1470141626098871E-2</v>
      </c>
      <c r="S32" s="20">
        <f ca="1">+R32+R32*Volatility!R32*(-DriftSum!S32*TimeStep+SQRT(TimeStep)*S$49)</f>
        <v>5.4943078293262684E-2</v>
      </c>
      <c r="T32" s="20">
        <f ca="1">+S32+S32*Volatility!S32*(-DriftSum!T32*TimeStep+SQRT(TimeStep)*T$49)</f>
        <v>5.3601516697971946E-2</v>
      </c>
      <c r="U32" s="20">
        <f ca="1">+T32+T32*Volatility!T32*(-DriftSum!U32*TimeStep+SQRT(TimeStep)*U$49)</f>
        <v>5.3411077963609201E-2</v>
      </c>
      <c r="V32" s="20">
        <f ca="1">+U32+U32*Volatility!U32*(-DriftSum!V32*TimeStep+SQRT(TimeStep)*V$49)</f>
        <v>5.1374941008664118E-2</v>
      </c>
      <c r="W32" s="20">
        <f ca="1">+V32+V32*Volatility!V32*(-DriftSum!W32*TimeStep+SQRT(TimeStep)*W$49)</f>
        <v>4.6562968919903774E-2</v>
      </c>
      <c r="X32" s="20">
        <f ca="1">+W32+W32*Volatility!W32*(-DriftSum!X32*TimeStep+SQRT(TimeStep)*X$49)</f>
        <v>4.7805461561838812E-2</v>
      </c>
      <c r="Y32" s="20">
        <f ca="1">+X32+X32*Volatility!X32*(-DriftSum!Y32*TimeStep+SQRT(TimeStep)*Y$49)</f>
        <v>4.675765240952718E-2</v>
      </c>
      <c r="Z32" s="20">
        <f ca="1">+Y32+Y32*Volatility!Y32*(-DriftSum!Z32*TimeStep+SQRT(TimeStep)*Z$49)</f>
        <v>4.833469591628186E-2</v>
      </c>
      <c r="AA32" s="20">
        <f ca="1">+Z32+Z32*Volatility!Z32*(-DriftSum!AA32*TimeStep+SQRT(TimeStep)*AA$49)</f>
        <v>4.961608359822163E-2</v>
      </c>
      <c r="AB32" s="20">
        <f ca="1">+AA32+AA32*Volatility!AA32*(-DriftSum!AB32*TimeStep+SQRT(TimeStep)*AB$49)</f>
        <v>4.9410895199800256E-2</v>
      </c>
      <c r="AC32" s="20">
        <f ca="1">+AB32+AB32*Volatility!AB32*(-DriftSum!AC32*TimeStep+SQRT(TimeStep)*AC$49)</f>
        <v>4.7925620868117524E-2</v>
      </c>
      <c r="AD32" s="20">
        <f ca="1">+AC32+AC32*Volatility!AC32*(-DriftSum!AD32*TimeStep+SQRT(TimeStep)*AD$49)</f>
        <v>4.7281311836142793E-2</v>
      </c>
      <c r="AE32" s="20">
        <f ca="1">+AD32+AD32*Volatility!AD32*(-DriftSum!AE32*TimeStep+SQRT(TimeStep)*AE$49)</f>
        <v>5.0742496595292091E-2</v>
      </c>
      <c r="AF32" s="20">
        <f ca="1">+AE32+AE32*Volatility!AE32*(-DriftSum!AF32*TimeStep+SQRT(TimeStep)*AF$49)</f>
        <v>5.1119212544775285E-2</v>
      </c>
      <c r="AG32" s="20">
        <f ca="1">+AF32+AF32*Volatility!AF32*(-DriftSum!AG32*TimeStep+SQRT(TimeStep)*AG$49)</f>
        <v>5.2075356433799638E-2</v>
      </c>
      <c r="AH32" s="20">
        <f ca="1">+AG32+AG32*Volatility!AG32*(-DriftSum!AH32*TimeStep+SQRT(TimeStep)*AH$49)</f>
        <v>5.3182736369086533E-2</v>
      </c>
      <c r="AI32" s="20">
        <f ca="1">+AH32+AH32*Volatility!AH32*(-DriftSum!AI32*TimeStep+SQRT(TimeStep)*AI$49)</f>
        <v>5.6973956062670889E-2</v>
      </c>
      <c r="AJ32" s="20">
        <f ca="1">+AI32+AI32*Volatility!AI32*(-DriftSum!AJ32*TimeStep+SQRT(TimeStep)*AJ$49)</f>
        <v>5.7842203482785716E-2</v>
      </c>
      <c r="AK32" s="20">
        <f ca="1">+AJ32+AJ32*Volatility!AJ32*(-DriftSum!AK32*TimeStep+SQRT(TimeStep)*AK$49)</f>
        <v>6.0852075603687453E-2</v>
      </c>
      <c r="AL32" s="20">
        <f ca="1">+AK32+AK32*Volatility!AK32*(-DriftSum!AL32*TimeStep+SQRT(TimeStep)*AL$49)</f>
        <v>6.2287382162903686E-2</v>
      </c>
      <c r="AM32" s="20">
        <f ca="1">+AL32+AL32*Volatility!AL32*(-DriftSum!AM32*TimeStep+SQRT(TimeStep)*AM$49)</f>
        <v>6.179443335652661E-2</v>
      </c>
      <c r="AN32" s="20">
        <f ca="1">+AM32+AM32*Volatility!AM32*(-DriftSum!AN32*TimeStep+SQRT(TimeStep)*AN$49)</f>
        <v>5.6586295001334004E-2</v>
      </c>
      <c r="AO32" s="20">
        <f ca="1">+AN32+AN32*Volatility!AN32*(-DriftSum!AO32*TimeStep+SQRT(TimeStep)*AO$49)</f>
        <v>5.5159776258041866E-2</v>
      </c>
      <c r="AP32" s="20">
        <f ca="1">+AO32+AO32*Volatility!AO32*(-DriftSum!AP32*TimeStep+SQRT(TimeStep)*AP$49)</f>
        <v>5.2217789955511393E-2</v>
      </c>
      <c r="AQ32" s="20">
        <f ca="1">+AP32+AP32*Volatility!AP32*(-DriftSum!AQ32*TimeStep+SQRT(TimeStep)*AQ$49)</f>
        <v>5.3772365885183041E-2</v>
      </c>
      <c r="AR32" s="20">
        <f ca="1">+AQ32+AQ32*Volatility!AQ32*(-DriftSum!AR32*TimeStep+SQRT(TimeStep)*AR$49)</f>
        <v>5.591964565401001E-2</v>
      </c>
      <c r="AS32" s="20">
        <f ca="1">+AR32+AR32*Volatility!AR32*(-DriftSum!AS32*TimeStep+SQRT(TimeStep)*AS$49)</f>
        <v>5.4267680253570739E-2</v>
      </c>
      <c r="AT32" s="20">
        <f ca="1">+AS32+AS32*Volatility!AS32*(-DriftSum!AT32*TimeStep+SQRT(TimeStep)*AT$49)</f>
        <v>5.3569278925866645E-2</v>
      </c>
      <c r="AU32" s="20">
        <f ca="1">+AT32+AT32*Volatility!AT32*(-DriftSum!AU32*TimeStep+SQRT(TimeStep)*AU$49)</f>
        <v>5.5526153132750847E-2</v>
      </c>
      <c r="AV32" s="20">
        <f ca="1">+AU32+AU32*Volatility!AU32*(-DriftSum!AV32*TimeStep+SQRT(TimeStep)*AV$49)</f>
        <v>5.5929935513777812E-2</v>
      </c>
      <c r="AW32" s="20">
        <f ca="1">+AV32+AV32*Volatility!AV32*(-DriftSum!AW32*TimeStep+SQRT(TimeStep)*AW$49)</f>
        <v>5.8277735008172481E-2</v>
      </c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</row>
    <row r="33" spans="4:134" x14ac:dyDescent="0.2">
      <c r="D33" s="2">
        <f t="shared" si="2"/>
        <v>3.5</v>
      </c>
      <c r="E33" s="10">
        <f t="shared" si="3"/>
        <v>0.85880407674257153</v>
      </c>
      <c r="F33" s="12" t="str">
        <f t="shared" si="4"/>
        <v>L(t;3.25,3.5)</v>
      </c>
      <c r="G33" s="19">
        <v>4.65625E-2</v>
      </c>
      <c r="H33" s="20">
        <f ca="1">+G33+G33*Volatility!G33*(-DriftSum!H33*TimeStep+SQRT(TimeStep)*H$49)</f>
        <v>4.8277446278549879E-2</v>
      </c>
      <c r="I33" s="20">
        <f ca="1">+H33+H33*Volatility!H33*(-DriftSum!I33*TimeStep+SQRT(TimeStep)*I$49)</f>
        <v>4.83768687777483E-2</v>
      </c>
      <c r="J33" s="20">
        <f ca="1">+I33+I33*Volatility!I33*(-DriftSum!J33*TimeStep+SQRT(TimeStep)*J$49)</f>
        <v>4.667360693794665E-2</v>
      </c>
      <c r="K33" s="20">
        <f ca="1">+J33+J33*Volatility!J33*(-DriftSum!K33*TimeStep+SQRT(TimeStep)*K$49)</f>
        <v>4.7234722405128368E-2</v>
      </c>
      <c r="L33" s="20">
        <f ca="1">+K33+K33*Volatility!K33*(-DriftSum!L33*TimeStep+SQRT(TimeStep)*L$49)</f>
        <v>4.5345963174100452E-2</v>
      </c>
      <c r="M33" s="20">
        <f ca="1">+L33+L33*Volatility!L33*(-DriftSum!M33*TimeStep+SQRT(TimeStep)*M$49)</f>
        <v>4.921418451576922E-2</v>
      </c>
      <c r="N33" s="20">
        <f ca="1">+M33+M33*Volatility!M33*(-DriftSum!N33*TimeStep+SQRT(TimeStep)*N$49)</f>
        <v>4.8586303142492918E-2</v>
      </c>
      <c r="O33" s="20">
        <f ca="1">+N33+N33*Volatility!N33*(-DriftSum!O33*TimeStep+SQRT(TimeStep)*O$49)</f>
        <v>5.0881087283125938E-2</v>
      </c>
      <c r="P33" s="20">
        <f ca="1">+O33+O33*Volatility!O33*(-DriftSum!P33*TimeStep+SQRT(TimeStep)*P$49)</f>
        <v>4.9063467294624123E-2</v>
      </c>
      <c r="Q33" s="20">
        <f ca="1">+P33+P33*Volatility!P33*(-DriftSum!Q33*TimeStep+SQRT(TimeStep)*Q$49)</f>
        <v>4.9419778453258449E-2</v>
      </c>
      <c r="R33" s="20">
        <f ca="1">+Q33+Q33*Volatility!Q33*(-DriftSum!R33*TimeStep+SQRT(TimeStep)*R$49)</f>
        <v>5.1205605500675912E-2</v>
      </c>
      <c r="S33" s="20">
        <f ca="1">+R33+R33*Volatility!R33*(-DriftSum!S33*TimeStep+SQRT(TimeStep)*S$49)</f>
        <v>5.4730508308270788E-2</v>
      </c>
      <c r="T33" s="20">
        <f ca="1">+S33+S33*Volatility!S33*(-DriftSum!T33*TimeStep+SQRT(TimeStep)*T$49)</f>
        <v>5.3365333055542384E-2</v>
      </c>
      <c r="U33" s="20">
        <f ca="1">+T33+T33*Volatility!T33*(-DriftSum!U33*TimeStep+SQRT(TimeStep)*U$49)</f>
        <v>5.3170558323254985E-2</v>
      </c>
      <c r="V33" s="20">
        <f ca="1">+U33+U33*Volatility!U33*(-DriftSum!V33*TimeStep+SQRT(TimeStep)*V$49)</f>
        <v>5.1100670327194127E-2</v>
      </c>
      <c r="W33" s="20">
        <f ca="1">+V33+V33*Volatility!V33*(-DriftSum!W33*TimeStep+SQRT(TimeStep)*W$49)</f>
        <v>4.6214864476927117E-2</v>
      </c>
      <c r="X33" s="20">
        <f ca="1">+W33+W33*Volatility!W33*(-DriftSum!X33*TimeStep+SQRT(TimeStep)*X$49)</f>
        <v>4.7472444018327148E-2</v>
      </c>
      <c r="Y33" s="20">
        <f ca="1">+X33+X33*Volatility!X33*(-DriftSum!Y33*TimeStep+SQRT(TimeStep)*Y$49)</f>
        <v>4.6409537281953669E-2</v>
      </c>
      <c r="Z33" s="20">
        <f ca="1">+Y33+Y33*Volatility!Y33*(-DriftSum!Z33*TimeStep+SQRT(TimeStep)*Z$49)</f>
        <v>4.8006031197202086E-2</v>
      </c>
      <c r="AA33" s="20">
        <f ca="1">+Z33+Z33*Volatility!Z33*(-DriftSum!AA33*TimeStep+SQRT(TimeStep)*AA$49)</f>
        <v>4.9303817537390382E-2</v>
      </c>
      <c r="AB33" s="20">
        <f ca="1">+AA33+AA33*Volatility!AA33*(-DriftSum!AB33*TimeStep+SQRT(TimeStep)*AB$49)</f>
        <v>4.9094635774350616E-2</v>
      </c>
      <c r="AC33" s="20">
        <f ca="1">+AB33+AB33*Volatility!AB33*(-DriftSum!AC33*TimeStep+SQRT(TimeStep)*AC$49)</f>
        <v>4.7587458115132431E-2</v>
      </c>
      <c r="AD33" s="20">
        <f ca="1">+AC33+AC33*Volatility!AC33*(-DriftSum!AD33*TimeStep+SQRT(TimeStep)*AD$49)</f>
        <v>4.6933528135208021E-2</v>
      </c>
      <c r="AE33" s="20">
        <f ca="1">+AD33+AD33*Volatility!AD33*(-DriftSum!AE33*TimeStep+SQRT(TimeStep)*AE$49)</f>
        <v>5.0438856854518092E-2</v>
      </c>
      <c r="AF33" s="20">
        <f ca="1">+AE33+AE33*Volatility!AE33*(-DriftSum!AF33*TimeStep+SQRT(TimeStep)*AF$49)</f>
        <v>5.0819867571062091E-2</v>
      </c>
      <c r="AG33" s="20">
        <f ca="1">+AF33+AF33*Volatility!AF33*(-DriftSum!AG33*TimeStep+SQRT(TimeStep)*AG$49)</f>
        <v>5.1788781676186876E-2</v>
      </c>
      <c r="AH33" s="20">
        <f ca="1">+AG33+AG33*Volatility!AG33*(-DriftSum!AH33*TimeStep+SQRT(TimeStep)*AH$49)</f>
        <v>5.2911490217907614E-2</v>
      </c>
      <c r="AI33" s="20">
        <f ca="1">+AH33+AH33*Volatility!AH33*(-DriftSum!AI33*TimeStep+SQRT(TimeStep)*AI$49)</f>
        <v>5.6759619549309449E-2</v>
      </c>
      <c r="AJ33" s="20">
        <f ca="1">+AI33+AI33*Volatility!AI33*(-DriftSum!AJ33*TimeStep+SQRT(TimeStep)*AJ$49)</f>
        <v>5.7640929186508136E-2</v>
      </c>
      <c r="AK33" s="20">
        <f ca="1">+AJ33+AJ33*Volatility!AJ33*(-DriftSum!AK33*TimeStep+SQRT(TimeStep)*AK$49)</f>
        <v>6.0700469800220654E-2</v>
      </c>
      <c r="AL33" s="20">
        <f ca="1">+AK33+AK33*Volatility!AK33*(-DriftSum!AL33*TimeStep+SQRT(TimeStep)*AL$49)</f>
        <v>6.2159970632258803E-2</v>
      </c>
      <c r="AM33" s="20">
        <f ca="1">+AL33+AL33*Volatility!AL33*(-DriftSum!AM33*TimeStep+SQRT(TimeStep)*AM$49)</f>
        <v>6.1656193989900944E-2</v>
      </c>
      <c r="AN33" s="20">
        <f ca="1">+AM33+AM33*Volatility!AM33*(-DriftSum!AN33*TimeStep+SQRT(TimeStep)*AN$49)</f>
        <v>5.6351229085217454E-2</v>
      </c>
      <c r="AO33" s="20">
        <f ca="1">+AN33+AN33*Volatility!AN33*(-DriftSum!AO33*TimeStep+SQRT(TimeStep)*AO$49)</f>
        <v>5.4900021009856644E-2</v>
      </c>
      <c r="AP33" s="20">
        <f ca="1">+AO33+AO33*Volatility!AO33*(-DriftSum!AP33*TimeStep+SQRT(TimeStep)*AP$49)</f>
        <v>5.1910368072726858E-2</v>
      </c>
      <c r="AQ33" s="20">
        <f ca="1">+AP33+AP33*Volatility!AP33*(-DriftSum!AQ33*TimeStep+SQRT(TimeStep)*AQ$49)</f>
        <v>5.3486334369635367E-2</v>
      </c>
      <c r="AR33" s="20">
        <f ca="1">+AQ33+AQ33*Volatility!AQ33*(-DriftSum!AR33*TimeStep+SQRT(TimeStep)*AR$49)</f>
        <v>5.56647934178605E-2</v>
      </c>
      <c r="AS33" s="20">
        <f ca="1">+AR33+AR33*Volatility!AR33*(-DriftSum!AS33*TimeStep+SQRT(TimeStep)*AS$49)</f>
        <v>5.3985175733723786E-2</v>
      </c>
      <c r="AT33" s="20">
        <f ca="1">+AS33+AS33*Volatility!AS33*(-DriftSum!AT33*TimeStep+SQRT(TimeStep)*AT$49)</f>
        <v>5.3274824140219196E-2</v>
      </c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</row>
    <row r="34" spans="4:134" x14ac:dyDescent="0.2">
      <c r="D34" s="2">
        <f t="shared" si="2"/>
        <v>3.25</v>
      </c>
      <c r="E34" s="10">
        <f t="shared" si="3"/>
        <v>0.86880109294840313</v>
      </c>
      <c r="F34" s="12" t="str">
        <f t="shared" si="4"/>
        <v>L(t;3,3.25)</v>
      </c>
      <c r="G34" s="19">
        <v>4.6249999999999999E-2</v>
      </c>
      <c r="H34" s="20">
        <f ca="1">+G34+G34*Volatility!G34*(-DriftSum!H34*TimeStep+SQRT(TimeStep)*H$49)</f>
        <v>4.7987222695642956E-2</v>
      </c>
      <c r="I34" s="20">
        <f ca="1">+H34+H34*Volatility!H34*(-DriftSum!I34*TimeStep+SQRT(TimeStep)*I$49)</f>
        <v>4.8086324283062039E-2</v>
      </c>
      <c r="J34" s="20">
        <f ca="1">+I34+I34*Volatility!I34*(-DriftSum!J34*TimeStep+SQRT(TimeStep)*J$49)</f>
        <v>4.638085913130207E-2</v>
      </c>
      <c r="K34" s="20">
        <f ca="1">+J34+J34*Volatility!J34*(-DriftSum!K34*TimeStep+SQRT(TimeStep)*K$49)</f>
        <v>4.6941201064281207E-2</v>
      </c>
      <c r="L34" s="20">
        <f ca="1">+K34+K34*Volatility!K34*(-DriftSum!L34*TimeStep+SQRT(TimeStep)*L$49)</f>
        <v>4.5050560948981473E-2</v>
      </c>
      <c r="M34" s="20">
        <f ca="1">+L34+L34*Volatility!L34*(-DriftSum!M34*TimeStep+SQRT(TimeStep)*M$49)</f>
        <v>4.8918434658689169E-2</v>
      </c>
      <c r="N34" s="20">
        <f ca="1">+M34+M34*Volatility!M34*(-DriftSum!N34*TimeStep+SQRT(TimeStep)*N$49)</f>
        <v>4.8289030498817602E-2</v>
      </c>
      <c r="O34" s="20">
        <f ca="1">+N34+N34*Volatility!N34*(-DriftSum!O34*TimeStep+SQRT(TimeStep)*O$49)</f>
        <v>5.058400179975174E-2</v>
      </c>
      <c r="P34" s="20">
        <f ca="1">+O34+O34*Volatility!O34*(-DriftSum!P34*TimeStep+SQRT(TimeStep)*P$49)</f>
        <v>4.8763683642359494E-2</v>
      </c>
      <c r="Q34" s="20">
        <f ca="1">+P34+P34*Volatility!P34*(-DriftSum!Q34*TimeStep+SQRT(TimeStep)*Q$49)</f>
        <v>4.9119093919632512E-2</v>
      </c>
      <c r="R34" s="20">
        <f ca="1">+Q34+Q34*Volatility!Q34*(-DriftSum!R34*TimeStep+SQRT(TimeStep)*R$49)</f>
        <v>5.0904851471818058E-2</v>
      </c>
      <c r="S34" s="20">
        <f ca="1">+R34+R34*Volatility!R34*(-DriftSum!S34*TimeStep+SQRT(TimeStep)*S$49)</f>
        <v>5.443137066021863E-2</v>
      </c>
      <c r="T34" s="20">
        <f ca="1">+S34+S34*Volatility!S34*(-DriftSum!T34*TimeStep+SQRT(TimeStep)*T$49)</f>
        <v>5.3063176401443313E-2</v>
      </c>
      <c r="U34" s="20">
        <f ca="1">+T34+T34*Volatility!T34*(-DriftSum!U34*TimeStep+SQRT(TimeStep)*U$49)</f>
        <v>5.2866903513137768E-2</v>
      </c>
      <c r="V34" s="20">
        <f ca="1">+U34+U34*Volatility!U34*(-DriftSum!V34*TimeStep+SQRT(TimeStep)*V$49)</f>
        <v>5.0793732345359374E-2</v>
      </c>
      <c r="W34" s="20">
        <f ca="1">+V34+V34*Volatility!V34*(-DriftSum!W34*TimeStep+SQRT(TimeStep)*W$49)</f>
        <v>4.5903486247047133E-2</v>
      </c>
      <c r="X34" s="20">
        <f ca="1">+W34+W34*Volatility!W34*(-DriftSum!X34*TimeStep+SQRT(TimeStep)*X$49)</f>
        <v>4.7159999453679845E-2</v>
      </c>
      <c r="Y34" s="20">
        <f ca="1">+X34+X34*Volatility!X34*(-DriftSum!Y34*TimeStep+SQRT(TimeStep)*Y$49)</f>
        <v>4.6095971476149224E-2</v>
      </c>
      <c r="Z34" s="20">
        <f ca="1">+Y34+Y34*Volatility!Y34*(-DriftSum!Z34*TimeStep+SQRT(TimeStep)*Z$49)</f>
        <v>4.769133633506141E-2</v>
      </c>
      <c r="AA34" s="20">
        <f ca="1">+Z34+Z34*Volatility!Z34*(-DriftSum!AA34*TimeStep+SQRT(TimeStep)*AA$49)</f>
        <v>4.8988214757199285E-2</v>
      </c>
      <c r="AB34" s="20">
        <f ca="1">+AA34+AA34*Volatility!AA34*(-DriftSum!AB34*TimeStep+SQRT(TimeStep)*AB$49)</f>
        <v>4.8777866153655376E-2</v>
      </c>
      <c r="AC34" s="20">
        <f ca="1">+AB34+AB34*Volatility!AB34*(-DriftSum!AC34*TimeStep+SQRT(TimeStep)*AC$49)</f>
        <v>4.7269261596006251E-2</v>
      </c>
      <c r="AD34" s="20">
        <f ca="1">+AC34+AC34*Volatility!AC34*(-DriftSum!AD34*TimeStep+SQRT(TimeStep)*AD$49)</f>
        <v>4.6614309640049735E-2</v>
      </c>
      <c r="AE34" s="20">
        <f ca="1">+AD34+AD34*Volatility!AD34*(-DriftSum!AE34*TimeStep+SQRT(TimeStep)*AE$49)</f>
        <v>5.0118155676066298E-2</v>
      </c>
      <c r="AF34" s="20">
        <f ca="1">+AE34+AE34*Volatility!AE34*(-DriftSum!AF34*TimeStep+SQRT(TimeStep)*AF$49)</f>
        <v>5.0498122307026161E-2</v>
      </c>
      <c r="AG34" s="20">
        <f ca="1">+AF34+AF34*Volatility!AF34*(-DriftSum!AG34*TimeStep+SQRT(TimeStep)*AG$49)</f>
        <v>5.1466183791275717E-2</v>
      </c>
      <c r="AH34" s="20">
        <f ca="1">+AG34+AG34*Volatility!AG34*(-DriftSum!AH34*TimeStep+SQRT(TimeStep)*AH$49)</f>
        <v>5.2588161681033023E-2</v>
      </c>
      <c r="AI34" s="20">
        <f ca="1">+AH34+AH34*Volatility!AH34*(-DriftSum!AI34*TimeStep+SQRT(TimeStep)*AI$49)</f>
        <v>5.64371659392226E-2</v>
      </c>
      <c r="AJ34" s="20">
        <f ca="1">+AI34+AI34*Volatility!AI34*(-DriftSum!AJ34*TimeStep+SQRT(TimeStep)*AJ$49)</f>
        <v>5.7317879357607744E-2</v>
      </c>
      <c r="AK34" s="20">
        <f ca="1">+AJ34+AJ34*Volatility!AJ34*(-DriftSum!AK34*TimeStep+SQRT(TimeStep)*AK$49)</f>
        <v>6.0379174952712812E-2</v>
      </c>
      <c r="AL34" s="20">
        <f ca="1">+AK34+AK34*Volatility!AK34*(-DriftSum!AL34*TimeStep+SQRT(TimeStep)*AL$49)</f>
        <v>6.1839012905656077E-2</v>
      </c>
      <c r="AM34" s="20">
        <f ca="1">+AL34+AL34*Volatility!AL34*(-DriftSum!AM34*TimeStep+SQRT(TimeStep)*AM$49)</f>
        <v>6.1332711444695723E-2</v>
      </c>
      <c r="AN34" s="20">
        <f ca="1">+AM34+AM34*Volatility!AM34*(-DriftSum!AN34*TimeStep+SQRT(TimeStep)*AN$49)</f>
        <v>5.601842827870835E-2</v>
      </c>
      <c r="AO34" s="20">
        <f ca="1">+AN34+AN34*Volatility!AN34*(-DriftSum!AO34*TimeStep+SQRT(TimeStep)*AO$49)</f>
        <v>5.4564659238812388E-2</v>
      </c>
      <c r="AP34" s="20">
        <f ca="1">+AO34+AO34*Volatility!AO34*(-DriftSum!AP34*TimeStep+SQRT(TimeStep)*AP$49)</f>
        <v>5.1571950709405678E-2</v>
      </c>
      <c r="AQ34" s="20">
        <f ca="1">+AP34+AP34*Volatility!AP34*(-DriftSum!AQ34*TimeStep+SQRT(TimeStep)*AQ$49)</f>
        <v>5.3146920304198188E-2</v>
      </c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</row>
    <row r="35" spans="4:134" x14ac:dyDescent="0.2">
      <c r="D35" s="2">
        <f t="shared" si="2"/>
        <v>3</v>
      </c>
      <c r="E35" s="10">
        <f t="shared" si="3"/>
        <v>0.878846605585619</v>
      </c>
      <c r="F35" s="12" t="str">
        <f t="shared" si="4"/>
        <v>L(t;2.75,3)</v>
      </c>
      <c r="G35" s="19">
        <v>4.5937499999999999E-2</v>
      </c>
      <c r="H35" s="20">
        <f ca="1">+G35+G35*Volatility!G35*(-DriftSum!H35*TimeStep+SQRT(TimeStep)*H$49)</f>
        <v>4.766200017740567E-2</v>
      </c>
      <c r="I35" s="20">
        <f ca="1">+H35+H35*Volatility!H35*(-DriftSum!I35*TimeStep+SQRT(TimeStep)*I$49)</f>
        <v>4.7759370726170772E-2</v>
      </c>
      <c r="J35" s="20">
        <f ca="1">+I35+I35*Volatility!I35*(-DriftSum!J35*TimeStep+SQRT(TimeStep)*J$49)</f>
        <v>4.6064437820466778E-2</v>
      </c>
      <c r="K35" s="20">
        <f ca="1">+J35+J35*Volatility!J35*(-DriftSum!K35*TimeStep+SQRT(TimeStep)*K$49)</f>
        <v>4.6619966957945062E-2</v>
      </c>
      <c r="L35" s="20">
        <f ca="1">+K35+K35*Volatility!K35*(-DriftSum!L35*TimeStep+SQRT(TimeStep)*L$49)</f>
        <v>4.4741251203295231E-2</v>
      </c>
      <c r="M35" s="20">
        <f ca="1">+L35+L35*Volatility!L35*(-DriftSum!M35*TimeStep+SQRT(TimeStep)*M$49)</f>
        <v>4.8581634429458238E-2</v>
      </c>
      <c r="N35" s="20">
        <f ca="1">+M35+M35*Volatility!M35*(-DriftSum!N35*TimeStep+SQRT(TimeStep)*N$49)</f>
        <v>4.7955463133389498E-2</v>
      </c>
      <c r="O35" s="20">
        <f ca="1">+N35+N35*Volatility!N35*(-DriftSum!O35*TimeStep+SQRT(TimeStep)*O$49)</f>
        <v>5.0233508855628675E-2</v>
      </c>
      <c r="P35" s="20">
        <f ca="1">+O35+O35*Volatility!O35*(-DriftSum!P35*TimeStep+SQRT(TimeStep)*P$49)</f>
        <v>4.8424627328252784E-2</v>
      </c>
      <c r="Q35" s="20">
        <f ca="1">+P35+P35*Volatility!P35*(-DriftSum!Q35*TimeStep+SQRT(TimeStep)*Q$49)</f>
        <v>4.8776472862687083E-2</v>
      </c>
      <c r="R35" s="20">
        <f ca="1">+Q35+Q35*Volatility!Q35*(-DriftSum!R35*TimeStep+SQRT(TimeStep)*R$49)</f>
        <v>5.0548664762937054E-2</v>
      </c>
      <c r="S35" s="20">
        <f ca="1">+R35+R35*Volatility!R35*(-DriftSum!S35*TimeStep+SQRT(TimeStep)*S$49)</f>
        <v>5.4049317500746728E-2</v>
      </c>
      <c r="T35" s="20">
        <f ca="1">+S35+S35*Volatility!S35*(-DriftSum!T35*TimeStep+SQRT(TimeStep)*T$49)</f>
        <v>5.2689366043209174E-2</v>
      </c>
      <c r="U35" s="20">
        <f ca="1">+T35+T35*Volatility!T35*(-DriftSum!U35*TimeStep+SQRT(TimeStep)*U$49)</f>
        <v>5.2493182420712721E-2</v>
      </c>
      <c r="V35" s="20">
        <f ca="1">+U35+U35*Volatility!U35*(-DriftSum!V35*TimeStep+SQRT(TimeStep)*V$49)</f>
        <v>5.0433382810326673E-2</v>
      </c>
      <c r="W35" s="20">
        <f ca="1">+V35+V35*Volatility!V35*(-DriftSum!W35*TimeStep+SQRT(TimeStep)*W$49)</f>
        <v>4.5576644187900792E-2</v>
      </c>
      <c r="X35" s="20">
        <f ca="1">+W35+W35*Volatility!W35*(-DriftSum!X35*TimeStep+SQRT(TimeStep)*X$49)</f>
        <v>4.6823241209713574E-2</v>
      </c>
      <c r="Y35" s="20">
        <f ca="1">+X35+X35*Volatility!X35*(-DriftSum!Y35*TimeStep+SQRT(TimeStep)*Y$49)</f>
        <v>4.5765788175943463E-2</v>
      </c>
      <c r="Z35" s="20">
        <f ca="1">+Y35+Y35*Volatility!Y35*(-DriftSum!Z35*TimeStep+SQRT(TimeStep)*Z$49)</f>
        <v>4.7348747892958384E-2</v>
      </c>
      <c r="AA35" s="20">
        <f ca="1">+Z35+Z35*Volatility!Z35*(-DriftSum!AA35*TimeStep+SQRT(TimeStep)*AA$49)</f>
        <v>4.8635264226201055E-2</v>
      </c>
      <c r="AB35" s="20">
        <f ca="1">+AA35+AA35*Volatility!AA35*(-DriftSum!AB35*TimeStep+SQRT(TimeStep)*AB$49)</f>
        <v>4.8425327833064157E-2</v>
      </c>
      <c r="AC35" s="20">
        <f ca="1">+AB35+AB35*Volatility!AB35*(-DriftSum!AC35*TimeStep+SQRT(TimeStep)*AC$49)</f>
        <v>4.6926532712629733E-2</v>
      </c>
      <c r="AD35" s="20">
        <f ca="1">+AC35+AC35*Volatility!AC35*(-DriftSum!AD35*TimeStep+SQRT(TimeStep)*AD$49)</f>
        <v>4.6275301899561284E-2</v>
      </c>
      <c r="AE35" s="20">
        <f ca="1">+AD35+AD35*Volatility!AD35*(-DriftSum!AE35*TimeStep+SQRT(TimeStep)*AE$49)</f>
        <v>4.9752666337493083E-2</v>
      </c>
      <c r="AF35" s="20">
        <f ca="1">+AE35+AE35*Volatility!AE35*(-DriftSum!AF35*TimeStep+SQRT(TimeStep)*AF$49)</f>
        <v>5.0128707671446705E-2</v>
      </c>
      <c r="AG35" s="20">
        <f ca="1">+AF35+AF35*Volatility!AF35*(-DriftSum!AG35*TimeStep+SQRT(TimeStep)*AG$49)</f>
        <v>5.1088515582920178E-2</v>
      </c>
      <c r="AH35" s="20">
        <f ca="1">+AG35+AG35*Volatility!AG35*(-DriftSum!AH35*TimeStep+SQRT(TimeStep)*AH$49)</f>
        <v>5.220104335273567E-2</v>
      </c>
      <c r="AI35" s="20">
        <f ca="1">+AH35+AH35*Volatility!AH35*(-DriftSum!AI35*TimeStep+SQRT(TimeStep)*AI$49)</f>
        <v>5.6020443761509706E-2</v>
      </c>
      <c r="AJ35" s="20">
        <f ca="1">+AI35+AI35*Volatility!AI35*(-DriftSum!AJ35*TimeStep+SQRT(TimeStep)*AJ$49)</f>
        <v>5.6893192748646425E-2</v>
      </c>
      <c r="AK35" s="20">
        <f ca="1">+AJ35+AJ35*Volatility!AJ35*(-DriftSum!AK35*TimeStep+SQRT(TimeStep)*AK$49)</f>
        <v>5.9930299221844584E-2</v>
      </c>
      <c r="AL35" s="20">
        <f ca="1">+AK35+AK35*Volatility!AK35*(-DriftSum!AL35*TimeStep+SQRT(TimeStep)*AL$49)</f>
        <v>6.1377613361124232E-2</v>
      </c>
      <c r="AM35" s="20">
        <f ca="1">+AL35+AL35*Volatility!AL35*(-DriftSum!AM35*TimeStep+SQRT(TimeStep)*AM$49)</f>
        <v>6.0873337499597516E-2</v>
      </c>
      <c r="AN35" s="20">
        <f ca="1">+AM35+AM35*Volatility!AM35*(-DriftSum!AN35*TimeStep+SQRT(TimeStep)*AN$49)</f>
        <v>5.5597133954336742E-2</v>
      </c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</row>
    <row r="36" spans="4:134" x14ac:dyDescent="0.2">
      <c r="D36" s="2">
        <f t="shared" si="2"/>
        <v>2.75</v>
      </c>
      <c r="E36" s="10">
        <f t="shared" si="3"/>
        <v>0.88893960957164131</v>
      </c>
      <c r="F36" s="12" t="str">
        <f t="shared" si="4"/>
        <v>L(t;2.5,2.75)</v>
      </c>
      <c r="G36" s="19">
        <v>4.5624999999999999E-2</v>
      </c>
      <c r="H36" s="20">
        <f ca="1">+G36+G36*Volatility!G36*(-DriftSum!H36*TimeStep+SQRT(TimeStep)*H$49)</f>
        <v>4.7336797586035644E-2</v>
      </c>
      <c r="I36" s="20">
        <f ca="1">+H36+H36*Volatility!H36*(-DriftSum!I36*TimeStep+SQRT(TimeStep)*I$49)</f>
        <v>4.7432458640972966E-2</v>
      </c>
      <c r="J36" s="20">
        <f ca="1">+I36+I36*Volatility!I36*(-DriftSum!J36*TimeStep+SQRT(TimeStep)*J$49)</f>
        <v>4.574807817126423E-2</v>
      </c>
      <c r="K36" s="20">
        <f ca="1">+J36+J36*Volatility!J36*(-DriftSum!K36*TimeStep+SQRT(TimeStep)*K$49)</f>
        <v>4.6298815487812825E-2</v>
      </c>
      <c r="L36" s="20">
        <f ca="1">+K36+K36*Volatility!K36*(-DriftSum!L36*TimeStep+SQRT(TimeStep)*L$49)</f>
        <v>4.4432041545949541E-2</v>
      </c>
      <c r="M36" s="20">
        <f ca="1">+L36+L36*Volatility!L36*(-DriftSum!M36*TimeStep+SQRT(TimeStep)*M$49)</f>
        <v>4.8244962095714668E-2</v>
      </c>
      <c r="N36" s="20">
        <f ca="1">+M36+M36*Volatility!M36*(-DriftSum!N36*TimeStep+SQRT(TimeStep)*N$49)</f>
        <v>4.7622044705851192E-2</v>
      </c>
      <c r="O36" s="20">
        <f ca="1">+N36+N36*Volatility!N36*(-DriftSum!O36*TimeStep+SQRT(TimeStep)*O$49)</f>
        <v>4.988319411209173E-2</v>
      </c>
      <c r="P36" s="20">
        <f ca="1">+O36+O36*Volatility!O36*(-DriftSum!P36*TimeStep+SQRT(TimeStep)*P$49)</f>
        <v>4.8085767200103373E-2</v>
      </c>
      <c r="Q36" s="20">
        <f ca="1">+P36+P36*Volatility!P36*(-DriftSum!Q36*TimeStep+SQRT(TimeStep)*Q$49)</f>
        <v>4.8434072186360012E-2</v>
      </c>
      <c r="R36" s="20">
        <f ca="1">+Q36+Q36*Volatility!Q36*(-DriftSum!R36*TimeStep+SQRT(TimeStep)*R$49)</f>
        <v>5.0192729614500886E-2</v>
      </c>
      <c r="S36" s="20">
        <f ca="1">+R36+R36*Volatility!R36*(-DriftSum!S36*TimeStep+SQRT(TimeStep)*S$49)</f>
        <v>5.3667558273663492E-2</v>
      </c>
      <c r="T36" s="20">
        <f ca="1">+S36+S36*Volatility!S36*(-DriftSum!T36*TimeStep+SQRT(TimeStep)*T$49)</f>
        <v>5.2315870804188036E-2</v>
      </c>
      <c r="U36" s="20">
        <f ca="1">+T36+T36*Volatility!T36*(-DriftSum!U36*TimeStep+SQRT(TimeStep)*U$49)</f>
        <v>5.2119802548173423E-2</v>
      </c>
      <c r="V36" s="20">
        <f ca="1">+U36+U36*Volatility!U36*(-DriftSum!V36*TimeStep+SQRT(TimeStep)*V$49)</f>
        <v>5.0073388273210707E-2</v>
      </c>
      <c r="W36" s="20">
        <f ca="1">+V36+V36*Volatility!V36*(-DriftSum!W36*TimeStep+SQRT(TimeStep)*W$49)</f>
        <v>4.5250148124397371E-2</v>
      </c>
      <c r="X36" s="20">
        <f ca="1">+W36+W36*Volatility!W36*(-DriftSum!X36*TimeStep+SQRT(TimeStep)*X$49)</f>
        <v>4.6486859100272226E-2</v>
      </c>
      <c r="Y36" s="20">
        <f ca="1">+X36+X36*Volatility!X36*(-DriftSum!Y36*TimeStep+SQRT(TimeStep)*Y$49)</f>
        <v>4.5435994391653113E-2</v>
      </c>
      <c r="Z36" s="20">
        <f ca="1">+Y36+Y36*Volatility!Y36*(-DriftSum!Z36*TimeStep+SQRT(TimeStep)*Z$49)</f>
        <v>4.7006583410960326E-2</v>
      </c>
      <c r="AA36" s="20">
        <f ca="1">+Z36+Z36*Volatility!Z36*(-DriftSum!AA36*TimeStep+SQRT(TimeStep)*AA$49)</f>
        <v>4.8282771674760666E-2</v>
      </c>
      <c r="AB36" s="20">
        <f ca="1">+AA36+AA36*Volatility!AA36*(-DriftSum!AB36*TimeStep+SQRT(TimeStep)*AB$49)</f>
        <v>4.8073269315120001E-2</v>
      </c>
      <c r="AC36" s="20">
        <f ca="1">+AB36+AB36*Volatility!AB36*(-DriftSum!AC36*TimeStep+SQRT(TimeStep)*AC$49)</f>
        <v>4.6584292452582686E-2</v>
      </c>
      <c r="AD36" s="20">
        <f ca="1">+AC36+AC36*Volatility!AC36*(-DriftSum!AD36*TimeStep+SQRT(TimeStep)*AD$49)</f>
        <v>4.5936798312157918E-2</v>
      </c>
      <c r="AE36" s="20">
        <f ca="1">+AD36+AD36*Volatility!AD36*(-DriftSum!AE36*TimeStep+SQRT(TimeStep)*AE$49)</f>
        <v>4.9387740803263865E-2</v>
      </c>
      <c r="AF36" s="20">
        <f ca="1">+AE36+AE36*Volatility!AE36*(-DriftSum!AF36*TimeStep+SQRT(TimeStep)*AF$49)</f>
        <v>4.9759886302672793E-2</v>
      </c>
      <c r="AG36" s="20">
        <f ca="1">+AF36+AF36*Volatility!AF36*(-DriftSum!AG36*TimeStep+SQRT(TimeStep)*AG$49)</f>
        <v>5.0711477661327733E-2</v>
      </c>
      <c r="AH36" s="20">
        <f ca="1">+AG36+AG36*Volatility!AG36*(-DriftSum!AH36*TimeStep+SQRT(TimeStep)*AH$49)</f>
        <v>5.1814595764184859E-2</v>
      </c>
      <c r="AI36" s="20">
        <f ca="1">+AH36+AH36*Volatility!AH36*(-DriftSum!AI36*TimeStep+SQRT(TimeStep)*AI$49)</f>
        <v>5.5604469381944445E-2</v>
      </c>
      <c r="AJ36" s="20">
        <f ca="1">+AI36+AI36*Volatility!AI36*(-DriftSum!AJ36*TimeStep+SQRT(TimeStep)*AJ$49)</f>
        <v>5.6469297872945842E-2</v>
      </c>
      <c r="AK36" s="20">
        <f ca="1">+AJ36+AJ36*Volatility!AJ36*(-DriftSum!AK36*TimeStep+SQRT(TimeStep)*AK$49)</f>
        <v>5.9482290893625167E-2</v>
      </c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</row>
    <row r="37" spans="4:134" x14ac:dyDescent="0.2">
      <c r="D37" s="2">
        <f t="shared" si="2"/>
        <v>2.5</v>
      </c>
      <c r="E37" s="10">
        <f t="shared" si="3"/>
        <v>0.8990790769933179</v>
      </c>
      <c r="F37" s="12" t="str">
        <f t="shared" si="4"/>
        <v>L(t;2.25,2.5)</v>
      </c>
      <c r="G37" s="19">
        <v>4.5312499999999999E-2</v>
      </c>
      <c r="H37" s="20">
        <f ca="1">+G37+G37*Volatility!G37*(-DriftSum!H37*TimeStep+SQRT(TimeStep)*H$49)</f>
        <v>4.7011614788317113E-2</v>
      </c>
      <c r="I37" s="20">
        <f ca="1">+H37+H37*Volatility!H37*(-DriftSum!I37*TimeStep+SQRT(TimeStep)*I$49)</f>
        <v>4.710558774812669E-2</v>
      </c>
      <c r="J37" s="20">
        <f ca="1">+I37+I37*Volatility!I37*(-DriftSum!J37*TimeStep+SQRT(TimeStep)*J$49)</f>
        <v>4.5431779765001214E-2</v>
      </c>
      <c r="K37" s="20">
        <f ca="1">+J37+J37*Volatility!J37*(-DriftSum!K37*TimeStep+SQRT(TimeStep)*K$49)</f>
        <v>4.5977746088385459E-2</v>
      </c>
      <c r="L37" s="20">
        <f ca="1">+K37+K37*Volatility!K37*(-DriftSum!L37*TimeStep+SQRT(TimeStep)*L$49)</f>
        <v>4.4122931286496116E-2</v>
      </c>
      <c r="M37" s="20">
        <f ca="1">+L37+L37*Volatility!L37*(-DriftSum!M37*TimeStep+SQRT(TimeStep)*M$49)</f>
        <v>4.7908416768951349E-2</v>
      </c>
      <c r="N37" s="20">
        <f ca="1">+M37+M37*Volatility!M37*(-DriftSum!N37*TimeStep+SQRT(TimeStep)*N$49)</f>
        <v>4.7288774173339314E-2</v>
      </c>
      <c r="O37" s="20">
        <f ca="1">+N37+N37*Volatility!N37*(-DriftSum!O37*TimeStep+SQRT(TimeStep)*O$49)</f>
        <v>4.9533056312121571E-2</v>
      </c>
      <c r="P37" s="20">
        <f ca="1">+O37+O37*Volatility!O37*(-DriftSum!P37*TimeStep+SQRT(TimeStep)*P$49)</f>
        <v>4.7747101862727709E-2</v>
      </c>
      <c r="Q37" s="20">
        <f ca="1">+P37+P37*Volatility!P37*(-DriftSum!Q37*TimeStep+SQRT(TimeStep)*Q$49)</f>
        <v>4.8091890311434092E-2</v>
      </c>
      <c r="R37" s="20">
        <f ca="1">+Q37+Q37*Volatility!Q37*(-DriftSum!R37*TimeStep+SQRT(TimeStep)*R$49)</f>
        <v>4.9837044210469882E-2</v>
      </c>
      <c r="S37" s="20">
        <f ca="1">+R37+R37*Volatility!R37*(-DriftSum!S37*TimeStep+SQRT(TimeStep)*S$49)</f>
        <v>5.3286090841437671E-2</v>
      </c>
      <c r="T37" s="20">
        <f ca="1">+S37+S37*Volatility!S37*(-DriftSum!T37*TimeStep+SQRT(TimeStep)*T$49)</f>
        <v>5.1942688373644033E-2</v>
      </c>
      <c r="U37" s="20">
        <f ca="1">+T37+T37*Volatility!T37*(-DriftSum!U37*TimeStep+SQRT(TimeStep)*U$49)</f>
        <v>5.1746761373369012E-2</v>
      </c>
      <c r="V37" s="20">
        <f ca="1">+U37+U37*Volatility!U37*(-DriftSum!V37*TimeStep+SQRT(TimeStep)*V$49)</f>
        <v>4.9713746088492251E-2</v>
      </c>
      <c r="W37" s="20">
        <f ca="1">+V37+V37*Volatility!V37*(-DriftSum!W37*TimeStep+SQRT(TimeStep)*W$49)</f>
        <v>4.4923995456534853E-2</v>
      </c>
      <c r="X37" s="20">
        <f ca="1">+W37+W37*Volatility!W37*(-DriftSum!X37*TimeStep+SQRT(TimeStep)*X$49)</f>
        <v>4.615085027969567E-2</v>
      </c>
      <c r="Y37" s="20">
        <f ca="1">+X37+X37*Volatility!X37*(-DriftSum!Y37*TimeStep+SQRT(TimeStep)*Y$49)</f>
        <v>4.5106587155139356E-2</v>
      </c>
      <c r="Z37" s="20">
        <f ca="1">+Y37+Y37*Volatility!Y37*(-DriftSum!Z37*TimeStep+SQRT(TimeStep)*Z$49)</f>
        <v>4.6664839636995255E-2</v>
      </c>
      <c r="AA37" s="20">
        <f ca="1">+Z37+Z37*Volatility!Z37*(-DriftSum!AA37*TimeStep+SQRT(TimeStep)*AA$49)</f>
        <v>4.7930733565871846E-2</v>
      </c>
      <c r="AB37" s="20">
        <f ca="1">+AA37+AA37*Volatility!AA37*(-DriftSum!AB37*TimeStep+SQRT(TimeStep)*AB$49)</f>
        <v>4.7721686867838516E-2</v>
      </c>
      <c r="AC37" s="20">
        <f ca="1">+AB37+AB37*Volatility!AB37*(-DriftSum!AC37*TimeStep+SQRT(TimeStep)*AC$49)</f>
        <v>4.6242536987763039E-2</v>
      </c>
      <c r="AD37" s="20">
        <f ca="1">+AC37+AC37*Volatility!AC37*(-DriftSum!AD37*TimeStep+SQRT(TimeStep)*AD$49)</f>
        <v>4.5598794900908055E-2</v>
      </c>
      <c r="AE37" s="20">
        <f ca="1">+AD37+AD37*Volatility!AD37*(-DriftSum!AE37*TimeStep+SQRT(TimeStep)*AE$49)</f>
        <v>4.9023374598299953E-2</v>
      </c>
      <c r="AF37" s="20">
        <f ca="1">+AE37+AE37*Volatility!AE37*(-DriftSum!AF37*TimeStep+SQRT(TimeStep)*AF$49)</f>
        <v>4.9391653458918931E-2</v>
      </c>
      <c r="AG37" s="20">
        <f ca="1">+AF37+AF37*Volatility!AF37*(-DriftSum!AG37*TimeStep+SQRT(TimeStep)*AG$49)</f>
        <v>5.0335064954091575E-2</v>
      </c>
      <c r="AH37" s="20">
        <f ca="1">+AG37+AG37*Volatility!AG37*(-DriftSum!AH37*TimeStep+SQRT(TimeStep)*AH$49)</f>
        <v>5.1428813479954982E-2</v>
      </c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</row>
    <row r="38" spans="4:134" x14ac:dyDescent="0.2">
      <c r="D38" s="2">
        <f t="shared" si="2"/>
        <v>2.25</v>
      </c>
      <c r="E38" s="10">
        <f t="shared" si="3"/>
        <v>0.90926395716238273</v>
      </c>
      <c r="F38" s="12" t="str">
        <f t="shared" si="4"/>
        <v>L(t;2,2.25)</v>
      </c>
      <c r="G38" s="19">
        <v>4.4999999999999998E-2</v>
      </c>
      <c r="H38" s="20">
        <f ca="1">+G38+G38*Volatility!G38*(-DriftSum!H38*TimeStep+SQRT(TimeStep)*H$49)</f>
        <v>4.6663965628993435E-2</v>
      </c>
      <c r="I38" s="20">
        <f ca="1">+H38+H38*Volatility!H38*(-DriftSum!I38*TimeStep+SQRT(TimeStep)*I$49)</f>
        <v>4.6753766977116536E-2</v>
      </c>
      <c r="J38" s="20">
        <f ca="1">+I38+I38*Volatility!I38*(-DriftSum!J38*TimeStep+SQRT(TimeStep)*J$49)</f>
        <v>4.5157933019344371E-2</v>
      </c>
      <c r="K38" s="20">
        <f ca="1">+J38+J38*Volatility!J38*(-DriftSum!K38*TimeStep+SQRT(TimeStep)*K$49)</f>
        <v>4.5677988578821403E-2</v>
      </c>
      <c r="L38" s="20">
        <f ca="1">+K38+K38*Volatility!K38*(-DriftSum!L38*TimeStep+SQRT(TimeStep)*L$49)</f>
        <v>4.3908041014894095E-2</v>
      </c>
      <c r="M38" s="20">
        <f ca="1">+L38+L38*Volatility!L38*(-DriftSum!M38*TimeStep+SQRT(TimeStep)*M$49)</f>
        <v>4.7523545924827583E-2</v>
      </c>
      <c r="N38" s="20">
        <f ca="1">+M38+M38*Volatility!M38*(-DriftSum!N38*TimeStep+SQRT(TimeStep)*N$49)</f>
        <v>4.6932455374103163E-2</v>
      </c>
      <c r="O38" s="20">
        <f ca="1">+N38+N38*Volatility!N38*(-DriftSum!O38*TimeStep+SQRT(TimeStep)*O$49)</f>
        <v>4.9069745033259442E-2</v>
      </c>
      <c r="P38" s="20">
        <f ca="1">+O38+O38*Volatility!O38*(-DriftSum!P38*TimeStep+SQRT(TimeStep)*P$49)</f>
        <v>4.7370185242715572E-2</v>
      </c>
      <c r="Q38" s="20">
        <f ca="1">+P38+P38*Volatility!P38*(-DriftSum!Q38*TimeStep+SQRT(TimeStep)*Q$49)</f>
        <v>4.7697563457863142E-2</v>
      </c>
      <c r="R38" s="20">
        <f ca="1">+Q38+Q38*Volatility!Q38*(-DriftSum!R38*TimeStep+SQRT(TimeStep)*R$49)</f>
        <v>4.9358154301183482E-2</v>
      </c>
      <c r="S38" s="20">
        <f ca="1">+R38+R38*Volatility!R38*(-DriftSum!S38*TimeStep+SQRT(TimeStep)*S$49)</f>
        <v>5.2636329154171504E-2</v>
      </c>
      <c r="T38" s="20">
        <f ca="1">+S38+S38*Volatility!S38*(-DriftSum!T38*TimeStep+SQRT(TimeStep)*T$49)</f>
        <v>5.1361143201142608E-2</v>
      </c>
      <c r="U38" s="20">
        <f ca="1">+T38+T38*Volatility!T38*(-DriftSum!U38*TimeStep+SQRT(TimeStep)*U$49)</f>
        <v>5.117397398057414E-2</v>
      </c>
      <c r="V38" s="20">
        <f ca="1">+U38+U38*Volatility!U38*(-DriftSum!V38*TimeStep+SQRT(TimeStep)*V$49)</f>
        <v>4.9242706289036993E-2</v>
      </c>
      <c r="W38" s="20">
        <f ca="1">+V38+V38*Volatility!V38*(-DriftSum!W38*TimeStep+SQRT(TimeStep)*W$49)</f>
        <v>4.4687025349787093E-2</v>
      </c>
      <c r="X38" s="20">
        <f ca="1">+W38+W38*Volatility!W38*(-DriftSum!X38*TimeStep+SQRT(TimeStep)*X$49)</f>
        <v>4.5857699940604971E-2</v>
      </c>
      <c r="Y38" s="20">
        <f ca="1">+X38+X38*Volatility!X38*(-DriftSum!Y38*TimeStep+SQRT(TimeStep)*Y$49)</f>
        <v>4.4860633672502225E-2</v>
      </c>
      <c r="Z38" s="20">
        <f ca="1">+Y38+Y38*Volatility!Y38*(-DriftSum!Z38*TimeStep+SQRT(TimeStep)*Z$49)</f>
        <v>4.6347498786993666E-2</v>
      </c>
      <c r="AA38" s="20">
        <f ca="1">+Z38+Z38*Volatility!Z38*(-DriftSum!AA38*TimeStep+SQRT(TimeStep)*AA$49)</f>
        <v>4.7553530647797701E-2</v>
      </c>
      <c r="AB38" s="20">
        <f ca="1">+AA38+AA38*Volatility!AA38*(-DriftSum!AB38*TimeStep+SQRT(TimeStep)*AB$49)</f>
        <v>4.7353411628019391E-2</v>
      </c>
      <c r="AC38" s="20">
        <f ca="1">+AB38+AB38*Volatility!AB38*(-DriftSum!AC38*TimeStep+SQRT(TimeStep)*AC$49)</f>
        <v>4.5943381052488991E-2</v>
      </c>
      <c r="AD38" s="20">
        <f ca="1">+AC38+AC38*Volatility!AC38*(-DriftSum!AD38*TimeStep+SQRT(TimeStep)*AD$49)</f>
        <v>4.5328441499030439E-2</v>
      </c>
      <c r="AE38" s="20">
        <f ca="1">+AD38+AD38*Volatility!AD38*(-DriftSum!AE38*TimeStep+SQRT(TimeStep)*AE$49)</f>
        <v>4.8595626350910553E-2</v>
      </c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</row>
    <row r="39" spans="4:134" x14ac:dyDescent="0.2">
      <c r="D39" s="2">
        <f t="shared" si="2"/>
        <v>2</v>
      </c>
      <c r="E39" s="10">
        <f t="shared" si="3"/>
        <v>0.91949317668045949</v>
      </c>
      <c r="F39" s="12" t="str">
        <f t="shared" si="4"/>
        <v>L(t;1.75,2)</v>
      </c>
      <c r="G39" s="19">
        <v>4.4374999999999998E-2</v>
      </c>
      <c r="H39" s="20">
        <f ca="1">+G39+G39*Volatility!G39*(-DriftSum!H39*TimeStep+SQRT(TimeStep)*H$49)</f>
        <v>4.5948469274798565E-2</v>
      </c>
      <c r="I39" s="20">
        <f ca="1">+H39+H39*Volatility!H39*(-DriftSum!I39*TimeStep+SQRT(TimeStep)*I$49)</f>
        <v>4.603235730593512E-2</v>
      </c>
      <c r="J39" s="20">
        <f ca="1">+I39+I39*Volatility!I39*(-DriftSum!J39*TimeStep+SQRT(TimeStep)*J$49)</f>
        <v>4.4525733417364294E-2</v>
      </c>
      <c r="K39" s="20">
        <f ca="1">+J39+J39*Volatility!J39*(-DriftSum!K39*TimeStep+SQRT(TimeStep)*K$49)</f>
        <v>4.5016319576638084E-2</v>
      </c>
      <c r="L39" s="20">
        <f ca="1">+K39+K39*Volatility!K39*(-DriftSum!L39*TimeStep+SQRT(TimeStep)*L$49)</f>
        <v>4.33438484698489E-2</v>
      </c>
      <c r="M39" s="20">
        <f ca="1">+L39+L39*Volatility!L39*(-DriftSum!M39*TimeStep+SQRT(TimeStep)*M$49)</f>
        <v>4.6763406593359966E-2</v>
      </c>
      <c r="N39" s="20">
        <f ca="1">+M39+M39*Volatility!M39*(-DriftSum!N39*TimeStep+SQRT(TimeStep)*N$49)</f>
        <v>4.6205096118793705E-2</v>
      </c>
      <c r="O39" s="20">
        <f ca="1">+N39+N39*Volatility!N39*(-DriftSum!O39*TimeStep+SQRT(TimeStep)*O$49)</f>
        <v>4.8220701123844328E-2</v>
      </c>
      <c r="P39" s="20">
        <f ca="1">+O39+O39*Volatility!O39*(-DriftSum!P39*TimeStep+SQRT(TimeStep)*P$49)</f>
        <v>4.6619170441626057E-2</v>
      </c>
      <c r="Q39" s="20">
        <f ca="1">+P39+P39*Volatility!P39*(-DriftSum!Q39*TimeStep+SQRT(TimeStep)*Q$49)</f>
        <v>4.6927030291894337E-2</v>
      </c>
      <c r="R39" s="20">
        <f ca="1">+Q39+Q39*Volatility!Q39*(-DriftSum!R39*TimeStep+SQRT(TimeStep)*R$49)</f>
        <v>4.8491805751274784E-2</v>
      </c>
      <c r="S39" s="20">
        <f ca="1">+R39+R39*Volatility!R39*(-DriftSum!S39*TimeStep+SQRT(TimeStep)*S$49)</f>
        <v>5.1577269176679597E-2</v>
      </c>
      <c r="T39" s="20">
        <f ca="1">+S39+S39*Volatility!S39*(-DriftSum!T39*TimeStep+SQRT(TimeStep)*T$49)</f>
        <v>5.037869473265779E-2</v>
      </c>
      <c r="U39" s="20">
        <f ca="1">+T39+T39*Volatility!T39*(-DriftSum!U39*TimeStep+SQRT(TimeStep)*U$49)</f>
        <v>5.0201697624776033E-2</v>
      </c>
      <c r="V39" s="20">
        <f ca="1">+U39+U39*Volatility!U39*(-DriftSum!V39*TimeStep+SQRT(TimeStep)*V$49)</f>
        <v>4.8385013392534128E-2</v>
      </c>
      <c r="W39" s="20">
        <f ca="1">+V39+V39*Volatility!V39*(-DriftSum!W39*TimeStep+SQRT(TimeStep)*W$49)</f>
        <v>4.409422118467389E-2</v>
      </c>
      <c r="X39" s="20">
        <f ca="1">+W39+W39*Volatility!W39*(-DriftSum!X39*TimeStep+SQRT(TimeStep)*X$49)</f>
        <v>4.5200428188917771E-2</v>
      </c>
      <c r="Y39" s="20">
        <f ca="1">+X39+X39*Volatility!X39*(-DriftSum!Y39*TimeStep+SQRT(TimeStep)*Y$49)</f>
        <v>4.425775329679292E-2</v>
      </c>
      <c r="Z39" s="20">
        <f ca="1">+Y39+Y39*Volatility!Y39*(-DriftSum!Z39*TimeStep+SQRT(TimeStep)*Z$49)</f>
        <v>4.5662703501677185E-2</v>
      </c>
      <c r="AA39" s="20">
        <f ca="1">+Z39+Z39*Volatility!Z39*(-DriftSum!AA39*TimeStep+SQRT(TimeStep)*AA$49)</f>
        <v>4.6800540969508045E-2</v>
      </c>
      <c r="AB39" s="20">
        <f ca="1">+AA39+AA39*Volatility!AA39*(-DriftSum!AB39*TimeStep+SQRT(TimeStep)*AB$49)</f>
        <v>4.6610886462533516E-2</v>
      </c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</row>
    <row r="40" spans="4:134" x14ac:dyDescent="0.2">
      <c r="D40" s="2">
        <f t="shared" si="2"/>
        <v>1.75</v>
      </c>
      <c r="E40" s="10">
        <f t="shared" si="3"/>
        <v>0.92969380410925828</v>
      </c>
      <c r="F40" s="12" t="str">
        <f t="shared" si="4"/>
        <v>L(t;1.5,1.75)</v>
      </c>
      <c r="G40" s="19">
        <v>4.3749999999999997E-2</v>
      </c>
      <c r="H40" s="20">
        <f ca="1">+G40+G40*Volatility!G40*(-DriftSum!H40*TimeStep+SQRT(TimeStep)*H$49)</f>
        <v>4.5234986999252789E-2</v>
      </c>
      <c r="I40" s="20">
        <f ca="1">+H40+H40*Volatility!H40*(-DriftSum!I40*TimeStep+SQRT(TimeStep)*I$49)</f>
        <v>4.5313229938511564E-2</v>
      </c>
      <c r="J40" s="20">
        <f ca="1">+I40+I40*Volatility!I40*(-DriftSum!J40*TimeStep+SQRT(TimeStep)*J$49)</f>
        <v>4.3893842315556625E-2</v>
      </c>
      <c r="K40" s="20">
        <f ca="1">+J40+J40*Volatility!J40*(-DriftSum!K40*TimeStep+SQRT(TimeStep)*K$49)</f>
        <v>4.4355705615227239E-2</v>
      </c>
      <c r="L40" s="20">
        <f ca="1">+K40+K40*Volatility!K40*(-DriftSum!L40*TimeStep+SQRT(TimeStep)*L$49)</f>
        <v>4.2778677702656719E-2</v>
      </c>
      <c r="M40" s="20">
        <f ca="1">+L40+L40*Volatility!L40*(-DriftSum!M40*TimeStep+SQRT(TimeStep)*M$49)</f>
        <v>4.6006213457532467E-2</v>
      </c>
      <c r="N40" s="20">
        <f ca="1">+M40+M40*Volatility!M40*(-DriftSum!N40*TimeStep+SQRT(TimeStep)*N$49)</f>
        <v>4.5480017440441778E-2</v>
      </c>
      <c r="O40" s="20">
        <f ca="1">+N40+N40*Volatility!N40*(-DriftSum!O40*TimeStep+SQRT(TimeStep)*O$49)</f>
        <v>4.737694418089447E-2</v>
      </c>
      <c r="P40" s="20">
        <f ca="1">+O40+O40*Volatility!O40*(-DriftSum!P40*TimeStep+SQRT(TimeStep)*P$49)</f>
        <v>4.5870993493038754E-2</v>
      </c>
      <c r="Q40" s="20">
        <f ca="1">+P40+P40*Volatility!P40*(-DriftSum!Q40*TimeStep+SQRT(TimeStep)*Q$49)</f>
        <v>4.615993999909964E-2</v>
      </c>
      <c r="R40" s="20">
        <f ca="1">+Q40+Q40*Volatility!Q40*(-DriftSum!R40*TimeStep+SQRT(TimeStep)*R$49)</f>
        <v>4.7631402809533117E-2</v>
      </c>
      <c r="S40" s="20">
        <f ca="1">+R40+R40*Volatility!R40*(-DriftSum!S40*TimeStep+SQRT(TimeStep)*S$49)</f>
        <v>5.0529483681918126E-2</v>
      </c>
      <c r="T40" s="20">
        <f ca="1">+S40+S40*Volatility!S40*(-DriftSum!T40*TimeStep+SQRT(TimeStep)*T$49)</f>
        <v>4.940533495471687E-2</v>
      </c>
      <c r="U40" s="20">
        <f ca="1">+T40+T40*Volatility!T40*(-DriftSum!U40*TimeStep+SQRT(TimeStep)*U$49)</f>
        <v>4.9238371607689721E-2</v>
      </c>
      <c r="V40" s="20">
        <f ca="1">+U40+U40*Volatility!U40*(-DriftSum!V40*TimeStep+SQRT(TimeStep)*V$49)</f>
        <v>4.7533092088063084E-2</v>
      </c>
      <c r="W40" s="20">
        <f ca="1">+V40+V40*Volatility!V40*(-DriftSum!W40*TimeStep+SQRT(TimeStep)*W$49)</f>
        <v>4.350025751102321E-2</v>
      </c>
      <c r="X40" s="20">
        <f ca="1">+W40+W40*Volatility!W40*(-DriftSum!X40*TimeStep+SQRT(TimeStep)*X$49)</f>
        <v>4.4543395468525655E-2</v>
      </c>
      <c r="Y40" s="20">
        <f ca="1">+X40+X40*Volatility!X40*(-DriftSum!Y40*TimeStep+SQRT(TimeStep)*Y$49)</f>
        <v>4.3654057838704255E-2</v>
      </c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</row>
    <row r="41" spans="4:134" x14ac:dyDescent="0.2">
      <c r="D41" s="2">
        <f t="shared" si="2"/>
        <v>1.5</v>
      </c>
      <c r="E41" s="10">
        <f t="shared" si="3"/>
        <v>0.93986233009170339</v>
      </c>
      <c r="F41" s="12" t="str">
        <f t="shared" si="4"/>
        <v>L(t;1.25,1.5)</v>
      </c>
      <c r="G41" s="19">
        <v>4.3124999999999997E-2</v>
      </c>
      <c r="H41" s="20">
        <f ca="1">+G41+G41*Volatility!G41*(-DriftSum!H41*TimeStep+SQRT(TimeStep)*H$49)</f>
        <v>4.4523507260399234E-2</v>
      </c>
      <c r="I41" s="20">
        <f ca="1">+H41+H41*Volatility!H41*(-DriftSum!I41*TimeStep+SQRT(TimeStep)*I$49)</f>
        <v>4.4596359612858877E-2</v>
      </c>
      <c r="J41" s="20">
        <f ca="1">+I41+I41*Volatility!I41*(-DriftSum!J41*TimeStep+SQRT(TimeStep)*J$49)</f>
        <v>4.3262231736292102E-2</v>
      </c>
      <c r="K41" s="20">
        <f ca="1">+J41+J41*Volatility!J41*(-DriftSum!K41*TimeStep+SQRT(TimeStep)*K$49)</f>
        <v>4.3696106513746835E-2</v>
      </c>
      <c r="L41" s="20">
        <f ca="1">+K41+K41*Volatility!K41*(-DriftSum!L41*TimeStep+SQRT(TimeStep)*L$49)</f>
        <v>4.2212482964545057E-2</v>
      </c>
      <c r="M41" s="20">
        <f ca="1">+L41+L41*Volatility!L41*(-DriftSum!M41*TimeStep+SQRT(TimeStep)*M$49)</f>
        <v>4.5251917318508215E-2</v>
      </c>
      <c r="N41" s="20">
        <f ca="1">+M41+M41*Volatility!M41*(-DriftSum!N41*TimeStep+SQRT(TimeStep)*N$49)</f>
        <v>4.4757161250007699E-2</v>
      </c>
      <c r="O41" s="20">
        <f ca="1">+N41+N41*Volatility!N41*(-DriftSum!O41*TimeStep+SQRT(TimeStep)*O$49)</f>
        <v>4.6538387474137369E-2</v>
      </c>
      <c r="P41" s="20">
        <f ca="1">+O41+O41*Volatility!O41*(-DriftSum!P41*TimeStep+SQRT(TimeStep)*P$49)</f>
        <v>4.5125577313804788E-2</v>
      </c>
      <c r="Q41" s="20">
        <f ca="1">+P41+P41*Volatility!P41*(-DriftSum!Q41*TimeStep+SQRT(TimeStep)*Q$49)</f>
        <v>4.5396198750512547E-2</v>
      </c>
      <c r="R41" s="20">
        <f ca="1">+Q41+Q41*Volatility!Q41*(-DriftSum!R41*TimeStep+SQRT(TimeStep)*R$49)</f>
        <v>4.6776819578090156E-2</v>
      </c>
      <c r="S41" s="20">
        <f ca="1">+R41+R41*Volatility!R41*(-DriftSum!S41*TimeStep+SQRT(TimeStep)*S$49)</f>
        <v>4.9492773845102166E-2</v>
      </c>
      <c r="T41" s="20">
        <f ca="1">+S41+S41*Volatility!S41*(-DriftSum!T41*TimeStep+SQRT(TimeStep)*T$49)</f>
        <v>4.8440882767227758E-2</v>
      </c>
      <c r="U41" s="20">
        <f ca="1">+T41+T41*Volatility!T41*(-DriftSum!U41*TimeStep+SQRT(TimeStep)*U$49)</f>
        <v>4.8283800699951654E-2</v>
      </c>
      <c r="V41" s="20">
        <f ca="1">+U41+U41*Volatility!U41*(-DriftSum!V41*TimeStep+SQRT(TimeStep)*V$49)</f>
        <v>4.668677720038962E-2</v>
      </c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</row>
    <row r="42" spans="4:134" x14ac:dyDescent="0.2">
      <c r="D42" s="2">
        <f t="shared" si="2"/>
        <v>1.25</v>
      </c>
      <c r="E42" s="10">
        <f t="shared" si="3"/>
        <v>0.94999522083800458</v>
      </c>
      <c r="F42" s="12" t="str">
        <f t="shared" si="4"/>
        <v>L(t;1,1.25)</v>
      </c>
      <c r="G42" s="19">
        <v>4.2500000000000003E-2</v>
      </c>
      <c r="H42" s="20">
        <f ca="1">+G42+G42*Volatility!G42*(-DriftSum!H42*TimeStep+SQRT(TimeStep)*H$49)</f>
        <v>4.381401905241069E-2</v>
      </c>
      <c r="I42" s="20">
        <f ca="1">+H42+H42*Volatility!H42*(-DriftSum!I42*TimeStep+SQRT(TimeStep)*I$49)</f>
        <v>4.3881722297518931E-2</v>
      </c>
      <c r="J42" s="20">
        <f ca="1">+I42+I42*Volatility!I42*(-DriftSum!J42*TimeStep+SQRT(TimeStep)*J$49)</f>
        <v>4.2630875454211584E-2</v>
      </c>
      <c r="K42" s="20">
        <f ca="1">+J42+J42*Volatility!J42*(-DriftSum!K42*TimeStep+SQRT(TimeStep)*K$49)</f>
        <v>4.3037484462847421E-2</v>
      </c>
      <c r="L42" s="20">
        <f ca="1">+K42+K42*Volatility!K42*(-DriftSum!L42*TimeStep+SQRT(TimeStep)*L$49)</f>
        <v>4.1645221142159329E-2</v>
      </c>
      <c r="M42" s="20">
        <f ca="1">+L42+L42*Volatility!L42*(-DriftSum!M42*TimeStep+SQRT(TimeStep)*M$49)</f>
        <v>4.4500472867270324E-2</v>
      </c>
      <c r="N42" s="20">
        <f ca="1">+M42+M42*Volatility!M42*(-DriftSum!N42*TimeStep+SQRT(TimeStep)*N$49)</f>
        <v>4.4036473974376815E-2</v>
      </c>
      <c r="O42" s="20">
        <f ca="1">+N42+N42*Volatility!N42*(-DriftSum!O42*TimeStep+SQRT(TimeStep)*O$49)</f>
        <v>4.570495011242235E-2</v>
      </c>
      <c r="P42" s="20">
        <f ca="1">+O42+O42*Volatility!O42*(-DriftSum!P42*TimeStep+SQRT(TimeStep)*P$49)</f>
        <v>4.4382850937046497E-2</v>
      </c>
      <c r="Q42" s="20">
        <f ca="1">+P42+P42*Volatility!P42*(-DriftSum!Q42*TimeStep+SQRT(TimeStep)*Q$49)</f>
        <v>4.4635719712798845E-2</v>
      </c>
      <c r="R42" s="20">
        <f ca="1">+Q42+Q42*Volatility!Q42*(-DriftSum!R42*TimeStep+SQRT(TimeStep)*R$49)</f>
        <v>4.5927938697418957E-2</v>
      </c>
      <c r="S42" s="20">
        <f ca="1">+R42+R42*Volatility!R42*(-DriftSum!S42*TimeStep+SQRT(TimeStep)*S$49)</f>
        <v>4.846695223434884E-2</v>
      </c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</row>
    <row r="43" spans="4:134" x14ac:dyDescent="0.2">
      <c r="D43" s="2">
        <f t="shared" si="2"/>
        <v>1</v>
      </c>
      <c r="E43" s="10">
        <f t="shared" si="3"/>
        <v>0.96008892005940849</v>
      </c>
      <c r="F43" s="12" t="str">
        <f t="shared" si="4"/>
        <v>L(t;0.75,1)</v>
      </c>
      <c r="G43" s="19">
        <v>4.1875000000000002E-2</v>
      </c>
      <c r="H43" s="20">
        <f ca="1">+G43+G43*Volatility!G43*(-DriftSum!H43*TimeStep+SQRT(TimeStep)*H$49)</f>
        <v>4.3106511894284327E-2</v>
      </c>
      <c r="I43" s="20">
        <f ca="1">+H43+H43*Volatility!H43*(-DriftSum!I43*TimeStep+SQRT(TimeStep)*I$49)</f>
        <v>4.3169295160016011E-2</v>
      </c>
      <c r="J43" s="20">
        <f ca="1">+I43+I43*Volatility!I43*(-DriftSum!J43*TimeStep+SQRT(TimeStep)*J$49)</f>
        <v>4.1999748952959451E-2</v>
      </c>
      <c r="K43" s="20">
        <f ca="1">+J43+J43*Volatility!J43*(-DriftSum!K43*TimeStep+SQRT(TimeStep)*K$49)</f>
        <v>4.2379803963669992E-2</v>
      </c>
      <c r="L43" s="20">
        <f ca="1">+K43+K43*Volatility!K43*(-DriftSum!L43*TimeStep+SQRT(TimeStep)*L$49)</f>
        <v>4.1076851701222036E-2</v>
      </c>
      <c r="M43" s="20">
        <f ca="1">+L43+L43*Volatility!L43*(-DriftSum!M43*TimeStep+SQRT(TimeStep)*M$49)</f>
        <v>4.3751838570870213E-2</v>
      </c>
      <c r="N43" s="20">
        <f ca="1">+M43+M43*Volatility!M43*(-DriftSum!N43*TimeStep+SQRT(TimeStep)*N$49)</f>
        <v>4.3317906428162981E-2</v>
      </c>
      <c r="O43" s="20">
        <f ca="1">+N43+N43*Volatility!N43*(-DriftSum!O43*TimeStep+SQRT(TimeStep)*O$49)</f>
        <v>4.4876556845318653E-2</v>
      </c>
      <c r="P43" s="20">
        <f ca="1">+O43+O43*Volatility!O43*(-DriftSum!P43*TimeStep+SQRT(TimeStep)*P$49)</f>
        <v>4.3642749323652127E-2</v>
      </c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</row>
    <row r="44" spans="4:134" x14ac:dyDescent="0.2">
      <c r="D44" s="2">
        <f t="shared" si="2"/>
        <v>0.75</v>
      </c>
      <c r="E44" s="10">
        <f t="shared" si="3"/>
        <v>0.97013985094128041</v>
      </c>
      <c r="F44" s="12" t="str">
        <f t="shared" si="4"/>
        <v>L(t;0.5,0.75)</v>
      </c>
      <c r="G44" s="19">
        <v>4.1250000000000002E-2</v>
      </c>
      <c r="H44" s="20">
        <f ca="1">+G44+G44*Volatility!G44*(-DriftSum!H44*TimeStep+SQRT(TimeStep)*H$49)</f>
        <v>4.2400975818528711E-2</v>
      </c>
      <c r="I44" s="20">
        <f ca="1">+H44+H44*Volatility!H44*(-DriftSum!I44*TimeStep+SQRT(TimeStep)*I$49)</f>
        <v>4.2459056535591733E-2</v>
      </c>
      <c r="J44" s="20">
        <f ca="1">+I44+I44*Volatility!I44*(-DriftSum!J44*TimeStep+SQRT(TimeStep)*J$49)</f>
        <v>4.1368829382324418E-2</v>
      </c>
      <c r="K44" s="20">
        <f ca="1">+J44+J44*Volatility!J44*(-DriftSum!K44*TimeStep+SQRT(TimeStep)*K$49)</f>
        <v>4.1723031767581631E-2</v>
      </c>
      <c r="L44" s="20">
        <f ca="1">+K44+K44*Volatility!K44*(-DriftSum!L44*TimeStep+SQRT(TimeStep)*L$49)</f>
        <v>4.0507336630674122E-2</v>
      </c>
      <c r="M44" s="20">
        <f ca="1">+L44+L44*Volatility!L44*(-DriftSum!M44*TimeStep+SQRT(TimeStep)*M$49)</f>
        <v>4.3005976560532858E-2</v>
      </c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</row>
    <row r="45" spans="4:134" x14ac:dyDescent="0.2">
      <c r="D45" s="2">
        <f t="shared" si="2"/>
        <v>0.5</v>
      </c>
      <c r="E45" s="10">
        <f t="shared" si="3"/>
        <v>0.98014441815411235</v>
      </c>
      <c r="F45" s="12" t="str">
        <f t="shared" si="4"/>
        <v>L(t;0.25,0.5)</v>
      </c>
      <c r="G45" s="19">
        <v>4.0625000000000001E-2</v>
      </c>
      <c r="H45" s="20">
        <f ca="1">+G45+G45*Volatility!G45*(-DriftSum!H45*TimeStep+SQRT(TimeStep)*H$49)</f>
        <v>4.169740135984279E-2</v>
      </c>
      <c r="I45" s="20">
        <f ca="1">+H45+H45*Volatility!H45*(-DriftSum!I45*TimeStep+SQRT(TimeStep)*I$49)</f>
        <v>4.1750985896213066E-2</v>
      </c>
      <c r="J45" s="20">
        <f ca="1">+I45+I45*Volatility!I45*(-DriftSum!J45*TimeStep+SQRT(TimeStep)*J$49)</f>
        <v>4.0738095515765425E-2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</row>
    <row r="46" spans="4:134" x14ac:dyDescent="0.2">
      <c r="D46" s="2">
        <f>+D47+$E$3</f>
        <v>0.25</v>
      </c>
      <c r="E46" s="10">
        <f t="shared" si="3"/>
        <v>0.99009900990099009</v>
      </c>
      <c r="F46" s="12" t="str">
        <f t="shared" si="4"/>
        <v>L(t;0,0.25)</v>
      </c>
      <c r="G46" s="19">
        <v>0.04</v>
      </c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</row>
    <row r="47" spans="4:134" s="9" customFormat="1" x14ac:dyDescent="0.2">
      <c r="D47" s="2">
        <v>0</v>
      </c>
      <c r="E47" s="10">
        <v>1</v>
      </c>
      <c r="F47" s="11" t="s">
        <v>6</v>
      </c>
      <c r="G47" s="8">
        <v>0</v>
      </c>
      <c r="H47" s="8">
        <f>+G47+$E$2</f>
        <v>8.3333333333333329E-2</v>
      </c>
      <c r="I47" s="8">
        <f t="shared" ref="I47:BT47" si="5">+H47+$E$2</f>
        <v>0.16666666666666666</v>
      </c>
      <c r="J47" s="8">
        <f t="shared" si="5"/>
        <v>0.25</v>
      </c>
      <c r="K47" s="8">
        <f t="shared" si="5"/>
        <v>0.33333333333333331</v>
      </c>
      <c r="L47" s="8">
        <f t="shared" si="5"/>
        <v>0.41666666666666663</v>
      </c>
      <c r="M47" s="8">
        <f t="shared" si="5"/>
        <v>0.49999999999999994</v>
      </c>
      <c r="N47" s="8">
        <f t="shared" si="5"/>
        <v>0.58333333333333326</v>
      </c>
      <c r="O47" s="8">
        <f t="shared" si="5"/>
        <v>0.66666666666666663</v>
      </c>
      <c r="P47" s="8">
        <f t="shared" si="5"/>
        <v>0.75</v>
      </c>
      <c r="Q47" s="8">
        <f t="shared" si="5"/>
        <v>0.83333333333333337</v>
      </c>
      <c r="R47" s="8">
        <f t="shared" si="5"/>
        <v>0.91666666666666674</v>
      </c>
      <c r="S47" s="8">
        <f t="shared" si="5"/>
        <v>1</v>
      </c>
      <c r="T47" s="8">
        <f t="shared" si="5"/>
        <v>1.0833333333333333</v>
      </c>
      <c r="U47" s="8">
        <f t="shared" si="5"/>
        <v>1.1666666666666665</v>
      </c>
      <c r="V47" s="8">
        <f t="shared" si="5"/>
        <v>1.2499999999999998</v>
      </c>
      <c r="W47" s="8">
        <f t="shared" si="5"/>
        <v>1.333333333333333</v>
      </c>
      <c r="X47" s="8">
        <f t="shared" si="5"/>
        <v>1.4166666666666663</v>
      </c>
      <c r="Y47" s="8">
        <f t="shared" si="5"/>
        <v>1.4999999999999996</v>
      </c>
      <c r="Z47" s="8">
        <f t="shared" si="5"/>
        <v>1.5833333333333328</v>
      </c>
      <c r="AA47" s="8">
        <f t="shared" si="5"/>
        <v>1.6666666666666661</v>
      </c>
      <c r="AB47" s="8">
        <f t="shared" si="5"/>
        <v>1.7499999999999993</v>
      </c>
      <c r="AC47" s="8">
        <f t="shared" si="5"/>
        <v>1.8333333333333326</v>
      </c>
      <c r="AD47" s="8">
        <f t="shared" si="5"/>
        <v>1.9166666666666659</v>
      </c>
      <c r="AE47" s="8">
        <f t="shared" si="5"/>
        <v>1.9999999999999991</v>
      </c>
      <c r="AF47" s="8">
        <f t="shared" si="5"/>
        <v>2.0833333333333326</v>
      </c>
      <c r="AG47" s="8">
        <f t="shared" si="5"/>
        <v>2.1666666666666661</v>
      </c>
      <c r="AH47" s="8">
        <f t="shared" si="5"/>
        <v>2.2499999999999996</v>
      </c>
      <c r="AI47" s="8">
        <f t="shared" si="5"/>
        <v>2.333333333333333</v>
      </c>
      <c r="AJ47" s="8">
        <f t="shared" si="5"/>
        <v>2.4166666666666665</v>
      </c>
      <c r="AK47" s="8">
        <f t="shared" si="5"/>
        <v>2.5</v>
      </c>
      <c r="AL47" s="8">
        <f t="shared" si="5"/>
        <v>2.5833333333333335</v>
      </c>
      <c r="AM47" s="8">
        <f t="shared" si="5"/>
        <v>2.666666666666667</v>
      </c>
      <c r="AN47" s="8">
        <f t="shared" si="5"/>
        <v>2.7500000000000004</v>
      </c>
      <c r="AO47" s="8">
        <f t="shared" si="5"/>
        <v>2.8333333333333339</v>
      </c>
      <c r="AP47" s="8">
        <f t="shared" si="5"/>
        <v>2.9166666666666674</v>
      </c>
      <c r="AQ47" s="8">
        <f t="shared" si="5"/>
        <v>3.0000000000000009</v>
      </c>
      <c r="AR47" s="8">
        <f t="shared" si="5"/>
        <v>3.0833333333333344</v>
      </c>
      <c r="AS47" s="8">
        <f t="shared" si="5"/>
        <v>3.1666666666666679</v>
      </c>
      <c r="AT47" s="8">
        <f t="shared" si="5"/>
        <v>3.2500000000000013</v>
      </c>
      <c r="AU47" s="8">
        <f t="shared" si="5"/>
        <v>3.3333333333333348</v>
      </c>
      <c r="AV47" s="8">
        <f t="shared" si="5"/>
        <v>3.4166666666666683</v>
      </c>
      <c r="AW47" s="8">
        <f t="shared" si="5"/>
        <v>3.5000000000000018</v>
      </c>
      <c r="AX47" s="8">
        <f t="shared" si="5"/>
        <v>3.5833333333333353</v>
      </c>
      <c r="AY47" s="8">
        <f t="shared" si="5"/>
        <v>3.6666666666666687</v>
      </c>
      <c r="AZ47" s="8">
        <f t="shared" si="5"/>
        <v>3.7500000000000022</v>
      </c>
      <c r="BA47" s="8">
        <f t="shared" si="5"/>
        <v>3.8333333333333357</v>
      </c>
      <c r="BB47" s="8">
        <f t="shared" si="5"/>
        <v>3.9166666666666692</v>
      </c>
      <c r="BC47" s="8">
        <f t="shared" si="5"/>
        <v>4.0000000000000027</v>
      </c>
      <c r="BD47" s="8">
        <f t="shared" si="5"/>
        <v>4.0833333333333357</v>
      </c>
      <c r="BE47" s="8">
        <f t="shared" si="5"/>
        <v>4.1666666666666687</v>
      </c>
      <c r="BF47" s="8">
        <f t="shared" si="5"/>
        <v>4.2500000000000018</v>
      </c>
      <c r="BG47" s="8">
        <f t="shared" si="5"/>
        <v>4.3333333333333348</v>
      </c>
      <c r="BH47" s="8">
        <f t="shared" si="5"/>
        <v>4.4166666666666679</v>
      </c>
      <c r="BI47" s="8">
        <f t="shared" si="5"/>
        <v>4.5000000000000009</v>
      </c>
      <c r="BJ47" s="8">
        <f t="shared" si="5"/>
        <v>4.5833333333333339</v>
      </c>
      <c r="BK47" s="8">
        <f t="shared" si="5"/>
        <v>4.666666666666667</v>
      </c>
      <c r="BL47" s="8">
        <f t="shared" si="5"/>
        <v>4.75</v>
      </c>
      <c r="BM47" s="8">
        <f t="shared" si="5"/>
        <v>4.833333333333333</v>
      </c>
      <c r="BN47" s="8">
        <f t="shared" si="5"/>
        <v>4.9166666666666661</v>
      </c>
      <c r="BO47" s="8">
        <f t="shared" si="5"/>
        <v>4.9999999999999991</v>
      </c>
      <c r="BP47" s="8">
        <f t="shared" si="5"/>
        <v>5.0833333333333321</v>
      </c>
      <c r="BQ47" s="8">
        <f t="shared" si="5"/>
        <v>5.1666666666666652</v>
      </c>
      <c r="BR47" s="8">
        <f t="shared" si="5"/>
        <v>5.2499999999999982</v>
      </c>
      <c r="BS47" s="8">
        <f t="shared" si="5"/>
        <v>5.3333333333333313</v>
      </c>
      <c r="BT47" s="8">
        <f t="shared" si="5"/>
        <v>5.4166666666666643</v>
      </c>
      <c r="BU47" s="8">
        <f t="shared" ref="BU47:DW47" si="6">+BT47+$E$2</f>
        <v>5.4999999999999973</v>
      </c>
      <c r="BV47" s="8">
        <f t="shared" si="6"/>
        <v>5.5833333333333304</v>
      </c>
      <c r="BW47" s="8">
        <f t="shared" si="6"/>
        <v>5.6666666666666634</v>
      </c>
      <c r="BX47" s="8">
        <f t="shared" si="6"/>
        <v>5.7499999999999964</v>
      </c>
      <c r="BY47" s="8">
        <f t="shared" si="6"/>
        <v>5.8333333333333295</v>
      </c>
      <c r="BZ47" s="8">
        <f t="shared" si="6"/>
        <v>5.9166666666666625</v>
      </c>
      <c r="CA47" s="8">
        <f t="shared" si="6"/>
        <v>5.9999999999999956</v>
      </c>
      <c r="CB47" s="8">
        <f t="shared" si="6"/>
        <v>6.0833333333333286</v>
      </c>
      <c r="CC47" s="8">
        <f t="shared" si="6"/>
        <v>6.1666666666666616</v>
      </c>
      <c r="CD47" s="8">
        <f t="shared" si="6"/>
        <v>6.2499999999999947</v>
      </c>
      <c r="CE47" s="8">
        <f t="shared" si="6"/>
        <v>6.3333333333333277</v>
      </c>
      <c r="CF47" s="8">
        <f t="shared" si="6"/>
        <v>6.4166666666666607</v>
      </c>
      <c r="CG47" s="8">
        <f t="shared" si="6"/>
        <v>6.4999999999999938</v>
      </c>
      <c r="CH47" s="8">
        <f t="shared" si="6"/>
        <v>6.5833333333333268</v>
      </c>
      <c r="CI47" s="8">
        <f t="shared" si="6"/>
        <v>6.6666666666666599</v>
      </c>
      <c r="CJ47" s="8">
        <f t="shared" si="6"/>
        <v>6.7499999999999929</v>
      </c>
      <c r="CK47" s="8">
        <f t="shared" si="6"/>
        <v>6.8333333333333259</v>
      </c>
      <c r="CL47" s="8">
        <f t="shared" si="6"/>
        <v>6.916666666666659</v>
      </c>
      <c r="CM47" s="8">
        <f t="shared" si="6"/>
        <v>6.999999999999992</v>
      </c>
      <c r="CN47" s="8">
        <f t="shared" si="6"/>
        <v>7.083333333333325</v>
      </c>
      <c r="CO47" s="8">
        <f t="shared" si="6"/>
        <v>7.1666666666666581</v>
      </c>
      <c r="CP47" s="8">
        <f t="shared" si="6"/>
        <v>7.2499999999999911</v>
      </c>
      <c r="CQ47" s="8">
        <f t="shared" si="6"/>
        <v>7.3333333333333242</v>
      </c>
      <c r="CR47" s="8">
        <f t="shared" si="6"/>
        <v>7.4166666666666572</v>
      </c>
      <c r="CS47" s="8">
        <f t="shared" si="6"/>
        <v>7.4999999999999902</v>
      </c>
      <c r="CT47" s="8">
        <f t="shared" si="6"/>
        <v>7.5833333333333233</v>
      </c>
      <c r="CU47" s="8">
        <f t="shared" si="6"/>
        <v>7.6666666666666563</v>
      </c>
      <c r="CV47" s="8">
        <f t="shared" si="6"/>
        <v>7.7499999999999893</v>
      </c>
      <c r="CW47" s="8">
        <f t="shared" si="6"/>
        <v>7.8333333333333224</v>
      </c>
      <c r="CX47" s="8">
        <f t="shared" si="6"/>
        <v>7.9166666666666554</v>
      </c>
      <c r="CY47" s="8">
        <f t="shared" si="6"/>
        <v>7.9999999999999885</v>
      </c>
      <c r="CZ47" s="8">
        <f t="shared" si="6"/>
        <v>8.0833333333333215</v>
      </c>
      <c r="DA47" s="8">
        <f t="shared" si="6"/>
        <v>8.1666666666666554</v>
      </c>
      <c r="DB47" s="8">
        <f t="shared" si="6"/>
        <v>8.2499999999999893</v>
      </c>
      <c r="DC47" s="8">
        <f t="shared" si="6"/>
        <v>8.3333333333333233</v>
      </c>
      <c r="DD47" s="8">
        <f t="shared" si="6"/>
        <v>8.4166666666666572</v>
      </c>
      <c r="DE47" s="8">
        <f t="shared" si="6"/>
        <v>8.4999999999999911</v>
      </c>
      <c r="DF47" s="8">
        <f t="shared" si="6"/>
        <v>8.583333333333325</v>
      </c>
      <c r="DG47" s="8">
        <f t="shared" si="6"/>
        <v>8.666666666666659</v>
      </c>
      <c r="DH47" s="8">
        <f t="shared" si="6"/>
        <v>8.7499999999999929</v>
      </c>
      <c r="DI47" s="8">
        <f t="shared" si="6"/>
        <v>8.8333333333333268</v>
      </c>
      <c r="DJ47" s="8">
        <f t="shared" si="6"/>
        <v>8.9166666666666607</v>
      </c>
      <c r="DK47" s="8">
        <f t="shared" si="6"/>
        <v>8.9999999999999947</v>
      </c>
      <c r="DL47" s="8">
        <f t="shared" si="6"/>
        <v>9.0833333333333286</v>
      </c>
      <c r="DM47" s="8">
        <f t="shared" si="6"/>
        <v>9.1666666666666625</v>
      </c>
      <c r="DN47" s="8">
        <f t="shared" si="6"/>
        <v>9.2499999999999964</v>
      </c>
      <c r="DO47" s="8">
        <f t="shared" si="6"/>
        <v>9.3333333333333304</v>
      </c>
      <c r="DP47" s="8">
        <f t="shared" si="6"/>
        <v>9.4166666666666643</v>
      </c>
      <c r="DQ47" s="8">
        <f t="shared" si="6"/>
        <v>9.4999999999999982</v>
      </c>
      <c r="DR47" s="8">
        <f t="shared" si="6"/>
        <v>9.5833333333333321</v>
      </c>
      <c r="DS47" s="8">
        <f t="shared" si="6"/>
        <v>9.6666666666666661</v>
      </c>
      <c r="DT47" s="8">
        <f t="shared" si="6"/>
        <v>9.75</v>
      </c>
      <c r="DU47" s="8">
        <f t="shared" si="6"/>
        <v>9.8333333333333339</v>
      </c>
      <c r="DV47" s="8">
        <f t="shared" si="6"/>
        <v>9.9166666666666679</v>
      </c>
      <c r="DW47" s="8">
        <f t="shared" si="6"/>
        <v>10.000000000000002</v>
      </c>
    </row>
    <row r="48" spans="4:134" x14ac:dyDescent="0.2">
      <c r="DX48" s="2"/>
      <c r="DY48" s="2"/>
      <c r="DZ48" s="2"/>
      <c r="EA48" s="2"/>
      <c r="EB48" s="2"/>
      <c r="EC48" s="2"/>
      <c r="ED48" s="2"/>
    </row>
    <row r="49" spans="3:127" x14ac:dyDescent="0.2">
      <c r="G49" s="4" t="s">
        <v>4</v>
      </c>
      <c r="H49" s="22">
        <f ca="1">NORMSINV(RAND())</f>
        <v>0.87764061031665896</v>
      </c>
      <c r="I49" s="22">
        <f t="shared" ref="I49:BT49" ca="1" si="7">NORMSINV(RAND())</f>
        <v>5.8268873657878466E-2</v>
      </c>
      <c r="J49" s="22">
        <f t="shared" ca="1" si="7"/>
        <v>-0.80837787874403255</v>
      </c>
      <c r="K49" s="22">
        <f t="shared" ca="1" si="7"/>
        <v>0.28941298459863152</v>
      </c>
      <c r="L49" s="22">
        <f t="shared" ca="1" si="7"/>
        <v>-0.91964892367866513</v>
      </c>
      <c r="M49" s="22">
        <f t="shared" ca="1" si="7"/>
        <v>1.9929517205442935</v>
      </c>
      <c r="N49" s="22">
        <f t="shared" ca="1" si="7"/>
        <v>-0.28629095720862663</v>
      </c>
      <c r="O49" s="22">
        <f t="shared" ca="1" si="7"/>
        <v>1.1083019317153544</v>
      </c>
      <c r="P49" s="22">
        <f t="shared" ca="1" si="7"/>
        <v>-0.81993304807931999</v>
      </c>
      <c r="Q49" s="22">
        <f t="shared" ca="1" si="7"/>
        <v>0.17914724901330989</v>
      </c>
      <c r="R49" s="22">
        <f t="shared" ca="1" si="7"/>
        <v>0.85048792010986762</v>
      </c>
      <c r="S49" s="22">
        <f t="shared" ca="1" si="7"/>
        <v>1.6110666178448037</v>
      </c>
      <c r="T49" s="22">
        <f t="shared" ca="1" si="7"/>
        <v>-0.56871700817399651</v>
      </c>
      <c r="U49" s="22">
        <f t="shared" ca="1" si="7"/>
        <v>-7.3866005542765359E-2</v>
      </c>
      <c r="V49" s="22">
        <f t="shared" ca="1" si="7"/>
        <v>-0.89410462256376988</v>
      </c>
      <c r="W49" s="22">
        <f t="shared" ca="1" si="7"/>
        <v>-2.2122266642976567</v>
      </c>
      <c r="X49" s="22">
        <f t="shared" ca="1" si="7"/>
        <v>0.64252414404758418</v>
      </c>
      <c r="Y49" s="22">
        <f t="shared" ca="1" si="7"/>
        <v>-0.51046027073187883</v>
      </c>
      <c r="Z49" s="22">
        <f t="shared" ca="1" si="7"/>
        <v>0.8096856647236772</v>
      </c>
      <c r="AA49" s="22">
        <f t="shared" ca="1" si="7"/>
        <v>0.63868265295033888</v>
      </c>
      <c r="AB49" s="22">
        <f t="shared" ca="1" si="7"/>
        <v>-8.8258355793432317E-2</v>
      </c>
      <c r="AC49" s="22">
        <f t="shared" ca="1" si="7"/>
        <v>-0.70338225290186329</v>
      </c>
      <c r="AD49" s="22">
        <f t="shared" ca="1" si="7"/>
        <v>-0.30936659999044219</v>
      </c>
      <c r="AE49" s="22">
        <f t="shared" ca="1" si="7"/>
        <v>1.7464111105823521</v>
      </c>
      <c r="AF49" s="22">
        <f t="shared" ca="1" si="7"/>
        <v>0.18619137697179072</v>
      </c>
      <c r="AG49" s="22">
        <f t="shared" ca="1" si="7"/>
        <v>0.45388935673360103</v>
      </c>
      <c r="AH49" s="22">
        <f t="shared" ca="1" si="7"/>
        <v>0.51479117587470824</v>
      </c>
      <c r="AI49" s="22">
        <f t="shared" ca="1" si="7"/>
        <v>1.7018077953614936</v>
      </c>
      <c r="AJ49" s="22">
        <f t="shared" ca="1" si="7"/>
        <v>0.37254880342174185</v>
      </c>
      <c r="AK49" s="22">
        <f t="shared" ca="1" si="7"/>
        <v>1.2457378738522928</v>
      </c>
      <c r="AL49" s="22">
        <f t="shared" ca="1" si="7"/>
        <v>0.57117041332681406</v>
      </c>
      <c r="AM49" s="22">
        <f t="shared" ca="1" si="7"/>
        <v>-0.17603614043680713</v>
      </c>
      <c r="AN49" s="22">
        <f t="shared" ca="1" si="7"/>
        <v>-1.9880564058954404</v>
      </c>
      <c r="AO49" s="22">
        <f t="shared" ca="1" si="7"/>
        <v>-0.58721048647334795</v>
      </c>
      <c r="AP49" s="22">
        <f t="shared" ca="1" si="7"/>
        <v>-1.254756542329724</v>
      </c>
      <c r="AQ49" s="22">
        <f t="shared" ca="1" si="7"/>
        <v>0.71666451401624498</v>
      </c>
      <c r="AR49" s="22">
        <f t="shared" ca="1" si="7"/>
        <v>0.95800208518550445</v>
      </c>
      <c r="AS49" s="22">
        <f t="shared" ca="1" si="7"/>
        <v>-0.69008345361373702</v>
      </c>
      <c r="AT49" s="22">
        <f t="shared" ca="1" si="7"/>
        <v>-0.29474610614456043</v>
      </c>
      <c r="AU49" s="22">
        <f t="shared" ca="1" si="7"/>
        <v>0.87723749082935165</v>
      </c>
      <c r="AV49" s="22">
        <f t="shared" ca="1" si="7"/>
        <v>0.18333471169546997</v>
      </c>
      <c r="AW49" s="22">
        <f t="shared" ca="1" si="7"/>
        <v>1.0068452122194005</v>
      </c>
      <c r="AX49" s="22">
        <f t="shared" ca="1" si="7"/>
        <v>-1.0303611343661971</v>
      </c>
      <c r="AY49" s="22">
        <f t="shared" ca="1" si="7"/>
        <v>0.76491485264235615</v>
      </c>
      <c r="AZ49" s="22">
        <f t="shared" ca="1" si="7"/>
        <v>0.636765461476272</v>
      </c>
      <c r="BA49" s="22">
        <f t="shared" ca="1" si="7"/>
        <v>1.6652664938000343</v>
      </c>
      <c r="BB49" s="22">
        <f t="shared" ca="1" si="7"/>
        <v>0.40461834453281376</v>
      </c>
      <c r="BC49" s="22">
        <f t="shared" ca="1" si="7"/>
        <v>-1.0276832719720699</v>
      </c>
      <c r="BD49" s="22">
        <f t="shared" ca="1" si="7"/>
        <v>-7.1910742270256275E-2</v>
      </c>
      <c r="BE49" s="22">
        <f t="shared" ca="1" si="7"/>
        <v>-0.50010698126213571</v>
      </c>
      <c r="BF49" s="22">
        <f t="shared" ca="1" si="7"/>
        <v>-1.6601432252620734</v>
      </c>
      <c r="BG49" s="22">
        <f t="shared" ca="1" si="7"/>
        <v>1.887076535309419</v>
      </c>
      <c r="BH49" s="22">
        <f t="shared" ca="1" si="7"/>
        <v>-0.85819933114551705</v>
      </c>
      <c r="BI49" s="22">
        <f t="shared" ca="1" si="7"/>
        <v>-2.3231222106138754</v>
      </c>
      <c r="BJ49" s="22">
        <f t="shared" ca="1" si="7"/>
        <v>0.57973404736480449</v>
      </c>
      <c r="BK49" s="22">
        <f t="shared" ca="1" si="7"/>
        <v>0.78347505490633185</v>
      </c>
      <c r="BL49" s="22">
        <f t="shared" ca="1" si="7"/>
        <v>0.80878206675529984</v>
      </c>
      <c r="BM49" s="22">
        <f t="shared" ca="1" si="7"/>
        <v>-1.4090214217095622</v>
      </c>
      <c r="BN49" s="22">
        <f t="shared" ca="1" si="7"/>
        <v>0.44635053602247315</v>
      </c>
      <c r="BO49" s="22">
        <f t="shared" ca="1" si="7"/>
        <v>1.1911128273552067</v>
      </c>
      <c r="BP49" s="22">
        <f t="shared" ca="1" si="7"/>
        <v>0.19528633559655251</v>
      </c>
      <c r="BQ49" s="22">
        <f t="shared" ca="1" si="7"/>
        <v>8.3915763281318598E-2</v>
      </c>
      <c r="BR49" s="22">
        <f t="shared" ca="1" si="7"/>
        <v>1.3792192059460227</v>
      </c>
      <c r="BS49" s="22">
        <f t="shared" ca="1" si="7"/>
        <v>-1.7035887843071609</v>
      </c>
      <c r="BT49" s="22">
        <f t="shared" ca="1" si="7"/>
        <v>-1.318900397015955</v>
      </c>
      <c r="BU49" s="22">
        <f t="shared" ref="BU49:DW49" ca="1" si="8">NORMSINV(RAND())</f>
        <v>-1.2367682474688135</v>
      </c>
      <c r="BV49" s="22">
        <f t="shared" ca="1" si="8"/>
        <v>1.79564069442899</v>
      </c>
      <c r="BW49" s="22">
        <f t="shared" ca="1" si="8"/>
        <v>-2.2482174834519606</v>
      </c>
      <c r="BX49" s="22">
        <f t="shared" ca="1" si="8"/>
        <v>-0.71436308599850162</v>
      </c>
      <c r="BY49" s="22">
        <f t="shared" ca="1" si="8"/>
        <v>0.26104241976579168</v>
      </c>
      <c r="BZ49" s="22">
        <f t="shared" ca="1" si="8"/>
        <v>2.2262740275774715</v>
      </c>
      <c r="CA49" s="22">
        <f t="shared" ca="1" si="8"/>
        <v>-1.0917150376112861</v>
      </c>
      <c r="CB49" s="22">
        <f t="shared" ca="1" si="8"/>
        <v>0.88693295600421962</v>
      </c>
      <c r="CC49" s="22">
        <f t="shared" ca="1" si="8"/>
        <v>-0.17409732720897317</v>
      </c>
      <c r="CD49" s="22">
        <f t="shared" ca="1" si="8"/>
        <v>0.42311451578899983</v>
      </c>
      <c r="CE49" s="22">
        <f t="shared" ca="1" si="8"/>
        <v>-1.3771628210805427</v>
      </c>
      <c r="CF49" s="22">
        <f t="shared" ca="1" si="8"/>
        <v>1.2699060005548828</v>
      </c>
      <c r="CG49" s="22">
        <f t="shared" ca="1" si="8"/>
        <v>0.45636456251312363</v>
      </c>
      <c r="CH49" s="22">
        <f t="shared" ca="1" si="8"/>
        <v>-1.064518925482361</v>
      </c>
      <c r="CI49" s="22">
        <f t="shared" ca="1" si="8"/>
        <v>-0.20809447790028696</v>
      </c>
      <c r="CJ49" s="22">
        <f t="shared" ca="1" si="8"/>
        <v>-0.74470344174245173</v>
      </c>
      <c r="CK49" s="22">
        <f t="shared" ca="1" si="8"/>
        <v>-0.37311461917841465</v>
      </c>
      <c r="CL49" s="22">
        <f t="shared" ca="1" si="8"/>
        <v>0.88281822490006123</v>
      </c>
      <c r="CM49" s="22">
        <f t="shared" ca="1" si="8"/>
        <v>-0.4763798498478703</v>
      </c>
      <c r="CN49" s="22">
        <f t="shared" ca="1" si="8"/>
        <v>-0.57445549767306681</v>
      </c>
      <c r="CO49" s="22">
        <f t="shared" ca="1" si="8"/>
        <v>-1.7354823556759864</v>
      </c>
      <c r="CP49" s="22">
        <f t="shared" ca="1" si="8"/>
        <v>0.64568091577798592</v>
      </c>
      <c r="CQ49" s="22">
        <f t="shared" ca="1" si="8"/>
        <v>1.1776257053954335</v>
      </c>
      <c r="CR49" s="22">
        <f t="shared" ca="1" si="8"/>
        <v>1.0661052469646268</v>
      </c>
      <c r="CS49" s="22">
        <f t="shared" ca="1" si="8"/>
        <v>0.49138091319833749</v>
      </c>
      <c r="CT49" s="22">
        <f t="shared" ca="1" si="8"/>
        <v>1.0252052013092123</v>
      </c>
      <c r="CU49" s="22">
        <f t="shared" ca="1" si="8"/>
        <v>-4.9488168070246877E-2</v>
      </c>
      <c r="CV49" s="22">
        <f t="shared" ca="1" si="8"/>
        <v>7.7266232289665462E-2</v>
      </c>
      <c r="CW49" s="22">
        <f t="shared" ca="1" si="8"/>
        <v>0.91301648517820444</v>
      </c>
      <c r="CX49" s="22">
        <f t="shared" ca="1" si="8"/>
        <v>0.52865331005932248</v>
      </c>
      <c r="CY49" s="22">
        <f t="shared" ca="1" si="8"/>
        <v>1.4230381621712718</v>
      </c>
      <c r="CZ49" s="22">
        <f t="shared" ca="1" si="8"/>
        <v>0.2897919220745348</v>
      </c>
      <c r="DA49" s="22">
        <f t="shared" ca="1" si="8"/>
        <v>0.7482154570844427</v>
      </c>
      <c r="DB49" s="22">
        <f t="shared" ca="1" si="8"/>
        <v>0.64112137087989818</v>
      </c>
      <c r="DC49" s="22">
        <f t="shared" ca="1" si="8"/>
        <v>-0.84591172956749849</v>
      </c>
      <c r="DD49" s="22">
        <f t="shared" ca="1" si="8"/>
        <v>0.67215971414547382</v>
      </c>
      <c r="DE49" s="22">
        <f t="shared" ca="1" si="8"/>
        <v>1.6329894048554277</v>
      </c>
      <c r="DF49" s="22">
        <f t="shared" ca="1" si="8"/>
        <v>-0.37510782749754312</v>
      </c>
      <c r="DG49" s="22">
        <f t="shared" ca="1" si="8"/>
        <v>0.49679666723916432</v>
      </c>
      <c r="DH49" s="22">
        <f t="shared" ca="1" si="8"/>
        <v>1.3803186923807087</v>
      </c>
      <c r="DI49" s="22">
        <f t="shared" ca="1" si="8"/>
        <v>0.23222018116300905</v>
      </c>
      <c r="DJ49" s="22">
        <f t="shared" ca="1" si="8"/>
        <v>-0.38390970878150726</v>
      </c>
      <c r="DK49" s="22">
        <f t="shared" ca="1" si="8"/>
        <v>0.31274286094724574</v>
      </c>
      <c r="DL49" s="22">
        <f t="shared" ca="1" si="8"/>
        <v>-0.36650078120217205</v>
      </c>
      <c r="DM49" s="22">
        <f t="shared" ca="1" si="8"/>
        <v>0.44166195741823644</v>
      </c>
      <c r="DN49" s="22">
        <f t="shared" ca="1" si="8"/>
        <v>1.5529569220117037</v>
      </c>
      <c r="DO49" s="22">
        <f t="shared" ca="1" si="8"/>
        <v>0.94120481254515287</v>
      </c>
      <c r="DP49" s="22">
        <f t="shared" ca="1" si="8"/>
        <v>-1.9499719829225917</v>
      </c>
      <c r="DQ49" s="22">
        <f t="shared" ca="1" si="8"/>
        <v>-2.314725313392616</v>
      </c>
      <c r="DR49" s="22">
        <f t="shared" ca="1" si="8"/>
        <v>0.71207131251878009</v>
      </c>
      <c r="DS49" s="22">
        <f t="shared" ca="1" si="8"/>
        <v>0.97641356126486689</v>
      </c>
      <c r="DT49" s="22">
        <f t="shared" ca="1" si="8"/>
        <v>-1.5048917749632083</v>
      </c>
      <c r="DU49" s="22">
        <f t="shared" ca="1" si="8"/>
        <v>4.3412506450477555E-2</v>
      </c>
      <c r="DV49" s="22">
        <f t="shared" ca="1" si="8"/>
        <v>1.1828680406068195</v>
      </c>
      <c r="DW49" s="22">
        <f t="shared" ca="1" si="8"/>
        <v>-0.28116638950994344</v>
      </c>
    </row>
    <row r="52" spans="3:127" x14ac:dyDescent="0.2">
      <c r="H52" s="1" t="s">
        <v>13</v>
      </c>
    </row>
    <row r="54" spans="3:127" x14ac:dyDescent="0.2">
      <c r="F54" s="23">
        <f>+D7</f>
        <v>10</v>
      </c>
      <c r="G54" s="10">
        <f t="shared" ref="G54:AL54" si="9">G55/(1+LiborTenor*G7)</f>
        <v>0.62440566841067946</v>
      </c>
      <c r="H54" s="10">
        <f t="shared" ca="1" si="9"/>
        <v>0.6223263662846571</v>
      </c>
      <c r="I54" s="10">
        <f t="shared" ca="1" si="9"/>
        <v>0.62182992496234679</v>
      </c>
      <c r="J54" s="10">
        <f t="shared" ca="1" si="9"/>
        <v>0.62992615334195956</v>
      </c>
      <c r="K54" s="10">
        <f t="shared" ca="1" si="9"/>
        <v>0.63363655911142913</v>
      </c>
      <c r="L54" s="10">
        <f t="shared" ca="1" si="9"/>
        <v>0.64266086234164899</v>
      </c>
      <c r="M54" s="10">
        <f t="shared" ca="1" si="9"/>
        <v>0.62410433732893755</v>
      </c>
      <c r="N54" s="10">
        <f t="shared" ca="1" si="9"/>
        <v>0.63368312740695487</v>
      </c>
      <c r="O54" s="10">
        <f t="shared" ca="1" si="9"/>
        <v>0.62311204700629896</v>
      </c>
      <c r="P54" s="10">
        <f t="shared" ca="1" si="9"/>
        <v>0.63135143176611386</v>
      </c>
      <c r="Q54" s="10">
        <f t="shared" ca="1" si="9"/>
        <v>0.63659083585440779</v>
      </c>
      <c r="R54" s="10">
        <f t="shared" ca="1" si="9"/>
        <v>0.6285146397850957</v>
      </c>
      <c r="S54" s="10">
        <f t="shared" ca="1" si="9"/>
        <v>0.61300287853655744</v>
      </c>
      <c r="T54" s="10">
        <f t="shared" ca="1" si="9"/>
        <v>0.62619694466824782</v>
      </c>
      <c r="U54" s="10">
        <f t="shared" ca="1" si="9"/>
        <v>0.62699977664872664</v>
      </c>
      <c r="V54" s="10">
        <f t="shared" ca="1" si="9"/>
        <v>0.63592784547096037</v>
      </c>
      <c r="W54" s="10">
        <f t="shared" ca="1" si="9"/>
        <v>0.66479028487433445</v>
      </c>
      <c r="X54" s="10">
        <f t="shared" ca="1" si="9"/>
        <v>0.65905748292397681</v>
      </c>
      <c r="Y54" s="10">
        <f t="shared" ca="1" si="9"/>
        <v>0.66382062857829272</v>
      </c>
      <c r="Z54" s="10">
        <f t="shared" ca="1" si="9"/>
        <v>0.66395684521144893</v>
      </c>
      <c r="AA54" s="10">
        <f t="shared" ca="1" si="9"/>
        <v>0.65826274764683523</v>
      </c>
      <c r="AB54" s="10">
        <f t="shared" ca="1" si="9"/>
        <v>0.65913425502313472</v>
      </c>
      <c r="AC54" s="10">
        <f t="shared" ca="1" si="9"/>
        <v>0.67319936718190565</v>
      </c>
      <c r="AD54" s="10">
        <f t="shared" ca="1" si="9"/>
        <v>0.6759877237245131</v>
      </c>
      <c r="AE54" s="10">
        <f t="shared" ca="1" si="9"/>
        <v>0.66093142165020557</v>
      </c>
      <c r="AF54" s="10">
        <f t="shared" ca="1" si="9"/>
        <v>0.66737212308225669</v>
      </c>
      <c r="AG54" s="10">
        <f t="shared" ca="1" si="9"/>
        <v>0.66341042821772267</v>
      </c>
      <c r="AH54" s="10">
        <f t="shared" ca="1" si="9"/>
        <v>0.6588707155953285</v>
      </c>
      <c r="AI54" s="10">
        <f t="shared" ca="1" si="9"/>
        <v>0.65258195531884422</v>
      </c>
      <c r="AJ54" s="10">
        <f t="shared" ca="1" si="9"/>
        <v>0.64925904060211814</v>
      </c>
      <c r="AK54" s="10">
        <f t="shared" ca="1" si="9"/>
        <v>0.63799578370745291</v>
      </c>
      <c r="AL54" s="10">
        <f t="shared" ca="1" si="9"/>
        <v>0.64235534271546402</v>
      </c>
      <c r="AM54" s="10">
        <f t="shared" ref="AM54:BR54" ca="1" si="10">AM55/(1+LiborTenor*AM7)</f>
        <v>0.64404497404401695</v>
      </c>
      <c r="AN54" s="10">
        <f t="shared" ca="1" si="10"/>
        <v>0.66265100216087547</v>
      </c>
      <c r="AO54" s="10">
        <f t="shared" ca="1" si="10"/>
        <v>0.67694974693285892</v>
      </c>
      <c r="AP54" s="10">
        <f t="shared" ca="1" si="10"/>
        <v>0.68767429105230971</v>
      </c>
      <c r="AQ54" s="10">
        <f t="shared" ca="1" si="10"/>
        <v>0.68186196006577726</v>
      </c>
      <c r="AR54" s="10">
        <f t="shared" ca="1" si="10"/>
        <v>0.68329645014762497</v>
      </c>
      <c r="AS54" s="10">
        <f t="shared" ca="1" si="10"/>
        <v>0.68903536968660528</v>
      </c>
      <c r="AT54" s="10">
        <f t="shared" ca="1" si="10"/>
        <v>0.69147047235234771</v>
      </c>
      <c r="AU54" s="10">
        <f t="shared" ca="1" si="10"/>
        <v>0.69395526678627262</v>
      </c>
      <c r="AV54" s="10">
        <f t="shared" ca="1" si="10"/>
        <v>0.69255291942752872</v>
      </c>
      <c r="AW54" s="10">
        <f t="shared" ca="1" si="10"/>
        <v>0.68466808272537361</v>
      </c>
      <c r="AX54" s="10">
        <f t="shared" ca="1" si="10"/>
        <v>0.70275093185090953</v>
      </c>
      <c r="AY54" s="10">
        <f t="shared" ca="1" si="10"/>
        <v>0.69699227708313805</v>
      </c>
      <c r="AZ54" s="10">
        <f t="shared" ca="1" si="10"/>
        <v>0.6921277774244684</v>
      </c>
      <c r="BA54" s="10">
        <f t="shared" ca="1" si="10"/>
        <v>0.68999814015065142</v>
      </c>
      <c r="BB54" s="10">
        <f t="shared" ca="1" si="10"/>
        <v>0.68690143538323734</v>
      </c>
      <c r="BC54" s="10">
        <f t="shared" ca="1" si="10"/>
        <v>0.6950476239266713</v>
      </c>
      <c r="BD54" s="10">
        <f t="shared" ca="1" si="10"/>
        <v>0.70633603166760772</v>
      </c>
      <c r="BE54" s="10">
        <f t="shared" ca="1" si="10"/>
        <v>0.71005663831493548</v>
      </c>
      <c r="BF54" s="10">
        <f t="shared" ca="1" si="10"/>
        <v>0.72227014574972193</v>
      </c>
      <c r="BG54" s="10">
        <f t="shared" ca="1" si="10"/>
        <v>0.71993765214804939</v>
      </c>
      <c r="BH54" s="10">
        <f t="shared" ca="1" si="10"/>
        <v>0.72597985261952147</v>
      </c>
      <c r="BI54" s="10">
        <f t="shared" ca="1" si="10"/>
        <v>0.74210213183700502</v>
      </c>
      <c r="BJ54" s="10">
        <f t="shared" ca="1" si="10"/>
        <v>0.74845773912612834</v>
      </c>
      <c r="BK54" s="10">
        <f t="shared" ca="1" si="10"/>
        <v>0.74357515598166479</v>
      </c>
      <c r="BL54" s="10">
        <f t="shared" ca="1" si="10"/>
        <v>0.73845264112097231</v>
      </c>
      <c r="BM54" s="10">
        <f t="shared" ca="1" si="10"/>
        <v>0.75800657363457535</v>
      </c>
      <c r="BN54" s="10">
        <f t="shared" ca="1" si="10"/>
        <v>0.75535671332040788</v>
      </c>
      <c r="BO54" s="10">
        <f t="shared" ca="1" si="10"/>
        <v>0.74820418990333193</v>
      </c>
      <c r="BP54" s="10">
        <f t="shared" ca="1" si="10"/>
        <v>0.75808285398192854</v>
      </c>
      <c r="BQ54" s="10">
        <f t="shared" ca="1" si="10"/>
        <v>0.75760862179984811</v>
      </c>
      <c r="BR54" s="10">
        <f t="shared" ca="1" si="10"/>
        <v>0.74950757680581881</v>
      </c>
      <c r="BS54" s="10">
        <f t="shared" ref="BS54:CX54" ca="1" si="11">BS55/(1+LiborTenor*BS7)</f>
        <v>0.77114250045535748</v>
      </c>
      <c r="BT54" s="10">
        <f t="shared" ca="1" si="11"/>
        <v>0.7785266247373025</v>
      </c>
      <c r="BU54" s="10">
        <f t="shared" ca="1" si="11"/>
        <v>0.78525318549054479</v>
      </c>
      <c r="BV54" s="10">
        <f t="shared" ca="1" si="11"/>
        <v>0.7869768885447086</v>
      </c>
      <c r="BW54" s="10">
        <f t="shared" ca="1" si="11"/>
        <v>0.79864614376426091</v>
      </c>
      <c r="BX54" s="10">
        <f t="shared" ca="1" si="11"/>
        <v>0.80216386713199694</v>
      </c>
      <c r="BY54" s="10">
        <f t="shared" ca="1" si="11"/>
        <v>0.81135783637295011</v>
      </c>
      <c r="BZ54" s="10">
        <f t="shared" ca="1" si="11"/>
        <v>0.80131055013705976</v>
      </c>
      <c r="CA54" s="10">
        <f t="shared" ca="1" si="11"/>
        <v>0.80654256119231404</v>
      </c>
      <c r="CB54" s="10">
        <f t="shared" ca="1" si="11"/>
        <v>0.81366304055900696</v>
      </c>
      <c r="CC54" s="10">
        <f t="shared" ca="1" si="11"/>
        <v>0.8144459370124647</v>
      </c>
      <c r="CD54" s="10">
        <f t="shared" ca="1" si="11"/>
        <v>0.81259199720743625</v>
      </c>
      <c r="CE54" s="10">
        <f t="shared" ca="1" si="11"/>
        <v>0.82977261023767712</v>
      </c>
      <c r="CF54" s="10">
        <f t="shared" ca="1" si="11"/>
        <v>0.82469359442815016</v>
      </c>
      <c r="CG54" s="10">
        <f t="shared" ca="1" si="11"/>
        <v>0.82282155215470842</v>
      </c>
      <c r="CH54" s="10">
        <f t="shared" ca="1" si="11"/>
        <v>0.83862594965698589</v>
      </c>
      <c r="CI54" s="10">
        <f t="shared" ca="1" si="11"/>
        <v>0.83941836726228192</v>
      </c>
      <c r="CJ54" s="10">
        <f t="shared" ca="1" si="11"/>
        <v>0.84222500573519676</v>
      </c>
      <c r="CK54" s="10">
        <f t="shared" ca="1" si="11"/>
        <v>0.85470464439889027</v>
      </c>
      <c r="CL54" s="10">
        <f t="shared" ca="1" si="11"/>
        <v>0.85174335827968362</v>
      </c>
      <c r="CM54" s="10">
        <f t="shared" ca="1" si="11"/>
        <v>0.85338566494720547</v>
      </c>
      <c r="CN54" s="10">
        <f t="shared" ca="1" si="11"/>
        <v>0.86653456073555135</v>
      </c>
      <c r="CO54" s="10">
        <f t="shared" ca="1" si="11"/>
        <v>0.87187098131407281</v>
      </c>
      <c r="CP54" s="10">
        <f t="shared" ca="1" si="11"/>
        <v>0.86997441732831715</v>
      </c>
      <c r="CQ54" s="10">
        <f t="shared" ca="1" si="11"/>
        <v>0.87781477801953778</v>
      </c>
      <c r="CR54" s="10">
        <f t="shared" ca="1" si="11"/>
        <v>0.87486851580547709</v>
      </c>
      <c r="CS54" s="10">
        <f t="shared" ca="1" si="11"/>
        <v>0.87348098001783137</v>
      </c>
      <c r="CT54" s="10">
        <f t="shared" ca="1" si="11"/>
        <v>0.88281427092351494</v>
      </c>
      <c r="CU54" s="10">
        <f t="shared" ca="1" si="11"/>
        <v>0.88294737465143802</v>
      </c>
      <c r="CV54" s="10">
        <f t="shared" ca="1" si="11"/>
        <v>0.88274864668519704</v>
      </c>
      <c r="CW54" s="10">
        <f t="shared" ca="1" si="11"/>
        <v>0.89305831929318846</v>
      </c>
      <c r="CX54" s="10">
        <f t="shared" ca="1" si="11"/>
        <v>0.8918138270689121</v>
      </c>
      <c r="CY54" s="10">
        <f t="shared" ref="CY54:DT54" ca="1" si="12">CY55/(1+LiborTenor*CY7)</f>
        <v>0.88842728280938355</v>
      </c>
      <c r="CZ54" s="10">
        <f t="shared" ca="1" si="12"/>
        <v>0.90125854982992271</v>
      </c>
      <c r="DA54" s="10">
        <f t="shared" ca="1" si="12"/>
        <v>0.89965411660694805</v>
      </c>
      <c r="DB54" s="10">
        <f t="shared" ca="1" si="12"/>
        <v>0.89825847930708624</v>
      </c>
      <c r="DC54" s="10">
        <f t="shared" ca="1" si="12"/>
        <v>0.91398342208479433</v>
      </c>
      <c r="DD54" s="10">
        <f t="shared" ca="1" si="12"/>
        <v>0.91274239844568539</v>
      </c>
      <c r="DE54" s="10">
        <f t="shared" ca="1" si="12"/>
        <v>0.90968746233996634</v>
      </c>
      <c r="DF54" s="10">
        <f t="shared" ca="1" si="12"/>
        <v>0.92502207066514353</v>
      </c>
      <c r="DG54" s="10">
        <f t="shared" ca="1" si="12"/>
        <v>0.92423318506585017</v>
      </c>
      <c r="DH54" s="10">
        <f t="shared" ca="1" si="12"/>
        <v>0.9220194315396868</v>
      </c>
      <c r="DI54" s="10">
        <f t="shared" ca="1" si="12"/>
        <v>0.9370730752079226</v>
      </c>
      <c r="DJ54" s="10">
        <f t="shared" ca="1" si="12"/>
        <v>0.93757964878999156</v>
      </c>
      <c r="DK54" s="10">
        <f t="shared" ca="1" si="12"/>
        <v>0.9371716630335174</v>
      </c>
      <c r="DL54" s="10">
        <f t="shared" ca="1" si="12"/>
        <v>0.95306320988041315</v>
      </c>
      <c r="DM54" s="10">
        <f t="shared" ca="1" si="12"/>
        <v>0.95263473539913579</v>
      </c>
      <c r="DN54" s="10">
        <f t="shared" ca="1" si="12"/>
        <v>0.95111516692515896</v>
      </c>
      <c r="DO54" s="10">
        <f t="shared" ca="1" si="12"/>
        <v>0.96667722522462851</v>
      </c>
      <c r="DP54" s="10">
        <f t="shared" ca="1" si="12"/>
        <v>0.96800461458275811</v>
      </c>
      <c r="DQ54" s="10">
        <f t="shared" ca="1" si="12"/>
        <v>0.96951925968758634</v>
      </c>
      <c r="DR54" s="10">
        <f t="shared" ca="1" si="12"/>
        <v>0.98447769723797551</v>
      </c>
      <c r="DS54" s="10">
        <f t="shared" ca="1" si="12"/>
        <v>0.98417197384421495</v>
      </c>
      <c r="DT54" s="10">
        <f t="shared" ca="1" si="12"/>
        <v>0.98465268347415613</v>
      </c>
      <c r="DU54" s="10"/>
      <c r="DV54" s="10"/>
      <c r="DW54" s="10"/>
    </row>
    <row r="55" spans="3:127" x14ac:dyDescent="0.2">
      <c r="F55" s="23">
        <f t="shared" ref="F55:F94" si="13">+D8</f>
        <v>9.75</v>
      </c>
      <c r="G55" s="10">
        <f t="shared" ref="G55:AL55" si="14">G56/(1+LiborTenor*G8)</f>
        <v>0.63221073926581295</v>
      </c>
      <c r="H55" s="10">
        <f t="shared" ca="1" si="14"/>
        <v>0.6302414347418972</v>
      </c>
      <c r="I55" s="10">
        <f t="shared" ca="1" si="14"/>
        <v>0.62974799161872008</v>
      </c>
      <c r="J55" s="10">
        <f t="shared" ca="1" si="14"/>
        <v>0.63781441499322511</v>
      </c>
      <c r="K55" s="10">
        <f t="shared" ca="1" si="14"/>
        <v>0.64161835150686819</v>
      </c>
      <c r="L55" s="10">
        <f t="shared" ca="1" si="14"/>
        <v>0.65060374004300259</v>
      </c>
      <c r="M55" s="10">
        <f t="shared" ca="1" si="14"/>
        <v>0.6321329459801418</v>
      </c>
      <c r="N55" s="10">
        <f t="shared" ca="1" si="14"/>
        <v>0.64178712628903656</v>
      </c>
      <c r="O55" s="10">
        <f t="shared" ca="1" si="14"/>
        <v>0.63126187218329277</v>
      </c>
      <c r="P55" s="10">
        <f t="shared" ca="1" si="14"/>
        <v>0.63947025051540829</v>
      </c>
      <c r="Q55" s="10">
        <f t="shared" ca="1" si="14"/>
        <v>0.64480708833670208</v>
      </c>
      <c r="R55" s="10">
        <f t="shared" ca="1" si="14"/>
        <v>0.6367680606325794</v>
      </c>
      <c r="S55" s="10">
        <f t="shared" ca="1" si="14"/>
        <v>0.62131840919690562</v>
      </c>
      <c r="T55" s="10">
        <f t="shared" ca="1" si="14"/>
        <v>0.63459244068352616</v>
      </c>
      <c r="U55" s="10">
        <f t="shared" ca="1" si="14"/>
        <v>0.63539330964619245</v>
      </c>
      <c r="V55" s="10">
        <f t="shared" ca="1" si="14"/>
        <v>0.64428489090857144</v>
      </c>
      <c r="W55" s="10">
        <f t="shared" ca="1" si="14"/>
        <v>0.67313050589454204</v>
      </c>
      <c r="X55" s="10">
        <f t="shared" ca="1" si="14"/>
        <v>0.66743466859446354</v>
      </c>
      <c r="Y55" s="10">
        <f t="shared" ca="1" si="14"/>
        <v>0.67217007934942674</v>
      </c>
      <c r="Z55" s="10">
        <f t="shared" ca="1" si="14"/>
        <v>0.67244659907395687</v>
      </c>
      <c r="AA55" s="10">
        <f t="shared" ca="1" si="14"/>
        <v>0.66678987450119709</v>
      </c>
      <c r="AB55" s="10">
        <f t="shared" ca="1" si="14"/>
        <v>0.66765722591103516</v>
      </c>
      <c r="AC55" s="10">
        <f t="shared" ca="1" si="14"/>
        <v>0.68177871462736128</v>
      </c>
      <c r="AD55" s="10">
        <f t="shared" ca="1" si="14"/>
        <v>0.68454798149548302</v>
      </c>
      <c r="AE55" s="10">
        <f t="shared" ca="1" si="14"/>
        <v>0.66960060047168313</v>
      </c>
      <c r="AF55" s="10">
        <f t="shared" ca="1" si="14"/>
        <v>0.67615918748224679</v>
      </c>
      <c r="AG55" s="10">
        <f t="shared" ca="1" si="14"/>
        <v>0.67222659011643127</v>
      </c>
      <c r="AH55" s="10">
        <f t="shared" ca="1" si="14"/>
        <v>0.6677189324628664</v>
      </c>
      <c r="AI55" s="10">
        <f t="shared" ca="1" si="14"/>
        <v>0.66165139939829865</v>
      </c>
      <c r="AJ55" s="10">
        <f t="shared" ca="1" si="14"/>
        <v>0.65835120277796799</v>
      </c>
      <c r="AK55" s="10">
        <f t="shared" ca="1" si="14"/>
        <v>0.64715833525293054</v>
      </c>
      <c r="AL55" s="10">
        <f t="shared" ca="1" si="14"/>
        <v>0.65168849982815369</v>
      </c>
      <c r="AM55" s="10">
        <f t="shared" ref="AM55:BR55" ca="1" si="15">AM56/(1+LiborTenor*AM8)</f>
        <v>0.65336891795826701</v>
      </c>
      <c r="AN55" s="10">
        <f t="shared" ca="1" si="15"/>
        <v>0.67185340940634097</v>
      </c>
      <c r="AO55" s="10">
        <f t="shared" ca="1" si="15"/>
        <v>0.68623757978846478</v>
      </c>
      <c r="AP55" s="10">
        <f t="shared" ca="1" si="15"/>
        <v>0.69686662285863044</v>
      </c>
      <c r="AQ55" s="10">
        <f t="shared" ca="1" si="15"/>
        <v>0.69111047908866974</v>
      </c>
      <c r="AR55" s="10">
        <f t="shared" ca="1" si="15"/>
        <v>0.69274640413313027</v>
      </c>
      <c r="AS55" s="10">
        <f t="shared" ca="1" si="15"/>
        <v>0.6984299107863613</v>
      </c>
      <c r="AT55" s="10">
        <f t="shared" ca="1" si="15"/>
        <v>0.7008412605611557</v>
      </c>
      <c r="AU55" s="10">
        <f t="shared" ca="1" si="15"/>
        <v>0.70352881922658128</v>
      </c>
      <c r="AV55" s="10">
        <f t="shared" ca="1" si="15"/>
        <v>0.7021430266381975</v>
      </c>
      <c r="AW55" s="10">
        <f t="shared" ca="1" si="15"/>
        <v>0.69434465540412826</v>
      </c>
      <c r="AX55" s="10">
        <f t="shared" ca="1" si="15"/>
        <v>0.71247332452762069</v>
      </c>
      <c r="AY55" s="10">
        <f t="shared" ca="1" si="15"/>
        <v>0.70678617532176724</v>
      </c>
      <c r="AZ55" s="10">
        <f t="shared" ca="1" si="15"/>
        <v>0.7019802504476077</v>
      </c>
      <c r="BA55" s="10">
        <f t="shared" ca="1" si="15"/>
        <v>0.70015553963736865</v>
      </c>
      <c r="BB55" s="10">
        <f t="shared" ca="1" si="15"/>
        <v>0.69709710614369158</v>
      </c>
      <c r="BC55" s="10">
        <f t="shared" ca="1" si="15"/>
        <v>0.70514690686230352</v>
      </c>
      <c r="BD55" s="10">
        <f t="shared" ca="1" si="15"/>
        <v>0.71658421221955126</v>
      </c>
      <c r="BE55" s="10">
        <f t="shared" ca="1" si="15"/>
        <v>0.72025320207665078</v>
      </c>
      <c r="BF55" s="10">
        <f t="shared" ca="1" si="15"/>
        <v>0.73228918007779065</v>
      </c>
      <c r="BG55" s="10">
        <f t="shared" ca="1" si="15"/>
        <v>0.7303105898320722</v>
      </c>
      <c r="BH55" s="10">
        <f t="shared" ca="1" si="15"/>
        <v>0.73625585987711606</v>
      </c>
      <c r="BI55" s="10">
        <f t="shared" ca="1" si="15"/>
        <v>0.75210619120028632</v>
      </c>
      <c r="BJ55" s="10">
        <f t="shared" ca="1" si="15"/>
        <v>0.75866736473979535</v>
      </c>
      <c r="BK55" s="10">
        <f t="shared" ca="1" si="15"/>
        <v>0.75388105604558753</v>
      </c>
      <c r="BL55" s="10">
        <f t="shared" ca="1" si="15"/>
        <v>0.74885720484390716</v>
      </c>
      <c r="BM55" s="10">
        <f t="shared" ca="1" si="15"/>
        <v>0.76837821400690254</v>
      </c>
      <c r="BN55" s="10">
        <f t="shared" ca="1" si="15"/>
        <v>0.76578664814701203</v>
      </c>
      <c r="BO55" s="10">
        <f t="shared" ca="1" si="15"/>
        <v>0.75878757760110138</v>
      </c>
      <c r="BP55" s="10">
        <f t="shared" ca="1" si="15"/>
        <v>0.76884889601366879</v>
      </c>
      <c r="BQ55" s="10">
        <f t="shared" ca="1" si="15"/>
        <v>0.76838643421951558</v>
      </c>
      <c r="BR55" s="10">
        <f t="shared" ca="1" si="15"/>
        <v>0.76047155653054244</v>
      </c>
      <c r="BS55" s="10">
        <f t="shared" ref="BS55:CX55" ca="1" si="16">BS56/(1+LiborTenor*BS8)</f>
        <v>0.78202908529056758</v>
      </c>
      <c r="BT55" s="10">
        <f t="shared" ca="1" si="16"/>
        <v>0.78922034958637366</v>
      </c>
      <c r="BU55" s="10">
        <f t="shared" ca="1" si="16"/>
        <v>0.79576589102424933</v>
      </c>
      <c r="BV55" s="10">
        <f t="shared" ca="1" si="16"/>
        <v>0.79790042233669423</v>
      </c>
      <c r="BW55" s="10">
        <f t="shared" ca="1" si="16"/>
        <v>0.80922083856045302</v>
      </c>
      <c r="BX55" s="10">
        <f t="shared" ca="1" si="16"/>
        <v>0.8126296275442404</v>
      </c>
      <c r="BY55" s="10">
        <f t="shared" ca="1" si="16"/>
        <v>0.82200018651199935</v>
      </c>
      <c r="BZ55" s="10">
        <f t="shared" ca="1" si="16"/>
        <v>0.81230070530257081</v>
      </c>
      <c r="CA55" s="10">
        <f t="shared" ca="1" si="16"/>
        <v>0.81735695629502181</v>
      </c>
      <c r="CB55" s="10">
        <f t="shared" ca="1" si="16"/>
        <v>0.82477123472226088</v>
      </c>
      <c r="CC55" s="10">
        <f t="shared" ca="1" si="16"/>
        <v>0.82552514397393129</v>
      </c>
      <c r="CD55" s="10">
        <f t="shared" ca="1" si="16"/>
        <v>0.823741845930407</v>
      </c>
      <c r="CE55" s="10">
        <f t="shared" ca="1" si="16"/>
        <v>0.84083682756690103</v>
      </c>
      <c r="CF55" s="10">
        <f t="shared" ca="1" si="16"/>
        <v>0.83597630372854048</v>
      </c>
      <c r="CG55" s="10">
        <f t="shared" ca="1" si="16"/>
        <v>0.83418394446586763</v>
      </c>
      <c r="CH55" s="10">
        <f t="shared" ca="1" si="16"/>
        <v>0.84995391593098457</v>
      </c>
      <c r="CI55" s="10">
        <f t="shared" ca="1" si="16"/>
        <v>0.85070867687347618</v>
      </c>
      <c r="CJ55" s="10">
        <f t="shared" ca="1" si="16"/>
        <v>0.85338016045538323</v>
      </c>
      <c r="CK55" s="10">
        <f t="shared" ca="1" si="16"/>
        <v>0.86593851900520258</v>
      </c>
      <c r="CL55" s="10">
        <f t="shared" ca="1" si="16"/>
        <v>0.86314087454044419</v>
      </c>
      <c r="CM55" s="10">
        <f t="shared" ca="1" si="16"/>
        <v>0.8646936593503548</v>
      </c>
      <c r="CN55" s="10">
        <f t="shared" ca="1" si="16"/>
        <v>0.87788159601430638</v>
      </c>
      <c r="CO55" s="10">
        <f t="shared" ca="1" si="16"/>
        <v>0.88288179213473916</v>
      </c>
      <c r="CP55" s="10">
        <f t="shared" ca="1" si="16"/>
        <v>0.88110667481520066</v>
      </c>
      <c r="CQ55" s="10">
        <f t="shared" ca="1" si="16"/>
        <v>0.88931847703611056</v>
      </c>
      <c r="CR55" s="10">
        <f t="shared" ca="1" si="16"/>
        <v>0.8865841258923316</v>
      </c>
      <c r="CS55" s="10">
        <f t="shared" ca="1" si="16"/>
        <v>0.88529581364248955</v>
      </c>
      <c r="CT55" s="10">
        <f t="shared" ca="1" si="16"/>
        <v>0.89500626037379616</v>
      </c>
      <c r="CU55" s="10">
        <f t="shared" ca="1" si="16"/>
        <v>0.89512883403744925</v>
      </c>
      <c r="CV55" s="10">
        <f t="shared" ca="1" si="16"/>
        <v>0.89494665109752269</v>
      </c>
      <c r="CW55" s="10">
        <f t="shared" ca="1" si="16"/>
        <v>0.90562971359553512</v>
      </c>
      <c r="CX55" s="10">
        <f t="shared" ca="1" si="16"/>
        <v>0.90450372721922345</v>
      </c>
      <c r="CY55" s="10">
        <f t="shared" ref="CY55:DQ55" ca="1" si="17">CY56/(1+LiborTenor*CY8)</f>
        <v>0.90143770920762523</v>
      </c>
      <c r="CZ55" s="10">
        <f t="shared" ca="1" si="17"/>
        <v>0.91453527382995992</v>
      </c>
      <c r="DA55" s="10">
        <f t="shared" ca="1" si="17"/>
        <v>0.91311044627902671</v>
      </c>
      <c r="DB55" s="10">
        <f t="shared" ca="1" si="17"/>
        <v>0.91187048112105951</v>
      </c>
      <c r="DC55" s="10">
        <f t="shared" ca="1" si="17"/>
        <v>0.92759358310034212</v>
      </c>
      <c r="DD55" s="10">
        <f t="shared" ca="1" si="17"/>
        <v>0.92652132568818169</v>
      </c>
      <c r="DE55" s="10">
        <f t="shared" ca="1" si="17"/>
        <v>0.92387990394491881</v>
      </c>
      <c r="DF55" s="10">
        <f t="shared" ca="1" si="17"/>
        <v>0.93934280090277045</v>
      </c>
      <c r="DG55" s="10">
        <f t="shared" ca="1" si="17"/>
        <v>0.93868739595529571</v>
      </c>
      <c r="DH55" s="10">
        <f t="shared" ca="1" si="17"/>
        <v>0.93684696471214057</v>
      </c>
      <c r="DI55" s="10">
        <f t="shared" ca="1" si="17"/>
        <v>0.95221441972328702</v>
      </c>
      <c r="DJ55" s="10">
        <f t="shared" ca="1" si="17"/>
        <v>0.95260997317256801</v>
      </c>
      <c r="DK55" s="10">
        <f t="shared" ca="1" si="17"/>
        <v>0.95229174881533452</v>
      </c>
      <c r="DL55" s="10">
        <f t="shared" ca="1" si="17"/>
        <v>0.96832418113535335</v>
      </c>
      <c r="DM55" s="10">
        <f t="shared" ca="1" si="17"/>
        <v>0.96802693008020391</v>
      </c>
      <c r="DN55" s="10">
        <f t="shared" ca="1" si="17"/>
        <v>0.96697195052882334</v>
      </c>
      <c r="DO55" s="10">
        <f t="shared" ca="1" si="17"/>
        <v>0.98310435220341041</v>
      </c>
      <c r="DP55" s="10">
        <f t="shared" ca="1" si="17"/>
        <v>0.98379686215362017</v>
      </c>
      <c r="DQ55" s="10">
        <f t="shared" ca="1" si="17"/>
        <v>0.98458582215703916</v>
      </c>
      <c r="DR55" s="10">
        <v>1</v>
      </c>
      <c r="DS55" s="10">
        <v>1</v>
      </c>
      <c r="DT55" s="10">
        <v>1</v>
      </c>
      <c r="DU55" s="10"/>
      <c r="DV55" s="10"/>
      <c r="DW55" s="10"/>
    </row>
    <row r="56" spans="3:127" x14ac:dyDescent="0.2">
      <c r="F56" s="23">
        <f t="shared" si="13"/>
        <v>9.5</v>
      </c>
      <c r="G56" s="10">
        <f t="shared" ref="G56:AL56" si="18">G57/(1+LiborTenor*G9)</f>
        <v>0.64011337350663555</v>
      </c>
      <c r="H56" s="10">
        <f t="shared" ca="1" si="18"/>
        <v>0.63826311862522733</v>
      </c>
      <c r="I56" s="10">
        <f t="shared" ca="1" si="18"/>
        <v>0.63777319436139213</v>
      </c>
      <c r="J56" s="10">
        <f t="shared" ca="1" si="18"/>
        <v>0.64580200896167783</v>
      </c>
      <c r="K56" s="10">
        <f t="shared" ca="1" si="18"/>
        <v>0.6497032173660644</v>
      </c>
      <c r="L56" s="10">
        <f t="shared" ca="1" si="18"/>
        <v>0.65864072821790753</v>
      </c>
      <c r="M56" s="10">
        <f t="shared" ca="1" si="18"/>
        <v>0.64027416792177339</v>
      </c>
      <c r="N56" s="10">
        <f t="shared" ca="1" si="18"/>
        <v>0.65000208820695293</v>
      </c>
      <c r="O56" s="10">
        <f t="shared" ca="1" si="18"/>
        <v>0.63953336842304043</v>
      </c>
      <c r="P56" s="10">
        <f t="shared" ca="1" si="18"/>
        <v>0.64770249246195322</v>
      </c>
      <c r="Q56" s="10">
        <f t="shared" ca="1" si="18"/>
        <v>0.65313975529424351</v>
      </c>
      <c r="R56" s="10">
        <f t="shared" ca="1" si="18"/>
        <v>0.64514629673025881</v>
      </c>
      <c r="S56" s="10">
        <f t="shared" ca="1" si="18"/>
        <v>0.62977466668379967</v>
      </c>
      <c r="T56" s="10">
        <f t="shared" ca="1" si="18"/>
        <v>0.64312438040513775</v>
      </c>
      <c r="U56" s="10">
        <f t="shared" ca="1" si="18"/>
        <v>0.64392248764038551</v>
      </c>
      <c r="V56" s="10">
        <f t="shared" ca="1" si="18"/>
        <v>0.65276818918487189</v>
      </c>
      <c r="W56" s="10">
        <f t="shared" ca="1" si="18"/>
        <v>0.68157471568418104</v>
      </c>
      <c r="X56" s="10">
        <f t="shared" ca="1" si="18"/>
        <v>0.67592230139032206</v>
      </c>
      <c r="Y56" s="10">
        <f t="shared" ca="1" si="18"/>
        <v>0.68062467496977974</v>
      </c>
      <c r="Z56" s="10">
        <f t="shared" ca="1" si="18"/>
        <v>0.68105092161718883</v>
      </c>
      <c r="AA56" s="10">
        <f t="shared" ca="1" si="18"/>
        <v>0.67543817465214884</v>
      </c>
      <c r="AB56" s="10">
        <f t="shared" ca="1" si="18"/>
        <v>0.67630040070178687</v>
      </c>
      <c r="AC56" s="10">
        <f t="shared" ca="1" si="18"/>
        <v>0.69047203427840909</v>
      </c>
      <c r="AD56" s="10">
        <f t="shared" ca="1" si="18"/>
        <v>0.69321887911334246</v>
      </c>
      <c r="AE56" s="10">
        <f t="shared" ca="1" si="18"/>
        <v>0.67839853885704227</v>
      </c>
      <c r="AF56" s="10">
        <f t="shared" ca="1" si="18"/>
        <v>0.68507858511295228</v>
      </c>
      <c r="AG56" s="10">
        <f t="shared" ca="1" si="18"/>
        <v>0.68118004053386305</v>
      </c>
      <c r="AH56" s="10">
        <f t="shared" ca="1" si="18"/>
        <v>0.67671009428770912</v>
      </c>
      <c r="AI56" s="10">
        <f t="shared" ca="1" si="18"/>
        <v>0.67088470127858002</v>
      </c>
      <c r="AJ56" s="10">
        <f t="shared" ca="1" si="18"/>
        <v>0.667611511035334</v>
      </c>
      <c r="AK56" s="10">
        <f t="shared" ca="1" si="18"/>
        <v>0.65650339075822006</v>
      </c>
      <c r="AL56" s="10">
        <f t="shared" ca="1" si="18"/>
        <v>0.66121373337127021</v>
      </c>
      <c r="AM56" s="10">
        <f t="shared" ref="AM56:BR56" ca="1" si="19">AM57/(1+LiborTenor*AM9)</f>
        <v>0.66288274122561441</v>
      </c>
      <c r="AN56" s="10">
        <f t="shared" ca="1" si="19"/>
        <v>0.68122085637081231</v>
      </c>
      <c r="AO56" s="10">
        <f t="shared" ca="1" si="19"/>
        <v>0.69568550278082775</v>
      </c>
      <c r="AP56" s="10">
        <f t="shared" ca="1" si="19"/>
        <v>0.70620366149825453</v>
      </c>
      <c r="AQ56" s="10">
        <f t="shared" ca="1" si="19"/>
        <v>0.70051210331790492</v>
      </c>
      <c r="AR56" s="10">
        <f t="shared" ca="1" si="19"/>
        <v>0.70236308551135718</v>
      </c>
      <c r="AS56" s="10">
        <f t="shared" ca="1" si="19"/>
        <v>0.7079825047701267</v>
      </c>
      <c r="AT56" s="10">
        <f t="shared" ca="1" si="19"/>
        <v>0.71036642452818344</v>
      </c>
      <c r="AU56" s="10">
        <f t="shared" ca="1" si="19"/>
        <v>0.71326963536319754</v>
      </c>
      <c r="AV56" s="10">
        <f t="shared" ca="1" si="19"/>
        <v>0.7119026713280302</v>
      </c>
      <c r="AW56" s="10">
        <f t="shared" ca="1" si="19"/>
        <v>0.70420342747872144</v>
      </c>
      <c r="AX56" s="10">
        <f t="shared" ca="1" si="19"/>
        <v>0.72236677549496653</v>
      </c>
      <c r="AY56" s="10">
        <f t="shared" ca="1" si="19"/>
        <v>0.71676096490072372</v>
      </c>
      <c r="AZ56" s="10">
        <f t="shared" ca="1" si="19"/>
        <v>0.71202191452924146</v>
      </c>
      <c r="BA56" s="10">
        <f t="shared" ca="1" si="19"/>
        <v>0.71052732726379053</v>
      </c>
      <c r="BB56" s="10">
        <f t="shared" ca="1" si="19"/>
        <v>0.70751277825851311</v>
      </c>
      <c r="BC56" s="10">
        <f t="shared" ca="1" si="19"/>
        <v>0.7154514884204719</v>
      </c>
      <c r="BD56" s="10">
        <f t="shared" ca="1" si="19"/>
        <v>0.7270397796539384</v>
      </c>
      <c r="BE56" s="10">
        <f t="shared" ca="1" si="19"/>
        <v>0.7306499658451312</v>
      </c>
      <c r="BF56" s="10">
        <f t="shared" ca="1" si="19"/>
        <v>0.74248474479500082</v>
      </c>
      <c r="BG56" s="10">
        <f t="shared" ca="1" si="19"/>
        <v>0.7408884355705927</v>
      </c>
      <c r="BH56" s="10">
        <f t="shared" ca="1" si="19"/>
        <v>0.74672425040546675</v>
      </c>
      <c r="BI56" s="10">
        <f t="shared" ca="1" si="19"/>
        <v>0.76226918981692693</v>
      </c>
      <c r="BJ56" s="10">
        <f t="shared" ca="1" si="19"/>
        <v>0.7690459220893362</v>
      </c>
      <c r="BK56" s="10">
        <f t="shared" ca="1" si="19"/>
        <v>0.76436668152656151</v>
      </c>
      <c r="BL56" s="10">
        <f t="shared" ca="1" si="19"/>
        <v>0.75945284661860424</v>
      </c>
      <c r="BM56" s="10">
        <f t="shared" ca="1" si="19"/>
        <v>0.77892275731040805</v>
      </c>
      <c r="BN56" s="10">
        <f t="shared" ca="1" si="19"/>
        <v>0.77639576728209514</v>
      </c>
      <c r="BO56" s="10">
        <f t="shared" ca="1" si="19"/>
        <v>0.76956714631157819</v>
      </c>
      <c r="BP56" s="10">
        <f t="shared" ca="1" si="19"/>
        <v>0.77981689758642458</v>
      </c>
      <c r="BQ56" s="10">
        <f t="shared" ca="1" si="19"/>
        <v>0.77936742081788779</v>
      </c>
      <c r="BR56" s="10">
        <f t="shared" ca="1" si="19"/>
        <v>0.77165956342942532</v>
      </c>
      <c r="BS56" s="10">
        <f t="shared" ref="BS56:CX56" ca="1" si="20">BS57/(1+LiborTenor*BS9)</f>
        <v>0.79311547676846095</v>
      </c>
      <c r="BT56" s="10">
        <f t="shared" ca="1" si="20"/>
        <v>0.80009339586184103</v>
      </c>
      <c r="BU56" s="10">
        <f t="shared" ca="1" si="20"/>
        <v>0.80643940371894773</v>
      </c>
      <c r="BV56" s="10">
        <f t="shared" ca="1" si="20"/>
        <v>0.80901302046986867</v>
      </c>
      <c r="BW56" s="10">
        <f t="shared" ca="1" si="20"/>
        <v>0.81994976267254438</v>
      </c>
      <c r="BX56" s="10">
        <f t="shared" ca="1" si="20"/>
        <v>0.82323926972813233</v>
      </c>
      <c r="BY56" s="10">
        <f t="shared" ca="1" si="20"/>
        <v>0.83279195521333171</v>
      </c>
      <c r="BZ56" s="10">
        <f t="shared" ca="1" si="20"/>
        <v>0.82347224659377594</v>
      </c>
      <c r="CA56" s="10">
        <f t="shared" ca="1" si="20"/>
        <v>0.8283358142642302</v>
      </c>
      <c r="CB56" s="10">
        <f t="shared" ca="1" si="20"/>
        <v>0.83605951739228734</v>
      </c>
      <c r="CC56" s="10">
        <f t="shared" ca="1" si="20"/>
        <v>0.8367816582668508</v>
      </c>
      <c r="CD56" s="10">
        <f t="shared" ca="1" si="20"/>
        <v>0.83507550076182013</v>
      </c>
      <c r="CE56" s="10">
        <f t="shared" ca="1" si="20"/>
        <v>0.85206527623629569</v>
      </c>
      <c r="CF56" s="10">
        <f t="shared" ca="1" si="20"/>
        <v>0.84744262214599031</v>
      </c>
      <c r="CG56" s="10">
        <f t="shared" ca="1" si="20"/>
        <v>0.84573715478170541</v>
      </c>
      <c r="CH56" s="10">
        <f t="shared" ca="1" si="20"/>
        <v>0.86145777654553501</v>
      </c>
      <c r="CI56" s="10">
        <f t="shared" ca="1" si="20"/>
        <v>0.86217150216273419</v>
      </c>
      <c r="CJ56" s="10">
        <f t="shared" ca="1" si="20"/>
        <v>0.86469598868060293</v>
      </c>
      <c r="CK56" s="10">
        <f t="shared" ca="1" si="20"/>
        <v>0.87732928583239145</v>
      </c>
      <c r="CL56" s="10">
        <f t="shared" ca="1" si="20"/>
        <v>0.87470889732821844</v>
      </c>
      <c r="CM56" s="10">
        <f t="shared" ca="1" si="20"/>
        <v>0.87616449324496148</v>
      </c>
      <c r="CN56" s="10">
        <f t="shared" ca="1" si="20"/>
        <v>0.88938440030353894</v>
      </c>
      <c r="CO56" s="10">
        <f t="shared" ca="1" si="20"/>
        <v>0.89402117217710286</v>
      </c>
      <c r="CP56" s="10">
        <f t="shared" ca="1" si="20"/>
        <v>0.89237693403733542</v>
      </c>
      <c r="CQ56" s="10">
        <f t="shared" ca="1" si="20"/>
        <v>0.90097987215010089</v>
      </c>
      <c r="CR56" s="10">
        <f t="shared" ca="1" si="20"/>
        <v>0.89847436153932181</v>
      </c>
      <c r="CS56" s="10">
        <f t="shared" ca="1" si="20"/>
        <v>0.89729333143671808</v>
      </c>
      <c r="CT56" s="10">
        <f t="shared" ca="1" si="20"/>
        <v>0.90740093549736178</v>
      </c>
      <c r="CU56" s="10">
        <f t="shared" ca="1" si="20"/>
        <v>0.90751202770971928</v>
      </c>
      <c r="CV56" s="10">
        <f t="shared" ca="1" si="20"/>
        <v>0.90734768570842717</v>
      </c>
      <c r="CW56" s="10">
        <f t="shared" ca="1" si="20"/>
        <v>0.91842346039973066</v>
      </c>
      <c r="CX56" s="10">
        <f t="shared" ca="1" si="20"/>
        <v>0.91742579071167141</v>
      </c>
      <c r="CY56" s="10">
        <f t="shared" ref="CY56:DN56" ca="1" si="21">CY57/(1+LiborTenor*CY9)</f>
        <v>0.91470737613761544</v>
      </c>
      <c r="CZ56" s="10">
        <f t="shared" ca="1" si="21"/>
        <v>0.92808099889794882</v>
      </c>
      <c r="DA56" s="10">
        <f t="shared" ca="1" si="21"/>
        <v>0.9268511501486596</v>
      </c>
      <c r="DB56" s="10">
        <f t="shared" ca="1" si="21"/>
        <v>0.92578036891884341</v>
      </c>
      <c r="DC56" s="10">
        <f t="shared" ca="1" si="21"/>
        <v>0.94148753197481383</v>
      </c>
      <c r="DD56" s="10">
        <f t="shared" ca="1" si="21"/>
        <v>0.94059839233748499</v>
      </c>
      <c r="DE56" s="10">
        <f t="shared" ca="1" si="21"/>
        <v>0.93840640922511209</v>
      </c>
      <c r="DF56" s="10">
        <f t="shared" ca="1" si="21"/>
        <v>0.95399398604396801</v>
      </c>
      <c r="DG56" s="10">
        <f t="shared" ca="1" si="21"/>
        <v>0.95348363879445464</v>
      </c>
      <c r="DH56" s="10">
        <f t="shared" ca="1" si="21"/>
        <v>0.95204952907602436</v>
      </c>
      <c r="DI56" s="10">
        <f t="shared" ca="1" si="21"/>
        <v>0.96774290251404582</v>
      </c>
      <c r="DJ56" s="10">
        <f t="shared" ca="1" si="21"/>
        <v>0.96801739541791554</v>
      </c>
      <c r="DK56" s="10">
        <f t="shared" ca="1" si="21"/>
        <v>0.96779681725739697</v>
      </c>
      <c r="DL56" s="10">
        <f t="shared" ca="1" si="21"/>
        <v>0.98396674198031142</v>
      </c>
      <c r="DM56" s="10">
        <f t="shared" ca="1" si="21"/>
        <v>0.98381211973029825</v>
      </c>
      <c r="DN56" s="10">
        <f t="shared" ca="1" si="21"/>
        <v>0.98326291771380925</v>
      </c>
      <c r="DO56" s="10">
        <v>1</v>
      </c>
      <c r="DP56" s="10">
        <v>1</v>
      </c>
      <c r="DQ56" s="10">
        <v>1</v>
      </c>
      <c r="DR56" s="10"/>
      <c r="DS56" s="10"/>
      <c r="DT56" s="10"/>
      <c r="DU56" s="10"/>
      <c r="DV56" s="10"/>
      <c r="DW56" s="10"/>
    </row>
    <row r="57" spans="3:127" x14ac:dyDescent="0.2">
      <c r="F57" s="23">
        <f t="shared" si="13"/>
        <v>9.25</v>
      </c>
      <c r="G57" s="10">
        <f t="shared" ref="G57:AL57" si="22">G58/(1+LiborTenor*G10)</f>
        <v>0.64811479067546851</v>
      </c>
      <c r="H57" s="10">
        <f t="shared" ca="1" si="22"/>
        <v>0.64639292007861393</v>
      </c>
      <c r="I57" s="10">
        <f t="shared" ca="1" si="22"/>
        <v>0.64590704801856813</v>
      </c>
      <c r="J57" s="10">
        <f t="shared" ca="1" si="22"/>
        <v>0.65389016791704135</v>
      </c>
      <c r="K57" s="10">
        <f t="shared" ca="1" si="22"/>
        <v>0.6578924882220939</v>
      </c>
      <c r="L57" s="10">
        <f t="shared" ca="1" si="22"/>
        <v>0.66677284954181848</v>
      </c>
      <c r="M57" s="10">
        <f t="shared" ca="1" si="22"/>
        <v>0.64852963238067851</v>
      </c>
      <c r="N57" s="10">
        <f t="shared" ca="1" si="22"/>
        <v>0.6583295486247922</v>
      </c>
      <c r="O57" s="10">
        <f t="shared" ca="1" si="22"/>
        <v>0.64792845877173333</v>
      </c>
      <c r="P57" s="10">
        <f t="shared" ca="1" si="22"/>
        <v>0.65604975706428947</v>
      </c>
      <c r="Q57" s="10">
        <f t="shared" ca="1" si="22"/>
        <v>0.66159051165508465</v>
      </c>
      <c r="R57" s="10">
        <f t="shared" ca="1" si="22"/>
        <v>0.6536513326281469</v>
      </c>
      <c r="S57" s="10">
        <f t="shared" ca="1" si="22"/>
        <v>0.6383742713769629</v>
      </c>
      <c r="T57" s="10">
        <f t="shared" ca="1" si="22"/>
        <v>0.65179515082219186</v>
      </c>
      <c r="U57" s="10">
        <f t="shared" ca="1" si="22"/>
        <v>0.65258965719345707</v>
      </c>
      <c r="V57" s="10">
        <f t="shared" ca="1" si="22"/>
        <v>0.66137969451899614</v>
      </c>
      <c r="W57" s="10">
        <f t="shared" ca="1" si="22"/>
        <v>0.69012399282029602</v>
      </c>
      <c r="X57" s="10">
        <f t="shared" ca="1" si="22"/>
        <v>0.68452166851117691</v>
      </c>
      <c r="Y57" s="10">
        <f t="shared" ca="1" si="22"/>
        <v>0.68918551495529334</v>
      </c>
      <c r="Z57" s="10">
        <f t="shared" ca="1" si="22"/>
        <v>0.68977119565327849</v>
      </c>
      <c r="AA57" s="10">
        <f t="shared" ca="1" si="22"/>
        <v>0.68420925887380224</v>
      </c>
      <c r="AB57" s="10">
        <f t="shared" ca="1" si="22"/>
        <v>0.68506534790443374</v>
      </c>
      <c r="AC57" s="10">
        <f t="shared" ca="1" si="22"/>
        <v>0.699280631957095</v>
      </c>
      <c r="AD57" s="10">
        <f t="shared" ca="1" si="22"/>
        <v>0.70200160155667346</v>
      </c>
      <c r="AE57" s="10">
        <f t="shared" ca="1" si="22"/>
        <v>0.68732704462638161</v>
      </c>
      <c r="AF57" s="10">
        <f t="shared" ca="1" si="22"/>
        <v>0.69413221517805368</v>
      </c>
      <c r="AG57" s="10">
        <f t="shared" ca="1" si="22"/>
        <v>0.69027286327298376</v>
      </c>
      <c r="AH57" s="10">
        <f t="shared" ca="1" si="22"/>
        <v>0.68584650332446673</v>
      </c>
      <c r="AI57" s="10">
        <f t="shared" ca="1" si="22"/>
        <v>0.68028498332769094</v>
      </c>
      <c r="AJ57" s="10">
        <f t="shared" ca="1" si="22"/>
        <v>0.67704327437766676</v>
      </c>
      <c r="AK57" s="10">
        <f t="shared" ca="1" si="22"/>
        <v>0.66603492568324063</v>
      </c>
      <c r="AL57" s="10">
        <f t="shared" ca="1" si="22"/>
        <v>0.67093540955376929</v>
      </c>
      <c r="AM57" s="10">
        <f t="shared" ref="AM57:BR57" ca="1" si="23">AM58/(1+LiborTenor*AM10)</f>
        <v>0.67259068995031668</v>
      </c>
      <c r="AN57" s="10">
        <f t="shared" ca="1" si="23"/>
        <v>0.69075636788946737</v>
      </c>
      <c r="AO57" s="10">
        <f t="shared" ca="1" si="23"/>
        <v>0.70529625635800808</v>
      </c>
      <c r="AP57" s="10">
        <f t="shared" ca="1" si="23"/>
        <v>0.71568749479219118</v>
      </c>
      <c r="AQ57" s="10">
        <f t="shared" ca="1" si="23"/>
        <v>0.71006924722831355</v>
      </c>
      <c r="AR57" s="10">
        <f t="shared" ca="1" si="23"/>
        <v>0.71214941497074913</v>
      </c>
      <c r="AS57" s="10">
        <f t="shared" ca="1" si="23"/>
        <v>0.71769569145092238</v>
      </c>
      <c r="AT57" s="10">
        <f t="shared" ca="1" si="23"/>
        <v>0.72004834399250273</v>
      </c>
      <c r="AU57" s="10">
        <f t="shared" ca="1" si="23"/>
        <v>0.72318056441163425</v>
      </c>
      <c r="AV57" s="10">
        <f t="shared" ca="1" si="23"/>
        <v>0.72183479208020507</v>
      </c>
      <c r="AW57" s="10">
        <f t="shared" ca="1" si="23"/>
        <v>0.71424788529758143</v>
      </c>
      <c r="AX57" s="10">
        <f t="shared" ca="1" si="23"/>
        <v>0.7324341933905204</v>
      </c>
      <c r="AY57" s="10">
        <f t="shared" ca="1" si="23"/>
        <v>0.72691997224895344</v>
      </c>
      <c r="AZ57" s="10">
        <f t="shared" ca="1" si="23"/>
        <v>0.72225646259421317</v>
      </c>
      <c r="BA57" s="10">
        <f t="shared" ca="1" si="23"/>
        <v>0.72111830045285097</v>
      </c>
      <c r="BB57" s="10">
        <f t="shared" ca="1" si="23"/>
        <v>0.71815352390390164</v>
      </c>
      <c r="BC57" s="10">
        <f t="shared" ca="1" si="23"/>
        <v>0.7259656851459817</v>
      </c>
      <c r="BD57" s="10">
        <f t="shared" ca="1" si="23"/>
        <v>0.73770705542084969</v>
      </c>
      <c r="BE57" s="10">
        <f t="shared" ca="1" si="23"/>
        <v>0.7412508977288591</v>
      </c>
      <c r="BF57" s="10">
        <f t="shared" ca="1" si="23"/>
        <v>0.75285971597677692</v>
      </c>
      <c r="BG57" s="10">
        <f t="shared" ca="1" si="23"/>
        <v>0.75167522096216188</v>
      </c>
      <c r="BH57" s="10">
        <f t="shared" ca="1" si="23"/>
        <v>0.75738846690299566</v>
      </c>
      <c r="BI57" s="10">
        <f t="shared" ca="1" si="23"/>
        <v>0.77259312093065791</v>
      </c>
      <c r="BJ57" s="10">
        <f t="shared" ca="1" si="23"/>
        <v>0.77959572625930751</v>
      </c>
      <c r="BK57" s="10">
        <f t="shared" ca="1" si="23"/>
        <v>0.77503477192559445</v>
      </c>
      <c r="BL57" s="10">
        <f t="shared" ca="1" si="23"/>
        <v>0.77024277438654432</v>
      </c>
      <c r="BM57" s="10">
        <f t="shared" ca="1" si="23"/>
        <v>0.78964255950764384</v>
      </c>
      <c r="BN57" s="10">
        <f t="shared" ca="1" si="23"/>
        <v>0.78718666897283895</v>
      </c>
      <c r="BO57" s="10">
        <f t="shared" ca="1" si="23"/>
        <v>0.78054619070616438</v>
      </c>
      <c r="BP57" s="10">
        <f t="shared" ca="1" si="23"/>
        <v>0.79099031838979983</v>
      </c>
      <c r="BQ57" s="10">
        <f t="shared" ca="1" si="23"/>
        <v>0.79055508511024875</v>
      </c>
      <c r="BR57" s="10">
        <f t="shared" ca="1" si="23"/>
        <v>0.78307602918521446</v>
      </c>
      <c r="BS57" s="10">
        <f t="shared" ref="BS57:CX57" ca="1" si="24">BS58/(1+LiborTenor*BS10)</f>
        <v>0.80440488667106091</v>
      </c>
      <c r="BT57" s="10">
        <f t="shared" ca="1" si="24"/>
        <v>0.81114810559451789</v>
      </c>
      <c r="BU57" s="10">
        <f t="shared" ca="1" si="24"/>
        <v>0.81727534014027992</v>
      </c>
      <c r="BV57" s="10">
        <f t="shared" ca="1" si="24"/>
        <v>0.82031728436079832</v>
      </c>
      <c r="BW57" s="10">
        <f t="shared" ca="1" si="24"/>
        <v>0.8308341497483942</v>
      </c>
      <c r="BX57" s="10">
        <f t="shared" ca="1" si="24"/>
        <v>0.83399366531733454</v>
      </c>
      <c r="BY57" s="10">
        <f t="shared" ca="1" si="24"/>
        <v>0.84373413791865737</v>
      </c>
      <c r="BZ57" s="10">
        <f t="shared" ca="1" si="24"/>
        <v>0.83482726647267202</v>
      </c>
      <c r="CA57" s="10">
        <f t="shared" ca="1" si="24"/>
        <v>0.8394805793932455</v>
      </c>
      <c r="CB57" s="10">
        <f t="shared" ca="1" si="24"/>
        <v>0.84752982652778808</v>
      </c>
      <c r="CC57" s="10">
        <f t="shared" ca="1" si="24"/>
        <v>0.84821730424487984</v>
      </c>
      <c r="CD57" s="10">
        <f t="shared" ca="1" si="24"/>
        <v>0.84659502009904974</v>
      </c>
      <c r="CE57" s="10">
        <f t="shared" ca="1" si="24"/>
        <v>0.86345920949863897</v>
      </c>
      <c r="CF57" s="10">
        <f t="shared" ca="1" si="24"/>
        <v>0.85909447863460131</v>
      </c>
      <c r="CG57" s="10">
        <f t="shared" ca="1" si="24"/>
        <v>0.85748337516669015</v>
      </c>
      <c r="CH57" s="10">
        <f t="shared" ca="1" si="24"/>
        <v>0.87313907790127743</v>
      </c>
      <c r="CI57" s="10">
        <f t="shared" ca="1" si="24"/>
        <v>0.87380825959442199</v>
      </c>
      <c r="CJ57" s="10">
        <f t="shared" ca="1" si="24"/>
        <v>0.87617348468716538</v>
      </c>
      <c r="CK57" s="10">
        <f t="shared" ca="1" si="24"/>
        <v>0.8888777471881748</v>
      </c>
      <c r="CL57" s="10">
        <f t="shared" ca="1" si="24"/>
        <v>0.88644866867246375</v>
      </c>
      <c r="CM57" s="10">
        <f t="shared" ca="1" si="24"/>
        <v>0.88779913717330072</v>
      </c>
      <c r="CN57" s="10">
        <f t="shared" ca="1" si="24"/>
        <v>0.90104364423104188</v>
      </c>
      <c r="CO57" s="10">
        <f t="shared" ca="1" si="24"/>
        <v>0.90528894506439295</v>
      </c>
      <c r="CP57" s="10">
        <f t="shared" ca="1" si="24"/>
        <v>0.90378527311629475</v>
      </c>
      <c r="CQ57" s="10">
        <f t="shared" ca="1" si="24"/>
        <v>0.91279956408244001</v>
      </c>
      <c r="CR57" s="10">
        <f t="shared" ca="1" si="24"/>
        <v>0.91054035923279786</v>
      </c>
      <c r="CS57" s="10">
        <f t="shared" ca="1" si="24"/>
        <v>0.90947493681556768</v>
      </c>
      <c r="CT57" s="10">
        <f t="shared" ca="1" si="24"/>
        <v>0.9200003324804138</v>
      </c>
      <c r="CU57" s="10">
        <f t="shared" ca="1" si="24"/>
        <v>0.92009894597852815</v>
      </c>
      <c r="CV57" s="10">
        <f t="shared" ca="1" si="24"/>
        <v>0.91995377881535367</v>
      </c>
      <c r="CW57" s="10">
        <f t="shared" ca="1" si="24"/>
        <v>0.93144222849004221</v>
      </c>
      <c r="CX57" s="10">
        <f t="shared" ca="1" si="24"/>
        <v>0.93058306448096095</v>
      </c>
      <c r="CY57" s="10">
        <f t="shared" ref="CY57:DK57" ca="1" si="25">CY58/(1+LiborTenor*CY10)</f>
        <v>0.92824044026069175</v>
      </c>
      <c r="CZ57" s="10">
        <f t="shared" ca="1" si="25"/>
        <v>0.94190018807165421</v>
      </c>
      <c r="DA57" s="10">
        <f t="shared" ca="1" si="25"/>
        <v>0.94088136669415656</v>
      </c>
      <c r="DB57" s="10">
        <f t="shared" ca="1" si="25"/>
        <v>0.93999389509611042</v>
      </c>
      <c r="DC57" s="10">
        <f t="shared" ca="1" si="25"/>
        <v>0.95567021906889937</v>
      </c>
      <c r="DD57" s="10">
        <f t="shared" ca="1" si="25"/>
        <v>0.95497919126853748</v>
      </c>
      <c r="DE57" s="10">
        <f t="shared" ca="1" si="25"/>
        <v>0.95327427448888746</v>
      </c>
      <c r="DF57" s="10">
        <f t="shared" ca="1" si="25"/>
        <v>0.96898257409239974</v>
      </c>
      <c r="DG57" s="10">
        <f t="shared" ca="1" si="25"/>
        <v>0.96862942254865081</v>
      </c>
      <c r="DH57" s="10">
        <f t="shared" ca="1" si="25"/>
        <v>0.9676363144378235</v>
      </c>
      <c r="DI57" s="10">
        <f t="shared" ca="1" si="25"/>
        <v>0.98366816449443972</v>
      </c>
      <c r="DJ57" s="10">
        <f t="shared" ca="1" si="25"/>
        <v>0.9838110003077376</v>
      </c>
      <c r="DK57" s="10">
        <f t="shared" ca="1" si="25"/>
        <v>0.98369635698225144</v>
      </c>
      <c r="DL57" s="10">
        <v>1</v>
      </c>
      <c r="DM57" s="10">
        <v>1</v>
      </c>
      <c r="DN57" s="10">
        <v>1</v>
      </c>
      <c r="DO57" s="10"/>
      <c r="DP57" s="10"/>
      <c r="DQ57" s="10"/>
      <c r="DR57" s="10"/>
      <c r="DS57" s="10"/>
      <c r="DT57" s="10"/>
      <c r="DU57" s="10"/>
      <c r="DV57" s="10"/>
      <c r="DW57" s="10"/>
    </row>
    <row r="58" spans="3:127" x14ac:dyDescent="0.25">
      <c r="C58" s="6"/>
      <c r="F58" s="23">
        <f t="shared" si="13"/>
        <v>9</v>
      </c>
      <c r="G58" s="10">
        <f t="shared" ref="G58:AL58" si="26">G59/(1+LiborTenor*G11)</f>
        <v>0.65621622555891179</v>
      </c>
      <c r="H58" s="10">
        <f t="shared" ca="1" si="26"/>
        <v>0.6546323629870705</v>
      </c>
      <c r="I58" s="10">
        <f t="shared" ca="1" si="26"/>
        <v>0.65415108910465769</v>
      </c>
      <c r="J58" s="10">
        <f t="shared" ca="1" si="26"/>
        <v>0.66208013857593473</v>
      </c>
      <c r="K58" s="10">
        <f t="shared" ca="1" si="26"/>
        <v>0.66618751149067001</v>
      </c>
      <c r="L58" s="10">
        <f t="shared" ca="1" si="26"/>
        <v>0.67500113493200764</v>
      </c>
      <c r="M58" s="10">
        <f t="shared" ca="1" si="26"/>
        <v>0.6569009907289568</v>
      </c>
      <c r="N58" s="10">
        <f t="shared" ca="1" si="26"/>
        <v>0.66677106196240299</v>
      </c>
      <c r="O58" s="10">
        <f t="shared" ca="1" si="26"/>
        <v>0.65644909550610353</v>
      </c>
      <c r="P58" s="10">
        <f t="shared" ca="1" si="26"/>
        <v>0.664513663258256</v>
      </c>
      <c r="Q58" s="10">
        <f t="shared" ca="1" si="26"/>
        <v>0.67016105317813646</v>
      </c>
      <c r="R58" s="10">
        <f t="shared" ca="1" si="26"/>
        <v>0.6622851820357154</v>
      </c>
      <c r="S58" s="10">
        <f t="shared" ca="1" si="26"/>
        <v>0.64711989255175095</v>
      </c>
      <c r="T58" s="10">
        <f t="shared" ca="1" si="26"/>
        <v>0.66060717887303977</v>
      </c>
      <c r="U58" s="10">
        <f t="shared" ca="1" si="26"/>
        <v>0.66139720300401972</v>
      </c>
      <c r="V58" s="10">
        <f t="shared" ca="1" si="26"/>
        <v>0.67012138645186214</v>
      </c>
      <c r="W58" s="10">
        <f t="shared" ca="1" si="26"/>
        <v>0.69877941705059232</v>
      </c>
      <c r="X58" s="10">
        <f t="shared" ca="1" si="26"/>
        <v>0.69323406243385954</v>
      </c>
      <c r="Y58" s="10">
        <f t="shared" ca="1" si="26"/>
        <v>0.69785369946786635</v>
      </c>
      <c r="Z58" s="10">
        <f t="shared" ca="1" si="26"/>
        <v>0.69860881019977705</v>
      </c>
      <c r="AA58" s="10">
        <f t="shared" ca="1" si="26"/>
        <v>0.69310474928649612</v>
      </c>
      <c r="AB58" s="10">
        <f t="shared" ca="1" si="26"/>
        <v>0.69395364582939356</v>
      </c>
      <c r="AC58" s="10">
        <f t="shared" ca="1" si="26"/>
        <v>0.70820581604919941</v>
      </c>
      <c r="AD58" s="10">
        <f t="shared" ca="1" si="26"/>
        <v>0.7108973332214803</v>
      </c>
      <c r="AE58" s="10">
        <f t="shared" ca="1" si="26"/>
        <v>0.69638793929082399</v>
      </c>
      <c r="AF58" s="10">
        <f t="shared" ca="1" si="26"/>
        <v>0.70332199214413393</v>
      </c>
      <c r="AG58" s="10">
        <f t="shared" ca="1" si="26"/>
        <v>0.69950716210180597</v>
      </c>
      <c r="AH58" s="10">
        <f t="shared" ca="1" si="26"/>
        <v>0.69513048775668185</v>
      </c>
      <c r="AI58" s="10">
        <f t="shared" ca="1" si="26"/>
        <v>0.68985541933747008</v>
      </c>
      <c r="AJ58" s="10">
        <f t="shared" ca="1" si="26"/>
        <v>0.68664985937682532</v>
      </c>
      <c r="AK58" s="10">
        <f t="shared" ca="1" si="26"/>
        <v>0.67575699788738774</v>
      </c>
      <c r="AL58" s="10">
        <f t="shared" ca="1" si="26"/>
        <v>0.6808579911468865</v>
      </c>
      <c r="AM58" s="10">
        <f t="shared" ref="AM58:BR58" ca="1" si="27">AM59/(1+LiborTenor*AM11)</f>
        <v>0.68249710107623607</v>
      </c>
      <c r="AN58" s="10">
        <f t="shared" ca="1" si="27"/>
        <v>0.70046301111964671</v>
      </c>
      <c r="AO58" s="10">
        <f t="shared" ca="1" si="27"/>
        <v>0.71507261223055418</v>
      </c>
      <c r="AP58" s="10">
        <f t="shared" ca="1" si="27"/>
        <v>0.72532022101800642</v>
      </c>
      <c r="AQ58" s="10">
        <f t="shared" ca="1" si="27"/>
        <v>0.7197843446031541</v>
      </c>
      <c r="AR58" s="10">
        <f t="shared" ca="1" si="27"/>
        <v>0.72210834699908155</v>
      </c>
      <c r="AS58" s="10">
        <f t="shared" ca="1" si="27"/>
        <v>0.72757203151133165</v>
      </c>
      <c r="AT58" s="10">
        <f t="shared" ca="1" si="27"/>
        <v>0.72988941411232167</v>
      </c>
      <c r="AU58" s="10">
        <f t="shared" ca="1" si="27"/>
        <v>0.73326448399849009</v>
      </c>
      <c r="AV58" s="10">
        <f t="shared" ca="1" si="27"/>
        <v>0.73194235816935849</v>
      </c>
      <c r="AW58" s="10">
        <f t="shared" ca="1" si="27"/>
        <v>0.72448156386008589</v>
      </c>
      <c r="AX58" s="10">
        <f t="shared" ca="1" si="27"/>
        <v>0.74267851377137462</v>
      </c>
      <c r="AY58" s="10">
        <f t="shared" ca="1" si="27"/>
        <v>0.73726656390121936</v>
      </c>
      <c r="AZ58" s="10">
        <f t="shared" ca="1" si="27"/>
        <v>0.73268763993625474</v>
      </c>
      <c r="BA58" s="10">
        <f t="shared" ca="1" si="27"/>
        <v>0.73193334924132669</v>
      </c>
      <c r="BB58" s="10">
        <f t="shared" ca="1" si="27"/>
        <v>0.72902451855855044</v>
      </c>
      <c r="BC58" s="10">
        <f t="shared" ca="1" si="27"/>
        <v>0.73669388483194187</v>
      </c>
      <c r="BD58" s="10">
        <f t="shared" ca="1" si="27"/>
        <v>0.74859043014604065</v>
      </c>
      <c r="BE58" s="10">
        <f t="shared" ca="1" si="27"/>
        <v>0.7520600207830328</v>
      </c>
      <c r="BF58" s="10">
        <f t="shared" ca="1" si="27"/>
        <v>0.76341698563908522</v>
      </c>
      <c r="BG58" s="10">
        <f t="shared" ca="1" si="27"/>
        <v>0.76267503004087989</v>
      </c>
      <c r="BH58" s="10">
        <f t="shared" ca="1" si="27"/>
        <v>0.7682519826938895</v>
      </c>
      <c r="BI58" s="10">
        <f t="shared" ca="1" si="27"/>
        <v>0.78307996274123215</v>
      </c>
      <c r="BJ58" s="10">
        <f t="shared" ca="1" si="27"/>
        <v>0.79031908400534012</v>
      </c>
      <c r="BK58" s="10">
        <f t="shared" ca="1" si="27"/>
        <v>0.78588806952576384</v>
      </c>
      <c r="BL58" s="10">
        <f t="shared" ca="1" si="27"/>
        <v>0.78123021237171097</v>
      </c>
      <c r="BM58" s="10">
        <f t="shared" ca="1" si="27"/>
        <v>0.80053996519926052</v>
      </c>
      <c r="BN58" s="10">
        <f t="shared" ca="1" si="27"/>
        <v>0.79816194601554169</v>
      </c>
      <c r="BO58" s="10">
        <f t="shared" ca="1" si="27"/>
        <v>0.79172801985730368</v>
      </c>
      <c r="BP58" s="10">
        <f t="shared" ca="1" si="27"/>
        <v>0.80237263569987416</v>
      </c>
      <c r="BQ58" s="10">
        <f t="shared" ca="1" si="27"/>
        <v>0.80195294884792856</v>
      </c>
      <c r="BR58" s="10">
        <f t="shared" ca="1" si="27"/>
        <v>0.7947254346614776</v>
      </c>
      <c r="BS58" s="10">
        <f t="shared" ref="BS58:CX58" ca="1" si="28">BS59/(1+LiborTenor*BS11)</f>
        <v>0.8159005309980939</v>
      </c>
      <c r="BT58" s="10">
        <f t="shared" ca="1" si="28"/>
        <v>0.82238679896322653</v>
      </c>
      <c r="BU58" s="10">
        <f t="shared" ca="1" si="28"/>
        <v>0.82827527673730039</v>
      </c>
      <c r="BV58" s="10">
        <f t="shared" ca="1" si="28"/>
        <v>0.83181579624948088</v>
      </c>
      <c r="BW58" s="10">
        <f t="shared" ca="1" si="28"/>
        <v>0.84187518058864597</v>
      </c>
      <c r="BX58" s="10">
        <f t="shared" ca="1" si="28"/>
        <v>0.84489362643377353</v>
      </c>
      <c r="BY58" s="10">
        <f t="shared" ca="1" si="28"/>
        <v>0.8548276708089031</v>
      </c>
      <c r="BZ58" s="10">
        <f t="shared" ca="1" si="28"/>
        <v>0.84636781751693368</v>
      </c>
      <c r="CA58" s="10">
        <f t="shared" ca="1" si="28"/>
        <v>0.85079264116198561</v>
      </c>
      <c r="CB58" s="10">
        <f t="shared" ca="1" si="28"/>
        <v>0.85918405325558211</v>
      </c>
      <c r="CC58" s="10">
        <f t="shared" ca="1" si="28"/>
        <v>0.85983385621786668</v>
      </c>
      <c r="CD58" s="10">
        <f t="shared" ca="1" si="28"/>
        <v>0.85830241664697682</v>
      </c>
      <c r="CE58" s="10">
        <f t="shared" ca="1" si="28"/>
        <v>0.8750198161172722</v>
      </c>
      <c r="CF58" s="10">
        <f t="shared" ca="1" si="28"/>
        <v>0.87093374945768109</v>
      </c>
      <c r="CG58" s="10">
        <f t="shared" ca="1" si="28"/>
        <v>0.86942475004444841</v>
      </c>
      <c r="CH58" s="10">
        <f t="shared" ca="1" si="28"/>
        <v>0.88499930260972071</v>
      </c>
      <c r="CI58" s="10">
        <f t="shared" ca="1" si="28"/>
        <v>0.88562029870745795</v>
      </c>
      <c r="CJ58" s="10">
        <f t="shared" ca="1" si="28"/>
        <v>0.88781356802388034</v>
      </c>
      <c r="CK58" s="10">
        <f t="shared" ca="1" si="28"/>
        <v>0.90058462609288803</v>
      </c>
      <c r="CL58" s="10">
        <f t="shared" ca="1" si="28"/>
        <v>0.8983613567173484</v>
      </c>
      <c r="CM58" s="10">
        <f t="shared" ca="1" si="28"/>
        <v>0.8995984828391852</v>
      </c>
      <c r="CN58" s="10">
        <f t="shared" ca="1" si="28"/>
        <v>0.91285991368943675</v>
      </c>
      <c r="CO58" s="10">
        <f t="shared" ca="1" si="28"/>
        <v>0.91668484155785623</v>
      </c>
      <c r="CP58" s="10">
        <f t="shared" ca="1" si="28"/>
        <v>0.91533167749583155</v>
      </c>
      <c r="CQ58" s="10">
        <f t="shared" ca="1" si="28"/>
        <v>0.92477806269055673</v>
      </c>
      <c r="CR58" s="10">
        <f t="shared" ca="1" si="28"/>
        <v>0.92278317027887502</v>
      </c>
      <c r="CS58" s="10">
        <f t="shared" ca="1" si="28"/>
        <v>0.92184195137372571</v>
      </c>
      <c r="CT58" s="10">
        <f t="shared" ca="1" si="28"/>
        <v>0.93280641480295456</v>
      </c>
      <c r="CU58" s="10">
        <f t="shared" ca="1" si="28"/>
        <v>0.93289150465463178</v>
      </c>
      <c r="CV58" s="10">
        <f t="shared" ca="1" si="28"/>
        <v>0.93276688413171061</v>
      </c>
      <c r="CW58" s="10">
        <f t="shared" ca="1" si="28"/>
        <v>0.94468862328880088</v>
      </c>
      <c r="CX58" s="10">
        <f t="shared" ca="1" si="28"/>
        <v>0.94397854034657158</v>
      </c>
      <c r="CY58" s="10">
        <f t="shared" ref="CY58:DH58" ca="1" si="29">CY59/(1+LiborTenor*CY11)</f>
        <v>0.94204103230507508</v>
      </c>
      <c r="CZ58" s="10">
        <f t="shared" ca="1" si="29"/>
        <v>0.95599728441337817</v>
      </c>
      <c r="DA58" s="10">
        <f t="shared" ca="1" si="29"/>
        <v>0.95520623488760015</v>
      </c>
      <c r="DB58" s="10">
        <f t="shared" ca="1" si="29"/>
        <v>0.95451683239342477</v>
      </c>
      <c r="DC58" s="10">
        <f t="shared" ca="1" si="29"/>
        <v>0.97014658346599636</v>
      </c>
      <c r="DD58" s="10">
        <f t="shared" ca="1" si="29"/>
        <v>0.96966932422727126</v>
      </c>
      <c r="DE58" s="10">
        <f t="shared" ca="1" si="29"/>
        <v>0.96849086570838527</v>
      </c>
      <c r="DF58" s="10">
        <f t="shared" ca="1" si="29"/>
        <v>0.98431556424817468</v>
      </c>
      <c r="DG58" s="10">
        <f t="shared" ca="1" si="29"/>
        <v>0.98413232776958692</v>
      </c>
      <c r="DH58" s="10">
        <f t="shared" ca="1" si="29"/>
        <v>0.98361665012599186</v>
      </c>
      <c r="DI58" s="10">
        <v>1</v>
      </c>
      <c r="DJ58" s="10">
        <v>1</v>
      </c>
      <c r="DK58" s="10">
        <v>1</v>
      </c>
      <c r="DL58" s="10"/>
      <c r="DM58" s="10"/>
      <c r="DN58" s="10"/>
      <c r="DO58" s="10"/>
      <c r="DP58" s="10"/>
      <c r="DQ58" s="10"/>
      <c r="DR58" s="10"/>
      <c r="DS58" s="10"/>
      <c r="DT58" s="10"/>
      <c r="DU58" s="10"/>
      <c r="DV58" s="10"/>
      <c r="DW58" s="10"/>
    </row>
    <row r="59" spans="3:127" x14ac:dyDescent="0.25">
      <c r="C59" s="6"/>
      <c r="F59" s="23">
        <f t="shared" si="13"/>
        <v>8.75</v>
      </c>
      <c r="G59" s="10">
        <f t="shared" ref="G59:AL59" si="30">G60/(1+LiborTenor*G12)</f>
        <v>0.66441892837839811</v>
      </c>
      <c r="H59" s="10">
        <f t="shared" ca="1" si="30"/>
        <v>0.66298299329384469</v>
      </c>
      <c r="I59" s="10">
        <f t="shared" ca="1" si="30"/>
        <v>0.66250687612182768</v>
      </c>
      <c r="J59" s="10">
        <f t="shared" ca="1" si="30"/>
        <v>0.67037318182186956</v>
      </c>
      <c r="K59" s="10">
        <f t="shared" ca="1" si="30"/>
        <v>0.67458965061110154</v>
      </c>
      <c r="L59" s="10">
        <f t="shared" ca="1" si="30"/>
        <v>0.68332662353405127</v>
      </c>
      <c r="M59" s="10">
        <f t="shared" ca="1" si="30"/>
        <v>0.66538991671552217</v>
      </c>
      <c r="N59" s="10">
        <f t="shared" ca="1" si="30"/>
        <v>0.67532820173632579</v>
      </c>
      <c r="O59" s="10">
        <f t="shared" ca="1" si="30"/>
        <v>0.66509726049448614</v>
      </c>
      <c r="P59" s="10">
        <f t="shared" ca="1" si="30"/>
        <v>0.67309584956576318</v>
      </c>
      <c r="Q59" s="10">
        <f t="shared" ca="1" si="30"/>
        <v>0.67885309657029602</v>
      </c>
      <c r="R59" s="10">
        <f t="shared" ca="1" si="30"/>
        <v>0.67104988811367849</v>
      </c>
      <c r="S59" s="10">
        <f t="shared" ca="1" si="30"/>
        <v>0.65601424919360307</v>
      </c>
      <c r="T59" s="10">
        <f t="shared" ca="1" si="30"/>
        <v>0.66956293196099359</v>
      </c>
      <c r="U59" s="10">
        <f t="shared" ca="1" si="30"/>
        <v>0.67034754834934251</v>
      </c>
      <c r="V59" s="10">
        <f t="shared" ca="1" si="30"/>
        <v>0.67899526993313997</v>
      </c>
      <c r="W59" s="10">
        <f t="shared" ca="1" si="30"/>
        <v>0.70754206890188043</v>
      </c>
      <c r="X59" s="10">
        <f t="shared" ca="1" si="30"/>
        <v>0.70206078054402743</v>
      </c>
      <c r="Y59" s="10">
        <f t="shared" ca="1" si="30"/>
        <v>0.70663032887785915</v>
      </c>
      <c r="Z59" s="10">
        <f t="shared" ca="1" si="30"/>
        <v>0.7075651600745485</v>
      </c>
      <c r="AA59" s="10">
        <f t="shared" ca="1" si="30"/>
        <v>0.70212627900422209</v>
      </c>
      <c r="AB59" s="10">
        <f t="shared" ca="1" si="30"/>
        <v>0.70296688219037529</v>
      </c>
      <c r="AC59" s="10">
        <f t="shared" ca="1" si="30"/>
        <v>0.71724889698141869</v>
      </c>
      <c r="AD59" s="10">
        <f t="shared" ca="1" si="30"/>
        <v>0.71990725734867356</v>
      </c>
      <c r="AE59" s="10">
        <f t="shared" ca="1" si="30"/>
        <v>0.70558305762524753</v>
      </c>
      <c r="AF59" s="10">
        <f t="shared" ca="1" si="30"/>
        <v>0.71264984530873265</v>
      </c>
      <c r="AG59" s="10">
        <f t="shared" ca="1" si="30"/>
        <v>0.70888506038406296</v>
      </c>
      <c r="AH59" s="10">
        <f t="shared" ca="1" si="30"/>
        <v>0.70456440142493881</v>
      </c>
      <c r="AI59" s="10">
        <f t="shared" ca="1" si="30"/>
        <v>0.69959923484760012</v>
      </c>
      <c r="AJ59" s="10">
        <f t="shared" ca="1" si="30"/>
        <v>0.69643469064616392</v>
      </c>
      <c r="AK59" s="10">
        <f t="shared" ca="1" si="30"/>
        <v>0.68567374887001886</v>
      </c>
      <c r="AL59" s="10">
        <f t="shared" ca="1" si="30"/>
        <v>0.69098603916736911</v>
      </c>
      <c r="AM59" s="10">
        <f t="shared" ref="AM59:BR59" ca="1" si="31">AM60/(1+LiborTenor*AM12)</f>
        <v>0.69260640381912886</v>
      </c>
      <c r="AN59" s="10">
        <f t="shared" ca="1" si="31"/>
        <v>0.7103438953493918</v>
      </c>
      <c r="AO59" s="10">
        <f t="shared" ca="1" si="31"/>
        <v>0.72501737285394874</v>
      </c>
      <c r="AP59" s="10">
        <f t="shared" ca="1" si="31"/>
        <v>0.73510394794188483</v>
      </c>
      <c r="AQ59" s="10">
        <f t="shared" ca="1" si="31"/>
        <v>0.72965984768104841</v>
      </c>
      <c r="AR59" s="10">
        <f t="shared" ca="1" si="31"/>
        <v>0.73224286927722382</v>
      </c>
      <c r="AS59" s="10">
        <f t="shared" ca="1" si="31"/>
        <v>0.7376141055824863</v>
      </c>
      <c r="AT59" s="10">
        <f t="shared" ca="1" si="31"/>
        <v>0.7398920444115008</v>
      </c>
      <c r="AU59" s="10">
        <f t="shared" ca="1" si="31"/>
        <v>0.7435242992985146</v>
      </c>
      <c r="AV59" s="10">
        <f t="shared" ca="1" si="31"/>
        <v>0.74222836871195741</v>
      </c>
      <c r="AW59" s="10">
        <f t="shared" ca="1" si="31"/>
        <v>0.73490804635697571</v>
      </c>
      <c r="AX59" s="10">
        <f t="shared" ca="1" si="31"/>
        <v>0.75310269806106933</v>
      </c>
      <c r="AY59" s="10">
        <f t="shared" ca="1" si="31"/>
        <v>0.74780414569676645</v>
      </c>
      <c r="AZ59" s="10">
        <f t="shared" ca="1" si="31"/>
        <v>0.74331924368594471</v>
      </c>
      <c r="BA59" s="10">
        <f t="shared" ca="1" si="31"/>
        <v>0.74297745687152783</v>
      </c>
      <c r="BB59" s="10">
        <f t="shared" ca="1" si="31"/>
        <v>0.74013104191259105</v>
      </c>
      <c r="BC59" s="10">
        <f t="shared" ca="1" si="31"/>
        <v>0.74764054630493271</v>
      </c>
      <c r="BD59" s="10">
        <f t="shared" ca="1" si="31"/>
        <v>0.75969436326942585</v>
      </c>
      <c r="BE59" s="10">
        <f t="shared" ca="1" si="31"/>
        <v>0.76308141219478365</v>
      </c>
      <c r="BF59" s="10">
        <f t="shared" ca="1" si="31"/>
        <v>0.77415945996976054</v>
      </c>
      <c r="BG59" s="10">
        <f t="shared" ca="1" si="31"/>
        <v>0.77389199817625698</v>
      </c>
      <c r="BH59" s="10">
        <f t="shared" ca="1" si="31"/>
        <v>0.77931830005809166</v>
      </c>
      <c r="BI59" s="10">
        <f t="shared" ca="1" si="31"/>
        <v>0.79373167599997707</v>
      </c>
      <c r="BJ59" s="10">
        <f t="shared" ca="1" si="31"/>
        <v>0.80121829129857991</v>
      </c>
      <c r="BK59" s="10">
        <f t="shared" ca="1" si="31"/>
        <v>0.79692931698312586</v>
      </c>
      <c r="BL59" s="10">
        <f t="shared" ca="1" si="31"/>
        <v>0.79241839880440756</v>
      </c>
      <c r="BM59" s="10">
        <f t="shared" ca="1" si="31"/>
        <v>0.81161730492017903</v>
      </c>
      <c r="BN59" s="10">
        <f t="shared" ca="1" si="31"/>
        <v>0.80932418304117304</v>
      </c>
      <c r="BO59" s="10">
        <f t="shared" ca="1" si="31"/>
        <v>0.80311595469287211</v>
      </c>
      <c r="BP59" s="10">
        <f t="shared" ca="1" si="31"/>
        <v>0.81396734179198704</v>
      </c>
      <c r="BQ59" s="10">
        <f t="shared" ca="1" si="31"/>
        <v>0.81356454939012712</v>
      </c>
      <c r="BR59" s="10">
        <f t="shared" ca="1" si="31"/>
        <v>0.80661230782217874</v>
      </c>
      <c r="BS59" s="10">
        <f t="shared" ref="BS59:CX59" ca="1" si="32">BS60/(1+LiborTenor*BS12)</f>
        <v>0.82760562688912953</v>
      </c>
      <c r="BT59" s="10">
        <f t="shared" ca="1" si="32"/>
        <v>0.83381177095401349</v>
      </c>
      <c r="BU59" s="10">
        <f t="shared" ca="1" si="32"/>
        <v>0.83944074653522582</v>
      </c>
      <c r="BV59" s="10">
        <f t="shared" ca="1" si="32"/>
        <v>0.84351111562263559</v>
      </c>
      <c r="BW59" s="10">
        <f t="shared" ca="1" si="32"/>
        <v>0.85307397972294252</v>
      </c>
      <c r="BX59" s="10">
        <f t="shared" ca="1" si="32"/>
        <v>0.85593990244788076</v>
      </c>
      <c r="BY59" s="10">
        <f t="shared" ca="1" si="32"/>
        <v>0.86607342740712223</v>
      </c>
      <c r="BZ59" s="10">
        <f t="shared" ca="1" si="32"/>
        <v>0.85809590841005512</v>
      </c>
      <c r="CA59" s="10">
        <f t="shared" ca="1" si="32"/>
        <v>0.86227333039424869</v>
      </c>
      <c r="CB59" s="10">
        <f t="shared" ca="1" si="32"/>
        <v>0.87102403771470505</v>
      </c>
      <c r="CC59" s="10">
        <f t="shared" ca="1" si="32"/>
        <v>0.8716330342869838</v>
      </c>
      <c r="CD59" s="10">
        <f t="shared" ca="1" si="32"/>
        <v>0.87019965312021064</v>
      </c>
      <c r="CE59" s="10">
        <f t="shared" ca="1" si="32"/>
        <v>0.88674821631463741</v>
      </c>
      <c r="CF59" s="10">
        <f t="shared" ca="1" si="32"/>
        <v>0.8829622537069024</v>
      </c>
      <c r="CG59" s="10">
        <f t="shared" ca="1" si="32"/>
        <v>0.88156337156991615</v>
      </c>
      <c r="CH59" s="10">
        <f t="shared" ca="1" si="32"/>
        <v>0.89703986501736355</v>
      </c>
      <c r="CI59" s="10">
        <f t="shared" ca="1" si="32"/>
        <v>0.89760889767214103</v>
      </c>
      <c r="CJ59" s="10">
        <f t="shared" ca="1" si="32"/>
        <v>0.89961707932622914</v>
      </c>
      <c r="CK59" s="10">
        <f t="shared" ca="1" si="32"/>
        <v>0.91245056217785347</v>
      </c>
      <c r="CL59" s="10">
        <f t="shared" ca="1" si="32"/>
        <v>0.91044805119379368</v>
      </c>
      <c r="CM59" s="10">
        <f t="shared" ca="1" si="32"/>
        <v>0.91156333875479179</v>
      </c>
      <c r="CN59" s="10">
        <f t="shared" ca="1" si="32"/>
        <v>0.92483370567806733</v>
      </c>
      <c r="CO59" s="10">
        <f t="shared" ca="1" si="32"/>
        <v>0.92820849635585378</v>
      </c>
      <c r="CP59" s="10">
        <f t="shared" ca="1" si="32"/>
        <v>0.92701603634792884</v>
      </c>
      <c r="CQ59" s="10">
        <f t="shared" ca="1" si="32"/>
        <v>0.93691578263298914</v>
      </c>
      <c r="CR59" s="10">
        <f t="shared" ca="1" si="32"/>
        <v>0.93520375587283344</v>
      </c>
      <c r="CS59" s="10">
        <f t="shared" ca="1" si="32"/>
        <v>0.93439560968062219</v>
      </c>
      <c r="CT59" s="10">
        <f t="shared" ca="1" si="32"/>
        <v>0.94582106747494454</v>
      </c>
      <c r="CU59" s="10">
        <f t="shared" ca="1" si="32"/>
        <v>0.94589153925417224</v>
      </c>
      <c r="CV59" s="10">
        <f t="shared" ca="1" si="32"/>
        <v>0.94578887491209551</v>
      </c>
      <c r="CW59" s="10">
        <f t="shared" ca="1" si="32"/>
        <v>0.95816518052560995</v>
      </c>
      <c r="CX59" s="10">
        <f t="shared" ca="1" si="32"/>
        <v>0.95761514848800178</v>
      </c>
      <c r="CY59" s="10">
        <f t="shared" ref="CY59:DE59" ca="1" si="33">CY60/(1+LiborTenor*CY12)</f>
        <v>0.95611325032693451</v>
      </c>
      <c r="CZ59" s="10">
        <f t="shared" ca="1" si="33"/>
        <v>0.97037670410731547</v>
      </c>
      <c r="DA59" s="10">
        <f t="shared" ca="1" si="33"/>
        <v>0.96983088735391842</v>
      </c>
      <c r="DB59" s="10">
        <f t="shared" ca="1" si="33"/>
        <v>0.96935496720711245</v>
      </c>
      <c r="DC59" s="10">
        <f t="shared" ca="1" si="33"/>
        <v>0.98492154568656176</v>
      </c>
      <c r="DD59" s="10">
        <f t="shared" ca="1" si="33"/>
        <v>0.98467439464426854</v>
      </c>
      <c r="DE59" s="10">
        <f t="shared" ca="1" si="33"/>
        <v>0.98406361223970473</v>
      </c>
      <c r="DF59" s="10">
        <v>1</v>
      </c>
      <c r="DG59" s="10">
        <v>1</v>
      </c>
      <c r="DH59" s="10">
        <v>1</v>
      </c>
      <c r="DI59" s="10"/>
      <c r="DJ59" s="10"/>
      <c r="DK59" s="10"/>
      <c r="DL59" s="10"/>
      <c r="DM59" s="10"/>
      <c r="DN59" s="10"/>
      <c r="DO59" s="10"/>
      <c r="DP59" s="10"/>
      <c r="DQ59" s="10"/>
      <c r="DR59" s="10"/>
      <c r="DS59" s="10"/>
      <c r="DT59" s="10"/>
      <c r="DU59" s="10"/>
      <c r="DV59" s="10"/>
      <c r="DW59" s="10"/>
    </row>
    <row r="60" spans="3:127" x14ac:dyDescent="0.25">
      <c r="C60" s="6"/>
      <c r="F60" s="23">
        <f t="shared" si="13"/>
        <v>8.5</v>
      </c>
      <c r="G60" s="10">
        <f t="shared" ref="G60:AL60" si="34">G61/(1+LiborTenor*G13)</f>
        <v>0.67272416498312804</v>
      </c>
      <c r="H60" s="10">
        <f t="shared" ca="1" si="34"/>
        <v>0.67144637932216711</v>
      </c>
      <c r="I60" s="10">
        <f t="shared" ca="1" si="34"/>
        <v>0.67097598986534635</v>
      </c>
      <c r="J60" s="10">
        <f t="shared" ca="1" si="34"/>
        <v>0.67877057282515652</v>
      </c>
      <c r="K60" s="10">
        <f t="shared" ca="1" si="34"/>
        <v>0.6831002851870519</v>
      </c>
      <c r="L60" s="10">
        <f t="shared" ca="1" si="34"/>
        <v>0.69175036270575285</v>
      </c>
      <c r="M60" s="10">
        <f t="shared" ca="1" si="34"/>
        <v>0.67399810669765592</v>
      </c>
      <c r="N60" s="10">
        <f t="shared" ca="1" si="34"/>
        <v>0.68400256069854304</v>
      </c>
      <c r="O60" s="10">
        <f t="shared" ca="1" si="34"/>
        <v>0.67387496555899395</v>
      </c>
      <c r="P60" s="10">
        <f t="shared" ca="1" si="34"/>
        <v>0.68179797419934041</v>
      </c>
      <c r="Q60" s="10">
        <f t="shared" ca="1" si="34"/>
        <v>0.68766837959872151</v>
      </c>
      <c r="R60" s="10">
        <f t="shared" ca="1" si="34"/>
        <v>0.67994752376301959</v>
      </c>
      <c r="S60" s="10">
        <f t="shared" ca="1" si="34"/>
        <v>0.66506011082067684</v>
      </c>
      <c r="T60" s="10">
        <f t="shared" ca="1" si="34"/>
        <v>0.67866491846949129</v>
      </c>
      <c r="U60" s="10">
        <f t="shared" ca="1" si="34"/>
        <v>0.67944315552436041</v>
      </c>
      <c r="V60" s="10">
        <f t="shared" ca="1" si="34"/>
        <v>0.68800337539748668</v>
      </c>
      <c r="W60" s="10">
        <f t="shared" ca="1" si="34"/>
        <v>0.71641302927518402</v>
      </c>
      <c r="X60" s="10">
        <f t="shared" ca="1" si="34"/>
        <v>0.71100312475213523</v>
      </c>
      <c r="Y60" s="10">
        <f t="shared" ca="1" si="34"/>
        <v>0.7155165033118096</v>
      </c>
      <c r="Z60" s="10">
        <f t="shared" ca="1" si="34"/>
        <v>0.71664164547263676</v>
      </c>
      <c r="AA60" s="10">
        <f t="shared" ca="1" si="34"/>
        <v>0.71127549176180527</v>
      </c>
      <c r="AB60" s="10">
        <f t="shared" ca="1" si="34"/>
        <v>0.71210665368525872</v>
      </c>
      <c r="AC60" s="10">
        <f t="shared" ca="1" si="34"/>
        <v>0.7264111866784928</v>
      </c>
      <c r="AD60" s="10">
        <f t="shared" ca="1" si="34"/>
        <v>0.7290325554322048</v>
      </c>
      <c r="AE60" s="10">
        <f t="shared" ca="1" si="34"/>
        <v>0.71491424721474151</v>
      </c>
      <c r="AF60" s="10">
        <f t="shared" ca="1" si="34"/>
        <v>0.72211771834028626</v>
      </c>
      <c r="AG60" s="10">
        <f t="shared" ca="1" si="34"/>
        <v>0.71840870067990081</v>
      </c>
      <c r="AH60" s="10">
        <f t="shared" ca="1" si="34"/>
        <v>0.71415062352348213</v>
      </c>
      <c r="AI60" s="10">
        <f t="shared" ca="1" si="34"/>
        <v>0.70951970744240533</v>
      </c>
      <c r="AJ60" s="10">
        <f t="shared" ca="1" si="34"/>
        <v>0.70640125128741127</v>
      </c>
      <c r="AK60" s="10">
        <f t="shared" ca="1" si="34"/>
        <v>0.69578940500070752</v>
      </c>
      <c r="AL60" s="10">
        <f t="shared" ca="1" si="34"/>
        <v>0.70132421456019955</v>
      </c>
      <c r="AM60" s="10">
        <f t="shared" ref="AM60:BR60" ca="1" si="35">AM61/(1+LiborTenor*AM13)</f>
        <v>0.70292312108863575</v>
      </c>
      <c r="AN60" s="10">
        <f t="shared" ca="1" si="35"/>
        <v>0.7204021717568444</v>
      </c>
      <c r="AO60" s="10">
        <f t="shared" ca="1" si="35"/>
        <v>0.73513337085720765</v>
      </c>
      <c r="AP60" s="10">
        <f t="shared" ca="1" si="35"/>
        <v>0.74504079179851124</v>
      </c>
      <c r="AQ60" s="10">
        <f t="shared" ca="1" si="35"/>
        <v>0.73969822624530612</v>
      </c>
      <c r="AR60" s="10">
        <f t="shared" ca="1" si="35"/>
        <v>0.7425560020098475</v>
      </c>
      <c r="AS60" s="10">
        <f t="shared" ca="1" si="35"/>
        <v>0.74782451325928978</v>
      </c>
      <c r="AT60" s="10">
        <f t="shared" ca="1" si="35"/>
        <v>0.75005865766216295</v>
      </c>
      <c r="AU60" s="10">
        <f t="shared" ca="1" si="35"/>
        <v>0.75396294210051618</v>
      </c>
      <c r="AV60" s="10">
        <f t="shared" ca="1" si="35"/>
        <v>0.75269585174274167</v>
      </c>
      <c r="AW60" s="10">
        <f t="shared" ca="1" si="35"/>
        <v>0.7455309636337929</v>
      </c>
      <c r="AX60" s="10">
        <f t="shared" ca="1" si="35"/>
        <v>0.76370973241565887</v>
      </c>
      <c r="AY60" s="10">
        <f t="shared" ca="1" si="35"/>
        <v>0.75853616189216944</v>
      </c>
      <c r="AZ60" s="10">
        <f t="shared" ca="1" si="35"/>
        <v>0.7541551221903311</v>
      </c>
      <c r="BA60" s="10">
        <f t="shared" ca="1" si="35"/>
        <v>0.75425570030435252</v>
      </c>
      <c r="BB60" s="10">
        <f t="shared" ca="1" si="35"/>
        <v>0.75147847870122386</v>
      </c>
      <c r="BC60" s="10">
        <f t="shared" ca="1" si="35"/>
        <v>0.75881019911024816</v>
      </c>
      <c r="BD60" s="10">
        <f t="shared" ca="1" si="35"/>
        <v>0.7710233825771059</v>
      </c>
      <c r="BE60" s="10">
        <f t="shared" ca="1" si="35"/>
        <v>0.77431920235522456</v>
      </c>
      <c r="BF60" s="10">
        <f t="shared" ca="1" si="35"/>
        <v>0.7850900574511428</v>
      </c>
      <c r="BG60" s="10">
        <f t="shared" ca="1" si="35"/>
        <v>0.78533031084463256</v>
      </c>
      <c r="BH60" s="10">
        <f t="shared" ca="1" si="35"/>
        <v>0.79059094843350097</v>
      </c>
      <c r="BI60" s="10">
        <f t="shared" ca="1" si="35"/>
        <v>0.80455020151184142</v>
      </c>
      <c r="BJ60" s="10">
        <f t="shared" ca="1" si="35"/>
        <v>0.81229563076230249</v>
      </c>
      <c r="BK60" s="10">
        <f t="shared" ca="1" si="35"/>
        <v>0.80816125479285084</v>
      </c>
      <c r="BL60" s="10">
        <f t="shared" ca="1" si="35"/>
        <v>0.80381058350395462</v>
      </c>
      <c r="BM60" s="10">
        <f t="shared" ca="1" si="35"/>
        <v>0.82287689231920136</v>
      </c>
      <c r="BN60" s="10">
        <f t="shared" ca="1" si="35"/>
        <v>0.82067595367293211</v>
      </c>
      <c r="BO60" s="10">
        <f t="shared" ca="1" si="35"/>
        <v>0.81471332529592544</v>
      </c>
      <c r="BP60" s="10">
        <f t="shared" ca="1" si="35"/>
        <v>0.8257779411904792</v>
      </c>
      <c r="BQ60" s="10">
        <f t="shared" ca="1" si="35"/>
        <v>0.82539343690858391</v>
      </c>
      <c r="BR60" s="10">
        <f t="shared" ca="1" si="35"/>
        <v>0.81874122145967476</v>
      </c>
      <c r="BS60" s="10">
        <f t="shared" ref="BS60:CX60" ca="1" si="36">BS61/(1+LiborTenor*BS13)</f>
        <v>0.83952338937717474</v>
      </c>
      <c r="BT60" s="10">
        <f t="shared" ca="1" si="36"/>
        <v>0.84542528788589011</v>
      </c>
      <c r="BU60" s="10">
        <f t="shared" ca="1" si="36"/>
        <v>0.85077323573274222</v>
      </c>
      <c r="BV60" s="10">
        <f t="shared" ca="1" si="36"/>
        <v>0.85540577548479746</v>
      </c>
      <c r="BW60" s="10">
        <f t="shared" ca="1" si="36"/>
        <v>0.86443161191087481</v>
      </c>
      <c r="BX60" s="10">
        <f t="shared" ca="1" si="36"/>
        <v>0.86713317668735157</v>
      </c>
      <c r="BY60" s="10">
        <f t="shared" ca="1" si="36"/>
        <v>0.87747221512143148</v>
      </c>
      <c r="BZ60" s="10">
        <f t="shared" ca="1" si="36"/>
        <v>0.87001349979770382</v>
      </c>
      <c r="CA60" s="10">
        <f t="shared" ca="1" si="36"/>
        <v>0.87392391532259217</v>
      </c>
      <c r="CB60" s="10">
        <f t="shared" ca="1" si="36"/>
        <v>0.8830515647738012</v>
      </c>
      <c r="CC60" s="10">
        <f t="shared" ca="1" si="36"/>
        <v>0.88361650005979686</v>
      </c>
      <c r="CD60" s="10">
        <f t="shared" ca="1" si="36"/>
        <v>0.88228863780837319</v>
      </c>
      <c r="CE60" s="10">
        <f t="shared" ca="1" si="36"/>
        <v>0.89864545763933712</v>
      </c>
      <c r="CF60" s="10">
        <f t="shared" ca="1" si="36"/>
        <v>0.89518174869016387</v>
      </c>
      <c r="CG60" s="10">
        <f t="shared" ca="1" si="36"/>
        <v>0.89390127485057991</v>
      </c>
      <c r="CH60" s="10">
        <f t="shared" ca="1" si="36"/>
        <v>0.90926210662438733</v>
      </c>
      <c r="CI60" s="10">
        <f t="shared" ca="1" si="36"/>
        <v>0.90977525875083243</v>
      </c>
      <c r="CJ60" s="10">
        <f t="shared" ca="1" si="36"/>
        <v>0.91158477606676458</v>
      </c>
      <c r="CK60" s="10">
        <f t="shared" ca="1" si="36"/>
        <v>0.92447610753528486</v>
      </c>
      <c r="CL60" s="10">
        <f t="shared" ca="1" si="36"/>
        <v>0.92270975880784989</v>
      </c>
      <c r="CM60" s="10">
        <f t="shared" ca="1" si="36"/>
        <v>0.92369442582536132</v>
      </c>
      <c r="CN60" s="10">
        <f t="shared" ca="1" si="36"/>
        <v>0.93696542410736783</v>
      </c>
      <c r="CO60" s="10">
        <f t="shared" ca="1" si="36"/>
        <v>0.93985944492449003</v>
      </c>
      <c r="CP60" s="10">
        <f t="shared" ca="1" si="36"/>
        <v>0.93883813899075774</v>
      </c>
      <c r="CQ60" s="10">
        <f t="shared" ca="1" si="36"/>
        <v>0.94921303900329002</v>
      </c>
      <c r="CR60" s="10">
        <f t="shared" ca="1" si="36"/>
        <v>0.94780298209227754</v>
      </c>
      <c r="CS60" s="10">
        <f t="shared" ca="1" si="36"/>
        <v>0.9471370539761953</v>
      </c>
      <c r="CT60" s="10">
        <f t="shared" ca="1" si="36"/>
        <v>0.95904609111902117</v>
      </c>
      <c r="CU60" s="10">
        <f t="shared" ca="1" si="36"/>
        <v>0.95910079905305612</v>
      </c>
      <c r="CV60" s="10">
        <f t="shared" ca="1" si="36"/>
        <v>0.9590215379228334</v>
      </c>
      <c r="CW60" s="10">
        <f t="shared" ca="1" si="36"/>
        <v>0.97187435969706581</v>
      </c>
      <c r="CX60" s="10">
        <f t="shared" ca="1" si="36"/>
        <v>0.97149575067811056</v>
      </c>
      <c r="CY60" s="10">
        <f t="shared" ref="CY60:DB60" ca="1" si="37">CY61/(1+LiborTenor*CY13)</f>
        <v>0.97046115264259813</v>
      </c>
      <c r="CZ60" s="10">
        <f t="shared" ca="1" si="37"/>
        <v>0.98504282920273445</v>
      </c>
      <c r="DA60" s="10">
        <f t="shared" ca="1" si="37"/>
        <v>0.98476044312755739</v>
      </c>
      <c r="DB60" s="10">
        <f t="shared" ca="1" si="37"/>
        <v>0.98451409245690757</v>
      </c>
      <c r="DC60" s="10">
        <v>1</v>
      </c>
      <c r="DD60" s="10">
        <v>1</v>
      </c>
      <c r="DE60" s="10">
        <v>1</v>
      </c>
      <c r="DF60" s="10"/>
      <c r="DG60" s="10"/>
      <c r="DH60" s="10"/>
      <c r="DI60" s="10"/>
      <c r="DJ60" s="10"/>
      <c r="DK60" s="10"/>
      <c r="DL60" s="10"/>
      <c r="DM60" s="10"/>
      <c r="DN60" s="10"/>
      <c r="DO60" s="10"/>
      <c r="DP60" s="10"/>
      <c r="DQ60" s="10"/>
      <c r="DR60" s="10"/>
      <c r="DS60" s="10"/>
      <c r="DT60" s="10"/>
      <c r="DU60" s="10"/>
      <c r="DV60" s="10"/>
      <c r="DW60" s="10"/>
    </row>
    <row r="61" spans="3:127" x14ac:dyDescent="0.25">
      <c r="C61" s="6"/>
      <c r="F61" s="23">
        <f t="shared" si="13"/>
        <v>8.25</v>
      </c>
      <c r="G61" s="10">
        <f t="shared" ref="G61:AL61" si="38">G62/(1+LiborTenor*G14)</f>
        <v>0.68113321704541707</v>
      </c>
      <c r="H61" s="10">
        <f t="shared" ca="1" si="38"/>
        <v>0.68002411210162406</v>
      </c>
      <c r="I61" s="10">
        <f t="shared" ca="1" si="38"/>
        <v>0.67956003373275586</v>
      </c>
      <c r="J61" s="10">
        <f t="shared" ca="1" si="38"/>
        <v>0.68727360116268554</v>
      </c>
      <c r="K61" s="10">
        <f t="shared" ca="1" si="38"/>
        <v>0.69172081112704831</v>
      </c>
      <c r="L61" s="10">
        <f t="shared" ca="1" si="38"/>
        <v>0.70027340799843862</v>
      </c>
      <c r="M61" s="10">
        <f t="shared" ca="1" si="38"/>
        <v>0.68272727987245874</v>
      </c>
      <c r="N61" s="10">
        <f t="shared" ca="1" si="38"/>
        <v>0.69279575097291568</v>
      </c>
      <c r="O61" s="10">
        <f t="shared" ca="1" si="38"/>
        <v>0.68278425283866673</v>
      </c>
      <c r="P61" s="10">
        <f t="shared" ca="1" si="38"/>
        <v>0.69062171516225135</v>
      </c>
      <c r="Q61" s="10">
        <f t="shared" ca="1" si="38"/>
        <v>0.69660866119801501</v>
      </c>
      <c r="R61" s="10">
        <f t="shared" ca="1" si="38"/>
        <v>0.68898019191098125</v>
      </c>
      <c r="S61" s="10">
        <f t="shared" ca="1" si="38"/>
        <v>0.6742602983144923</v>
      </c>
      <c r="T61" s="10">
        <f t="shared" ca="1" si="38"/>
        <v>0.68791568827633143</v>
      </c>
      <c r="U61" s="10">
        <f t="shared" ca="1" si="38"/>
        <v>0.6886865262770433</v>
      </c>
      <c r="V61" s="10">
        <f t="shared" ca="1" si="38"/>
        <v>0.69714775882954338</v>
      </c>
      <c r="W61" s="10">
        <f t="shared" ca="1" si="38"/>
        <v>0.7253933790273448</v>
      </c>
      <c r="X61" s="10">
        <f t="shared" ca="1" si="38"/>
        <v>0.72006240109347053</v>
      </c>
      <c r="Y61" s="10">
        <f t="shared" ca="1" si="38"/>
        <v>0.72451332218518794</v>
      </c>
      <c r="Z61" s="10">
        <f t="shared" ca="1" si="38"/>
        <v>0.72583967152475948</v>
      </c>
      <c r="AA61" s="10">
        <f t="shared" ca="1" si="38"/>
        <v>0.7205540415213405</v>
      </c>
      <c r="AB61" s="10">
        <f t="shared" ca="1" si="38"/>
        <v>0.72137456555545298</v>
      </c>
      <c r="AC61" s="10">
        <f t="shared" ca="1" si="38"/>
        <v>0.73569399799999047</v>
      </c>
      <c r="AD61" s="10">
        <f t="shared" ca="1" si="38"/>
        <v>0.73827440660766019</v>
      </c>
      <c r="AE61" s="10">
        <f t="shared" ca="1" si="38"/>
        <v>0.72438336797409941</v>
      </c>
      <c r="AF61" s="10">
        <f t="shared" ca="1" si="38"/>
        <v>0.73172756878918788</v>
      </c>
      <c r="AG61" s="10">
        <f t="shared" ca="1" si="38"/>
        <v>0.72808024431564577</v>
      </c>
      <c r="AH61" s="10">
        <f t="shared" ca="1" si="38"/>
        <v>0.72389155826419394</v>
      </c>
      <c r="AI61" s="10">
        <f t="shared" ca="1" si="38"/>
        <v>0.71962016701872167</v>
      </c>
      <c r="AJ61" s="10">
        <f t="shared" ca="1" si="38"/>
        <v>0.71655308330945999</v>
      </c>
      <c r="AK61" s="10">
        <f t="shared" ca="1" si="38"/>
        <v>0.70610827873724014</v>
      </c>
      <c r="AL61" s="10">
        <f t="shared" ca="1" si="38"/>
        <v>0.71187727987873106</v>
      </c>
      <c r="AM61" s="10">
        <f t="shared" ref="AM61:BR61" ca="1" si="39">AM62/(1+LiborTenor*AM14)</f>
        <v>0.71345187089759288</v>
      </c>
      <c r="AN61" s="10">
        <f t="shared" ca="1" si="39"/>
        <v>0.73064103311819506</v>
      </c>
      <c r="AO61" s="10">
        <f t="shared" ca="1" si="39"/>
        <v>0.7454234684155745</v>
      </c>
      <c r="AP61" s="10">
        <f t="shared" ca="1" si="39"/>
        <v>0.75513287621756764</v>
      </c>
      <c r="AQ61" s="10">
        <f t="shared" ca="1" si="39"/>
        <v>0.74990196665393727</v>
      </c>
      <c r="AR61" s="10">
        <f t="shared" ca="1" si="39"/>
        <v>0.75305079719063639</v>
      </c>
      <c r="AS61" s="10">
        <f t="shared" ca="1" si="39"/>
        <v>0.75820587204994738</v>
      </c>
      <c r="AT61" s="10">
        <f t="shared" ca="1" si="39"/>
        <v>0.76039168870170615</v>
      </c>
      <c r="AU61" s="10">
        <f t="shared" ca="1" si="39"/>
        <v>0.76458336979965225</v>
      </c>
      <c r="AV61" s="10">
        <f t="shared" ca="1" si="39"/>
        <v>0.76334786321458514</v>
      </c>
      <c r="AW61" s="10">
        <f t="shared" ca="1" si="39"/>
        <v>0.75635399357376476</v>
      </c>
      <c r="AX61" s="10">
        <f t="shared" ca="1" si="39"/>
        <v>0.77450262650623858</v>
      </c>
      <c r="AY61" s="10">
        <f t="shared" ca="1" si="39"/>
        <v>0.76946609418488676</v>
      </c>
      <c r="AZ61" s="10">
        <f t="shared" ca="1" si="39"/>
        <v>0.76519917430004492</v>
      </c>
      <c r="BA61" s="10">
        <f t="shared" ca="1" si="39"/>
        <v>0.765773250647931</v>
      </c>
      <c r="BB61" s="10">
        <f t="shared" ca="1" si="39"/>
        <v>0.76307231945682108</v>
      </c>
      <c r="BC61" s="10">
        <f t="shared" ca="1" si="39"/>
        <v>0.77020744309158451</v>
      </c>
      <c r="BD61" s="10">
        <f t="shared" ca="1" si="39"/>
        <v>0.78258208362117287</v>
      </c>
      <c r="BE61" s="10">
        <f t="shared" ca="1" si="39"/>
        <v>0.78577757381307378</v>
      </c>
      <c r="BF61" s="10">
        <f t="shared" ca="1" si="39"/>
        <v>0.79621170687116283</v>
      </c>
      <c r="BG61" s="10">
        <f t="shared" ca="1" si="39"/>
        <v>0.79699420226649809</v>
      </c>
      <c r="BH61" s="10">
        <f t="shared" ca="1" si="39"/>
        <v>0.80207348248607901</v>
      </c>
      <c r="BI61" s="10">
        <f t="shared" ca="1" si="39"/>
        <v>0.81553745754355689</v>
      </c>
      <c r="BJ61" s="10">
        <f t="shared" ca="1" si="39"/>
        <v>0.82355336899957998</v>
      </c>
      <c r="BK61" s="10">
        <f t="shared" ca="1" si="39"/>
        <v>0.81958661862829907</v>
      </c>
      <c r="BL61" s="10">
        <f t="shared" ca="1" si="39"/>
        <v>0.81541002531660223</v>
      </c>
      <c r="BM61" s="10">
        <f t="shared" ca="1" si="39"/>
        <v>0.83432102122106755</v>
      </c>
      <c r="BN61" s="10">
        <f t="shared" ca="1" si="39"/>
        <v>0.8322198175541442</v>
      </c>
      <c r="BO61" s="10">
        <f t="shared" ca="1" si="39"/>
        <v>0.82652346804597965</v>
      </c>
      <c r="BP61" s="10">
        <f t="shared" ca="1" si="39"/>
        <v>0.8378079477511251</v>
      </c>
      <c r="BQ61" s="10">
        <f t="shared" ca="1" si="39"/>
        <v>0.83744317142067481</v>
      </c>
      <c r="BR61" s="10">
        <f t="shared" ca="1" si="39"/>
        <v>0.83111679072358879</v>
      </c>
      <c r="BS61" s="10">
        <f t="shared" ref="BS61:CX61" ca="1" si="40">BS62/(1+LiborTenor*BS14)</f>
        <v>0.85165702797045728</v>
      </c>
      <c r="BT61" s="10">
        <f t="shared" ca="1" si="40"/>
        <v>0.85722958380290359</v>
      </c>
      <c r="BU61" s="10">
        <f t="shared" ca="1" si="40"/>
        <v>0.86227418020603364</v>
      </c>
      <c r="BV61" s="10">
        <f t="shared" ca="1" si="40"/>
        <v>0.86750227847651895</v>
      </c>
      <c r="BW61" s="10">
        <f t="shared" ca="1" si="40"/>
        <v>0.87594907857147719</v>
      </c>
      <c r="BX61" s="10">
        <f t="shared" ca="1" si="40"/>
        <v>0.87847406309918163</v>
      </c>
      <c r="BY61" s="10">
        <f t="shared" ca="1" si="40"/>
        <v>0.88902477173268213</v>
      </c>
      <c r="BZ61" s="10">
        <f t="shared" ca="1" si="40"/>
        <v>0.88212250001220294</v>
      </c>
      <c r="CA61" s="10">
        <f t="shared" ca="1" si="40"/>
        <v>0.88574559756493054</v>
      </c>
      <c r="CB61" s="10">
        <f t="shared" ca="1" si="40"/>
        <v>0.89526835962468176</v>
      </c>
      <c r="CC61" s="10">
        <f t="shared" ca="1" si="40"/>
        <v>0.89578585224863738</v>
      </c>
      <c r="CD61" s="10">
        <f t="shared" ca="1" si="40"/>
        <v>0.8945712200071565</v>
      </c>
      <c r="CE61" s="10">
        <f t="shared" ca="1" si="40"/>
        <v>0.91071251075724602</v>
      </c>
      <c r="CF61" s="10">
        <f t="shared" ca="1" si="40"/>
        <v>0.90759392519186877</v>
      </c>
      <c r="CG61" s="10">
        <f t="shared" ca="1" si="40"/>
        <v>0.90644043301973809</v>
      </c>
      <c r="CH61" s="10">
        <f t="shared" ca="1" si="40"/>
        <v>0.92166729140335446</v>
      </c>
      <c r="CI61" s="10">
        <f t="shared" ca="1" si="40"/>
        <v>0.92212050366845222</v>
      </c>
      <c r="CJ61" s="10">
        <f t="shared" ca="1" si="40"/>
        <v>0.92371732824896191</v>
      </c>
      <c r="CK61" s="10">
        <f t="shared" ca="1" si="40"/>
        <v>0.93666172252763014</v>
      </c>
      <c r="CL61" s="10">
        <f t="shared" ca="1" si="40"/>
        <v>0.93514739855251861</v>
      </c>
      <c r="CM61" s="10">
        <f t="shared" ca="1" si="40"/>
        <v>0.93599237287971382</v>
      </c>
      <c r="CN61" s="10">
        <f t="shared" ca="1" si="40"/>
        <v>0.94925537557454576</v>
      </c>
      <c r="CO61" s="10">
        <f t="shared" ca="1" si="40"/>
        <v>0.95163712036966397</v>
      </c>
      <c r="CP61" s="10">
        <f t="shared" ca="1" si="40"/>
        <v>0.95079767132858972</v>
      </c>
      <c r="CQ61" s="10">
        <f t="shared" ca="1" si="40"/>
        <v>0.9616700429431374</v>
      </c>
      <c r="CR61" s="10">
        <f t="shared" ca="1" si="40"/>
        <v>0.96058161482315074</v>
      </c>
      <c r="CS61" s="10">
        <f t="shared" ca="1" si="40"/>
        <v>0.96006732877589418</v>
      </c>
      <c r="CT61" s="10">
        <f t="shared" ca="1" si="40"/>
        <v>0.9724831959067165</v>
      </c>
      <c r="CU61" s="10">
        <f t="shared" ca="1" si="40"/>
        <v>0.97252094099808828</v>
      </c>
      <c r="CV61" s="10">
        <f t="shared" ca="1" si="40"/>
        <v>0.97246656726516401</v>
      </c>
      <c r="CW61" s="10">
        <f t="shared" ca="1" si="40"/>
        <v>0.98581853732220193</v>
      </c>
      <c r="CX61" s="10">
        <f t="shared" ca="1" si="40"/>
        <v>0.9856231332782438</v>
      </c>
      <c r="CY61" s="10">
        <f t="shared" ref="CY61" ca="1" si="41">CY62/(1+LiborTenor*CY14)</f>
        <v>0.98508875043017563</v>
      </c>
      <c r="CZ61" s="10">
        <v>1</v>
      </c>
      <c r="DA61" s="10">
        <v>1</v>
      </c>
      <c r="DB61" s="10">
        <v>1</v>
      </c>
      <c r="DC61" s="10"/>
      <c r="DD61" s="10"/>
      <c r="DE61" s="10"/>
      <c r="DF61" s="10"/>
      <c r="DG61" s="10"/>
      <c r="DH61" s="10"/>
      <c r="DI61" s="10"/>
      <c r="DJ61" s="10"/>
      <c r="DK61" s="10"/>
      <c r="DL61" s="10"/>
      <c r="DM61" s="10"/>
      <c r="DN61" s="10"/>
      <c r="DO61" s="10"/>
      <c r="DP61" s="10"/>
      <c r="DQ61" s="10"/>
      <c r="DR61" s="10"/>
      <c r="DS61" s="10"/>
      <c r="DT61" s="10"/>
      <c r="DU61" s="10"/>
      <c r="DV61" s="10"/>
      <c r="DW61" s="10"/>
    </row>
    <row r="62" spans="3:127" x14ac:dyDescent="0.25">
      <c r="C62" s="6"/>
      <c r="F62" s="23">
        <f t="shared" si="13"/>
        <v>8</v>
      </c>
      <c r="G62" s="10">
        <f t="shared" ref="G62:AL62" si="42">G63/(1+LiborTenor*G15)</f>
        <v>0.68964738225848476</v>
      </c>
      <c r="H62" s="10">
        <f t="shared" ca="1" si="42"/>
        <v>0.68871780569921903</v>
      </c>
      <c r="I62" s="10">
        <f t="shared" ca="1" si="42"/>
        <v>0.68826063403690796</v>
      </c>
      <c r="J62" s="10">
        <f t="shared" ca="1" si="42"/>
        <v>0.69588357093753994</v>
      </c>
      <c r="K62" s="10">
        <f t="shared" ca="1" si="42"/>
        <v>0.70045264078468761</v>
      </c>
      <c r="L62" s="10">
        <f t="shared" ca="1" si="42"/>
        <v>0.70889682313555991</v>
      </c>
      <c r="M62" s="10">
        <f t="shared" ca="1" si="42"/>
        <v>0.69157917850810069</v>
      </c>
      <c r="N62" s="10">
        <f t="shared" ca="1" si="42"/>
        <v>0.70170940418916661</v>
      </c>
      <c r="O62" s="10">
        <f t="shared" ca="1" si="42"/>
        <v>0.6918271951534517</v>
      </c>
      <c r="P62" s="10">
        <f t="shared" ca="1" si="42"/>
        <v>0.69956877034396925</v>
      </c>
      <c r="Q62" s="10">
        <f t="shared" ca="1" si="42"/>
        <v>0.70567572157206881</v>
      </c>
      <c r="R62" s="10">
        <f t="shared" ca="1" si="42"/>
        <v>0.6981500257937302</v>
      </c>
      <c r="S62" s="10">
        <f t="shared" ca="1" si="42"/>
        <v>0.68361768475839413</v>
      </c>
      <c r="T62" s="10">
        <f t="shared" ca="1" si="42"/>
        <v>0.69731783326658536</v>
      </c>
      <c r="U62" s="10">
        <f t="shared" ca="1" si="42"/>
        <v>0.69808020223965617</v>
      </c>
      <c r="V62" s="10">
        <f t="shared" ca="1" si="42"/>
        <v>0.70643050181717804</v>
      </c>
      <c r="W62" s="10">
        <f t="shared" ca="1" si="42"/>
        <v>0.73448419853896285</v>
      </c>
      <c r="X62" s="10">
        <f t="shared" ca="1" si="42"/>
        <v>0.72923991931197407</v>
      </c>
      <c r="Y62" s="10">
        <f t="shared" ca="1" si="42"/>
        <v>0.73362188372002612</v>
      </c>
      <c r="Z62" s="10">
        <f t="shared" ca="1" si="42"/>
        <v>0.7351606478370909</v>
      </c>
      <c r="AA62" s="10">
        <f t="shared" ca="1" si="42"/>
        <v>0.72996359205738492</v>
      </c>
      <c r="AB62" s="10">
        <f t="shared" ca="1" si="42"/>
        <v>0.73077223112325895</v>
      </c>
      <c r="AC62" s="10">
        <f t="shared" ca="1" si="42"/>
        <v>0.74509864415647797</v>
      </c>
      <c r="AD62" s="10">
        <f t="shared" ca="1" si="42"/>
        <v>0.74763398702113926</v>
      </c>
      <c r="AE62" s="10">
        <f t="shared" ca="1" si="42"/>
        <v>0.73399229163966773</v>
      </c>
      <c r="AF62" s="10">
        <f t="shared" ca="1" si="42"/>
        <v>0.74148136756919991</v>
      </c>
      <c r="AG62" s="10">
        <f t="shared" ca="1" si="42"/>
        <v>0.73790187092170201</v>
      </c>
      <c r="AH62" s="10">
        <f t="shared" ca="1" si="42"/>
        <v>0.73378963450676882</v>
      </c>
      <c r="AI62" s="10">
        <f t="shared" ca="1" si="42"/>
        <v>0.72990399602306355</v>
      </c>
      <c r="AJ62" s="10">
        <f t="shared" ca="1" si="42"/>
        <v>0.72689378801711668</v>
      </c>
      <c r="AK62" s="10">
        <f t="shared" ca="1" si="42"/>
        <v>0.71663476982922614</v>
      </c>
      <c r="AL62" s="10">
        <f t="shared" ca="1" si="42"/>
        <v>0.72265010096002646</v>
      </c>
      <c r="AM62" s="10">
        <f t="shared" ref="AM62:BR62" ca="1" si="43">AM63/(1+LiborTenor*AM15)</f>
        <v>0.72419736775616173</v>
      </c>
      <c r="AN62" s="10">
        <f t="shared" ca="1" si="43"/>
        <v>0.74106371346182431</v>
      </c>
      <c r="AO62" s="10">
        <f t="shared" ca="1" si="43"/>
        <v>0.75589055656523474</v>
      </c>
      <c r="AP62" s="10">
        <f t="shared" ca="1" si="43"/>
        <v>0.76538233109566645</v>
      </c>
      <c r="AQ62" s="10">
        <f t="shared" ca="1" si="43"/>
        <v>0.76027357080865809</v>
      </c>
      <c r="AR62" s="10">
        <f t="shared" ca="1" si="43"/>
        <v>0.76373033779952926</v>
      </c>
      <c r="AS62" s="10">
        <f t="shared" ca="1" si="43"/>
        <v>0.76876081625789183</v>
      </c>
      <c r="AT62" s="10">
        <f t="shared" ca="1" si="43"/>
        <v>0.77089358318255663</v>
      </c>
      <c r="AU62" s="10">
        <f t="shared" ca="1" si="43"/>
        <v>0.77538856431363889</v>
      </c>
      <c r="AV62" s="10">
        <f t="shared" ca="1" si="43"/>
        <v>0.77418748591911968</v>
      </c>
      <c r="AW62" s="10">
        <f t="shared" ca="1" si="43"/>
        <v>0.76738086039650277</v>
      </c>
      <c r="AX62" s="10">
        <f t="shared" ca="1" si="43"/>
        <v>0.78548441221526399</v>
      </c>
      <c r="AY62" s="10">
        <f t="shared" ca="1" si="43"/>
        <v>0.78059746064401914</v>
      </c>
      <c r="AZ62" s="10">
        <f t="shared" ca="1" si="43"/>
        <v>0.77645534855966103</v>
      </c>
      <c r="BA62" s="10">
        <f t="shared" ca="1" si="43"/>
        <v>0.77753537349587443</v>
      </c>
      <c r="BB62" s="10">
        <f t="shared" ca="1" si="43"/>
        <v>0.7749181611730287</v>
      </c>
      <c r="BC62" s="10">
        <f t="shared" ca="1" si="43"/>
        <v>0.78183694785940405</v>
      </c>
      <c r="BD62" s="10">
        <f t="shared" ca="1" si="43"/>
        <v>0.79437512902139262</v>
      </c>
      <c r="BE62" s="10">
        <f t="shared" ca="1" si="43"/>
        <v>0.79746076010452838</v>
      </c>
      <c r="BF62" s="10">
        <f t="shared" ca="1" si="43"/>
        <v>0.80752734522010339</v>
      </c>
      <c r="BG62" s="10">
        <f t="shared" ca="1" si="43"/>
        <v>0.80888795390401946</v>
      </c>
      <c r="BH62" s="10">
        <f t="shared" ca="1" si="43"/>
        <v>0.81376948004361505</v>
      </c>
      <c r="BI62" s="10">
        <f t="shared" ca="1" si="43"/>
        <v>0.82669533713775845</v>
      </c>
      <c r="BJ62" s="10">
        <f t="shared" ca="1" si="43"/>
        <v>0.83499375381109109</v>
      </c>
      <c r="BK62" s="10">
        <f t="shared" ca="1" si="43"/>
        <v>0.83120813655093273</v>
      </c>
      <c r="BL62" s="10">
        <f t="shared" ca="1" si="43"/>
        <v>0.82721998940513575</v>
      </c>
      <c r="BM62" s="10">
        <f t="shared" ca="1" si="43"/>
        <v>0.84595196257023297</v>
      </c>
      <c r="BN62" s="10">
        <f t="shared" ca="1" si="43"/>
        <v>0.84395831724507431</v>
      </c>
      <c r="BO62" s="10">
        <f t="shared" ca="1" si="43"/>
        <v>0.83854972259817873</v>
      </c>
      <c r="BP62" s="10">
        <f t="shared" ca="1" si="43"/>
        <v>0.85006088157216919</v>
      </c>
      <c r="BQ62" s="10">
        <f t="shared" ca="1" si="43"/>
        <v>0.84971731964669872</v>
      </c>
      <c r="BR62" s="10">
        <f t="shared" ca="1" si="43"/>
        <v>0.84374367044304899</v>
      </c>
      <c r="BS62" s="10">
        <f t="shared" ref="BS62:CV62" ca="1" si="44">BS63/(1+LiborTenor*BS15)</f>
        <v>0.86400974305941602</v>
      </c>
      <c r="BT62" s="10">
        <f t="shared" ca="1" si="44"/>
        <v>0.86922685673272759</v>
      </c>
      <c r="BU62" s="10">
        <f t="shared" ca="1" si="44"/>
        <v>0.87394496192211335</v>
      </c>
      <c r="BV62" s="10">
        <f t="shared" ca="1" si="44"/>
        <v>0.8798030928394035</v>
      </c>
      <c r="BW62" s="10">
        <f t="shared" ca="1" si="44"/>
        <v>0.88762731414554585</v>
      </c>
      <c r="BX62" s="10">
        <f t="shared" ca="1" si="44"/>
        <v>0.88996310287017455</v>
      </c>
      <c r="BY62" s="10">
        <f t="shared" ca="1" si="44"/>
        <v>0.90073176183203763</v>
      </c>
      <c r="BZ62" s="10">
        <f t="shared" ca="1" si="44"/>
        <v>0.89442476066760856</v>
      </c>
      <c r="CA62" s="10">
        <f t="shared" ca="1" si="44"/>
        <v>0.89773950801749791</v>
      </c>
      <c r="CB62" s="10">
        <f t="shared" ca="1" si="44"/>
        <v>0.90767608325551252</v>
      </c>
      <c r="CC62" s="10">
        <f t="shared" ca="1" si="44"/>
        <v>0.90814262215624419</v>
      </c>
      <c r="CD62" s="10">
        <f t="shared" ca="1" si="44"/>
        <v>0.9070491853184891</v>
      </c>
      <c r="CE62" s="10">
        <f t="shared" ca="1" si="44"/>
        <v>0.92295026517280243</v>
      </c>
      <c r="CF62" s="10">
        <f t="shared" ca="1" si="44"/>
        <v>0.92020040261001101</v>
      </c>
      <c r="CG62" s="10">
        <f t="shared" ca="1" si="44"/>
        <v>0.91918275216540501</v>
      </c>
      <c r="CH62" s="10">
        <f t="shared" ca="1" si="44"/>
        <v>0.93425660102404051</v>
      </c>
      <c r="CI62" s="10">
        <f t="shared" ca="1" si="44"/>
        <v>0.93464566889944667</v>
      </c>
      <c r="CJ62" s="10">
        <f t="shared" ca="1" si="44"/>
        <v>0.93601531405239502</v>
      </c>
      <c r="CK62" s="10">
        <f t="shared" ca="1" si="44"/>
        <v>0.94900777156489535</v>
      </c>
      <c r="CL62" s="10">
        <f t="shared" ca="1" si="44"/>
        <v>0.94776179695085871</v>
      </c>
      <c r="CM62" s="10">
        <f t="shared" ca="1" si="44"/>
        <v>0.94845771215521291</v>
      </c>
      <c r="CN62" s="10">
        <f t="shared" ca="1" si="44"/>
        <v>0.9617037651200655</v>
      </c>
      <c r="CO62" s="10">
        <f t="shared" ca="1" si="44"/>
        <v>0.96354085036087878</v>
      </c>
      <c r="CP62" s="10">
        <f t="shared" ca="1" si="44"/>
        <v>0.96289421232423411</v>
      </c>
      <c r="CQ62" s="10">
        <f t="shared" ca="1" si="44"/>
        <v>0.97428689724526396</v>
      </c>
      <c r="CR62" s="10">
        <f t="shared" ca="1" si="44"/>
        <v>0.97354031462852719</v>
      </c>
      <c r="CS62" s="10">
        <f t="shared" ca="1" si="44"/>
        <v>0.97318737539439504</v>
      </c>
      <c r="CT62" s="10">
        <f t="shared" ca="1" si="44"/>
        <v>0.9861339953561219</v>
      </c>
      <c r="CU62" s="10">
        <f t="shared" ca="1" si="44"/>
        <v>0.98615352348317842</v>
      </c>
      <c r="CV62" s="10">
        <f t="shared" ca="1" si="44"/>
        <v>0.98612555805946744</v>
      </c>
      <c r="CW62" s="10">
        <v>1</v>
      </c>
      <c r="CX62" s="10">
        <v>1</v>
      </c>
      <c r="CY62" s="10">
        <v>1</v>
      </c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</row>
    <row r="63" spans="3:127" x14ac:dyDescent="0.25">
      <c r="C63" s="6"/>
      <c r="F63" s="23">
        <f t="shared" si="13"/>
        <v>7.75</v>
      </c>
      <c r="G63" s="10">
        <f t="shared" ref="G63:AL63" si="45">G64/(1+LiborTenor*G16)</f>
        <v>0.69826797453671574</v>
      </c>
      <c r="H63" s="10">
        <f t="shared" ca="1" si="45"/>
        <v>0.69752909755518577</v>
      </c>
      <c r="I63" s="10">
        <f t="shared" ca="1" si="45"/>
        <v>0.69707944032289737</v>
      </c>
      <c r="J63" s="10">
        <f t="shared" ca="1" si="45"/>
        <v>0.70460180089840629</v>
      </c>
      <c r="K63" s="10">
        <f t="shared" ca="1" si="45"/>
        <v>0.70929720309848343</v>
      </c>
      <c r="L63" s="10">
        <f t="shared" ca="1" si="45"/>
        <v>0.71762167998853654</v>
      </c>
      <c r="M63" s="10">
        <f t="shared" ca="1" si="45"/>
        <v>0.70055556817476605</v>
      </c>
      <c r="N63" s="10">
        <f t="shared" ca="1" si="45"/>
        <v>0.71074517161426964</v>
      </c>
      <c r="O63" s="10">
        <f t="shared" ca="1" si="45"/>
        <v>0.70100589636886712</v>
      </c>
      <c r="P63" s="10">
        <f t="shared" ca="1" si="45"/>
        <v>0.70864085761079676</v>
      </c>
      <c r="Q63" s="10">
        <f t="shared" ca="1" si="45"/>
        <v>0.71487136229032422</v>
      </c>
      <c r="R63" s="10">
        <f t="shared" ca="1" si="45"/>
        <v>0.70745918923539775</v>
      </c>
      <c r="S63" s="10">
        <f t="shared" ca="1" si="45"/>
        <v>0.69313519628362852</v>
      </c>
      <c r="T63" s="10">
        <f t="shared" ca="1" si="45"/>
        <v>0.70687398784377586</v>
      </c>
      <c r="U63" s="10">
        <f t="shared" ca="1" si="45"/>
        <v>0.70762676535541824</v>
      </c>
      <c r="V63" s="10">
        <f t="shared" ca="1" si="45"/>
        <v>0.71585371159244926</v>
      </c>
      <c r="W63" s="10">
        <f t="shared" ca="1" si="45"/>
        <v>0.74368656726851856</v>
      </c>
      <c r="X63" s="10">
        <f t="shared" ca="1" si="45"/>
        <v>0.73853699242756954</v>
      </c>
      <c r="Y63" s="10">
        <f t="shared" ca="1" si="45"/>
        <v>0.7428432844472711</v>
      </c>
      <c r="Z63" s="10">
        <f t="shared" ca="1" si="45"/>
        <v>0.74460598801200539</v>
      </c>
      <c r="AA63" s="10">
        <f t="shared" ca="1" si="45"/>
        <v>0.73950581652041369</v>
      </c>
      <c r="AB63" s="10">
        <f t="shared" ca="1" si="45"/>
        <v>0.74030127130675916</v>
      </c>
      <c r="AC63" s="10">
        <f t="shared" ca="1" si="45"/>
        <v>0.75462643810480989</v>
      </c>
      <c r="AD63" s="10">
        <f t="shared" ca="1" si="45"/>
        <v>0.75711246917826103</v>
      </c>
      <c r="AE63" s="10">
        <f t="shared" ca="1" si="45"/>
        <v>0.74374290123287012</v>
      </c>
      <c r="AF63" s="10">
        <f t="shared" ca="1" si="45"/>
        <v>0.75138109840845768</v>
      </c>
      <c r="AG63" s="10">
        <f t="shared" ca="1" si="45"/>
        <v>0.74787577793763127</v>
      </c>
      <c r="AH63" s="10">
        <f t="shared" ca="1" si="45"/>
        <v>0.74384730535391519</v>
      </c>
      <c r="AI63" s="10">
        <f t="shared" ca="1" si="45"/>
        <v>0.74037462965626144</v>
      </c>
      <c r="AJ63" s="10">
        <f t="shared" ca="1" si="45"/>
        <v>0.73742702636780011</v>
      </c>
      <c r="AK63" s="10">
        <f t="shared" ca="1" si="45"/>
        <v>0.72737336650508333</v>
      </c>
      <c r="AL63" s="10">
        <f t="shared" ca="1" si="45"/>
        <v>0.73364764859306208</v>
      </c>
      <c r="AM63" s="10">
        <f t="shared" ref="AM63:BR63" ca="1" si="46">AM64/(1+LiborTenor*AM16)</f>
        <v>0.73516442404813986</v>
      </c>
      <c r="AN63" s="10">
        <f t="shared" ca="1" si="46"/>
        <v>0.75167348766623243</v>
      </c>
      <c r="AO63" s="10">
        <f t="shared" ca="1" si="46"/>
        <v>0.76653755445795579</v>
      </c>
      <c r="AP63" s="10">
        <f t="shared" ca="1" si="46"/>
        <v>0.77579129141257985</v>
      </c>
      <c r="AQ63" s="10">
        <f t="shared" ca="1" si="46"/>
        <v>0.77081555506122146</v>
      </c>
      <c r="AR63" s="10">
        <f t="shared" ca="1" si="46"/>
        <v>0.77459773692951328</v>
      </c>
      <c r="AS63" s="10">
        <f t="shared" ca="1" si="46"/>
        <v>0.77949199579420891</v>
      </c>
      <c r="AT63" s="10">
        <f t="shared" ca="1" si="46"/>
        <v>0.78156679625303882</v>
      </c>
      <c r="AU63" s="10">
        <f t="shared" ca="1" si="46"/>
        <v>0.78638153092042429</v>
      </c>
      <c r="AV63" s="10">
        <f t="shared" ca="1" si="46"/>
        <v>0.78521782832546438</v>
      </c>
      <c r="AW63" s="10">
        <f t="shared" ca="1" si="46"/>
        <v>0.77861533386882298</v>
      </c>
      <c r="AX63" s="10">
        <f t="shared" ca="1" si="46"/>
        <v>0.79665814224401943</v>
      </c>
      <c r="AY63" s="10">
        <f t="shared" ca="1" si="46"/>
        <v>0.79193381454474476</v>
      </c>
      <c r="AZ63" s="10">
        <f t="shared" ca="1" si="46"/>
        <v>0.78792764229700119</v>
      </c>
      <c r="BA63" s="10">
        <f t="shared" ca="1" si="46"/>
        <v>0.78954742916893295</v>
      </c>
      <c r="BB63" s="10">
        <f t="shared" ca="1" si="46"/>
        <v>0.78702170787414494</v>
      </c>
      <c r="BC63" s="10">
        <f t="shared" ca="1" si="46"/>
        <v>0.79370345214206517</v>
      </c>
      <c r="BD63" s="10">
        <f t="shared" ca="1" si="46"/>
        <v>0.8064072476427403</v>
      </c>
      <c r="BE63" s="10">
        <f t="shared" ca="1" si="46"/>
        <v>0.80937304445399039</v>
      </c>
      <c r="BF63" s="10">
        <f t="shared" ca="1" si="46"/>
        <v>0.81903991547036803</v>
      </c>
      <c r="BG63" s="10">
        <f t="shared" ca="1" si="46"/>
        <v>0.82101589281301224</v>
      </c>
      <c r="BH63" s="10">
        <f t="shared" ca="1" si="46"/>
        <v>0.82568253988895857</v>
      </c>
      <c r="BI63" s="10">
        <f t="shared" ca="1" si="46"/>
        <v>0.83802570533313991</v>
      </c>
      <c r="BJ63" s="10">
        <f t="shared" ca="1" si="46"/>
        <v>0.84661901130239881</v>
      </c>
      <c r="BK63" s="10">
        <f t="shared" ca="1" si="46"/>
        <v>0.84302852608917134</v>
      </c>
      <c r="BL63" s="10">
        <f t="shared" ca="1" si="46"/>
        <v>0.83924374438681615</v>
      </c>
      <c r="BM63" s="10">
        <f t="shared" ca="1" si="46"/>
        <v>0.85777196125590982</v>
      </c>
      <c r="BN63" s="10">
        <f t="shared" ca="1" si="46"/>
        <v>0.85589397498750985</v>
      </c>
      <c r="BO63" s="10">
        <f t="shared" ca="1" si="46"/>
        <v>0.85079542869691538</v>
      </c>
      <c r="BP63" s="10">
        <f t="shared" ca="1" si="46"/>
        <v>0.86254026573008691</v>
      </c>
      <c r="BQ63" s="10">
        <f t="shared" ca="1" si="46"/>
        <v>0.86221945168732905</v>
      </c>
      <c r="BR63" s="10">
        <f t="shared" ca="1" si="46"/>
        <v>0.85662655223483941</v>
      </c>
      <c r="BS63" s="10">
        <f t="shared" ref="BS63:CS63" ca="1" si="47">BS64/(1+LiborTenor*BS16)</f>
        <v>0.87658472214622518</v>
      </c>
      <c r="BT63" s="10">
        <f t="shared" ca="1" si="47"/>
        <v>0.88141926481237565</v>
      </c>
      <c r="BU63" s="10">
        <f t="shared" ca="1" si="47"/>
        <v>0.88578690526447401</v>
      </c>
      <c r="BV63" s="10">
        <f t="shared" ca="1" si="47"/>
        <v>0.89231064822814221</v>
      </c>
      <c r="BW63" s="10">
        <f t="shared" ca="1" si="47"/>
        <v>0.8994671823955297</v>
      </c>
      <c r="BX63" s="10">
        <f t="shared" ca="1" si="47"/>
        <v>0.9016007610115595</v>
      </c>
      <c r="BY63" s="10">
        <f t="shared" ca="1" si="47"/>
        <v>0.91259377321410617</v>
      </c>
      <c r="BZ63" s="10">
        <f t="shared" ca="1" si="47"/>
        <v>0.90692207212842058</v>
      </c>
      <c r="CA63" s="10">
        <f t="shared" ca="1" si="47"/>
        <v>0.909906702669394</v>
      </c>
      <c r="CB63" s="10">
        <f t="shared" ca="1" si="47"/>
        <v>0.92027632780771518</v>
      </c>
      <c r="CC63" s="10">
        <f t="shared" ca="1" si="47"/>
        <v>0.92068826905327039</v>
      </c>
      <c r="CD63" s="10">
        <f t="shared" ca="1" si="47"/>
        <v>0.91972425082379916</v>
      </c>
      <c r="CE63" s="10">
        <f t="shared" ca="1" si="47"/>
        <v>0.93535952488723673</v>
      </c>
      <c r="CF63" s="10">
        <f t="shared" ca="1" si="47"/>
        <v>0.93300272397516437</v>
      </c>
      <c r="CG63" s="10">
        <f t="shared" ca="1" si="47"/>
        <v>0.93213006611921712</v>
      </c>
      <c r="CH63" s="10">
        <f t="shared" ca="1" si="47"/>
        <v>0.94703112999124728</v>
      </c>
      <c r="CI63" s="10">
        <f t="shared" ca="1" si="47"/>
        <v>0.94735170087860177</v>
      </c>
      <c r="CJ63" s="10">
        <f t="shared" ca="1" si="47"/>
        <v>0.94847921543777658</v>
      </c>
      <c r="CK63" s="10">
        <f t="shared" ca="1" si="47"/>
        <v>0.96151451885913775</v>
      </c>
      <c r="CL63" s="10">
        <f t="shared" ca="1" si="47"/>
        <v>0.96055368323895907</v>
      </c>
      <c r="CM63" s="10">
        <f t="shared" ca="1" si="47"/>
        <v>0.96109087474652288</v>
      </c>
      <c r="CN63" s="10">
        <f t="shared" ca="1" si="47"/>
        <v>0.97431069197508069</v>
      </c>
      <c r="CO63" s="10">
        <f t="shared" ca="1" si="47"/>
        <v>0.97556985411756714</v>
      </c>
      <c r="CP63" s="10">
        <f t="shared" ca="1" si="47"/>
        <v>0.97512723051509587</v>
      </c>
      <c r="CQ63" s="10">
        <f t="shared" ca="1" si="47"/>
        <v>0.98706359195750948</v>
      </c>
      <c r="CR63" s="10">
        <f t="shared" ca="1" si="47"/>
        <v>0.98667963157095828</v>
      </c>
      <c r="CS63" s="10">
        <f t="shared" ca="1" si="47"/>
        <v>0.98649802639842155</v>
      </c>
      <c r="CT63" s="10">
        <v>1</v>
      </c>
      <c r="CU63" s="10">
        <v>1</v>
      </c>
      <c r="CV63" s="10">
        <v>1</v>
      </c>
      <c r="CW63" s="10"/>
      <c r="CX63" s="10"/>
      <c r="CY63" s="10"/>
      <c r="CZ63" s="10"/>
      <c r="DA63" s="10"/>
      <c r="DB63" s="10"/>
      <c r="DC63" s="10"/>
      <c r="DD63" s="10"/>
      <c r="DE63" s="10"/>
      <c r="DF63" s="10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</row>
    <row r="64" spans="3:127" x14ac:dyDescent="0.25">
      <c r="C64" s="6"/>
      <c r="F64" s="23">
        <f t="shared" si="13"/>
        <v>7.5</v>
      </c>
      <c r="G64" s="10">
        <f t="shared" ref="G64:AL64" si="48">G65/(1+LiborTenor*G17)</f>
        <v>0.70699632421842462</v>
      </c>
      <c r="H64" s="10">
        <f t="shared" ca="1" si="48"/>
        <v>0.70645964882361767</v>
      </c>
      <c r="I64" s="10">
        <f t="shared" ca="1" si="48"/>
        <v>0.70601812568892797</v>
      </c>
      <c r="J64" s="10">
        <f t="shared" ca="1" si="48"/>
        <v>0.71342962455873893</v>
      </c>
      <c r="K64" s="10">
        <f t="shared" ca="1" si="48"/>
        <v>0.71825594373129975</v>
      </c>
      <c r="L64" s="10">
        <f t="shared" ca="1" si="48"/>
        <v>0.72644905854977304</v>
      </c>
      <c r="M64" s="10">
        <f t="shared" ca="1" si="48"/>
        <v>0.7096582379751859</v>
      </c>
      <c r="N64" s="10">
        <f t="shared" ca="1" si="48"/>
        <v>0.71990472428109986</v>
      </c>
      <c r="O64" s="10">
        <f t="shared" ca="1" si="48"/>
        <v>0.71032249176118967</v>
      </c>
      <c r="P64" s="10">
        <f t="shared" ca="1" si="48"/>
        <v>0.71783971489141196</v>
      </c>
      <c r="Q64" s="10">
        <f t="shared" ca="1" si="48"/>
        <v>0.72419740637818786</v>
      </c>
      <c r="R64" s="10">
        <f t="shared" ca="1" si="48"/>
        <v>0.71690987692318731</v>
      </c>
      <c r="S64" s="10">
        <f t="shared" ca="1" si="48"/>
        <v>0.70281581292281259</v>
      </c>
      <c r="T64" s="10">
        <f t="shared" ca="1" si="48"/>
        <v>0.71658682943889462</v>
      </c>
      <c r="U64" s="10">
        <f t="shared" ca="1" si="48"/>
        <v>0.71732883830005745</v>
      </c>
      <c r="V64" s="10">
        <f t="shared" ca="1" si="48"/>
        <v>0.72541952105974883</v>
      </c>
      <c r="W64" s="10">
        <f t="shared" ca="1" si="48"/>
        <v>0.75300156329253387</v>
      </c>
      <c r="X64" s="10">
        <f t="shared" ca="1" si="48"/>
        <v>0.74795493628673382</v>
      </c>
      <c r="Y64" s="10">
        <f t="shared" ca="1" si="48"/>
        <v>0.75217861869371849</v>
      </c>
      <c r="Z64" s="10">
        <f t="shared" ca="1" si="48"/>
        <v>0.75417710914945613</v>
      </c>
      <c r="AA64" s="10">
        <f t="shared" ca="1" si="48"/>
        <v>0.74918239697804589</v>
      </c>
      <c r="AB64" s="10">
        <f t="shared" ca="1" si="48"/>
        <v>0.74996331411177242</v>
      </c>
      <c r="AC64" s="10">
        <f t="shared" ca="1" si="48"/>
        <v>0.76427869192229825</v>
      </c>
      <c r="AD64" s="10">
        <f t="shared" ca="1" si="48"/>
        <v>0.76671102127316137</v>
      </c>
      <c r="AE64" s="10">
        <f t="shared" ca="1" si="48"/>
        <v>0.75363709049473682</v>
      </c>
      <c r="AF64" s="10">
        <f t="shared" ca="1" si="48"/>
        <v>0.76142875726930759</v>
      </c>
      <c r="AG64" s="10">
        <f t="shared" ca="1" si="48"/>
        <v>0.75800418008346759</v>
      </c>
      <c r="AH64" s="10">
        <f t="shared" ca="1" si="48"/>
        <v>0.75406704771039823</v>
      </c>
      <c r="AI64" s="10">
        <f t="shared" ca="1" si="48"/>
        <v>0.75103555604368877</v>
      </c>
      <c r="AJ64" s="10">
        <f t="shared" ca="1" si="48"/>
        <v>0.74815651929410409</v>
      </c>
      <c r="AK64" s="10">
        <f t="shared" ca="1" si="48"/>
        <v>0.73832864664005249</v>
      </c>
      <c r="AL64" s="10">
        <f t="shared" ca="1" si="48"/>
        <v>0.74487500017732344</v>
      </c>
      <c r="AM64" s="10">
        <f t="shared" ref="AM64:BR64" ca="1" si="49">AM65/(1+LiborTenor*AM17)</f>
        <v>0.74635795138667715</v>
      </c>
      <c r="AN64" s="10">
        <f t="shared" ca="1" si="49"/>
        <v>0.76247367099931262</v>
      </c>
      <c r="AO64" s="10">
        <f t="shared" ca="1" si="49"/>
        <v>0.77736740855354913</v>
      </c>
      <c r="AP64" s="10">
        <f t="shared" ca="1" si="49"/>
        <v>0.78636189599066519</v>
      </c>
      <c r="AQ64" s="10">
        <f t="shared" ca="1" si="49"/>
        <v>0.78153044905541968</v>
      </c>
      <c r="AR64" s="10">
        <f t="shared" ca="1" si="49"/>
        <v>0.78565613684047031</v>
      </c>
      <c r="AS64" s="10">
        <f t="shared" ca="1" si="49"/>
        <v>0.79040207491869408</v>
      </c>
      <c r="AT64" s="10">
        <f t="shared" ca="1" si="49"/>
        <v>0.79241379116777966</v>
      </c>
      <c r="AU64" s="10">
        <f t="shared" ca="1" si="49"/>
        <v>0.79756529701488121</v>
      </c>
      <c r="AV64" s="10">
        <f t="shared" ca="1" si="49"/>
        <v>0.79644202333441316</v>
      </c>
      <c r="AW64" s="10">
        <f t="shared" ca="1" si="49"/>
        <v>0.79006122842395077</v>
      </c>
      <c r="AX64" s="10">
        <f t="shared" ca="1" si="49"/>
        <v>0.80802688862861594</v>
      </c>
      <c r="AY64" s="10">
        <f t="shared" ca="1" si="49"/>
        <v>0.8034787431028948</v>
      </c>
      <c r="AZ64" s="10">
        <f t="shared" ca="1" si="49"/>
        <v>0.79962010060701538</v>
      </c>
      <c r="BA64" s="10">
        <f t="shared" ca="1" si="49"/>
        <v>0.80181487285365549</v>
      </c>
      <c r="BB64" s="10">
        <f t="shared" ca="1" si="49"/>
        <v>0.7993887710827926</v>
      </c>
      <c r="BC64" s="10">
        <f t="shared" ca="1" si="49"/>
        <v>0.80581176301368662</v>
      </c>
      <c r="BD64" s="10">
        <f t="shared" ca="1" si="49"/>
        <v>0.8186832336426475</v>
      </c>
      <c r="BE64" s="10">
        <f t="shared" ca="1" si="49"/>
        <v>0.82151875834020649</v>
      </c>
      <c r="BF64" s="10">
        <f t="shared" ca="1" si="49"/>
        <v>0.83075236423670806</v>
      </c>
      <c r="BG64" s="10">
        <f t="shared" ca="1" si="49"/>
        <v>0.83338238984359958</v>
      </c>
      <c r="BH64" s="10">
        <f t="shared" ca="1" si="49"/>
        <v>0.83781627940861225</v>
      </c>
      <c r="BI64" s="10">
        <f t="shared" ca="1" si="49"/>
        <v>0.84953039629097693</v>
      </c>
      <c r="BJ64" s="10">
        <f t="shared" ca="1" si="49"/>
        <v>0.85843134288027001</v>
      </c>
      <c r="BK64" s="10">
        <f t="shared" ca="1" si="49"/>
        <v>0.85505049118452792</v>
      </c>
      <c r="BL64" s="10">
        <f t="shared" ca="1" si="49"/>
        <v>0.8514845593164867</v>
      </c>
      <c r="BM64" s="10">
        <f t="shared" ca="1" si="49"/>
        <v>0.86978323281821834</v>
      </c>
      <c r="BN64" s="10">
        <f t="shared" ca="1" si="49"/>
        <v>0.86802928933625922</v>
      </c>
      <c r="BO64" s="10">
        <f t="shared" ca="1" si="49"/>
        <v>0.86326392282070252</v>
      </c>
      <c r="BP64" s="10">
        <f t="shared" ca="1" si="49"/>
        <v>0.87524962283642238</v>
      </c>
      <c r="BQ64" s="10">
        <f t="shared" ca="1" si="49"/>
        <v>0.87495313751744985</v>
      </c>
      <c r="BR64" s="10">
        <f t="shared" ca="1" si="49"/>
        <v>0.86977016139010155</v>
      </c>
      <c r="BS64" s="10">
        <f t="shared" ref="BS64:CP64" ca="1" si="50">BS65/(1+LiborTenor*BS17)</f>
        <v>0.88938513589453194</v>
      </c>
      <c r="BT64" s="10">
        <f t="shared" ca="1" si="50"/>
        <v>0.89380892228207631</v>
      </c>
      <c r="BU64" s="10">
        <f t="shared" ca="1" si="50"/>
        <v>0.89780127327452985</v>
      </c>
      <c r="BV64" s="10">
        <f t="shared" ca="1" si="50"/>
        <v>0.90502733137021441</v>
      </c>
      <c r="BW64" s="10">
        <f t="shared" ca="1" si="50"/>
        <v>0.91146947264823497</v>
      </c>
      <c r="BX64" s="10">
        <f t="shared" ca="1" si="50"/>
        <v>0.91338742291381703</v>
      </c>
      <c r="BY64" s="10">
        <f t="shared" ca="1" si="50"/>
        <v>0.92461131323176127</v>
      </c>
      <c r="BZ64" s="10">
        <f t="shared" ca="1" si="50"/>
        <v>0.91961615885557813</v>
      </c>
      <c r="CA64" s="10">
        <f t="shared" ca="1" si="50"/>
        <v>0.92224815834451268</v>
      </c>
      <c r="CB64" s="10">
        <f t="shared" ca="1" si="50"/>
        <v>0.93307061182131157</v>
      </c>
      <c r="CC64" s="10">
        <f t="shared" ca="1" si="50"/>
        <v>0.93342417545290413</v>
      </c>
      <c r="CD64" s="10">
        <f t="shared" ca="1" si="50"/>
        <v>0.93259806013504587</v>
      </c>
      <c r="CE64" s="10">
        <f t="shared" ca="1" si="50"/>
        <v>0.94794100400112069</v>
      </c>
      <c r="CF64" s="10">
        <f t="shared" ca="1" si="50"/>
        <v>0.94600235085720341</v>
      </c>
      <c r="CG64" s="10">
        <f t="shared" ca="1" si="50"/>
        <v>0.94528413111046738</v>
      </c>
      <c r="CH64" s="10">
        <f t="shared" ca="1" si="50"/>
        <v>0.95999188070318409</v>
      </c>
      <c r="CI64" s="10">
        <f t="shared" ca="1" si="50"/>
        <v>0.96023945114380971</v>
      </c>
      <c r="CJ64" s="10">
        <f t="shared" ca="1" si="50"/>
        <v>0.96110941372107661</v>
      </c>
      <c r="CK64" s="10">
        <f t="shared" ca="1" si="50"/>
        <v>0.97418212416596051</v>
      </c>
      <c r="CL64" s="10">
        <f t="shared" ca="1" si="50"/>
        <v>0.97352368449811677</v>
      </c>
      <c r="CM64" s="10">
        <f t="shared" ca="1" si="50"/>
        <v>0.97389218602821204</v>
      </c>
      <c r="CN64" s="10">
        <f t="shared" ca="1" si="50"/>
        <v>0.98707614531062238</v>
      </c>
      <c r="CO64" s="10">
        <f t="shared" ca="1" si="50"/>
        <v>0.98772323946909613</v>
      </c>
      <c r="CP64" s="10">
        <f t="shared" ca="1" si="50"/>
        <v>0.98749608058444782</v>
      </c>
      <c r="CQ64" s="10">
        <v>1</v>
      </c>
      <c r="CR64" s="10">
        <v>1</v>
      </c>
      <c r="CS64" s="10">
        <v>1</v>
      </c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</row>
    <row r="65" spans="3:127" x14ac:dyDescent="0.25">
      <c r="C65" s="6"/>
      <c r="F65" s="23">
        <f t="shared" si="13"/>
        <v>7.25</v>
      </c>
      <c r="G65" s="10">
        <f t="shared" ref="G65:AL65" si="51">G66/(1+LiborTenor*G18)</f>
        <v>0.71583377827115491</v>
      </c>
      <c r="H65" s="10">
        <f t="shared" ca="1" si="51"/>
        <v>0.71551114471798039</v>
      </c>
      <c r="I65" s="10">
        <f t="shared" ca="1" si="51"/>
        <v>0.71507838711114868</v>
      </c>
      <c r="J65" s="10">
        <f t="shared" ca="1" si="51"/>
        <v>0.72236839031563815</v>
      </c>
      <c r="K65" s="10">
        <f t="shared" ca="1" si="51"/>
        <v>0.72733032520931196</v>
      </c>
      <c r="L65" s="10">
        <f t="shared" ca="1" si="51"/>
        <v>0.73538004690278247</v>
      </c>
      <c r="M65" s="10">
        <f t="shared" ca="1" si="51"/>
        <v>0.71888900077464968</v>
      </c>
      <c r="N65" s="10">
        <f t="shared" ca="1" si="51"/>
        <v>0.72918975311419376</v>
      </c>
      <c r="O65" s="10">
        <f t="shared" ca="1" si="51"/>
        <v>0.71977914838300749</v>
      </c>
      <c r="P65" s="10">
        <f t="shared" ca="1" si="51"/>
        <v>0.72716710025711628</v>
      </c>
      <c r="Q65" s="10">
        <f t="shared" ca="1" si="51"/>
        <v>0.73365569840134126</v>
      </c>
      <c r="R65" s="10">
        <f t="shared" ca="1" si="51"/>
        <v>0.72650431467823062</v>
      </c>
      <c r="S65" s="10">
        <f t="shared" ca="1" si="51"/>
        <v>0.71266256947055817</v>
      </c>
      <c r="T65" s="10">
        <f t="shared" ca="1" si="51"/>
        <v>0.7264590790168135</v>
      </c>
      <c r="U65" s="10">
        <f t="shared" ca="1" si="51"/>
        <v>0.72718908489772938</v>
      </c>
      <c r="V65" s="10">
        <f t="shared" ca="1" si="51"/>
        <v>0.7351300888105744</v>
      </c>
      <c r="W65" s="10">
        <f t="shared" ca="1" si="51"/>
        <v>0.76243026283163551</v>
      </c>
      <c r="X65" s="10">
        <f t="shared" ca="1" si="51"/>
        <v>0.75749506909604813</v>
      </c>
      <c r="Y65" s="10">
        <f t="shared" ca="1" si="51"/>
        <v>0.76162897805339758</v>
      </c>
      <c r="Z65" s="10">
        <f t="shared" ca="1" si="51"/>
        <v>0.76387543132867797</v>
      </c>
      <c r="AA65" s="10">
        <f t="shared" ca="1" si="51"/>
        <v>0.75899502393355556</v>
      </c>
      <c r="AB65" s="10">
        <f t="shared" ca="1" si="51"/>
        <v>0.75975999410041195</v>
      </c>
      <c r="AC65" s="10">
        <f t="shared" ca="1" si="51"/>
        <v>0.7740567161595292</v>
      </c>
      <c r="AD65" s="10">
        <f t="shared" ca="1" si="51"/>
        <v>0.77643080649736362</v>
      </c>
      <c r="AE65" s="10">
        <f t="shared" ca="1" si="51"/>
        <v>0.76367676329077072</v>
      </c>
      <c r="AF65" s="10">
        <f t="shared" ca="1" si="51"/>
        <v>0.77162635173622962</v>
      </c>
      <c r="AG65" s="10">
        <f t="shared" ca="1" si="51"/>
        <v>0.76828930879631741</v>
      </c>
      <c r="AH65" s="10">
        <f t="shared" ca="1" si="51"/>
        <v>0.76445136180473638</v>
      </c>
      <c r="AI65" s="10">
        <f t="shared" ca="1" si="51"/>
        <v>0.76189031636914506</v>
      </c>
      <c r="AJ65" s="10">
        <f t="shared" ca="1" si="51"/>
        <v>0.75908604799007995</v>
      </c>
      <c r="AK65" s="10">
        <f t="shared" ca="1" si="51"/>
        <v>0.74950527890278051</v>
      </c>
      <c r="AL65" s="10">
        <f t="shared" ca="1" si="51"/>
        <v>0.75633734136917774</v>
      </c>
      <c r="AM65" s="10">
        <f t="shared" ref="AM65:BR65" ca="1" si="52">AM66/(1+LiborTenor*AM18)</f>
        <v>0.75778296194648576</v>
      </c>
      <c r="AN65" s="10">
        <f t="shared" ca="1" si="52"/>
        <v>0.77346761859648527</v>
      </c>
      <c r="AO65" s="10">
        <f t="shared" ca="1" si="52"/>
        <v>0.78838309174804122</v>
      </c>
      <c r="AP65" s="10">
        <f t="shared" ca="1" si="52"/>
        <v>0.79709628619642992</v>
      </c>
      <c r="AQ65" s="10">
        <f t="shared" ca="1" si="52"/>
        <v>0.79242079450313985</v>
      </c>
      <c r="AR65" s="10">
        <f t="shared" ca="1" si="52"/>
        <v>0.79690870793757351</v>
      </c>
      <c r="AS65" s="10">
        <f t="shared" ca="1" si="52"/>
        <v>0.80149373090770681</v>
      </c>
      <c r="AT65" s="10">
        <f t="shared" ca="1" si="52"/>
        <v>0.80343703782611819</v>
      </c>
      <c r="AU65" s="10">
        <f t="shared" ca="1" si="52"/>
        <v>0.80894291078209235</v>
      </c>
      <c r="AV65" s="10">
        <f t="shared" ca="1" si="52"/>
        <v>0.80786322694544466</v>
      </c>
      <c r="AW65" s="10">
        <f t="shared" ca="1" si="52"/>
        <v>0.80172240218532931</v>
      </c>
      <c r="AX65" s="10">
        <f t="shared" ca="1" si="52"/>
        <v>0.81959374116194228</v>
      </c>
      <c r="AY65" s="10">
        <f t="shared" ca="1" si="52"/>
        <v>0.81523586610612664</v>
      </c>
      <c r="AZ65" s="10">
        <f t="shared" ca="1" si="52"/>
        <v>0.81153681522583443</v>
      </c>
      <c r="BA65" s="10">
        <f t="shared" ca="1" si="52"/>
        <v>0.81434325463144064</v>
      </c>
      <c r="BB65" s="10">
        <f t="shared" ca="1" si="52"/>
        <v>0.81202527017865134</v>
      </c>
      <c r="BC65" s="10">
        <f t="shared" ca="1" si="52"/>
        <v>0.81816675499258984</v>
      </c>
      <c r="BD65" s="10">
        <f t="shared" ca="1" si="52"/>
        <v>0.83120794538171672</v>
      </c>
      <c r="BE65" s="10">
        <f t="shared" ca="1" si="52"/>
        <v>0.83390227992233767</v>
      </c>
      <c r="BF65" s="10">
        <f t="shared" ca="1" si="52"/>
        <v>0.84266763931449085</v>
      </c>
      <c r="BG65" s="10">
        <f t="shared" ca="1" si="52"/>
        <v>0.84599185768377294</v>
      </c>
      <c r="BH65" s="10">
        <f t="shared" ca="1" si="52"/>
        <v>0.85017433209267912</v>
      </c>
      <c r="BI65" s="10">
        <f t="shared" ca="1" si="52"/>
        <v>0.86121121032861336</v>
      </c>
      <c r="BJ65" s="10">
        <f t="shared" ca="1" si="52"/>
        <v>0.87043292213788548</v>
      </c>
      <c r="BK65" s="10">
        <f t="shared" ca="1" si="52"/>
        <v>0.86727671900361447</v>
      </c>
      <c r="BL65" s="10">
        <f t="shared" ca="1" si="52"/>
        <v>0.86394570051189301</v>
      </c>
      <c r="BM65" s="10">
        <f t="shared" ca="1" si="52"/>
        <v>0.88198796003561619</v>
      </c>
      <c r="BN65" s="10">
        <f t="shared" ca="1" si="52"/>
        <v>0.88036673165702939</v>
      </c>
      <c r="BO65" s="10">
        <f t="shared" ca="1" si="52"/>
        <v>0.87595853465536377</v>
      </c>
      <c r="BP65" s="10">
        <f t="shared" ca="1" si="52"/>
        <v>0.8881924714123306</v>
      </c>
      <c r="BQ65" s="10">
        <f t="shared" ca="1" si="52"/>
        <v>0.88792194329287077</v>
      </c>
      <c r="BR65" s="10">
        <f t="shared" ca="1" si="52"/>
        <v>0.8831792535323546</v>
      </c>
      <c r="BS65" s="10">
        <f t="shared" ref="BS65:CM65" ca="1" si="53">BS66/(1+LiborTenor*BS18)</f>
        <v>0.9024141339974634</v>
      </c>
      <c r="BT65" s="10">
        <f t="shared" ca="1" si="53"/>
        <v>0.90639789534882154</v>
      </c>
      <c r="BU65" s="10">
        <f t="shared" ca="1" si="53"/>
        <v>0.90998926381279954</v>
      </c>
      <c r="BV65" s="10">
        <f t="shared" ca="1" si="53"/>
        <v>0.91795548157442453</v>
      </c>
      <c r="BW65" s="10">
        <f t="shared" ca="1" si="53"/>
        <v>0.92363489598608317</v>
      </c>
      <c r="BX65" s="10">
        <f t="shared" ca="1" si="53"/>
        <v>0.92532339087826543</v>
      </c>
      <c r="BY65" s="10">
        <f t="shared" ca="1" si="53"/>
        <v>0.93678480511927897</v>
      </c>
      <c r="BZ65" s="10">
        <f t="shared" ca="1" si="53"/>
        <v>0.93250867463402298</v>
      </c>
      <c r="CA65" s="10">
        <f t="shared" ca="1" si="53"/>
        <v>0.93476476837725397</v>
      </c>
      <c r="CB65" s="10">
        <f t="shared" ca="1" si="53"/>
        <v>0.94606037537411658</v>
      </c>
      <c r="CC65" s="10">
        <f t="shared" ca="1" si="53"/>
        <v>0.94635164228853585</v>
      </c>
      <c r="CD65" s="10">
        <f t="shared" ca="1" si="53"/>
        <v>0.94567217832890915</v>
      </c>
      <c r="CE65" s="10">
        <f t="shared" ca="1" si="53"/>
        <v>0.96069532226928134</v>
      </c>
      <c r="CF65" s="10">
        <f t="shared" ca="1" si="53"/>
        <v>0.9592006581663497</v>
      </c>
      <c r="CG65" s="10">
        <f t="shared" ca="1" si="53"/>
        <v>0.95864662029119807</v>
      </c>
      <c r="CH65" s="10">
        <f t="shared" ca="1" si="53"/>
        <v>0.97313975843876388</v>
      </c>
      <c r="CI65" s="10">
        <f t="shared" ca="1" si="53"/>
        <v>0.97330967141965152</v>
      </c>
      <c r="CJ65" s="10">
        <f t="shared" ca="1" si="53"/>
        <v>0.97390618512661109</v>
      </c>
      <c r="CK65" s="10">
        <f t="shared" ca="1" si="53"/>
        <v>0.9870106385234948</v>
      </c>
      <c r="CL65" s="10">
        <f t="shared" ca="1" si="53"/>
        <v>0.98667232074633127</v>
      </c>
      <c r="CM65" s="10">
        <f t="shared" ca="1" si="53"/>
        <v>0.98686186106197982</v>
      </c>
      <c r="CN65" s="10">
        <v>1</v>
      </c>
      <c r="CO65" s="10">
        <v>1</v>
      </c>
      <c r="CP65" s="10">
        <v>1</v>
      </c>
      <c r="CQ65" s="10"/>
      <c r="CR65" s="10"/>
      <c r="CS65" s="10"/>
      <c r="CT65" s="10"/>
      <c r="CU65" s="10"/>
      <c r="CV65" s="10"/>
      <c r="CW65" s="10"/>
      <c r="CX65" s="10"/>
      <c r="CY65" s="10"/>
      <c r="CZ65" s="10"/>
      <c r="DA65" s="10"/>
      <c r="DB65" s="10"/>
      <c r="DC65" s="10"/>
      <c r="DD65" s="10"/>
      <c r="DE65" s="10"/>
      <c r="DF65" s="10"/>
      <c r="DG65" s="10"/>
      <c r="DH65" s="10"/>
      <c r="DI65" s="10"/>
      <c r="DJ65" s="10"/>
      <c r="DK65" s="10"/>
      <c r="DL65" s="10"/>
      <c r="DM65" s="10"/>
      <c r="DN65" s="10"/>
      <c r="DO65" s="10"/>
      <c r="DP65" s="10"/>
      <c r="DQ65" s="10"/>
      <c r="DR65" s="10"/>
      <c r="DS65" s="10"/>
      <c r="DT65" s="10"/>
      <c r="DU65" s="10"/>
      <c r="DV65" s="10"/>
      <c r="DW65" s="10"/>
    </row>
    <row r="66" spans="3:127" x14ac:dyDescent="0.25">
      <c r="C66" s="6"/>
      <c r="F66" s="23">
        <f t="shared" si="13"/>
        <v>7</v>
      </c>
      <c r="G66" s="10">
        <f t="shared" ref="G66:AL66" si="54">G67/(1+LiborTenor*G19)</f>
        <v>0.72478170049954427</v>
      </c>
      <c r="H66" s="10">
        <f t="shared" ca="1" si="54"/>
        <v>0.72468529486157296</v>
      </c>
      <c r="I66" s="10">
        <f t="shared" ca="1" si="54"/>
        <v>0.72426194577249003</v>
      </c>
      <c r="J66" s="10">
        <f t="shared" ca="1" si="54"/>
        <v>0.73141946156839954</v>
      </c>
      <c r="K66" s="10">
        <f t="shared" ca="1" si="54"/>
        <v>0.73652182706043678</v>
      </c>
      <c r="L66" s="10">
        <f t="shared" ca="1" si="54"/>
        <v>0.74441574118934672</v>
      </c>
      <c r="M66" s="10">
        <f t="shared" ca="1" si="54"/>
        <v>0.72824969343038048</v>
      </c>
      <c r="N66" s="10">
        <f t="shared" ca="1" si="54"/>
        <v>0.73860196905247077</v>
      </c>
      <c r="O66" s="10">
        <f t="shared" ca="1" si="54"/>
        <v>0.72937806542896588</v>
      </c>
      <c r="P66" s="10">
        <f t="shared" ca="1" si="54"/>
        <v>0.73662479199655551</v>
      </c>
      <c r="Q66" s="10">
        <f t="shared" ca="1" si="54"/>
        <v>0.74324810454367873</v>
      </c>
      <c r="R66" s="10">
        <f t="shared" ca="1" si="54"/>
        <v>0.73624475972186332</v>
      </c>
      <c r="S66" s="10">
        <f t="shared" ca="1" si="54"/>
        <v>0.72267855635099543</v>
      </c>
      <c r="T66" s="10">
        <f t="shared" ca="1" si="54"/>
        <v>0.73649350157962434</v>
      </c>
      <c r="U66" s="10">
        <f t="shared" ca="1" si="54"/>
        <v>0.73721021053075675</v>
      </c>
      <c r="V66" s="10">
        <f t="shared" ca="1" si="54"/>
        <v>0.74498759912436863</v>
      </c>
      <c r="W66" s="10">
        <f t="shared" ca="1" si="54"/>
        <v>0.77197373976239669</v>
      </c>
      <c r="X66" s="10">
        <f t="shared" ca="1" si="54"/>
        <v>0.7671587109384761</v>
      </c>
      <c r="Y66" s="10">
        <f t="shared" ca="1" si="54"/>
        <v>0.77119545084329078</v>
      </c>
      <c r="Z66" s="10">
        <f t="shared" ca="1" si="54"/>
        <v>0.77370237706990996</v>
      </c>
      <c r="AA66" s="10">
        <f t="shared" ca="1" si="54"/>
        <v>0.76894539582118626</v>
      </c>
      <c r="AB66" s="10">
        <f t="shared" ca="1" si="54"/>
        <v>0.769692951835799</v>
      </c>
      <c r="AC66" s="10">
        <f t="shared" ca="1" si="54"/>
        <v>0.78396181917161689</v>
      </c>
      <c r="AD66" s="10">
        <f t="shared" ca="1" si="54"/>
        <v>0.78627298232842768</v>
      </c>
      <c r="AE66" s="10">
        <f t="shared" ca="1" si="54"/>
        <v>0.77386383298549666</v>
      </c>
      <c r="AF66" s="10">
        <f t="shared" ca="1" si="54"/>
        <v>0.78197590037110098</v>
      </c>
      <c r="AG66" s="10">
        <f t="shared" ca="1" si="54"/>
        <v>0.77873341163130105</v>
      </c>
      <c r="AH66" s="10">
        <f t="shared" ca="1" si="54"/>
        <v>0.77500277067235346</v>
      </c>
      <c r="AI66" s="10">
        <f t="shared" ca="1" si="54"/>
        <v>0.77294250497040728</v>
      </c>
      <c r="AJ66" s="10">
        <f t="shared" ca="1" si="54"/>
        <v>0.77021945415902504</v>
      </c>
      <c r="AK66" s="10">
        <f t="shared" ca="1" si="54"/>
        <v>0.76090802387789958</v>
      </c>
      <c r="AL66" s="10">
        <f t="shared" ca="1" si="54"/>
        <v>0.76803996771326877</v>
      </c>
      <c r="AM66" s="10">
        <f t="shared" ref="AM66:BR66" ca="1" si="55">AM67/(1+LiborTenor*AM19)</f>
        <v>0.76944456976948594</v>
      </c>
      <c r="AN66" s="10">
        <f t="shared" ca="1" si="55"/>
        <v>0.78465872487517263</v>
      </c>
      <c r="AO66" s="10">
        <f t="shared" ca="1" si="55"/>
        <v>0.79958760243543614</v>
      </c>
      <c r="AP66" s="10">
        <f t="shared" ca="1" si="55"/>
        <v>0.80799660458323275</v>
      </c>
      <c r="AQ66" s="10">
        <f t="shared" ca="1" si="55"/>
        <v>0.8034891438928834</v>
      </c>
      <c r="AR66" s="10">
        <f t="shared" ca="1" si="55"/>
        <v>0.8083586476717306</v>
      </c>
      <c r="AS66" s="10">
        <f t="shared" ca="1" si="55"/>
        <v>0.8127696526470265</v>
      </c>
      <c r="AT66" s="10">
        <f t="shared" ca="1" si="55"/>
        <v>0.81463901123704652</v>
      </c>
      <c r="AU66" s="10">
        <f t="shared" ca="1" si="55"/>
        <v>0.82051743978483138</v>
      </c>
      <c r="AV66" s="10">
        <f t="shared" ca="1" si="55"/>
        <v>0.81948461683394858</v>
      </c>
      <c r="AW66" s="10">
        <f t="shared" ca="1" si="55"/>
        <v>0.813602755891214</v>
      </c>
      <c r="AX66" s="10">
        <f t="shared" ca="1" si="55"/>
        <v>0.83136180571903395</v>
      </c>
      <c r="AY66" s="10">
        <f t="shared" ca="1" si="55"/>
        <v>0.82720883443815996</v>
      </c>
      <c r="AZ66" s="10">
        <f t="shared" ca="1" si="55"/>
        <v>0.82368192329054479</v>
      </c>
      <c r="BA66" s="10">
        <f t="shared" ca="1" si="55"/>
        <v>0.8271382193911625</v>
      </c>
      <c r="BB66" s="10">
        <f t="shared" ca="1" si="55"/>
        <v>0.82493723264076113</v>
      </c>
      <c r="BC66" s="10">
        <f t="shared" ca="1" si="55"/>
        <v>0.83077336900405763</v>
      </c>
      <c r="BD66" s="10">
        <f t="shared" ca="1" si="55"/>
        <v>0.84398630419156084</v>
      </c>
      <c r="BE66" s="10">
        <f t="shared" ca="1" si="55"/>
        <v>0.84652803232045737</v>
      </c>
      <c r="BF66" s="10">
        <f t="shared" ca="1" si="55"/>
        <v>0.85478868709375266</v>
      </c>
      <c r="BG66" s="10">
        <f t="shared" ca="1" si="55"/>
        <v>0.85884874874008832</v>
      </c>
      <c r="BH66" s="10">
        <f t="shared" ca="1" si="55"/>
        <v>0.86276034488228037</v>
      </c>
      <c r="BI66" s="10">
        <f t="shared" ca="1" si="55"/>
        <v>0.87306991086079633</v>
      </c>
      <c r="BJ66" s="10">
        <f t="shared" ca="1" si="55"/>
        <v>0.88262589162907379</v>
      </c>
      <c r="BK66" s="10">
        <f t="shared" ca="1" si="55"/>
        <v>0.8797098766148832</v>
      </c>
      <c r="BL66" s="10">
        <f t="shared" ca="1" si="55"/>
        <v>0.87663042821850334</v>
      </c>
      <c r="BM66" s="10">
        <f t="shared" ca="1" si="55"/>
        <v>0.8943882893941153</v>
      </c>
      <c r="BN66" s="10">
        <f t="shared" ca="1" si="55"/>
        <v>0.89290874249049412</v>
      </c>
      <c r="BO66" s="10">
        <f t="shared" ca="1" si="55"/>
        <v>0.88888258339290471</v>
      </c>
      <c r="BP66" s="10">
        <f t="shared" ca="1" si="55"/>
        <v>0.90137232207774665</v>
      </c>
      <c r="BQ66" s="10">
        <f t="shared" ca="1" si="55"/>
        <v>0.90112942746672886</v>
      </c>
      <c r="BR66" s="10">
        <f t="shared" ca="1" si="55"/>
        <v>0.89685861103976483</v>
      </c>
      <c r="BS66" s="10">
        <f t="shared" ref="BS66:CJ66" ca="1" si="56">BS67/(1+LiborTenor*BS19)</f>
        <v>0.91567484086238116</v>
      </c>
      <c r="BT66" s="10">
        <f t="shared" ca="1" si="56"/>
        <v>0.91918819792159212</v>
      </c>
      <c r="BU66" s="10">
        <f t="shared" ca="1" si="56"/>
        <v>0.92235200564426956</v>
      </c>
      <c r="BV66" s="10">
        <f t="shared" ca="1" si="56"/>
        <v>0.93109738609000359</v>
      </c>
      <c r="BW66" s="10">
        <f t="shared" ca="1" si="56"/>
        <v>0.93596408139318099</v>
      </c>
      <c r="BX66" s="10">
        <f t="shared" ca="1" si="56"/>
        <v>0.93740888063243089</v>
      </c>
      <c r="BY66" s="10">
        <f t="shared" ca="1" si="56"/>
        <v>0.94911458429091811</v>
      </c>
      <c r="BZ66" s="10">
        <f t="shared" ca="1" si="56"/>
        <v>0.94560119768678208</v>
      </c>
      <c r="CA66" s="10">
        <f t="shared" ca="1" si="56"/>
        <v>0.94745733822904055</v>
      </c>
      <c r="CB66" s="10">
        <f t="shared" ca="1" si="56"/>
        <v>0.95924697512088497</v>
      </c>
      <c r="CC66" s="10">
        <f t="shared" ca="1" si="56"/>
        <v>0.95947188400110428</v>
      </c>
      <c r="CD66" s="10">
        <f t="shared" ca="1" si="56"/>
        <v>0.95894808677026877</v>
      </c>
      <c r="CE66" s="10">
        <f t="shared" ca="1" si="56"/>
        <v>0.97362300061677487</v>
      </c>
      <c r="CF66" s="10">
        <f t="shared" ca="1" si="56"/>
        <v>0.97259892885592425</v>
      </c>
      <c r="CG66" s="10">
        <f t="shared" ca="1" si="56"/>
        <v>0.97221911813912065</v>
      </c>
      <c r="CH66" s="10">
        <f t="shared" ca="1" si="56"/>
        <v>0.98647556628294053</v>
      </c>
      <c r="CI66" s="10">
        <f t="shared" ca="1" si="56"/>
        <v>0.98656300865142166</v>
      </c>
      <c r="CJ66" s="10">
        <f t="shared" ca="1" si="56"/>
        <v>0.98686969632967836</v>
      </c>
      <c r="CK66" s="10">
        <v>1</v>
      </c>
      <c r="CL66" s="10">
        <v>1</v>
      </c>
      <c r="CM66" s="10">
        <v>1</v>
      </c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10"/>
      <c r="CY66" s="10"/>
      <c r="CZ66" s="10"/>
      <c r="DA66" s="10"/>
      <c r="DB66" s="10"/>
      <c r="DC66" s="10"/>
      <c r="DD66" s="10"/>
      <c r="DE66" s="10"/>
      <c r="DF66" s="10"/>
      <c r="DG66" s="10"/>
      <c r="DH66" s="10"/>
      <c r="DI66" s="10"/>
      <c r="DJ66" s="10"/>
      <c r="DK66" s="10"/>
      <c r="DL66" s="10"/>
      <c r="DM66" s="10"/>
      <c r="DN66" s="10"/>
      <c r="DO66" s="10"/>
      <c r="DP66" s="10"/>
      <c r="DQ66" s="10"/>
      <c r="DR66" s="10"/>
      <c r="DS66" s="10"/>
      <c r="DT66" s="10"/>
      <c r="DU66" s="10"/>
      <c r="DV66" s="10"/>
      <c r="DW66" s="10"/>
    </row>
    <row r="67" spans="3:127" x14ac:dyDescent="0.25">
      <c r="C67" s="6"/>
      <c r="F67" s="23">
        <f t="shared" si="13"/>
        <v>6.75</v>
      </c>
      <c r="G67" s="10">
        <f t="shared" ref="G67:AL67" si="57">G68/(1+LiborTenor*G20)</f>
        <v>0.73384147175578851</v>
      </c>
      <c r="H67" s="10">
        <f t="shared" ca="1" si="57"/>
        <v>0.73398383364300579</v>
      </c>
      <c r="I67" s="10">
        <f t="shared" ca="1" si="57"/>
        <v>0.73357054739554106</v>
      </c>
      <c r="J67" s="10">
        <f t="shared" ca="1" si="57"/>
        <v>0.74058421683669073</v>
      </c>
      <c r="K67" s="10">
        <f t="shared" ca="1" si="57"/>
        <v>0.74583194595216917</v>
      </c>
      <c r="L67" s="10">
        <f t="shared" ca="1" si="57"/>
        <v>0.75355724557364656</v>
      </c>
      <c r="M67" s="10">
        <f t="shared" ca="1" si="57"/>
        <v>0.7377421770201561</v>
      </c>
      <c r="N67" s="10">
        <f t="shared" ca="1" si="57"/>
        <v>0.74814310316875565</v>
      </c>
      <c r="O67" s="10">
        <f t="shared" ca="1" si="57"/>
        <v>0.73912147460153199</v>
      </c>
      <c r="P67" s="10">
        <f t="shared" ca="1" si="57"/>
        <v>0.74621458868467938</v>
      </c>
      <c r="Q67" s="10">
        <f t="shared" ca="1" si="57"/>
        <v>0.75297651267859789</v>
      </c>
      <c r="R67" s="10">
        <f t="shared" ca="1" si="57"/>
        <v>0.74613350093698205</v>
      </c>
      <c r="S67" s="10">
        <f t="shared" ca="1" si="57"/>
        <v>0.73286692049192315</v>
      </c>
      <c r="T67" s="10">
        <f t="shared" ca="1" si="57"/>
        <v>0.74669290666642485</v>
      </c>
      <c r="U67" s="10">
        <f t="shared" ca="1" si="57"/>
        <v>0.74739496254262383</v>
      </c>
      <c r="V67" s="10">
        <f t="shared" ca="1" si="57"/>
        <v>0.75499426195485164</v>
      </c>
      <c r="W67" s="10">
        <f t="shared" ca="1" si="57"/>
        <v>0.7816330651148421</v>
      </c>
      <c r="X67" s="10">
        <f t="shared" ca="1" si="57"/>
        <v>0.77694718327212431</v>
      </c>
      <c r="Y67" s="10">
        <f t="shared" ca="1" si="57"/>
        <v>0.78087912154328276</v>
      </c>
      <c r="Z67" s="10">
        <f t="shared" ca="1" si="57"/>
        <v>0.78365937077584313</v>
      </c>
      <c r="AA67" s="10">
        <f t="shared" ca="1" si="57"/>
        <v>0.77903521847779666</v>
      </c>
      <c r="AB67" s="10">
        <f t="shared" ca="1" si="57"/>
        <v>0.77976383330249011</v>
      </c>
      <c r="AC67" s="10">
        <f t="shared" ca="1" si="57"/>
        <v>0.79399530642770211</v>
      </c>
      <c r="AD67" s="10">
        <f t="shared" ca="1" si="57"/>
        <v>0.79623869979830464</v>
      </c>
      <c r="AE67" s="10">
        <f t="shared" ca="1" si="57"/>
        <v>0.78420022178604598</v>
      </c>
      <c r="AF67" s="10">
        <f t="shared" ca="1" si="57"/>
        <v>0.79247943203507165</v>
      </c>
      <c r="AG67" s="10">
        <f t="shared" ca="1" si="57"/>
        <v>0.78933875162589551</v>
      </c>
      <c r="AH67" s="10">
        <f t="shared" ca="1" si="57"/>
        <v>0.78572381959898685</v>
      </c>
      <c r="AI67" s="10">
        <f t="shared" ca="1" si="57"/>
        <v>0.78419576939441271</v>
      </c>
      <c r="AJ67" s="10">
        <f t="shared" ca="1" si="57"/>
        <v>0.78156064022049787</v>
      </c>
      <c r="AK67" s="10">
        <f t="shared" ca="1" si="57"/>
        <v>0.77254173516191005</v>
      </c>
      <c r="AL67" s="10">
        <f t="shared" ca="1" si="57"/>
        <v>0.77998828625602623</v>
      </c>
      <c r="AM67" s="10">
        <f t="shared" ref="AM67:BR67" ca="1" si="58">AM68/(1+LiborTenor*AM20)</f>
        <v>0.78134799204068461</v>
      </c>
      <c r="AN67" s="10">
        <f t="shared" ca="1" si="58"/>
        <v>0.79605042288306149</v>
      </c>
      <c r="AO67" s="10">
        <f t="shared" ca="1" si="58"/>
        <v>0.8109839635009547</v>
      </c>
      <c r="AP67" s="10">
        <f t="shared" ca="1" si="58"/>
        <v>0.81906499347417139</v>
      </c>
      <c r="AQ67" s="10">
        <f t="shared" ca="1" si="58"/>
        <v>0.81473805912920294</v>
      </c>
      <c r="AR67" s="10">
        <f t="shared" ca="1" si="58"/>
        <v>0.8200091793595744</v>
      </c>
      <c r="AS67" s="10">
        <f t="shared" ca="1" si="58"/>
        <v>0.82423253914795802</v>
      </c>
      <c r="AT67" s="10">
        <f t="shared" ca="1" si="58"/>
        <v>0.82602218990927401</v>
      </c>
      <c r="AU67" s="10">
        <f t="shared" ca="1" si="58"/>
        <v>0.83229196946287498</v>
      </c>
      <c r="AV67" s="10">
        <f t="shared" ca="1" si="58"/>
        <v>0.83130939083608624</v>
      </c>
      <c r="AW67" s="10">
        <f t="shared" ca="1" si="58"/>
        <v>0.82570623171621305</v>
      </c>
      <c r="AX67" s="10">
        <f t="shared" ca="1" si="58"/>
        <v>0.84333420248338997</v>
      </c>
      <c r="AY67" s="10">
        <f t="shared" ca="1" si="58"/>
        <v>0.83940132849255589</v>
      </c>
      <c r="AZ67" s="10">
        <f t="shared" ca="1" si="58"/>
        <v>0.83605960598021212</v>
      </c>
      <c r="BA67" s="10">
        <f t="shared" ca="1" si="58"/>
        <v>0.84020550661835958</v>
      </c>
      <c r="BB67" s="10">
        <f t="shared" ca="1" si="58"/>
        <v>0.83813079416566183</v>
      </c>
      <c r="BC67" s="10">
        <f t="shared" ca="1" si="58"/>
        <v>0.84363661120104894</v>
      </c>
      <c r="BD67" s="10">
        <f t="shared" ca="1" si="58"/>
        <v>0.85702329299334756</v>
      </c>
      <c r="BE67" s="10">
        <f t="shared" ca="1" si="58"/>
        <v>0.85940048174496331</v>
      </c>
      <c r="BF67" s="10">
        <f t="shared" ca="1" si="58"/>
        <v>0.86711844984694308</v>
      </c>
      <c r="BG67" s="10">
        <f t="shared" ca="1" si="58"/>
        <v>0.87195755284976018</v>
      </c>
      <c r="BH67" s="10">
        <f t="shared" ca="1" si="58"/>
        <v>0.87557797536070237</v>
      </c>
      <c r="BI67" s="10">
        <f t="shared" ca="1" si="58"/>
        <v>0.88510822125004218</v>
      </c>
      <c r="BJ67" s="10">
        <f t="shared" ca="1" si="58"/>
        <v>0.8950123595320173</v>
      </c>
      <c r="BK67" s="10">
        <f t="shared" ca="1" si="58"/>
        <v>0.89235260752926515</v>
      </c>
      <c r="BL67" s="10">
        <f t="shared" ca="1" si="58"/>
        <v>0.88954199311138504</v>
      </c>
      <c r="BM67" s="10">
        <f t="shared" ca="1" si="58"/>
        <v>0.90698632743916208</v>
      </c>
      <c r="BN67" s="10">
        <f t="shared" ca="1" si="58"/>
        <v>0.90565772778272902</v>
      </c>
      <c r="BO67" s="10">
        <f t="shared" ca="1" si="58"/>
        <v>0.90203937385375477</v>
      </c>
      <c r="BP67" s="10">
        <f t="shared" ca="1" si="58"/>
        <v>0.91479267355244176</v>
      </c>
      <c r="BQ67" s="10">
        <f t="shared" ca="1" si="58"/>
        <v>0.91457913671272772</v>
      </c>
      <c r="BR67" s="10">
        <f t="shared" ca="1" si="58"/>
        <v>0.91081303922480383</v>
      </c>
      <c r="BS67" s="10">
        <f t="shared" ref="BS67:CG67" ca="1" si="59">BS68/(1+LiborTenor*BS20)</f>
        <v>0.92917035111131807</v>
      </c>
      <c r="BT67" s="10">
        <f t="shared" ca="1" si="59"/>
        <v>0.93218178722078948</v>
      </c>
      <c r="BU67" s="10">
        <f t="shared" ca="1" si="59"/>
        <v>0.93489055445288605</v>
      </c>
      <c r="BV67" s="10">
        <f t="shared" ca="1" si="59"/>
        <v>0.94445527531858409</v>
      </c>
      <c r="BW67" s="10">
        <f t="shared" ca="1" si="59"/>
        <v>0.94845757186297974</v>
      </c>
      <c r="BX67" s="10">
        <f t="shared" ca="1" si="59"/>
        <v>0.94964401783668828</v>
      </c>
      <c r="BY67" s="10">
        <f t="shared" ca="1" si="59"/>
        <v>0.96160089462257992</v>
      </c>
      <c r="BZ67" s="10">
        <f t="shared" ca="1" si="59"/>
        <v>0.95889522568120888</v>
      </c>
      <c r="CA67" s="10">
        <f t="shared" ca="1" si="59"/>
        <v>0.96032658105328506</v>
      </c>
      <c r="CB67" s="10">
        <f t="shared" ca="1" si="59"/>
        <v>0.97263167923924132</v>
      </c>
      <c r="CC67" s="10">
        <f t="shared" ca="1" si="59"/>
        <v>0.97278602354348243</v>
      </c>
      <c r="CD67" s="10">
        <f t="shared" ca="1" si="59"/>
        <v>0.97242717783187682</v>
      </c>
      <c r="CE67" s="10">
        <f t="shared" ca="1" si="59"/>
        <v>0.98672445662528685</v>
      </c>
      <c r="CF67" s="10">
        <f t="shared" ca="1" si="59"/>
        <v>0.98619834853500243</v>
      </c>
      <c r="CG67" s="10">
        <f t="shared" ca="1" si="59"/>
        <v>0.98600311474599511</v>
      </c>
      <c r="CH67" s="10">
        <v>1</v>
      </c>
      <c r="CI67" s="10">
        <v>1</v>
      </c>
      <c r="CJ67" s="10">
        <v>1</v>
      </c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10"/>
      <c r="CY67" s="10"/>
      <c r="CZ67" s="10"/>
      <c r="DA67" s="10"/>
      <c r="DB67" s="10"/>
      <c r="DC67" s="10"/>
      <c r="DD67" s="10"/>
      <c r="DE67" s="10"/>
      <c r="DF67" s="10"/>
      <c r="DG67" s="10"/>
      <c r="DH67" s="10"/>
      <c r="DI67" s="10"/>
      <c r="DJ67" s="10"/>
      <c r="DK67" s="10"/>
      <c r="DL67" s="10"/>
      <c r="DM67" s="10"/>
      <c r="DN67" s="10"/>
      <c r="DO67" s="10"/>
      <c r="DP67" s="10"/>
      <c r="DQ67" s="10"/>
      <c r="DR67" s="10"/>
      <c r="DS67" s="10"/>
      <c r="DT67" s="10"/>
      <c r="DU67" s="10"/>
      <c r="DV67" s="10"/>
      <c r="DW67" s="10"/>
    </row>
    <row r="68" spans="3:127" x14ac:dyDescent="0.25">
      <c r="C68" s="6"/>
      <c r="F68" s="23">
        <f t="shared" si="13"/>
        <v>6.5</v>
      </c>
      <c r="G68" s="10">
        <f t="shared" ref="G68:AL68" si="60">G69/(1+LiborTenor*G21)</f>
        <v>0.7430144901527358</v>
      </c>
      <c r="H68" s="10">
        <f t="shared" ca="1" si="60"/>
        <v>0.74340852057676265</v>
      </c>
      <c r="I68" s="10">
        <f t="shared" ca="1" si="60"/>
        <v>0.7430059625794968</v>
      </c>
      <c r="J68" s="10">
        <f t="shared" ca="1" si="60"/>
        <v>0.74986404987830968</v>
      </c>
      <c r="K68" s="10">
        <f t="shared" ca="1" si="60"/>
        <v>0.75526219582876408</v>
      </c>
      <c r="L68" s="10">
        <f t="shared" ca="1" si="60"/>
        <v>0.76280567220329221</v>
      </c>
      <c r="M68" s="10">
        <f t="shared" ca="1" si="60"/>
        <v>0.7473683370700559</v>
      </c>
      <c r="N68" s="10">
        <f t="shared" ca="1" si="60"/>
        <v>0.75781490678594543</v>
      </c>
      <c r="O68" s="10">
        <f t="shared" ca="1" si="60"/>
        <v>0.74901164047659397</v>
      </c>
      <c r="P68" s="10">
        <f t="shared" ca="1" si="60"/>
        <v>0.7559383092457036</v>
      </c>
      <c r="Q68" s="10">
        <f t="shared" ca="1" si="60"/>
        <v>0.76284283243336404</v>
      </c>
      <c r="R68" s="10">
        <f t="shared" ca="1" si="60"/>
        <v>0.75617285912413246</v>
      </c>
      <c r="S68" s="10">
        <f t="shared" ca="1" si="60"/>
        <v>0.74323086620529422</v>
      </c>
      <c r="T68" s="10">
        <f t="shared" ca="1" si="60"/>
        <v>0.75706014884904904</v>
      </c>
      <c r="U68" s="10">
        <f t="shared" ca="1" si="60"/>
        <v>0.75774613063363716</v>
      </c>
      <c r="V68" s="10">
        <f t="shared" ca="1" si="60"/>
        <v>0.76515231290126118</v>
      </c>
      <c r="W68" s="10">
        <f t="shared" ca="1" si="60"/>
        <v>0.79140930655551089</v>
      </c>
      <c r="X68" s="10">
        <f t="shared" ca="1" si="60"/>
        <v>0.78686180841125242</v>
      </c>
      <c r="Y68" s="10">
        <f t="shared" ca="1" si="60"/>
        <v>0.7906810702202508</v>
      </c>
      <c r="Z68" s="10">
        <f t="shared" ca="1" si="60"/>
        <v>0.79374783815251371</v>
      </c>
      <c r="AA68" s="10">
        <f t="shared" ca="1" si="60"/>
        <v>0.789266204590369</v>
      </c>
      <c r="AB68" s="10">
        <f t="shared" ca="1" si="60"/>
        <v>0.7899742893021896</v>
      </c>
      <c r="AC68" s="10">
        <f t="shared" ca="1" si="60"/>
        <v>0.80415847979852129</v>
      </c>
      <c r="AD68" s="10">
        <f t="shared" ca="1" si="60"/>
        <v>0.80632910274134761</v>
      </c>
      <c r="AE68" s="10">
        <f t="shared" ca="1" si="60"/>
        <v>0.7946878600541436</v>
      </c>
      <c r="AF68" s="10">
        <f t="shared" ca="1" si="60"/>
        <v>0.80313898517633042</v>
      </c>
      <c r="AG68" s="10">
        <f t="shared" ca="1" si="60"/>
        <v>0.80010760662674341</v>
      </c>
      <c r="AH68" s="10">
        <f t="shared" ca="1" si="60"/>
        <v>0.79661707552314809</v>
      </c>
      <c r="AI68" s="10">
        <f t="shared" ca="1" si="60"/>
        <v>0.79565381040998173</v>
      </c>
      <c r="AJ68" s="10">
        <f t="shared" ca="1" si="60"/>
        <v>0.79311356947421663</v>
      </c>
      <c r="AK68" s="10">
        <f t="shared" ca="1" si="60"/>
        <v>0.78441136042955595</v>
      </c>
      <c r="AL68" s="10">
        <f t="shared" ca="1" si="60"/>
        <v>0.79218781713823749</v>
      </c>
      <c r="AM68" s="10">
        <f t="shared" ref="AM68:BR68" ca="1" si="61">AM69/(1+LiborTenor*AM21)</f>
        <v>0.79349855033093708</v>
      </c>
      <c r="AN68" s="10">
        <f t="shared" ca="1" si="61"/>
        <v>0.80764618357757267</v>
      </c>
      <c r="AO68" s="10">
        <f t="shared" ca="1" si="61"/>
        <v>0.82257522124363947</v>
      </c>
      <c r="AP68" s="10">
        <f t="shared" ca="1" si="61"/>
        <v>0.83030359348427185</v>
      </c>
      <c r="AQ68" s="10">
        <f t="shared" ca="1" si="61"/>
        <v>0.82617011010155739</v>
      </c>
      <c r="AR68" s="10">
        <f t="shared" ca="1" si="61"/>
        <v>0.83186355092051345</v>
      </c>
      <c r="AS68" s="10">
        <f t="shared" ca="1" si="61"/>
        <v>0.83588509798499577</v>
      </c>
      <c r="AT68" s="10">
        <f t="shared" ca="1" si="61"/>
        <v>0.83758905416508111</v>
      </c>
      <c r="AU68" s="10">
        <f t="shared" ca="1" si="61"/>
        <v>0.84426960154182762</v>
      </c>
      <c r="AV68" s="10">
        <f t="shared" ca="1" si="61"/>
        <v>0.84334076533875224</v>
      </c>
      <c r="AW68" s="10">
        <f t="shared" ca="1" si="61"/>
        <v>0.83803681198591207</v>
      </c>
      <c r="AX68" s="10">
        <f t="shared" ca="1" si="61"/>
        <v>0.85551406407182917</v>
      </c>
      <c r="AY68" s="10">
        <f t="shared" ca="1" si="61"/>
        <v>0.85181705647254935</v>
      </c>
      <c r="AZ68" s="10">
        <f t="shared" ca="1" si="61"/>
        <v>0.84867408703366087</v>
      </c>
      <c r="BA68" s="10">
        <f t="shared" ca="1" si="61"/>
        <v>0.85355095005378057</v>
      </c>
      <c r="BB68" s="10">
        <f t="shared" ca="1" si="61"/>
        <v>0.85161219865338544</v>
      </c>
      <c r="BC68" s="10">
        <f t="shared" ca="1" si="61"/>
        <v>0.8567615516364212</v>
      </c>
      <c r="BD68" s="10">
        <f t="shared" ca="1" si="61"/>
        <v>0.87032395476055979</v>
      </c>
      <c r="BE68" s="10">
        <f t="shared" ca="1" si="61"/>
        <v>0.87252413546940488</v>
      </c>
      <c r="BF68" s="10">
        <f t="shared" ca="1" si="61"/>
        <v>0.87965986288846532</v>
      </c>
      <c r="BG68" s="10">
        <f t="shared" ca="1" si="61"/>
        <v>0.88532279481846909</v>
      </c>
      <c r="BH68" s="10">
        <f t="shared" ca="1" si="61"/>
        <v>0.88863088878470187</v>
      </c>
      <c r="BI68" s="10">
        <f t="shared" ca="1" si="61"/>
        <v>0.89732782156753699</v>
      </c>
      <c r="BJ68" s="10">
        <f t="shared" ca="1" si="61"/>
        <v>0.90759439620320481</v>
      </c>
      <c r="BK68" s="10">
        <f t="shared" ca="1" si="61"/>
        <v>0.90520752810419847</v>
      </c>
      <c r="BL68" s="10">
        <f t="shared" ca="1" si="61"/>
        <v>0.90268363263198892</v>
      </c>
      <c r="BM68" s="10">
        <f t="shared" ca="1" si="61"/>
        <v>0.91978413701144413</v>
      </c>
      <c r="BN68" s="10">
        <f t="shared" ca="1" si="61"/>
        <v>0.91861605498258903</v>
      </c>
      <c r="BO68" s="10">
        <f t="shared" ca="1" si="61"/>
        <v>0.91543219243043294</v>
      </c>
      <c r="BP68" s="10">
        <f t="shared" ca="1" si="61"/>
        <v>0.9284570084665974</v>
      </c>
      <c r="BQ68" s="10">
        <f t="shared" ca="1" si="61"/>
        <v>0.92827460165274978</v>
      </c>
      <c r="BR68" s="10">
        <f t="shared" ca="1" si="61"/>
        <v>0.92504736226467998</v>
      </c>
      <c r="BS68" s="10">
        <f t="shared" ref="BS68:CD68" ca="1" si="62">BS69/(1+LiborTenor*BS21)</f>
        <v>0.9429037248965243</v>
      </c>
      <c r="BT68" s="10">
        <f t="shared" ca="1" si="62"/>
        <v>0.94538055926495401</v>
      </c>
      <c r="BU68" s="10">
        <f t="shared" ca="1" si="62"/>
        <v>0.94760588879065133</v>
      </c>
      <c r="BV68" s="10">
        <f t="shared" ca="1" si="62"/>
        <v>0.95803131788197515</v>
      </c>
      <c r="BW68" s="10">
        <f t="shared" ca="1" si="62"/>
        <v>0.96111582047483712</v>
      </c>
      <c r="BX68" s="10">
        <f t="shared" ca="1" si="62"/>
        <v>0.96202883459012978</v>
      </c>
      <c r="BY68" s="10">
        <f t="shared" ca="1" si="62"/>
        <v>0.97424388472468559</v>
      </c>
      <c r="BZ68" s="10">
        <f t="shared" ca="1" si="62"/>
        <v>0.9723921706337405</v>
      </c>
      <c r="CA68" s="10">
        <f t="shared" ca="1" si="62"/>
        <v>0.97337311321709885</v>
      </c>
      <c r="CB68" s="10">
        <f t="shared" ca="1" si="62"/>
        <v>0.98621566228996926</v>
      </c>
      <c r="CC68" s="10">
        <f t="shared" ca="1" si="62"/>
        <v>0.98629508731000426</v>
      </c>
      <c r="CD68" s="10">
        <f t="shared" ca="1" si="62"/>
        <v>0.98611074951792099</v>
      </c>
      <c r="CE68" s="10">
        <v>1</v>
      </c>
      <c r="CF68" s="10">
        <v>1</v>
      </c>
      <c r="CG68" s="10">
        <v>1</v>
      </c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  <c r="CW68" s="10"/>
      <c r="CX68" s="10"/>
      <c r="CY68" s="10"/>
      <c r="CZ68" s="10"/>
      <c r="DA68" s="10"/>
      <c r="DB68" s="10"/>
      <c r="DC68" s="10"/>
      <c r="DD68" s="10"/>
      <c r="DE68" s="10"/>
      <c r="DF68" s="10"/>
      <c r="DG68" s="10"/>
      <c r="DH68" s="10"/>
      <c r="DI68" s="10"/>
      <c r="DJ68" s="10"/>
      <c r="DK68" s="10"/>
      <c r="DL68" s="10"/>
      <c r="DM68" s="10"/>
      <c r="DN68" s="10"/>
      <c r="DO68" s="10"/>
      <c r="DP68" s="10"/>
      <c r="DQ68" s="10"/>
      <c r="DR68" s="10"/>
      <c r="DS68" s="10"/>
      <c r="DT68" s="10"/>
      <c r="DU68" s="10"/>
      <c r="DV68" s="10"/>
      <c r="DW68" s="10"/>
    </row>
    <row r="69" spans="3:127" x14ac:dyDescent="0.25">
      <c r="C69" s="6"/>
      <c r="F69" s="23">
        <f t="shared" si="13"/>
        <v>6.25</v>
      </c>
      <c r="G69" s="10">
        <f t="shared" ref="G69:AL69" si="63">G70/(1+LiborTenor*G22)</f>
        <v>0.75230217127964494</v>
      </c>
      <c r="H69" s="10">
        <f t="shared" ca="1" si="63"/>
        <v>0.75296114066891673</v>
      </c>
      <c r="I69" s="10">
        <f t="shared" ca="1" si="63"/>
        <v>0.75256998714121381</v>
      </c>
      <c r="J69" s="10">
        <f t="shared" ca="1" si="63"/>
        <v>0.75926036980648037</v>
      </c>
      <c r="K69" s="10">
        <f t="shared" ca="1" si="63"/>
        <v>0.76481410804769834</v>
      </c>
      <c r="L69" s="10">
        <f t="shared" ca="1" si="63"/>
        <v>0.77216214116718174</v>
      </c>
      <c r="M69" s="10">
        <f t="shared" ca="1" si="63"/>
        <v>0.75713008378120694</v>
      </c>
      <c r="N69" s="10">
        <f t="shared" ca="1" si="63"/>
        <v>0.76761915158965488</v>
      </c>
      <c r="O69" s="10">
        <f t="shared" ca="1" si="63"/>
        <v>0.75905086086870621</v>
      </c>
      <c r="P69" s="10">
        <f t="shared" ca="1" si="63"/>
        <v>0.76579779300982709</v>
      </c>
      <c r="Q69" s="10">
        <f t="shared" ca="1" si="63"/>
        <v>0.77284899524626371</v>
      </c>
      <c r="R69" s="10">
        <f t="shared" ca="1" si="63"/>
        <v>0.76636518725196889</v>
      </c>
      <c r="S69" s="10">
        <f t="shared" ca="1" si="63"/>
        <v>0.75377365607372515</v>
      </c>
      <c r="T69" s="10">
        <f t="shared" ca="1" si="63"/>
        <v>0.7675981282232196</v>
      </c>
      <c r="U69" s="10">
        <f t="shared" ca="1" si="63"/>
        <v>0.76826654724864962</v>
      </c>
      <c r="V69" s="10">
        <f t="shared" ca="1" si="63"/>
        <v>0.77546401316390545</v>
      </c>
      <c r="W69" s="10">
        <f t="shared" ca="1" si="63"/>
        <v>0.80130352785598846</v>
      </c>
      <c r="X69" s="10">
        <f t="shared" ca="1" si="63"/>
        <v>0.79690390898930552</v>
      </c>
      <c r="Y69" s="10">
        <f t="shared" ca="1" si="63"/>
        <v>0.8006023719362193</v>
      </c>
      <c r="Z69" s="10">
        <f t="shared" ca="1" si="63"/>
        <v>0.80396920560937168</v>
      </c>
      <c r="AA69" s="10">
        <f t="shared" ca="1" si="63"/>
        <v>0.79964007311892626</v>
      </c>
      <c r="AB69" s="10">
        <f t="shared" ca="1" si="63"/>
        <v>0.80032597482433043</v>
      </c>
      <c r="AC69" s="10">
        <f t="shared" ca="1" si="63"/>
        <v>0.81445263682189661</v>
      </c>
      <c r="AD69" s="10">
        <f t="shared" ca="1" si="63"/>
        <v>0.81654532702195681</v>
      </c>
      <c r="AE69" s="10">
        <f t="shared" ca="1" si="63"/>
        <v>0.80532868558587667</v>
      </c>
      <c r="AF69" s="10">
        <f t="shared" ca="1" si="63"/>
        <v>0.81395660708305728</v>
      </c>
      <c r="AG69" s="10">
        <f t="shared" ca="1" si="63"/>
        <v>0.81104226857800443</v>
      </c>
      <c r="AH69" s="10">
        <f t="shared" ca="1" si="63"/>
        <v>0.80768512639643331</v>
      </c>
      <c r="AI69" s="10">
        <f t="shared" ca="1" si="63"/>
        <v>0.80732038197594258</v>
      </c>
      <c r="AJ69" s="10">
        <f t="shared" ca="1" si="63"/>
        <v>0.80488226621843151</v>
      </c>
      <c r="AK69" s="10">
        <f t="shared" ca="1" si="63"/>
        <v>0.79652194246776375</v>
      </c>
      <c r="AL69" s="10">
        <f t="shared" ca="1" si="63"/>
        <v>0.80464419516346875</v>
      </c>
      <c r="AM69" s="10">
        <f t="shared" ref="AM69:BR69" ca="1" si="64">AM70/(1+LiborTenor*AM22)</f>
        <v>0.80590167180308581</v>
      </c>
      <c r="AN69" s="10">
        <f t="shared" ca="1" si="64"/>
        <v>0.8194495150339336</v>
      </c>
      <c r="AO69" s="10">
        <f t="shared" ca="1" si="64"/>
        <v>0.8343644442262298</v>
      </c>
      <c r="AP69" s="10">
        <f t="shared" ca="1" si="64"/>
        <v>0.84171454198116036</v>
      </c>
      <c r="AQ69" s="10">
        <f t="shared" ca="1" si="64"/>
        <v>0.8377878731811369</v>
      </c>
      <c r="AR69" s="10">
        <f t="shared" ca="1" si="64"/>
        <v>0.84392503352837656</v>
      </c>
      <c r="AS69" s="10">
        <f t="shared" ca="1" si="64"/>
        <v>0.84773004365340909</v>
      </c>
      <c r="AT69" s="10">
        <f t="shared" ca="1" si="64"/>
        <v>0.849342084376707</v>
      </c>
      <c r="AU69" s="10">
        <f t="shared" ca="1" si="64"/>
        <v>0.85645345234919157</v>
      </c>
      <c r="AV69" s="10">
        <f t="shared" ca="1" si="64"/>
        <v>0.85558197357214905</v>
      </c>
      <c r="AW69" s="10">
        <f t="shared" ca="1" si="64"/>
        <v>0.8505985177807156</v>
      </c>
      <c r="AX69" s="10">
        <f t="shared" ca="1" si="64"/>
        <v>0.86790453355556374</v>
      </c>
      <c r="AY69" s="10">
        <f t="shared" ca="1" si="64"/>
        <v>0.86445975257348173</v>
      </c>
      <c r="AZ69" s="10">
        <f t="shared" ca="1" si="64"/>
        <v>0.86152963113951531</v>
      </c>
      <c r="BA69" s="10">
        <f t="shared" ca="1" si="64"/>
        <v>0.86718047721389735</v>
      </c>
      <c r="BB69" s="10">
        <f t="shared" ca="1" si="64"/>
        <v>0.86538779805308086</v>
      </c>
      <c r="BC69" s="10">
        <f t="shared" ca="1" si="64"/>
        <v>0.87015332278014468</v>
      </c>
      <c r="BD69" s="10">
        <f t="shared" ca="1" si="64"/>
        <v>0.88389339081942997</v>
      </c>
      <c r="BE69" s="10">
        <f t="shared" ca="1" si="64"/>
        <v>0.88590353964124979</v>
      </c>
      <c r="BF69" s="10">
        <f t="shared" ca="1" si="64"/>
        <v>0.89241585160432135</v>
      </c>
      <c r="BG69" s="10">
        <f t="shared" ca="1" si="64"/>
        <v>0.89894903177827024</v>
      </c>
      <c r="BH69" s="10">
        <f t="shared" ca="1" si="64"/>
        <v>0.90192275495258745</v>
      </c>
      <c r="BI69" s="10">
        <f t="shared" ca="1" si="64"/>
        <v>0.9097303452664034</v>
      </c>
      <c r="BJ69" s="10">
        <f t="shared" ca="1" si="64"/>
        <v>0.92037403062275613</v>
      </c>
      <c r="BK69" s="10">
        <f t="shared" ca="1" si="64"/>
        <v>0.91827722381087806</v>
      </c>
      <c r="BL69" s="10">
        <f t="shared" ca="1" si="64"/>
        <v>0.91605856715802125</v>
      </c>
      <c r="BM69" s="10">
        <f t="shared" ca="1" si="64"/>
        <v>0.93278373336829801</v>
      </c>
      <c r="BN69" s="10">
        <f t="shared" ca="1" si="64"/>
        <v>0.93178604900702078</v>
      </c>
      <c r="BO69" s="10">
        <f t="shared" ca="1" si="64"/>
        <v>0.92906430285108488</v>
      </c>
      <c r="BP69" s="10">
        <f t="shared" ca="1" si="64"/>
        <v>0.94236878897893306</v>
      </c>
      <c r="BQ69" s="10">
        <f t="shared" ca="1" si="64"/>
        <v>0.94221933238679856</v>
      </c>
      <c r="BR69" s="10">
        <f t="shared" ca="1" si="64"/>
        <v>0.93956641887622427</v>
      </c>
      <c r="BS69" s="10">
        <f t="shared" ref="BS69:CA69" ca="1" si="65">BS70/(1+LiborTenor*BS22)</f>
        <v>0.95687798303108251</v>
      </c>
      <c r="BT69" s="10">
        <f t="shared" ca="1" si="65"/>
        <v>0.95878634423842779</v>
      </c>
      <c r="BU69" s="10">
        <f t="shared" ca="1" si="65"/>
        <v>0.96049890596733434</v>
      </c>
      <c r="BV69" s="10">
        <f t="shared" ca="1" si="65"/>
        <v>0.97182761554931918</v>
      </c>
      <c r="BW69" s="10">
        <f t="shared" ca="1" si="65"/>
        <v>0.97393918644732658</v>
      </c>
      <c r="BX69" s="10">
        <f t="shared" ca="1" si="65"/>
        <v>0.9745632659440836</v>
      </c>
      <c r="BY69" s="10">
        <f t="shared" ca="1" si="65"/>
        <v>0.98704360421492099</v>
      </c>
      <c r="BZ69" s="10">
        <f t="shared" ca="1" si="65"/>
        <v>0.98609335372027096</v>
      </c>
      <c r="CA69" s="10">
        <f t="shared" ca="1" si="65"/>
        <v>0.98659744978868424</v>
      </c>
      <c r="CB69" s="10">
        <v>1</v>
      </c>
      <c r="CC69" s="10">
        <v>1</v>
      </c>
      <c r="CD69" s="10">
        <v>1</v>
      </c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</row>
    <row r="70" spans="3:127" x14ac:dyDescent="0.25">
      <c r="C70" s="6"/>
      <c r="F70" s="23">
        <f t="shared" si="13"/>
        <v>6</v>
      </c>
      <c r="G70" s="10">
        <f t="shared" ref="G70:AL70" si="66">G71/(1+LiborTenor*G23)</f>
        <v>0.76170594842064043</v>
      </c>
      <c r="H70" s="10">
        <f t="shared" ca="1" si="66"/>
        <v>0.76264350478806864</v>
      </c>
      <c r="I70" s="10">
        <f t="shared" ca="1" si="66"/>
        <v>0.76226444246040681</v>
      </c>
      <c r="J70" s="10">
        <f t="shared" ca="1" si="66"/>
        <v>0.76877460120663654</v>
      </c>
      <c r="K70" s="10">
        <f t="shared" ca="1" si="66"/>
        <v>0.77448923151534654</v>
      </c>
      <c r="L70" s="10">
        <f t="shared" ca="1" si="66"/>
        <v>0.78162778045011994</v>
      </c>
      <c r="M70" s="10">
        <f t="shared" ca="1" si="66"/>
        <v>0.76702935225539959</v>
      </c>
      <c r="N70" s="10">
        <f t="shared" ca="1" si="66"/>
        <v>0.77755762973717468</v>
      </c>
      <c r="O70" s="10">
        <f t="shared" ca="1" si="66"/>
        <v>0.76924146719578224</v>
      </c>
      <c r="P70" s="10">
        <f t="shared" ca="1" si="66"/>
        <v>0.77579489976345983</v>
      </c>
      <c r="Q70" s="10">
        <f t="shared" ca="1" si="66"/>
        <v>0.78299695441625605</v>
      </c>
      <c r="R70" s="10">
        <f t="shared" ca="1" si="66"/>
        <v>0.77671287070171646</v>
      </c>
      <c r="S70" s="10">
        <f t="shared" ca="1" si="66"/>
        <v>0.76449861184270018</v>
      </c>
      <c r="T70" s="10">
        <f t="shared" ca="1" si="66"/>
        <v>0.77830979089458163</v>
      </c>
      <c r="U70" s="10">
        <f t="shared" ca="1" si="66"/>
        <v>0.77895908795621749</v>
      </c>
      <c r="V70" s="10">
        <f t="shared" ca="1" si="66"/>
        <v>0.78593164948342054</v>
      </c>
      <c r="W70" s="10">
        <f t="shared" ca="1" si="66"/>
        <v>0.81131678834682464</v>
      </c>
      <c r="X70" s="10">
        <f t="shared" ca="1" si="66"/>
        <v>0.80707480740375914</v>
      </c>
      <c r="Y70" s="10">
        <f t="shared" ca="1" si="66"/>
        <v>0.81064409614052058</v>
      </c>
      <c r="Z70" s="10">
        <f t="shared" ca="1" si="66"/>
        <v>0.81432489963827093</v>
      </c>
      <c r="AA70" s="10">
        <f t="shared" ca="1" si="66"/>
        <v>0.8101585486944094</v>
      </c>
      <c r="AB70" s="10">
        <f t="shared" ca="1" si="66"/>
        <v>0.81082054839111861</v>
      </c>
      <c r="AC70" s="10">
        <f t="shared" ca="1" si="66"/>
        <v>0.82487906994601667</v>
      </c>
      <c r="AD70" s="10">
        <f t="shared" ca="1" si="66"/>
        <v>0.82688849974185963</v>
      </c>
      <c r="AE70" s="10">
        <f t="shared" ca="1" si="66"/>
        <v>0.81612464285864295</v>
      </c>
      <c r="AF70" s="10">
        <f t="shared" ca="1" si="66"/>
        <v>0.82493435310087115</v>
      </c>
      <c r="AG70" s="10">
        <f t="shared" ca="1" si="66"/>
        <v>0.82214504277033407</v>
      </c>
      <c r="AH70" s="10">
        <f t="shared" ca="1" si="66"/>
        <v>0.81893058050048251</v>
      </c>
      <c r="AI70" s="10">
        <f t="shared" ca="1" si="66"/>
        <v>0.81919929116246737</v>
      </c>
      <c r="AJ70" s="10">
        <f t="shared" ca="1" si="66"/>
        <v>0.81687081582029786</v>
      </c>
      <c r="AK70" s="10">
        <f t="shared" ca="1" si="66"/>
        <v>0.80887862017408663</v>
      </c>
      <c r="AL70" s="10">
        <f t="shared" ca="1" si="66"/>
        <v>0.81736317133896541</v>
      </c>
      <c r="AM70" s="10">
        <f t="shared" ref="AM70:BR70" ca="1" si="67">AM71/(1+LiborTenor*AM23)</f>
        <v>0.81856289037781804</v>
      </c>
      <c r="AN70" s="10">
        <f t="shared" ca="1" si="67"/>
        <v>0.83146396157922753</v>
      </c>
      <c r="AO70" s="10">
        <f t="shared" ca="1" si="67"/>
        <v>0.84635472205022388</v>
      </c>
      <c r="AP70" s="10">
        <f t="shared" ca="1" si="67"/>
        <v>0.85329997148347392</v>
      </c>
      <c r="AQ70" s="10">
        <f t="shared" ca="1" si="67"/>
        <v>0.84959392964427116</v>
      </c>
      <c r="AR70" s="10">
        <f t="shared" ca="1" si="67"/>
        <v>0.85619692017520876</v>
      </c>
      <c r="AS70" s="10">
        <f t="shared" ca="1" si="67"/>
        <v>0.85977009584518793</v>
      </c>
      <c r="AT70" s="10">
        <f t="shared" ca="1" si="67"/>
        <v>0.86128375912410815</v>
      </c>
      <c r="AU70" s="10">
        <f t="shared" ca="1" si="67"/>
        <v>0.86884665103547742</v>
      </c>
      <c r="AV70" s="10">
        <f t="shared" ca="1" si="67"/>
        <v>0.8680362638025505</v>
      </c>
      <c r="AW70" s="10">
        <f t="shared" ca="1" si="67"/>
        <v>0.86339540742503829</v>
      </c>
      <c r="AX70" s="10">
        <f t="shared" ca="1" si="67"/>
        <v>0.88050876237525622</v>
      </c>
      <c r="AY70" s="10">
        <f t="shared" ca="1" si="67"/>
        <v>0.87733317504443697</v>
      </c>
      <c r="AZ70" s="10">
        <f t="shared" ca="1" si="67"/>
        <v>0.87463054219401382</v>
      </c>
      <c r="BA70" s="10">
        <f t="shared" ca="1" si="67"/>
        <v>0.88110010876581968</v>
      </c>
      <c r="BB70" s="10">
        <f t="shared" ca="1" si="67"/>
        <v>0.87946405205981715</v>
      </c>
      <c r="BC70" s="10">
        <f t="shared" ca="1" si="67"/>
        <v>0.88381711787493156</v>
      </c>
      <c r="BD70" s="10">
        <f t="shared" ca="1" si="67"/>
        <v>0.89773675898047556</v>
      </c>
      <c r="BE70" s="10">
        <f t="shared" ca="1" si="67"/>
        <v>0.899543276925166</v>
      </c>
      <c r="BF70" s="10">
        <f t="shared" ca="1" si="67"/>
        <v>0.90538932835040487</v>
      </c>
      <c r="BG70" s="10">
        <f t="shared" ca="1" si="67"/>
        <v>0.91284085036009566</v>
      </c>
      <c r="BH70" s="10">
        <f t="shared" ca="1" si="67"/>
        <v>0.91545724490591462</v>
      </c>
      <c r="BI70" s="10">
        <f t="shared" ca="1" si="67"/>
        <v>0.92231737576952255</v>
      </c>
      <c r="BJ70" s="10">
        <f t="shared" ca="1" si="67"/>
        <v>0.93335324673261522</v>
      </c>
      <c r="BK70" s="10">
        <f t="shared" ca="1" si="67"/>
        <v>0.93156424536494087</v>
      </c>
      <c r="BL70" s="10">
        <f t="shared" ca="1" si="67"/>
        <v>0.92966999600493749</v>
      </c>
      <c r="BM70" s="10">
        <f t="shared" ca="1" si="67"/>
        <v>0.94598708019282507</v>
      </c>
      <c r="BN70" s="10">
        <f t="shared" ca="1" si="67"/>
        <v>0.94516998807575225</v>
      </c>
      <c r="BO70" s="10">
        <f t="shared" ca="1" si="67"/>
        <v>0.94293894176176773</v>
      </c>
      <c r="BP70" s="10">
        <f t="shared" ca="1" si="67"/>
        <v>0.95653145220086999</v>
      </c>
      <c r="BQ70" s="10">
        <f t="shared" ca="1" si="67"/>
        <v>0.9564168138236856</v>
      </c>
      <c r="BR70" s="10">
        <f t="shared" ca="1" si="67"/>
        <v>0.95437505772924947</v>
      </c>
      <c r="BS70" s="10">
        <f t="shared" ref="BS70:BX70" ca="1" si="68">BS71/(1+LiborTenor*BS23)</f>
        <v>0.97109610193512919</v>
      </c>
      <c r="BT70" s="10">
        <f t="shared" ca="1" si="68"/>
        <v>0.97240090174422522</v>
      </c>
      <c r="BU70" s="10">
        <f t="shared" ca="1" si="68"/>
        <v>0.97357041788735876</v>
      </c>
      <c r="BV70" s="10">
        <f t="shared" ca="1" si="68"/>
        <v>0.98584619802788354</v>
      </c>
      <c r="BW70" s="10">
        <f t="shared" ca="1" si="68"/>
        <v>0.98692793117668565</v>
      </c>
      <c r="BX70" s="10">
        <f t="shared" ca="1" si="68"/>
        <v>0.9872471464321676</v>
      </c>
      <c r="BY70" s="10">
        <v>1</v>
      </c>
      <c r="BZ70" s="10">
        <v>1</v>
      </c>
      <c r="CA70" s="10">
        <v>1</v>
      </c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/>
      <c r="DB70" s="10"/>
      <c r="DC70" s="10"/>
      <c r="DD70" s="10"/>
      <c r="DE70" s="10"/>
      <c r="DF70" s="10"/>
      <c r="DG70" s="10"/>
      <c r="DH70" s="10"/>
      <c r="DI70" s="10"/>
      <c r="DJ70" s="10"/>
      <c r="DK70" s="10"/>
      <c r="DL70" s="10"/>
      <c r="DM70" s="10"/>
      <c r="DN70" s="10"/>
      <c r="DO70" s="10"/>
      <c r="DP70" s="10"/>
      <c r="DQ70" s="10"/>
      <c r="DR70" s="10"/>
      <c r="DS70" s="10"/>
      <c r="DT70" s="10"/>
      <c r="DU70" s="10"/>
      <c r="DV70" s="10"/>
      <c r="DW70" s="10"/>
    </row>
    <row r="71" spans="3:127" x14ac:dyDescent="0.25">
      <c r="C71" s="6"/>
      <c r="F71" s="23">
        <f t="shared" si="13"/>
        <v>5.75</v>
      </c>
      <c r="G71" s="10">
        <f t="shared" ref="G71:AL71" si="69">G72/(1+LiborTenor*G24)</f>
        <v>0.77116776449867808</v>
      </c>
      <c r="H71" s="10">
        <f t="shared" ca="1" si="69"/>
        <v>0.77239611288374554</v>
      </c>
      <c r="I71" s="10">
        <f t="shared" ca="1" si="69"/>
        <v>0.7720297587454662</v>
      </c>
      <c r="J71" s="10">
        <f t="shared" ca="1" si="69"/>
        <v>0.77834797435860847</v>
      </c>
      <c r="K71" s="10">
        <f t="shared" ca="1" si="69"/>
        <v>0.78422788343863747</v>
      </c>
      <c r="L71" s="10">
        <f t="shared" ca="1" si="69"/>
        <v>0.7911438762251618</v>
      </c>
      <c r="M71" s="10">
        <f t="shared" ca="1" si="69"/>
        <v>0.77700536052904057</v>
      </c>
      <c r="N71" s="10">
        <f t="shared" ca="1" si="69"/>
        <v>0.78756918818616151</v>
      </c>
      <c r="O71" s="10">
        <f t="shared" ca="1" si="69"/>
        <v>0.77952117260773446</v>
      </c>
      <c r="P71" s="10">
        <f t="shared" ca="1" si="69"/>
        <v>0.78586815598002169</v>
      </c>
      <c r="Q71" s="10">
        <f t="shared" ca="1" si="69"/>
        <v>0.79322436182777167</v>
      </c>
      <c r="R71" s="10">
        <f t="shared" ca="1" si="69"/>
        <v>0.78715266840023035</v>
      </c>
      <c r="S71" s="10">
        <f t="shared" ca="1" si="69"/>
        <v>0.77534092467139748</v>
      </c>
      <c r="T71" s="10">
        <f t="shared" ca="1" si="69"/>
        <v>0.78913007734302654</v>
      </c>
      <c r="U71" s="10">
        <f t="shared" ca="1" si="69"/>
        <v>0.78975874941940616</v>
      </c>
      <c r="V71" s="10">
        <f t="shared" ca="1" si="69"/>
        <v>0.79649112228449326</v>
      </c>
      <c r="W71" s="10">
        <f t="shared" ca="1" si="69"/>
        <v>0.82138680889421223</v>
      </c>
      <c r="X71" s="10">
        <f t="shared" ca="1" si="69"/>
        <v>0.81731144388108068</v>
      </c>
      <c r="Y71" s="10">
        <f t="shared" ca="1" si="69"/>
        <v>0.82074378598401077</v>
      </c>
      <c r="Z71" s="10">
        <f t="shared" ca="1" si="69"/>
        <v>0.82475077463030821</v>
      </c>
      <c r="AA71" s="10">
        <f t="shared" ca="1" si="69"/>
        <v>0.82075670591422567</v>
      </c>
      <c r="AB71" s="10">
        <f t="shared" ca="1" si="69"/>
        <v>0.8213931768579944</v>
      </c>
      <c r="AC71" s="10">
        <f t="shared" ca="1" si="69"/>
        <v>0.83537306577662596</v>
      </c>
      <c r="AD71" s="10">
        <f t="shared" ca="1" si="69"/>
        <v>0.83729429318527593</v>
      </c>
      <c r="AE71" s="10">
        <f t="shared" ca="1" si="69"/>
        <v>0.82700922574852676</v>
      </c>
      <c r="AF71" s="10">
        <f t="shared" ca="1" si="69"/>
        <v>0.83600466123464656</v>
      </c>
      <c r="AG71" s="10">
        <f t="shared" ca="1" si="69"/>
        <v>0.83334778952284316</v>
      </c>
      <c r="AH71" s="10">
        <f t="shared" ca="1" si="69"/>
        <v>0.83028465643677496</v>
      </c>
      <c r="AI71" s="10">
        <f t="shared" ca="1" si="69"/>
        <v>0.83121880360550382</v>
      </c>
      <c r="AJ71" s="10">
        <f t="shared" ca="1" si="69"/>
        <v>0.82900703630499528</v>
      </c>
      <c r="AK71" s="10">
        <f t="shared" ca="1" si="69"/>
        <v>0.8214078294580861</v>
      </c>
      <c r="AL71" s="10">
        <f t="shared" ca="1" si="69"/>
        <v>0.83026944286646076</v>
      </c>
      <c r="AM71" s="10">
        <f t="shared" ref="AM71:BR71" ca="1" si="70">AM72/(1+LiborTenor*AM24)</f>
        <v>0.83140706687119426</v>
      </c>
      <c r="AN71" s="10">
        <f t="shared" ca="1" si="70"/>
        <v>0.84361667071683843</v>
      </c>
      <c r="AO71" s="10">
        <f t="shared" ca="1" si="70"/>
        <v>0.85847294879154945</v>
      </c>
      <c r="AP71" s="10">
        <f t="shared" ca="1" si="70"/>
        <v>0.86498849526814015</v>
      </c>
      <c r="AQ71" s="10">
        <f t="shared" ca="1" si="70"/>
        <v>0.86151588318124661</v>
      </c>
      <c r="AR71" s="10">
        <f t="shared" ca="1" si="70"/>
        <v>0.86860448912000354</v>
      </c>
      <c r="AS71" s="10">
        <f t="shared" ca="1" si="70"/>
        <v>0.8719314908806336</v>
      </c>
      <c r="AT71" s="10">
        <f t="shared" ca="1" si="70"/>
        <v>0.87334072330959034</v>
      </c>
      <c r="AU71" s="10">
        <f t="shared" ca="1" si="70"/>
        <v>0.88137355215658231</v>
      </c>
      <c r="AV71" s="10">
        <f t="shared" ca="1" si="70"/>
        <v>0.88062770596277429</v>
      </c>
      <c r="AW71" s="10">
        <f t="shared" ca="1" si="70"/>
        <v>0.87635009881153558</v>
      </c>
      <c r="AX71" s="10">
        <f t="shared" ca="1" si="70"/>
        <v>0.89324977598685251</v>
      </c>
      <c r="AY71" s="10">
        <f t="shared" ca="1" si="70"/>
        <v>0.89035917956898869</v>
      </c>
      <c r="AZ71" s="10">
        <f t="shared" ca="1" si="70"/>
        <v>0.88789772005195455</v>
      </c>
      <c r="BA71" s="10">
        <f t="shared" ca="1" si="70"/>
        <v>0.89522710869273359</v>
      </c>
      <c r="BB71" s="10">
        <f t="shared" ca="1" si="70"/>
        <v>0.89375763093142357</v>
      </c>
      <c r="BC71" s="10">
        <f t="shared" ca="1" si="70"/>
        <v>0.89767105742836029</v>
      </c>
      <c r="BD71" s="10">
        <f t="shared" ca="1" si="70"/>
        <v>0.91177100579133097</v>
      </c>
      <c r="BE71" s="10">
        <f t="shared" ca="1" si="70"/>
        <v>0.91336105967941084</v>
      </c>
      <c r="BF71" s="10">
        <f t="shared" ca="1" si="70"/>
        <v>0.91850072758781165</v>
      </c>
      <c r="BG71" s="10">
        <f t="shared" ca="1" si="70"/>
        <v>0.92691435109224152</v>
      </c>
      <c r="BH71" s="10">
        <f t="shared" ca="1" si="70"/>
        <v>0.92915189757089867</v>
      </c>
      <c r="BI71" s="10">
        <f t="shared" ca="1" si="70"/>
        <v>0.93501061130442686</v>
      </c>
      <c r="BJ71" s="10">
        <f t="shared" ca="1" si="70"/>
        <v>0.94645160008863871</v>
      </c>
      <c r="BK71" s="10">
        <f t="shared" ca="1" si="70"/>
        <v>0.94498668685021747</v>
      </c>
      <c r="BL71" s="10">
        <f t="shared" ca="1" si="70"/>
        <v>0.94343452390014848</v>
      </c>
      <c r="BM71" s="10">
        <f t="shared" ca="1" si="70"/>
        <v>0.95931227921014872</v>
      </c>
      <c r="BN71" s="10">
        <f t="shared" ca="1" si="70"/>
        <v>0.95868509872138863</v>
      </c>
      <c r="BO71" s="10">
        <f t="shared" ca="1" si="70"/>
        <v>0.95697106179954483</v>
      </c>
      <c r="BP71" s="10">
        <f t="shared" ca="1" si="70"/>
        <v>0.9708582994680387</v>
      </c>
      <c r="BQ71" s="10">
        <f t="shared" ca="1" si="70"/>
        <v>0.97078016526770661</v>
      </c>
      <c r="BR71" s="10">
        <f t="shared" ca="1" si="70"/>
        <v>0.96938373837489789</v>
      </c>
      <c r="BS71" s="10">
        <f t="shared" ref="BS71:BU71" ca="1" si="71">BS72/(1+LiborTenor*BS24)</f>
        <v>0.98547060273342746</v>
      </c>
      <c r="BT71" s="10">
        <f t="shared" ca="1" si="71"/>
        <v>0.98613950960823615</v>
      </c>
      <c r="BU71" s="10">
        <f t="shared" ca="1" si="71"/>
        <v>0.98673832978503195</v>
      </c>
      <c r="BV71" s="10">
        <v>1</v>
      </c>
      <c r="BW71" s="10">
        <v>1</v>
      </c>
      <c r="BX71" s="10">
        <v>1</v>
      </c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W71" s="10"/>
      <c r="CX71" s="10"/>
      <c r="CY71" s="10"/>
      <c r="CZ71" s="10"/>
      <c r="DA71" s="10"/>
      <c r="DB71" s="10"/>
      <c r="DC71" s="10"/>
      <c r="DD71" s="10"/>
      <c r="DE71" s="10"/>
      <c r="DF71" s="10"/>
      <c r="DG71" s="10"/>
      <c r="DH71" s="10"/>
      <c r="DI71" s="10"/>
      <c r="DJ71" s="10"/>
      <c r="DK71" s="10"/>
      <c r="DL71" s="10"/>
      <c r="DM71" s="10"/>
      <c r="DN71" s="10"/>
      <c r="DO71" s="10"/>
      <c r="DP71" s="10"/>
      <c r="DQ71" s="10"/>
      <c r="DR71" s="10"/>
      <c r="DS71" s="10"/>
      <c r="DT71" s="10"/>
      <c r="DU71" s="10"/>
      <c r="DV71" s="10"/>
      <c r="DW71" s="10"/>
    </row>
    <row r="72" spans="3:127" x14ac:dyDescent="0.25">
      <c r="C72" s="6"/>
      <c r="F72" s="23">
        <f t="shared" si="13"/>
        <v>5.5</v>
      </c>
      <c r="G72" s="10">
        <f t="shared" ref="G72:AL72" si="72">G73/(1+LiborTenor*G25)</f>
        <v>0.78068686659170872</v>
      </c>
      <c r="H72" s="10">
        <f t="shared" ca="1" si="72"/>
        <v>0.78221838147174394</v>
      </c>
      <c r="I72" s="10">
        <f t="shared" ca="1" si="72"/>
        <v>0.78186535197796725</v>
      </c>
      <c r="J72" s="10">
        <f t="shared" ca="1" si="72"/>
        <v>0.78797969264794498</v>
      </c>
      <c r="K72" s="10">
        <f t="shared" ca="1" si="72"/>
        <v>0.79402930680834882</v>
      </c>
      <c r="L72" s="10">
        <f t="shared" ca="1" si="72"/>
        <v>0.80070945981815322</v>
      </c>
      <c r="M72" s="10">
        <f t="shared" ca="1" si="72"/>
        <v>0.787057519662136</v>
      </c>
      <c r="N72" s="10">
        <f t="shared" ca="1" si="72"/>
        <v>0.79765313717691311</v>
      </c>
      <c r="O72" s="10">
        <f t="shared" ca="1" si="72"/>
        <v>0.78988957265981852</v>
      </c>
      <c r="P72" s="10">
        <f t="shared" ca="1" si="72"/>
        <v>0.79601688531595105</v>
      </c>
      <c r="Q72" s="10">
        <f t="shared" ca="1" si="72"/>
        <v>0.8035305664275092</v>
      </c>
      <c r="R72" s="10">
        <f t="shared" ca="1" si="72"/>
        <v>0.79768416084920912</v>
      </c>
      <c r="S72" s="10">
        <f t="shared" ca="1" si="72"/>
        <v>0.78630072337549939</v>
      </c>
      <c r="T72" s="10">
        <f t="shared" ca="1" si="72"/>
        <v>0.80005885169141278</v>
      </c>
      <c r="U72" s="10">
        <f t="shared" ca="1" si="72"/>
        <v>0.80066534603477835</v>
      </c>
      <c r="V72" s="10">
        <f t="shared" ca="1" si="72"/>
        <v>0.80714188910384133</v>
      </c>
      <c r="W72" s="10">
        <f t="shared" ca="1" si="72"/>
        <v>0.83151235892582454</v>
      </c>
      <c r="X72" s="10">
        <f t="shared" ca="1" si="72"/>
        <v>0.82761270105161766</v>
      </c>
      <c r="Y72" s="10">
        <f t="shared" ca="1" si="72"/>
        <v>0.83090019761644474</v>
      </c>
      <c r="Z72" s="10">
        <f t="shared" ca="1" si="72"/>
        <v>0.83524572533935837</v>
      </c>
      <c r="AA72" s="10">
        <f t="shared" ca="1" si="72"/>
        <v>0.83143358135261747</v>
      </c>
      <c r="AB72" s="10">
        <f t="shared" ca="1" si="72"/>
        <v>0.83204285542170231</v>
      </c>
      <c r="AC72" s="10">
        <f t="shared" ca="1" si="72"/>
        <v>0.84593340668796935</v>
      </c>
      <c r="AD72" s="10">
        <f t="shared" ca="1" si="72"/>
        <v>0.84776140480268536</v>
      </c>
      <c r="AE72" s="10">
        <f t="shared" ca="1" si="72"/>
        <v>0.83798151870814819</v>
      </c>
      <c r="AF72" s="10">
        <f t="shared" ca="1" si="72"/>
        <v>0.84716664440779654</v>
      </c>
      <c r="AG72" s="10">
        <f t="shared" ca="1" si="72"/>
        <v>0.844649751546653</v>
      </c>
      <c r="AH72" s="10">
        <f t="shared" ca="1" si="72"/>
        <v>0.8417467613657883</v>
      </c>
      <c r="AI72" s="10">
        <f t="shared" ca="1" si="72"/>
        <v>0.84337900759927997</v>
      </c>
      <c r="AJ72" s="10">
        <f t="shared" ca="1" si="72"/>
        <v>0.84129118593532848</v>
      </c>
      <c r="AK72" s="10">
        <f t="shared" ca="1" si="72"/>
        <v>0.83411051422158333</v>
      </c>
      <c r="AL72" s="10">
        <f t="shared" ca="1" si="72"/>
        <v>0.84336432622304169</v>
      </c>
      <c r="AM72" s="10">
        <f t="shared" ref="AM72:BR72" ca="1" si="73">AM73/(1+LiborTenor*AM25)</f>
        <v>0.84443535836758987</v>
      </c>
      <c r="AN72" s="10">
        <f t="shared" ca="1" si="73"/>
        <v>0.85590745398385204</v>
      </c>
      <c r="AO72" s="10">
        <f t="shared" ca="1" si="73"/>
        <v>0.87071861505319037</v>
      </c>
      <c r="AP72" s="10">
        <f t="shared" ca="1" si="73"/>
        <v>0.87677903599866869</v>
      </c>
      <c r="AQ72" s="10">
        <f t="shared" ca="1" si="73"/>
        <v>0.87355289697418714</v>
      </c>
      <c r="AR72" s="10">
        <f t="shared" ca="1" si="73"/>
        <v>0.88114727848398455</v>
      </c>
      <c r="AS72" s="10">
        <f t="shared" ca="1" si="73"/>
        <v>0.8842134155370539</v>
      </c>
      <c r="AT72" s="10">
        <f t="shared" ca="1" si="73"/>
        <v>0.8855120167997611</v>
      </c>
      <c r="AU72" s="10">
        <f t="shared" ca="1" si="73"/>
        <v>0.89403352820193782</v>
      </c>
      <c r="AV72" s="10">
        <f t="shared" ca="1" si="73"/>
        <v>0.89335573494953113</v>
      </c>
      <c r="AW72" s="10">
        <f t="shared" ca="1" si="73"/>
        <v>0.88946251319109093</v>
      </c>
      <c r="AX72" s="10">
        <f t="shared" ca="1" si="73"/>
        <v>0.90612688531128061</v>
      </c>
      <c r="AY72" s="10">
        <f t="shared" ca="1" si="73"/>
        <v>0.90353743305791834</v>
      </c>
      <c r="AZ72" s="10">
        <f t="shared" ca="1" si="73"/>
        <v>0.90133116360447785</v>
      </c>
      <c r="BA72" s="10">
        <f t="shared" ca="1" si="73"/>
        <v>0.90956254488103194</v>
      </c>
      <c r="BB72" s="10">
        <f t="shared" ca="1" si="73"/>
        <v>0.90826989388626711</v>
      </c>
      <c r="BC72" s="10">
        <f t="shared" ca="1" si="73"/>
        <v>0.91171562355369085</v>
      </c>
      <c r="BD72" s="10">
        <f t="shared" ca="1" si="73"/>
        <v>0.9259965344879203</v>
      </c>
      <c r="BE72" s="10">
        <f t="shared" ca="1" si="73"/>
        <v>0.92735690569780538</v>
      </c>
      <c r="BF72" s="10">
        <f t="shared" ca="1" si="73"/>
        <v>0.93174901488969408</v>
      </c>
      <c r="BG72" s="10">
        <f t="shared" ca="1" si="73"/>
        <v>0.94116944970029792</v>
      </c>
      <c r="BH72" s="10">
        <f t="shared" ca="1" si="73"/>
        <v>0.94300604268232846</v>
      </c>
      <c r="BI72" s="10">
        <f t="shared" ca="1" si="73"/>
        <v>0.94780815939098861</v>
      </c>
      <c r="BJ72" s="10">
        <f t="shared" ca="1" si="73"/>
        <v>0.95966735525672242</v>
      </c>
      <c r="BK72" s="10">
        <f t="shared" ca="1" si="73"/>
        <v>0.95854310566029577</v>
      </c>
      <c r="BL72" s="10">
        <f t="shared" ca="1" si="73"/>
        <v>0.95735106494179745</v>
      </c>
      <c r="BM72" s="10">
        <f t="shared" ca="1" si="73"/>
        <v>0.97275749063102535</v>
      </c>
      <c r="BN72" s="10">
        <f t="shared" ca="1" si="73"/>
        <v>0.97232969677321734</v>
      </c>
      <c r="BO72" s="10">
        <f t="shared" ca="1" si="73"/>
        <v>0.97115949957499004</v>
      </c>
      <c r="BP72" s="10">
        <f t="shared" ca="1" si="73"/>
        <v>0.98534822898630414</v>
      </c>
      <c r="BQ72" s="10">
        <f t="shared" ca="1" si="73"/>
        <v>0.98530830235124911</v>
      </c>
      <c r="BR72" s="10">
        <f t="shared" ca="1" si="73"/>
        <v>0.98459219161534328</v>
      </c>
      <c r="BS72" s="10">
        <v>1</v>
      </c>
      <c r="BT72" s="10">
        <v>1</v>
      </c>
      <c r="BU72" s="10">
        <v>1</v>
      </c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W72" s="10"/>
      <c r="CX72" s="10"/>
      <c r="CY72" s="10"/>
      <c r="CZ72" s="10"/>
      <c r="DA72" s="10"/>
      <c r="DB72" s="10"/>
      <c r="DC72" s="10"/>
      <c r="DD72" s="10"/>
      <c r="DE72" s="10"/>
      <c r="DF72" s="10"/>
      <c r="DG72" s="10"/>
      <c r="DH72" s="10"/>
      <c r="DI72" s="10"/>
      <c r="DJ72" s="10"/>
      <c r="DK72" s="10"/>
      <c r="DL72" s="10"/>
      <c r="DM72" s="10"/>
      <c r="DN72" s="10"/>
      <c r="DO72" s="10"/>
      <c r="DP72" s="10"/>
      <c r="DQ72" s="10"/>
      <c r="DR72" s="10"/>
      <c r="DS72" s="10"/>
      <c r="DT72" s="10"/>
      <c r="DU72" s="10"/>
      <c r="DV72" s="10"/>
      <c r="DW72" s="10"/>
    </row>
    <row r="73" spans="3:127" x14ac:dyDescent="0.25">
      <c r="C73" s="6"/>
      <c r="F73" s="23">
        <f t="shared" si="13"/>
        <v>5.25</v>
      </c>
      <c r="G73" s="10">
        <f t="shared" ref="G73:AL73" si="74">G74/(1+LiborTenor*G26)</f>
        <v>0.79026247893974755</v>
      </c>
      <c r="H73" s="10">
        <f t="shared" ca="1" si="74"/>
        <v>0.79210970094379185</v>
      </c>
      <c r="I73" s="10">
        <f t="shared" ca="1" si="74"/>
        <v>0.79177061137594607</v>
      </c>
      <c r="J73" s="10">
        <f t="shared" ca="1" si="74"/>
        <v>0.79766893451567333</v>
      </c>
      <c r="K73" s="10">
        <f t="shared" ca="1" si="74"/>
        <v>0.80389271797253792</v>
      </c>
      <c r="L73" s="10">
        <f t="shared" ca="1" si="74"/>
        <v>0.81032353904373289</v>
      </c>
      <c r="M73" s="10">
        <f t="shared" ca="1" si="74"/>
        <v>0.79718520931409187</v>
      </c>
      <c r="N73" s="10">
        <f t="shared" ca="1" si="74"/>
        <v>0.80780875541151365</v>
      </c>
      <c r="O73" s="10">
        <f t="shared" ca="1" si="74"/>
        <v>0.80034622820022472</v>
      </c>
      <c r="P73" s="10">
        <f t="shared" ca="1" si="74"/>
        <v>0.80624037759328726</v>
      </c>
      <c r="Q73" s="10">
        <f t="shared" ca="1" si="74"/>
        <v>0.81391488189978156</v>
      </c>
      <c r="R73" s="10">
        <f t="shared" ca="1" si="74"/>
        <v>0.80830689079532303</v>
      </c>
      <c r="S73" s="10">
        <f t="shared" ca="1" si="74"/>
        <v>0.79737809793892644</v>
      </c>
      <c r="T73" s="10">
        <f t="shared" ca="1" si="74"/>
        <v>0.81109593692691717</v>
      </c>
      <c r="U73" s="10">
        <f t="shared" ca="1" si="74"/>
        <v>0.81167865019484076</v>
      </c>
      <c r="V73" s="10">
        <f t="shared" ca="1" si="74"/>
        <v>0.81788336524568706</v>
      </c>
      <c r="W73" s="10">
        <f t="shared" ca="1" si="74"/>
        <v>0.84169217265455087</v>
      </c>
      <c r="X73" s="10">
        <f t="shared" ca="1" si="74"/>
        <v>0.83797742227519656</v>
      </c>
      <c r="Y73" s="10">
        <f t="shared" ca="1" si="74"/>
        <v>0.84111205039373405</v>
      </c>
      <c r="Z73" s="10">
        <f t="shared" ca="1" si="74"/>
        <v>0.84580860423467763</v>
      </c>
      <c r="AA73" s="10">
        <f t="shared" ca="1" si="74"/>
        <v>0.8421881656205521</v>
      </c>
      <c r="AB73" s="10">
        <f t="shared" ca="1" si="74"/>
        <v>0.842768533184585</v>
      </c>
      <c r="AC73" s="10">
        <f t="shared" ca="1" si="74"/>
        <v>0.85655883163384816</v>
      </c>
      <c r="AD73" s="10">
        <f t="shared" ca="1" si="74"/>
        <v>0.85828849010121289</v>
      </c>
      <c r="AE73" s="10">
        <f t="shared" ca="1" si="74"/>
        <v>0.84904055403787837</v>
      </c>
      <c r="AF73" s="10">
        <f t="shared" ca="1" si="74"/>
        <v>0.85841936134164554</v>
      </c>
      <c r="AG73" s="10">
        <f t="shared" ca="1" si="74"/>
        <v>0.85605011495371597</v>
      </c>
      <c r="AH73" s="10">
        <f t="shared" ca="1" si="74"/>
        <v>0.85331624357624847</v>
      </c>
      <c r="AI73" s="10">
        <f t="shared" ca="1" si="74"/>
        <v>0.8556799292320455</v>
      </c>
      <c r="AJ73" s="10">
        <f t="shared" ca="1" si="74"/>
        <v>0.85372346046015524</v>
      </c>
      <c r="AK73" s="10">
        <f t="shared" ca="1" si="74"/>
        <v>0.8469875601437572</v>
      </c>
      <c r="AL73" s="10">
        <f t="shared" ca="1" si="74"/>
        <v>0.85664908204914114</v>
      </c>
      <c r="AM73" s="10">
        <f t="shared" ref="AM73:BO73" ca="1" si="75">AM74/(1+LiborTenor*AM26)</f>
        <v>0.85764886264869145</v>
      </c>
      <c r="AN73" s="10">
        <f t="shared" ca="1" si="75"/>
        <v>0.86833605011826309</v>
      </c>
      <c r="AO73" s="10">
        <f t="shared" ca="1" si="75"/>
        <v>0.88309113690485341</v>
      </c>
      <c r="AP73" s="10">
        <f t="shared" ca="1" si="75"/>
        <v>0.88867044489951763</v>
      </c>
      <c r="AQ73" s="10">
        <f t="shared" ca="1" si="75"/>
        <v>0.88570405858172851</v>
      </c>
      <c r="AR73" s="10">
        <f t="shared" ca="1" si="75"/>
        <v>0.89382474581350768</v>
      </c>
      <c r="AS73" s="10">
        <f t="shared" ca="1" si="75"/>
        <v>0.89661497669108359</v>
      </c>
      <c r="AT73" s="10">
        <f t="shared" ca="1" si="75"/>
        <v>0.89779659991168892</v>
      </c>
      <c r="AU73" s="10">
        <f t="shared" ca="1" si="75"/>
        <v>0.90682586661230546</v>
      </c>
      <c r="AV73" s="10">
        <f t="shared" ca="1" si="75"/>
        <v>0.90621969912190037</v>
      </c>
      <c r="AW73" s="10">
        <f t="shared" ca="1" si="75"/>
        <v>0.90273248285770447</v>
      </c>
      <c r="AX73" s="10">
        <f t="shared" ca="1" si="75"/>
        <v>0.91913931049781605</v>
      </c>
      <c r="AY73" s="10">
        <f t="shared" ca="1" si="75"/>
        <v>0.91686750874660017</v>
      </c>
      <c r="AZ73" s="10">
        <f t="shared" ca="1" si="75"/>
        <v>0.91493077667795308</v>
      </c>
      <c r="BA73" s="10">
        <f t="shared" ca="1" si="75"/>
        <v>0.9241073929150293</v>
      </c>
      <c r="BB73" s="10">
        <f t="shared" ca="1" si="75"/>
        <v>0.92300210954624251</v>
      </c>
      <c r="BC73" s="10">
        <f t="shared" ca="1" si="75"/>
        <v>0.92595119726321629</v>
      </c>
      <c r="BD73" s="10">
        <f t="shared" ca="1" si="75"/>
        <v>0.94041364367958213</v>
      </c>
      <c r="BE73" s="10">
        <f t="shared" ca="1" si="75"/>
        <v>0.94153072511813951</v>
      </c>
      <c r="BF73" s="10">
        <f t="shared" ca="1" si="75"/>
        <v>0.94513304895362682</v>
      </c>
      <c r="BG73" s="10">
        <f t="shared" ca="1" si="75"/>
        <v>0.95560594563456858</v>
      </c>
      <c r="BH73" s="10">
        <f t="shared" ca="1" si="75"/>
        <v>0.95701889305798404</v>
      </c>
      <c r="BI73" s="10">
        <f t="shared" ca="1" si="75"/>
        <v>0.96070802399731758</v>
      </c>
      <c r="BJ73" s="10">
        <f t="shared" ca="1" si="75"/>
        <v>0.97299866523818024</v>
      </c>
      <c r="BK73" s="10">
        <f t="shared" ca="1" si="75"/>
        <v>0.97223193971310184</v>
      </c>
      <c r="BL73" s="10">
        <f t="shared" ca="1" si="75"/>
        <v>0.97141840685862646</v>
      </c>
      <c r="BM73" s="10">
        <f t="shared" ca="1" si="75"/>
        <v>0.98632075649266526</v>
      </c>
      <c r="BN73" s="10">
        <f t="shared" ca="1" si="75"/>
        <v>0.98610197458761206</v>
      </c>
      <c r="BO73" s="10">
        <f t="shared" ca="1" si="75"/>
        <v>0.98550295718348979</v>
      </c>
      <c r="BP73" s="10">
        <v>1</v>
      </c>
      <c r="BQ73" s="10">
        <v>1</v>
      </c>
      <c r="BR73" s="10">
        <v>1</v>
      </c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10"/>
      <c r="CY73" s="10"/>
      <c r="CZ73" s="10"/>
      <c r="DA73" s="10"/>
      <c r="DB73" s="10"/>
      <c r="DC73" s="10"/>
      <c r="DD73" s="10"/>
      <c r="DE73" s="10"/>
      <c r="DF73" s="10"/>
      <c r="DG73" s="10"/>
      <c r="DH73" s="10"/>
      <c r="DI73" s="10"/>
      <c r="DJ73" s="10"/>
      <c r="DK73" s="10"/>
      <c r="DL73" s="10"/>
      <c r="DM73" s="10"/>
      <c r="DN73" s="10"/>
      <c r="DO73" s="10"/>
      <c r="DP73" s="10"/>
      <c r="DQ73" s="10"/>
      <c r="DR73" s="10"/>
      <c r="DS73" s="10"/>
      <c r="DT73" s="10"/>
      <c r="DU73" s="10"/>
      <c r="DV73" s="10"/>
      <c r="DW73" s="10"/>
    </row>
    <row r="74" spans="3:127" x14ac:dyDescent="0.25">
      <c r="C74" s="6"/>
      <c r="F74" s="23">
        <f t="shared" si="13"/>
        <v>5</v>
      </c>
      <c r="G74" s="10">
        <f t="shared" ref="G74:AL74" si="76">G75/(1+LiborTenor*G27)</f>
        <v>0.79989380290182577</v>
      </c>
      <c r="H74" s="10">
        <f t="shared" ca="1" si="76"/>
        <v>0.80206943536170672</v>
      </c>
      <c r="I74" s="10">
        <f t="shared" ca="1" si="76"/>
        <v>0.80174489917935043</v>
      </c>
      <c r="J74" s="10">
        <f t="shared" ca="1" si="76"/>
        <v>0.80741485342316588</v>
      </c>
      <c r="K74" s="10">
        <f t="shared" ca="1" si="76"/>
        <v>0.81381730654864726</v>
      </c>
      <c r="L74" s="10">
        <f t="shared" ca="1" si="76"/>
        <v>0.81998509831996025</v>
      </c>
      <c r="M74" s="10">
        <f t="shared" ca="1" si="76"/>
        <v>0.8073877774629965</v>
      </c>
      <c r="N74" s="10">
        <f t="shared" ca="1" si="76"/>
        <v>0.81803528984715002</v>
      </c>
      <c r="O74" s="10">
        <f t="shared" ca="1" si="76"/>
        <v>0.81089066488628403</v>
      </c>
      <c r="P74" s="10">
        <f t="shared" ca="1" si="76"/>
        <v>0.81653788854646081</v>
      </c>
      <c r="Q74" s="10">
        <f t="shared" ca="1" si="76"/>
        <v>0.82437658636656985</v>
      </c>
      <c r="R74" s="10">
        <f t="shared" ca="1" si="76"/>
        <v>0.81902036269482492</v>
      </c>
      <c r="S74" s="10">
        <f t="shared" ca="1" si="76"/>
        <v>0.80857309850804993</v>
      </c>
      <c r="T74" s="10">
        <f t="shared" ca="1" si="76"/>
        <v>0.82224111405247835</v>
      </c>
      <c r="U74" s="10">
        <f t="shared" ca="1" si="76"/>
        <v>0.82279839145803146</v>
      </c>
      <c r="V74" s="10">
        <f t="shared" ca="1" si="76"/>
        <v>0.8287149232524752</v>
      </c>
      <c r="W74" s="10">
        <f t="shared" ca="1" si="76"/>
        <v>0.85192494930015605</v>
      </c>
      <c r="X74" s="10">
        <f t="shared" ca="1" si="76"/>
        <v>0.84840441169540737</v>
      </c>
      <c r="Y74" s="10">
        <f t="shared" ca="1" si="76"/>
        <v>0.85137802709982235</v>
      </c>
      <c r="Z74" s="10">
        <f t="shared" ca="1" si="76"/>
        <v>0.85643822149796145</v>
      </c>
      <c r="AA74" s="10">
        <f t="shared" ca="1" si="76"/>
        <v>0.85301940315988078</v>
      </c>
      <c r="AB74" s="10">
        <f t="shared" ca="1" si="76"/>
        <v>0.85356911299051508</v>
      </c>
      <c r="AC74" s="10">
        <f t="shared" ca="1" si="76"/>
        <v>0.8672480362472802</v>
      </c>
      <c r="AD74" s="10">
        <f t="shared" ca="1" si="76"/>
        <v>0.86887416286176467</v>
      </c>
      <c r="AE74" s="10">
        <f t="shared" ca="1" si="76"/>
        <v>0.86018531152133992</v>
      </c>
      <c r="AF74" s="10">
        <f t="shared" ca="1" si="76"/>
        <v>0.86976181611794456</v>
      </c>
      <c r="AG74" s="10">
        <f t="shared" ca="1" si="76"/>
        <v>0.86754800863303461</v>
      </c>
      <c r="AH74" s="10">
        <f t="shared" ca="1" si="76"/>
        <v>0.86499239163684327</v>
      </c>
      <c r="AI74" s="10">
        <f t="shared" ca="1" si="76"/>
        <v>0.86812153073802956</v>
      </c>
      <c r="AJ74" s="10">
        <f t="shared" ca="1" si="76"/>
        <v>0.86630399127287294</v>
      </c>
      <c r="AK74" s="10">
        <f t="shared" ca="1" si="76"/>
        <v>0.86003979224356442</v>
      </c>
      <c r="AL74" s="10">
        <f t="shared" ca="1" si="76"/>
        <v>0.87012491239240897</v>
      </c>
      <c r="AM74" s="10">
        <f t="shared" ref="AM74:BL74" ca="1" si="77">AM75/(1+LiborTenor*AM27)</f>
        <v>0.87104861547065993</v>
      </c>
      <c r="AN74" s="10">
        <f t="shared" ca="1" si="77"/>
        <v>0.88090212336628182</v>
      </c>
      <c r="AO74" s="10">
        <f t="shared" ca="1" si="77"/>
        <v>0.89558985451335438</v>
      </c>
      <c r="AP74" s="10">
        <f t="shared" ca="1" si="77"/>
        <v>0.90066150114272658</v>
      </c>
      <c r="AQ74" s="10">
        <f t="shared" ca="1" si="77"/>
        <v>0.89796837893220727</v>
      </c>
      <c r="AR74" s="10">
        <f t="shared" ca="1" si="77"/>
        <v>0.90663626648444251</v>
      </c>
      <c r="AS74" s="10">
        <f t="shared" ca="1" si="77"/>
        <v>0.90913520017274474</v>
      </c>
      <c r="AT74" s="10">
        <f t="shared" ca="1" si="77"/>
        <v>0.91019335246172428</v>
      </c>
      <c r="AU74" s="10">
        <f t="shared" ca="1" si="77"/>
        <v>0.91974976826365351</v>
      </c>
      <c r="AV74" s="10">
        <f t="shared" ca="1" si="77"/>
        <v>0.9192188586639003</v>
      </c>
      <c r="AW74" s="10">
        <f t="shared" ca="1" si="77"/>
        <v>0.91615974882084317</v>
      </c>
      <c r="AX74" s="10">
        <f t="shared" ca="1" si="77"/>
        <v>0.93228617932380464</v>
      </c>
      <c r="AY74" s="10">
        <f t="shared" ca="1" si="77"/>
        <v>0.93034888404454696</v>
      </c>
      <c r="AZ74" s="10">
        <f t="shared" ca="1" si="77"/>
        <v>0.92869636540302203</v>
      </c>
      <c r="BA74" s="10">
        <f t="shared" ca="1" si="77"/>
        <v>0.93886253214838045</v>
      </c>
      <c r="BB74" s="10">
        <f t="shared" ca="1" si="77"/>
        <v>0.93795545167519301</v>
      </c>
      <c r="BC74" s="10">
        <f t="shared" ca="1" si="77"/>
        <v>0.94037805496831439</v>
      </c>
      <c r="BD74" s="10">
        <f t="shared" ca="1" si="77"/>
        <v>0.95502252383412722</v>
      </c>
      <c r="BE74" s="10">
        <f t="shared" ca="1" si="77"/>
        <v>0.95588231732461448</v>
      </c>
      <c r="BF74" s="10">
        <f t="shared" ca="1" si="77"/>
        <v>0.95865158000290251</v>
      </c>
      <c r="BG74" s="10">
        <f t="shared" ca="1" si="77"/>
        <v>0.97022351881662106</v>
      </c>
      <c r="BH74" s="10">
        <f t="shared" ca="1" si="77"/>
        <v>0.97118954217070896</v>
      </c>
      <c r="BI74" s="10">
        <f t="shared" ca="1" si="77"/>
        <v>0.97370810532659846</v>
      </c>
      <c r="BJ74" s="10">
        <f t="shared" ca="1" si="77"/>
        <v>0.98644357080503187</v>
      </c>
      <c r="BK74" s="10">
        <f t="shared" ca="1" si="77"/>
        <v>0.98605150611743841</v>
      </c>
      <c r="BL74" s="10">
        <f t="shared" ca="1" si="77"/>
        <v>0.98563520892069678</v>
      </c>
      <c r="BM74" s="10">
        <v>1</v>
      </c>
      <c r="BN74" s="10">
        <v>1</v>
      </c>
      <c r="BO74" s="10">
        <v>1</v>
      </c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  <c r="CV74" s="10"/>
      <c r="CW74" s="10"/>
      <c r="CX74" s="10"/>
      <c r="CY74" s="10"/>
      <c r="CZ74" s="10"/>
      <c r="DA74" s="10"/>
      <c r="DB74" s="10"/>
      <c r="DC74" s="10"/>
      <c r="DD74" s="10"/>
      <c r="DE74" s="10"/>
      <c r="DF74" s="10"/>
      <c r="DG74" s="10"/>
      <c r="DH74" s="10"/>
      <c r="DI74" s="10"/>
      <c r="DJ74" s="10"/>
      <c r="DK74" s="10"/>
      <c r="DL74" s="10"/>
      <c r="DM74" s="10"/>
      <c r="DN74" s="10"/>
      <c r="DO74" s="10"/>
      <c r="DP74" s="10"/>
      <c r="DQ74" s="10"/>
      <c r="DR74" s="10"/>
      <c r="DS74" s="10"/>
      <c r="DT74" s="10"/>
      <c r="DU74" s="10"/>
      <c r="DV74" s="10"/>
      <c r="DW74" s="10"/>
    </row>
    <row r="75" spans="3:127" x14ac:dyDescent="0.25">
      <c r="C75" s="6"/>
      <c r="F75" s="23">
        <f t="shared" si="13"/>
        <v>4.75</v>
      </c>
      <c r="G75" s="10">
        <f t="shared" ref="G75:AL75" si="78">G76/(1+LiborTenor*G28)</f>
        <v>0.80958001692134018</v>
      </c>
      <c r="H75" s="10">
        <f t="shared" ca="1" si="78"/>
        <v>0.81209692225949903</v>
      </c>
      <c r="I75" s="10">
        <f t="shared" ca="1" si="78"/>
        <v>0.81178755044410056</v>
      </c>
      <c r="J75" s="10">
        <f t="shared" ca="1" si="78"/>
        <v>0.81721657782819179</v>
      </c>
      <c r="K75" s="10">
        <f t="shared" ca="1" si="78"/>
        <v>0.8238022353474147</v>
      </c>
      <c r="L75" s="10">
        <f t="shared" ca="1" si="78"/>
        <v>0.82969309879616082</v>
      </c>
      <c r="M75" s="10">
        <f t="shared" ca="1" si="78"/>
        <v>0.81766454013763656</v>
      </c>
      <c r="N75" s="10">
        <f t="shared" ca="1" si="78"/>
        <v>0.82833195550427086</v>
      </c>
      <c r="O75" s="10">
        <f t="shared" ca="1" si="78"/>
        <v>0.82152237271222761</v>
      </c>
      <c r="P75" s="10">
        <f t="shared" ca="1" si="78"/>
        <v>0.82690863958599503</v>
      </c>
      <c r="Q75" s="10">
        <f t="shared" ca="1" si="78"/>
        <v>0.83491492210508267</v>
      </c>
      <c r="R75" s="10">
        <f t="shared" ca="1" si="78"/>
        <v>0.8298240421926687</v>
      </c>
      <c r="S75" s="10">
        <f t="shared" ca="1" si="78"/>
        <v>0.81988573438817902</v>
      </c>
      <c r="T75" s="10">
        <f t="shared" ca="1" si="78"/>
        <v>0.83349412124842814</v>
      </c>
      <c r="U75" s="10">
        <f t="shared" ca="1" si="78"/>
        <v>0.8340242557309101</v>
      </c>
      <c r="V75" s="10">
        <f t="shared" ca="1" si="78"/>
        <v>0.83963589239722469</v>
      </c>
      <c r="W75" s="10">
        <f t="shared" ca="1" si="78"/>
        <v>0.86220935334277027</v>
      </c>
      <c r="X75" s="10">
        <f t="shared" ca="1" si="78"/>
        <v>0.85889243432746776</v>
      </c>
      <c r="Y75" s="10">
        <f t="shared" ca="1" si="78"/>
        <v>0.86169677420302948</v>
      </c>
      <c r="Z75" s="10">
        <f t="shared" ca="1" si="78"/>
        <v>0.86713334505706019</v>
      </c>
      <c r="AA75" s="10">
        <f t="shared" ca="1" si="78"/>
        <v>0.86392619207443966</v>
      </c>
      <c r="AB75" s="10">
        <f t="shared" ca="1" si="78"/>
        <v>0.86444345129940559</v>
      </c>
      <c r="AC75" s="10">
        <f t="shared" ca="1" si="78"/>
        <v>0.877999672981708</v>
      </c>
      <c r="AD75" s="10">
        <f t="shared" ca="1" si="78"/>
        <v>0.87951699539873807</v>
      </c>
      <c r="AE75" s="10">
        <f t="shared" ca="1" si="78"/>
        <v>0.87141471810382121</v>
      </c>
      <c r="AF75" s="10">
        <f t="shared" ca="1" si="78"/>
        <v>0.88119295778545292</v>
      </c>
      <c r="AG75" s="10">
        <f t="shared" ca="1" si="78"/>
        <v>0.87914250366968483</v>
      </c>
      <c r="AH75" s="10">
        <f t="shared" ca="1" si="78"/>
        <v>0.87677443358800755</v>
      </c>
      <c r="AI75" s="10">
        <f t="shared" ca="1" si="78"/>
        <v>0.88070370886907035</v>
      </c>
      <c r="AJ75" s="10">
        <f t="shared" ca="1" si="78"/>
        <v>0.87903284358383993</v>
      </c>
      <c r="AK75" s="10">
        <f t="shared" ca="1" si="78"/>
        <v>0.87326797242785592</v>
      </c>
      <c r="AL75" s="10">
        <f t="shared" ca="1" si="78"/>
        <v>0.88379295792121415</v>
      </c>
      <c r="AM75" s="10">
        <f t="shared" ref="AM75:BI75" ca="1" si="79">AM76/(1+LiborTenor*AM28)</f>
        <v>0.8846355878183102</v>
      </c>
      <c r="AN75" s="10">
        <f t="shared" ca="1" si="79"/>
        <v>0.89360526182820532</v>
      </c>
      <c r="AO75" s="10">
        <f t="shared" ca="1" si="79"/>
        <v>0.90821403082583629</v>
      </c>
      <c r="AP75" s="10">
        <f t="shared" ca="1" si="79"/>
        <v>0.91275091130691066</v>
      </c>
      <c r="AQ75" s="10">
        <f t="shared" ca="1" si="79"/>
        <v>0.91034479138488722</v>
      </c>
      <c r="AR75" s="10">
        <f t="shared" ca="1" si="79"/>
        <v>0.91958113216410209</v>
      </c>
      <c r="AS75" s="10">
        <f t="shared" ca="1" si="79"/>
        <v>0.92177302969165242</v>
      </c>
      <c r="AT75" s="10">
        <f t="shared" ca="1" si="79"/>
        <v>0.92270107289278924</v>
      </c>
      <c r="AU75" s="10">
        <f t="shared" ca="1" si="79"/>
        <v>0.93280434602113049</v>
      </c>
      <c r="AV75" s="10">
        <f t="shared" ca="1" si="79"/>
        <v>0.9323523840164547</v>
      </c>
      <c r="AW75" s="10">
        <f t="shared" ca="1" si="79"/>
        <v>0.92974395852781955</v>
      </c>
      <c r="AX75" s="10">
        <f t="shared" ca="1" si="79"/>
        <v>0.94556652567428912</v>
      </c>
      <c r="AY75" s="10">
        <f t="shared" ca="1" si="79"/>
        <v>0.94398093845172359</v>
      </c>
      <c r="AZ75" s="10">
        <f t="shared" ca="1" si="79"/>
        <v>0.94262763563606944</v>
      </c>
      <c r="BA75" s="10">
        <f t="shared" ca="1" si="79"/>
        <v>0.95382874177135168</v>
      </c>
      <c r="BB75" s="10">
        <f t="shared" ca="1" si="79"/>
        <v>0.95313099489642827</v>
      </c>
      <c r="BC75" s="10">
        <f t="shared" ca="1" si="79"/>
        <v>0.95499636501233809</v>
      </c>
      <c r="BD75" s="10">
        <f t="shared" ca="1" si="79"/>
        <v>0.96982325380269996</v>
      </c>
      <c r="BE75" s="10">
        <f t="shared" ca="1" si="79"/>
        <v>0.97041136791388216</v>
      </c>
      <c r="BF75" s="10">
        <f t="shared" ca="1" si="79"/>
        <v>0.97230324830695991</v>
      </c>
      <c r="BG75" s="10">
        <f t="shared" ca="1" si="79"/>
        <v>0.98502172646359965</v>
      </c>
      <c r="BH75" s="10">
        <f t="shared" ca="1" si="79"/>
        <v>0.98551696183256465</v>
      </c>
      <c r="BI75" s="10">
        <f t="shared" ca="1" si="79"/>
        <v>0.98680619976564921</v>
      </c>
      <c r="BJ75" s="10">
        <v>1</v>
      </c>
      <c r="BK75" s="10">
        <v>1</v>
      </c>
      <c r="BL75" s="10">
        <v>1</v>
      </c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/>
      <c r="CW75" s="10"/>
      <c r="CX75" s="10"/>
      <c r="CY75" s="10"/>
      <c r="CZ75" s="10"/>
      <c r="DA75" s="10"/>
      <c r="DB75" s="10"/>
      <c r="DC75" s="10"/>
      <c r="DD75" s="10"/>
      <c r="DE75" s="10"/>
      <c r="DF75" s="10"/>
      <c r="DG75" s="10"/>
      <c r="DH75" s="10"/>
      <c r="DI75" s="10"/>
      <c r="DJ75" s="10"/>
      <c r="DK75" s="10"/>
      <c r="DL75" s="10"/>
      <c r="DM75" s="10"/>
      <c r="DN75" s="10"/>
      <c r="DO75" s="10"/>
      <c r="DP75" s="10"/>
      <c r="DQ75" s="10"/>
      <c r="DR75" s="10"/>
      <c r="DS75" s="10"/>
      <c r="DT75" s="10"/>
      <c r="DU75" s="10"/>
      <c r="DV75" s="10"/>
      <c r="DW75" s="10"/>
    </row>
    <row r="76" spans="3:127" x14ac:dyDescent="0.25">
      <c r="C76" s="6"/>
      <c r="F76" s="23">
        <f t="shared" si="13"/>
        <v>4.5</v>
      </c>
      <c r="G76" s="10">
        <f t="shared" ref="G76:AL76" si="80">G77/(1+LiborTenor*G29)</f>
        <v>0.819320276499925</v>
      </c>
      <c r="H76" s="10">
        <f t="shared" ca="1" si="80"/>
        <v>0.82219147245366098</v>
      </c>
      <c r="I76" s="10">
        <f t="shared" ca="1" si="80"/>
        <v>0.82189787284502003</v>
      </c>
      <c r="J76" s="10">
        <f t="shared" ca="1" si="80"/>
        <v>0.82707321117231891</v>
      </c>
      <c r="K76" s="10">
        <f t="shared" ca="1" si="80"/>
        <v>0.83384664030881051</v>
      </c>
      <c r="L76" s="10">
        <f t="shared" ca="1" si="80"/>
        <v>0.8394464784940493</v>
      </c>
      <c r="M76" s="10">
        <f t="shared" ca="1" si="80"/>
        <v>0.82801478116267258</v>
      </c>
      <c r="N76" s="10">
        <f t="shared" ca="1" si="80"/>
        <v>0.8386979352899836</v>
      </c>
      <c r="O76" s="10">
        <f t="shared" ca="1" si="80"/>
        <v>0.83224080554912139</v>
      </c>
      <c r="P76" s="10">
        <f t="shared" ca="1" si="80"/>
        <v>0.83735181757962363</v>
      </c>
      <c r="Q76" s="10">
        <f t="shared" ca="1" si="80"/>
        <v>0.84552909528339593</v>
      </c>
      <c r="R76" s="10">
        <f t="shared" ca="1" si="80"/>
        <v>0.8407173556169143</v>
      </c>
      <c r="S76" s="10">
        <f t="shared" ca="1" si="80"/>
        <v>0.83131597304333005</v>
      </c>
      <c r="T76" s="10">
        <f t="shared" ca="1" si="80"/>
        <v>0.84485465304537899</v>
      </c>
      <c r="U76" s="10">
        <f t="shared" ca="1" si="80"/>
        <v>0.84535588446367538</v>
      </c>
      <c r="V76" s="10">
        <f t="shared" ca="1" si="80"/>
        <v>0.85064555819852306</v>
      </c>
      <c r="W76" s="10">
        <f t="shared" ca="1" si="80"/>
        <v>0.87254401480844956</v>
      </c>
      <c r="X76" s="10">
        <f t="shared" ca="1" si="80"/>
        <v>0.86944021618017309</v>
      </c>
      <c r="Y76" s="10">
        <f t="shared" ca="1" si="80"/>
        <v>0.87206690214714611</v>
      </c>
      <c r="Z76" s="10">
        <f t="shared" ca="1" si="80"/>
        <v>0.87789270065700409</v>
      </c>
      <c r="AA76" s="10">
        <f t="shared" ca="1" si="80"/>
        <v>0.87490738399905887</v>
      </c>
      <c r="AB76" s="10">
        <f t="shared" ca="1" si="80"/>
        <v>0.87539035810124322</v>
      </c>
      <c r="AC76" s="10">
        <f t="shared" ca="1" si="80"/>
        <v>0.88881235129435066</v>
      </c>
      <c r="AD76" s="10">
        <f t="shared" ca="1" si="80"/>
        <v>0.89021551886273387</v>
      </c>
      <c r="AE76" s="10">
        <f t="shared" ca="1" si="80"/>
        <v>0.88272764761498412</v>
      </c>
      <c r="AF76" s="10">
        <f t="shared" ca="1" si="80"/>
        <v>0.89271168001211609</v>
      </c>
      <c r="AG76" s="10">
        <f t="shared" ca="1" si="80"/>
        <v>0.8908326128084636</v>
      </c>
      <c r="AH76" s="10">
        <f t="shared" ca="1" si="80"/>
        <v>0.88866153617591837</v>
      </c>
      <c r="AI76" s="10">
        <f t="shared" ca="1" si="80"/>
        <v>0.89342629328881107</v>
      </c>
      <c r="AJ76" s="10">
        <f t="shared" ca="1" si="80"/>
        <v>0.89191001460979635</v>
      </c>
      <c r="AK76" s="10">
        <f t="shared" ca="1" si="80"/>
        <v>0.88667279702828605</v>
      </c>
      <c r="AL76" s="10">
        <f t="shared" ca="1" si="80"/>
        <v>0.89765429511083072</v>
      </c>
      <c r="AM76" s="10">
        <f t="shared" ref="AM76:BF76" ca="1" si="81">AM77/(1+LiborTenor*AM29)</f>
        <v>0.89841068313966843</v>
      </c>
      <c r="AN76" s="10">
        <f t="shared" ca="1" si="81"/>
        <v>0.90644497584671024</v>
      </c>
      <c r="AO76" s="10">
        <f t="shared" ca="1" si="81"/>
        <v>0.92096285030953207</v>
      </c>
      <c r="AP76" s="10">
        <f t="shared" ca="1" si="81"/>
        <v>0.92493730891142645</v>
      </c>
      <c r="AQ76" s="10">
        <f t="shared" ca="1" si="81"/>
        <v>0.92283215086273063</v>
      </c>
      <c r="AR76" s="10">
        <f t="shared" ca="1" si="81"/>
        <v>0.93265854933512704</v>
      </c>
      <c r="AS76" s="10">
        <f t="shared" ca="1" si="81"/>
        <v>0.9345273258393284</v>
      </c>
      <c r="AT76" s="10">
        <f t="shared" ca="1" si="81"/>
        <v>0.93531847748389696</v>
      </c>
      <c r="AU76" s="10">
        <f t="shared" ca="1" si="81"/>
        <v>0.94598862336786327</v>
      </c>
      <c r="AV76" s="10">
        <f t="shared" ca="1" si="81"/>
        <v>0.945619354383751</v>
      </c>
      <c r="AW76" s="10">
        <f t="shared" ca="1" si="81"/>
        <v>0.94348466364206929</v>
      </c>
      <c r="AX76" s="10">
        <f t="shared" ca="1" si="81"/>
        <v>0.95897928810686517</v>
      </c>
      <c r="AY76" s="10">
        <f t="shared" ca="1" si="81"/>
        <v>0.95776295154778313</v>
      </c>
      <c r="AZ76" s="10">
        <f t="shared" ca="1" si="81"/>
        <v>0.95672419043989343</v>
      </c>
      <c r="BA76" s="10">
        <f t="shared" ca="1" si="81"/>
        <v>0.96900669688146901</v>
      </c>
      <c r="BB76" s="10">
        <f t="shared" ca="1" si="81"/>
        <v>0.96852971039698521</v>
      </c>
      <c r="BC76" s="10">
        <f t="shared" ca="1" si="81"/>
        <v>0.96980618424458753</v>
      </c>
      <c r="BD76" s="10">
        <f t="shared" ca="1" si="81"/>
        <v>0.98481579739304526</v>
      </c>
      <c r="BE76" s="10">
        <f t="shared" ca="1" si="81"/>
        <v>0.98511744573328019</v>
      </c>
      <c r="BF76" s="10">
        <f t="shared" ca="1" si="81"/>
        <v>0.98608658282790751</v>
      </c>
      <c r="BG76" s="10">
        <v>1</v>
      </c>
      <c r="BH76" s="10">
        <v>1</v>
      </c>
      <c r="BI76" s="10">
        <v>1</v>
      </c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  <c r="CW76" s="10"/>
      <c r="CX76" s="10"/>
      <c r="CY76" s="10"/>
      <c r="CZ76" s="10"/>
      <c r="DA76" s="10"/>
      <c r="DB76" s="10"/>
      <c r="DC76" s="10"/>
      <c r="DD76" s="10"/>
      <c r="DE76" s="10"/>
      <c r="DF76" s="10"/>
      <c r="DG76" s="10"/>
      <c r="DH76" s="10"/>
      <c r="DI76" s="10"/>
      <c r="DJ76" s="10"/>
      <c r="DK76" s="10"/>
      <c r="DL76" s="10"/>
      <c r="DM76" s="10"/>
      <c r="DN76" s="10"/>
      <c r="DO76" s="10"/>
      <c r="DP76" s="10"/>
      <c r="DQ76" s="10"/>
      <c r="DR76" s="10"/>
      <c r="DS76" s="10"/>
      <c r="DT76" s="10"/>
      <c r="DU76" s="10"/>
      <c r="DV76" s="10"/>
      <c r="DW76" s="10"/>
    </row>
    <row r="77" spans="3:127" x14ac:dyDescent="0.25">
      <c r="C77" s="6"/>
      <c r="F77" s="23">
        <f t="shared" si="13"/>
        <v>4.25</v>
      </c>
      <c r="G77" s="10">
        <f t="shared" ref="G77:AL77" si="82">G78/(1+LiborTenor*G30)</f>
        <v>0.82911371417996316</v>
      </c>
      <c r="H77" s="10">
        <f t="shared" ca="1" si="82"/>
        <v>0.83235236986187422</v>
      </c>
      <c r="I77" s="10">
        <f t="shared" ca="1" si="82"/>
        <v>0.8320751464878986</v>
      </c>
      <c r="J77" s="10">
        <f t="shared" ca="1" si="82"/>
        <v>0.83698383187982084</v>
      </c>
      <c r="K77" s="10">
        <f t="shared" ca="1" si="82"/>
        <v>0.84394963045021121</v>
      </c>
      <c r="L77" s="10">
        <f t="shared" ca="1" si="82"/>
        <v>0.84924415246218132</v>
      </c>
      <c r="M77" s="10">
        <f t="shared" ca="1" si="82"/>
        <v>0.83843775191739445</v>
      </c>
      <c r="N77" s="10">
        <f t="shared" ca="1" si="82"/>
        <v>0.84913237983708567</v>
      </c>
      <c r="O77" s="10">
        <f t="shared" ca="1" si="82"/>
        <v>0.84304538069759405</v>
      </c>
      <c r="P77" s="10">
        <f t="shared" ca="1" si="82"/>
        <v>0.84786657465132143</v>
      </c>
      <c r="Q77" s="10">
        <f t="shared" ca="1" si="82"/>
        <v>0.85621827571473674</v>
      </c>
      <c r="R77" s="10">
        <f t="shared" ca="1" si="82"/>
        <v>0.85169968948919894</v>
      </c>
      <c r="S77" s="10">
        <f t="shared" ca="1" si="82"/>
        <v>0.84286373910030388</v>
      </c>
      <c r="T77" s="10">
        <f t="shared" ca="1" si="82"/>
        <v>0.85632235950945623</v>
      </c>
      <c r="U77" s="10">
        <f t="shared" ca="1" si="82"/>
        <v>0.85679287386014757</v>
      </c>
      <c r="V77" s="10">
        <f t="shared" ca="1" si="82"/>
        <v>0.861743161959168</v>
      </c>
      <c r="W77" s="10">
        <f t="shared" ca="1" si="82"/>
        <v>0.88292752958700271</v>
      </c>
      <c r="X77" s="10">
        <f t="shared" ca="1" si="82"/>
        <v>0.88004644441239865</v>
      </c>
      <c r="Y77" s="10">
        <f t="shared" ca="1" si="82"/>
        <v>0.88248698567751027</v>
      </c>
      <c r="Z77" s="10">
        <f t="shared" ca="1" si="82"/>
        <v>0.88871497196894389</v>
      </c>
      <c r="AA77" s="10">
        <f t="shared" ca="1" si="82"/>
        <v>0.88596178400740855</v>
      </c>
      <c r="AB77" s="10">
        <f t="shared" ca="1" si="82"/>
        <v>0.88640859687054419</v>
      </c>
      <c r="AC77" s="10">
        <f t="shared" ca="1" si="82"/>
        <v>0.89968463787223873</v>
      </c>
      <c r="AD77" s="10">
        <f t="shared" ca="1" si="82"/>
        <v>0.9009682235866372</v>
      </c>
      <c r="AE77" s="10">
        <f t="shared" ca="1" si="82"/>
        <v>0.89412292053719689</v>
      </c>
      <c r="AF77" s="10">
        <f t="shared" ca="1" si="82"/>
        <v>0.90431682078432751</v>
      </c>
      <c r="AG77" s="10">
        <f t="shared" ca="1" si="82"/>
        <v>0.90261728996394675</v>
      </c>
      <c r="AH77" s="10">
        <f t="shared" ca="1" si="82"/>
        <v>0.90065280413082116</v>
      </c>
      <c r="AI77" s="10">
        <f t="shared" ca="1" si="82"/>
        <v>0.90628904499240504</v>
      </c>
      <c r="AJ77" s="10">
        <f t="shared" ca="1" si="82"/>
        <v>0.90493543178341829</v>
      </c>
      <c r="AK77" s="10">
        <f t="shared" ca="1" si="82"/>
        <v>0.90025489433025185</v>
      </c>
      <c r="AL77" s="10">
        <f t="shared" ca="1" si="82"/>
        <v>0.91170993340553397</v>
      </c>
      <c r="AM77" s="10">
        <f t="shared" ref="AM77:BC77" ca="1" si="83">AM78/(1+LiborTenor*AM30)</f>
        <v>0.91237473456443929</v>
      </c>
      <c r="AN77" s="10">
        <f t="shared" ca="1" si="83"/>
        <v>0.9194206964414533</v>
      </c>
      <c r="AO77" s="10">
        <f t="shared" ca="1" si="83"/>
        <v>0.93383541775178069</v>
      </c>
      <c r="AP77" s="10">
        <f t="shared" ca="1" si="83"/>
        <v>0.93721925402844031</v>
      </c>
      <c r="AQ77" s="10">
        <f t="shared" ca="1" si="83"/>
        <v>0.93542923306016934</v>
      </c>
      <c r="AR77" s="10">
        <f t="shared" ca="1" si="83"/>
        <v>0.94586763788573647</v>
      </c>
      <c r="AS77" s="10">
        <f t="shared" ca="1" si="83"/>
        <v>0.94739686517153587</v>
      </c>
      <c r="AT77" s="10">
        <f t="shared" ca="1" si="83"/>
        <v>0.94804419964558539</v>
      </c>
      <c r="AU77" s="10">
        <f t="shared" ca="1" si="83"/>
        <v>0.95930153311328581</v>
      </c>
      <c r="AV77" s="10">
        <f t="shared" ca="1" si="83"/>
        <v>0.95901875631897338</v>
      </c>
      <c r="AW77" s="10">
        <f t="shared" ca="1" si="83"/>
        <v>0.95738131788327363</v>
      </c>
      <c r="AX77" s="10">
        <f t="shared" ca="1" si="83"/>
        <v>0.97252330850706414</v>
      </c>
      <c r="AY77" s="10">
        <f t="shared" ca="1" si="83"/>
        <v>0.97169410106041976</v>
      </c>
      <c r="AZ77" s="10">
        <f t="shared" ca="1" si="83"/>
        <v>0.97098552763044599</v>
      </c>
      <c r="BA77" s="10">
        <f t="shared" ca="1" si="83"/>
        <v>0.9843969645653724</v>
      </c>
      <c r="BB77" s="10">
        <f t="shared" ca="1" si="83"/>
        <v>0.98415246162663561</v>
      </c>
      <c r="BC77" s="10">
        <f t="shared" ca="1" si="83"/>
        <v>0.98480745464382491</v>
      </c>
      <c r="BD77" s="10">
        <v>1</v>
      </c>
      <c r="BE77" s="10">
        <v>1</v>
      </c>
      <c r="BF77" s="10">
        <v>1</v>
      </c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10"/>
      <c r="CY77" s="10"/>
      <c r="CZ77" s="10"/>
      <c r="DA77" s="10"/>
      <c r="DB77" s="10"/>
      <c r="DC77" s="10"/>
      <c r="DD77" s="10"/>
      <c r="DE77" s="10"/>
      <c r="DF77" s="10"/>
      <c r="DG77" s="10"/>
      <c r="DH77" s="10"/>
      <c r="DI77" s="10"/>
      <c r="DJ77" s="10"/>
      <c r="DK77" s="10"/>
      <c r="DL77" s="10"/>
      <c r="DM77" s="10"/>
      <c r="DN77" s="10"/>
      <c r="DO77" s="10"/>
      <c r="DP77" s="10"/>
      <c r="DQ77" s="10"/>
      <c r="DR77" s="10"/>
      <c r="DS77" s="10"/>
      <c r="DT77" s="10"/>
      <c r="DU77" s="10"/>
      <c r="DV77" s="10"/>
      <c r="DW77" s="10"/>
    </row>
    <row r="78" spans="3:127" x14ac:dyDescent="0.25">
      <c r="C78" s="6"/>
      <c r="F78" s="23">
        <f t="shared" si="13"/>
        <v>4</v>
      </c>
      <c r="G78" s="10">
        <f t="shared" ref="G78:AZ78" si="84">G79/(1+LiborTenor*G31)</f>
        <v>0.83895943953585028</v>
      </c>
      <c r="H78" s="10">
        <f t="shared" ca="1" si="84"/>
        <v>0.84257887133037357</v>
      </c>
      <c r="I78" s="10">
        <f t="shared" ca="1" si="84"/>
        <v>0.84231862373094313</v>
      </c>
      <c r="J78" s="10">
        <f t="shared" ca="1" si="84"/>
        <v>0.84694749336824193</v>
      </c>
      <c r="K78" s="10">
        <f t="shared" ca="1" si="84"/>
        <v>0.85411028782702003</v>
      </c>
      <c r="L78" s="10">
        <f t="shared" ca="1" si="84"/>
        <v>0.85908501294377404</v>
      </c>
      <c r="M78" s="10">
        <f t="shared" ca="1" si="84"/>
        <v>0.84893267110847315</v>
      </c>
      <c r="N78" s="10">
        <f t="shared" ca="1" si="84"/>
        <v>0.85963440735910757</v>
      </c>
      <c r="O78" s="10">
        <f t="shared" ca="1" si="84"/>
        <v>0.85393547845398099</v>
      </c>
      <c r="P78" s="10">
        <f t="shared" ca="1" si="84"/>
        <v>0.85845202799873288</v>
      </c>
      <c r="Q78" s="10">
        <f t="shared" ca="1" si="84"/>
        <v>0.86698159663096852</v>
      </c>
      <c r="R78" s="10">
        <f t="shared" ca="1" si="84"/>
        <v>0.86277039005205591</v>
      </c>
      <c r="S78" s="10">
        <f t="shared" ca="1" si="84"/>
        <v>0.85452891335812586</v>
      </c>
      <c r="T78" s="10">
        <f t="shared" ca="1" si="84"/>
        <v>0.86789684544097256</v>
      </c>
      <c r="U78" s="10">
        <f t="shared" ca="1" si="84"/>
        <v>0.86833477410336102</v>
      </c>
      <c r="V78" s="10">
        <f t="shared" ca="1" si="84"/>
        <v>0.87292790032945389</v>
      </c>
      <c r="W78" s="10">
        <f t="shared" ca="1" si="84"/>
        <v>0.89335845978224049</v>
      </c>
      <c r="X78" s="10">
        <f t="shared" ca="1" si="84"/>
        <v>0.89070976752457987</v>
      </c>
      <c r="Y78" s="10">
        <f t="shared" ca="1" si="84"/>
        <v>0.89295556420224942</v>
      </c>
      <c r="Z78" s="10">
        <f t="shared" ca="1" si="84"/>
        <v>0.89959880073756937</v>
      </c>
      <c r="AA78" s="10">
        <f t="shared" ca="1" si="84"/>
        <v>0.8970881505595637</v>
      </c>
      <c r="AB78" s="10">
        <f t="shared" ca="1" si="84"/>
        <v>0.89749688456208443</v>
      </c>
      <c r="AC78" s="10">
        <f t="shared" ca="1" si="84"/>
        <v>0.91061505690141065</v>
      </c>
      <c r="AD78" s="10">
        <f t="shared" ca="1" si="84"/>
        <v>0.91177355947536542</v>
      </c>
      <c r="AE78" s="10">
        <f t="shared" ca="1" si="84"/>
        <v>0.90559930382077924</v>
      </c>
      <c r="AF78" s="10">
        <f t="shared" ca="1" si="84"/>
        <v>0.91600716215471645</v>
      </c>
      <c r="AG78" s="10">
        <f t="shared" ca="1" si="84"/>
        <v>0.9144954297787069</v>
      </c>
      <c r="AH78" s="10">
        <f t="shared" ca="1" si="84"/>
        <v>0.91274727949178314</v>
      </c>
      <c r="AI78" s="10">
        <f t="shared" ca="1" si="84"/>
        <v>0.91929165475471952</v>
      </c>
      <c r="AJ78" s="10">
        <f t="shared" ca="1" si="84"/>
        <v>0.91810895098620593</v>
      </c>
      <c r="AK78" s="10">
        <f t="shared" ca="1" si="84"/>
        <v>0.91401482209722951</v>
      </c>
      <c r="AL78" s="10">
        <f t="shared" ca="1" si="84"/>
        <v>0.92596081236000272</v>
      </c>
      <c r="AM78" s="10">
        <f t="shared" ca="1" si="84"/>
        <v>0.92652850211007909</v>
      </c>
      <c r="AN78" s="10">
        <f t="shared" ca="1" si="84"/>
        <v>0.93253177379390084</v>
      </c>
      <c r="AO78" s="10">
        <f t="shared" ca="1" si="84"/>
        <v>0.94683075712399123</v>
      </c>
      <c r="AP78" s="10">
        <f t="shared" ca="1" si="84"/>
        <v>0.9495952329755345</v>
      </c>
      <c r="AQ78" s="10">
        <f t="shared" ca="1" si="84"/>
        <v>0.94813473372926949</v>
      </c>
      <c r="AR78" s="10">
        <f t="shared" ca="1" si="84"/>
        <v>0.95920742977074969</v>
      </c>
      <c r="AS78" s="10">
        <f t="shared" ca="1" si="84"/>
        <v>0.96038033937448275</v>
      </c>
      <c r="AT78" s="10">
        <f t="shared" ca="1" si="84"/>
        <v>0.96087678930486187</v>
      </c>
      <c r="AU78" s="10">
        <f t="shared" ca="1" si="84"/>
        <v>0.97274191618566752</v>
      </c>
      <c r="AV78" s="10">
        <f t="shared" ca="1" si="84"/>
        <v>0.97254948239437056</v>
      </c>
      <c r="AW78" s="10">
        <f t="shared" ca="1" si="84"/>
        <v>0.97143327493533482</v>
      </c>
      <c r="AX78" s="10">
        <f t="shared" ca="1" si="84"/>
        <v>0.98619733083950589</v>
      </c>
      <c r="AY78" s="10">
        <f t="shared" ca="1" si="84"/>
        <v>0.98577346101904562</v>
      </c>
      <c r="AZ78" s="10">
        <f t="shared" ca="1" si="84"/>
        <v>0.98541103739660563</v>
      </c>
      <c r="BA78" s="10">
        <v>1</v>
      </c>
      <c r="BB78" s="10">
        <v>1</v>
      </c>
      <c r="BC78" s="10">
        <v>1</v>
      </c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  <c r="CW78" s="10"/>
      <c r="CX78" s="10"/>
      <c r="CY78" s="10"/>
      <c r="CZ78" s="10"/>
      <c r="DA78" s="10"/>
      <c r="DB78" s="10"/>
      <c r="DC78" s="10"/>
      <c r="DD78" s="10"/>
      <c r="DE78" s="10"/>
      <c r="DF78" s="10"/>
      <c r="DG78" s="10"/>
      <c r="DH78" s="10"/>
      <c r="DI78" s="10"/>
      <c r="DJ78" s="10"/>
      <c r="DK78" s="10"/>
      <c r="DL78" s="10"/>
      <c r="DM78" s="10"/>
      <c r="DN78" s="10"/>
      <c r="DO78" s="10"/>
      <c r="DP78" s="10"/>
      <c r="DQ78" s="10"/>
      <c r="DR78" s="10"/>
      <c r="DS78" s="10"/>
      <c r="DT78" s="10"/>
      <c r="DU78" s="10"/>
      <c r="DV78" s="10"/>
      <c r="DW78" s="10"/>
    </row>
    <row r="79" spans="3:127" x14ac:dyDescent="0.25">
      <c r="C79" s="6"/>
      <c r="F79" s="23">
        <f t="shared" si="13"/>
        <v>3.75</v>
      </c>
      <c r="G79" s="10">
        <f t="shared" ref="G79:AW79" si="85">G80/(1+LiborTenor*G32)</f>
        <v>0.84885653917412474</v>
      </c>
      <c r="H79" s="10">
        <f t="shared" ca="1" si="85"/>
        <v>0.85287020647019907</v>
      </c>
      <c r="I79" s="10">
        <f t="shared" ca="1" si="85"/>
        <v>0.85262752901587469</v>
      </c>
      <c r="J79" s="10">
        <f t="shared" ca="1" si="85"/>
        <v>0.85696322407076253</v>
      </c>
      <c r="K79" s="10">
        <f t="shared" ca="1" si="85"/>
        <v>0.86432766750593193</v>
      </c>
      <c r="L79" s="10">
        <f t="shared" ca="1" si="85"/>
        <v>0.86896792955792312</v>
      </c>
      <c r="M79" s="10">
        <f t="shared" ca="1" si="85"/>
        <v>0.85949872455712029</v>
      </c>
      <c r="N79" s="10">
        <f t="shared" ca="1" si="85"/>
        <v>0.87020310352174624</v>
      </c>
      <c r="O79" s="10">
        <f t="shared" ca="1" si="85"/>
        <v>0.86491044169050468</v>
      </c>
      <c r="P79" s="10">
        <f t="shared" ca="1" si="85"/>
        <v>0.86910725972947478</v>
      </c>
      <c r="Q79" s="10">
        <f t="shared" ca="1" si="85"/>
        <v>0.87781815447582023</v>
      </c>
      <c r="R79" s="10">
        <f t="shared" ca="1" si="85"/>
        <v>0.87392876281385545</v>
      </c>
      <c r="S79" s="10">
        <f t="shared" ca="1" si="85"/>
        <v>0.86631133180392295</v>
      </c>
      <c r="T79" s="10">
        <f t="shared" ca="1" si="85"/>
        <v>0.87957766958765515</v>
      </c>
      <c r="U79" s="10">
        <f t="shared" ca="1" si="85"/>
        <v>0.87998108859792679</v>
      </c>
      <c r="V79" s="10">
        <f t="shared" ca="1" si="85"/>
        <v>0.88419892489608676</v>
      </c>
      <c r="W79" s="10">
        <f t="shared" ca="1" si="85"/>
        <v>0.90383533409475503</v>
      </c>
      <c r="X79" s="10">
        <f t="shared" ca="1" si="85"/>
        <v>0.90142879558555067</v>
      </c>
      <c r="Y79" s="10">
        <f t="shared" ca="1" si="85"/>
        <v>0.90347114218882341</v>
      </c>
      <c r="Z79" s="10">
        <f t="shared" ca="1" si="85"/>
        <v>0.91054278696751667</v>
      </c>
      <c r="AA79" s="10">
        <f t="shared" ca="1" si="85"/>
        <v>0.90828519549013409</v>
      </c>
      <c r="AB79" s="10">
        <f t="shared" ca="1" si="85"/>
        <v>0.90865389164871324</v>
      </c>
      <c r="AC79" s="10">
        <f t="shared" ca="1" si="85"/>
        <v>0.92160209037968921</v>
      </c>
      <c r="AD79" s="10">
        <f t="shared" ca="1" si="85"/>
        <v>0.92262993643951208</v>
      </c>
      <c r="AE79" s="10">
        <f t="shared" ca="1" si="85"/>
        <v>0.91715551074739277</v>
      </c>
      <c r="AF79" s="10">
        <f t="shared" ca="1" si="85"/>
        <v>0.92778143003984814</v>
      </c>
      <c r="AG79" s="10">
        <f t="shared" ca="1" si="85"/>
        <v>0.92646586723139612</v>
      </c>
      <c r="AH79" s="10">
        <f t="shared" ca="1" si="85"/>
        <v>0.92494394097994048</v>
      </c>
      <c r="AI79" s="10">
        <f t="shared" ca="1" si="85"/>
        <v>0.93243374161006731</v>
      </c>
      <c r="AJ79" s="10">
        <f t="shared" ca="1" si="85"/>
        <v>0.93143035480796188</v>
      </c>
      <c r="AK79" s="10">
        <f t="shared" ca="1" si="85"/>
        <v>0.92795306509400932</v>
      </c>
      <c r="AL79" s="10">
        <f t="shared" ca="1" si="85"/>
        <v>0.94040779876359615</v>
      </c>
      <c r="AM79" s="10">
        <f t="shared" ca="1" si="85"/>
        <v>0.9408726698793386</v>
      </c>
      <c r="AN79" s="10">
        <f t="shared" ca="1" si="85"/>
        <v>0.9457774757863292</v>
      </c>
      <c r="AO79" s="10">
        <f t="shared" ca="1" si="85"/>
        <v>0.95994781051322886</v>
      </c>
      <c r="AP79" s="10">
        <f t="shared" ca="1" si="85"/>
        <v>0.96206365809138006</v>
      </c>
      <c r="AQ79" s="10">
        <f t="shared" ca="1" si="85"/>
        <v>0.96094726804760333</v>
      </c>
      <c r="AR79" s="10">
        <f t="shared" ca="1" si="85"/>
        <v>0.97267686774776441</v>
      </c>
      <c r="AS79" s="10">
        <f t="shared" ca="1" si="85"/>
        <v>0.97347635451866366</v>
      </c>
      <c r="AT79" s="10">
        <f t="shared" ca="1" si="85"/>
        <v>0.97381471238314565</v>
      </c>
      <c r="AU79" s="10">
        <f t="shared" ca="1" si="85"/>
        <v>0.9863085205134583</v>
      </c>
      <c r="AV79" s="10">
        <f t="shared" ca="1" si="85"/>
        <v>0.98621032996057101</v>
      </c>
      <c r="AW79" s="10">
        <f t="shared" ca="1" si="85"/>
        <v>0.98563978642825545</v>
      </c>
      <c r="AX79" s="10">
        <v>1</v>
      </c>
      <c r="AY79" s="10">
        <v>1</v>
      </c>
      <c r="AZ79" s="10">
        <v>1</v>
      </c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  <c r="CW79" s="10"/>
      <c r="CX79" s="10"/>
      <c r="CY79" s="10"/>
      <c r="CZ79" s="10"/>
      <c r="DA79" s="10"/>
      <c r="DB79" s="10"/>
      <c r="DC79" s="10"/>
      <c r="DD79" s="10"/>
      <c r="DE79" s="10"/>
      <c r="DF79" s="10"/>
      <c r="DG79" s="10"/>
      <c r="DH79" s="10"/>
      <c r="DI79" s="10"/>
      <c r="DJ79" s="10"/>
      <c r="DK79" s="10"/>
      <c r="DL79" s="10"/>
      <c r="DM79" s="10"/>
      <c r="DN79" s="10"/>
      <c r="DO79" s="10"/>
      <c r="DP79" s="10"/>
      <c r="DQ79" s="10"/>
      <c r="DR79" s="10"/>
      <c r="DS79" s="10"/>
      <c r="DT79" s="10"/>
      <c r="DU79" s="10"/>
      <c r="DV79" s="10"/>
      <c r="DW79" s="10"/>
    </row>
    <row r="80" spans="3:127" x14ac:dyDescent="0.25">
      <c r="C80" s="6"/>
      <c r="F80" s="23">
        <f t="shared" si="13"/>
        <v>3.5</v>
      </c>
      <c r="G80" s="10">
        <f t="shared" ref="G80:AT80" si="86">G81/(1+LiborTenor*G33)</f>
        <v>0.85880407674257153</v>
      </c>
      <c r="H80" s="10">
        <f t="shared" ca="1" si="86"/>
        <v>0.86322557750256979</v>
      </c>
      <c r="I80" s="10">
        <f t="shared" ca="1" si="86"/>
        <v>0.8630010587089243</v>
      </c>
      <c r="J80" s="10">
        <f t="shared" ca="1" si="86"/>
        <v>0.8670300274705024</v>
      </c>
      <c r="K80" s="10">
        <f t="shared" ca="1" si="86"/>
        <v>0.87460079755103648</v>
      </c>
      <c r="L80" s="10">
        <f t="shared" ca="1" si="86"/>
        <v>0.87889174949423532</v>
      </c>
      <c r="M80" s="10">
        <f t="shared" ca="1" si="86"/>
        <v>0.87013506500105964</v>
      </c>
      <c r="N80" s="10">
        <f t="shared" ca="1" si="86"/>
        <v>0.88083752133105142</v>
      </c>
      <c r="O80" s="10">
        <f t="shared" ca="1" si="86"/>
        <v>0.87596957545010934</v>
      </c>
      <c r="P80" s="10">
        <f t="shared" ca="1" si="86"/>
        <v>0.87983131671677639</v>
      </c>
      <c r="Q80" s="10">
        <f t="shared" ca="1" si="86"/>
        <v>0.88872700871839283</v>
      </c>
      <c r="R80" s="10">
        <f t="shared" ca="1" si="86"/>
        <v>0.88517407211214305</v>
      </c>
      <c r="S80" s="10">
        <f t="shared" ca="1" si="86"/>
        <v>0.87821078463633373</v>
      </c>
      <c r="T80" s="10">
        <f t="shared" ca="1" si="86"/>
        <v>0.89136434387354668</v>
      </c>
      <c r="U80" s="10">
        <f t="shared" ca="1" si="86"/>
        <v>0.89173127323032819</v>
      </c>
      <c r="V80" s="10">
        <f t="shared" ca="1" si="86"/>
        <v>0.89555534179770191</v>
      </c>
      <c r="W80" s="10">
        <f t="shared" ca="1" si="86"/>
        <v>0.91435664823729634</v>
      </c>
      <c r="X80" s="10">
        <f t="shared" ca="1" si="86"/>
        <v>0.91220210049507555</v>
      </c>
      <c r="Y80" s="10">
        <f t="shared" ca="1" si="86"/>
        <v>0.91403218959594923</v>
      </c>
      <c r="Z80" s="10">
        <f t="shared" ca="1" si="86"/>
        <v>0.92154548914922629</v>
      </c>
      <c r="AA80" s="10">
        <f t="shared" ca="1" si="86"/>
        <v>0.91955158403775061</v>
      </c>
      <c r="AB80" s="10">
        <f t="shared" ca="1" si="86"/>
        <v>0.91987824220199954</v>
      </c>
      <c r="AC80" s="10">
        <f t="shared" ca="1" si="86"/>
        <v>0.93264417847338954</v>
      </c>
      <c r="AD80" s="10">
        <f t="shared" ca="1" si="86"/>
        <v>0.93353572487305136</v>
      </c>
      <c r="AE80" s="10">
        <f t="shared" ca="1" si="86"/>
        <v>0.9287902008427561</v>
      </c>
      <c r="AF80" s="10">
        <f t="shared" ca="1" si="86"/>
        <v>0.93963829406917387</v>
      </c>
      <c r="AG80" s="10">
        <f t="shared" ca="1" si="86"/>
        <v>0.93852737729635205</v>
      </c>
      <c r="AH80" s="10">
        <f t="shared" ca="1" si="86"/>
        <v>0.93724170342227042</v>
      </c>
      <c r="AI80" s="10">
        <f t="shared" ca="1" si="86"/>
        <v>0.94571485136652833</v>
      </c>
      <c r="AJ80" s="10">
        <f t="shared" ca="1" si="86"/>
        <v>0.94489935083617338</v>
      </c>
      <c r="AK80" s="10">
        <f t="shared" ca="1" si="86"/>
        <v>0.94207003261245281</v>
      </c>
      <c r="AL80" s="10">
        <f t="shared" ca="1" si="86"/>
        <v>0.95505168375123695</v>
      </c>
      <c r="AM80" s="10">
        <f t="shared" ca="1" si="86"/>
        <v>0.95540784325329764</v>
      </c>
      <c r="AN80" s="10">
        <f t="shared" ca="1" si="86"/>
        <v>0.95915698659894477</v>
      </c>
      <c r="AO80" s="10">
        <f t="shared" ca="1" si="86"/>
        <v>0.97318543712505556</v>
      </c>
      <c r="AP80" s="10">
        <f t="shared" ca="1" si="86"/>
        <v>0.97462286759689176</v>
      </c>
      <c r="AQ80" s="10">
        <f t="shared" ca="1" si="86"/>
        <v>0.973865370071059</v>
      </c>
      <c r="AR80" s="10">
        <f t="shared" ca="1" si="86"/>
        <v>0.98627480419284119</v>
      </c>
      <c r="AS80" s="10">
        <f t="shared" ca="1" si="86"/>
        <v>0.9866834304040214</v>
      </c>
      <c r="AT80" s="10">
        <f t="shared" ca="1" si="86"/>
        <v>0.98685635037058705</v>
      </c>
      <c r="AU80" s="10">
        <v>1</v>
      </c>
      <c r="AV80" s="10">
        <v>1</v>
      </c>
      <c r="AW80" s="10">
        <v>1</v>
      </c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  <c r="CW80" s="10"/>
      <c r="CX80" s="10"/>
      <c r="CY80" s="10"/>
      <c r="CZ80" s="10"/>
      <c r="DA80" s="10"/>
      <c r="DB80" s="10"/>
      <c r="DC80" s="10"/>
      <c r="DD80" s="10"/>
      <c r="DE80" s="10"/>
      <c r="DF80" s="10"/>
      <c r="DG80" s="10"/>
      <c r="DH80" s="10"/>
      <c r="DI80" s="10"/>
      <c r="DJ80" s="10"/>
      <c r="DK80" s="10"/>
      <c r="DL80" s="10"/>
      <c r="DM80" s="10"/>
      <c r="DN80" s="10"/>
      <c r="DO80" s="10"/>
      <c r="DP80" s="10"/>
      <c r="DQ80" s="10"/>
      <c r="DR80" s="10"/>
      <c r="DS80" s="10"/>
      <c r="DT80" s="10"/>
      <c r="DU80" s="10"/>
      <c r="DV80" s="10"/>
      <c r="DW80" s="10"/>
    </row>
    <row r="81" spans="3:127" x14ac:dyDescent="0.25">
      <c r="C81" s="6"/>
      <c r="F81" s="23">
        <f t="shared" si="13"/>
        <v>3.25</v>
      </c>
      <c r="G81" s="10">
        <f t="shared" ref="G81:AQ81" si="87">G82/(1+LiborTenor*G34)</f>
        <v>0.86880109294840313</v>
      </c>
      <c r="H81" s="10">
        <f t="shared" ca="1" si="87"/>
        <v>0.87364415911360738</v>
      </c>
      <c r="I81" s="10">
        <f t="shared" ca="1" si="87"/>
        <v>0.87343838095197923</v>
      </c>
      <c r="J81" s="10">
        <f t="shared" ca="1" si="87"/>
        <v>0.87714688214689118</v>
      </c>
      <c r="K81" s="10">
        <f t="shared" ca="1" si="87"/>
        <v>0.88492867902294325</v>
      </c>
      <c r="L81" s="10">
        <f t="shared" ca="1" si="87"/>
        <v>0.8888552977208819</v>
      </c>
      <c r="M81" s="10">
        <f t="shared" ca="1" si="87"/>
        <v>0.88084081191171038</v>
      </c>
      <c r="N81" s="10">
        <f t="shared" ca="1" si="87"/>
        <v>0.89153668103871953</v>
      </c>
      <c r="O81" s="10">
        <f t="shared" ca="1" si="87"/>
        <v>0.88711214655656934</v>
      </c>
      <c r="P81" s="10">
        <f t="shared" ca="1" si="87"/>
        <v>0.89062321047490622</v>
      </c>
      <c r="Q81" s="10">
        <f t="shared" ca="1" si="87"/>
        <v>0.89970718168746533</v>
      </c>
      <c r="R81" s="10">
        <f t="shared" ca="1" si="87"/>
        <v>0.8965055406961433</v>
      </c>
      <c r="S81" s="10">
        <f t="shared" ca="1" si="87"/>
        <v>0.89022701529757176</v>
      </c>
      <c r="T81" s="10">
        <f t="shared" ca="1" si="87"/>
        <v>0.90325633264470839</v>
      </c>
      <c r="U81" s="10">
        <f t="shared" ca="1" si="87"/>
        <v>0.90358473564831909</v>
      </c>
      <c r="V81" s="10">
        <f t="shared" ca="1" si="87"/>
        <v>0.90699621136794251</v>
      </c>
      <c r="W81" s="10">
        <f t="shared" ca="1" si="87"/>
        <v>0.92492086538276241</v>
      </c>
      <c r="X81" s="10">
        <f t="shared" ca="1" si="87"/>
        <v>0.92302821628236376</v>
      </c>
      <c r="Y81" s="10">
        <f t="shared" ca="1" si="87"/>
        <v>0.92463714234093897</v>
      </c>
      <c r="Z81" s="10">
        <f t="shared" ca="1" si="87"/>
        <v>0.932605424524661</v>
      </c>
      <c r="AA81" s="10">
        <f t="shared" ca="1" si="87"/>
        <v>0.93088593491665461</v>
      </c>
      <c r="AB81" s="10">
        <f t="shared" ca="1" si="87"/>
        <v>0.93116851401641387</v>
      </c>
      <c r="AC81" s="10">
        <f t="shared" ca="1" si="87"/>
        <v>0.94373971991824568</v>
      </c>
      <c r="AD81" s="10">
        <f t="shared" ca="1" si="87"/>
        <v>0.94448925617518908</v>
      </c>
      <c r="AE81" s="10">
        <f t="shared" ca="1" si="87"/>
        <v>0.94050197983980277</v>
      </c>
      <c r="AF81" s="10">
        <f t="shared" ca="1" si="87"/>
        <v>0.95157636748649732</v>
      </c>
      <c r="AG81" s="10">
        <f t="shared" ca="1" si="87"/>
        <v>0.95067867465633338</v>
      </c>
      <c r="AH81" s="10">
        <f t="shared" ca="1" si="87"/>
        <v>0.94963941722788114</v>
      </c>
      <c r="AI81" s="10">
        <f t="shared" ca="1" si="87"/>
        <v>0.95913445515795226</v>
      </c>
      <c r="AJ81" s="10">
        <f t="shared" ca="1" si="87"/>
        <v>0.95851556997865472</v>
      </c>
      <c r="AK81" s="10">
        <f t="shared" ca="1" si="87"/>
        <v>0.95636605600352409</v>
      </c>
      <c r="AL81" s="10">
        <f t="shared" ca="1" si="87"/>
        <v>0.96989317990480339</v>
      </c>
      <c r="AM81" s="10">
        <f t="shared" ca="1" si="87"/>
        <v>0.97013454608407212</v>
      </c>
      <c r="AN81" s="10">
        <f t="shared" ca="1" si="87"/>
        <v>0.97266940536907587</v>
      </c>
      <c r="AO81" s="10">
        <f t="shared" ca="1" si="87"/>
        <v>0.98654241236121865</v>
      </c>
      <c r="AP81" s="10">
        <f t="shared" ca="1" si="87"/>
        <v>0.98727112554415442</v>
      </c>
      <c r="AQ81" s="10">
        <f t="shared" ca="1" si="87"/>
        <v>0.98688749227471639</v>
      </c>
      <c r="AR81" s="10">
        <v>1</v>
      </c>
      <c r="AS81" s="10">
        <v>1</v>
      </c>
      <c r="AT81" s="10">
        <v>1</v>
      </c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  <c r="CW81" s="10"/>
      <c r="CX81" s="10"/>
      <c r="CY81" s="10"/>
      <c r="CZ81" s="10"/>
      <c r="DA81" s="10"/>
      <c r="DB81" s="10"/>
      <c r="DC81" s="10"/>
      <c r="DD81" s="10"/>
      <c r="DE81" s="10"/>
      <c r="DF81" s="10"/>
      <c r="DG81" s="10"/>
      <c r="DH81" s="10"/>
      <c r="DI81" s="10"/>
      <c r="DJ81" s="10"/>
      <c r="DK81" s="10"/>
      <c r="DL81" s="10"/>
      <c r="DM81" s="10"/>
      <c r="DN81" s="10"/>
      <c r="DO81" s="10"/>
      <c r="DP81" s="10"/>
      <c r="DQ81" s="10"/>
      <c r="DR81" s="10"/>
      <c r="DS81" s="10"/>
      <c r="DT81" s="10"/>
      <c r="DU81" s="10"/>
      <c r="DV81" s="10"/>
      <c r="DW81" s="10"/>
    </row>
    <row r="82" spans="3:127" x14ac:dyDescent="0.25">
      <c r="C82" s="6"/>
      <c r="F82" s="23">
        <f t="shared" si="13"/>
        <v>3</v>
      </c>
      <c r="G82" s="10">
        <f t="shared" ref="G82:AN82" si="88">G83/(1+LiborTenor*G35)</f>
        <v>0.878846605585619</v>
      </c>
      <c r="H82" s="10">
        <f t="shared" ca="1" si="88"/>
        <v>0.8841250983186405</v>
      </c>
      <c r="I82" s="10">
        <f t="shared" ca="1" si="88"/>
        <v>0.88393849125891166</v>
      </c>
      <c r="J82" s="10">
        <f t="shared" ca="1" si="88"/>
        <v>0.88731758864147015</v>
      </c>
      <c r="K82" s="10">
        <f t="shared" ca="1" si="88"/>
        <v>0.89531358278533446</v>
      </c>
      <c r="L82" s="10">
        <f t="shared" ca="1" si="88"/>
        <v>0.89886615516208179</v>
      </c>
      <c r="M82" s="10">
        <f t="shared" ca="1" si="88"/>
        <v>0.89161315033726274</v>
      </c>
      <c r="N82" s="10">
        <f t="shared" ca="1" si="88"/>
        <v>0.90229954153409275</v>
      </c>
      <c r="O82" s="10">
        <f t="shared" ca="1" si="88"/>
        <v>0.89833056716106918</v>
      </c>
      <c r="P82" s="10">
        <f t="shared" ca="1" si="88"/>
        <v>0.90148072759494147</v>
      </c>
      <c r="Q82" s="10">
        <f t="shared" ca="1" si="88"/>
        <v>0.91075538207683393</v>
      </c>
      <c r="R82" s="10">
        <f t="shared" ca="1" si="88"/>
        <v>0.90791466104434315</v>
      </c>
      <c r="S82" s="10">
        <f t="shared" ca="1" si="88"/>
        <v>0.90234108445792227</v>
      </c>
      <c r="T82" s="10">
        <f t="shared" ca="1" si="88"/>
        <v>0.91523874517342019</v>
      </c>
      <c r="U82" s="10">
        <f t="shared" ca="1" si="88"/>
        <v>0.91552716740718509</v>
      </c>
      <c r="V82" s="10">
        <f t="shared" ca="1" si="88"/>
        <v>0.91851364206756203</v>
      </c>
      <c r="W82" s="10">
        <f t="shared" ca="1" si="88"/>
        <v>0.93553513843868852</v>
      </c>
      <c r="X82" s="10">
        <f t="shared" ca="1" si="88"/>
        <v>0.93391071882626553</v>
      </c>
      <c r="Y82" s="10">
        <f t="shared" ca="1" si="88"/>
        <v>0.93529265417572305</v>
      </c>
      <c r="Z82" s="10">
        <f t="shared" ca="1" si="88"/>
        <v>0.94372472426688814</v>
      </c>
      <c r="AA82" s="10">
        <f t="shared" ca="1" si="88"/>
        <v>0.94228654494019293</v>
      </c>
      <c r="AB82" s="10">
        <f t="shared" ca="1" si="88"/>
        <v>0.94252361730221168</v>
      </c>
      <c r="AC82" s="10">
        <f t="shared" ca="1" si="88"/>
        <v>0.95489218984308499</v>
      </c>
      <c r="AD82" s="10">
        <f t="shared" ca="1" si="88"/>
        <v>0.95549593483495165</v>
      </c>
      <c r="AE82" s="10">
        <f t="shared" ca="1" si="88"/>
        <v>0.9522860359996177</v>
      </c>
      <c r="AF82" s="10">
        <f t="shared" ca="1" si="88"/>
        <v>0.96358957243394949</v>
      </c>
      <c r="AG82" s="10">
        <f t="shared" ca="1" si="88"/>
        <v>0.96291062550541073</v>
      </c>
      <c r="AH82" s="10">
        <f t="shared" ca="1" si="88"/>
        <v>0.96212436503084664</v>
      </c>
      <c r="AI82" s="10">
        <f t="shared" ca="1" si="88"/>
        <v>0.97266716275889598</v>
      </c>
      <c r="AJ82" s="10">
        <f t="shared" ca="1" si="88"/>
        <v>0.97225058992926094</v>
      </c>
      <c r="AK82" s="10">
        <f t="shared" ca="1" si="88"/>
        <v>0.9708022043570923</v>
      </c>
      <c r="AL82" s="10">
        <f t="shared" ca="1" si="88"/>
        <v>0.98488748912211366</v>
      </c>
      <c r="AM82" s="10">
        <f t="shared" ca="1" si="88"/>
        <v>0.98500979162844837</v>
      </c>
      <c r="AN82" s="10">
        <f t="shared" ca="1" si="88"/>
        <v>0.98629125819996621</v>
      </c>
      <c r="AO82" s="10">
        <v>1</v>
      </c>
      <c r="AP82" s="10">
        <v>1</v>
      </c>
      <c r="AQ82" s="10">
        <v>1</v>
      </c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  <c r="CW82" s="10"/>
      <c r="CX82" s="10"/>
      <c r="CY82" s="10"/>
      <c r="CZ82" s="10"/>
      <c r="DA82" s="10"/>
      <c r="DB82" s="10"/>
      <c r="DC82" s="10"/>
      <c r="DD82" s="10"/>
      <c r="DE82" s="10"/>
      <c r="DF82" s="10"/>
      <c r="DG82" s="10"/>
      <c r="DH82" s="10"/>
      <c r="DI82" s="10"/>
      <c r="DJ82" s="10"/>
      <c r="DK82" s="10"/>
      <c r="DL82" s="10"/>
      <c r="DM82" s="10"/>
      <c r="DN82" s="10"/>
      <c r="DO82" s="10"/>
      <c r="DP82" s="10"/>
      <c r="DQ82" s="10"/>
      <c r="DR82" s="10"/>
      <c r="DS82" s="10"/>
      <c r="DT82" s="10"/>
      <c r="DU82" s="10"/>
      <c r="DV82" s="10"/>
      <c r="DW82" s="10"/>
    </row>
    <row r="83" spans="3:127" x14ac:dyDescent="0.25">
      <c r="C83" s="6"/>
      <c r="F83" s="23">
        <f t="shared" si="13"/>
        <v>2.75</v>
      </c>
      <c r="G83" s="10">
        <f t="shared" ref="G83:AK83" si="89">G84/(1+LiborTenor*G36)</f>
        <v>0.88893960957164131</v>
      </c>
      <c r="H83" s="10">
        <f t="shared" ca="1" si="89"/>
        <v>0.89465989096686838</v>
      </c>
      <c r="I83" s="10">
        <f t="shared" ca="1" si="89"/>
        <v>0.89449257778470326</v>
      </c>
      <c r="J83" s="10">
        <f t="shared" ca="1" si="89"/>
        <v>0.89753603511371549</v>
      </c>
      <c r="K83" s="10">
        <f t="shared" ca="1" si="89"/>
        <v>0.90574845519694747</v>
      </c>
      <c r="L83" s="10">
        <f t="shared" ca="1" si="89"/>
        <v>0.90892025427364365</v>
      </c>
      <c r="M83" s="10">
        <f t="shared" ca="1" si="89"/>
        <v>0.90244215636780822</v>
      </c>
      <c r="N83" s="10">
        <f t="shared" ca="1" si="89"/>
        <v>0.9131170896339208</v>
      </c>
      <c r="O83" s="10">
        <f t="shared" ca="1" si="89"/>
        <v>0.909612141286261</v>
      </c>
      <c r="P83" s="10">
        <f t="shared" ca="1" si="89"/>
        <v>0.91239419466428839</v>
      </c>
      <c r="Q83" s="10">
        <f t="shared" ca="1" si="89"/>
        <v>0.92186124087143817</v>
      </c>
      <c r="R83" s="10">
        <f t="shared" ca="1" si="89"/>
        <v>0.91938812950296467</v>
      </c>
      <c r="S83" s="10">
        <f t="shared" ca="1" si="89"/>
        <v>0.9145338143998808</v>
      </c>
      <c r="T83" s="10">
        <f t="shared" ca="1" si="89"/>
        <v>0.92729458248876262</v>
      </c>
      <c r="U83" s="10">
        <f t="shared" ca="1" si="89"/>
        <v>0.92754190105964096</v>
      </c>
      <c r="V83" s="10">
        <f t="shared" ca="1" si="89"/>
        <v>0.93009457959928721</v>
      </c>
      <c r="W83" s="10">
        <f t="shared" ca="1" si="89"/>
        <v>0.94619477647116323</v>
      </c>
      <c r="X83" s="10">
        <f t="shared" ca="1" si="89"/>
        <v>0.94484290054025033</v>
      </c>
      <c r="Y83" s="10">
        <f t="shared" ca="1" si="89"/>
        <v>0.94599375554910359</v>
      </c>
      <c r="Z83" s="10">
        <f t="shared" ca="1" si="89"/>
        <v>0.95489577027930428</v>
      </c>
      <c r="AA83" s="10">
        <f t="shared" ca="1" si="89"/>
        <v>0.953743633712683</v>
      </c>
      <c r="AB83" s="10">
        <f t="shared" ca="1" si="89"/>
        <v>0.95393412109177789</v>
      </c>
      <c r="AC83" s="10">
        <f t="shared" ca="1" si="89"/>
        <v>0.96609463473901147</v>
      </c>
      <c r="AD83" s="10">
        <f t="shared" ca="1" si="89"/>
        <v>0.96654990054702428</v>
      </c>
      <c r="AE83" s="10">
        <f t="shared" ca="1" si="89"/>
        <v>0.96413072835135349</v>
      </c>
      <c r="AF83" s="10">
        <f t="shared" ca="1" si="89"/>
        <v>0.97566544743189842</v>
      </c>
      <c r="AG83" s="10">
        <f t="shared" ca="1" si="89"/>
        <v>0.97520904412943388</v>
      </c>
      <c r="AH83" s="10">
        <f t="shared" ca="1" si="89"/>
        <v>0.97468033895327133</v>
      </c>
      <c r="AI83" s="10">
        <f t="shared" ca="1" si="89"/>
        <v>0.98628947428139646</v>
      </c>
      <c r="AJ83" s="10">
        <f t="shared" ca="1" si="89"/>
        <v>0.98607919998246851</v>
      </c>
      <c r="AK83" s="10">
        <f t="shared" ca="1" si="89"/>
        <v>0.98534732100517897</v>
      </c>
      <c r="AL83" s="10">
        <v>1</v>
      </c>
      <c r="AM83" s="10">
        <v>1</v>
      </c>
      <c r="AN83" s="10">
        <v>1</v>
      </c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  <c r="CV83" s="10"/>
      <c r="CW83" s="10"/>
      <c r="CX83" s="10"/>
      <c r="CY83" s="10"/>
      <c r="CZ83" s="10"/>
      <c r="DA83" s="10"/>
      <c r="DB83" s="10"/>
      <c r="DC83" s="10"/>
      <c r="DD83" s="10"/>
      <c r="DE83" s="10"/>
      <c r="DF83" s="10"/>
      <c r="DG83" s="10"/>
      <c r="DH83" s="10"/>
      <c r="DI83" s="10"/>
      <c r="DJ83" s="10"/>
      <c r="DK83" s="10"/>
      <c r="DL83" s="10"/>
      <c r="DM83" s="10"/>
      <c r="DN83" s="10"/>
      <c r="DO83" s="10"/>
      <c r="DP83" s="10"/>
      <c r="DQ83" s="10"/>
      <c r="DR83" s="10"/>
      <c r="DS83" s="10"/>
      <c r="DT83" s="10"/>
      <c r="DU83" s="10"/>
      <c r="DV83" s="10"/>
      <c r="DW83" s="10"/>
    </row>
    <row r="84" spans="3:127" x14ac:dyDescent="0.25">
      <c r="C84" s="6"/>
      <c r="F84" s="23">
        <f t="shared" si="13"/>
        <v>2.5</v>
      </c>
      <c r="G84" s="10">
        <f t="shared" ref="G84:AH84" si="90">G85/(1+LiborTenor*G37)</f>
        <v>0.8990790769933179</v>
      </c>
      <c r="H84" s="10">
        <f t="shared" ca="1" si="90"/>
        <v>0.9052474745086293</v>
      </c>
      <c r="I84" s="10">
        <f t="shared" ca="1" si="90"/>
        <v>0.90509957333481084</v>
      </c>
      <c r="J84" s="10">
        <f t="shared" ca="1" si="90"/>
        <v>0.90780117228769264</v>
      </c>
      <c r="K84" s="10">
        <f t="shared" ca="1" si="90"/>
        <v>0.91623222534833115</v>
      </c>
      <c r="L84" s="10">
        <f t="shared" ca="1" si="90"/>
        <v>0.91901654989860404</v>
      </c>
      <c r="M84" s="10">
        <f t="shared" ca="1" si="90"/>
        <v>0.91332672827469319</v>
      </c>
      <c r="N84" s="10">
        <f t="shared" ca="1" si="90"/>
        <v>0.92398821534997655</v>
      </c>
      <c r="O84" s="10">
        <f t="shared" ca="1" si="90"/>
        <v>0.92095573103888562</v>
      </c>
      <c r="P84" s="10">
        <f t="shared" ca="1" si="90"/>
        <v>0.92336248837412649</v>
      </c>
      <c r="Q84" s="10">
        <f t="shared" ca="1" si="90"/>
        <v>0.93302361434298187</v>
      </c>
      <c r="R84" s="10">
        <f t="shared" ca="1" si="90"/>
        <v>0.93092477945169572</v>
      </c>
      <c r="S84" s="10">
        <f t="shared" ca="1" si="90"/>
        <v>0.92680401359426612</v>
      </c>
      <c r="T84" s="10">
        <f t="shared" ca="1" si="90"/>
        <v>0.93942263838248896</v>
      </c>
      <c r="U84" s="10">
        <f t="shared" ca="1" si="90"/>
        <v>0.9396277262442374</v>
      </c>
      <c r="V84" s="10">
        <f t="shared" ca="1" si="90"/>
        <v>0.94173782635305803</v>
      </c>
      <c r="W84" s="10">
        <f t="shared" ca="1" si="90"/>
        <v>0.956898639918626</v>
      </c>
      <c r="X84" s="10">
        <f t="shared" ca="1" si="90"/>
        <v>0.95582359523757721</v>
      </c>
      <c r="Y84" s="10">
        <f t="shared" ca="1" si="90"/>
        <v>0.95673929729202056</v>
      </c>
      <c r="Z84" s="10">
        <f t="shared" ca="1" si="90"/>
        <v>0.96611736719790609</v>
      </c>
      <c r="AA84" s="10">
        <f t="shared" ca="1" si="90"/>
        <v>0.96525598023838455</v>
      </c>
      <c r="AB84" s="10">
        <f t="shared" ca="1" si="90"/>
        <v>0.96539880406980971</v>
      </c>
      <c r="AC84" s="10">
        <f t="shared" ca="1" si="90"/>
        <v>0.97734584348939968</v>
      </c>
      <c r="AD84" s="10">
        <f t="shared" ca="1" si="90"/>
        <v>0.97764995250704056</v>
      </c>
      <c r="AE84" s="10">
        <f t="shared" ca="1" si="90"/>
        <v>0.97603478797942311</v>
      </c>
      <c r="AF84" s="10">
        <f t="shared" ca="1" si="90"/>
        <v>0.98780269786531283</v>
      </c>
      <c r="AG84" s="10">
        <f t="shared" ca="1" si="90"/>
        <v>0.98757261704355759</v>
      </c>
      <c r="AH84" s="10">
        <f t="shared" ca="1" si="90"/>
        <v>0.9873060058938119</v>
      </c>
      <c r="AI84" s="10">
        <v>1</v>
      </c>
      <c r="AJ84" s="10">
        <v>1</v>
      </c>
      <c r="AK84" s="10">
        <v>1</v>
      </c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  <c r="CW84" s="10"/>
      <c r="CX84" s="10"/>
      <c r="CY84" s="10"/>
      <c r="CZ84" s="10"/>
      <c r="DA84" s="10"/>
      <c r="DB84" s="10"/>
      <c r="DC84" s="10"/>
      <c r="DD84" s="10"/>
      <c r="DE84" s="10"/>
      <c r="DF84" s="10"/>
      <c r="DG84" s="10"/>
      <c r="DH84" s="10"/>
      <c r="DI84" s="10"/>
      <c r="DJ84" s="10"/>
      <c r="DK84" s="10"/>
      <c r="DL84" s="10"/>
      <c r="DM84" s="10"/>
      <c r="DN84" s="10"/>
      <c r="DO84" s="10"/>
      <c r="DP84" s="10"/>
      <c r="DQ84" s="10"/>
      <c r="DR84" s="10"/>
      <c r="DS84" s="10"/>
      <c r="DT84" s="10"/>
      <c r="DU84" s="10"/>
      <c r="DV84" s="10"/>
      <c r="DW84" s="10"/>
    </row>
    <row r="85" spans="3:127" x14ac:dyDescent="0.25">
      <c r="C85" s="6"/>
      <c r="F85" s="23">
        <f t="shared" si="13"/>
        <v>2.25</v>
      </c>
      <c r="G85" s="10">
        <f t="shared" ref="G85:AE85" si="91">G86/(1+LiborTenor*G38)</f>
        <v>0.90926395716238273</v>
      </c>
      <c r="H85" s="10">
        <f t="shared" ca="1" si="91"/>
        <v>0.91588676089855359</v>
      </c>
      <c r="I85" s="10">
        <f t="shared" ca="1" si="91"/>
        <v>0.91575838517793962</v>
      </c>
      <c r="J85" s="10">
        <f t="shared" ca="1" si="91"/>
        <v>0.91811192802013863</v>
      </c>
      <c r="K85" s="10">
        <f t="shared" ca="1" si="91"/>
        <v>0.92676379850209667</v>
      </c>
      <c r="L85" s="10">
        <f t="shared" ca="1" si="91"/>
        <v>0.92915397591918614</v>
      </c>
      <c r="M85" s="10">
        <f t="shared" ca="1" si="91"/>
        <v>0.92426573766079489</v>
      </c>
      <c r="N85" s="10">
        <f t="shared" ca="1" si="91"/>
        <v>0.93491178286360455</v>
      </c>
      <c r="O85" s="10">
        <f t="shared" ca="1" si="91"/>
        <v>0.93236016906051566</v>
      </c>
      <c r="P85" s="10">
        <f t="shared" ca="1" si="91"/>
        <v>0.93438445907128165</v>
      </c>
      <c r="Q85" s="10">
        <f t="shared" ca="1" si="91"/>
        <v>0.94424133167272195</v>
      </c>
      <c r="R85" s="10">
        <f t="shared" ca="1" si="91"/>
        <v>0.94252341429923481</v>
      </c>
      <c r="S85" s="10">
        <f t="shared" ca="1" si="91"/>
        <v>0.93915045430941435</v>
      </c>
      <c r="T85" s="10">
        <f t="shared" ca="1" si="91"/>
        <v>0.95162167272165088</v>
      </c>
      <c r="U85" s="10">
        <f t="shared" ca="1" si="91"/>
        <v>0.95178339917667798</v>
      </c>
      <c r="V85" s="10">
        <f t="shared" ca="1" si="91"/>
        <v>0.95344215514836905</v>
      </c>
      <c r="W85" s="10">
        <f t="shared" ca="1" si="91"/>
        <v>0.96764556745664321</v>
      </c>
      <c r="X85" s="10">
        <f t="shared" ca="1" si="91"/>
        <v>0.96685161314697965</v>
      </c>
      <c r="Y85" s="10">
        <f t="shared" ca="1" si="91"/>
        <v>0.96752810841653292</v>
      </c>
      <c r="Z85" s="10">
        <f t="shared" ca="1" si="91"/>
        <v>0.97738829520060766</v>
      </c>
      <c r="AA85" s="10">
        <f t="shared" ca="1" si="91"/>
        <v>0.97682233704130217</v>
      </c>
      <c r="AB85" s="10">
        <f t="shared" ca="1" si="91"/>
        <v>0.97691641892741099</v>
      </c>
      <c r="AC85" s="10">
        <f t="shared" ca="1" si="91"/>
        <v>0.98864458131874844</v>
      </c>
      <c r="AD85" s="10">
        <f t="shared" ca="1" si="91"/>
        <v>0.9887948674243533</v>
      </c>
      <c r="AE85" s="10">
        <f t="shared" ca="1" si="91"/>
        <v>0.98799691773744502</v>
      </c>
      <c r="AF85" s="10">
        <v>1</v>
      </c>
      <c r="AG85" s="10">
        <v>1</v>
      </c>
      <c r="AH85" s="10">
        <v>1</v>
      </c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  <c r="CW85" s="10"/>
      <c r="CX85" s="10"/>
      <c r="CY85" s="10"/>
      <c r="CZ85" s="10"/>
      <c r="DA85" s="10"/>
      <c r="DB85" s="10"/>
      <c r="DC85" s="10"/>
      <c r="DD85" s="10"/>
      <c r="DE85" s="10"/>
      <c r="DF85" s="10"/>
      <c r="DG85" s="10"/>
      <c r="DH85" s="10"/>
      <c r="DI85" s="10"/>
      <c r="DJ85" s="10"/>
      <c r="DK85" s="10"/>
      <c r="DL85" s="10"/>
      <c r="DM85" s="10"/>
      <c r="DN85" s="10"/>
      <c r="DO85" s="10"/>
      <c r="DP85" s="10"/>
      <c r="DQ85" s="10"/>
      <c r="DR85" s="10"/>
      <c r="DS85" s="10"/>
      <c r="DT85" s="10"/>
      <c r="DU85" s="10"/>
      <c r="DV85" s="10"/>
      <c r="DW85" s="10"/>
    </row>
    <row r="86" spans="3:127" x14ac:dyDescent="0.25">
      <c r="C86" s="6"/>
      <c r="F86" s="23">
        <f t="shared" si="13"/>
        <v>2</v>
      </c>
      <c r="G86" s="10">
        <f t="shared" ref="G86:AB86" si="92">G87/(1+LiborTenor*G39)</f>
        <v>0.91949317668045949</v>
      </c>
      <c r="H86" s="10">
        <f t="shared" ca="1" si="92"/>
        <v>0.92657148798120859</v>
      </c>
      <c r="I86" s="10">
        <f t="shared" ca="1" si="92"/>
        <v>0.92646217371492701</v>
      </c>
      <c r="J86" s="10">
        <f t="shared" ca="1" si="92"/>
        <v>0.92847693725758718</v>
      </c>
      <c r="K86" s="10">
        <f t="shared" ca="1" si="92"/>
        <v>0.93734697505290754</v>
      </c>
      <c r="L86" s="10">
        <f t="shared" ca="1" si="92"/>
        <v>0.939353308640139</v>
      </c>
      <c r="M86" s="10">
        <f t="shared" ca="1" si="92"/>
        <v>0.93524683396841179</v>
      </c>
      <c r="N86" s="10">
        <f t="shared" ca="1" si="92"/>
        <v>0.94588120924559682</v>
      </c>
      <c r="O86" s="10">
        <f t="shared" ca="1" si="92"/>
        <v>0.94379783800425721</v>
      </c>
      <c r="P86" s="10">
        <f t="shared" ca="1" si="92"/>
        <v>0.94544995029981194</v>
      </c>
      <c r="Q86" s="10">
        <f t="shared" ca="1" si="92"/>
        <v>0.95550083438197109</v>
      </c>
      <c r="R86" s="10">
        <f t="shared" ca="1" si="92"/>
        <v>0.9541537183280997</v>
      </c>
      <c r="S86" s="10">
        <f t="shared" ca="1" si="92"/>
        <v>0.95150881241899432</v>
      </c>
      <c r="T86" s="10">
        <f t="shared" ca="1" si="92"/>
        <v>0.96384076697314269</v>
      </c>
      <c r="U86" s="10">
        <f t="shared" ca="1" si="92"/>
        <v>0.96396003390283036</v>
      </c>
      <c r="V86" s="10">
        <f t="shared" ca="1" si="92"/>
        <v>0.96517967315075837</v>
      </c>
      <c r="W86" s="10">
        <f t="shared" ca="1" si="92"/>
        <v>0.97845586795727924</v>
      </c>
      <c r="X86" s="10">
        <f t="shared" ca="1" si="92"/>
        <v>0.97793601093767568</v>
      </c>
      <c r="Y86" s="10">
        <f t="shared" ca="1" si="92"/>
        <v>0.97837908942641361</v>
      </c>
      <c r="Z86" s="10">
        <f t="shared" ca="1" si="92"/>
        <v>0.98871317090716571</v>
      </c>
      <c r="AA86" s="10">
        <f t="shared" ca="1" si="92"/>
        <v>0.98843517477678888</v>
      </c>
      <c r="AB86" s="10">
        <f t="shared" ca="1" si="92"/>
        <v>0.988481500255321</v>
      </c>
      <c r="AC86" s="10">
        <v>1</v>
      </c>
      <c r="AD86" s="10">
        <v>1</v>
      </c>
      <c r="AE86" s="10">
        <v>1</v>
      </c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  <c r="CV86" s="10"/>
      <c r="CW86" s="10"/>
      <c r="CX86" s="10"/>
      <c r="CY86" s="10"/>
      <c r="CZ86" s="10"/>
      <c r="DA86" s="10"/>
      <c r="DB86" s="10"/>
      <c r="DC86" s="10"/>
      <c r="DD86" s="10"/>
      <c r="DE86" s="10"/>
      <c r="DF86" s="10"/>
      <c r="DG86" s="10"/>
      <c r="DH86" s="10"/>
      <c r="DI86" s="10"/>
      <c r="DJ86" s="10"/>
      <c r="DK86" s="10"/>
      <c r="DL86" s="10"/>
      <c r="DM86" s="10"/>
      <c r="DN86" s="10"/>
      <c r="DO86" s="10"/>
      <c r="DP86" s="10"/>
      <c r="DQ86" s="10"/>
      <c r="DR86" s="10"/>
      <c r="DS86" s="10"/>
      <c r="DT86" s="10"/>
      <c r="DU86" s="10"/>
      <c r="DV86" s="10"/>
      <c r="DW86" s="10"/>
    </row>
    <row r="87" spans="3:127" x14ac:dyDescent="0.25">
      <c r="C87" s="6"/>
      <c r="F87" s="23">
        <f t="shared" si="13"/>
        <v>1.75</v>
      </c>
      <c r="G87" s="10">
        <f t="shared" ref="G87:Y87" si="93">G88/(1+LiborTenor*G40)</f>
        <v>0.92969380410925828</v>
      </c>
      <c r="H87" s="10">
        <f t="shared" ca="1" si="93"/>
        <v>0.93721512336781088</v>
      </c>
      <c r="I87" s="10">
        <f t="shared" ca="1" si="93"/>
        <v>0.93712398316764678</v>
      </c>
      <c r="J87" s="10">
        <f t="shared" ca="1" si="93"/>
        <v>0.93881221640571277</v>
      </c>
      <c r="K87" s="10">
        <f t="shared" ca="1" si="93"/>
        <v>0.94789595279870176</v>
      </c>
      <c r="L87" s="10">
        <f t="shared" ca="1" si="93"/>
        <v>0.94953210550747635</v>
      </c>
      <c r="M87" s="10">
        <f t="shared" ca="1" si="93"/>
        <v>0.94618066595891626</v>
      </c>
      <c r="N87" s="10">
        <f t="shared" ca="1" si="93"/>
        <v>0.95680734229313513</v>
      </c>
      <c r="O87" s="10">
        <f t="shared" ca="1" si="93"/>
        <v>0.95517548637119054</v>
      </c>
      <c r="P87" s="10">
        <f t="shared" ca="1" si="93"/>
        <v>0.95646897339407533</v>
      </c>
      <c r="Q87" s="10">
        <f t="shared" ca="1" si="93"/>
        <v>0.9667105385317144</v>
      </c>
      <c r="R87" s="10">
        <f t="shared" ca="1" si="93"/>
        <v>0.96572087751960545</v>
      </c>
      <c r="S87" s="10">
        <f t="shared" ca="1" si="93"/>
        <v>0.96377786895452355</v>
      </c>
      <c r="T87" s="10">
        <f t="shared" ca="1" si="93"/>
        <v>0.97598002691570029</v>
      </c>
      <c r="U87" s="10">
        <f t="shared" ca="1" si="93"/>
        <v>0.97605814143892011</v>
      </c>
      <c r="V87" s="10">
        <f t="shared" ca="1" si="93"/>
        <v>0.97685473100365861</v>
      </c>
      <c r="W87" s="10">
        <f t="shared" ca="1" si="93"/>
        <v>0.98924193032256669</v>
      </c>
      <c r="X87" s="10">
        <f t="shared" ca="1" si="93"/>
        <v>0.98898679254661193</v>
      </c>
      <c r="Y87" s="10">
        <f t="shared" ca="1" si="93"/>
        <v>0.98920430451905739</v>
      </c>
      <c r="Z87" s="10">
        <v>1</v>
      </c>
      <c r="AA87" s="10">
        <v>1</v>
      </c>
      <c r="AB87" s="10">
        <v>1</v>
      </c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  <c r="CW87" s="10"/>
      <c r="CX87" s="10"/>
      <c r="CY87" s="10"/>
      <c r="CZ87" s="10"/>
      <c r="DA87" s="10"/>
      <c r="DB87" s="10"/>
      <c r="DC87" s="10"/>
      <c r="DD87" s="10"/>
      <c r="DE87" s="10"/>
      <c r="DF87" s="10"/>
      <c r="DG87" s="10"/>
      <c r="DH87" s="10"/>
      <c r="DI87" s="10"/>
      <c r="DJ87" s="10"/>
      <c r="DK87" s="10"/>
      <c r="DL87" s="10"/>
      <c r="DM87" s="10"/>
      <c r="DN87" s="10"/>
      <c r="DO87" s="10"/>
      <c r="DP87" s="10"/>
      <c r="DQ87" s="10"/>
      <c r="DR87" s="10"/>
      <c r="DS87" s="10"/>
      <c r="DT87" s="10"/>
      <c r="DU87" s="10"/>
      <c r="DV87" s="10"/>
      <c r="DW87" s="10"/>
    </row>
    <row r="88" spans="3:127" x14ac:dyDescent="0.25">
      <c r="C88" s="6"/>
      <c r="F88" s="23">
        <f t="shared" si="13"/>
        <v>1.5</v>
      </c>
      <c r="G88" s="10">
        <f t="shared" ref="G88:V88" si="94">G89/(1+LiborTenor*G41)</f>
        <v>0.93986233009170339</v>
      </c>
      <c r="H88" s="10">
        <f t="shared" ca="1" si="94"/>
        <v>0.94781385184807243</v>
      </c>
      <c r="I88" s="10">
        <f t="shared" ca="1" si="94"/>
        <v>0.94774001180018919</v>
      </c>
      <c r="J88" s="10">
        <f t="shared" ca="1" si="94"/>
        <v>0.94911423525342042</v>
      </c>
      <c r="K88" s="10">
        <f t="shared" ca="1" si="94"/>
        <v>0.95840710125775286</v>
      </c>
      <c r="L88" s="10">
        <f t="shared" ca="1" si="94"/>
        <v>0.95968703748493378</v>
      </c>
      <c r="M88" s="10">
        <f t="shared" ca="1" si="94"/>
        <v>0.95706321338079037</v>
      </c>
      <c r="N88" s="10">
        <f t="shared" ca="1" si="94"/>
        <v>0.96768624594679364</v>
      </c>
      <c r="O88" s="10">
        <f t="shared" ca="1" si="94"/>
        <v>0.96648881029638212</v>
      </c>
      <c r="P88" s="10">
        <f t="shared" ca="1" si="94"/>
        <v>0.96743751890778862</v>
      </c>
      <c r="Q88" s="10">
        <f t="shared" ca="1" si="94"/>
        <v>0.97786636364549462</v>
      </c>
      <c r="R88" s="10">
        <f t="shared" ca="1" si="94"/>
        <v>0.97722053754928351</v>
      </c>
      <c r="S88" s="10">
        <f t="shared" ca="1" si="94"/>
        <v>0.97595266848010653</v>
      </c>
      <c r="T88" s="10">
        <f t="shared" ca="1" si="94"/>
        <v>0.98803468195042121</v>
      </c>
      <c r="U88" s="10">
        <f t="shared" ca="1" si="94"/>
        <v>0.98807301980864015</v>
      </c>
      <c r="V88" s="10">
        <f t="shared" ca="1" si="94"/>
        <v>0.98846296247502285</v>
      </c>
      <c r="W88" s="10">
        <v>1</v>
      </c>
      <c r="X88" s="10">
        <v>1</v>
      </c>
      <c r="Y88" s="10">
        <v>1</v>
      </c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  <c r="CV88" s="10"/>
      <c r="CW88" s="10"/>
      <c r="CX88" s="10"/>
      <c r="CY88" s="10"/>
      <c r="CZ88" s="10"/>
      <c r="DA88" s="10"/>
      <c r="DB88" s="10"/>
      <c r="DC88" s="10"/>
      <c r="DD88" s="10"/>
      <c r="DE88" s="10"/>
      <c r="DF88" s="10"/>
      <c r="DG88" s="10"/>
      <c r="DH88" s="10"/>
      <c r="DI88" s="10"/>
      <c r="DJ88" s="10"/>
      <c r="DK88" s="10"/>
      <c r="DL88" s="10"/>
      <c r="DM88" s="10"/>
      <c r="DN88" s="10"/>
      <c r="DO88" s="10"/>
      <c r="DP88" s="10"/>
      <c r="DQ88" s="10"/>
      <c r="DR88" s="10"/>
      <c r="DS88" s="10"/>
      <c r="DT88" s="10"/>
      <c r="DU88" s="10"/>
      <c r="DV88" s="10"/>
      <c r="DW88" s="10"/>
    </row>
    <row r="89" spans="3:127" x14ac:dyDescent="0.25">
      <c r="C89" s="6"/>
      <c r="F89" s="23">
        <f t="shared" si="13"/>
        <v>1.25</v>
      </c>
      <c r="G89" s="10">
        <f t="shared" ref="G89:S89" si="95">G90/(1+LiborTenor*G42)</f>
        <v>0.94999522083800458</v>
      </c>
      <c r="H89" s="10">
        <f t="shared" ca="1" si="95"/>
        <v>0.95836385107663846</v>
      </c>
      <c r="I89" s="10">
        <f t="shared" ca="1" si="95"/>
        <v>0.95830645039662332</v>
      </c>
      <c r="J89" s="10">
        <f t="shared" ca="1" si="95"/>
        <v>0.95937943525085712</v>
      </c>
      <c r="K89" s="10">
        <f t="shared" ca="1" si="95"/>
        <v>0.96887676595277539</v>
      </c>
      <c r="L89" s="10">
        <f t="shared" ca="1" si="95"/>
        <v>0.96981473066521562</v>
      </c>
      <c r="M89" s="10">
        <f t="shared" ca="1" si="95"/>
        <v>0.96789044973091376</v>
      </c>
      <c r="N89" s="10">
        <f t="shared" ca="1" si="95"/>
        <v>0.97851396828410742</v>
      </c>
      <c r="O89" s="10">
        <f t="shared" ca="1" si="95"/>
        <v>0.97773351798212982</v>
      </c>
      <c r="P89" s="10">
        <f t="shared" ca="1" si="95"/>
        <v>0.97835156304672577</v>
      </c>
      <c r="Q89" s="10">
        <f t="shared" ca="1" si="95"/>
        <v>0.98896421759436748</v>
      </c>
      <c r="R89" s="10">
        <f t="shared" ca="1" si="95"/>
        <v>0.98864835474252033</v>
      </c>
      <c r="S89" s="10">
        <f t="shared" ca="1" si="95"/>
        <v>0.98802831965625915</v>
      </c>
      <c r="T89" s="10">
        <v>1</v>
      </c>
      <c r="U89" s="10">
        <v>1</v>
      </c>
      <c r="V89" s="10">
        <v>1</v>
      </c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/>
      <c r="DA89" s="10"/>
      <c r="DB89" s="10"/>
      <c r="DC89" s="10"/>
      <c r="DD89" s="10"/>
      <c r="DE89" s="10"/>
      <c r="DF89" s="10"/>
      <c r="DG89" s="10"/>
      <c r="DH89" s="10"/>
      <c r="DI89" s="10"/>
      <c r="DJ89" s="10"/>
      <c r="DK89" s="10"/>
      <c r="DL89" s="10"/>
      <c r="DM89" s="10"/>
      <c r="DN89" s="10"/>
      <c r="DO89" s="10"/>
      <c r="DP89" s="10"/>
      <c r="DQ89" s="10"/>
      <c r="DR89" s="10"/>
      <c r="DS89" s="10"/>
      <c r="DT89" s="10"/>
      <c r="DU89" s="10"/>
      <c r="DV89" s="10"/>
      <c r="DW89" s="10"/>
    </row>
    <row r="90" spans="3:127" x14ac:dyDescent="0.25">
      <c r="C90" s="6"/>
      <c r="F90" s="23">
        <f t="shared" si="13"/>
        <v>1</v>
      </c>
      <c r="G90" s="10">
        <f t="shared" ref="G90:P90" si="96">G91/(1+LiborTenor*G43)</f>
        <v>0.96008892005940849</v>
      </c>
      <c r="H90" s="10">
        <f t="shared" ca="1" si="96"/>
        <v>0.96886129408419186</v>
      </c>
      <c r="I90" s="10">
        <f t="shared" ca="1" si="96"/>
        <v>0.96881948477967961</v>
      </c>
      <c r="J90" s="10">
        <f t="shared" ca="1" si="96"/>
        <v>0.96960423155523479</v>
      </c>
      <c r="K90" s="10">
        <f t="shared" ca="1" si="96"/>
        <v>0.97930127064305206</v>
      </c>
      <c r="L90" s="10">
        <f t="shared" ca="1" si="96"/>
        <v>0.97991176789658485</v>
      </c>
      <c r="M90" s="10">
        <f t="shared" ca="1" si="96"/>
        <v>0.97865834540509888</v>
      </c>
      <c r="N90" s="10">
        <f t="shared" ca="1" si="96"/>
        <v>0.98928654450858411</v>
      </c>
      <c r="O90" s="10">
        <f t="shared" ca="1" si="96"/>
        <v>0.98890533339778386</v>
      </c>
      <c r="P90" s="10">
        <f t="shared" ca="1" si="96"/>
        <v>0.9892070709434081</v>
      </c>
      <c r="Q90" s="10">
        <v>1</v>
      </c>
      <c r="R90" s="10">
        <v>1</v>
      </c>
      <c r="S90" s="10">
        <v>1</v>
      </c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10"/>
      <c r="CY90" s="10"/>
      <c r="CZ90" s="10"/>
      <c r="DA90" s="10"/>
      <c r="DB90" s="10"/>
      <c r="DC90" s="10"/>
      <c r="DD90" s="10"/>
      <c r="DE90" s="10"/>
      <c r="DF90" s="10"/>
      <c r="DG90" s="10"/>
      <c r="DH90" s="10"/>
      <c r="DI90" s="10"/>
      <c r="DJ90" s="10"/>
      <c r="DK90" s="10"/>
      <c r="DL90" s="10"/>
      <c r="DM90" s="10"/>
      <c r="DN90" s="10"/>
      <c r="DO90" s="10"/>
      <c r="DP90" s="10"/>
      <c r="DQ90" s="10"/>
      <c r="DR90" s="10"/>
      <c r="DS90" s="10"/>
      <c r="DT90" s="10"/>
      <c r="DU90" s="10"/>
      <c r="DV90" s="10"/>
      <c r="DW90" s="10"/>
    </row>
    <row r="91" spans="3:127" x14ac:dyDescent="0.25">
      <c r="C91" s="6"/>
      <c r="F91" s="23">
        <f t="shared" si="13"/>
        <v>0.75</v>
      </c>
      <c r="G91" s="10">
        <f t="shared" ref="G91:M91" si="97">G92/(1+LiborTenor*G44)</f>
        <v>0.97013985094128041</v>
      </c>
      <c r="H91" s="10">
        <f t="shared" ca="1" si="97"/>
        <v>0.97930235180852976</v>
      </c>
      <c r="I91" s="10">
        <f t="shared" ca="1" si="97"/>
        <v>0.97927529835348681</v>
      </c>
      <c r="J91" s="10">
        <f t="shared" ca="1" si="97"/>
        <v>0.97978501513249661</v>
      </c>
      <c r="K91" s="10">
        <f t="shared" ca="1" si="97"/>
        <v>0.98967691961085846</v>
      </c>
      <c r="L91" s="10">
        <f t="shared" ca="1" si="97"/>
        <v>0.98997469048912734</v>
      </c>
      <c r="M91" s="10">
        <f t="shared" ca="1" si="97"/>
        <v>0.98936287089114849</v>
      </c>
      <c r="N91" s="10">
        <v>1</v>
      </c>
      <c r="O91" s="10">
        <v>1</v>
      </c>
      <c r="P91" s="10">
        <v>1</v>
      </c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CX91" s="10"/>
      <c r="CY91" s="10"/>
      <c r="CZ91" s="10"/>
      <c r="DA91" s="10"/>
      <c r="DB91" s="10"/>
      <c r="DC91" s="10"/>
      <c r="DD91" s="10"/>
      <c r="DE91" s="10"/>
      <c r="DF91" s="10"/>
      <c r="DG91" s="10"/>
      <c r="DH91" s="10"/>
      <c r="DI91" s="10"/>
      <c r="DJ91" s="10"/>
      <c r="DK91" s="10"/>
      <c r="DL91" s="10"/>
      <c r="DM91" s="10"/>
      <c r="DN91" s="10"/>
      <c r="DO91" s="10"/>
      <c r="DP91" s="10"/>
      <c r="DQ91" s="10"/>
      <c r="DR91" s="10"/>
      <c r="DS91" s="10"/>
      <c r="DT91" s="10"/>
      <c r="DU91" s="10"/>
      <c r="DV91" s="10"/>
      <c r="DW91" s="10"/>
    </row>
    <row r="92" spans="3:127" x14ac:dyDescent="0.25">
      <c r="C92" s="6"/>
      <c r="F92" s="23">
        <f t="shared" si="13"/>
        <v>0.5</v>
      </c>
      <c r="G92" s="10">
        <f>G93/(1+LiborTenor*G45)</f>
        <v>0.98014441815411235</v>
      </c>
      <c r="H92" s="10">
        <f ca="1">H93/(1+LiborTenor*H45)</f>
        <v>0.98968319564304519</v>
      </c>
      <c r="I92" s="10">
        <f ca="1">I93/(1+LiborTenor*I45)</f>
        <v>0.98967007466766155</v>
      </c>
      <c r="J92" s="10">
        <f ca="1">J93/(1+LiborTenor*J45)</f>
        <v>0.9899181549130901</v>
      </c>
      <c r="K92" s="10">
        <v>1</v>
      </c>
      <c r="L92" s="10">
        <v>1</v>
      </c>
      <c r="M92" s="10">
        <v>1</v>
      </c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  <c r="CW92" s="10"/>
      <c r="CX92" s="10"/>
      <c r="CY92" s="10"/>
      <c r="CZ92" s="10"/>
      <c r="DA92" s="10"/>
      <c r="DB92" s="10"/>
      <c r="DC92" s="10"/>
      <c r="DD92" s="10"/>
      <c r="DE92" s="10"/>
      <c r="DF92" s="10"/>
      <c r="DG92" s="10"/>
      <c r="DH92" s="10"/>
      <c r="DI92" s="10"/>
      <c r="DJ92" s="10"/>
      <c r="DK92" s="10"/>
      <c r="DL92" s="10"/>
      <c r="DM92" s="10"/>
      <c r="DN92" s="10"/>
      <c r="DO92" s="10"/>
      <c r="DP92" s="10"/>
      <c r="DQ92" s="10"/>
      <c r="DR92" s="10"/>
      <c r="DS92" s="10"/>
      <c r="DT92" s="10"/>
      <c r="DU92" s="10"/>
      <c r="DV92" s="10"/>
      <c r="DW92" s="10"/>
    </row>
    <row r="93" spans="3:127" x14ac:dyDescent="0.25">
      <c r="C93" s="6"/>
      <c r="F93" s="23">
        <f t="shared" si="13"/>
        <v>0.25</v>
      </c>
      <c r="G93" s="10">
        <f>G94/(1+LiborTenor*G46)</f>
        <v>0.99009900990099009</v>
      </c>
      <c r="H93" s="10">
        <v>1</v>
      </c>
      <c r="I93" s="10">
        <v>1</v>
      </c>
      <c r="J93" s="10">
        <v>1</v>
      </c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  <c r="CZ93" s="10"/>
      <c r="DA93" s="10"/>
      <c r="DB93" s="10"/>
      <c r="DC93" s="10"/>
      <c r="DD93" s="10"/>
      <c r="DE93" s="10"/>
      <c r="DF93" s="10"/>
      <c r="DG93" s="10"/>
      <c r="DH93" s="10"/>
      <c r="DI93" s="10"/>
      <c r="DJ93" s="10"/>
      <c r="DK93" s="10"/>
      <c r="DL93" s="10"/>
      <c r="DM93" s="10"/>
      <c r="DN93" s="10"/>
      <c r="DO93" s="10"/>
      <c r="DP93" s="10"/>
      <c r="DQ93" s="10"/>
      <c r="DR93" s="10"/>
      <c r="DS93" s="10"/>
      <c r="DT93" s="10"/>
      <c r="DU93" s="10"/>
      <c r="DV93" s="10"/>
      <c r="DW93" s="10"/>
    </row>
    <row r="94" spans="3:127" x14ac:dyDescent="0.25">
      <c r="C94" s="6"/>
      <c r="F94" s="23">
        <f t="shared" si="13"/>
        <v>0</v>
      </c>
      <c r="G94" s="10">
        <v>1</v>
      </c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10"/>
      <c r="CY94" s="10"/>
      <c r="CZ94" s="10"/>
      <c r="DA94" s="10"/>
      <c r="DB94" s="10"/>
      <c r="DC94" s="10"/>
      <c r="DD94" s="10"/>
      <c r="DE94" s="10"/>
      <c r="DF94" s="10"/>
      <c r="DG94" s="10"/>
      <c r="DH94" s="10"/>
      <c r="DI94" s="10"/>
      <c r="DJ94" s="10"/>
      <c r="DK94" s="10"/>
      <c r="DL94" s="10"/>
      <c r="DM94" s="10"/>
      <c r="DN94" s="10"/>
      <c r="DO94" s="10"/>
      <c r="DP94" s="10"/>
      <c r="DQ94" s="10"/>
      <c r="DR94" s="10"/>
      <c r="DS94" s="10"/>
      <c r="DT94" s="10"/>
      <c r="DU94" s="10"/>
      <c r="DV94" s="10"/>
      <c r="DW94" s="10"/>
    </row>
    <row r="95" spans="3:127" x14ac:dyDescent="0.25">
      <c r="C95" s="6"/>
      <c r="F95" s="23"/>
    </row>
    <row r="96" spans="3:127" x14ac:dyDescent="0.25">
      <c r="C96" s="6"/>
      <c r="F96" s="23"/>
      <c r="G96" s="15">
        <f>+G47</f>
        <v>0</v>
      </c>
      <c r="H96" s="15">
        <f t="shared" ref="H96:BS96" si="98">+H47</f>
        <v>8.3333333333333329E-2</v>
      </c>
      <c r="I96" s="15">
        <f t="shared" si="98"/>
        <v>0.16666666666666666</v>
      </c>
      <c r="J96" s="15">
        <f t="shared" si="98"/>
        <v>0.25</v>
      </c>
      <c r="K96" s="15">
        <f t="shared" si="98"/>
        <v>0.33333333333333331</v>
      </c>
      <c r="L96" s="15">
        <f t="shared" si="98"/>
        <v>0.41666666666666663</v>
      </c>
      <c r="M96" s="15">
        <f t="shared" si="98"/>
        <v>0.49999999999999994</v>
      </c>
      <c r="N96" s="15">
        <f t="shared" si="98"/>
        <v>0.58333333333333326</v>
      </c>
      <c r="O96" s="15">
        <f t="shared" si="98"/>
        <v>0.66666666666666663</v>
      </c>
      <c r="P96" s="15">
        <f t="shared" si="98"/>
        <v>0.75</v>
      </c>
      <c r="Q96" s="15">
        <f t="shared" si="98"/>
        <v>0.83333333333333337</v>
      </c>
      <c r="R96" s="15">
        <f t="shared" si="98"/>
        <v>0.91666666666666674</v>
      </c>
      <c r="S96" s="15">
        <f t="shared" si="98"/>
        <v>1</v>
      </c>
      <c r="T96" s="15">
        <f t="shared" si="98"/>
        <v>1.0833333333333333</v>
      </c>
      <c r="U96" s="15">
        <f t="shared" si="98"/>
        <v>1.1666666666666665</v>
      </c>
      <c r="V96" s="15">
        <f t="shared" si="98"/>
        <v>1.2499999999999998</v>
      </c>
      <c r="W96" s="15">
        <f t="shared" si="98"/>
        <v>1.333333333333333</v>
      </c>
      <c r="X96" s="15">
        <f t="shared" si="98"/>
        <v>1.4166666666666663</v>
      </c>
      <c r="Y96" s="15">
        <f t="shared" si="98"/>
        <v>1.4999999999999996</v>
      </c>
      <c r="Z96" s="15">
        <f t="shared" si="98"/>
        <v>1.5833333333333328</v>
      </c>
      <c r="AA96" s="15">
        <f t="shared" si="98"/>
        <v>1.6666666666666661</v>
      </c>
      <c r="AB96" s="15">
        <f t="shared" si="98"/>
        <v>1.7499999999999993</v>
      </c>
      <c r="AC96" s="15">
        <f t="shared" si="98"/>
        <v>1.8333333333333326</v>
      </c>
      <c r="AD96" s="15">
        <f t="shared" si="98"/>
        <v>1.9166666666666659</v>
      </c>
      <c r="AE96" s="15">
        <f t="shared" si="98"/>
        <v>1.9999999999999991</v>
      </c>
      <c r="AF96" s="15">
        <f t="shared" si="98"/>
        <v>2.0833333333333326</v>
      </c>
      <c r="AG96" s="15">
        <f t="shared" si="98"/>
        <v>2.1666666666666661</v>
      </c>
      <c r="AH96" s="15">
        <f t="shared" si="98"/>
        <v>2.2499999999999996</v>
      </c>
      <c r="AI96" s="15">
        <f t="shared" si="98"/>
        <v>2.333333333333333</v>
      </c>
      <c r="AJ96" s="15">
        <f t="shared" si="98"/>
        <v>2.4166666666666665</v>
      </c>
      <c r="AK96" s="15">
        <f t="shared" si="98"/>
        <v>2.5</v>
      </c>
      <c r="AL96" s="15">
        <f t="shared" si="98"/>
        <v>2.5833333333333335</v>
      </c>
      <c r="AM96" s="15">
        <f t="shared" si="98"/>
        <v>2.666666666666667</v>
      </c>
      <c r="AN96" s="15">
        <f t="shared" si="98"/>
        <v>2.7500000000000004</v>
      </c>
      <c r="AO96" s="15">
        <f t="shared" si="98"/>
        <v>2.8333333333333339</v>
      </c>
      <c r="AP96" s="15">
        <f t="shared" si="98"/>
        <v>2.9166666666666674</v>
      </c>
      <c r="AQ96" s="15">
        <f t="shared" si="98"/>
        <v>3.0000000000000009</v>
      </c>
      <c r="AR96" s="15">
        <f t="shared" si="98"/>
        <v>3.0833333333333344</v>
      </c>
      <c r="AS96" s="15">
        <f t="shared" si="98"/>
        <v>3.1666666666666679</v>
      </c>
      <c r="AT96" s="15">
        <f t="shared" si="98"/>
        <v>3.2500000000000013</v>
      </c>
      <c r="AU96" s="15">
        <f t="shared" si="98"/>
        <v>3.3333333333333348</v>
      </c>
      <c r="AV96" s="15">
        <f t="shared" si="98"/>
        <v>3.4166666666666683</v>
      </c>
      <c r="AW96" s="15">
        <f t="shared" si="98"/>
        <v>3.5000000000000018</v>
      </c>
      <c r="AX96" s="15">
        <f t="shared" si="98"/>
        <v>3.5833333333333353</v>
      </c>
      <c r="AY96" s="15">
        <f t="shared" si="98"/>
        <v>3.6666666666666687</v>
      </c>
      <c r="AZ96" s="15">
        <f t="shared" si="98"/>
        <v>3.7500000000000022</v>
      </c>
      <c r="BA96" s="15">
        <f t="shared" si="98"/>
        <v>3.8333333333333357</v>
      </c>
      <c r="BB96" s="15">
        <f t="shared" si="98"/>
        <v>3.9166666666666692</v>
      </c>
      <c r="BC96" s="15">
        <f t="shared" si="98"/>
        <v>4.0000000000000027</v>
      </c>
      <c r="BD96" s="15">
        <f t="shared" si="98"/>
        <v>4.0833333333333357</v>
      </c>
      <c r="BE96" s="15">
        <f t="shared" si="98"/>
        <v>4.1666666666666687</v>
      </c>
      <c r="BF96" s="15">
        <f t="shared" si="98"/>
        <v>4.2500000000000018</v>
      </c>
      <c r="BG96" s="15">
        <f t="shared" si="98"/>
        <v>4.3333333333333348</v>
      </c>
      <c r="BH96" s="15">
        <f t="shared" si="98"/>
        <v>4.4166666666666679</v>
      </c>
      <c r="BI96" s="15">
        <f t="shared" si="98"/>
        <v>4.5000000000000009</v>
      </c>
      <c r="BJ96" s="15">
        <f t="shared" si="98"/>
        <v>4.5833333333333339</v>
      </c>
      <c r="BK96" s="15">
        <f t="shared" si="98"/>
        <v>4.666666666666667</v>
      </c>
      <c r="BL96" s="15">
        <f t="shared" si="98"/>
        <v>4.75</v>
      </c>
      <c r="BM96" s="15">
        <f t="shared" si="98"/>
        <v>4.833333333333333</v>
      </c>
      <c r="BN96" s="15">
        <f t="shared" si="98"/>
        <v>4.9166666666666661</v>
      </c>
      <c r="BO96" s="15">
        <f t="shared" si="98"/>
        <v>4.9999999999999991</v>
      </c>
      <c r="BP96" s="15">
        <f t="shared" si="98"/>
        <v>5.0833333333333321</v>
      </c>
      <c r="BQ96" s="15">
        <f t="shared" si="98"/>
        <v>5.1666666666666652</v>
      </c>
      <c r="BR96" s="15">
        <f t="shared" si="98"/>
        <v>5.2499999999999982</v>
      </c>
      <c r="BS96" s="15">
        <f t="shared" si="98"/>
        <v>5.3333333333333313</v>
      </c>
      <c r="BT96" s="15">
        <f t="shared" ref="BT96:DW96" si="99">+BT47</f>
        <v>5.4166666666666643</v>
      </c>
      <c r="BU96" s="15">
        <f t="shared" si="99"/>
        <v>5.4999999999999973</v>
      </c>
      <c r="BV96" s="15">
        <f t="shared" si="99"/>
        <v>5.5833333333333304</v>
      </c>
      <c r="BW96" s="15">
        <f t="shared" si="99"/>
        <v>5.6666666666666634</v>
      </c>
      <c r="BX96" s="15">
        <f t="shared" si="99"/>
        <v>5.7499999999999964</v>
      </c>
      <c r="BY96" s="15">
        <f t="shared" si="99"/>
        <v>5.8333333333333295</v>
      </c>
      <c r="BZ96" s="15">
        <f t="shared" si="99"/>
        <v>5.9166666666666625</v>
      </c>
      <c r="CA96" s="15">
        <f t="shared" si="99"/>
        <v>5.9999999999999956</v>
      </c>
      <c r="CB96" s="15">
        <f t="shared" si="99"/>
        <v>6.0833333333333286</v>
      </c>
      <c r="CC96" s="15">
        <f t="shared" si="99"/>
        <v>6.1666666666666616</v>
      </c>
      <c r="CD96" s="15">
        <f t="shared" si="99"/>
        <v>6.2499999999999947</v>
      </c>
      <c r="CE96" s="15">
        <f t="shared" si="99"/>
        <v>6.3333333333333277</v>
      </c>
      <c r="CF96" s="15">
        <f t="shared" si="99"/>
        <v>6.4166666666666607</v>
      </c>
      <c r="CG96" s="15">
        <f t="shared" si="99"/>
        <v>6.4999999999999938</v>
      </c>
      <c r="CH96" s="15">
        <f t="shared" si="99"/>
        <v>6.5833333333333268</v>
      </c>
      <c r="CI96" s="15">
        <f t="shared" si="99"/>
        <v>6.6666666666666599</v>
      </c>
      <c r="CJ96" s="15">
        <f t="shared" si="99"/>
        <v>6.7499999999999929</v>
      </c>
      <c r="CK96" s="15">
        <f t="shared" si="99"/>
        <v>6.8333333333333259</v>
      </c>
      <c r="CL96" s="15">
        <f t="shared" si="99"/>
        <v>6.916666666666659</v>
      </c>
      <c r="CM96" s="15">
        <f t="shared" si="99"/>
        <v>6.999999999999992</v>
      </c>
      <c r="CN96" s="15">
        <f t="shared" si="99"/>
        <v>7.083333333333325</v>
      </c>
      <c r="CO96" s="15">
        <f t="shared" si="99"/>
        <v>7.1666666666666581</v>
      </c>
      <c r="CP96" s="15">
        <f t="shared" si="99"/>
        <v>7.2499999999999911</v>
      </c>
      <c r="CQ96" s="15">
        <f t="shared" si="99"/>
        <v>7.3333333333333242</v>
      </c>
      <c r="CR96" s="15">
        <f t="shared" si="99"/>
        <v>7.4166666666666572</v>
      </c>
      <c r="CS96" s="15">
        <f t="shared" si="99"/>
        <v>7.4999999999999902</v>
      </c>
      <c r="CT96" s="15">
        <f t="shared" si="99"/>
        <v>7.5833333333333233</v>
      </c>
      <c r="CU96" s="15">
        <f t="shared" si="99"/>
        <v>7.6666666666666563</v>
      </c>
      <c r="CV96" s="15">
        <f t="shared" si="99"/>
        <v>7.7499999999999893</v>
      </c>
      <c r="CW96" s="15">
        <f t="shared" si="99"/>
        <v>7.8333333333333224</v>
      </c>
      <c r="CX96" s="15">
        <f t="shared" si="99"/>
        <v>7.9166666666666554</v>
      </c>
      <c r="CY96" s="15">
        <f t="shared" si="99"/>
        <v>7.9999999999999885</v>
      </c>
      <c r="CZ96" s="15">
        <f t="shared" si="99"/>
        <v>8.0833333333333215</v>
      </c>
      <c r="DA96" s="15">
        <f t="shared" si="99"/>
        <v>8.1666666666666554</v>
      </c>
      <c r="DB96" s="15">
        <f t="shared" si="99"/>
        <v>8.2499999999999893</v>
      </c>
      <c r="DC96" s="15">
        <f t="shared" si="99"/>
        <v>8.3333333333333233</v>
      </c>
      <c r="DD96" s="15">
        <f t="shared" si="99"/>
        <v>8.4166666666666572</v>
      </c>
      <c r="DE96" s="15">
        <f t="shared" si="99"/>
        <v>8.4999999999999911</v>
      </c>
      <c r="DF96" s="15">
        <f t="shared" si="99"/>
        <v>8.583333333333325</v>
      </c>
      <c r="DG96" s="15">
        <f t="shared" si="99"/>
        <v>8.666666666666659</v>
      </c>
      <c r="DH96" s="15">
        <f t="shared" si="99"/>
        <v>8.7499999999999929</v>
      </c>
      <c r="DI96" s="15">
        <f t="shared" si="99"/>
        <v>8.8333333333333268</v>
      </c>
      <c r="DJ96" s="15">
        <f t="shared" si="99"/>
        <v>8.9166666666666607</v>
      </c>
      <c r="DK96" s="15">
        <f t="shared" si="99"/>
        <v>8.9999999999999947</v>
      </c>
      <c r="DL96" s="15">
        <f t="shared" si="99"/>
        <v>9.0833333333333286</v>
      </c>
      <c r="DM96" s="15">
        <f t="shared" si="99"/>
        <v>9.1666666666666625</v>
      </c>
      <c r="DN96" s="15">
        <f t="shared" si="99"/>
        <v>9.2499999999999964</v>
      </c>
      <c r="DO96" s="15">
        <f t="shared" si="99"/>
        <v>9.3333333333333304</v>
      </c>
      <c r="DP96" s="15">
        <f t="shared" si="99"/>
        <v>9.4166666666666643</v>
      </c>
      <c r="DQ96" s="15">
        <f t="shared" si="99"/>
        <v>9.4999999999999982</v>
      </c>
      <c r="DR96" s="15">
        <f t="shared" si="99"/>
        <v>9.5833333333333321</v>
      </c>
      <c r="DS96" s="15">
        <f t="shared" si="99"/>
        <v>9.6666666666666661</v>
      </c>
      <c r="DT96" s="15">
        <f t="shared" si="99"/>
        <v>9.75</v>
      </c>
      <c r="DU96" s="15">
        <f t="shared" si="99"/>
        <v>9.8333333333333339</v>
      </c>
      <c r="DV96" s="15">
        <f t="shared" si="99"/>
        <v>9.9166666666666679</v>
      </c>
      <c r="DW96" s="15">
        <f t="shared" si="99"/>
        <v>10.000000000000002</v>
      </c>
    </row>
    <row r="97" spans="3:6" x14ac:dyDescent="0.25">
      <c r="C97" s="6"/>
      <c r="F97" s="23"/>
    </row>
    <row r="98" spans="3:6" x14ac:dyDescent="0.25">
      <c r="C98" s="6"/>
      <c r="F98" s="23"/>
    </row>
    <row r="99" spans="3:6" x14ac:dyDescent="0.25">
      <c r="C99" s="6"/>
      <c r="F99" s="23"/>
    </row>
    <row r="100" spans="3:6" x14ac:dyDescent="0.25">
      <c r="C100" s="6"/>
      <c r="F100" s="23"/>
    </row>
    <row r="101" spans="3:6" x14ac:dyDescent="0.25">
      <c r="C101" s="6"/>
      <c r="F101" s="23"/>
    </row>
    <row r="102" spans="3:6" x14ac:dyDescent="0.25">
      <c r="C102" s="6"/>
      <c r="F102" s="23"/>
    </row>
    <row r="103" spans="3:6" x14ac:dyDescent="0.25">
      <c r="C103" s="6"/>
      <c r="F103" s="23"/>
    </row>
    <row r="104" spans="3:6" x14ac:dyDescent="0.25">
      <c r="C104" s="6"/>
      <c r="F104" s="23"/>
    </row>
    <row r="105" spans="3:6" x14ac:dyDescent="0.25">
      <c r="C105" s="6"/>
      <c r="F105" s="23"/>
    </row>
    <row r="106" spans="3:6" x14ac:dyDescent="0.25">
      <c r="C106" s="6"/>
      <c r="F106" s="23"/>
    </row>
    <row r="107" spans="3:6" x14ac:dyDescent="0.25">
      <c r="C107" s="6"/>
      <c r="F107" s="23"/>
    </row>
    <row r="108" spans="3:6" x14ac:dyDescent="0.25">
      <c r="C108" s="6"/>
      <c r="F108" s="23"/>
    </row>
    <row r="109" spans="3:6" x14ac:dyDescent="0.25">
      <c r="C109" s="6"/>
      <c r="F109" s="23"/>
    </row>
    <row r="110" spans="3:6" x14ac:dyDescent="0.25">
      <c r="C110" s="6"/>
    </row>
    <row r="111" spans="3:6" x14ac:dyDescent="0.25">
      <c r="C111" s="6"/>
    </row>
    <row r="112" spans="3:6" x14ac:dyDescent="0.25">
      <c r="C112" s="6"/>
    </row>
    <row r="113" spans="3:3" x14ac:dyDescent="0.25">
      <c r="C113" s="6"/>
    </row>
    <row r="114" spans="3:3" x14ac:dyDescent="0.25">
      <c r="C114" s="6"/>
    </row>
    <row r="115" spans="3:3" x14ac:dyDescent="0.25">
      <c r="C115" s="6"/>
    </row>
    <row r="116" spans="3:3" x14ac:dyDescent="0.25">
      <c r="C116" s="6"/>
    </row>
    <row r="117" spans="3:3" x14ac:dyDescent="0.25">
      <c r="C117" s="6"/>
    </row>
    <row r="118" spans="3:3" x14ac:dyDescent="0.25">
      <c r="C118" s="6"/>
    </row>
    <row r="119" spans="3:3" x14ac:dyDescent="0.25">
      <c r="C119" s="6"/>
    </row>
    <row r="120" spans="3:3" x14ac:dyDescent="0.25">
      <c r="C120" s="6"/>
    </row>
    <row r="121" spans="3:3" x14ac:dyDescent="0.25">
      <c r="C121" s="6"/>
    </row>
    <row r="122" spans="3:3" x14ac:dyDescent="0.25">
      <c r="C122" s="6"/>
    </row>
    <row r="123" spans="3:3" x14ac:dyDescent="0.25">
      <c r="C123" s="6"/>
    </row>
    <row r="124" spans="3:3" x14ac:dyDescent="0.25">
      <c r="C124" s="6"/>
    </row>
    <row r="125" spans="3:3" x14ac:dyDescent="0.25">
      <c r="C125" s="6"/>
    </row>
    <row r="126" spans="3:3" x14ac:dyDescent="0.25">
      <c r="C126" s="6"/>
    </row>
    <row r="127" spans="3:3" x14ac:dyDescent="0.25">
      <c r="C127" s="6"/>
    </row>
    <row r="128" spans="3:3" x14ac:dyDescent="0.25">
      <c r="C128" s="6"/>
    </row>
    <row r="129" spans="3:3" x14ac:dyDescent="0.25">
      <c r="C129" s="6"/>
    </row>
    <row r="130" spans="3:3" x14ac:dyDescent="0.25">
      <c r="C130" s="6"/>
    </row>
    <row r="131" spans="3:3" x14ac:dyDescent="0.25">
      <c r="C131" s="6"/>
    </row>
    <row r="132" spans="3:3" x14ac:dyDescent="0.25">
      <c r="C132" s="6"/>
    </row>
    <row r="133" spans="3:3" x14ac:dyDescent="0.25">
      <c r="C133" s="6"/>
    </row>
    <row r="134" spans="3:3" x14ac:dyDescent="0.25">
      <c r="C134" s="6"/>
    </row>
    <row r="135" spans="3:3" x14ac:dyDescent="0.25">
      <c r="C135" s="6"/>
    </row>
    <row r="136" spans="3:3" x14ac:dyDescent="0.25">
      <c r="C136" s="6"/>
    </row>
    <row r="137" spans="3:3" x14ac:dyDescent="0.25">
      <c r="C137" s="6"/>
    </row>
    <row r="138" spans="3:3" x14ac:dyDescent="0.25">
      <c r="C138" s="6"/>
    </row>
    <row r="139" spans="3:3" x14ac:dyDescent="0.25">
      <c r="C139" s="6"/>
    </row>
    <row r="140" spans="3:3" x14ac:dyDescent="0.25">
      <c r="C140" s="6"/>
    </row>
    <row r="141" spans="3:3" x14ac:dyDescent="0.25">
      <c r="C141" s="6"/>
    </row>
    <row r="142" spans="3:3" x14ac:dyDescent="0.25">
      <c r="C142" s="6"/>
    </row>
    <row r="143" spans="3:3" x14ac:dyDescent="0.25">
      <c r="C143" s="6"/>
    </row>
    <row r="144" spans="3:3" x14ac:dyDescent="0.25">
      <c r="C144" s="6"/>
    </row>
    <row r="145" spans="3:3" x14ac:dyDescent="0.25">
      <c r="C145" s="6"/>
    </row>
    <row r="146" spans="3:3" x14ac:dyDescent="0.25">
      <c r="C146" s="6"/>
    </row>
    <row r="147" spans="3:3" x14ac:dyDescent="0.25">
      <c r="C147" s="6"/>
    </row>
    <row r="148" spans="3:3" x14ac:dyDescent="0.25">
      <c r="C148" s="6"/>
    </row>
    <row r="149" spans="3:3" x14ac:dyDescent="0.25">
      <c r="C149" s="6"/>
    </row>
    <row r="150" spans="3:3" x14ac:dyDescent="0.25">
      <c r="C150" s="6"/>
    </row>
    <row r="151" spans="3:3" x14ac:dyDescent="0.25">
      <c r="C151" s="6"/>
    </row>
    <row r="152" spans="3:3" x14ac:dyDescent="0.25">
      <c r="C152" s="6"/>
    </row>
    <row r="153" spans="3:3" x14ac:dyDescent="0.25">
      <c r="C153" s="6"/>
    </row>
    <row r="154" spans="3:3" x14ac:dyDescent="0.25">
      <c r="C154" s="6"/>
    </row>
    <row r="155" spans="3:3" x14ac:dyDescent="0.25">
      <c r="C155" s="6"/>
    </row>
    <row r="156" spans="3:3" x14ac:dyDescent="0.25">
      <c r="C156" s="6"/>
    </row>
    <row r="157" spans="3:3" x14ac:dyDescent="0.25">
      <c r="C157" s="6"/>
    </row>
    <row r="158" spans="3:3" x14ac:dyDescent="0.25">
      <c r="C158" s="6"/>
    </row>
    <row r="159" spans="3:3" x14ac:dyDescent="0.25">
      <c r="C159" s="6"/>
    </row>
    <row r="160" spans="3:3" x14ac:dyDescent="0.25">
      <c r="C160" s="6"/>
    </row>
    <row r="161" spans="3:3" x14ac:dyDescent="0.25">
      <c r="C161" s="6"/>
    </row>
    <row r="162" spans="3:3" x14ac:dyDescent="0.25">
      <c r="C162" s="6"/>
    </row>
    <row r="163" spans="3:3" x14ac:dyDescent="0.25">
      <c r="C163" s="6"/>
    </row>
    <row r="164" spans="3:3" x14ac:dyDescent="0.25">
      <c r="C164" s="6"/>
    </row>
    <row r="165" spans="3:3" x14ac:dyDescent="0.25">
      <c r="C165" s="6"/>
    </row>
    <row r="166" spans="3:3" x14ac:dyDescent="0.25">
      <c r="C166" s="6"/>
    </row>
    <row r="167" spans="3:3" x14ac:dyDescent="0.25">
      <c r="C167" s="6"/>
    </row>
    <row r="168" spans="3:3" x14ac:dyDescent="0.25">
      <c r="C168" s="6"/>
    </row>
    <row r="169" spans="3:3" x14ac:dyDescent="0.25">
      <c r="C169" s="6"/>
    </row>
    <row r="170" spans="3:3" x14ac:dyDescent="0.25">
      <c r="C170" s="6"/>
    </row>
    <row r="171" spans="3:3" x14ac:dyDescent="0.25">
      <c r="C171" s="6"/>
    </row>
    <row r="172" spans="3:3" x14ac:dyDescent="0.25">
      <c r="C172" s="6"/>
    </row>
    <row r="173" spans="3:3" x14ac:dyDescent="0.25">
      <c r="C173" s="6"/>
    </row>
    <row r="174" spans="3:3" x14ac:dyDescent="0.25">
      <c r="C174" s="6"/>
    </row>
    <row r="175" spans="3:3" x14ac:dyDescent="0.25">
      <c r="C175" s="6"/>
    </row>
    <row r="176" spans="3:3" x14ac:dyDescent="0.25">
      <c r="C176" s="6"/>
    </row>
    <row r="177" spans="3:3" x14ac:dyDescent="0.25">
      <c r="C177" s="6"/>
    </row>
  </sheetData>
  <sortState ref="C101:C139">
    <sortCondition descending="1" ref="C50"/>
  </sortState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ED177"/>
  <sheetViews>
    <sheetView zoomScale="60" zoomScaleNormal="60" workbookViewId="0">
      <selection activeCell="J25" sqref="J25"/>
    </sheetView>
  </sheetViews>
  <sheetFormatPr defaultRowHeight="13.8" x14ac:dyDescent="0.2"/>
  <cols>
    <col min="1" max="1" width="2.21875" style="1" customWidth="1"/>
    <col min="2" max="2" width="3.33203125" style="1" customWidth="1"/>
    <col min="3" max="3" width="5.21875" style="1" customWidth="1"/>
    <col min="4" max="4" width="18.33203125" style="1" bestFit="1" customWidth="1"/>
    <col min="5" max="5" width="22.6640625" style="1" bestFit="1" customWidth="1"/>
    <col min="6" max="6" width="15.5546875" style="11" bestFit="1" customWidth="1"/>
    <col min="7" max="7" width="16.33203125" style="1" customWidth="1"/>
    <col min="8" max="8" width="10.5546875" style="1" bestFit="1" customWidth="1"/>
    <col min="9" max="10" width="9.88671875" style="1" bestFit="1" customWidth="1"/>
    <col min="11" max="11" width="10.5546875" style="1" bestFit="1" customWidth="1"/>
    <col min="12" max="16" width="9.88671875" style="1" bestFit="1" customWidth="1"/>
    <col min="17" max="17" width="10.5546875" style="1" bestFit="1" customWidth="1"/>
    <col min="18" max="21" width="9.88671875" style="1" bestFit="1" customWidth="1"/>
    <col min="22" max="23" width="10.5546875" style="1" bestFit="1" customWidth="1"/>
    <col min="24" max="24" width="9.88671875" style="1" bestFit="1" customWidth="1"/>
    <col min="25" max="25" width="10.5546875" style="1" bestFit="1" customWidth="1"/>
    <col min="26" max="27" width="9.88671875" style="1" bestFit="1" customWidth="1"/>
    <col min="28" max="28" width="10.5546875" style="1" bestFit="1" customWidth="1"/>
    <col min="29" max="32" width="9.88671875" style="1" bestFit="1" customWidth="1"/>
    <col min="33" max="33" width="10.5546875" style="1" bestFit="1" customWidth="1"/>
    <col min="34" max="35" width="9.88671875" style="1" bestFit="1" customWidth="1"/>
    <col min="36" max="39" width="10.5546875" style="1" bestFit="1" customWidth="1"/>
    <col min="40" max="42" width="9.88671875" style="1" bestFit="1" customWidth="1"/>
    <col min="43" max="43" width="10.5546875" style="1" bestFit="1" customWidth="1"/>
    <col min="44" max="45" width="9.88671875" style="1" bestFit="1" customWidth="1"/>
    <col min="46" max="48" width="10.5546875" style="1" bestFit="1" customWidth="1"/>
    <col min="49" max="50" width="9.88671875" style="1" bestFit="1" customWidth="1"/>
    <col min="51" max="51" width="10.5546875" style="1" bestFit="1" customWidth="1"/>
    <col min="52" max="54" width="9.88671875" style="1" bestFit="1" customWidth="1"/>
    <col min="55" max="59" width="10.5546875" style="1" bestFit="1" customWidth="1"/>
    <col min="60" max="60" width="9.88671875" style="1" bestFit="1" customWidth="1"/>
    <col min="61" max="62" width="10.5546875" style="1" bestFit="1" customWidth="1"/>
    <col min="63" max="64" width="9.88671875" style="1" bestFit="1" customWidth="1"/>
    <col min="65" max="66" width="10.5546875" style="1" bestFit="1" customWidth="1"/>
    <col min="67" max="67" width="9.88671875" style="1" bestFit="1" customWidth="1"/>
    <col min="68" max="70" width="10.5546875" style="1" bestFit="1" customWidth="1"/>
    <col min="71" max="73" width="9.88671875" style="1" bestFit="1" customWidth="1"/>
    <col min="74" max="74" width="10.5546875" style="1" bestFit="1" customWidth="1"/>
    <col min="75" max="75" width="9.88671875" style="1" bestFit="1" customWidth="1"/>
    <col min="76" max="76" width="10.5546875" style="1" bestFit="1" customWidth="1"/>
    <col min="77" max="77" width="9.88671875" style="1" bestFit="1" customWidth="1"/>
    <col min="78" max="81" width="10.5546875" style="1" bestFit="1" customWidth="1"/>
    <col min="82" max="83" width="9.88671875" style="1" bestFit="1" customWidth="1"/>
    <col min="84" max="84" width="10.5546875" style="1" bestFit="1" customWidth="1"/>
    <col min="85" max="85" width="9.88671875" style="1" bestFit="1" customWidth="1"/>
    <col min="86" max="86" width="10.5546875" style="1" bestFit="1" customWidth="1"/>
    <col min="87" max="87" width="9.88671875" style="1" bestFit="1" customWidth="1"/>
    <col min="88" max="89" width="10.5546875" style="1" bestFit="1" customWidth="1"/>
    <col min="90" max="94" width="9.88671875" style="1" bestFit="1" customWidth="1"/>
    <col min="95" max="97" width="10.5546875" style="1" bestFit="1" customWidth="1"/>
    <col min="98" max="101" width="9.88671875" style="1" bestFit="1" customWidth="1"/>
    <col min="102" max="103" width="10.5546875" style="1" bestFit="1" customWidth="1"/>
    <col min="104" max="105" width="9.88671875" style="1" bestFit="1" customWidth="1"/>
    <col min="106" max="107" width="10.5546875" style="1" bestFit="1" customWidth="1"/>
    <col min="108" max="109" width="9.88671875" style="1" bestFit="1" customWidth="1"/>
    <col min="110" max="110" width="10.5546875" style="1" bestFit="1" customWidth="1"/>
    <col min="111" max="111" width="9.88671875" style="1" bestFit="1" customWidth="1"/>
    <col min="112" max="112" width="10.5546875" style="1" bestFit="1" customWidth="1"/>
    <col min="113" max="113" width="9.88671875" style="1" bestFit="1" customWidth="1"/>
    <col min="114" max="114" width="10.5546875" style="1" bestFit="1" customWidth="1"/>
    <col min="115" max="115" width="9.88671875" style="1" bestFit="1" customWidth="1"/>
    <col min="116" max="116" width="10.5546875" style="1" bestFit="1" customWidth="1"/>
    <col min="117" max="118" width="9.88671875" style="1" bestFit="1" customWidth="1"/>
    <col min="119" max="119" width="10.5546875" style="1" bestFit="1" customWidth="1"/>
    <col min="120" max="123" width="9.88671875" style="1" bestFit="1" customWidth="1"/>
    <col min="124" max="124" width="10.5546875" style="1" bestFit="1" customWidth="1"/>
    <col min="125" max="126" width="9.88671875" style="1" bestFit="1" customWidth="1"/>
    <col min="127" max="16384" width="8.88671875" style="1"/>
  </cols>
  <sheetData>
    <row r="1" spans="2:127" x14ac:dyDescent="0.2">
      <c r="D1" s="2"/>
    </row>
    <row r="2" spans="2:127" x14ac:dyDescent="0.2">
      <c r="D2" s="1" t="s">
        <v>10</v>
      </c>
    </row>
    <row r="3" spans="2:127" x14ac:dyDescent="0.2">
      <c r="D3" s="2"/>
      <c r="G3" s="9" t="s">
        <v>1</v>
      </c>
    </row>
    <row r="4" spans="2:127" x14ac:dyDescent="0.2">
      <c r="D4" s="2"/>
      <c r="G4" s="9" t="s">
        <v>2</v>
      </c>
    </row>
    <row r="5" spans="2:127" x14ac:dyDescent="0.2">
      <c r="D5" s="2"/>
      <c r="E5" s="9"/>
    </row>
    <row r="6" spans="2:127" x14ac:dyDescent="0.2">
      <c r="D6" s="8" t="s">
        <v>0</v>
      </c>
      <c r="E6" s="9"/>
      <c r="F6" s="15" t="str">
        <f>+F47</f>
        <v>t (years) =</v>
      </c>
      <c r="G6" s="15">
        <f>+G47</f>
        <v>0</v>
      </c>
      <c r="H6" s="15">
        <f t="shared" ref="H6:BS6" si="0">+H47</f>
        <v>8.3333333333333329E-2</v>
      </c>
      <c r="I6" s="15">
        <f t="shared" si="0"/>
        <v>0.16666666666666666</v>
      </c>
      <c r="J6" s="15">
        <f t="shared" si="0"/>
        <v>0.25</v>
      </c>
      <c r="K6" s="15">
        <f t="shared" si="0"/>
        <v>0.33333333333333331</v>
      </c>
      <c r="L6" s="15">
        <f t="shared" si="0"/>
        <v>0.41666666666666663</v>
      </c>
      <c r="M6" s="15">
        <f t="shared" si="0"/>
        <v>0.49999999999999994</v>
      </c>
      <c r="N6" s="15">
        <f t="shared" si="0"/>
        <v>0.58333333333333326</v>
      </c>
      <c r="O6" s="15">
        <f t="shared" si="0"/>
        <v>0.66666666666666663</v>
      </c>
      <c r="P6" s="15">
        <f t="shared" si="0"/>
        <v>0.75</v>
      </c>
      <c r="Q6" s="15">
        <f t="shared" si="0"/>
        <v>0.83333333333333337</v>
      </c>
      <c r="R6" s="15">
        <f t="shared" si="0"/>
        <v>0.91666666666666674</v>
      </c>
      <c r="S6" s="15">
        <f t="shared" si="0"/>
        <v>1</v>
      </c>
      <c r="T6" s="15">
        <f t="shared" si="0"/>
        <v>1.0833333333333333</v>
      </c>
      <c r="U6" s="15">
        <f t="shared" si="0"/>
        <v>1.1666666666666665</v>
      </c>
      <c r="V6" s="15">
        <f t="shared" si="0"/>
        <v>1.2499999999999998</v>
      </c>
      <c r="W6" s="15">
        <f t="shared" si="0"/>
        <v>1.333333333333333</v>
      </c>
      <c r="X6" s="15">
        <f t="shared" si="0"/>
        <v>1.4166666666666663</v>
      </c>
      <c r="Y6" s="15">
        <f t="shared" si="0"/>
        <v>1.4999999999999996</v>
      </c>
      <c r="Z6" s="15">
        <f t="shared" si="0"/>
        <v>1.5833333333333328</v>
      </c>
      <c r="AA6" s="15">
        <f t="shared" si="0"/>
        <v>1.6666666666666661</v>
      </c>
      <c r="AB6" s="15">
        <f t="shared" si="0"/>
        <v>1.7499999999999993</v>
      </c>
      <c r="AC6" s="15">
        <f t="shared" si="0"/>
        <v>1.8333333333333326</v>
      </c>
      <c r="AD6" s="15">
        <f t="shared" si="0"/>
        <v>1.9166666666666659</v>
      </c>
      <c r="AE6" s="15">
        <f t="shared" si="0"/>
        <v>1.9999999999999991</v>
      </c>
      <c r="AF6" s="15">
        <f t="shared" si="0"/>
        <v>2.0833333333333326</v>
      </c>
      <c r="AG6" s="15">
        <f t="shared" si="0"/>
        <v>2.1666666666666661</v>
      </c>
      <c r="AH6" s="15">
        <f t="shared" si="0"/>
        <v>2.2499999999999996</v>
      </c>
      <c r="AI6" s="15">
        <f t="shared" si="0"/>
        <v>2.333333333333333</v>
      </c>
      <c r="AJ6" s="15">
        <f t="shared" si="0"/>
        <v>2.4166666666666665</v>
      </c>
      <c r="AK6" s="15">
        <f t="shared" si="0"/>
        <v>2.5</v>
      </c>
      <c r="AL6" s="15">
        <f t="shared" si="0"/>
        <v>2.5833333333333335</v>
      </c>
      <c r="AM6" s="15">
        <f t="shared" si="0"/>
        <v>2.666666666666667</v>
      </c>
      <c r="AN6" s="15">
        <f t="shared" si="0"/>
        <v>2.7500000000000004</v>
      </c>
      <c r="AO6" s="15">
        <f t="shared" si="0"/>
        <v>2.8333333333333339</v>
      </c>
      <c r="AP6" s="15">
        <f t="shared" si="0"/>
        <v>2.9166666666666674</v>
      </c>
      <c r="AQ6" s="15">
        <f t="shared" si="0"/>
        <v>3.0000000000000009</v>
      </c>
      <c r="AR6" s="15">
        <f t="shared" si="0"/>
        <v>3.0833333333333344</v>
      </c>
      <c r="AS6" s="15">
        <f t="shared" si="0"/>
        <v>3.1666666666666679</v>
      </c>
      <c r="AT6" s="15">
        <f t="shared" si="0"/>
        <v>3.2500000000000013</v>
      </c>
      <c r="AU6" s="15">
        <f t="shared" si="0"/>
        <v>3.3333333333333348</v>
      </c>
      <c r="AV6" s="15">
        <f t="shared" si="0"/>
        <v>3.4166666666666683</v>
      </c>
      <c r="AW6" s="15">
        <f t="shared" si="0"/>
        <v>3.5000000000000018</v>
      </c>
      <c r="AX6" s="15">
        <f t="shared" si="0"/>
        <v>3.5833333333333353</v>
      </c>
      <c r="AY6" s="15">
        <f t="shared" si="0"/>
        <v>3.6666666666666687</v>
      </c>
      <c r="AZ6" s="15">
        <f t="shared" si="0"/>
        <v>3.7500000000000022</v>
      </c>
      <c r="BA6" s="15">
        <f t="shared" si="0"/>
        <v>3.8333333333333357</v>
      </c>
      <c r="BB6" s="15">
        <f t="shared" si="0"/>
        <v>3.9166666666666692</v>
      </c>
      <c r="BC6" s="15">
        <f t="shared" si="0"/>
        <v>4.0000000000000027</v>
      </c>
      <c r="BD6" s="15">
        <f t="shared" si="0"/>
        <v>4.0833333333333357</v>
      </c>
      <c r="BE6" s="15">
        <f t="shared" si="0"/>
        <v>4.1666666666666687</v>
      </c>
      <c r="BF6" s="15">
        <f t="shared" si="0"/>
        <v>4.2500000000000018</v>
      </c>
      <c r="BG6" s="15">
        <f t="shared" si="0"/>
        <v>4.3333333333333348</v>
      </c>
      <c r="BH6" s="15">
        <f t="shared" si="0"/>
        <v>4.4166666666666679</v>
      </c>
      <c r="BI6" s="15">
        <f t="shared" si="0"/>
        <v>4.5000000000000009</v>
      </c>
      <c r="BJ6" s="15">
        <f t="shared" si="0"/>
        <v>4.5833333333333339</v>
      </c>
      <c r="BK6" s="15">
        <f t="shared" si="0"/>
        <v>4.666666666666667</v>
      </c>
      <c r="BL6" s="15">
        <f t="shared" si="0"/>
        <v>4.75</v>
      </c>
      <c r="BM6" s="15">
        <f t="shared" si="0"/>
        <v>4.833333333333333</v>
      </c>
      <c r="BN6" s="15">
        <f t="shared" si="0"/>
        <v>4.9166666666666661</v>
      </c>
      <c r="BO6" s="15">
        <f t="shared" si="0"/>
        <v>4.9999999999999991</v>
      </c>
      <c r="BP6" s="15">
        <f t="shared" si="0"/>
        <v>5.0833333333333321</v>
      </c>
      <c r="BQ6" s="15">
        <f t="shared" si="0"/>
        <v>5.1666666666666652</v>
      </c>
      <c r="BR6" s="15">
        <f t="shared" si="0"/>
        <v>5.2499999999999982</v>
      </c>
      <c r="BS6" s="15">
        <f t="shared" si="0"/>
        <v>5.3333333333333313</v>
      </c>
      <c r="BT6" s="15">
        <f t="shared" ref="BT6:DW6" si="1">+BT47</f>
        <v>5.4166666666666643</v>
      </c>
      <c r="BU6" s="15">
        <f t="shared" si="1"/>
        <v>5.4999999999999973</v>
      </c>
      <c r="BV6" s="15">
        <f t="shared" si="1"/>
        <v>5.5833333333333304</v>
      </c>
      <c r="BW6" s="15">
        <f t="shared" si="1"/>
        <v>5.6666666666666634</v>
      </c>
      <c r="BX6" s="15">
        <f t="shared" si="1"/>
        <v>5.7499999999999964</v>
      </c>
      <c r="BY6" s="15">
        <f t="shared" si="1"/>
        <v>5.8333333333333295</v>
      </c>
      <c r="BZ6" s="15">
        <f t="shared" si="1"/>
        <v>5.9166666666666625</v>
      </c>
      <c r="CA6" s="15">
        <f t="shared" si="1"/>
        <v>5.9999999999999956</v>
      </c>
      <c r="CB6" s="15">
        <f t="shared" si="1"/>
        <v>6.0833333333333286</v>
      </c>
      <c r="CC6" s="15">
        <f t="shared" si="1"/>
        <v>6.1666666666666616</v>
      </c>
      <c r="CD6" s="15">
        <f t="shared" si="1"/>
        <v>6.2499999999999947</v>
      </c>
      <c r="CE6" s="15">
        <f t="shared" si="1"/>
        <v>6.3333333333333277</v>
      </c>
      <c r="CF6" s="15">
        <f t="shared" si="1"/>
        <v>6.4166666666666607</v>
      </c>
      <c r="CG6" s="15">
        <f t="shared" si="1"/>
        <v>6.4999999999999938</v>
      </c>
      <c r="CH6" s="15">
        <f t="shared" si="1"/>
        <v>6.5833333333333268</v>
      </c>
      <c r="CI6" s="15">
        <f t="shared" si="1"/>
        <v>6.6666666666666599</v>
      </c>
      <c r="CJ6" s="15">
        <f t="shared" si="1"/>
        <v>6.7499999999999929</v>
      </c>
      <c r="CK6" s="15">
        <f t="shared" si="1"/>
        <v>6.8333333333333259</v>
      </c>
      <c r="CL6" s="15">
        <f t="shared" si="1"/>
        <v>6.916666666666659</v>
      </c>
      <c r="CM6" s="15">
        <f t="shared" si="1"/>
        <v>6.999999999999992</v>
      </c>
      <c r="CN6" s="15">
        <f t="shared" si="1"/>
        <v>7.083333333333325</v>
      </c>
      <c r="CO6" s="15">
        <f t="shared" si="1"/>
        <v>7.1666666666666581</v>
      </c>
      <c r="CP6" s="15">
        <f t="shared" si="1"/>
        <v>7.2499999999999911</v>
      </c>
      <c r="CQ6" s="15">
        <f t="shared" si="1"/>
        <v>7.3333333333333242</v>
      </c>
      <c r="CR6" s="15">
        <f t="shared" si="1"/>
        <v>7.4166666666666572</v>
      </c>
      <c r="CS6" s="15">
        <f t="shared" si="1"/>
        <v>7.4999999999999902</v>
      </c>
      <c r="CT6" s="15">
        <f t="shared" si="1"/>
        <v>7.5833333333333233</v>
      </c>
      <c r="CU6" s="15">
        <f t="shared" si="1"/>
        <v>7.6666666666666563</v>
      </c>
      <c r="CV6" s="15">
        <f t="shared" si="1"/>
        <v>7.7499999999999893</v>
      </c>
      <c r="CW6" s="15">
        <f t="shared" si="1"/>
        <v>7.8333333333333224</v>
      </c>
      <c r="CX6" s="15">
        <f t="shared" si="1"/>
        <v>7.9166666666666554</v>
      </c>
      <c r="CY6" s="15">
        <f t="shared" si="1"/>
        <v>7.9999999999999885</v>
      </c>
      <c r="CZ6" s="15">
        <f t="shared" si="1"/>
        <v>8.0833333333333215</v>
      </c>
      <c r="DA6" s="15">
        <f t="shared" si="1"/>
        <v>8.1666666666666554</v>
      </c>
      <c r="DB6" s="15">
        <f t="shared" si="1"/>
        <v>8.2499999999999893</v>
      </c>
      <c r="DC6" s="15">
        <f t="shared" si="1"/>
        <v>8.3333333333333233</v>
      </c>
      <c r="DD6" s="15">
        <f t="shared" si="1"/>
        <v>8.4166666666666572</v>
      </c>
      <c r="DE6" s="15">
        <f t="shared" si="1"/>
        <v>8.4999999999999911</v>
      </c>
      <c r="DF6" s="15">
        <f t="shared" si="1"/>
        <v>8.583333333333325</v>
      </c>
      <c r="DG6" s="15">
        <f t="shared" si="1"/>
        <v>8.666666666666659</v>
      </c>
      <c r="DH6" s="15">
        <f t="shared" si="1"/>
        <v>8.7499999999999929</v>
      </c>
      <c r="DI6" s="15">
        <f t="shared" si="1"/>
        <v>8.8333333333333268</v>
      </c>
      <c r="DJ6" s="15">
        <f t="shared" si="1"/>
        <v>8.9166666666666607</v>
      </c>
      <c r="DK6" s="15">
        <f t="shared" si="1"/>
        <v>8.9999999999999947</v>
      </c>
      <c r="DL6" s="15">
        <f t="shared" si="1"/>
        <v>9.0833333333333286</v>
      </c>
      <c r="DM6" s="15">
        <f t="shared" si="1"/>
        <v>9.1666666666666625</v>
      </c>
      <c r="DN6" s="15">
        <f t="shared" si="1"/>
        <v>9.2499999999999964</v>
      </c>
      <c r="DO6" s="15">
        <f t="shared" si="1"/>
        <v>9.3333333333333304</v>
      </c>
      <c r="DP6" s="15">
        <f t="shared" si="1"/>
        <v>9.4166666666666643</v>
      </c>
      <c r="DQ6" s="15">
        <f t="shared" si="1"/>
        <v>9.4999999999999982</v>
      </c>
      <c r="DR6" s="15">
        <f t="shared" si="1"/>
        <v>9.5833333333333321</v>
      </c>
      <c r="DS6" s="15">
        <f t="shared" si="1"/>
        <v>9.6666666666666661</v>
      </c>
      <c r="DT6" s="15">
        <f t="shared" si="1"/>
        <v>9.75</v>
      </c>
      <c r="DU6" s="15">
        <f t="shared" si="1"/>
        <v>9.8333333333333339</v>
      </c>
      <c r="DV6" s="15">
        <f t="shared" si="1"/>
        <v>9.9166666666666679</v>
      </c>
      <c r="DW6" s="15">
        <f t="shared" si="1"/>
        <v>10.000000000000002</v>
      </c>
    </row>
    <row r="7" spans="2:127" x14ac:dyDescent="0.2">
      <c r="D7" s="2">
        <f>+ForwardLiborSimulation!D7</f>
        <v>10</v>
      </c>
      <c r="E7" s="10"/>
      <c r="F7" s="12" t="str">
        <f>+"L(t;"&amp;D8&amp;","&amp;D7&amp;")"</f>
        <v>L(t;9.75,10)</v>
      </c>
      <c r="G7" s="13">
        <v>6.9000000000000006E-2</v>
      </c>
      <c r="H7" s="13">
        <v>7.0000000000000007E-2</v>
      </c>
      <c r="I7" s="13">
        <v>7.0999999999999994E-2</v>
      </c>
      <c r="J7" s="13">
        <f t="shared" ref="J7:BU7" si="2">+I7</f>
        <v>7.0999999999999994E-2</v>
      </c>
      <c r="K7" s="13">
        <f t="shared" si="2"/>
        <v>7.0999999999999994E-2</v>
      </c>
      <c r="L7" s="13">
        <f t="shared" si="2"/>
        <v>7.0999999999999994E-2</v>
      </c>
      <c r="M7" s="13">
        <f t="shared" si="2"/>
        <v>7.0999999999999994E-2</v>
      </c>
      <c r="N7" s="13">
        <f t="shared" si="2"/>
        <v>7.0999999999999994E-2</v>
      </c>
      <c r="O7" s="13">
        <f t="shared" si="2"/>
        <v>7.0999999999999994E-2</v>
      </c>
      <c r="P7" s="13">
        <f t="shared" si="2"/>
        <v>7.0999999999999994E-2</v>
      </c>
      <c r="Q7" s="13">
        <f t="shared" si="2"/>
        <v>7.0999999999999994E-2</v>
      </c>
      <c r="R7" s="13">
        <f t="shared" si="2"/>
        <v>7.0999999999999994E-2</v>
      </c>
      <c r="S7" s="13">
        <f t="shared" si="2"/>
        <v>7.0999999999999994E-2</v>
      </c>
      <c r="T7" s="13">
        <f t="shared" si="2"/>
        <v>7.0999999999999994E-2</v>
      </c>
      <c r="U7" s="13">
        <f t="shared" si="2"/>
        <v>7.0999999999999994E-2</v>
      </c>
      <c r="V7" s="13">
        <f t="shared" si="2"/>
        <v>7.0999999999999994E-2</v>
      </c>
      <c r="W7" s="13">
        <f t="shared" si="2"/>
        <v>7.0999999999999994E-2</v>
      </c>
      <c r="X7" s="13">
        <f t="shared" si="2"/>
        <v>7.0999999999999994E-2</v>
      </c>
      <c r="Y7" s="13">
        <f t="shared" si="2"/>
        <v>7.0999999999999994E-2</v>
      </c>
      <c r="Z7" s="13">
        <f t="shared" si="2"/>
        <v>7.0999999999999994E-2</v>
      </c>
      <c r="AA7" s="13">
        <f t="shared" si="2"/>
        <v>7.0999999999999994E-2</v>
      </c>
      <c r="AB7" s="13">
        <f t="shared" si="2"/>
        <v>7.0999999999999994E-2</v>
      </c>
      <c r="AC7" s="13">
        <f t="shared" si="2"/>
        <v>7.0999999999999994E-2</v>
      </c>
      <c r="AD7" s="13">
        <f t="shared" si="2"/>
        <v>7.0999999999999994E-2</v>
      </c>
      <c r="AE7" s="13">
        <f t="shared" si="2"/>
        <v>7.0999999999999994E-2</v>
      </c>
      <c r="AF7" s="13">
        <f t="shared" si="2"/>
        <v>7.0999999999999994E-2</v>
      </c>
      <c r="AG7" s="13">
        <f t="shared" si="2"/>
        <v>7.0999999999999994E-2</v>
      </c>
      <c r="AH7" s="13">
        <f t="shared" si="2"/>
        <v>7.0999999999999994E-2</v>
      </c>
      <c r="AI7" s="13">
        <f t="shared" si="2"/>
        <v>7.0999999999999994E-2</v>
      </c>
      <c r="AJ7" s="13">
        <f t="shared" si="2"/>
        <v>7.0999999999999994E-2</v>
      </c>
      <c r="AK7" s="13">
        <f t="shared" si="2"/>
        <v>7.0999999999999994E-2</v>
      </c>
      <c r="AL7" s="13">
        <f t="shared" si="2"/>
        <v>7.0999999999999994E-2</v>
      </c>
      <c r="AM7" s="13">
        <f t="shared" si="2"/>
        <v>7.0999999999999994E-2</v>
      </c>
      <c r="AN7" s="13">
        <f t="shared" si="2"/>
        <v>7.0999999999999994E-2</v>
      </c>
      <c r="AO7" s="13">
        <f t="shared" si="2"/>
        <v>7.0999999999999994E-2</v>
      </c>
      <c r="AP7" s="13">
        <f t="shared" si="2"/>
        <v>7.0999999999999994E-2</v>
      </c>
      <c r="AQ7" s="13">
        <f t="shared" si="2"/>
        <v>7.0999999999999994E-2</v>
      </c>
      <c r="AR7" s="13">
        <f t="shared" si="2"/>
        <v>7.0999999999999994E-2</v>
      </c>
      <c r="AS7" s="13">
        <f t="shared" si="2"/>
        <v>7.0999999999999994E-2</v>
      </c>
      <c r="AT7" s="13">
        <f t="shared" si="2"/>
        <v>7.0999999999999994E-2</v>
      </c>
      <c r="AU7" s="13">
        <f t="shared" si="2"/>
        <v>7.0999999999999994E-2</v>
      </c>
      <c r="AV7" s="13">
        <f t="shared" si="2"/>
        <v>7.0999999999999994E-2</v>
      </c>
      <c r="AW7" s="13">
        <f t="shared" si="2"/>
        <v>7.0999999999999994E-2</v>
      </c>
      <c r="AX7" s="13">
        <f t="shared" si="2"/>
        <v>7.0999999999999994E-2</v>
      </c>
      <c r="AY7" s="13">
        <f t="shared" si="2"/>
        <v>7.0999999999999994E-2</v>
      </c>
      <c r="AZ7" s="13">
        <f t="shared" si="2"/>
        <v>7.0999999999999994E-2</v>
      </c>
      <c r="BA7" s="13">
        <f t="shared" si="2"/>
        <v>7.0999999999999994E-2</v>
      </c>
      <c r="BB7" s="13">
        <f t="shared" si="2"/>
        <v>7.0999999999999994E-2</v>
      </c>
      <c r="BC7" s="13">
        <f t="shared" si="2"/>
        <v>7.0999999999999994E-2</v>
      </c>
      <c r="BD7" s="13">
        <f t="shared" si="2"/>
        <v>7.0999999999999994E-2</v>
      </c>
      <c r="BE7" s="13">
        <f t="shared" si="2"/>
        <v>7.0999999999999994E-2</v>
      </c>
      <c r="BF7" s="13">
        <f t="shared" si="2"/>
        <v>7.0999999999999994E-2</v>
      </c>
      <c r="BG7" s="13">
        <f t="shared" si="2"/>
        <v>7.0999999999999994E-2</v>
      </c>
      <c r="BH7" s="13">
        <f t="shared" si="2"/>
        <v>7.0999999999999994E-2</v>
      </c>
      <c r="BI7" s="13">
        <f t="shared" si="2"/>
        <v>7.0999999999999994E-2</v>
      </c>
      <c r="BJ7" s="13">
        <f t="shared" si="2"/>
        <v>7.0999999999999994E-2</v>
      </c>
      <c r="BK7" s="13">
        <f t="shared" si="2"/>
        <v>7.0999999999999994E-2</v>
      </c>
      <c r="BL7" s="13">
        <f t="shared" si="2"/>
        <v>7.0999999999999994E-2</v>
      </c>
      <c r="BM7" s="13">
        <f t="shared" si="2"/>
        <v>7.0999999999999994E-2</v>
      </c>
      <c r="BN7" s="13">
        <f t="shared" si="2"/>
        <v>7.0999999999999994E-2</v>
      </c>
      <c r="BO7" s="13">
        <f t="shared" si="2"/>
        <v>7.0999999999999994E-2</v>
      </c>
      <c r="BP7" s="13">
        <f t="shared" si="2"/>
        <v>7.0999999999999994E-2</v>
      </c>
      <c r="BQ7" s="13">
        <f t="shared" si="2"/>
        <v>7.0999999999999994E-2</v>
      </c>
      <c r="BR7" s="13">
        <f t="shared" si="2"/>
        <v>7.0999999999999994E-2</v>
      </c>
      <c r="BS7" s="13">
        <f t="shared" si="2"/>
        <v>7.0999999999999994E-2</v>
      </c>
      <c r="BT7" s="13">
        <f t="shared" si="2"/>
        <v>7.0999999999999994E-2</v>
      </c>
      <c r="BU7" s="13">
        <f t="shared" si="2"/>
        <v>7.0999999999999994E-2</v>
      </c>
      <c r="BV7" s="13">
        <f t="shared" ref="BV7:CO7" si="3">+BU7</f>
        <v>7.0999999999999994E-2</v>
      </c>
      <c r="BW7" s="13">
        <f t="shared" si="3"/>
        <v>7.0999999999999994E-2</v>
      </c>
      <c r="BX7" s="13">
        <f t="shared" si="3"/>
        <v>7.0999999999999994E-2</v>
      </c>
      <c r="BY7" s="13">
        <f t="shared" si="3"/>
        <v>7.0999999999999994E-2</v>
      </c>
      <c r="BZ7" s="13">
        <f t="shared" si="3"/>
        <v>7.0999999999999994E-2</v>
      </c>
      <c r="CA7" s="13">
        <f t="shared" si="3"/>
        <v>7.0999999999999994E-2</v>
      </c>
      <c r="CB7" s="13">
        <f t="shared" si="3"/>
        <v>7.0999999999999994E-2</v>
      </c>
      <c r="CC7" s="13">
        <f t="shared" si="3"/>
        <v>7.0999999999999994E-2</v>
      </c>
      <c r="CD7" s="13">
        <f t="shared" si="3"/>
        <v>7.0999999999999994E-2</v>
      </c>
      <c r="CE7" s="13">
        <f t="shared" si="3"/>
        <v>7.0999999999999994E-2</v>
      </c>
      <c r="CF7" s="13">
        <f t="shared" si="3"/>
        <v>7.0999999999999994E-2</v>
      </c>
      <c r="CG7" s="13">
        <f t="shared" si="3"/>
        <v>7.0999999999999994E-2</v>
      </c>
      <c r="CH7" s="13">
        <f t="shared" si="3"/>
        <v>7.0999999999999994E-2</v>
      </c>
      <c r="CI7" s="13">
        <f t="shared" si="3"/>
        <v>7.0999999999999994E-2</v>
      </c>
      <c r="CJ7" s="13">
        <f t="shared" si="3"/>
        <v>7.0999999999999994E-2</v>
      </c>
      <c r="CK7" s="13">
        <f t="shared" si="3"/>
        <v>7.0999999999999994E-2</v>
      </c>
      <c r="CL7" s="13">
        <f t="shared" si="3"/>
        <v>7.0999999999999994E-2</v>
      </c>
      <c r="CM7" s="13">
        <f t="shared" si="3"/>
        <v>7.0999999999999994E-2</v>
      </c>
      <c r="CN7" s="13">
        <f t="shared" si="3"/>
        <v>7.0999999999999994E-2</v>
      </c>
      <c r="CO7" s="13">
        <f t="shared" si="3"/>
        <v>7.0999999999999994E-2</v>
      </c>
      <c r="CP7" s="13">
        <f t="shared" ref="CP7:DS7" si="4">+CO7</f>
        <v>7.0999999999999994E-2</v>
      </c>
      <c r="CQ7" s="13">
        <f t="shared" si="4"/>
        <v>7.0999999999999994E-2</v>
      </c>
      <c r="CR7" s="13">
        <f t="shared" si="4"/>
        <v>7.0999999999999994E-2</v>
      </c>
      <c r="CS7" s="13">
        <f t="shared" si="4"/>
        <v>7.0999999999999994E-2</v>
      </c>
      <c r="CT7" s="13">
        <f t="shared" si="4"/>
        <v>7.0999999999999994E-2</v>
      </c>
      <c r="CU7" s="13">
        <f t="shared" si="4"/>
        <v>7.0999999999999994E-2</v>
      </c>
      <c r="CV7" s="13">
        <f t="shared" si="4"/>
        <v>7.0999999999999994E-2</v>
      </c>
      <c r="CW7" s="13">
        <f t="shared" si="4"/>
        <v>7.0999999999999994E-2</v>
      </c>
      <c r="CX7" s="13">
        <f t="shared" si="4"/>
        <v>7.0999999999999994E-2</v>
      </c>
      <c r="CY7" s="13">
        <f t="shared" si="4"/>
        <v>7.0999999999999994E-2</v>
      </c>
      <c r="CZ7" s="13">
        <f t="shared" si="4"/>
        <v>7.0999999999999994E-2</v>
      </c>
      <c r="DA7" s="13">
        <f t="shared" si="4"/>
        <v>7.0999999999999994E-2</v>
      </c>
      <c r="DB7" s="13">
        <f t="shared" si="4"/>
        <v>7.0999999999999994E-2</v>
      </c>
      <c r="DC7" s="13">
        <f t="shared" si="4"/>
        <v>7.0999999999999994E-2</v>
      </c>
      <c r="DD7" s="13">
        <f t="shared" si="4"/>
        <v>7.0999999999999994E-2</v>
      </c>
      <c r="DE7" s="13">
        <f t="shared" si="4"/>
        <v>7.0999999999999994E-2</v>
      </c>
      <c r="DF7" s="13">
        <f t="shared" si="4"/>
        <v>7.0999999999999994E-2</v>
      </c>
      <c r="DG7" s="13">
        <f t="shared" si="4"/>
        <v>7.0999999999999994E-2</v>
      </c>
      <c r="DH7" s="13">
        <f t="shared" si="4"/>
        <v>7.0999999999999994E-2</v>
      </c>
      <c r="DI7" s="13">
        <f t="shared" si="4"/>
        <v>7.0999999999999994E-2</v>
      </c>
      <c r="DJ7" s="13">
        <f t="shared" si="4"/>
        <v>7.0999999999999994E-2</v>
      </c>
      <c r="DK7" s="13">
        <f t="shared" si="4"/>
        <v>7.0999999999999994E-2</v>
      </c>
      <c r="DL7" s="13">
        <f t="shared" si="4"/>
        <v>7.0999999999999994E-2</v>
      </c>
      <c r="DM7" s="13">
        <f t="shared" si="4"/>
        <v>7.0999999999999994E-2</v>
      </c>
      <c r="DN7" s="13">
        <f t="shared" si="4"/>
        <v>7.0999999999999994E-2</v>
      </c>
      <c r="DO7" s="13">
        <f t="shared" si="4"/>
        <v>7.0999999999999994E-2</v>
      </c>
      <c r="DP7" s="13">
        <f t="shared" si="4"/>
        <v>7.0999999999999994E-2</v>
      </c>
      <c r="DQ7" s="13">
        <f t="shared" si="4"/>
        <v>7.0999999999999994E-2</v>
      </c>
      <c r="DR7" s="13">
        <f t="shared" si="4"/>
        <v>7.0999999999999994E-2</v>
      </c>
      <c r="DS7" s="13">
        <f t="shared" si="4"/>
        <v>7.0999999999999994E-2</v>
      </c>
      <c r="DU7" s="13"/>
      <c r="DV7" s="13"/>
      <c r="DW7" s="13"/>
    </row>
    <row r="8" spans="2:127" x14ac:dyDescent="0.2">
      <c r="B8" s="5"/>
      <c r="D8" s="2">
        <f>+ForwardLiborSimulation!D8</f>
        <v>9.75</v>
      </c>
      <c r="E8" s="10"/>
      <c r="F8" s="12" t="str">
        <f>+"L(t;"&amp;D9&amp;","&amp;D8&amp;")"</f>
        <v>L(t;9.5,9.75)</v>
      </c>
      <c r="G8" s="13">
        <v>7.1999999999999995E-2</v>
      </c>
      <c r="H8" s="13">
        <v>7.2999999999999995E-2</v>
      </c>
      <c r="I8" s="13">
        <v>7.3999999999999996E-2</v>
      </c>
      <c r="J8" s="13">
        <f t="shared" ref="J8:BU8" si="5">+I8</f>
        <v>7.3999999999999996E-2</v>
      </c>
      <c r="K8" s="13">
        <f t="shared" si="5"/>
        <v>7.3999999999999996E-2</v>
      </c>
      <c r="L8" s="13">
        <f t="shared" si="5"/>
        <v>7.3999999999999996E-2</v>
      </c>
      <c r="M8" s="13">
        <f t="shared" si="5"/>
        <v>7.3999999999999996E-2</v>
      </c>
      <c r="N8" s="13">
        <f t="shared" si="5"/>
        <v>7.3999999999999996E-2</v>
      </c>
      <c r="O8" s="13">
        <f t="shared" si="5"/>
        <v>7.3999999999999996E-2</v>
      </c>
      <c r="P8" s="13">
        <f t="shared" si="5"/>
        <v>7.3999999999999996E-2</v>
      </c>
      <c r="Q8" s="13">
        <f t="shared" si="5"/>
        <v>7.3999999999999996E-2</v>
      </c>
      <c r="R8" s="13">
        <f t="shared" si="5"/>
        <v>7.3999999999999996E-2</v>
      </c>
      <c r="S8" s="13">
        <f t="shared" si="5"/>
        <v>7.3999999999999996E-2</v>
      </c>
      <c r="T8" s="13">
        <f t="shared" si="5"/>
        <v>7.3999999999999996E-2</v>
      </c>
      <c r="U8" s="13">
        <f t="shared" si="5"/>
        <v>7.3999999999999996E-2</v>
      </c>
      <c r="V8" s="13">
        <f t="shared" si="5"/>
        <v>7.3999999999999996E-2</v>
      </c>
      <c r="W8" s="13">
        <f t="shared" si="5"/>
        <v>7.3999999999999996E-2</v>
      </c>
      <c r="X8" s="13">
        <f t="shared" si="5"/>
        <v>7.3999999999999996E-2</v>
      </c>
      <c r="Y8" s="13">
        <f t="shared" si="5"/>
        <v>7.3999999999999996E-2</v>
      </c>
      <c r="Z8" s="13">
        <f t="shared" si="5"/>
        <v>7.3999999999999996E-2</v>
      </c>
      <c r="AA8" s="13">
        <f t="shared" si="5"/>
        <v>7.3999999999999996E-2</v>
      </c>
      <c r="AB8" s="13">
        <f t="shared" si="5"/>
        <v>7.3999999999999996E-2</v>
      </c>
      <c r="AC8" s="13">
        <f t="shared" si="5"/>
        <v>7.3999999999999996E-2</v>
      </c>
      <c r="AD8" s="13">
        <f t="shared" si="5"/>
        <v>7.3999999999999996E-2</v>
      </c>
      <c r="AE8" s="13">
        <f t="shared" si="5"/>
        <v>7.3999999999999996E-2</v>
      </c>
      <c r="AF8" s="13">
        <f t="shared" si="5"/>
        <v>7.3999999999999996E-2</v>
      </c>
      <c r="AG8" s="13">
        <f t="shared" si="5"/>
        <v>7.3999999999999996E-2</v>
      </c>
      <c r="AH8" s="13">
        <f t="shared" si="5"/>
        <v>7.3999999999999996E-2</v>
      </c>
      <c r="AI8" s="13">
        <f t="shared" si="5"/>
        <v>7.3999999999999996E-2</v>
      </c>
      <c r="AJ8" s="13">
        <f t="shared" si="5"/>
        <v>7.3999999999999996E-2</v>
      </c>
      <c r="AK8" s="13">
        <f t="shared" si="5"/>
        <v>7.3999999999999996E-2</v>
      </c>
      <c r="AL8" s="13">
        <f t="shared" si="5"/>
        <v>7.3999999999999996E-2</v>
      </c>
      <c r="AM8" s="13">
        <f t="shared" si="5"/>
        <v>7.3999999999999996E-2</v>
      </c>
      <c r="AN8" s="13">
        <f t="shared" si="5"/>
        <v>7.3999999999999996E-2</v>
      </c>
      <c r="AO8" s="13">
        <f t="shared" si="5"/>
        <v>7.3999999999999996E-2</v>
      </c>
      <c r="AP8" s="13">
        <f t="shared" si="5"/>
        <v>7.3999999999999996E-2</v>
      </c>
      <c r="AQ8" s="13">
        <f t="shared" si="5"/>
        <v>7.3999999999999996E-2</v>
      </c>
      <c r="AR8" s="13">
        <f t="shared" si="5"/>
        <v>7.3999999999999996E-2</v>
      </c>
      <c r="AS8" s="13">
        <f t="shared" si="5"/>
        <v>7.3999999999999996E-2</v>
      </c>
      <c r="AT8" s="13">
        <f t="shared" si="5"/>
        <v>7.3999999999999996E-2</v>
      </c>
      <c r="AU8" s="13">
        <f t="shared" si="5"/>
        <v>7.3999999999999996E-2</v>
      </c>
      <c r="AV8" s="13">
        <f t="shared" si="5"/>
        <v>7.3999999999999996E-2</v>
      </c>
      <c r="AW8" s="13">
        <f t="shared" si="5"/>
        <v>7.3999999999999996E-2</v>
      </c>
      <c r="AX8" s="13">
        <f t="shared" si="5"/>
        <v>7.3999999999999996E-2</v>
      </c>
      <c r="AY8" s="13">
        <f t="shared" si="5"/>
        <v>7.3999999999999996E-2</v>
      </c>
      <c r="AZ8" s="13">
        <f t="shared" si="5"/>
        <v>7.3999999999999996E-2</v>
      </c>
      <c r="BA8" s="13">
        <f t="shared" si="5"/>
        <v>7.3999999999999996E-2</v>
      </c>
      <c r="BB8" s="13">
        <f t="shared" si="5"/>
        <v>7.3999999999999996E-2</v>
      </c>
      <c r="BC8" s="13">
        <f t="shared" si="5"/>
        <v>7.3999999999999996E-2</v>
      </c>
      <c r="BD8" s="13">
        <f t="shared" si="5"/>
        <v>7.3999999999999996E-2</v>
      </c>
      <c r="BE8" s="13">
        <f t="shared" si="5"/>
        <v>7.3999999999999996E-2</v>
      </c>
      <c r="BF8" s="13">
        <f t="shared" si="5"/>
        <v>7.3999999999999996E-2</v>
      </c>
      <c r="BG8" s="13">
        <f t="shared" si="5"/>
        <v>7.3999999999999996E-2</v>
      </c>
      <c r="BH8" s="13">
        <f t="shared" si="5"/>
        <v>7.3999999999999996E-2</v>
      </c>
      <c r="BI8" s="13">
        <f t="shared" si="5"/>
        <v>7.3999999999999996E-2</v>
      </c>
      <c r="BJ8" s="13">
        <f t="shared" si="5"/>
        <v>7.3999999999999996E-2</v>
      </c>
      <c r="BK8" s="13">
        <f t="shared" si="5"/>
        <v>7.3999999999999996E-2</v>
      </c>
      <c r="BL8" s="13">
        <f t="shared" si="5"/>
        <v>7.3999999999999996E-2</v>
      </c>
      <c r="BM8" s="13">
        <f t="shared" si="5"/>
        <v>7.3999999999999996E-2</v>
      </c>
      <c r="BN8" s="13">
        <f t="shared" si="5"/>
        <v>7.3999999999999996E-2</v>
      </c>
      <c r="BO8" s="13">
        <f t="shared" si="5"/>
        <v>7.3999999999999996E-2</v>
      </c>
      <c r="BP8" s="13">
        <f t="shared" si="5"/>
        <v>7.3999999999999996E-2</v>
      </c>
      <c r="BQ8" s="13">
        <f t="shared" si="5"/>
        <v>7.3999999999999996E-2</v>
      </c>
      <c r="BR8" s="13">
        <f t="shared" si="5"/>
        <v>7.3999999999999996E-2</v>
      </c>
      <c r="BS8" s="13">
        <f t="shared" si="5"/>
        <v>7.3999999999999996E-2</v>
      </c>
      <c r="BT8" s="13">
        <f t="shared" si="5"/>
        <v>7.3999999999999996E-2</v>
      </c>
      <c r="BU8" s="13">
        <f t="shared" si="5"/>
        <v>7.3999999999999996E-2</v>
      </c>
      <c r="BV8" s="13">
        <f t="shared" ref="BV8:CO8" si="6">+BU8</f>
        <v>7.3999999999999996E-2</v>
      </c>
      <c r="BW8" s="13">
        <f t="shared" si="6"/>
        <v>7.3999999999999996E-2</v>
      </c>
      <c r="BX8" s="13">
        <f t="shared" si="6"/>
        <v>7.3999999999999996E-2</v>
      </c>
      <c r="BY8" s="13">
        <f t="shared" si="6"/>
        <v>7.3999999999999996E-2</v>
      </c>
      <c r="BZ8" s="13">
        <f t="shared" si="6"/>
        <v>7.3999999999999996E-2</v>
      </c>
      <c r="CA8" s="13">
        <f t="shared" si="6"/>
        <v>7.3999999999999996E-2</v>
      </c>
      <c r="CB8" s="13">
        <f t="shared" si="6"/>
        <v>7.3999999999999996E-2</v>
      </c>
      <c r="CC8" s="13">
        <f t="shared" si="6"/>
        <v>7.3999999999999996E-2</v>
      </c>
      <c r="CD8" s="13">
        <f t="shared" si="6"/>
        <v>7.3999999999999996E-2</v>
      </c>
      <c r="CE8" s="13">
        <f t="shared" si="6"/>
        <v>7.3999999999999996E-2</v>
      </c>
      <c r="CF8" s="13">
        <f t="shared" si="6"/>
        <v>7.3999999999999996E-2</v>
      </c>
      <c r="CG8" s="13">
        <f t="shared" si="6"/>
        <v>7.3999999999999996E-2</v>
      </c>
      <c r="CH8" s="13">
        <f t="shared" si="6"/>
        <v>7.3999999999999996E-2</v>
      </c>
      <c r="CI8" s="13">
        <f t="shared" si="6"/>
        <v>7.3999999999999996E-2</v>
      </c>
      <c r="CJ8" s="13">
        <f t="shared" si="6"/>
        <v>7.3999999999999996E-2</v>
      </c>
      <c r="CK8" s="13">
        <f t="shared" si="6"/>
        <v>7.3999999999999996E-2</v>
      </c>
      <c r="CL8" s="13">
        <f t="shared" si="6"/>
        <v>7.3999999999999996E-2</v>
      </c>
      <c r="CM8" s="13">
        <f t="shared" si="6"/>
        <v>7.3999999999999996E-2</v>
      </c>
      <c r="CN8" s="13">
        <f t="shared" si="6"/>
        <v>7.3999999999999996E-2</v>
      </c>
      <c r="CO8" s="13">
        <f t="shared" si="6"/>
        <v>7.3999999999999996E-2</v>
      </c>
      <c r="CP8" s="13">
        <f t="shared" ref="CP8:DP8" si="7">+CO8</f>
        <v>7.3999999999999996E-2</v>
      </c>
      <c r="CQ8" s="13">
        <f t="shared" si="7"/>
        <v>7.3999999999999996E-2</v>
      </c>
      <c r="CR8" s="13">
        <f t="shared" si="7"/>
        <v>7.3999999999999996E-2</v>
      </c>
      <c r="CS8" s="13">
        <f t="shared" si="7"/>
        <v>7.3999999999999996E-2</v>
      </c>
      <c r="CT8" s="13">
        <f t="shared" si="7"/>
        <v>7.3999999999999996E-2</v>
      </c>
      <c r="CU8" s="13">
        <f t="shared" si="7"/>
        <v>7.3999999999999996E-2</v>
      </c>
      <c r="CV8" s="13">
        <f t="shared" si="7"/>
        <v>7.3999999999999996E-2</v>
      </c>
      <c r="CW8" s="13">
        <f t="shared" si="7"/>
        <v>7.3999999999999996E-2</v>
      </c>
      <c r="CX8" s="13">
        <f t="shared" si="7"/>
        <v>7.3999999999999996E-2</v>
      </c>
      <c r="CY8" s="13">
        <f t="shared" si="7"/>
        <v>7.3999999999999996E-2</v>
      </c>
      <c r="CZ8" s="13">
        <f t="shared" si="7"/>
        <v>7.3999999999999996E-2</v>
      </c>
      <c r="DA8" s="13">
        <f t="shared" si="7"/>
        <v>7.3999999999999996E-2</v>
      </c>
      <c r="DB8" s="13">
        <f t="shared" si="7"/>
        <v>7.3999999999999996E-2</v>
      </c>
      <c r="DC8" s="13">
        <f t="shared" si="7"/>
        <v>7.3999999999999996E-2</v>
      </c>
      <c r="DD8" s="13">
        <f t="shared" si="7"/>
        <v>7.3999999999999996E-2</v>
      </c>
      <c r="DE8" s="13">
        <f t="shared" si="7"/>
        <v>7.3999999999999996E-2</v>
      </c>
      <c r="DF8" s="13">
        <f t="shared" si="7"/>
        <v>7.3999999999999996E-2</v>
      </c>
      <c r="DG8" s="13">
        <f t="shared" si="7"/>
        <v>7.3999999999999996E-2</v>
      </c>
      <c r="DH8" s="13">
        <f t="shared" si="7"/>
        <v>7.3999999999999996E-2</v>
      </c>
      <c r="DI8" s="13">
        <f t="shared" si="7"/>
        <v>7.3999999999999996E-2</v>
      </c>
      <c r="DJ8" s="13">
        <f t="shared" si="7"/>
        <v>7.3999999999999996E-2</v>
      </c>
      <c r="DK8" s="13">
        <f t="shared" si="7"/>
        <v>7.3999999999999996E-2</v>
      </c>
      <c r="DL8" s="13">
        <f t="shared" si="7"/>
        <v>7.3999999999999996E-2</v>
      </c>
      <c r="DM8" s="13">
        <f t="shared" si="7"/>
        <v>7.3999999999999996E-2</v>
      </c>
      <c r="DN8" s="13">
        <f t="shared" si="7"/>
        <v>7.3999999999999996E-2</v>
      </c>
      <c r="DO8" s="13">
        <f t="shared" si="7"/>
        <v>7.3999999999999996E-2</v>
      </c>
      <c r="DP8" s="13">
        <f t="shared" si="7"/>
        <v>7.3999999999999996E-2</v>
      </c>
      <c r="DQ8" s="13"/>
      <c r="DR8" s="13"/>
      <c r="DS8" s="13"/>
      <c r="DU8" s="13"/>
      <c r="DV8" s="13"/>
      <c r="DW8" s="13"/>
    </row>
    <row r="9" spans="2:127" x14ac:dyDescent="0.2">
      <c r="B9" s="7"/>
      <c r="D9" s="2">
        <f>+ForwardLiborSimulation!D9</f>
        <v>9.5</v>
      </c>
      <c r="E9" s="10"/>
      <c r="F9" s="12" t="str">
        <f>+"L(t;"&amp;D10&amp;","&amp;D9&amp;")"</f>
        <v>L(t;9.25,9.5)</v>
      </c>
      <c r="G9" s="13">
        <v>7.4999999999999997E-2</v>
      </c>
      <c r="H9" s="13">
        <v>7.5999999999999998E-2</v>
      </c>
      <c r="I9" s="13">
        <v>7.6999999999999999E-2</v>
      </c>
      <c r="J9" s="13">
        <f t="shared" ref="J9:BU9" si="8">+I9</f>
        <v>7.6999999999999999E-2</v>
      </c>
      <c r="K9" s="13">
        <f t="shared" si="8"/>
        <v>7.6999999999999999E-2</v>
      </c>
      <c r="L9" s="13">
        <f t="shared" si="8"/>
        <v>7.6999999999999999E-2</v>
      </c>
      <c r="M9" s="13">
        <f t="shared" si="8"/>
        <v>7.6999999999999999E-2</v>
      </c>
      <c r="N9" s="13">
        <f t="shared" si="8"/>
        <v>7.6999999999999999E-2</v>
      </c>
      <c r="O9" s="13">
        <f t="shared" si="8"/>
        <v>7.6999999999999999E-2</v>
      </c>
      <c r="P9" s="13">
        <f t="shared" si="8"/>
        <v>7.6999999999999999E-2</v>
      </c>
      <c r="Q9" s="13">
        <f t="shared" si="8"/>
        <v>7.6999999999999999E-2</v>
      </c>
      <c r="R9" s="13">
        <f t="shared" si="8"/>
        <v>7.6999999999999999E-2</v>
      </c>
      <c r="S9" s="13">
        <f t="shared" si="8"/>
        <v>7.6999999999999999E-2</v>
      </c>
      <c r="T9" s="13">
        <f t="shared" si="8"/>
        <v>7.6999999999999999E-2</v>
      </c>
      <c r="U9" s="13">
        <f t="shared" si="8"/>
        <v>7.6999999999999999E-2</v>
      </c>
      <c r="V9" s="13">
        <f t="shared" si="8"/>
        <v>7.6999999999999999E-2</v>
      </c>
      <c r="W9" s="13">
        <f t="shared" si="8"/>
        <v>7.6999999999999999E-2</v>
      </c>
      <c r="X9" s="13">
        <f t="shared" si="8"/>
        <v>7.6999999999999999E-2</v>
      </c>
      <c r="Y9" s="13">
        <f t="shared" si="8"/>
        <v>7.6999999999999999E-2</v>
      </c>
      <c r="Z9" s="13">
        <f t="shared" si="8"/>
        <v>7.6999999999999999E-2</v>
      </c>
      <c r="AA9" s="13">
        <f t="shared" si="8"/>
        <v>7.6999999999999999E-2</v>
      </c>
      <c r="AB9" s="13">
        <f t="shared" si="8"/>
        <v>7.6999999999999999E-2</v>
      </c>
      <c r="AC9" s="13">
        <f t="shared" si="8"/>
        <v>7.6999999999999999E-2</v>
      </c>
      <c r="AD9" s="13">
        <f t="shared" si="8"/>
        <v>7.6999999999999999E-2</v>
      </c>
      <c r="AE9" s="13">
        <f t="shared" si="8"/>
        <v>7.6999999999999999E-2</v>
      </c>
      <c r="AF9" s="13">
        <f t="shared" si="8"/>
        <v>7.6999999999999999E-2</v>
      </c>
      <c r="AG9" s="13">
        <f t="shared" si="8"/>
        <v>7.6999999999999999E-2</v>
      </c>
      <c r="AH9" s="13">
        <f t="shared" si="8"/>
        <v>7.6999999999999999E-2</v>
      </c>
      <c r="AI9" s="13">
        <f t="shared" si="8"/>
        <v>7.6999999999999999E-2</v>
      </c>
      <c r="AJ9" s="13">
        <f t="shared" si="8"/>
        <v>7.6999999999999999E-2</v>
      </c>
      <c r="AK9" s="13">
        <f t="shared" si="8"/>
        <v>7.6999999999999999E-2</v>
      </c>
      <c r="AL9" s="13">
        <f t="shared" si="8"/>
        <v>7.6999999999999999E-2</v>
      </c>
      <c r="AM9" s="13">
        <f t="shared" si="8"/>
        <v>7.6999999999999999E-2</v>
      </c>
      <c r="AN9" s="13">
        <f t="shared" si="8"/>
        <v>7.6999999999999999E-2</v>
      </c>
      <c r="AO9" s="13">
        <f t="shared" si="8"/>
        <v>7.6999999999999999E-2</v>
      </c>
      <c r="AP9" s="13">
        <f t="shared" si="8"/>
        <v>7.6999999999999999E-2</v>
      </c>
      <c r="AQ9" s="13">
        <f t="shared" si="8"/>
        <v>7.6999999999999999E-2</v>
      </c>
      <c r="AR9" s="13">
        <f t="shared" si="8"/>
        <v>7.6999999999999999E-2</v>
      </c>
      <c r="AS9" s="13">
        <f t="shared" si="8"/>
        <v>7.6999999999999999E-2</v>
      </c>
      <c r="AT9" s="13">
        <f t="shared" si="8"/>
        <v>7.6999999999999999E-2</v>
      </c>
      <c r="AU9" s="13">
        <f t="shared" si="8"/>
        <v>7.6999999999999999E-2</v>
      </c>
      <c r="AV9" s="13">
        <f t="shared" si="8"/>
        <v>7.6999999999999999E-2</v>
      </c>
      <c r="AW9" s="13">
        <f t="shared" si="8"/>
        <v>7.6999999999999999E-2</v>
      </c>
      <c r="AX9" s="13">
        <f t="shared" si="8"/>
        <v>7.6999999999999999E-2</v>
      </c>
      <c r="AY9" s="13">
        <f t="shared" si="8"/>
        <v>7.6999999999999999E-2</v>
      </c>
      <c r="AZ9" s="13">
        <f t="shared" si="8"/>
        <v>7.6999999999999999E-2</v>
      </c>
      <c r="BA9" s="13">
        <f t="shared" si="8"/>
        <v>7.6999999999999999E-2</v>
      </c>
      <c r="BB9" s="13">
        <f t="shared" si="8"/>
        <v>7.6999999999999999E-2</v>
      </c>
      <c r="BC9" s="13">
        <f t="shared" si="8"/>
        <v>7.6999999999999999E-2</v>
      </c>
      <c r="BD9" s="13">
        <f t="shared" si="8"/>
        <v>7.6999999999999999E-2</v>
      </c>
      <c r="BE9" s="13">
        <f t="shared" si="8"/>
        <v>7.6999999999999999E-2</v>
      </c>
      <c r="BF9" s="13">
        <f t="shared" si="8"/>
        <v>7.6999999999999999E-2</v>
      </c>
      <c r="BG9" s="13">
        <f t="shared" si="8"/>
        <v>7.6999999999999999E-2</v>
      </c>
      <c r="BH9" s="13">
        <f t="shared" si="8"/>
        <v>7.6999999999999999E-2</v>
      </c>
      <c r="BI9" s="13">
        <f t="shared" si="8"/>
        <v>7.6999999999999999E-2</v>
      </c>
      <c r="BJ9" s="13">
        <f t="shared" si="8"/>
        <v>7.6999999999999999E-2</v>
      </c>
      <c r="BK9" s="13">
        <f t="shared" si="8"/>
        <v>7.6999999999999999E-2</v>
      </c>
      <c r="BL9" s="13">
        <f t="shared" si="8"/>
        <v>7.6999999999999999E-2</v>
      </c>
      <c r="BM9" s="13">
        <f t="shared" si="8"/>
        <v>7.6999999999999999E-2</v>
      </c>
      <c r="BN9" s="13">
        <f t="shared" si="8"/>
        <v>7.6999999999999999E-2</v>
      </c>
      <c r="BO9" s="13">
        <f t="shared" si="8"/>
        <v>7.6999999999999999E-2</v>
      </c>
      <c r="BP9" s="13">
        <f t="shared" si="8"/>
        <v>7.6999999999999999E-2</v>
      </c>
      <c r="BQ9" s="13">
        <f t="shared" si="8"/>
        <v>7.6999999999999999E-2</v>
      </c>
      <c r="BR9" s="13">
        <f t="shared" si="8"/>
        <v>7.6999999999999999E-2</v>
      </c>
      <c r="BS9" s="13">
        <f t="shared" si="8"/>
        <v>7.6999999999999999E-2</v>
      </c>
      <c r="BT9" s="13">
        <f t="shared" si="8"/>
        <v>7.6999999999999999E-2</v>
      </c>
      <c r="BU9" s="13">
        <f t="shared" si="8"/>
        <v>7.6999999999999999E-2</v>
      </c>
      <c r="BV9" s="13">
        <f t="shared" ref="BV9:CO9" si="9">+BU9</f>
        <v>7.6999999999999999E-2</v>
      </c>
      <c r="BW9" s="13">
        <f t="shared" si="9"/>
        <v>7.6999999999999999E-2</v>
      </c>
      <c r="BX9" s="13">
        <f t="shared" si="9"/>
        <v>7.6999999999999999E-2</v>
      </c>
      <c r="BY9" s="13">
        <f t="shared" si="9"/>
        <v>7.6999999999999999E-2</v>
      </c>
      <c r="BZ9" s="13">
        <f t="shared" si="9"/>
        <v>7.6999999999999999E-2</v>
      </c>
      <c r="CA9" s="13">
        <f t="shared" si="9"/>
        <v>7.6999999999999999E-2</v>
      </c>
      <c r="CB9" s="13">
        <f t="shared" si="9"/>
        <v>7.6999999999999999E-2</v>
      </c>
      <c r="CC9" s="13">
        <f t="shared" si="9"/>
        <v>7.6999999999999999E-2</v>
      </c>
      <c r="CD9" s="13">
        <f t="shared" si="9"/>
        <v>7.6999999999999999E-2</v>
      </c>
      <c r="CE9" s="13">
        <f t="shared" si="9"/>
        <v>7.6999999999999999E-2</v>
      </c>
      <c r="CF9" s="13">
        <f t="shared" si="9"/>
        <v>7.6999999999999999E-2</v>
      </c>
      <c r="CG9" s="13">
        <f t="shared" si="9"/>
        <v>7.6999999999999999E-2</v>
      </c>
      <c r="CH9" s="13">
        <f t="shared" si="9"/>
        <v>7.6999999999999999E-2</v>
      </c>
      <c r="CI9" s="13">
        <f t="shared" si="9"/>
        <v>7.6999999999999999E-2</v>
      </c>
      <c r="CJ9" s="13">
        <f t="shared" si="9"/>
        <v>7.6999999999999999E-2</v>
      </c>
      <c r="CK9" s="13">
        <f t="shared" si="9"/>
        <v>7.6999999999999999E-2</v>
      </c>
      <c r="CL9" s="13">
        <f t="shared" si="9"/>
        <v>7.6999999999999999E-2</v>
      </c>
      <c r="CM9" s="13">
        <f t="shared" si="9"/>
        <v>7.6999999999999999E-2</v>
      </c>
      <c r="CN9" s="13">
        <f t="shared" si="9"/>
        <v>7.6999999999999999E-2</v>
      </c>
      <c r="CO9" s="13">
        <f t="shared" si="9"/>
        <v>7.6999999999999999E-2</v>
      </c>
      <c r="CP9" s="13">
        <f t="shared" ref="CP9:DM9" si="10">+CO9</f>
        <v>7.6999999999999999E-2</v>
      </c>
      <c r="CQ9" s="13">
        <f t="shared" si="10"/>
        <v>7.6999999999999999E-2</v>
      </c>
      <c r="CR9" s="13">
        <f t="shared" si="10"/>
        <v>7.6999999999999999E-2</v>
      </c>
      <c r="CS9" s="13">
        <f t="shared" si="10"/>
        <v>7.6999999999999999E-2</v>
      </c>
      <c r="CT9" s="13">
        <f t="shared" si="10"/>
        <v>7.6999999999999999E-2</v>
      </c>
      <c r="CU9" s="13">
        <f t="shared" si="10"/>
        <v>7.6999999999999999E-2</v>
      </c>
      <c r="CV9" s="13">
        <f t="shared" si="10"/>
        <v>7.6999999999999999E-2</v>
      </c>
      <c r="CW9" s="13">
        <f t="shared" si="10"/>
        <v>7.6999999999999999E-2</v>
      </c>
      <c r="CX9" s="13">
        <f t="shared" si="10"/>
        <v>7.6999999999999999E-2</v>
      </c>
      <c r="CY9" s="13">
        <f t="shared" si="10"/>
        <v>7.6999999999999999E-2</v>
      </c>
      <c r="CZ9" s="13">
        <f t="shared" si="10"/>
        <v>7.6999999999999999E-2</v>
      </c>
      <c r="DA9" s="13">
        <f t="shared" si="10"/>
        <v>7.6999999999999999E-2</v>
      </c>
      <c r="DB9" s="13">
        <f t="shared" si="10"/>
        <v>7.6999999999999999E-2</v>
      </c>
      <c r="DC9" s="13">
        <f t="shared" si="10"/>
        <v>7.6999999999999999E-2</v>
      </c>
      <c r="DD9" s="13">
        <f t="shared" si="10"/>
        <v>7.6999999999999999E-2</v>
      </c>
      <c r="DE9" s="13">
        <f t="shared" si="10"/>
        <v>7.6999999999999999E-2</v>
      </c>
      <c r="DF9" s="13">
        <f t="shared" si="10"/>
        <v>7.6999999999999999E-2</v>
      </c>
      <c r="DG9" s="13">
        <f t="shared" si="10"/>
        <v>7.6999999999999999E-2</v>
      </c>
      <c r="DH9" s="13">
        <f t="shared" si="10"/>
        <v>7.6999999999999999E-2</v>
      </c>
      <c r="DI9" s="13">
        <f t="shared" si="10"/>
        <v>7.6999999999999999E-2</v>
      </c>
      <c r="DJ9" s="13">
        <f t="shared" si="10"/>
        <v>7.6999999999999999E-2</v>
      </c>
      <c r="DK9" s="13">
        <f t="shared" si="10"/>
        <v>7.6999999999999999E-2</v>
      </c>
      <c r="DL9" s="13">
        <f t="shared" si="10"/>
        <v>7.6999999999999999E-2</v>
      </c>
      <c r="DM9" s="13">
        <f t="shared" si="10"/>
        <v>7.6999999999999999E-2</v>
      </c>
      <c r="DN9" s="13"/>
      <c r="DO9" s="13"/>
      <c r="DP9" s="13"/>
      <c r="DQ9" s="13"/>
      <c r="DR9" s="13"/>
      <c r="DS9" s="13"/>
      <c r="DU9" s="13"/>
      <c r="DV9" s="13"/>
      <c r="DW9" s="13"/>
    </row>
    <row r="10" spans="2:127" x14ac:dyDescent="0.2">
      <c r="D10" s="2">
        <f>+ForwardLiborSimulation!D10</f>
        <v>9.25</v>
      </c>
      <c r="E10" s="10"/>
      <c r="F10" s="12" t="str">
        <f>+"L(t;"&amp;D11&amp;","&amp;D10&amp;")"</f>
        <v>L(t;9,9.25)</v>
      </c>
      <c r="G10" s="13">
        <v>7.8E-2</v>
      </c>
      <c r="H10" s="13">
        <v>7.9000000000000001E-2</v>
      </c>
      <c r="I10" s="13">
        <v>0.08</v>
      </c>
      <c r="J10" s="13">
        <f t="shared" ref="J10:BU10" si="11">+I10</f>
        <v>0.08</v>
      </c>
      <c r="K10" s="13">
        <f t="shared" si="11"/>
        <v>0.08</v>
      </c>
      <c r="L10" s="13">
        <f t="shared" si="11"/>
        <v>0.08</v>
      </c>
      <c r="M10" s="13">
        <f t="shared" si="11"/>
        <v>0.08</v>
      </c>
      <c r="N10" s="13">
        <f t="shared" si="11"/>
        <v>0.08</v>
      </c>
      <c r="O10" s="13">
        <f t="shared" si="11"/>
        <v>0.08</v>
      </c>
      <c r="P10" s="13">
        <f t="shared" si="11"/>
        <v>0.08</v>
      </c>
      <c r="Q10" s="13">
        <f t="shared" si="11"/>
        <v>0.08</v>
      </c>
      <c r="R10" s="13">
        <f t="shared" si="11"/>
        <v>0.08</v>
      </c>
      <c r="S10" s="13">
        <f t="shared" si="11"/>
        <v>0.08</v>
      </c>
      <c r="T10" s="13">
        <f t="shared" si="11"/>
        <v>0.08</v>
      </c>
      <c r="U10" s="13">
        <f t="shared" si="11"/>
        <v>0.08</v>
      </c>
      <c r="V10" s="13">
        <f t="shared" si="11"/>
        <v>0.08</v>
      </c>
      <c r="W10" s="13">
        <f t="shared" si="11"/>
        <v>0.08</v>
      </c>
      <c r="X10" s="13">
        <f t="shared" si="11"/>
        <v>0.08</v>
      </c>
      <c r="Y10" s="13">
        <f t="shared" si="11"/>
        <v>0.08</v>
      </c>
      <c r="Z10" s="13">
        <f t="shared" si="11"/>
        <v>0.08</v>
      </c>
      <c r="AA10" s="13">
        <f t="shared" si="11"/>
        <v>0.08</v>
      </c>
      <c r="AB10" s="13">
        <f t="shared" si="11"/>
        <v>0.08</v>
      </c>
      <c r="AC10" s="13">
        <f t="shared" si="11"/>
        <v>0.08</v>
      </c>
      <c r="AD10" s="13">
        <f t="shared" si="11"/>
        <v>0.08</v>
      </c>
      <c r="AE10" s="13">
        <f t="shared" si="11"/>
        <v>0.08</v>
      </c>
      <c r="AF10" s="13">
        <f t="shared" si="11"/>
        <v>0.08</v>
      </c>
      <c r="AG10" s="13">
        <f t="shared" si="11"/>
        <v>0.08</v>
      </c>
      <c r="AH10" s="13">
        <f t="shared" si="11"/>
        <v>0.08</v>
      </c>
      <c r="AI10" s="13">
        <f t="shared" si="11"/>
        <v>0.08</v>
      </c>
      <c r="AJ10" s="13">
        <f t="shared" si="11"/>
        <v>0.08</v>
      </c>
      <c r="AK10" s="13">
        <f t="shared" si="11"/>
        <v>0.08</v>
      </c>
      <c r="AL10" s="13">
        <f t="shared" si="11"/>
        <v>0.08</v>
      </c>
      <c r="AM10" s="13">
        <f t="shared" si="11"/>
        <v>0.08</v>
      </c>
      <c r="AN10" s="13">
        <f t="shared" si="11"/>
        <v>0.08</v>
      </c>
      <c r="AO10" s="13">
        <f t="shared" si="11"/>
        <v>0.08</v>
      </c>
      <c r="AP10" s="13">
        <f t="shared" si="11"/>
        <v>0.08</v>
      </c>
      <c r="AQ10" s="13">
        <f t="shared" si="11"/>
        <v>0.08</v>
      </c>
      <c r="AR10" s="13">
        <f t="shared" si="11"/>
        <v>0.08</v>
      </c>
      <c r="AS10" s="13">
        <f t="shared" si="11"/>
        <v>0.08</v>
      </c>
      <c r="AT10" s="13">
        <f t="shared" si="11"/>
        <v>0.08</v>
      </c>
      <c r="AU10" s="13">
        <f t="shared" si="11"/>
        <v>0.08</v>
      </c>
      <c r="AV10" s="13">
        <f t="shared" si="11"/>
        <v>0.08</v>
      </c>
      <c r="AW10" s="13">
        <f t="shared" si="11"/>
        <v>0.08</v>
      </c>
      <c r="AX10" s="13">
        <f t="shared" si="11"/>
        <v>0.08</v>
      </c>
      <c r="AY10" s="13">
        <f t="shared" si="11"/>
        <v>0.08</v>
      </c>
      <c r="AZ10" s="13">
        <f t="shared" si="11"/>
        <v>0.08</v>
      </c>
      <c r="BA10" s="13">
        <f t="shared" si="11"/>
        <v>0.08</v>
      </c>
      <c r="BB10" s="13">
        <f t="shared" si="11"/>
        <v>0.08</v>
      </c>
      <c r="BC10" s="13">
        <f t="shared" si="11"/>
        <v>0.08</v>
      </c>
      <c r="BD10" s="13">
        <f t="shared" si="11"/>
        <v>0.08</v>
      </c>
      <c r="BE10" s="13">
        <f t="shared" si="11"/>
        <v>0.08</v>
      </c>
      <c r="BF10" s="13">
        <f t="shared" si="11"/>
        <v>0.08</v>
      </c>
      <c r="BG10" s="13">
        <f t="shared" si="11"/>
        <v>0.08</v>
      </c>
      <c r="BH10" s="13">
        <f t="shared" si="11"/>
        <v>0.08</v>
      </c>
      <c r="BI10" s="13">
        <f t="shared" si="11"/>
        <v>0.08</v>
      </c>
      <c r="BJ10" s="13">
        <f t="shared" si="11"/>
        <v>0.08</v>
      </c>
      <c r="BK10" s="13">
        <f t="shared" si="11"/>
        <v>0.08</v>
      </c>
      <c r="BL10" s="13">
        <f t="shared" si="11"/>
        <v>0.08</v>
      </c>
      <c r="BM10" s="13">
        <f t="shared" si="11"/>
        <v>0.08</v>
      </c>
      <c r="BN10" s="13">
        <f t="shared" si="11"/>
        <v>0.08</v>
      </c>
      <c r="BO10" s="13">
        <f t="shared" si="11"/>
        <v>0.08</v>
      </c>
      <c r="BP10" s="13">
        <f t="shared" si="11"/>
        <v>0.08</v>
      </c>
      <c r="BQ10" s="13">
        <f t="shared" si="11"/>
        <v>0.08</v>
      </c>
      <c r="BR10" s="13">
        <f t="shared" si="11"/>
        <v>0.08</v>
      </c>
      <c r="BS10" s="13">
        <f t="shared" si="11"/>
        <v>0.08</v>
      </c>
      <c r="BT10" s="13">
        <f t="shared" si="11"/>
        <v>0.08</v>
      </c>
      <c r="BU10" s="13">
        <f t="shared" si="11"/>
        <v>0.08</v>
      </c>
      <c r="BV10" s="13">
        <f t="shared" ref="BV10:CO10" si="12">+BU10</f>
        <v>0.08</v>
      </c>
      <c r="BW10" s="13">
        <f t="shared" si="12"/>
        <v>0.08</v>
      </c>
      <c r="BX10" s="13">
        <f t="shared" si="12"/>
        <v>0.08</v>
      </c>
      <c r="BY10" s="13">
        <f t="shared" si="12"/>
        <v>0.08</v>
      </c>
      <c r="BZ10" s="13">
        <f t="shared" si="12"/>
        <v>0.08</v>
      </c>
      <c r="CA10" s="13">
        <f t="shared" si="12"/>
        <v>0.08</v>
      </c>
      <c r="CB10" s="13">
        <f t="shared" si="12"/>
        <v>0.08</v>
      </c>
      <c r="CC10" s="13">
        <f t="shared" si="12"/>
        <v>0.08</v>
      </c>
      <c r="CD10" s="13">
        <f t="shared" si="12"/>
        <v>0.08</v>
      </c>
      <c r="CE10" s="13">
        <f t="shared" si="12"/>
        <v>0.08</v>
      </c>
      <c r="CF10" s="13">
        <f t="shared" si="12"/>
        <v>0.08</v>
      </c>
      <c r="CG10" s="13">
        <f t="shared" si="12"/>
        <v>0.08</v>
      </c>
      <c r="CH10" s="13">
        <f t="shared" si="12"/>
        <v>0.08</v>
      </c>
      <c r="CI10" s="13">
        <f t="shared" si="12"/>
        <v>0.08</v>
      </c>
      <c r="CJ10" s="13">
        <f t="shared" si="12"/>
        <v>0.08</v>
      </c>
      <c r="CK10" s="13">
        <f t="shared" si="12"/>
        <v>0.08</v>
      </c>
      <c r="CL10" s="13">
        <f t="shared" si="12"/>
        <v>0.08</v>
      </c>
      <c r="CM10" s="13">
        <f t="shared" si="12"/>
        <v>0.08</v>
      </c>
      <c r="CN10" s="13">
        <f t="shared" si="12"/>
        <v>0.08</v>
      </c>
      <c r="CO10" s="13">
        <f t="shared" si="12"/>
        <v>0.08</v>
      </c>
      <c r="CP10" s="13">
        <f t="shared" ref="CP10:DJ10" si="13">+CO10</f>
        <v>0.08</v>
      </c>
      <c r="CQ10" s="13">
        <f t="shared" si="13"/>
        <v>0.08</v>
      </c>
      <c r="CR10" s="13">
        <f t="shared" si="13"/>
        <v>0.08</v>
      </c>
      <c r="CS10" s="13">
        <f t="shared" si="13"/>
        <v>0.08</v>
      </c>
      <c r="CT10" s="13">
        <f t="shared" si="13"/>
        <v>0.08</v>
      </c>
      <c r="CU10" s="13">
        <f t="shared" si="13"/>
        <v>0.08</v>
      </c>
      <c r="CV10" s="13">
        <f t="shared" si="13"/>
        <v>0.08</v>
      </c>
      <c r="CW10" s="13">
        <f t="shared" si="13"/>
        <v>0.08</v>
      </c>
      <c r="CX10" s="13">
        <f t="shared" si="13"/>
        <v>0.08</v>
      </c>
      <c r="CY10" s="13">
        <f t="shared" si="13"/>
        <v>0.08</v>
      </c>
      <c r="CZ10" s="13">
        <f t="shared" si="13"/>
        <v>0.08</v>
      </c>
      <c r="DA10" s="13">
        <f t="shared" si="13"/>
        <v>0.08</v>
      </c>
      <c r="DB10" s="13">
        <f t="shared" si="13"/>
        <v>0.08</v>
      </c>
      <c r="DC10" s="13">
        <f t="shared" si="13"/>
        <v>0.08</v>
      </c>
      <c r="DD10" s="13">
        <f t="shared" si="13"/>
        <v>0.08</v>
      </c>
      <c r="DE10" s="13">
        <f t="shared" si="13"/>
        <v>0.08</v>
      </c>
      <c r="DF10" s="13">
        <f t="shared" si="13"/>
        <v>0.08</v>
      </c>
      <c r="DG10" s="13">
        <f t="shared" si="13"/>
        <v>0.08</v>
      </c>
      <c r="DH10" s="13">
        <f t="shared" si="13"/>
        <v>0.08</v>
      </c>
      <c r="DI10" s="13">
        <f t="shared" si="13"/>
        <v>0.08</v>
      </c>
      <c r="DJ10" s="13">
        <f t="shared" si="13"/>
        <v>0.08</v>
      </c>
      <c r="DK10" s="13"/>
      <c r="DL10" s="13"/>
      <c r="DM10" s="13"/>
      <c r="DN10" s="13"/>
      <c r="DO10" s="13"/>
      <c r="DP10" s="13"/>
      <c r="DQ10" s="13"/>
      <c r="DR10" s="13"/>
      <c r="DS10" s="13"/>
      <c r="DU10" s="13"/>
      <c r="DV10" s="13"/>
      <c r="DW10" s="13"/>
    </row>
    <row r="11" spans="2:127" x14ac:dyDescent="0.2">
      <c r="D11" s="2">
        <f>+ForwardLiborSimulation!D11</f>
        <v>9</v>
      </c>
      <c r="E11" s="10"/>
      <c r="F11" s="12" t="str">
        <f>+"L(t;"&amp;D12&amp;","&amp;D11&amp;")"</f>
        <v>L(t;8.75,9)</v>
      </c>
      <c r="G11" s="13">
        <v>8.1000000000000003E-2</v>
      </c>
      <c r="H11" s="13">
        <v>8.2000000000000003E-2</v>
      </c>
      <c r="I11" s="13">
        <v>8.3000000000000004E-2</v>
      </c>
      <c r="J11" s="13">
        <f t="shared" ref="J11:BU11" si="14">+I11</f>
        <v>8.3000000000000004E-2</v>
      </c>
      <c r="K11" s="13">
        <f t="shared" si="14"/>
        <v>8.3000000000000004E-2</v>
      </c>
      <c r="L11" s="13">
        <f t="shared" si="14"/>
        <v>8.3000000000000004E-2</v>
      </c>
      <c r="M11" s="13">
        <f t="shared" si="14"/>
        <v>8.3000000000000004E-2</v>
      </c>
      <c r="N11" s="13">
        <f t="shared" si="14"/>
        <v>8.3000000000000004E-2</v>
      </c>
      <c r="O11" s="13">
        <f t="shared" si="14"/>
        <v>8.3000000000000004E-2</v>
      </c>
      <c r="P11" s="13">
        <f t="shared" si="14"/>
        <v>8.3000000000000004E-2</v>
      </c>
      <c r="Q11" s="13">
        <f t="shared" si="14"/>
        <v>8.3000000000000004E-2</v>
      </c>
      <c r="R11" s="13">
        <f t="shared" si="14"/>
        <v>8.3000000000000004E-2</v>
      </c>
      <c r="S11" s="13">
        <f t="shared" si="14"/>
        <v>8.3000000000000004E-2</v>
      </c>
      <c r="T11" s="13">
        <f t="shared" si="14"/>
        <v>8.3000000000000004E-2</v>
      </c>
      <c r="U11" s="13">
        <f t="shared" si="14"/>
        <v>8.3000000000000004E-2</v>
      </c>
      <c r="V11" s="13">
        <f t="shared" si="14"/>
        <v>8.3000000000000004E-2</v>
      </c>
      <c r="W11" s="13">
        <f t="shared" si="14"/>
        <v>8.3000000000000004E-2</v>
      </c>
      <c r="X11" s="13">
        <f t="shared" si="14"/>
        <v>8.3000000000000004E-2</v>
      </c>
      <c r="Y11" s="13">
        <f t="shared" si="14"/>
        <v>8.3000000000000004E-2</v>
      </c>
      <c r="Z11" s="13">
        <f t="shared" si="14"/>
        <v>8.3000000000000004E-2</v>
      </c>
      <c r="AA11" s="13">
        <f t="shared" si="14"/>
        <v>8.3000000000000004E-2</v>
      </c>
      <c r="AB11" s="13">
        <f t="shared" si="14"/>
        <v>8.3000000000000004E-2</v>
      </c>
      <c r="AC11" s="13">
        <f t="shared" si="14"/>
        <v>8.3000000000000004E-2</v>
      </c>
      <c r="AD11" s="13">
        <f t="shared" si="14"/>
        <v>8.3000000000000004E-2</v>
      </c>
      <c r="AE11" s="13">
        <f t="shared" si="14"/>
        <v>8.3000000000000004E-2</v>
      </c>
      <c r="AF11" s="13">
        <f t="shared" si="14"/>
        <v>8.3000000000000004E-2</v>
      </c>
      <c r="AG11" s="13">
        <f t="shared" si="14"/>
        <v>8.3000000000000004E-2</v>
      </c>
      <c r="AH11" s="13">
        <f t="shared" si="14"/>
        <v>8.3000000000000004E-2</v>
      </c>
      <c r="AI11" s="13">
        <f t="shared" si="14"/>
        <v>8.3000000000000004E-2</v>
      </c>
      <c r="AJ11" s="13">
        <f t="shared" si="14"/>
        <v>8.3000000000000004E-2</v>
      </c>
      <c r="AK11" s="13">
        <f t="shared" si="14"/>
        <v>8.3000000000000004E-2</v>
      </c>
      <c r="AL11" s="13">
        <f t="shared" si="14"/>
        <v>8.3000000000000004E-2</v>
      </c>
      <c r="AM11" s="13">
        <f t="shared" si="14"/>
        <v>8.3000000000000004E-2</v>
      </c>
      <c r="AN11" s="13">
        <f t="shared" si="14"/>
        <v>8.3000000000000004E-2</v>
      </c>
      <c r="AO11" s="13">
        <f t="shared" si="14"/>
        <v>8.3000000000000004E-2</v>
      </c>
      <c r="AP11" s="13">
        <f t="shared" si="14"/>
        <v>8.3000000000000004E-2</v>
      </c>
      <c r="AQ11" s="13">
        <f t="shared" si="14"/>
        <v>8.3000000000000004E-2</v>
      </c>
      <c r="AR11" s="13">
        <f t="shared" si="14"/>
        <v>8.3000000000000004E-2</v>
      </c>
      <c r="AS11" s="13">
        <f t="shared" si="14"/>
        <v>8.3000000000000004E-2</v>
      </c>
      <c r="AT11" s="13">
        <f t="shared" si="14"/>
        <v>8.3000000000000004E-2</v>
      </c>
      <c r="AU11" s="13">
        <f t="shared" si="14"/>
        <v>8.3000000000000004E-2</v>
      </c>
      <c r="AV11" s="13">
        <f t="shared" si="14"/>
        <v>8.3000000000000004E-2</v>
      </c>
      <c r="AW11" s="13">
        <f t="shared" si="14"/>
        <v>8.3000000000000004E-2</v>
      </c>
      <c r="AX11" s="13">
        <f t="shared" si="14"/>
        <v>8.3000000000000004E-2</v>
      </c>
      <c r="AY11" s="13">
        <f t="shared" si="14"/>
        <v>8.3000000000000004E-2</v>
      </c>
      <c r="AZ11" s="13">
        <f t="shared" si="14"/>
        <v>8.3000000000000004E-2</v>
      </c>
      <c r="BA11" s="13">
        <f t="shared" si="14"/>
        <v>8.3000000000000004E-2</v>
      </c>
      <c r="BB11" s="13">
        <f t="shared" si="14"/>
        <v>8.3000000000000004E-2</v>
      </c>
      <c r="BC11" s="13">
        <f t="shared" si="14"/>
        <v>8.3000000000000004E-2</v>
      </c>
      <c r="BD11" s="13">
        <f t="shared" si="14"/>
        <v>8.3000000000000004E-2</v>
      </c>
      <c r="BE11" s="13">
        <f t="shared" si="14"/>
        <v>8.3000000000000004E-2</v>
      </c>
      <c r="BF11" s="13">
        <f t="shared" si="14"/>
        <v>8.3000000000000004E-2</v>
      </c>
      <c r="BG11" s="13">
        <f t="shared" si="14"/>
        <v>8.3000000000000004E-2</v>
      </c>
      <c r="BH11" s="13">
        <f t="shared" si="14"/>
        <v>8.3000000000000004E-2</v>
      </c>
      <c r="BI11" s="13">
        <f t="shared" si="14"/>
        <v>8.3000000000000004E-2</v>
      </c>
      <c r="BJ11" s="13">
        <f t="shared" si="14"/>
        <v>8.3000000000000004E-2</v>
      </c>
      <c r="BK11" s="13">
        <f t="shared" si="14"/>
        <v>8.3000000000000004E-2</v>
      </c>
      <c r="BL11" s="13">
        <f t="shared" si="14"/>
        <v>8.3000000000000004E-2</v>
      </c>
      <c r="BM11" s="13">
        <f t="shared" si="14"/>
        <v>8.3000000000000004E-2</v>
      </c>
      <c r="BN11" s="13">
        <f t="shared" si="14"/>
        <v>8.3000000000000004E-2</v>
      </c>
      <c r="BO11" s="13">
        <f t="shared" si="14"/>
        <v>8.3000000000000004E-2</v>
      </c>
      <c r="BP11" s="13">
        <f t="shared" si="14"/>
        <v>8.3000000000000004E-2</v>
      </c>
      <c r="BQ11" s="13">
        <f t="shared" si="14"/>
        <v>8.3000000000000004E-2</v>
      </c>
      <c r="BR11" s="13">
        <f t="shared" si="14"/>
        <v>8.3000000000000004E-2</v>
      </c>
      <c r="BS11" s="13">
        <f t="shared" si="14"/>
        <v>8.3000000000000004E-2</v>
      </c>
      <c r="BT11" s="13">
        <f t="shared" si="14"/>
        <v>8.3000000000000004E-2</v>
      </c>
      <c r="BU11" s="13">
        <f t="shared" si="14"/>
        <v>8.3000000000000004E-2</v>
      </c>
      <c r="BV11" s="13">
        <f t="shared" ref="BV11:CO11" si="15">+BU11</f>
        <v>8.3000000000000004E-2</v>
      </c>
      <c r="BW11" s="13">
        <f t="shared" si="15"/>
        <v>8.3000000000000004E-2</v>
      </c>
      <c r="BX11" s="13">
        <f t="shared" si="15"/>
        <v>8.3000000000000004E-2</v>
      </c>
      <c r="BY11" s="13">
        <f t="shared" si="15"/>
        <v>8.3000000000000004E-2</v>
      </c>
      <c r="BZ11" s="13">
        <f t="shared" si="15"/>
        <v>8.3000000000000004E-2</v>
      </c>
      <c r="CA11" s="13">
        <f t="shared" si="15"/>
        <v>8.3000000000000004E-2</v>
      </c>
      <c r="CB11" s="13">
        <f t="shared" si="15"/>
        <v>8.3000000000000004E-2</v>
      </c>
      <c r="CC11" s="13">
        <f t="shared" si="15"/>
        <v>8.3000000000000004E-2</v>
      </c>
      <c r="CD11" s="13">
        <f t="shared" si="15"/>
        <v>8.3000000000000004E-2</v>
      </c>
      <c r="CE11" s="13">
        <f t="shared" si="15"/>
        <v>8.3000000000000004E-2</v>
      </c>
      <c r="CF11" s="13">
        <f t="shared" si="15"/>
        <v>8.3000000000000004E-2</v>
      </c>
      <c r="CG11" s="13">
        <f t="shared" si="15"/>
        <v>8.3000000000000004E-2</v>
      </c>
      <c r="CH11" s="13">
        <f t="shared" si="15"/>
        <v>8.3000000000000004E-2</v>
      </c>
      <c r="CI11" s="13">
        <f t="shared" si="15"/>
        <v>8.3000000000000004E-2</v>
      </c>
      <c r="CJ11" s="13">
        <f t="shared" si="15"/>
        <v>8.3000000000000004E-2</v>
      </c>
      <c r="CK11" s="13">
        <f t="shared" si="15"/>
        <v>8.3000000000000004E-2</v>
      </c>
      <c r="CL11" s="13">
        <f t="shared" si="15"/>
        <v>8.3000000000000004E-2</v>
      </c>
      <c r="CM11" s="13">
        <f t="shared" si="15"/>
        <v>8.3000000000000004E-2</v>
      </c>
      <c r="CN11" s="13">
        <f t="shared" si="15"/>
        <v>8.3000000000000004E-2</v>
      </c>
      <c r="CO11" s="13">
        <f t="shared" si="15"/>
        <v>8.3000000000000004E-2</v>
      </c>
      <c r="CP11" s="13">
        <f t="shared" ref="CP11:DG11" si="16">+CO11</f>
        <v>8.3000000000000004E-2</v>
      </c>
      <c r="CQ11" s="13">
        <f t="shared" si="16"/>
        <v>8.3000000000000004E-2</v>
      </c>
      <c r="CR11" s="13">
        <f t="shared" si="16"/>
        <v>8.3000000000000004E-2</v>
      </c>
      <c r="CS11" s="13">
        <f t="shared" si="16"/>
        <v>8.3000000000000004E-2</v>
      </c>
      <c r="CT11" s="13">
        <f t="shared" si="16"/>
        <v>8.3000000000000004E-2</v>
      </c>
      <c r="CU11" s="13">
        <f t="shared" si="16"/>
        <v>8.3000000000000004E-2</v>
      </c>
      <c r="CV11" s="13">
        <f t="shared" si="16"/>
        <v>8.3000000000000004E-2</v>
      </c>
      <c r="CW11" s="13">
        <f t="shared" si="16"/>
        <v>8.3000000000000004E-2</v>
      </c>
      <c r="CX11" s="13">
        <f t="shared" si="16"/>
        <v>8.3000000000000004E-2</v>
      </c>
      <c r="CY11" s="13">
        <f t="shared" si="16"/>
        <v>8.3000000000000004E-2</v>
      </c>
      <c r="CZ11" s="13">
        <f t="shared" si="16"/>
        <v>8.3000000000000004E-2</v>
      </c>
      <c r="DA11" s="13">
        <f t="shared" si="16"/>
        <v>8.3000000000000004E-2</v>
      </c>
      <c r="DB11" s="13">
        <f t="shared" si="16"/>
        <v>8.3000000000000004E-2</v>
      </c>
      <c r="DC11" s="13">
        <f t="shared" si="16"/>
        <v>8.3000000000000004E-2</v>
      </c>
      <c r="DD11" s="13">
        <f t="shared" si="16"/>
        <v>8.3000000000000004E-2</v>
      </c>
      <c r="DE11" s="13">
        <f t="shared" si="16"/>
        <v>8.3000000000000004E-2</v>
      </c>
      <c r="DF11" s="13">
        <f t="shared" si="16"/>
        <v>8.3000000000000004E-2</v>
      </c>
      <c r="DG11" s="13">
        <f t="shared" si="16"/>
        <v>8.3000000000000004E-2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U11" s="13"/>
      <c r="DV11" s="13"/>
      <c r="DW11" s="13"/>
    </row>
    <row r="12" spans="2:127" x14ac:dyDescent="0.2">
      <c r="B12" s="7"/>
      <c r="D12" s="2">
        <f>+ForwardLiborSimulation!D12</f>
        <v>8.75</v>
      </c>
      <c r="E12" s="10"/>
      <c r="F12" s="12" t="str">
        <f t="shared" ref="F12:F46" si="17">+"L(t;"&amp;D13&amp;","&amp;D12&amp;")"</f>
        <v>L(t;8.5,8.75)</v>
      </c>
      <c r="G12" s="13">
        <v>8.4000000000000005E-2</v>
      </c>
      <c r="H12" s="13">
        <v>8.5000000000000006E-2</v>
      </c>
      <c r="I12" s="13">
        <v>8.5999999999999993E-2</v>
      </c>
      <c r="J12" s="13">
        <f t="shared" ref="J12:BU12" si="18">+I12</f>
        <v>8.5999999999999993E-2</v>
      </c>
      <c r="K12" s="13">
        <f t="shared" si="18"/>
        <v>8.5999999999999993E-2</v>
      </c>
      <c r="L12" s="13">
        <f t="shared" si="18"/>
        <v>8.5999999999999993E-2</v>
      </c>
      <c r="M12" s="13">
        <f t="shared" si="18"/>
        <v>8.5999999999999993E-2</v>
      </c>
      <c r="N12" s="13">
        <f t="shared" si="18"/>
        <v>8.5999999999999993E-2</v>
      </c>
      <c r="O12" s="13">
        <f t="shared" si="18"/>
        <v>8.5999999999999993E-2</v>
      </c>
      <c r="P12" s="13">
        <f t="shared" si="18"/>
        <v>8.5999999999999993E-2</v>
      </c>
      <c r="Q12" s="13">
        <f t="shared" si="18"/>
        <v>8.5999999999999993E-2</v>
      </c>
      <c r="R12" s="13">
        <f t="shared" si="18"/>
        <v>8.5999999999999993E-2</v>
      </c>
      <c r="S12" s="13">
        <f t="shared" si="18"/>
        <v>8.5999999999999993E-2</v>
      </c>
      <c r="T12" s="13">
        <f t="shared" si="18"/>
        <v>8.5999999999999993E-2</v>
      </c>
      <c r="U12" s="13">
        <f t="shared" si="18"/>
        <v>8.5999999999999993E-2</v>
      </c>
      <c r="V12" s="13">
        <f t="shared" si="18"/>
        <v>8.5999999999999993E-2</v>
      </c>
      <c r="W12" s="13">
        <f t="shared" si="18"/>
        <v>8.5999999999999993E-2</v>
      </c>
      <c r="X12" s="13">
        <f t="shared" si="18"/>
        <v>8.5999999999999993E-2</v>
      </c>
      <c r="Y12" s="13">
        <f t="shared" si="18"/>
        <v>8.5999999999999993E-2</v>
      </c>
      <c r="Z12" s="13">
        <f t="shared" si="18"/>
        <v>8.5999999999999993E-2</v>
      </c>
      <c r="AA12" s="13">
        <f t="shared" si="18"/>
        <v>8.5999999999999993E-2</v>
      </c>
      <c r="AB12" s="13">
        <f t="shared" si="18"/>
        <v>8.5999999999999993E-2</v>
      </c>
      <c r="AC12" s="13">
        <f t="shared" si="18"/>
        <v>8.5999999999999993E-2</v>
      </c>
      <c r="AD12" s="13">
        <f t="shared" si="18"/>
        <v>8.5999999999999993E-2</v>
      </c>
      <c r="AE12" s="13">
        <f t="shared" si="18"/>
        <v>8.5999999999999993E-2</v>
      </c>
      <c r="AF12" s="13">
        <f t="shared" si="18"/>
        <v>8.5999999999999993E-2</v>
      </c>
      <c r="AG12" s="13">
        <f t="shared" si="18"/>
        <v>8.5999999999999993E-2</v>
      </c>
      <c r="AH12" s="13">
        <f t="shared" si="18"/>
        <v>8.5999999999999993E-2</v>
      </c>
      <c r="AI12" s="13">
        <f t="shared" si="18"/>
        <v>8.5999999999999993E-2</v>
      </c>
      <c r="AJ12" s="13">
        <f t="shared" si="18"/>
        <v>8.5999999999999993E-2</v>
      </c>
      <c r="AK12" s="13">
        <f t="shared" si="18"/>
        <v>8.5999999999999993E-2</v>
      </c>
      <c r="AL12" s="13">
        <f t="shared" si="18"/>
        <v>8.5999999999999993E-2</v>
      </c>
      <c r="AM12" s="13">
        <f t="shared" si="18"/>
        <v>8.5999999999999993E-2</v>
      </c>
      <c r="AN12" s="13">
        <f t="shared" si="18"/>
        <v>8.5999999999999993E-2</v>
      </c>
      <c r="AO12" s="13">
        <f t="shared" si="18"/>
        <v>8.5999999999999993E-2</v>
      </c>
      <c r="AP12" s="13">
        <f t="shared" si="18"/>
        <v>8.5999999999999993E-2</v>
      </c>
      <c r="AQ12" s="13">
        <f t="shared" si="18"/>
        <v>8.5999999999999993E-2</v>
      </c>
      <c r="AR12" s="13">
        <f t="shared" si="18"/>
        <v>8.5999999999999993E-2</v>
      </c>
      <c r="AS12" s="13">
        <f t="shared" si="18"/>
        <v>8.5999999999999993E-2</v>
      </c>
      <c r="AT12" s="13">
        <f t="shared" si="18"/>
        <v>8.5999999999999993E-2</v>
      </c>
      <c r="AU12" s="13">
        <f t="shared" si="18"/>
        <v>8.5999999999999993E-2</v>
      </c>
      <c r="AV12" s="13">
        <f t="shared" si="18"/>
        <v>8.5999999999999993E-2</v>
      </c>
      <c r="AW12" s="13">
        <f t="shared" si="18"/>
        <v>8.5999999999999993E-2</v>
      </c>
      <c r="AX12" s="13">
        <f t="shared" si="18"/>
        <v>8.5999999999999993E-2</v>
      </c>
      <c r="AY12" s="13">
        <f t="shared" si="18"/>
        <v>8.5999999999999993E-2</v>
      </c>
      <c r="AZ12" s="13">
        <f t="shared" si="18"/>
        <v>8.5999999999999993E-2</v>
      </c>
      <c r="BA12" s="13">
        <f t="shared" si="18"/>
        <v>8.5999999999999993E-2</v>
      </c>
      <c r="BB12" s="13">
        <f t="shared" si="18"/>
        <v>8.5999999999999993E-2</v>
      </c>
      <c r="BC12" s="13">
        <f t="shared" si="18"/>
        <v>8.5999999999999993E-2</v>
      </c>
      <c r="BD12" s="13">
        <f t="shared" si="18"/>
        <v>8.5999999999999993E-2</v>
      </c>
      <c r="BE12" s="13">
        <f t="shared" si="18"/>
        <v>8.5999999999999993E-2</v>
      </c>
      <c r="BF12" s="13">
        <f t="shared" si="18"/>
        <v>8.5999999999999993E-2</v>
      </c>
      <c r="BG12" s="13">
        <f t="shared" si="18"/>
        <v>8.5999999999999993E-2</v>
      </c>
      <c r="BH12" s="13">
        <f t="shared" si="18"/>
        <v>8.5999999999999993E-2</v>
      </c>
      <c r="BI12" s="13">
        <f t="shared" si="18"/>
        <v>8.5999999999999993E-2</v>
      </c>
      <c r="BJ12" s="13">
        <f t="shared" si="18"/>
        <v>8.5999999999999993E-2</v>
      </c>
      <c r="BK12" s="13">
        <f t="shared" si="18"/>
        <v>8.5999999999999993E-2</v>
      </c>
      <c r="BL12" s="13">
        <f t="shared" si="18"/>
        <v>8.5999999999999993E-2</v>
      </c>
      <c r="BM12" s="13">
        <f t="shared" si="18"/>
        <v>8.5999999999999993E-2</v>
      </c>
      <c r="BN12" s="13">
        <f t="shared" si="18"/>
        <v>8.5999999999999993E-2</v>
      </c>
      <c r="BO12" s="13">
        <f t="shared" si="18"/>
        <v>8.5999999999999993E-2</v>
      </c>
      <c r="BP12" s="13">
        <f t="shared" si="18"/>
        <v>8.5999999999999993E-2</v>
      </c>
      <c r="BQ12" s="13">
        <f t="shared" si="18"/>
        <v>8.5999999999999993E-2</v>
      </c>
      <c r="BR12" s="13">
        <f t="shared" si="18"/>
        <v>8.5999999999999993E-2</v>
      </c>
      <c r="BS12" s="13">
        <f t="shared" si="18"/>
        <v>8.5999999999999993E-2</v>
      </c>
      <c r="BT12" s="13">
        <f t="shared" si="18"/>
        <v>8.5999999999999993E-2</v>
      </c>
      <c r="BU12" s="13">
        <f t="shared" si="18"/>
        <v>8.5999999999999993E-2</v>
      </c>
      <c r="BV12" s="13">
        <f t="shared" ref="BV12:CO12" si="19">+BU12</f>
        <v>8.5999999999999993E-2</v>
      </c>
      <c r="BW12" s="13">
        <f t="shared" si="19"/>
        <v>8.5999999999999993E-2</v>
      </c>
      <c r="BX12" s="13">
        <f t="shared" si="19"/>
        <v>8.5999999999999993E-2</v>
      </c>
      <c r="BY12" s="13">
        <f t="shared" si="19"/>
        <v>8.5999999999999993E-2</v>
      </c>
      <c r="BZ12" s="13">
        <f t="shared" si="19"/>
        <v>8.5999999999999993E-2</v>
      </c>
      <c r="CA12" s="13">
        <f t="shared" si="19"/>
        <v>8.5999999999999993E-2</v>
      </c>
      <c r="CB12" s="13">
        <f t="shared" si="19"/>
        <v>8.5999999999999993E-2</v>
      </c>
      <c r="CC12" s="13">
        <f t="shared" si="19"/>
        <v>8.5999999999999993E-2</v>
      </c>
      <c r="CD12" s="13">
        <f t="shared" si="19"/>
        <v>8.5999999999999993E-2</v>
      </c>
      <c r="CE12" s="13">
        <f t="shared" si="19"/>
        <v>8.5999999999999993E-2</v>
      </c>
      <c r="CF12" s="13">
        <f t="shared" si="19"/>
        <v>8.5999999999999993E-2</v>
      </c>
      <c r="CG12" s="13">
        <f t="shared" si="19"/>
        <v>8.5999999999999993E-2</v>
      </c>
      <c r="CH12" s="13">
        <f t="shared" si="19"/>
        <v>8.5999999999999993E-2</v>
      </c>
      <c r="CI12" s="13">
        <f t="shared" si="19"/>
        <v>8.5999999999999993E-2</v>
      </c>
      <c r="CJ12" s="13">
        <f t="shared" si="19"/>
        <v>8.5999999999999993E-2</v>
      </c>
      <c r="CK12" s="13">
        <f t="shared" si="19"/>
        <v>8.5999999999999993E-2</v>
      </c>
      <c r="CL12" s="13">
        <f t="shared" si="19"/>
        <v>8.5999999999999993E-2</v>
      </c>
      <c r="CM12" s="13">
        <f t="shared" si="19"/>
        <v>8.5999999999999993E-2</v>
      </c>
      <c r="CN12" s="13">
        <f t="shared" si="19"/>
        <v>8.5999999999999993E-2</v>
      </c>
      <c r="CO12" s="13">
        <f t="shared" si="19"/>
        <v>8.5999999999999993E-2</v>
      </c>
      <c r="CP12" s="13">
        <f t="shared" ref="CP12:DD12" si="20">+CO12</f>
        <v>8.5999999999999993E-2</v>
      </c>
      <c r="CQ12" s="13">
        <f t="shared" si="20"/>
        <v>8.5999999999999993E-2</v>
      </c>
      <c r="CR12" s="13">
        <f t="shared" si="20"/>
        <v>8.5999999999999993E-2</v>
      </c>
      <c r="CS12" s="13">
        <f t="shared" si="20"/>
        <v>8.5999999999999993E-2</v>
      </c>
      <c r="CT12" s="13">
        <f t="shared" si="20"/>
        <v>8.5999999999999993E-2</v>
      </c>
      <c r="CU12" s="13">
        <f t="shared" si="20"/>
        <v>8.5999999999999993E-2</v>
      </c>
      <c r="CV12" s="13">
        <f t="shared" si="20"/>
        <v>8.5999999999999993E-2</v>
      </c>
      <c r="CW12" s="13">
        <f t="shared" si="20"/>
        <v>8.5999999999999993E-2</v>
      </c>
      <c r="CX12" s="13">
        <f t="shared" si="20"/>
        <v>8.5999999999999993E-2</v>
      </c>
      <c r="CY12" s="13">
        <f t="shared" si="20"/>
        <v>8.5999999999999993E-2</v>
      </c>
      <c r="CZ12" s="13">
        <f t="shared" si="20"/>
        <v>8.5999999999999993E-2</v>
      </c>
      <c r="DA12" s="13">
        <f t="shared" si="20"/>
        <v>8.5999999999999993E-2</v>
      </c>
      <c r="DB12" s="13">
        <f t="shared" si="20"/>
        <v>8.5999999999999993E-2</v>
      </c>
      <c r="DC12" s="13">
        <f t="shared" si="20"/>
        <v>8.5999999999999993E-2</v>
      </c>
      <c r="DD12" s="13">
        <f t="shared" si="20"/>
        <v>8.5999999999999993E-2</v>
      </c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U12" s="13"/>
      <c r="DV12" s="13"/>
      <c r="DW12" s="13"/>
    </row>
    <row r="13" spans="2:127" x14ac:dyDescent="0.2">
      <c r="D13" s="2">
        <f>+ForwardLiborSimulation!D13</f>
        <v>8.5</v>
      </c>
      <c r="E13" s="10"/>
      <c r="F13" s="12" t="str">
        <f t="shared" si="17"/>
        <v>L(t;8.25,8.5)</v>
      </c>
      <c r="G13" s="13">
        <v>8.6999999999999994E-2</v>
      </c>
      <c r="H13" s="13">
        <v>8.7999999999999995E-2</v>
      </c>
      <c r="I13" s="13">
        <v>8.8999999999999996E-2</v>
      </c>
      <c r="J13" s="13">
        <f t="shared" ref="J13:BU13" si="21">+I13</f>
        <v>8.8999999999999996E-2</v>
      </c>
      <c r="K13" s="13">
        <f t="shared" si="21"/>
        <v>8.8999999999999996E-2</v>
      </c>
      <c r="L13" s="13">
        <f t="shared" si="21"/>
        <v>8.8999999999999996E-2</v>
      </c>
      <c r="M13" s="13">
        <f t="shared" si="21"/>
        <v>8.8999999999999996E-2</v>
      </c>
      <c r="N13" s="13">
        <f t="shared" si="21"/>
        <v>8.8999999999999996E-2</v>
      </c>
      <c r="O13" s="13">
        <f t="shared" si="21"/>
        <v>8.8999999999999996E-2</v>
      </c>
      <c r="P13" s="13">
        <f t="shared" si="21"/>
        <v>8.8999999999999996E-2</v>
      </c>
      <c r="Q13" s="13">
        <f t="shared" si="21"/>
        <v>8.8999999999999996E-2</v>
      </c>
      <c r="R13" s="13">
        <f t="shared" si="21"/>
        <v>8.8999999999999996E-2</v>
      </c>
      <c r="S13" s="13">
        <f t="shared" si="21"/>
        <v>8.8999999999999996E-2</v>
      </c>
      <c r="T13" s="13">
        <f t="shared" si="21"/>
        <v>8.8999999999999996E-2</v>
      </c>
      <c r="U13" s="13">
        <f t="shared" si="21"/>
        <v>8.8999999999999996E-2</v>
      </c>
      <c r="V13" s="13">
        <f t="shared" si="21"/>
        <v>8.8999999999999996E-2</v>
      </c>
      <c r="W13" s="13">
        <f t="shared" si="21"/>
        <v>8.8999999999999996E-2</v>
      </c>
      <c r="X13" s="13">
        <f t="shared" si="21"/>
        <v>8.8999999999999996E-2</v>
      </c>
      <c r="Y13" s="13">
        <f t="shared" si="21"/>
        <v>8.8999999999999996E-2</v>
      </c>
      <c r="Z13" s="13">
        <f t="shared" si="21"/>
        <v>8.8999999999999996E-2</v>
      </c>
      <c r="AA13" s="13">
        <f t="shared" si="21"/>
        <v>8.8999999999999996E-2</v>
      </c>
      <c r="AB13" s="13">
        <f t="shared" si="21"/>
        <v>8.8999999999999996E-2</v>
      </c>
      <c r="AC13" s="13">
        <f t="shared" si="21"/>
        <v>8.8999999999999996E-2</v>
      </c>
      <c r="AD13" s="13">
        <f t="shared" si="21"/>
        <v>8.8999999999999996E-2</v>
      </c>
      <c r="AE13" s="13">
        <f t="shared" si="21"/>
        <v>8.8999999999999996E-2</v>
      </c>
      <c r="AF13" s="13">
        <f t="shared" si="21"/>
        <v>8.8999999999999996E-2</v>
      </c>
      <c r="AG13" s="13">
        <f t="shared" si="21"/>
        <v>8.8999999999999996E-2</v>
      </c>
      <c r="AH13" s="13">
        <f t="shared" si="21"/>
        <v>8.8999999999999996E-2</v>
      </c>
      <c r="AI13" s="13">
        <f t="shared" si="21"/>
        <v>8.8999999999999996E-2</v>
      </c>
      <c r="AJ13" s="13">
        <f t="shared" si="21"/>
        <v>8.8999999999999996E-2</v>
      </c>
      <c r="AK13" s="13">
        <f t="shared" si="21"/>
        <v>8.8999999999999996E-2</v>
      </c>
      <c r="AL13" s="13">
        <f t="shared" si="21"/>
        <v>8.8999999999999996E-2</v>
      </c>
      <c r="AM13" s="13">
        <f t="shared" si="21"/>
        <v>8.8999999999999996E-2</v>
      </c>
      <c r="AN13" s="13">
        <f t="shared" si="21"/>
        <v>8.8999999999999996E-2</v>
      </c>
      <c r="AO13" s="13">
        <f t="shared" si="21"/>
        <v>8.8999999999999996E-2</v>
      </c>
      <c r="AP13" s="13">
        <f t="shared" si="21"/>
        <v>8.8999999999999996E-2</v>
      </c>
      <c r="AQ13" s="13">
        <f t="shared" si="21"/>
        <v>8.8999999999999996E-2</v>
      </c>
      <c r="AR13" s="13">
        <f t="shared" si="21"/>
        <v>8.8999999999999996E-2</v>
      </c>
      <c r="AS13" s="13">
        <f t="shared" si="21"/>
        <v>8.8999999999999996E-2</v>
      </c>
      <c r="AT13" s="13">
        <f t="shared" si="21"/>
        <v>8.8999999999999996E-2</v>
      </c>
      <c r="AU13" s="13">
        <f t="shared" si="21"/>
        <v>8.8999999999999996E-2</v>
      </c>
      <c r="AV13" s="13">
        <f t="shared" si="21"/>
        <v>8.8999999999999996E-2</v>
      </c>
      <c r="AW13" s="13">
        <f t="shared" si="21"/>
        <v>8.8999999999999996E-2</v>
      </c>
      <c r="AX13" s="13">
        <f t="shared" si="21"/>
        <v>8.8999999999999996E-2</v>
      </c>
      <c r="AY13" s="13">
        <f t="shared" si="21"/>
        <v>8.8999999999999996E-2</v>
      </c>
      <c r="AZ13" s="13">
        <f t="shared" si="21"/>
        <v>8.8999999999999996E-2</v>
      </c>
      <c r="BA13" s="13">
        <f t="shared" si="21"/>
        <v>8.8999999999999996E-2</v>
      </c>
      <c r="BB13" s="13">
        <f t="shared" si="21"/>
        <v>8.8999999999999996E-2</v>
      </c>
      <c r="BC13" s="13">
        <f t="shared" si="21"/>
        <v>8.8999999999999996E-2</v>
      </c>
      <c r="BD13" s="13">
        <f t="shared" si="21"/>
        <v>8.8999999999999996E-2</v>
      </c>
      <c r="BE13" s="13">
        <f t="shared" si="21"/>
        <v>8.8999999999999996E-2</v>
      </c>
      <c r="BF13" s="13">
        <f t="shared" si="21"/>
        <v>8.8999999999999996E-2</v>
      </c>
      <c r="BG13" s="13">
        <f t="shared" si="21"/>
        <v>8.8999999999999996E-2</v>
      </c>
      <c r="BH13" s="13">
        <f t="shared" si="21"/>
        <v>8.8999999999999996E-2</v>
      </c>
      <c r="BI13" s="13">
        <f t="shared" si="21"/>
        <v>8.8999999999999996E-2</v>
      </c>
      <c r="BJ13" s="13">
        <f t="shared" si="21"/>
        <v>8.8999999999999996E-2</v>
      </c>
      <c r="BK13" s="13">
        <f t="shared" si="21"/>
        <v>8.8999999999999996E-2</v>
      </c>
      <c r="BL13" s="13">
        <f t="shared" si="21"/>
        <v>8.8999999999999996E-2</v>
      </c>
      <c r="BM13" s="13">
        <f t="shared" si="21"/>
        <v>8.8999999999999996E-2</v>
      </c>
      <c r="BN13" s="13">
        <f t="shared" si="21"/>
        <v>8.8999999999999996E-2</v>
      </c>
      <c r="BO13" s="13">
        <f t="shared" si="21"/>
        <v>8.8999999999999996E-2</v>
      </c>
      <c r="BP13" s="13">
        <f t="shared" si="21"/>
        <v>8.8999999999999996E-2</v>
      </c>
      <c r="BQ13" s="13">
        <f t="shared" si="21"/>
        <v>8.8999999999999996E-2</v>
      </c>
      <c r="BR13" s="13">
        <f t="shared" si="21"/>
        <v>8.8999999999999996E-2</v>
      </c>
      <c r="BS13" s="13">
        <f t="shared" si="21"/>
        <v>8.8999999999999996E-2</v>
      </c>
      <c r="BT13" s="13">
        <f t="shared" si="21"/>
        <v>8.8999999999999996E-2</v>
      </c>
      <c r="BU13" s="13">
        <f t="shared" si="21"/>
        <v>8.8999999999999996E-2</v>
      </c>
      <c r="BV13" s="13">
        <f t="shared" ref="BV13:CO13" si="22">+BU13</f>
        <v>8.8999999999999996E-2</v>
      </c>
      <c r="BW13" s="13">
        <f t="shared" si="22"/>
        <v>8.8999999999999996E-2</v>
      </c>
      <c r="BX13" s="13">
        <f t="shared" si="22"/>
        <v>8.8999999999999996E-2</v>
      </c>
      <c r="BY13" s="13">
        <f t="shared" si="22"/>
        <v>8.8999999999999996E-2</v>
      </c>
      <c r="BZ13" s="13">
        <f t="shared" si="22"/>
        <v>8.8999999999999996E-2</v>
      </c>
      <c r="CA13" s="13">
        <f t="shared" si="22"/>
        <v>8.8999999999999996E-2</v>
      </c>
      <c r="CB13" s="13">
        <f t="shared" si="22"/>
        <v>8.8999999999999996E-2</v>
      </c>
      <c r="CC13" s="13">
        <f t="shared" si="22"/>
        <v>8.8999999999999996E-2</v>
      </c>
      <c r="CD13" s="13">
        <f t="shared" si="22"/>
        <v>8.8999999999999996E-2</v>
      </c>
      <c r="CE13" s="13">
        <f t="shared" si="22"/>
        <v>8.8999999999999996E-2</v>
      </c>
      <c r="CF13" s="13">
        <f t="shared" si="22"/>
        <v>8.8999999999999996E-2</v>
      </c>
      <c r="CG13" s="13">
        <f t="shared" si="22"/>
        <v>8.8999999999999996E-2</v>
      </c>
      <c r="CH13" s="13">
        <f t="shared" si="22"/>
        <v>8.8999999999999996E-2</v>
      </c>
      <c r="CI13" s="13">
        <f t="shared" si="22"/>
        <v>8.8999999999999996E-2</v>
      </c>
      <c r="CJ13" s="13">
        <f t="shared" si="22"/>
        <v>8.8999999999999996E-2</v>
      </c>
      <c r="CK13" s="13">
        <f t="shared" si="22"/>
        <v>8.8999999999999996E-2</v>
      </c>
      <c r="CL13" s="13">
        <f t="shared" si="22"/>
        <v>8.8999999999999996E-2</v>
      </c>
      <c r="CM13" s="13">
        <f t="shared" si="22"/>
        <v>8.8999999999999996E-2</v>
      </c>
      <c r="CN13" s="13">
        <f t="shared" si="22"/>
        <v>8.8999999999999996E-2</v>
      </c>
      <c r="CO13" s="13">
        <f t="shared" si="22"/>
        <v>8.8999999999999996E-2</v>
      </c>
      <c r="CP13" s="13">
        <f t="shared" ref="CP13:DA13" si="23">+CO13</f>
        <v>8.8999999999999996E-2</v>
      </c>
      <c r="CQ13" s="13">
        <f t="shared" si="23"/>
        <v>8.8999999999999996E-2</v>
      </c>
      <c r="CR13" s="13">
        <f t="shared" si="23"/>
        <v>8.8999999999999996E-2</v>
      </c>
      <c r="CS13" s="13">
        <f t="shared" si="23"/>
        <v>8.8999999999999996E-2</v>
      </c>
      <c r="CT13" s="13">
        <f t="shared" si="23"/>
        <v>8.8999999999999996E-2</v>
      </c>
      <c r="CU13" s="13">
        <f t="shared" si="23"/>
        <v>8.8999999999999996E-2</v>
      </c>
      <c r="CV13" s="13">
        <f t="shared" si="23"/>
        <v>8.8999999999999996E-2</v>
      </c>
      <c r="CW13" s="13">
        <f t="shared" si="23"/>
        <v>8.8999999999999996E-2</v>
      </c>
      <c r="CX13" s="13">
        <f t="shared" si="23"/>
        <v>8.8999999999999996E-2</v>
      </c>
      <c r="CY13" s="13">
        <f t="shared" si="23"/>
        <v>8.8999999999999996E-2</v>
      </c>
      <c r="CZ13" s="13">
        <f t="shared" si="23"/>
        <v>8.8999999999999996E-2</v>
      </c>
      <c r="DA13" s="13">
        <f t="shared" si="23"/>
        <v>8.8999999999999996E-2</v>
      </c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U13" s="13"/>
      <c r="DV13" s="13"/>
      <c r="DW13" s="13"/>
    </row>
    <row r="14" spans="2:127" x14ac:dyDescent="0.2">
      <c r="D14" s="2">
        <f>+ForwardLiborSimulation!D14</f>
        <v>8.25</v>
      </c>
      <c r="E14" s="10"/>
      <c r="F14" s="12" t="str">
        <f t="shared" si="17"/>
        <v>L(t;8,8.25)</v>
      </c>
      <c r="G14" s="13">
        <v>0.09</v>
      </c>
      <c r="H14" s="13">
        <v>9.0999999999999998E-2</v>
      </c>
      <c r="I14" s="13">
        <v>9.1999999999999998E-2</v>
      </c>
      <c r="J14" s="13">
        <f t="shared" ref="J14:BU14" si="24">+I14</f>
        <v>9.1999999999999998E-2</v>
      </c>
      <c r="K14" s="13">
        <f t="shared" si="24"/>
        <v>9.1999999999999998E-2</v>
      </c>
      <c r="L14" s="13">
        <f t="shared" si="24"/>
        <v>9.1999999999999998E-2</v>
      </c>
      <c r="M14" s="13">
        <f t="shared" si="24"/>
        <v>9.1999999999999998E-2</v>
      </c>
      <c r="N14" s="13">
        <f t="shared" si="24"/>
        <v>9.1999999999999998E-2</v>
      </c>
      <c r="O14" s="13">
        <f t="shared" si="24"/>
        <v>9.1999999999999998E-2</v>
      </c>
      <c r="P14" s="13">
        <f t="shared" si="24"/>
        <v>9.1999999999999998E-2</v>
      </c>
      <c r="Q14" s="13">
        <f t="shared" si="24"/>
        <v>9.1999999999999998E-2</v>
      </c>
      <c r="R14" s="13">
        <f t="shared" si="24"/>
        <v>9.1999999999999998E-2</v>
      </c>
      <c r="S14" s="13">
        <f t="shared" si="24"/>
        <v>9.1999999999999998E-2</v>
      </c>
      <c r="T14" s="13">
        <f t="shared" si="24"/>
        <v>9.1999999999999998E-2</v>
      </c>
      <c r="U14" s="13">
        <f t="shared" si="24"/>
        <v>9.1999999999999998E-2</v>
      </c>
      <c r="V14" s="13">
        <f t="shared" si="24"/>
        <v>9.1999999999999998E-2</v>
      </c>
      <c r="W14" s="13">
        <f t="shared" si="24"/>
        <v>9.1999999999999998E-2</v>
      </c>
      <c r="X14" s="13">
        <f t="shared" si="24"/>
        <v>9.1999999999999998E-2</v>
      </c>
      <c r="Y14" s="13">
        <f t="shared" si="24"/>
        <v>9.1999999999999998E-2</v>
      </c>
      <c r="Z14" s="13">
        <f t="shared" si="24"/>
        <v>9.1999999999999998E-2</v>
      </c>
      <c r="AA14" s="13">
        <f t="shared" si="24"/>
        <v>9.1999999999999998E-2</v>
      </c>
      <c r="AB14" s="13">
        <f t="shared" si="24"/>
        <v>9.1999999999999998E-2</v>
      </c>
      <c r="AC14" s="13">
        <f t="shared" si="24"/>
        <v>9.1999999999999998E-2</v>
      </c>
      <c r="AD14" s="13">
        <f t="shared" si="24"/>
        <v>9.1999999999999998E-2</v>
      </c>
      <c r="AE14" s="13">
        <f t="shared" si="24"/>
        <v>9.1999999999999998E-2</v>
      </c>
      <c r="AF14" s="13">
        <f t="shared" si="24"/>
        <v>9.1999999999999998E-2</v>
      </c>
      <c r="AG14" s="13">
        <f t="shared" si="24"/>
        <v>9.1999999999999998E-2</v>
      </c>
      <c r="AH14" s="13">
        <f t="shared" si="24"/>
        <v>9.1999999999999998E-2</v>
      </c>
      <c r="AI14" s="13">
        <f t="shared" si="24"/>
        <v>9.1999999999999998E-2</v>
      </c>
      <c r="AJ14" s="13">
        <f t="shared" si="24"/>
        <v>9.1999999999999998E-2</v>
      </c>
      <c r="AK14" s="13">
        <f t="shared" si="24"/>
        <v>9.1999999999999998E-2</v>
      </c>
      <c r="AL14" s="13">
        <f t="shared" si="24"/>
        <v>9.1999999999999998E-2</v>
      </c>
      <c r="AM14" s="13">
        <f t="shared" si="24"/>
        <v>9.1999999999999998E-2</v>
      </c>
      <c r="AN14" s="13">
        <f t="shared" si="24"/>
        <v>9.1999999999999998E-2</v>
      </c>
      <c r="AO14" s="13">
        <f t="shared" si="24"/>
        <v>9.1999999999999998E-2</v>
      </c>
      <c r="AP14" s="13">
        <f t="shared" si="24"/>
        <v>9.1999999999999998E-2</v>
      </c>
      <c r="AQ14" s="13">
        <f t="shared" si="24"/>
        <v>9.1999999999999998E-2</v>
      </c>
      <c r="AR14" s="13">
        <f t="shared" si="24"/>
        <v>9.1999999999999998E-2</v>
      </c>
      <c r="AS14" s="13">
        <f t="shared" si="24"/>
        <v>9.1999999999999998E-2</v>
      </c>
      <c r="AT14" s="13">
        <f t="shared" si="24"/>
        <v>9.1999999999999998E-2</v>
      </c>
      <c r="AU14" s="13">
        <f t="shared" si="24"/>
        <v>9.1999999999999998E-2</v>
      </c>
      <c r="AV14" s="13">
        <f t="shared" si="24"/>
        <v>9.1999999999999998E-2</v>
      </c>
      <c r="AW14" s="13">
        <f t="shared" si="24"/>
        <v>9.1999999999999998E-2</v>
      </c>
      <c r="AX14" s="13">
        <f t="shared" si="24"/>
        <v>9.1999999999999998E-2</v>
      </c>
      <c r="AY14" s="13">
        <f t="shared" si="24"/>
        <v>9.1999999999999998E-2</v>
      </c>
      <c r="AZ14" s="13">
        <f t="shared" si="24"/>
        <v>9.1999999999999998E-2</v>
      </c>
      <c r="BA14" s="13">
        <f t="shared" si="24"/>
        <v>9.1999999999999998E-2</v>
      </c>
      <c r="BB14" s="13">
        <f t="shared" si="24"/>
        <v>9.1999999999999998E-2</v>
      </c>
      <c r="BC14" s="13">
        <f t="shared" si="24"/>
        <v>9.1999999999999998E-2</v>
      </c>
      <c r="BD14" s="13">
        <f t="shared" si="24"/>
        <v>9.1999999999999998E-2</v>
      </c>
      <c r="BE14" s="13">
        <f t="shared" si="24"/>
        <v>9.1999999999999998E-2</v>
      </c>
      <c r="BF14" s="13">
        <f t="shared" si="24"/>
        <v>9.1999999999999998E-2</v>
      </c>
      <c r="BG14" s="13">
        <f t="shared" si="24"/>
        <v>9.1999999999999998E-2</v>
      </c>
      <c r="BH14" s="13">
        <f t="shared" si="24"/>
        <v>9.1999999999999998E-2</v>
      </c>
      <c r="BI14" s="13">
        <f t="shared" si="24"/>
        <v>9.1999999999999998E-2</v>
      </c>
      <c r="BJ14" s="13">
        <f t="shared" si="24"/>
        <v>9.1999999999999998E-2</v>
      </c>
      <c r="BK14" s="13">
        <f t="shared" si="24"/>
        <v>9.1999999999999998E-2</v>
      </c>
      <c r="BL14" s="13">
        <f t="shared" si="24"/>
        <v>9.1999999999999998E-2</v>
      </c>
      <c r="BM14" s="13">
        <f t="shared" si="24"/>
        <v>9.1999999999999998E-2</v>
      </c>
      <c r="BN14" s="13">
        <f t="shared" si="24"/>
        <v>9.1999999999999998E-2</v>
      </c>
      <c r="BO14" s="13">
        <f t="shared" si="24"/>
        <v>9.1999999999999998E-2</v>
      </c>
      <c r="BP14" s="13">
        <f t="shared" si="24"/>
        <v>9.1999999999999998E-2</v>
      </c>
      <c r="BQ14" s="13">
        <f t="shared" si="24"/>
        <v>9.1999999999999998E-2</v>
      </c>
      <c r="BR14" s="13">
        <f t="shared" si="24"/>
        <v>9.1999999999999998E-2</v>
      </c>
      <c r="BS14" s="13">
        <f t="shared" si="24"/>
        <v>9.1999999999999998E-2</v>
      </c>
      <c r="BT14" s="13">
        <f t="shared" si="24"/>
        <v>9.1999999999999998E-2</v>
      </c>
      <c r="BU14" s="13">
        <f t="shared" si="24"/>
        <v>9.1999999999999998E-2</v>
      </c>
      <c r="BV14" s="13">
        <f t="shared" ref="BV14:CO14" si="25">+BU14</f>
        <v>9.1999999999999998E-2</v>
      </c>
      <c r="BW14" s="13">
        <f t="shared" si="25"/>
        <v>9.1999999999999998E-2</v>
      </c>
      <c r="BX14" s="13">
        <f t="shared" si="25"/>
        <v>9.1999999999999998E-2</v>
      </c>
      <c r="BY14" s="13">
        <f t="shared" si="25"/>
        <v>9.1999999999999998E-2</v>
      </c>
      <c r="BZ14" s="13">
        <f t="shared" si="25"/>
        <v>9.1999999999999998E-2</v>
      </c>
      <c r="CA14" s="13">
        <f t="shared" si="25"/>
        <v>9.1999999999999998E-2</v>
      </c>
      <c r="CB14" s="13">
        <f t="shared" si="25"/>
        <v>9.1999999999999998E-2</v>
      </c>
      <c r="CC14" s="13">
        <f t="shared" si="25"/>
        <v>9.1999999999999998E-2</v>
      </c>
      <c r="CD14" s="13">
        <f t="shared" si="25"/>
        <v>9.1999999999999998E-2</v>
      </c>
      <c r="CE14" s="13">
        <f t="shared" si="25"/>
        <v>9.1999999999999998E-2</v>
      </c>
      <c r="CF14" s="13">
        <f t="shared" si="25"/>
        <v>9.1999999999999998E-2</v>
      </c>
      <c r="CG14" s="13">
        <f t="shared" si="25"/>
        <v>9.1999999999999998E-2</v>
      </c>
      <c r="CH14" s="13">
        <f t="shared" si="25"/>
        <v>9.1999999999999998E-2</v>
      </c>
      <c r="CI14" s="13">
        <f t="shared" si="25"/>
        <v>9.1999999999999998E-2</v>
      </c>
      <c r="CJ14" s="13">
        <f t="shared" si="25"/>
        <v>9.1999999999999998E-2</v>
      </c>
      <c r="CK14" s="13">
        <f t="shared" si="25"/>
        <v>9.1999999999999998E-2</v>
      </c>
      <c r="CL14" s="13">
        <f t="shared" si="25"/>
        <v>9.1999999999999998E-2</v>
      </c>
      <c r="CM14" s="13">
        <f t="shared" si="25"/>
        <v>9.1999999999999998E-2</v>
      </c>
      <c r="CN14" s="13">
        <f t="shared" si="25"/>
        <v>9.1999999999999998E-2</v>
      </c>
      <c r="CO14" s="13">
        <f t="shared" si="25"/>
        <v>9.1999999999999998E-2</v>
      </c>
      <c r="CP14" s="13">
        <f t="shared" ref="CP14:CX14" si="26">+CO14</f>
        <v>9.1999999999999998E-2</v>
      </c>
      <c r="CQ14" s="13">
        <f t="shared" si="26"/>
        <v>9.1999999999999998E-2</v>
      </c>
      <c r="CR14" s="13">
        <f t="shared" si="26"/>
        <v>9.1999999999999998E-2</v>
      </c>
      <c r="CS14" s="13">
        <f t="shared" si="26"/>
        <v>9.1999999999999998E-2</v>
      </c>
      <c r="CT14" s="13">
        <f t="shared" si="26"/>
        <v>9.1999999999999998E-2</v>
      </c>
      <c r="CU14" s="13">
        <f t="shared" si="26"/>
        <v>9.1999999999999998E-2</v>
      </c>
      <c r="CV14" s="13">
        <f t="shared" si="26"/>
        <v>9.1999999999999998E-2</v>
      </c>
      <c r="CW14" s="13">
        <f t="shared" si="26"/>
        <v>9.1999999999999998E-2</v>
      </c>
      <c r="CX14" s="13">
        <f t="shared" si="26"/>
        <v>9.1999999999999998E-2</v>
      </c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U14" s="13"/>
      <c r="DV14" s="13"/>
      <c r="DW14" s="13"/>
    </row>
    <row r="15" spans="2:127" x14ac:dyDescent="0.2">
      <c r="D15" s="2">
        <f>+ForwardLiborSimulation!D15</f>
        <v>8</v>
      </c>
      <c r="E15" s="10"/>
      <c r="F15" s="12" t="str">
        <f t="shared" si="17"/>
        <v>L(t;7.75,8)</v>
      </c>
      <c r="G15" s="13">
        <v>9.2999999999999999E-2</v>
      </c>
      <c r="H15" s="13">
        <v>9.4E-2</v>
      </c>
      <c r="I15" s="13">
        <v>9.5000000000000001E-2</v>
      </c>
      <c r="J15" s="13">
        <f t="shared" ref="J15:BU15" si="27">+I15</f>
        <v>9.5000000000000001E-2</v>
      </c>
      <c r="K15" s="13">
        <f t="shared" si="27"/>
        <v>9.5000000000000001E-2</v>
      </c>
      <c r="L15" s="13">
        <f t="shared" si="27"/>
        <v>9.5000000000000001E-2</v>
      </c>
      <c r="M15" s="13">
        <f t="shared" si="27"/>
        <v>9.5000000000000001E-2</v>
      </c>
      <c r="N15" s="13">
        <f t="shared" si="27"/>
        <v>9.5000000000000001E-2</v>
      </c>
      <c r="O15" s="13">
        <f t="shared" si="27"/>
        <v>9.5000000000000001E-2</v>
      </c>
      <c r="P15" s="13">
        <f t="shared" si="27"/>
        <v>9.5000000000000001E-2</v>
      </c>
      <c r="Q15" s="13">
        <f t="shared" si="27"/>
        <v>9.5000000000000001E-2</v>
      </c>
      <c r="R15" s="13">
        <f t="shared" si="27"/>
        <v>9.5000000000000001E-2</v>
      </c>
      <c r="S15" s="13">
        <f t="shared" si="27"/>
        <v>9.5000000000000001E-2</v>
      </c>
      <c r="T15" s="13">
        <f t="shared" si="27"/>
        <v>9.5000000000000001E-2</v>
      </c>
      <c r="U15" s="13">
        <f t="shared" si="27"/>
        <v>9.5000000000000001E-2</v>
      </c>
      <c r="V15" s="13">
        <f t="shared" si="27"/>
        <v>9.5000000000000001E-2</v>
      </c>
      <c r="W15" s="13">
        <f t="shared" si="27"/>
        <v>9.5000000000000001E-2</v>
      </c>
      <c r="X15" s="13">
        <f t="shared" si="27"/>
        <v>9.5000000000000001E-2</v>
      </c>
      <c r="Y15" s="13">
        <f t="shared" si="27"/>
        <v>9.5000000000000001E-2</v>
      </c>
      <c r="Z15" s="13">
        <f t="shared" si="27"/>
        <v>9.5000000000000001E-2</v>
      </c>
      <c r="AA15" s="13">
        <f t="shared" si="27"/>
        <v>9.5000000000000001E-2</v>
      </c>
      <c r="AB15" s="13">
        <f t="shared" si="27"/>
        <v>9.5000000000000001E-2</v>
      </c>
      <c r="AC15" s="13">
        <f t="shared" si="27"/>
        <v>9.5000000000000001E-2</v>
      </c>
      <c r="AD15" s="13">
        <f t="shared" si="27"/>
        <v>9.5000000000000001E-2</v>
      </c>
      <c r="AE15" s="13">
        <f t="shared" si="27"/>
        <v>9.5000000000000001E-2</v>
      </c>
      <c r="AF15" s="13">
        <f t="shared" si="27"/>
        <v>9.5000000000000001E-2</v>
      </c>
      <c r="AG15" s="13">
        <f t="shared" si="27"/>
        <v>9.5000000000000001E-2</v>
      </c>
      <c r="AH15" s="13">
        <f t="shared" si="27"/>
        <v>9.5000000000000001E-2</v>
      </c>
      <c r="AI15" s="13">
        <f t="shared" si="27"/>
        <v>9.5000000000000001E-2</v>
      </c>
      <c r="AJ15" s="13">
        <f t="shared" si="27"/>
        <v>9.5000000000000001E-2</v>
      </c>
      <c r="AK15" s="13">
        <f t="shared" si="27"/>
        <v>9.5000000000000001E-2</v>
      </c>
      <c r="AL15" s="13">
        <f t="shared" si="27"/>
        <v>9.5000000000000001E-2</v>
      </c>
      <c r="AM15" s="13">
        <f t="shared" si="27"/>
        <v>9.5000000000000001E-2</v>
      </c>
      <c r="AN15" s="13">
        <f t="shared" si="27"/>
        <v>9.5000000000000001E-2</v>
      </c>
      <c r="AO15" s="13">
        <f t="shared" si="27"/>
        <v>9.5000000000000001E-2</v>
      </c>
      <c r="AP15" s="13">
        <f t="shared" si="27"/>
        <v>9.5000000000000001E-2</v>
      </c>
      <c r="AQ15" s="13">
        <f t="shared" si="27"/>
        <v>9.5000000000000001E-2</v>
      </c>
      <c r="AR15" s="13">
        <f t="shared" si="27"/>
        <v>9.5000000000000001E-2</v>
      </c>
      <c r="AS15" s="13">
        <f t="shared" si="27"/>
        <v>9.5000000000000001E-2</v>
      </c>
      <c r="AT15" s="13">
        <f t="shared" si="27"/>
        <v>9.5000000000000001E-2</v>
      </c>
      <c r="AU15" s="13">
        <f t="shared" si="27"/>
        <v>9.5000000000000001E-2</v>
      </c>
      <c r="AV15" s="13">
        <f t="shared" si="27"/>
        <v>9.5000000000000001E-2</v>
      </c>
      <c r="AW15" s="13">
        <f t="shared" si="27"/>
        <v>9.5000000000000001E-2</v>
      </c>
      <c r="AX15" s="13">
        <f t="shared" si="27"/>
        <v>9.5000000000000001E-2</v>
      </c>
      <c r="AY15" s="13">
        <f t="shared" si="27"/>
        <v>9.5000000000000001E-2</v>
      </c>
      <c r="AZ15" s="13">
        <f t="shared" si="27"/>
        <v>9.5000000000000001E-2</v>
      </c>
      <c r="BA15" s="13">
        <f t="shared" si="27"/>
        <v>9.5000000000000001E-2</v>
      </c>
      <c r="BB15" s="13">
        <f t="shared" si="27"/>
        <v>9.5000000000000001E-2</v>
      </c>
      <c r="BC15" s="13">
        <f t="shared" si="27"/>
        <v>9.5000000000000001E-2</v>
      </c>
      <c r="BD15" s="13">
        <f t="shared" si="27"/>
        <v>9.5000000000000001E-2</v>
      </c>
      <c r="BE15" s="13">
        <f t="shared" si="27"/>
        <v>9.5000000000000001E-2</v>
      </c>
      <c r="BF15" s="13">
        <f t="shared" si="27"/>
        <v>9.5000000000000001E-2</v>
      </c>
      <c r="BG15" s="13">
        <f t="shared" si="27"/>
        <v>9.5000000000000001E-2</v>
      </c>
      <c r="BH15" s="13">
        <f t="shared" si="27"/>
        <v>9.5000000000000001E-2</v>
      </c>
      <c r="BI15" s="13">
        <f t="shared" si="27"/>
        <v>9.5000000000000001E-2</v>
      </c>
      <c r="BJ15" s="13">
        <f t="shared" si="27"/>
        <v>9.5000000000000001E-2</v>
      </c>
      <c r="BK15" s="13">
        <f t="shared" si="27"/>
        <v>9.5000000000000001E-2</v>
      </c>
      <c r="BL15" s="13">
        <f t="shared" si="27"/>
        <v>9.5000000000000001E-2</v>
      </c>
      <c r="BM15" s="13">
        <f t="shared" si="27"/>
        <v>9.5000000000000001E-2</v>
      </c>
      <c r="BN15" s="13">
        <f t="shared" si="27"/>
        <v>9.5000000000000001E-2</v>
      </c>
      <c r="BO15" s="13">
        <f t="shared" si="27"/>
        <v>9.5000000000000001E-2</v>
      </c>
      <c r="BP15" s="13">
        <f t="shared" si="27"/>
        <v>9.5000000000000001E-2</v>
      </c>
      <c r="BQ15" s="13">
        <f t="shared" si="27"/>
        <v>9.5000000000000001E-2</v>
      </c>
      <c r="BR15" s="13">
        <f t="shared" si="27"/>
        <v>9.5000000000000001E-2</v>
      </c>
      <c r="BS15" s="13">
        <f t="shared" si="27"/>
        <v>9.5000000000000001E-2</v>
      </c>
      <c r="BT15" s="13">
        <f t="shared" si="27"/>
        <v>9.5000000000000001E-2</v>
      </c>
      <c r="BU15" s="13">
        <f t="shared" si="27"/>
        <v>9.5000000000000001E-2</v>
      </c>
      <c r="BV15" s="13">
        <f t="shared" ref="BV15:CO15" si="28">+BU15</f>
        <v>9.5000000000000001E-2</v>
      </c>
      <c r="BW15" s="13">
        <f t="shared" si="28"/>
        <v>9.5000000000000001E-2</v>
      </c>
      <c r="BX15" s="13">
        <f t="shared" si="28"/>
        <v>9.5000000000000001E-2</v>
      </c>
      <c r="BY15" s="13">
        <f t="shared" si="28"/>
        <v>9.5000000000000001E-2</v>
      </c>
      <c r="BZ15" s="13">
        <f t="shared" si="28"/>
        <v>9.5000000000000001E-2</v>
      </c>
      <c r="CA15" s="13">
        <f t="shared" si="28"/>
        <v>9.5000000000000001E-2</v>
      </c>
      <c r="CB15" s="13">
        <f t="shared" si="28"/>
        <v>9.5000000000000001E-2</v>
      </c>
      <c r="CC15" s="13">
        <f t="shared" si="28"/>
        <v>9.5000000000000001E-2</v>
      </c>
      <c r="CD15" s="13">
        <f t="shared" si="28"/>
        <v>9.5000000000000001E-2</v>
      </c>
      <c r="CE15" s="13">
        <f t="shared" si="28"/>
        <v>9.5000000000000001E-2</v>
      </c>
      <c r="CF15" s="13">
        <f t="shared" si="28"/>
        <v>9.5000000000000001E-2</v>
      </c>
      <c r="CG15" s="13">
        <f t="shared" si="28"/>
        <v>9.5000000000000001E-2</v>
      </c>
      <c r="CH15" s="13">
        <f t="shared" si="28"/>
        <v>9.5000000000000001E-2</v>
      </c>
      <c r="CI15" s="13">
        <f t="shared" si="28"/>
        <v>9.5000000000000001E-2</v>
      </c>
      <c r="CJ15" s="13">
        <f t="shared" si="28"/>
        <v>9.5000000000000001E-2</v>
      </c>
      <c r="CK15" s="13">
        <f t="shared" si="28"/>
        <v>9.5000000000000001E-2</v>
      </c>
      <c r="CL15" s="13">
        <f t="shared" si="28"/>
        <v>9.5000000000000001E-2</v>
      </c>
      <c r="CM15" s="13">
        <f t="shared" si="28"/>
        <v>9.5000000000000001E-2</v>
      </c>
      <c r="CN15" s="13">
        <f t="shared" si="28"/>
        <v>9.5000000000000001E-2</v>
      </c>
      <c r="CO15" s="13">
        <f t="shared" si="28"/>
        <v>9.5000000000000001E-2</v>
      </c>
      <c r="CP15" s="13">
        <f t="shared" ref="CP15:CU15" si="29">+CO15</f>
        <v>9.5000000000000001E-2</v>
      </c>
      <c r="CQ15" s="13">
        <f t="shared" si="29"/>
        <v>9.5000000000000001E-2</v>
      </c>
      <c r="CR15" s="13">
        <f t="shared" si="29"/>
        <v>9.5000000000000001E-2</v>
      </c>
      <c r="CS15" s="13">
        <f t="shared" si="29"/>
        <v>9.5000000000000001E-2</v>
      </c>
      <c r="CT15" s="13">
        <f t="shared" si="29"/>
        <v>9.5000000000000001E-2</v>
      </c>
      <c r="CU15" s="13">
        <f t="shared" si="29"/>
        <v>9.5000000000000001E-2</v>
      </c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U15" s="13"/>
      <c r="DV15" s="13"/>
      <c r="DW15" s="13"/>
    </row>
    <row r="16" spans="2:127" x14ac:dyDescent="0.2">
      <c r="D16" s="2">
        <f>+ForwardLiborSimulation!D16</f>
        <v>7.75</v>
      </c>
      <c r="E16" s="10"/>
      <c r="F16" s="12" t="str">
        <f t="shared" si="17"/>
        <v>L(t;7.5,7.75)</v>
      </c>
      <c r="G16" s="13">
        <v>9.6000000000000002E-2</v>
      </c>
      <c r="H16" s="13">
        <v>9.7000000000000003E-2</v>
      </c>
      <c r="I16" s="13">
        <v>9.8000000000000004E-2</v>
      </c>
      <c r="J16" s="13">
        <f t="shared" ref="J16:BU16" si="30">+I16</f>
        <v>9.8000000000000004E-2</v>
      </c>
      <c r="K16" s="13">
        <f t="shared" si="30"/>
        <v>9.8000000000000004E-2</v>
      </c>
      <c r="L16" s="13">
        <f t="shared" si="30"/>
        <v>9.8000000000000004E-2</v>
      </c>
      <c r="M16" s="13">
        <f t="shared" si="30"/>
        <v>9.8000000000000004E-2</v>
      </c>
      <c r="N16" s="13">
        <f t="shared" si="30"/>
        <v>9.8000000000000004E-2</v>
      </c>
      <c r="O16" s="13">
        <f t="shared" si="30"/>
        <v>9.8000000000000004E-2</v>
      </c>
      <c r="P16" s="13">
        <f t="shared" si="30"/>
        <v>9.8000000000000004E-2</v>
      </c>
      <c r="Q16" s="13">
        <f t="shared" si="30"/>
        <v>9.8000000000000004E-2</v>
      </c>
      <c r="R16" s="13">
        <f t="shared" si="30"/>
        <v>9.8000000000000004E-2</v>
      </c>
      <c r="S16" s="13">
        <f t="shared" si="30"/>
        <v>9.8000000000000004E-2</v>
      </c>
      <c r="T16" s="13">
        <f t="shared" si="30"/>
        <v>9.8000000000000004E-2</v>
      </c>
      <c r="U16" s="13">
        <f t="shared" si="30"/>
        <v>9.8000000000000004E-2</v>
      </c>
      <c r="V16" s="13">
        <f t="shared" si="30"/>
        <v>9.8000000000000004E-2</v>
      </c>
      <c r="W16" s="13">
        <f t="shared" si="30"/>
        <v>9.8000000000000004E-2</v>
      </c>
      <c r="X16" s="13">
        <f t="shared" si="30"/>
        <v>9.8000000000000004E-2</v>
      </c>
      <c r="Y16" s="13">
        <f t="shared" si="30"/>
        <v>9.8000000000000004E-2</v>
      </c>
      <c r="Z16" s="13">
        <f t="shared" si="30"/>
        <v>9.8000000000000004E-2</v>
      </c>
      <c r="AA16" s="13">
        <f t="shared" si="30"/>
        <v>9.8000000000000004E-2</v>
      </c>
      <c r="AB16" s="13">
        <f t="shared" si="30"/>
        <v>9.8000000000000004E-2</v>
      </c>
      <c r="AC16" s="13">
        <f t="shared" si="30"/>
        <v>9.8000000000000004E-2</v>
      </c>
      <c r="AD16" s="13">
        <f t="shared" si="30"/>
        <v>9.8000000000000004E-2</v>
      </c>
      <c r="AE16" s="13">
        <f t="shared" si="30"/>
        <v>9.8000000000000004E-2</v>
      </c>
      <c r="AF16" s="13">
        <f t="shared" si="30"/>
        <v>9.8000000000000004E-2</v>
      </c>
      <c r="AG16" s="13">
        <f t="shared" si="30"/>
        <v>9.8000000000000004E-2</v>
      </c>
      <c r="AH16" s="13">
        <f t="shared" si="30"/>
        <v>9.8000000000000004E-2</v>
      </c>
      <c r="AI16" s="13">
        <f t="shared" si="30"/>
        <v>9.8000000000000004E-2</v>
      </c>
      <c r="AJ16" s="13">
        <f t="shared" si="30"/>
        <v>9.8000000000000004E-2</v>
      </c>
      <c r="AK16" s="13">
        <f t="shared" si="30"/>
        <v>9.8000000000000004E-2</v>
      </c>
      <c r="AL16" s="13">
        <f t="shared" si="30"/>
        <v>9.8000000000000004E-2</v>
      </c>
      <c r="AM16" s="13">
        <f t="shared" si="30"/>
        <v>9.8000000000000004E-2</v>
      </c>
      <c r="AN16" s="13">
        <f t="shared" si="30"/>
        <v>9.8000000000000004E-2</v>
      </c>
      <c r="AO16" s="13">
        <f t="shared" si="30"/>
        <v>9.8000000000000004E-2</v>
      </c>
      <c r="AP16" s="13">
        <f t="shared" si="30"/>
        <v>9.8000000000000004E-2</v>
      </c>
      <c r="AQ16" s="13">
        <f t="shared" si="30"/>
        <v>9.8000000000000004E-2</v>
      </c>
      <c r="AR16" s="13">
        <f t="shared" si="30"/>
        <v>9.8000000000000004E-2</v>
      </c>
      <c r="AS16" s="13">
        <f t="shared" si="30"/>
        <v>9.8000000000000004E-2</v>
      </c>
      <c r="AT16" s="13">
        <f t="shared" si="30"/>
        <v>9.8000000000000004E-2</v>
      </c>
      <c r="AU16" s="13">
        <f t="shared" si="30"/>
        <v>9.8000000000000004E-2</v>
      </c>
      <c r="AV16" s="13">
        <f t="shared" si="30"/>
        <v>9.8000000000000004E-2</v>
      </c>
      <c r="AW16" s="13">
        <f t="shared" si="30"/>
        <v>9.8000000000000004E-2</v>
      </c>
      <c r="AX16" s="13">
        <f t="shared" si="30"/>
        <v>9.8000000000000004E-2</v>
      </c>
      <c r="AY16" s="13">
        <f t="shared" si="30"/>
        <v>9.8000000000000004E-2</v>
      </c>
      <c r="AZ16" s="13">
        <f t="shared" si="30"/>
        <v>9.8000000000000004E-2</v>
      </c>
      <c r="BA16" s="13">
        <f t="shared" si="30"/>
        <v>9.8000000000000004E-2</v>
      </c>
      <c r="BB16" s="13">
        <f t="shared" si="30"/>
        <v>9.8000000000000004E-2</v>
      </c>
      <c r="BC16" s="13">
        <f t="shared" si="30"/>
        <v>9.8000000000000004E-2</v>
      </c>
      <c r="BD16" s="13">
        <f t="shared" si="30"/>
        <v>9.8000000000000004E-2</v>
      </c>
      <c r="BE16" s="13">
        <f t="shared" si="30"/>
        <v>9.8000000000000004E-2</v>
      </c>
      <c r="BF16" s="13">
        <f t="shared" si="30"/>
        <v>9.8000000000000004E-2</v>
      </c>
      <c r="BG16" s="13">
        <f t="shared" si="30"/>
        <v>9.8000000000000004E-2</v>
      </c>
      <c r="BH16" s="13">
        <f t="shared" si="30"/>
        <v>9.8000000000000004E-2</v>
      </c>
      <c r="BI16" s="13">
        <f t="shared" si="30"/>
        <v>9.8000000000000004E-2</v>
      </c>
      <c r="BJ16" s="13">
        <f t="shared" si="30"/>
        <v>9.8000000000000004E-2</v>
      </c>
      <c r="BK16" s="13">
        <f t="shared" si="30"/>
        <v>9.8000000000000004E-2</v>
      </c>
      <c r="BL16" s="13">
        <f t="shared" si="30"/>
        <v>9.8000000000000004E-2</v>
      </c>
      <c r="BM16" s="13">
        <f t="shared" si="30"/>
        <v>9.8000000000000004E-2</v>
      </c>
      <c r="BN16" s="13">
        <f t="shared" si="30"/>
        <v>9.8000000000000004E-2</v>
      </c>
      <c r="BO16" s="13">
        <f t="shared" si="30"/>
        <v>9.8000000000000004E-2</v>
      </c>
      <c r="BP16" s="13">
        <f t="shared" si="30"/>
        <v>9.8000000000000004E-2</v>
      </c>
      <c r="BQ16" s="13">
        <f t="shared" si="30"/>
        <v>9.8000000000000004E-2</v>
      </c>
      <c r="BR16" s="13">
        <f t="shared" si="30"/>
        <v>9.8000000000000004E-2</v>
      </c>
      <c r="BS16" s="13">
        <f t="shared" si="30"/>
        <v>9.8000000000000004E-2</v>
      </c>
      <c r="BT16" s="13">
        <f t="shared" si="30"/>
        <v>9.8000000000000004E-2</v>
      </c>
      <c r="BU16" s="13">
        <f t="shared" si="30"/>
        <v>9.8000000000000004E-2</v>
      </c>
      <c r="BV16" s="13">
        <f t="shared" ref="BV16:CO16" si="31">+BU16</f>
        <v>9.8000000000000004E-2</v>
      </c>
      <c r="BW16" s="13">
        <f t="shared" si="31"/>
        <v>9.8000000000000004E-2</v>
      </c>
      <c r="BX16" s="13">
        <f t="shared" si="31"/>
        <v>9.8000000000000004E-2</v>
      </c>
      <c r="BY16" s="13">
        <f t="shared" si="31"/>
        <v>9.8000000000000004E-2</v>
      </c>
      <c r="BZ16" s="13">
        <f t="shared" si="31"/>
        <v>9.8000000000000004E-2</v>
      </c>
      <c r="CA16" s="13">
        <f t="shared" si="31"/>
        <v>9.8000000000000004E-2</v>
      </c>
      <c r="CB16" s="13">
        <f t="shared" si="31"/>
        <v>9.8000000000000004E-2</v>
      </c>
      <c r="CC16" s="13">
        <f t="shared" si="31"/>
        <v>9.8000000000000004E-2</v>
      </c>
      <c r="CD16" s="13">
        <f t="shared" si="31"/>
        <v>9.8000000000000004E-2</v>
      </c>
      <c r="CE16" s="13">
        <f t="shared" si="31"/>
        <v>9.8000000000000004E-2</v>
      </c>
      <c r="CF16" s="13">
        <f t="shared" si="31"/>
        <v>9.8000000000000004E-2</v>
      </c>
      <c r="CG16" s="13">
        <f t="shared" si="31"/>
        <v>9.8000000000000004E-2</v>
      </c>
      <c r="CH16" s="13">
        <f t="shared" si="31"/>
        <v>9.8000000000000004E-2</v>
      </c>
      <c r="CI16" s="13">
        <f t="shared" si="31"/>
        <v>9.8000000000000004E-2</v>
      </c>
      <c r="CJ16" s="13">
        <f t="shared" si="31"/>
        <v>9.8000000000000004E-2</v>
      </c>
      <c r="CK16" s="13">
        <f t="shared" si="31"/>
        <v>9.8000000000000004E-2</v>
      </c>
      <c r="CL16" s="13">
        <f t="shared" si="31"/>
        <v>9.8000000000000004E-2</v>
      </c>
      <c r="CM16" s="13">
        <f t="shared" si="31"/>
        <v>9.8000000000000004E-2</v>
      </c>
      <c r="CN16" s="13">
        <f t="shared" si="31"/>
        <v>9.8000000000000004E-2</v>
      </c>
      <c r="CO16" s="13">
        <f t="shared" si="31"/>
        <v>9.8000000000000004E-2</v>
      </c>
      <c r="CP16" s="13">
        <f t="shared" ref="CP16:CR16" si="32">+CO16</f>
        <v>9.8000000000000004E-2</v>
      </c>
      <c r="CQ16" s="13">
        <f t="shared" si="32"/>
        <v>9.8000000000000004E-2</v>
      </c>
      <c r="CR16" s="13">
        <f t="shared" si="32"/>
        <v>9.8000000000000004E-2</v>
      </c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U16" s="13"/>
      <c r="DV16" s="13"/>
      <c r="DW16" s="13"/>
    </row>
    <row r="17" spans="4:127" x14ac:dyDescent="0.2">
      <c r="D17" s="2">
        <f>+ForwardLiborSimulation!D17</f>
        <v>7.5</v>
      </c>
      <c r="E17" s="10"/>
      <c r="F17" s="12" t="str">
        <f t="shared" si="17"/>
        <v>L(t;7.25,7.5)</v>
      </c>
      <c r="G17" s="13">
        <v>9.9000000000000005E-2</v>
      </c>
      <c r="H17" s="13">
        <v>0.1</v>
      </c>
      <c r="I17" s="13">
        <v>0.10100000000000001</v>
      </c>
      <c r="J17" s="13">
        <f t="shared" ref="J17:BU17" si="33">+I17</f>
        <v>0.10100000000000001</v>
      </c>
      <c r="K17" s="13">
        <f t="shared" si="33"/>
        <v>0.10100000000000001</v>
      </c>
      <c r="L17" s="13">
        <f t="shared" si="33"/>
        <v>0.10100000000000001</v>
      </c>
      <c r="M17" s="13">
        <f t="shared" si="33"/>
        <v>0.10100000000000001</v>
      </c>
      <c r="N17" s="13">
        <f t="shared" si="33"/>
        <v>0.10100000000000001</v>
      </c>
      <c r="O17" s="13">
        <f t="shared" si="33"/>
        <v>0.10100000000000001</v>
      </c>
      <c r="P17" s="13">
        <f t="shared" si="33"/>
        <v>0.10100000000000001</v>
      </c>
      <c r="Q17" s="13">
        <f t="shared" si="33"/>
        <v>0.10100000000000001</v>
      </c>
      <c r="R17" s="13">
        <f t="shared" si="33"/>
        <v>0.10100000000000001</v>
      </c>
      <c r="S17" s="13">
        <f t="shared" si="33"/>
        <v>0.10100000000000001</v>
      </c>
      <c r="T17" s="13">
        <f t="shared" si="33"/>
        <v>0.10100000000000001</v>
      </c>
      <c r="U17" s="13">
        <f t="shared" si="33"/>
        <v>0.10100000000000001</v>
      </c>
      <c r="V17" s="13">
        <f t="shared" si="33"/>
        <v>0.10100000000000001</v>
      </c>
      <c r="W17" s="13">
        <f t="shared" si="33"/>
        <v>0.10100000000000001</v>
      </c>
      <c r="X17" s="13">
        <f t="shared" si="33"/>
        <v>0.10100000000000001</v>
      </c>
      <c r="Y17" s="13">
        <f t="shared" si="33"/>
        <v>0.10100000000000001</v>
      </c>
      <c r="Z17" s="13">
        <f t="shared" si="33"/>
        <v>0.10100000000000001</v>
      </c>
      <c r="AA17" s="13">
        <f t="shared" si="33"/>
        <v>0.10100000000000001</v>
      </c>
      <c r="AB17" s="13">
        <f t="shared" si="33"/>
        <v>0.10100000000000001</v>
      </c>
      <c r="AC17" s="13">
        <f t="shared" si="33"/>
        <v>0.10100000000000001</v>
      </c>
      <c r="AD17" s="13">
        <f t="shared" si="33"/>
        <v>0.10100000000000001</v>
      </c>
      <c r="AE17" s="13">
        <f t="shared" si="33"/>
        <v>0.10100000000000001</v>
      </c>
      <c r="AF17" s="13">
        <f t="shared" si="33"/>
        <v>0.10100000000000001</v>
      </c>
      <c r="AG17" s="13">
        <f t="shared" si="33"/>
        <v>0.10100000000000001</v>
      </c>
      <c r="AH17" s="13">
        <f t="shared" si="33"/>
        <v>0.10100000000000001</v>
      </c>
      <c r="AI17" s="13">
        <f t="shared" si="33"/>
        <v>0.10100000000000001</v>
      </c>
      <c r="AJ17" s="13">
        <f t="shared" si="33"/>
        <v>0.10100000000000001</v>
      </c>
      <c r="AK17" s="13">
        <f t="shared" si="33"/>
        <v>0.10100000000000001</v>
      </c>
      <c r="AL17" s="13">
        <f t="shared" si="33"/>
        <v>0.10100000000000001</v>
      </c>
      <c r="AM17" s="13">
        <f t="shared" si="33"/>
        <v>0.10100000000000001</v>
      </c>
      <c r="AN17" s="13">
        <f t="shared" si="33"/>
        <v>0.10100000000000001</v>
      </c>
      <c r="AO17" s="13">
        <f t="shared" si="33"/>
        <v>0.10100000000000001</v>
      </c>
      <c r="AP17" s="13">
        <f t="shared" si="33"/>
        <v>0.10100000000000001</v>
      </c>
      <c r="AQ17" s="13">
        <f t="shared" si="33"/>
        <v>0.10100000000000001</v>
      </c>
      <c r="AR17" s="13">
        <f t="shared" si="33"/>
        <v>0.10100000000000001</v>
      </c>
      <c r="AS17" s="13">
        <f t="shared" si="33"/>
        <v>0.10100000000000001</v>
      </c>
      <c r="AT17" s="13">
        <f t="shared" si="33"/>
        <v>0.10100000000000001</v>
      </c>
      <c r="AU17" s="13">
        <f t="shared" si="33"/>
        <v>0.10100000000000001</v>
      </c>
      <c r="AV17" s="13">
        <f t="shared" si="33"/>
        <v>0.10100000000000001</v>
      </c>
      <c r="AW17" s="13">
        <f t="shared" si="33"/>
        <v>0.10100000000000001</v>
      </c>
      <c r="AX17" s="13">
        <f t="shared" si="33"/>
        <v>0.10100000000000001</v>
      </c>
      <c r="AY17" s="13">
        <f t="shared" si="33"/>
        <v>0.10100000000000001</v>
      </c>
      <c r="AZ17" s="13">
        <f t="shared" si="33"/>
        <v>0.10100000000000001</v>
      </c>
      <c r="BA17" s="13">
        <f t="shared" si="33"/>
        <v>0.10100000000000001</v>
      </c>
      <c r="BB17" s="13">
        <f t="shared" si="33"/>
        <v>0.10100000000000001</v>
      </c>
      <c r="BC17" s="13">
        <f t="shared" si="33"/>
        <v>0.10100000000000001</v>
      </c>
      <c r="BD17" s="13">
        <f t="shared" si="33"/>
        <v>0.10100000000000001</v>
      </c>
      <c r="BE17" s="13">
        <f t="shared" si="33"/>
        <v>0.10100000000000001</v>
      </c>
      <c r="BF17" s="13">
        <f t="shared" si="33"/>
        <v>0.10100000000000001</v>
      </c>
      <c r="BG17" s="13">
        <f t="shared" si="33"/>
        <v>0.10100000000000001</v>
      </c>
      <c r="BH17" s="13">
        <f t="shared" si="33"/>
        <v>0.10100000000000001</v>
      </c>
      <c r="BI17" s="13">
        <f t="shared" si="33"/>
        <v>0.10100000000000001</v>
      </c>
      <c r="BJ17" s="13">
        <f t="shared" si="33"/>
        <v>0.10100000000000001</v>
      </c>
      <c r="BK17" s="13">
        <f t="shared" si="33"/>
        <v>0.10100000000000001</v>
      </c>
      <c r="BL17" s="13">
        <f t="shared" si="33"/>
        <v>0.10100000000000001</v>
      </c>
      <c r="BM17" s="13">
        <f t="shared" si="33"/>
        <v>0.10100000000000001</v>
      </c>
      <c r="BN17" s="13">
        <f t="shared" si="33"/>
        <v>0.10100000000000001</v>
      </c>
      <c r="BO17" s="13">
        <f t="shared" si="33"/>
        <v>0.10100000000000001</v>
      </c>
      <c r="BP17" s="13">
        <f t="shared" si="33"/>
        <v>0.10100000000000001</v>
      </c>
      <c r="BQ17" s="13">
        <f t="shared" si="33"/>
        <v>0.10100000000000001</v>
      </c>
      <c r="BR17" s="13">
        <f t="shared" si="33"/>
        <v>0.10100000000000001</v>
      </c>
      <c r="BS17" s="13">
        <f t="shared" si="33"/>
        <v>0.10100000000000001</v>
      </c>
      <c r="BT17" s="13">
        <f t="shared" si="33"/>
        <v>0.10100000000000001</v>
      </c>
      <c r="BU17" s="13">
        <f t="shared" si="33"/>
        <v>0.10100000000000001</v>
      </c>
      <c r="BV17" s="13">
        <f t="shared" ref="BV17:CO17" si="34">+BU17</f>
        <v>0.10100000000000001</v>
      </c>
      <c r="BW17" s="13">
        <f t="shared" si="34"/>
        <v>0.10100000000000001</v>
      </c>
      <c r="BX17" s="13">
        <f t="shared" si="34"/>
        <v>0.10100000000000001</v>
      </c>
      <c r="BY17" s="13">
        <f t="shared" si="34"/>
        <v>0.10100000000000001</v>
      </c>
      <c r="BZ17" s="13">
        <f t="shared" si="34"/>
        <v>0.10100000000000001</v>
      </c>
      <c r="CA17" s="13">
        <f t="shared" si="34"/>
        <v>0.10100000000000001</v>
      </c>
      <c r="CB17" s="13">
        <f t="shared" si="34"/>
        <v>0.10100000000000001</v>
      </c>
      <c r="CC17" s="13">
        <f t="shared" si="34"/>
        <v>0.10100000000000001</v>
      </c>
      <c r="CD17" s="13">
        <f t="shared" si="34"/>
        <v>0.10100000000000001</v>
      </c>
      <c r="CE17" s="13">
        <f t="shared" si="34"/>
        <v>0.10100000000000001</v>
      </c>
      <c r="CF17" s="13">
        <f t="shared" si="34"/>
        <v>0.10100000000000001</v>
      </c>
      <c r="CG17" s="13">
        <f t="shared" si="34"/>
        <v>0.10100000000000001</v>
      </c>
      <c r="CH17" s="13">
        <f t="shared" si="34"/>
        <v>0.10100000000000001</v>
      </c>
      <c r="CI17" s="13">
        <f t="shared" si="34"/>
        <v>0.10100000000000001</v>
      </c>
      <c r="CJ17" s="13">
        <f t="shared" si="34"/>
        <v>0.10100000000000001</v>
      </c>
      <c r="CK17" s="13">
        <f t="shared" si="34"/>
        <v>0.10100000000000001</v>
      </c>
      <c r="CL17" s="13">
        <f t="shared" si="34"/>
        <v>0.10100000000000001</v>
      </c>
      <c r="CM17" s="13">
        <f t="shared" si="34"/>
        <v>0.10100000000000001</v>
      </c>
      <c r="CN17" s="13">
        <f t="shared" si="34"/>
        <v>0.10100000000000001</v>
      </c>
      <c r="CO17" s="13">
        <f t="shared" si="34"/>
        <v>0.10100000000000001</v>
      </c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U17" s="13"/>
      <c r="DV17" s="13"/>
      <c r="DW17" s="13"/>
    </row>
    <row r="18" spans="4:127" x14ac:dyDescent="0.2">
      <c r="D18" s="2">
        <f>+ForwardLiborSimulation!D18</f>
        <v>7.25</v>
      </c>
      <c r="E18" s="10"/>
      <c r="F18" s="12" t="str">
        <f t="shared" si="17"/>
        <v>L(t;7,7.25)</v>
      </c>
      <c r="G18" s="13">
        <v>0.10199999999999999</v>
      </c>
      <c r="H18" s="13">
        <v>0.10299999999999999</v>
      </c>
      <c r="I18" s="13">
        <v>0.104</v>
      </c>
      <c r="J18" s="13">
        <f t="shared" ref="J18:BU18" si="35">+I18</f>
        <v>0.104</v>
      </c>
      <c r="K18" s="13">
        <f t="shared" si="35"/>
        <v>0.104</v>
      </c>
      <c r="L18" s="13">
        <f t="shared" si="35"/>
        <v>0.104</v>
      </c>
      <c r="M18" s="13">
        <f t="shared" si="35"/>
        <v>0.104</v>
      </c>
      <c r="N18" s="13">
        <f t="shared" si="35"/>
        <v>0.104</v>
      </c>
      <c r="O18" s="13">
        <f t="shared" si="35"/>
        <v>0.104</v>
      </c>
      <c r="P18" s="13">
        <f t="shared" si="35"/>
        <v>0.104</v>
      </c>
      <c r="Q18" s="13">
        <f t="shared" si="35"/>
        <v>0.104</v>
      </c>
      <c r="R18" s="13">
        <f t="shared" si="35"/>
        <v>0.104</v>
      </c>
      <c r="S18" s="13">
        <f t="shared" si="35"/>
        <v>0.104</v>
      </c>
      <c r="T18" s="13">
        <f t="shared" si="35"/>
        <v>0.104</v>
      </c>
      <c r="U18" s="13">
        <f t="shared" si="35"/>
        <v>0.104</v>
      </c>
      <c r="V18" s="13">
        <f t="shared" si="35"/>
        <v>0.104</v>
      </c>
      <c r="W18" s="13">
        <f t="shared" si="35"/>
        <v>0.104</v>
      </c>
      <c r="X18" s="13">
        <f t="shared" si="35"/>
        <v>0.104</v>
      </c>
      <c r="Y18" s="13">
        <f t="shared" si="35"/>
        <v>0.104</v>
      </c>
      <c r="Z18" s="13">
        <f t="shared" si="35"/>
        <v>0.104</v>
      </c>
      <c r="AA18" s="13">
        <f t="shared" si="35"/>
        <v>0.104</v>
      </c>
      <c r="AB18" s="13">
        <f t="shared" si="35"/>
        <v>0.104</v>
      </c>
      <c r="AC18" s="13">
        <f t="shared" si="35"/>
        <v>0.104</v>
      </c>
      <c r="AD18" s="13">
        <f t="shared" si="35"/>
        <v>0.104</v>
      </c>
      <c r="AE18" s="13">
        <f t="shared" si="35"/>
        <v>0.104</v>
      </c>
      <c r="AF18" s="13">
        <f t="shared" si="35"/>
        <v>0.104</v>
      </c>
      <c r="AG18" s="13">
        <f t="shared" si="35"/>
        <v>0.104</v>
      </c>
      <c r="AH18" s="13">
        <f t="shared" si="35"/>
        <v>0.104</v>
      </c>
      <c r="AI18" s="13">
        <f t="shared" si="35"/>
        <v>0.104</v>
      </c>
      <c r="AJ18" s="13">
        <f t="shared" si="35"/>
        <v>0.104</v>
      </c>
      <c r="AK18" s="13">
        <f t="shared" si="35"/>
        <v>0.104</v>
      </c>
      <c r="AL18" s="13">
        <f t="shared" si="35"/>
        <v>0.104</v>
      </c>
      <c r="AM18" s="13">
        <f t="shared" si="35"/>
        <v>0.104</v>
      </c>
      <c r="AN18" s="13">
        <f t="shared" si="35"/>
        <v>0.104</v>
      </c>
      <c r="AO18" s="13">
        <f t="shared" si="35"/>
        <v>0.104</v>
      </c>
      <c r="AP18" s="13">
        <f t="shared" si="35"/>
        <v>0.104</v>
      </c>
      <c r="AQ18" s="13">
        <f t="shared" si="35"/>
        <v>0.104</v>
      </c>
      <c r="AR18" s="13">
        <f t="shared" si="35"/>
        <v>0.104</v>
      </c>
      <c r="AS18" s="13">
        <f t="shared" si="35"/>
        <v>0.104</v>
      </c>
      <c r="AT18" s="13">
        <f t="shared" si="35"/>
        <v>0.104</v>
      </c>
      <c r="AU18" s="13">
        <f t="shared" si="35"/>
        <v>0.104</v>
      </c>
      <c r="AV18" s="13">
        <f t="shared" si="35"/>
        <v>0.104</v>
      </c>
      <c r="AW18" s="13">
        <f t="shared" si="35"/>
        <v>0.104</v>
      </c>
      <c r="AX18" s="13">
        <f t="shared" si="35"/>
        <v>0.104</v>
      </c>
      <c r="AY18" s="13">
        <f t="shared" si="35"/>
        <v>0.104</v>
      </c>
      <c r="AZ18" s="13">
        <f t="shared" si="35"/>
        <v>0.104</v>
      </c>
      <c r="BA18" s="13">
        <f t="shared" si="35"/>
        <v>0.104</v>
      </c>
      <c r="BB18" s="13">
        <f t="shared" si="35"/>
        <v>0.104</v>
      </c>
      <c r="BC18" s="13">
        <f t="shared" si="35"/>
        <v>0.104</v>
      </c>
      <c r="BD18" s="13">
        <f t="shared" si="35"/>
        <v>0.104</v>
      </c>
      <c r="BE18" s="13">
        <f t="shared" si="35"/>
        <v>0.104</v>
      </c>
      <c r="BF18" s="13">
        <f t="shared" si="35"/>
        <v>0.104</v>
      </c>
      <c r="BG18" s="13">
        <f t="shared" si="35"/>
        <v>0.104</v>
      </c>
      <c r="BH18" s="13">
        <f t="shared" si="35"/>
        <v>0.104</v>
      </c>
      <c r="BI18" s="13">
        <f t="shared" si="35"/>
        <v>0.104</v>
      </c>
      <c r="BJ18" s="13">
        <f t="shared" si="35"/>
        <v>0.104</v>
      </c>
      <c r="BK18" s="13">
        <f t="shared" si="35"/>
        <v>0.104</v>
      </c>
      <c r="BL18" s="13">
        <f t="shared" si="35"/>
        <v>0.104</v>
      </c>
      <c r="BM18" s="13">
        <f t="shared" si="35"/>
        <v>0.104</v>
      </c>
      <c r="BN18" s="13">
        <f t="shared" si="35"/>
        <v>0.104</v>
      </c>
      <c r="BO18" s="13">
        <f t="shared" si="35"/>
        <v>0.104</v>
      </c>
      <c r="BP18" s="13">
        <f t="shared" si="35"/>
        <v>0.104</v>
      </c>
      <c r="BQ18" s="13">
        <f t="shared" si="35"/>
        <v>0.104</v>
      </c>
      <c r="BR18" s="13">
        <f t="shared" si="35"/>
        <v>0.104</v>
      </c>
      <c r="BS18" s="13">
        <f t="shared" si="35"/>
        <v>0.104</v>
      </c>
      <c r="BT18" s="13">
        <f t="shared" si="35"/>
        <v>0.104</v>
      </c>
      <c r="BU18" s="13">
        <f t="shared" si="35"/>
        <v>0.104</v>
      </c>
      <c r="BV18" s="13">
        <f t="shared" ref="BV18:CL18" si="36">+BU18</f>
        <v>0.104</v>
      </c>
      <c r="BW18" s="13">
        <f t="shared" si="36"/>
        <v>0.104</v>
      </c>
      <c r="BX18" s="13">
        <f t="shared" si="36"/>
        <v>0.104</v>
      </c>
      <c r="BY18" s="13">
        <f t="shared" si="36"/>
        <v>0.104</v>
      </c>
      <c r="BZ18" s="13">
        <f t="shared" si="36"/>
        <v>0.104</v>
      </c>
      <c r="CA18" s="13">
        <f t="shared" si="36"/>
        <v>0.104</v>
      </c>
      <c r="CB18" s="13">
        <f t="shared" si="36"/>
        <v>0.104</v>
      </c>
      <c r="CC18" s="13">
        <f t="shared" si="36"/>
        <v>0.104</v>
      </c>
      <c r="CD18" s="13">
        <f t="shared" si="36"/>
        <v>0.104</v>
      </c>
      <c r="CE18" s="13">
        <f t="shared" si="36"/>
        <v>0.104</v>
      </c>
      <c r="CF18" s="13">
        <f t="shared" si="36"/>
        <v>0.104</v>
      </c>
      <c r="CG18" s="13">
        <f t="shared" si="36"/>
        <v>0.104</v>
      </c>
      <c r="CH18" s="13">
        <f t="shared" si="36"/>
        <v>0.104</v>
      </c>
      <c r="CI18" s="13">
        <f t="shared" si="36"/>
        <v>0.104</v>
      </c>
      <c r="CJ18" s="13">
        <f t="shared" si="36"/>
        <v>0.104</v>
      </c>
      <c r="CK18" s="13">
        <f t="shared" si="36"/>
        <v>0.104</v>
      </c>
      <c r="CL18" s="13">
        <f t="shared" si="36"/>
        <v>0.104</v>
      </c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U18" s="13"/>
      <c r="DV18" s="13"/>
      <c r="DW18" s="13"/>
    </row>
    <row r="19" spans="4:127" x14ac:dyDescent="0.2">
      <c r="D19" s="2">
        <f>+ForwardLiborSimulation!D19</f>
        <v>7</v>
      </c>
      <c r="E19" s="10"/>
      <c r="F19" s="12" t="str">
        <f t="shared" si="17"/>
        <v>L(t;6.75,7)</v>
      </c>
      <c r="G19" s="13">
        <v>0.105</v>
      </c>
      <c r="H19" s="13">
        <v>0.106</v>
      </c>
      <c r="I19" s="13">
        <v>0.107</v>
      </c>
      <c r="J19" s="13">
        <f t="shared" ref="J19:BU19" si="37">+I19</f>
        <v>0.107</v>
      </c>
      <c r="K19" s="13">
        <f t="shared" si="37"/>
        <v>0.107</v>
      </c>
      <c r="L19" s="13">
        <f t="shared" si="37"/>
        <v>0.107</v>
      </c>
      <c r="M19" s="13">
        <f t="shared" si="37"/>
        <v>0.107</v>
      </c>
      <c r="N19" s="13">
        <f t="shared" si="37"/>
        <v>0.107</v>
      </c>
      <c r="O19" s="13">
        <f t="shared" si="37"/>
        <v>0.107</v>
      </c>
      <c r="P19" s="13">
        <f t="shared" si="37"/>
        <v>0.107</v>
      </c>
      <c r="Q19" s="13">
        <f t="shared" si="37"/>
        <v>0.107</v>
      </c>
      <c r="R19" s="13">
        <f t="shared" si="37"/>
        <v>0.107</v>
      </c>
      <c r="S19" s="13">
        <f t="shared" si="37"/>
        <v>0.107</v>
      </c>
      <c r="T19" s="13">
        <f t="shared" si="37"/>
        <v>0.107</v>
      </c>
      <c r="U19" s="13">
        <f t="shared" si="37"/>
        <v>0.107</v>
      </c>
      <c r="V19" s="13">
        <f t="shared" si="37"/>
        <v>0.107</v>
      </c>
      <c r="W19" s="13">
        <f t="shared" si="37"/>
        <v>0.107</v>
      </c>
      <c r="X19" s="13">
        <f t="shared" si="37"/>
        <v>0.107</v>
      </c>
      <c r="Y19" s="13">
        <f t="shared" si="37"/>
        <v>0.107</v>
      </c>
      <c r="Z19" s="13">
        <f t="shared" si="37"/>
        <v>0.107</v>
      </c>
      <c r="AA19" s="13">
        <f t="shared" si="37"/>
        <v>0.107</v>
      </c>
      <c r="AB19" s="13">
        <f t="shared" si="37"/>
        <v>0.107</v>
      </c>
      <c r="AC19" s="13">
        <f t="shared" si="37"/>
        <v>0.107</v>
      </c>
      <c r="AD19" s="13">
        <f t="shared" si="37"/>
        <v>0.107</v>
      </c>
      <c r="AE19" s="13">
        <f t="shared" si="37"/>
        <v>0.107</v>
      </c>
      <c r="AF19" s="13">
        <f t="shared" si="37"/>
        <v>0.107</v>
      </c>
      <c r="AG19" s="13">
        <f t="shared" si="37"/>
        <v>0.107</v>
      </c>
      <c r="AH19" s="13">
        <f t="shared" si="37"/>
        <v>0.107</v>
      </c>
      <c r="AI19" s="13">
        <f t="shared" si="37"/>
        <v>0.107</v>
      </c>
      <c r="AJ19" s="13">
        <f t="shared" si="37"/>
        <v>0.107</v>
      </c>
      <c r="AK19" s="13">
        <f t="shared" si="37"/>
        <v>0.107</v>
      </c>
      <c r="AL19" s="13">
        <f t="shared" si="37"/>
        <v>0.107</v>
      </c>
      <c r="AM19" s="13">
        <f t="shared" si="37"/>
        <v>0.107</v>
      </c>
      <c r="AN19" s="13">
        <f t="shared" si="37"/>
        <v>0.107</v>
      </c>
      <c r="AO19" s="13">
        <f t="shared" si="37"/>
        <v>0.107</v>
      </c>
      <c r="AP19" s="13">
        <f t="shared" si="37"/>
        <v>0.107</v>
      </c>
      <c r="AQ19" s="13">
        <f t="shared" si="37"/>
        <v>0.107</v>
      </c>
      <c r="AR19" s="13">
        <f t="shared" si="37"/>
        <v>0.107</v>
      </c>
      <c r="AS19" s="13">
        <f t="shared" si="37"/>
        <v>0.107</v>
      </c>
      <c r="AT19" s="13">
        <f t="shared" si="37"/>
        <v>0.107</v>
      </c>
      <c r="AU19" s="13">
        <f t="shared" si="37"/>
        <v>0.107</v>
      </c>
      <c r="AV19" s="13">
        <f t="shared" si="37"/>
        <v>0.107</v>
      </c>
      <c r="AW19" s="13">
        <f t="shared" si="37"/>
        <v>0.107</v>
      </c>
      <c r="AX19" s="13">
        <f t="shared" si="37"/>
        <v>0.107</v>
      </c>
      <c r="AY19" s="13">
        <f t="shared" si="37"/>
        <v>0.107</v>
      </c>
      <c r="AZ19" s="13">
        <f t="shared" si="37"/>
        <v>0.107</v>
      </c>
      <c r="BA19" s="13">
        <f t="shared" si="37"/>
        <v>0.107</v>
      </c>
      <c r="BB19" s="13">
        <f t="shared" si="37"/>
        <v>0.107</v>
      </c>
      <c r="BC19" s="13">
        <f t="shared" si="37"/>
        <v>0.107</v>
      </c>
      <c r="BD19" s="13">
        <f t="shared" si="37"/>
        <v>0.107</v>
      </c>
      <c r="BE19" s="13">
        <f t="shared" si="37"/>
        <v>0.107</v>
      </c>
      <c r="BF19" s="13">
        <f t="shared" si="37"/>
        <v>0.107</v>
      </c>
      <c r="BG19" s="13">
        <f t="shared" si="37"/>
        <v>0.107</v>
      </c>
      <c r="BH19" s="13">
        <f t="shared" si="37"/>
        <v>0.107</v>
      </c>
      <c r="BI19" s="13">
        <f t="shared" si="37"/>
        <v>0.107</v>
      </c>
      <c r="BJ19" s="13">
        <f t="shared" si="37"/>
        <v>0.107</v>
      </c>
      <c r="BK19" s="13">
        <f t="shared" si="37"/>
        <v>0.107</v>
      </c>
      <c r="BL19" s="13">
        <f t="shared" si="37"/>
        <v>0.107</v>
      </c>
      <c r="BM19" s="13">
        <f t="shared" si="37"/>
        <v>0.107</v>
      </c>
      <c r="BN19" s="13">
        <f t="shared" si="37"/>
        <v>0.107</v>
      </c>
      <c r="BO19" s="13">
        <f t="shared" si="37"/>
        <v>0.107</v>
      </c>
      <c r="BP19" s="13">
        <f t="shared" si="37"/>
        <v>0.107</v>
      </c>
      <c r="BQ19" s="13">
        <f t="shared" si="37"/>
        <v>0.107</v>
      </c>
      <c r="BR19" s="13">
        <f t="shared" si="37"/>
        <v>0.107</v>
      </c>
      <c r="BS19" s="13">
        <f t="shared" si="37"/>
        <v>0.107</v>
      </c>
      <c r="BT19" s="13">
        <f t="shared" si="37"/>
        <v>0.107</v>
      </c>
      <c r="BU19" s="13">
        <f t="shared" si="37"/>
        <v>0.107</v>
      </c>
      <c r="BV19" s="13">
        <f t="shared" ref="BV19:CI19" si="38">+BU19</f>
        <v>0.107</v>
      </c>
      <c r="BW19" s="13">
        <f t="shared" si="38"/>
        <v>0.107</v>
      </c>
      <c r="BX19" s="13">
        <f t="shared" si="38"/>
        <v>0.107</v>
      </c>
      <c r="BY19" s="13">
        <f t="shared" si="38"/>
        <v>0.107</v>
      </c>
      <c r="BZ19" s="13">
        <f t="shared" si="38"/>
        <v>0.107</v>
      </c>
      <c r="CA19" s="13">
        <f t="shared" si="38"/>
        <v>0.107</v>
      </c>
      <c r="CB19" s="13">
        <f t="shared" si="38"/>
        <v>0.107</v>
      </c>
      <c r="CC19" s="13">
        <f t="shared" si="38"/>
        <v>0.107</v>
      </c>
      <c r="CD19" s="13">
        <f t="shared" si="38"/>
        <v>0.107</v>
      </c>
      <c r="CE19" s="13">
        <f t="shared" si="38"/>
        <v>0.107</v>
      </c>
      <c r="CF19" s="13">
        <f t="shared" si="38"/>
        <v>0.107</v>
      </c>
      <c r="CG19" s="13">
        <f t="shared" si="38"/>
        <v>0.107</v>
      </c>
      <c r="CH19" s="13">
        <f t="shared" si="38"/>
        <v>0.107</v>
      </c>
      <c r="CI19" s="13">
        <f t="shared" si="38"/>
        <v>0.107</v>
      </c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U19" s="13"/>
      <c r="DV19" s="13"/>
      <c r="DW19" s="13"/>
    </row>
    <row r="20" spans="4:127" x14ac:dyDescent="0.2">
      <c r="D20" s="2">
        <f>+ForwardLiborSimulation!D20</f>
        <v>6.75</v>
      </c>
      <c r="E20" s="10"/>
      <c r="F20" s="12" t="str">
        <f t="shared" si="17"/>
        <v>L(t;6.5,6.75)</v>
      </c>
      <c r="G20" s="13">
        <v>0.108</v>
      </c>
      <c r="H20" s="13">
        <v>0.109</v>
      </c>
      <c r="I20" s="13">
        <v>0.11</v>
      </c>
      <c r="J20" s="13">
        <f t="shared" ref="J20:BU20" si="39">+I20</f>
        <v>0.11</v>
      </c>
      <c r="K20" s="13">
        <f t="shared" si="39"/>
        <v>0.11</v>
      </c>
      <c r="L20" s="13">
        <f t="shared" si="39"/>
        <v>0.11</v>
      </c>
      <c r="M20" s="13">
        <f t="shared" si="39"/>
        <v>0.11</v>
      </c>
      <c r="N20" s="13">
        <f t="shared" si="39"/>
        <v>0.11</v>
      </c>
      <c r="O20" s="13">
        <f t="shared" si="39"/>
        <v>0.11</v>
      </c>
      <c r="P20" s="13">
        <f t="shared" si="39"/>
        <v>0.11</v>
      </c>
      <c r="Q20" s="13">
        <f t="shared" si="39"/>
        <v>0.11</v>
      </c>
      <c r="R20" s="13">
        <f t="shared" si="39"/>
        <v>0.11</v>
      </c>
      <c r="S20" s="13">
        <f t="shared" si="39"/>
        <v>0.11</v>
      </c>
      <c r="T20" s="13">
        <f t="shared" si="39"/>
        <v>0.11</v>
      </c>
      <c r="U20" s="13">
        <f t="shared" si="39"/>
        <v>0.11</v>
      </c>
      <c r="V20" s="13">
        <f t="shared" si="39"/>
        <v>0.11</v>
      </c>
      <c r="W20" s="13">
        <f t="shared" si="39"/>
        <v>0.11</v>
      </c>
      <c r="X20" s="13">
        <f t="shared" si="39"/>
        <v>0.11</v>
      </c>
      <c r="Y20" s="13">
        <f t="shared" si="39"/>
        <v>0.11</v>
      </c>
      <c r="Z20" s="13">
        <f t="shared" si="39"/>
        <v>0.11</v>
      </c>
      <c r="AA20" s="13">
        <f t="shared" si="39"/>
        <v>0.11</v>
      </c>
      <c r="AB20" s="13">
        <f t="shared" si="39"/>
        <v>0.11</v>
      </c>
      <c r="AC20" s="13">
        <f t="shared" si="39"/>
        <v>0.11</v>
      </c>
      <c r="AD20" s="13">
        <f t="shared" si="39"/>
        <v>0.11</v>
      </c>
      <c r="AE20" s="13">
        <f t="shared" si="39"/>
        <v>0.11</v>
      </c>
      <c r="AF20" s="13">
        <f t="shared" si="39"/>
        <v>0.11</v>
      </c>
      <c r="AG20" s="13">
        <f t="shared" si="39"/>
        <v>0.11</v>
      </c>
      <c r="AH20" s="13">
        <f t="shared" si="39"/>
        <v>0.11</v>
      </c>
      <c r="AI20" s="13">
        <f t="shared" si="39"/>
        <v>0.11</v>
      </c>
      <c r="AJ20" s="13">
        <f t="shared" si="39"/>
        <v>0.11</v>
      </c>
      <c r="AK20" s="13">
        <f t="shared" si="39"/>
        <v>0.11</v>
      </c>
      <c r="AL20" s="13">
        <f t="shared" si="39"/>
        <v>0.11</v>
      </c>
      <c r="AM20" s="13">
        <f t="shared" si="39"/>
        <v>0.11</v>
      </c>
      <c r="AN20" s="13">
        <f t="shared" si="39"/>
        <v>0.11</v>
      </c>
      <c r="AO20" s="13">
        <f t="shared" si="39"/>
        <v>0.11</v>
      </c>
      <c r="AP20" s="13">
        <f t="shared" si="39"/>
        <v>0.11</v>
      </c>
      <c r="AQ20" s="13">
        <f t="shared" si="39"/>
        <v>0.11</v>
      </c>
      <c r="AR20" s="13">
        <f t="shared" si="39"/>
        <v>0.11</v>
      </c>
      <c r="AS20" s="13">
        <f t="shared" si="39"/>
        <v>0.11</v>
      </c>
      <c r="AT20" s="13">
        <f t="shared" si="39"/>
        <v>0.11</v>
      </c>
      <c r="AU20" s="13">
        <f t="shared" si="39"/>
        <v>0.11</v>
      </c>
      <c r="AV20" s="13">
        <f t="shared" si="39"/>
        <v>0.11</v>
      </c>
      <c r="AW20" s="13">
        <f t="shared" si="39"/>
        <v>0.11</v>
      </c>
      <c r="AX20" s="13">
        <f t="shared" si="39"/>
        <v>0.11</v>
      </c>
      <c r="AY20" s="13">
        <f t="shared" si="39"/>
        <v>0.11</v>
      </c>
      <c r="AZ20" s="13">
        <f t="shared" si="39"/>
        <v>0.11</v>
      </c>
      <c r="BA20" s="13">
        <f t="shared" si="39"/>
        <v>0.11</v>
      </c>
      <c r="BB20" s="13">
        <f t="shared" si="39"/>
        <v>0.11</v>
      </c>
      <c r="BC20" s="13">
        <f t="shared" si="39"/>
        <v>0.11</v>
      </c>
      <c r="BD20" s="13">
        <f t="shared" si="39"/>
        <v>0.11</v>
      </c>
      <c r="BE20" s="13">
        <f t="shared" si="39"/>
        <v>0.11</v>
      </c>
      <c r="BF20" s="13">
        <f t="shared" si="39"/>
        <v>0.11</v>
      </c>
      <c r="BG20" s="13">
        <f t="shared" si="39"/>
        <v>0.11</v>
      </c>
      <c r="BH20" s="13">
        <f t="shared" si="39"/>
        <v>0.11</v>
      </c>
      <c r="BI20" s="13">
        <f t="shared" si="39"/>
        <v>0.11</v>
      </c>
      <c r="BJ20" s="13">
        <f t="shared" si="39"/>
        <v>0.11</v>
      </c>
      <c r="BK20" s="13">
        <f t="shared" si="39"/>
        <v>0.11</v>
      </c>
      <c r="BL20" s="13">
        <f t="shared" si="39"/>
        <v>0.11</v>
      </c>
      <c r="BM20" s="13">
        <f t="shared" si="39"/>
        <v>0.11</v>
      </c>
      <c r="BN20" s="13">
        <f t="shared" si="39"/>
        <v>0.11</v>
      </c>
      <c r="BO20" s="13">
        <f t="shared" si="39"/>
        <v>0.11</v>
      </c>
      <c r="BP20" s="13">
        <f t="shared" si="39"/>
        <v>0.11</v>
      </c>
      <c r="BQ20" s="13">
        <f t="shared" si="39"/>
        <v>0.11</v>
      </c>
      <c r="BR20" s="13">
        <f t="shared" si="39"/>
        <v>0.11</v>
      </c>
      <c r="BS20" s="13">
        <f t="shared" si="39"/>
        <v>0.11</v>
      </c>
      <c r="BT20" s="13">
        <f t="shared" si="39"/>
        <v>0.11</v>
      </c>
      <c r="BU20" s="13">
        <f t="shared" si="39"/>
        <v>0.11</v>
      </c>
      <c r="BV20" s="13">
        <f t="shared" ref="BV20:CF20" si="40">+BU20</f>
        <v>0.11</v>
      </c>
      <c r="BW20" s="13">
        <f t="shared" si="40"/>
        <v>0.11</v>
      </c>
      <c r="BX20" s="13">
        <f t="shared" si="40"/>
        <v>0.11</v>
      </c>
      <c r="BY20" s="13">
        <f t="shared" si="40"/>
        <v>0.11</v>
      </c>
      <c r="BZ20" s="13">
        <f t="shared" si="40"/>
        <v>0.11</v>
      </c>
      <c r="CA20" s="13">
        <f t="shared" si="40"/>
        <v>0.11</v>
      </c>
      <c r="CB20" s="13">
        <f t="shared" si="40"/>
        <v>0.11</v>
      </c>
      <c r="CC20" s="13">
        <f t="shared" si="40"/>
        <v>0.11</v>
      </c>
      <c r="CD20" s="13">
        <f t="shared" si="40"/>
        <v>0.11</v>
      </c>
      <c r="CE20" s="13">
        <f t="shared" si="40"/>
        <v>0.11</v>
      </c>
      <c r="CF20" s="13">
        <f t="shared" si="40"/>
        <v>0.11</v>
      </c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U20" s="13"/>
      <c r="DV20" s="13"/>
      <c r="DW20" s="13"/>
    </row>
    <row r="21" spans="4:127" x14ac:dyDescent="0.2">
      <c r="D21" s="2">
        <f>+ForwardLiborSimulation!D21</f>
        <v>6.5</v>
      </c>
      <c r="E21" s="10"/>
      <c r="F21" s="12" t="str">
        <f t="shared" si="17"/>
        <v>L(t;6.25,6.5)</v>
      </c>
      <c r="G21" s="13">
        <v>0.111</v>
      </c>
      <c r="H21" s="13">
        <v>0.112</v>
      </c>
      <c r="I21" s="13">
        <v>0.113</v>
      </c>
      <c r="J21" s="13">
        <f t="shared" ref="J21:BU21" si="41">+I21</f>
        <v>0.113</v>
      </c>
      <c r="K21" s="13">
        <f t="shared" si="41"/>
        <v>0.113</v>
      </c>
      <c r="L21" s="13">
        <f t="shared" si="41"/>
        <v>0.113</v>
      </c>
      <c r="M21" s="13">
        <f t="shared" si="41"/>
        <v>0.113</v>
      </c>
      <c r="N21" s="13">
        <f t="shared" si="41"/>
        <v>0.113</v>
      </c>
      <c r="O21" s="13">
        <f t="shared" si="41"/>
        <v>0.113</v>
      </c>
      <c r="P21" s="13">
        <f t="shared" si="41"/>
        <v>0.113</v>
      </c>
      <c r="Q21" s="13">
        <f t="shared" si="41"/>
        <v>0.113</v>
      </c>
      <c r="R21" s="13">
        <f t="shared" si="41"/>
        <v>0.113</v>
      </c>
      <c r="S21" s="13">
        <f t="shared" si="41"/>
        <v>0.113</v>
      </c>
      <c r="T21" s="13">
        <f t="shared" si="41"/>
        <v>0.113</v>
      </c>
      <c r="U21" s="13">
        <f t="shared" si="41"/>
        <v>0.113</v>
      </c>
      <c r="V21" s="13">
        <f t="shared" si="41"/>
        <v>0.113</v>
      </c>
      <c r="W21" s="13">
        <f t="shared" si="41"/>
        <v>0.113</v>
      </c>
      <c r="X21" s="13">
        <f t="shared" si="41"/>
        <v>0.113</v>
      </c>
      <c r="Y21" s="13">
        <f t="shared" si="41"/>
        <v>0.113</v>
      </c>
      <c r="Z21" s="13">
        <f t="shared" si="41"/>
        <v>0.113</v>
      </c>
      <c r="AA21" s="13">
        <f t="shared" si="41"/>
        <v>0.113</v>
      </c>
      <c r="AB21" s="13">
        <f t="shared" si="41"/>
        <v>0.113</v>
      </c>
      <c r="AC21" s="13">
        <f t="shared" si="41"/>
        <v>0.113</v>
      </c>
      <c r="AD21" s="13">
        <f t="shared" si="41"/>
        <v>0.113</v>
      </c>
      <c r="AE21" s="13">
        <f t="shared" si="41"/>
        <v>0.113</v>
      </c>
      <c r="AF21" s="13">
        <f t="shared" si="41"/>
        <v>0.113</v>
      </c>
      <c r="AG21" s="13">
        <f t="shared" si="41"/>
        <v>0.113</v>
      </c>
      <c r="AH21" s="13">
        <f t="shared" si="41"/>
        <v>0.113</v>
      </c>
      <c r="AI21" s="13">
        <f t="shared" si="41"/>
        <v>0.113</v>
      </c>
      <c r="AJ21" s="13">
        <f t="shared" si="41"/>
        <v>0.113</v>
      </c>
      <c r="AK21" s="13">
        <f t="shared" si="41"/>
        <v>0.113</v>
      </c>
      <c r="AL21" s="13">
        <f t="shared" si="41"/>
        <v>0.113</v>
      </c>
      <c r="AM21" s="13">
        <f t="shared" si="41"/>
        <v>0.113</v>
      </c>
      <c r="AN21" s="13">
        <f t="shared" si="41"/>
        <v>0.113</v>
      </c>
      <c r="AO21" s="13">
        <f t="shared" si="41"/>
        <v>0.113</v>
      </c>
      <c r="AP21" s="13">
        <f t="shared" si="41"/>
        <v>0.113</v>
      </c>
      <c r="AQ21" s="13">
        <f t="shared" si="41"/>
        <v>0.113</v>
      </c>
      <c r="AR21" s="13">
        <f t="shared" si="41"/>
        <v>0.113</v>
      </c>
      <c r="AS21" s="13">
        <f t="shared" si="41"/>
        <v>0.113</v>
      </c>
      <c r="AT21" s="13">
        <f t="shared" si="41"/>
        <v>0.113</v>
      </c>
      <c r="AU21" s="13">
        <f t="shared" si="41"/>
        <v>0.113</v>
      </c>
      <c r="AV21" s="13">
        <f t="shared" si="41"/>
        <v>0.113</v>
      </c>
      <c r="AW21" s="13">
        <f t="shared" si="41"/>
        <v>0.113</v>
      </c>
      <c r="AX21" s="13">
        <f t="shared" si="41"/>
        <v>0.113</v>
      </c>
      <c r="AY21" s="13">
        <f t="shared" si="41"/>
        <v>0.113</v>
      </c>
      <c r="AZ21" s="13">
        <f t="shared" si="41"/>
        <v>0.113</v>
      </c>
      <c r="BA21" s="13">
        <f t="shared" si="41"/>
        <v>0.113</v>
      </c>
      <c r="BB21" s="13">
        <f t="shared" si="41"/>
        <v>0.113</v>
      </c>
      <c r="BC21" s="13">
        <f t="shared" si="41"/>
        <v>0.113</v>
      </c>
      <c r="BD21" s="13">
        <f t="shared" si="41"/>
        <v>0.113</v>
      </c>
      <c r="BE21" s="13">
        <f t="shared" si="41"/>
        <v>0.113</v>
      </c>
      <c r="BF21" s="13">
        <f t="shared" si="41"/>
        <v>0.113</v>
      </c>
      <c r="BG21" s="13">
        <f t="shared" si="41"/>
        <v>0.113</v>
      </c>
      <c r="BH21" s="13">
        <f t="shared" si="41"/>
        <v>0.113</v>
      </c>
      <c r="BI21" s="13">
        <f t="shared" si="41"/>
        <v>0.113</v>
      </c>
      <c r="BJ21" s="13">
        <f t="shared" si="41"/>
        <v>0.113</v>
      </c>
      <c r="BK21" s="13">
        <f t="shared" si="41"/>
        <v>0.113</v>
      </c>
      <c r="BL21" s="13">
        <f t="shared" si="41"/>
        <v>0.113</v>
      </c>
      <c r="BM21" s="13">
        <f t="shared" si="41"/>
        <v>0.113</v>
      </c>
      <c r="BN21" s="13">
        <f t="shared" si="41"/>
        <v>0.113</v>
      </c>
      <c r="BO21" s="13">
        <f t="shared" si="41"/>
        <v>0.113</v>
      </c>
      <c r="BP21" s="13">
        <f t="shared" si="41"/>
        <v>0.113</v>
      </c>
      <c r="BQ21" s="13">
        <f t="shared" si="41"/>
        <v>0.113</v>
      </c>
      <c r="BR21" s="13">
        <f t="shared" si="41"/>
        <v>0.113</v>
      </c>
      <c r="BS21" s="13">
        <f t="shared" si="41"/>
        <v>0.113</v>
      </c>
      <c r="BT21" s="13">
        <f t="shared" si="41"/>
        <v>0.113</v>
      </c>
      <c r="BU21" s="13">
        <f t="shared" si="41"/>
        <v>0.113</v>
      </c>
      <c r="BV21" s="13">
        <f t="shared" ref="BV21:CC21" si="42">+BU21</f>
        <v>0.113</v>
      </c>
      <c r="BW21" s="13">
        <f t="shared" si="42"/>
        <v>0.113</v>
      </c>
      <c r="BX21" s="13">
        <f t="shared" si="42"/>
        <v>0.113</v>
      </c>
      <c r="BY21" s="13">
        <f t="shared" si="42"/>
        <v>0.113</v>
      </c>
      <c r="BZ21" s="13">
        <f t="shared" si="42"/>
        <v>0.113</v>
      </c>
      <c r="CA21" s="13">
        <f t="shared" si="42"/>
        <v>0.113</v>
      </c>
      <c r="CB21" s="13">
        <f t="shared" si="42"/>
        <v>0.113</v>
      </c>
      <c r="CC21" s="13">
        <f t="shared" si="42"/>
        <v>0.113</v>
      </c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U21" s="13"/>
      <c r="DV21" s="13"/>
      <c r="DW21" s="13"/>
    </row>
    <row r="22" spans="4:127" x14ac:dyDescent="0.2">
      <c r="D22" s="2">
        <f>+ForwardLiborSimulation!D22</f>
        <v>6.25</v>
      </c>
      <c r="E22" s="10"/>
      <c r="F22" s="12" t="str">
        <f t="shared" si="17"/>
        <v>L(t;6,6.25)</v>
      </c>
      <c r="G22" s="13">
        <v>0.114</v>
      </c>
      <c r="H22" s="13">
        <v>0.115</v>
      </c>
      <c r="I22" s="13">
        <v>0.11600000000000001</v>
      </c>
      <c r="J22" s="13">
        <f t="shared" ref="J22:BU22" si="43">+I22</f>
        <v>0.11600000000000001</v>
      </c>
      <c r="K22" s="13">
        <f t="shared" si="43"/>
        <v>0.11600000000000001</v>
      </c>
      <c r="L22" s="13">
        <f t="shared" si="43"/>
        <v>0.11600000000000001</v>
      </c>
      <c r="M22" s="13">
        <f t="shared" si="43"/>
        <v>0.11600000000000001</v>
      </c>
      <c r="N22" s="13">
        <f t="shared" si="43"/>
        <v>0.11600000000000001</v>
      </c>
      <c r="O22" s="13">
        <f t="shared" si="43"/>
        <v>0.11600000000000001</v>
      </c>
      <c r="P22" s="13">
        <f t="shared" si="43"/>
        <v>0.11600000000000001</v>
      </c>
      <c r="Q22" s="13">
        <f t="shared" si="43"/>
        <v>0.11600000000000001</v>
      </c>
      <c r="R22" s="13">
        <f t="shared" si="43"/>
        <v>0.11600000000000001</v>
      </c>
      <c r="S22" s="13">
        <f t="shared" si="43"/>
        <v>0.11600000000000001</v>
      </c>
      <c r="T22" s="13">
        <f t="shared" si="43"/>
        <v>0.11600000000000001</v>
      </c>
      <c r="U22" s="13">
        <f t="shared" si="43"/>
        <v>0.11600000000000001</v>
      </c>
      <c r="V22" s="13">
        <f t="shared" si="43"/>
        <v>0.11600000000000001</v>
      </c>
      <c r="W22" s="13">
        <f t="shared" si="43"/>
        <v>0.11600000000000001</v>
      </c>
      <c r="X22" s="13">
        <f t="shared" si="43"/>
        <v>0.11600000000000001</v>
      </c>
      <c r="Y22" s="13">
        <f t="shared" si="43"/>
        <v>0.11600000000000001</v>
      </c>
      <c r="Z22" s="13">
        <f t="shared" si="43"/>
        <v>0.11600000000000001</v>
      </c>
      <c r="AA22" s="13">
        <f t="shared" si="43"/>
        <v>0.11600000000000001</v>
      </c>
      <c r="AB22" s="13">
        <f t="shared" si="43"/>
        <v>0.11600000000000001</v>
      </c>
      <c r="AC22" s="13">
        <f t="shared" si="43"/>
        <v>0.11600000000000001</v>
      </c>
      <c r="AD22" s="13">
        <f t="shared" si="43"/>
        <v>0.11600000000000001</v>
      </c>
      <c r="AE22" s="13">
        <f t="shared" si="43"/>
        <v>0.11600000000000001</v>
      </c>
      <c r="AF22" s="13">
        <f t="shared" si="43"/>
        <v>0.11600000000000001</v>
      </c>
      <c r="AG22" s="13">
        <f t="shared" si="43"/>
        <v>0.11600000000000001</v>
      </c>
      <c r="AH22" s="13">
        <f t="shared" si="43"/>
        <v>0.11600000000000001</v>
      </c>
      <c r="AI22" s="13">
        <f t="shared" si="43"/>
        <v>0.11600000000000001</v>
      </c>
      <c r="AJ22" s="13">
        <f t="shared" si="43"/>
        <v>0.11600000000000001</v>
      </c>
      <c r="AK22" s="13">
        <f t="shared" si="43"/>
        <v>0.11600000000000001</v>
      </c>
      <c r="AL22" s="13">
        <f t="shared" si="43"/>
        <v>0.11600000000000001</v>
      </c>
      <c r="AM22" s="13">
        <f t="shared" si="43"/>
        <v>0.11600000000000001</v>
      </c>
      <c r="AN22" s="13">
        <f t="shared" si="43"/>
        <v>0.11600000000000001</v>
      </c>
      <c r="AO22" s="13">
        <f t="shared" si="43"/>
        <v>0.11600000000000001</v>
      </c>
      <c r="AP22" s="13">
        <f t="shared" si="43"/>
        <v>0.11600000000000001</v>
      </c>
      <c r="AQ22" s="13">
        <f t="shared" si="43"/>
        <v>0.11600000000000001</v>
      </c>
      <c r="AR22" s="13">
        <f t="shared" si="43"/>
        <v>0.11600000000000001</v>
      </c>
      <c r="AS22" s="13">
        <f t="shared" si="43"/>
        <v>0.11600000000000001</v>
      </c>
      <c r="AT22" s="13">
        <f t="shared" si="43"/>
        <v>0.11600000000000001</v>
      </c>
      <c r="AU22" s="13">
        <f t="shared" si="43"/>
        <v>0.11600000000000001</v>
      </c>
      <c r="AV22" s="13">
        <f t="shared" si="43"/>
        <v>0.11600000000000001</v>
      </c>
      <c r="AW22" s="13">
        <f t="shared" si="43"/>
        <v>0.11600000000000001</v>
      </c>
      <c r="AX22" s="13">
        <f t="shared" si="43"/>
        <v>0.11600000000000001</v>
      </c>
      <c r="AY22" s="13">
        <f t="shared" si="43"/>
        <v>0.11600000000000001</v>
      </c>
      <c r="AZ22" s="13">
        <f t="shared" si="43"/>
        <v>0.11600000000000001</v>
      </c>
      <c r="BA22" s="13">
        <f t="shared" si="43"/>
        <v>0.11600000000000001</v>
      </c>
      <c r="BB22" s="13">
        <f t="shared" si="43"/>
        <v>0.11600000000000001</v>
      </c>
      <c r="BC22" s="13">
        <f t="shared" si="43"/>
        <v>0.11600000000000001</v>
      </c>
      <c r="BD22" s="13">
        <f t="shared" si="43"/>
        <v>0.11600000000000001</v>
      </c>
      <c r="BE22" s="13">
        <f t="shared" si="43"/>
        <v>0.11600000000000001</v>
      </c>
      <c r="BF22" s="13">
        <f t="shared" si="43"/>
        <v>0.11600000000000001</v>
      </c>
      <c r="BG22" s="13">
        <f t="shared" si="43"/>
        <v>0.11600000000000001</v>
      </c>
      <c r="BH22" s="13">
        <f t="shared" si="43"/>
        <v>0.11600000000000001</v>
      </c>
      <c r="BI22" s="13">
        <f t="shared" si="43"/>
        <v>0.11600000000000001</v>
      </c>
      <c r="BJ22" s="13">
        <f t="shared" si="43"/>
        <v>0.11600000000000001</v>
      </c>
      <c r="BK22" s="13">
        <f t="shared" si="43"/>
        <v>0.11600000000000001</v>
      </c>
      <c r="BL22" s="13">
        <f t="shared" si="43"/>
        <v>0.11600000000000001</v>
      </c>
      <c r="BM22" s="13">
        <f t="shared" si="43"/>
        <v>0.11600000000000001</v>
      </c>
      <c r="BN22" s="13">
        <f t="shared" si="43"/>
        <v>0.11600000000000001</v>
      </c>
      <c r="BO22" s="13">
        <f t="shared" si="43"/>
        <v>0.11600000000000001</v>
      </c>
      <c r="BP22" s="13">
        <f t="shared" si="43"/>
        <v>0.11600000000000001</v>
      </c>
      <c r="BQ22" s="13">
        <f t="shared" si="43"/>
        <v>0.11600000000000001</v>
      </c>
      <c r="BR22" s="13">
        <f t="shared" si="43"/>
        <v>0.11600000000000001</v>
      </c>
      <c r="BS22" s="13">
        <f t="shared" si="43"/>
        <v>0.11600000000000001</v>
      </c>
      <c r="BT22" s="13">
        <f t="shared" si="43"/>
        <v>0.11600000000000001</v>
      </c>
      <c r="BU22" s="13">
        <f t="shared" si="43"/>
        <v>0.11600000000000001</v>
      </c>
      <c r="BV22" s="13">
        <f t="shared" ref="BV22:BZ22" si="44">+BU22</f>
        <v>0.11600000000000001</v>
      </c>
      <c r="BW22" s="13">
        <f t="shared" si="44"/>
        <v>0.11600000000000001</v>
      </c>
      <c r="BX22" s="13">
        <f t="shared" si="44"/>
        <v>0.11600000000000001</v>
      </c>
      <c r="BY22" s="13">
        <f t="shared" si="44"/>
        <v>0.11600000000000001</v>
      </c>
      <c r="BZ22" s="13">
        <f t="shared" si="44"/>
        <v>0.11600000000000001</v>
      </c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U22" s="13"/>
      <c r="DV22" s="13"/>
      <c r="DW22" s="13"/>
    </row>
    <row r="23" spans="4:127" x14ac:dyDescent="0.2">
      <c r="D23" s="2">
        <f>+ForwardLiborSimulation!D23</f>
        <v>6</v>
      </c>
      <c r="E23" s="10"/>
      <c r="F23" s="12" t="str">
        <f t="shared" si="17"/>
        <v>L(t;5.75,6)</v>
      </c>
      <c r="G23" s="13">
        <v>0.11700000000000001</v>
      </c>
      <c r="H23" s="13">
        <v>0.11799999999999999</v>
      </c>
      <c r="I23" s="13">
        <v>0.11899999999999999</v>
      </c>
      <c r="J23" s="13">
        <f t="shared" ref="J23:BU23" si="45">+I23</f>
        <v>0.11899999999999999</v>
      </c>
      <c r="K23" s="13">
        <f t="shared" si="45"/>
        <v>0.11899999999999999</v>
      </c>
      <c r="L23" s="13">
        <f t="shared" si="45"/>
        <v>0.11899999999999999</v>
      </c>
      <c r="M23" s="13">
        <f t="shared" si="45"/>
        <v>0.11899999999999999</v>
      </c>
      <c r="N23" s="13">
        <f t="shared" si="45"/>
        <v>0.11899999999999999</v>
      </c>
      <c r="O23" s="13">
        <f t="shared" si="45"/>
        <v>0.11899999999999999</v>
      </c>
      <c r="P23" s="13">
        <f t="shared" si="45"/>
        <v>0.11899999999999999</v>
      </c>
      <c r="Q23" s="13">
        <f t="shared" si="45"/>
        <v>0.11899999999999999</v>
      </c>
      <c r="R23" s="13">
        <f t="shared" si="45"/>
        <v>0.11899999999999999</v>
      </c>
      <c r="S23" s="13">
        <f t="shared" si="45"/>
        <v>0.11899999999999999</v>
      </c>
      <c r="T23" s="13">
        <f t="shared" si="45"/>
        <v>0.11899999999999999</v>
      </c>
      <c r="U23" s="13">
        <f t="shared" si="45"/>
        <v>0.11899999999999999</v>
      </c>
      <c r="V23" s="13">
        <f t="shared" si="45"/>
        <v>0.11899999999999999</v>
      </c>
      <c r="W23" s="13">
        <f t="shared" si="45"/>
        <v>0.11899999999999999</v>
      </c>
      <c r="X23" s="13">
        <f t="shared" si="45"/>
        <v>0.11899999999999999</v>
      </c>
      <c r="Y23" s="13">
        <f t="shared" si="45"/>
        <v>0.11899999999999999</v>
      </c>
      <c r="Z23" s="13">
        <f t="shared" si="45"/>
        <v>0.11899999999999999</v>
      </c>
      <c r="AA23" s="13">
        <f t="shared" si="45"/>
        <v>0.11899999999999999</v>
      </c>
      <c r="AB23" s="13">
        <f t="shared" si="45"/>
        <v>0.11899999999999999</v>
      </c>
      <c r="AC23" s="13">
        <f t="shared" si="45"/>
        <v>0.11899999999999999</v>
      </c>
      <c r="AD23" s="13">
        <f t="shared" si="45"/>
        <v>0.11899999999999999</v>
      </c>
      <c r="AE23" s="13">
        <f t="shared" si="45"/>
        <v>0.11899999999999999</v>
      </c>
      <c r="AF23" s="13">
        <f t="shared" si="45"/>
        <v>0.11899999999999999</v>
      </c>
      <c r="AG23" s="13">
        <f t="shared" si="45"/>
        <v>0.11899999999999999</v>
      </c>
      <c r="AH23" s="13">
        <f t="shared" si="45"/>
        <v>0.11899999999999999</v>
      </c>
      <c r="AI23" s="13">
        <f t="shared" si="45"/>
        <v>0.11899999999999999</v>
      </c>
      <c r="AJ23" s="13">
        <f t="shared" si="45"/>
        <v>0.11899999999999999</v>
      </c>
      <c r="AK23" s="13">
        <f t="shared" si="45"/>
        <v>0.11899999999999999</v>
      </c>
      <c r="AL23" s="13">
        <f t="shared" si="45"/>
        <v>0.11899999999999999</v>
      </c>
      <c r="AM23" s="13">
        <f t="shared" si="45"/>
        <v>0.11899999999999999</v>
      </c>
      <c r="AN23" s="13">
        <f t="shared" si="45"/>
        <v>0.11899999999999999</v>
      </c>
      <c r="AO23" s="13">
        <f t="shared" si="45"/>
        <v>0.11899999999999999</v>
      </c>
      <c r="AP23" s="13">
        <f t="shared" si="45"/>
        <v>0.11899999999999999</v>
      </c>
      <c r="AQ23" s="13">
        <f t="shared" si="45"/>
        <v>0.11899999999999999</v>
      </c>
      <c r="AR23" s="13">
        <f t="shared" si="45"/>
        <v>0.11899999999999999</v>
      </c>
      <c r="AS23" s="13">
        <f t="shared" si="45"/>
        <v>0.11899999999999999</v>
      </c>
      <c r="AT23" s="13">
        <f t="shared" si="45"/>
        <v>0.11899999999999999</v>
      </c>
      <c r="AU23" s="13">
        <f t="shared" si="45"/>
        <v>0.11899999999999999</v>
      </c>
      <c r="AV23" s="13">
        <f t="shared" si="45"/>
        <v>0.11899999999999999</v>
      </c>
      <c r="AW23" s="13">
        <f t="shared" si="45"/>
        <v>0.11899999999999999</v>
      </c>
      <c r="AX23" s="13">
        <f t="shared" si="45"/>
        <v>0.11899999999999999</v>
      </c>
      <c r="AY23" s="13">
        <f t="shared" si="45"/>
        <v>0.11899999999999999</v>
      </c>
      <c r="AZ23" s="13">
        <f t="shared" si="45"/>
        <v>0.11899999999999999</v>
      </c>
      <c r="BA23" s="13">
        <f t="shared" si="45"/>
        <v>0.11899999999999999</v>
      </c>
      <c r="BB23" s="13">
        <f t="shared" si="45"/>
        <v>0.11899999999999999</v>
      </c>
      <c r="BC23" s="13">
        <f t="shared" si="45"/>
        <v>0.11899999999999999</v>
      </c>
      <c r="BD23" s="13">
        <f t="shared" si="45"/>
        <v>0.11899999999999999</v>
      </c>
      <c r="BE23" s="13">
        <f t="shared" si="45"/>
        <v>0.11899999999999999</v>
      </c>
      <c r="BF23" s="13">
        <f t="shared" si="45"/>
        <v>0.11899999999999999</v>
      </c>
      <c r="BG23" s="13">
        <f t="shared" si="45"/>
        <v>0.11899999999999999</v>
      </c>
      <c r="BH23" s="13">
        <f t="shared" si="45"/>
        <v>0.11899999999999999</v>
      </c>
      <c r="BI23" s="13">
        <f t="shared" si="45"/>
        <v>0.11899999999999999</v>
      </c>
      <c r="BJ23" s="13">
        <f t="shared" si="45"/>
        <v>0.11899999999999999</v>
      </c>
      <c r="BK23" s="13">
        <f t="shared" si="45"/>
        <v>0.11899999999999999</v>
      </c>
      <c r="BL23" s="13">
        <f t="shared" si="45"/>
        <v>0.11899999999999999</v>
      </c>
      <c r="BM23" s="13">
        <f t="shared" si="45"/>
        <v>0.11899999999999999</v>
      </c>
      <c r="BN23" s="13">
        <f t="shared" si="45"/>
        <v>0.11899999999999999</v>
      </c>
      <c r="BO23" s="13">
        <f t="shared" si="45"/>
        <v>0.11899999999999999</v>
      </c>
      <c r="BP23" s="13">
        <f t="shared" si="45"/>
        <v>0.11899999999999999</v>
      </c>
      <c r="BQ23" s="13">
        <f t="shared" si="45"/>
        <v>0.11899999999999999</v>
      </c>
      <c r="BR23" s="13">
        <f t="shared" si="45"/>
        <v>0.11899999999999999</v>
      </c>
      <c r="BS23" s="13">
        <f t="shared" si="45"/>
        <v>0.11899999999999999</v>
      </c>
      <c r="BT23" s="13">
        <f t="shared" si="45"/>
        <v>0.11899999999999999</v>
      </c>
      <c r="BU23" s="13">
        <f t="shared" si="45"/>
        <v>0.11899999999999999</v>
      </c>
      <c r="BV23" s="13">
        <f t="shared" ref="BV23:BW23" si="46">+BU23</f>
        <v>0.11899999999999999</v>
      </c>
      <c r="BW23" s="13">
        <f t="shared" si="46"/>
        <v>0.11899999999999999</v>
      </c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U23" s="13"/>
      <c r="DV23" s="13"/>
      <c r="DW23" s="13"/>
    </row>
    <row r="24" spans="4:127" x14ac:dyDescent="0.2">
      <c r="D24" s="2">
        <f>+ForwardLiborSimulation!D24</f>
        <v>5.75</v>
      </c>
      <c r="E24" s="10"/>
      <c r="F24" s="12" t="str">
        <f t="shared" si="17"/>
        <v>L(t;5.5,5.75)</v>
      </c>
      <c r="G24" s="13">
        <v>0.12</v>
      </c>
      <c r="H24" s="13">
        <v>0.121</v>
      </c>
      <c r="I24" s="13">
        <v>0.122</v>
      </c>
      <c r="J24" s="13">
        <f t="shared" ref="J24:BT24" si="47">+I24</f>
        <v>0.122</v>
      </c>
      <c r="K24" s="13">
        <f t="shared" si="47"/>
        <v>0.122</v>
      </c>
      <c r="L24" s="13">
        <f t="shared" si="47"/>
        <v>0.122</v>
      </c>
      <c r="M24" s="13">
        <f t="shared" si="47"/>
        <v>0.122</v>
      </c>
      <c r="N24" s="13">
        <f t="shared" si="47"/>
        <v>0.122</v>
      </c>
      <c r="O24" s="13">
        <f t="shared" si="47"/>
        <v>0.122</v>
      </c>
      <c r="P24" s="13">
        <f t="shared" si="47"/>
        <v>0.122</v>
      </c>
      <c r="Q24" s="13">
        <f t="shared" si="47"/>
        <v>0.122</v>
      </c>
      <c r="R24" s="13">
        <f t="shared" si="47"/>
        <v>0.122</v>
      </c>
      <c r="S24" s="13">
        <f t="shared" si="47"/>
        <v>0.122</v>
      </c>
      <c r="T24" s="13">
        <f t="shared" si="47"/>
        <v>0.122</v>
      </c>
      <c r="U24" s="13">
        <f t="shared" si="47"/>
        <v>0.122</v>
      </c>
      <c r="V24" s="13">
        <f t="shared" si="47"/>
        <v>0.122</v>
      </c>
      <c r="W24" s="13">
        <f t="shared" si="47"/>
        <v>0.122</v>
      </c>
      <c r="X24" s="13">
        <f t="shared" si="47"/>
        <v>0.122</v>
      </c>
      <c r="Y24" s="13">
        <f t="shared" si="47"/>
        <v>0.122</v>
      </c>
      <c r="Z24" s="13">
        <f t="shared" si="47"/>
        <v>0.122</v>
      </c>
      <c r="AA24" s="13">
        <f t="shared" si="47"/>
        <v>0.122</v>
      </c>
      <c r="AB24" s="13">
        <f t="shared" si="47"/>
        <v>0.122</v>
      </c>
      <c r="AC24" s="13">
        <f t="shared" si="47"/>
        <v>0.122</v>
      </c>
      <c r="AD24" s="13">
        <f t="shared" si="47"/>
        <v>0.122</v>
      </c>
      <c r="AE24" s="13">
        <f t="shared" si="47"/>
        <v>0.122</v>
      </c>
      <c r="AF24" s="13">
        <f t="shared" si="47"/>
        <v>0.122</v>
      </c>
      <c r="AG24" s="13">
        <f t="shared" si="47"/>
        <v>0.122</v>
      </c>
      <c r="AH24" s="13">
        <f t="shared" si="47"/>
        <v>0.122</v>
      </c>
      <c r="AI24" s="13">
        <f t="shared" si="47"/>
        <v>0.122</v>
      </c>
      <c r="AJ24" s="13">
        <f t="shared" si="47"/>
        <v>0.122</v>
      </c>
      <c r="AK24" s="13">
        <f t="shared" si="47"/>
        <v>0.122</v>
      </c>
      <c r="AL24" s="13">
        <f t="shared" si="47"/>
        <v>0.122</v>
      </c>
      <c r="AM24" s="13">
        <f t="shared" si="47"/>
        <v>0.122</v>
      </c>
      <c r="AN24" s="13">
        <f t="shared" si="47"/>
        <v>0.122</v>
      </c>
      <c r="AO24" s="13">
        <f t="shared" si="47"/>
        <v>0.122</v>
      </c>
      <c r="AP24" s="13">
        <f t="shared" si="47"/>
        <v>0.122</v>
      </c>
      <c r="AQ24" s="13">
        <f t="shared" si="47"/>
        <v>0.122</v>
      </c>
      <c r="AR24" s="13">
        <f t="shared" si="47"/>
        <v>0.122</v>
      </c>
      <c r="AS24" s="13">
        <f t="shared" si="47"/>
        <v>0.122</v>
      </c>
      <c r="AT24" s="13">
        <f t="shared" si="47"/>
        <v>0.122</v>
      </c>
      <c r="AU24" s="13">
        <f t="shared" si="47"/>
        <v>0.122</v>
      </c>
      <c r="AV24" s="13">
        <f t="shared" si="47"/>
        <v>0.122</v>
      </c>
      <c r="AW24" s="13">
        <f t="shared" si="47"/>
        <v>0.122</v>
      </c>
      <c r="AX24" s="13">
        <f t="shared" si="47"/>
        <v>0.122</v>
      </c>
      <c r="AY24" s="13">
        <f t="shared" si="47"/>
        <v>0.122</v>
      </c>
      <c r="AZ24" s="13">
        <f t="shared" si="47"/>
        <v>0.122</v>
      </c>
      <c r="BA24" s="13">
        <f t="shared" si="47"/>
        <v>0.122</v>
      </c>
      <c r="BB24" s="13">
        <f t="shared" si="47"/>
        <v>0.122</v>
      </c>
      <c r="BC24" s="13">
        <f t="shared" si="47"/>
        <v>0.122</v>
      </c>
      <c r="BD24" s="13">
        <f t="shared" si="47"/>
        <v>0.122</v>
      </c>
      <c r="BE24" s="13">
        <f t="shared" si="47"/>
        <v>0.122</v>
      </c>
      <c r="BF24" s="13">
        <f t="shared" si="47"/>
        <v>0.122</v>
      </c>
      <c r="BG24" s="13">
        <f t="shared" si="47"/>
        <v>0.122</v>
      </c>
      <c r="BH24" s="13">
        <f t="shared" si="47"/>
        <v>0.122</v>
      </c>
      <c r="BI24" s="13">
        <f t="shared" si="47"/>
        <v>0.122</v>
      </c>
      <c r="BJ24" s="13">
        <f t="shared" si="47"/>
        <v>0.122</v>
      </c>
      <c r="BK24" s="13">
        <f t="shared" si="47"/>
        <v>0.122</v>
      </c>
      <c r="BL24" s="13">
        <f t="shared" si="47"/>
        <v>0.122</v>
      </c>
      <c r="BM24" s="13">
        <f t="shared" si="47"/>
        <v>0.122</v>
      </c>
      <c r="BN24" s="13">
        <f t="shared" si="47"/>
        <v>0.122</v>
      </c>
      <c r="BO24" s="13">
        <f t="shared" si="47"/>
        <v>0.122</v>
      </c>
      <c r="BP24" s="13">
        <f t="shared" si="47"/>
        <v>0.122</v>
      </c>
      <c r="BQ24" s="13">
        <f t="shared" si="47"/>
        <v>0.122</v>
      </c>
      <c r="BR24" s="13">
        <f t="shared" si="47"/>
        <v>0.122</v>
      </c>
      <c r="BS24" s="13">
        <f t="shared" si="47"/>
        <v>0.122</v>
      </c>
      <c r="BT24" s="13">
        <f t="shared" si="47"/>
        <v>0.122</v>
      </c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U24" s="13"/>
      <c r="DV24" s="13"/>
      <c r="DW24" s="13"/>
    </row>
    <row r="25" spans="4:127" x14ac:dyDescent="0.2">
      <c r="D25" s="2">
        <f>+ForwardLiborSimulation!D25</f>
        <v>5.5</v>
      </c>
      <c r="E25" s="10"/>
      <c r="F25" s="12" t="str">
        <f t="shared" si="17"/>
        <v>L(t;5.25,5.5)</v>
      </c>
      <c r="G25" s="13">
        <v>0.123</v>
      </c>
      <c r="H25" s="13">
        <v>0.124</v>
      </c>
      <c r="I25" s="13">
        <v>0.125</v>
      </c>
      <c r="J25" s="13">
        <f t="shared" ref="J25:BQ25" si="48">+I25</f>
        <v>0.125</v>
      </c>
      <c r="K25" s="13">
        <f t="shared" si="48"/>
        <v>0.125</v>
      </c>
      <c r="L25" s="13">
        <f t="shared" si="48"/>
        <v>0.125</v>
      </c>
      <c r="M25" s="13">
        <f t="shared" si="48"/>
        <v>0.125</v>
      </c>
      <c r="N25" s="13">
        <f t="shared" si="48"/>
        <v>0.125</v>
      </c>
      <c r="O25" s="13">
        <f t="shared" si="48"/>
        <v>0.125</v>
      </c>
      <c r="P25" s="13">
        <f t="shared" si="48"/>
        <v>0.125</v>
      </c>
      <c r="Q25" s="13">
        <f t="shared" si="48"/>
        <v>0.125</v>
      </c>
      <c r="R25" s="13">
        <f t="shared" si="48"/>
        <v>0.125</v>
      </c>
      <c r="S25" s="13">
        <f t="shared" si="48"/>
        <v>0.125</v>
      </c>
      <c r="T25" s="13">
        <f t="shared" si="48"/>
        <v>0.125</v>
      </c>
      <c r="U25" s="13">
        <f t="shared" si="48"/>
        <v>0.125</v>
      </c>
      <c r="V25" s="13">
        <f t="shared" si="48"/>
        <v>0.125</v>
      </c>
      <c r="W25" s="13">
        <f t="shared" si="48"/>
        <v>0.125</v>
      </c>
      <c r="X25" s="13">
        <f t="shared" si="48"/>
        <v>0.125</v>
      </c>
      <c r="Y25" s="13">
        <f t="shared" si="48"/>
        <v>0.125</v>
      </c>
      <c r="Z25" s="13">
        <f t="shared" si="48"/>
        <v>0.125</v>
      </c>
      <c r="AA25" s="13">
        <f t="shared" si="48"/>
        <v>0.125</v>
      </c>
      <c r="AB25" s="13">
        <f t="shared" si="48"/>
        <v>0.125</v>
      </c>
      <c r="AC25" s="13">
        <f t="shared" si="48"/>
        <v>0.125</v>
      </c>
      <c r="AD25" s="13">
        <f t="shared" si="48"/>
        <v>0.125</v>
      </c>
      <c r="AE25" s="13">
        <f t="shared" si="48"/>
        <v>0.125</v>
      </c>
      <c r="AF25" s="13">
        <f t="shared" si="48"/>
        <v>0.125</v>
      </c>
      <c r="AG25" s="13">
        <f t="shared" si="48"/>
        <v>0.125</v>
      </c>
      <c r="AH25" s="13">
        <f t="shared" si="48"/>
        <v>0.125</v>
      </c>
      <c r="AI25" s="13">
        <f t="shared" si="48"/>
        <v>0.125</v>
      </c>
      <c r="AJ25" s="13">
        <f t="shared" si="48"/>
        <v>0.125</v>
      </c>
      <c r="AK25" s="13">
        <f t="shared" si="48"/>
        <v>0.125</v>
      </c>
      <c r="AL25" s="13">
        <f t="shared" si="48"/>
        <v>0.125</v>
      </c>
      <c r="AM25" s="13">
        <f t="shared" si="48"/>
        <v>0.125</v>
      </c>
      <c r="AN25" s="13">
        <f t="shared" si="48"/>
        <v>0.125</v>
      </c>
      <c r="AO25" s="13">
        <f t="shared" si="48"/>
        <v>0.125</v>
      </c>
      <c r="AP25" s="13">
        <f t="shared" si="48"/>
        <v>0.125</v>
      </c>
      <c r="AQ25" s="13">
        <f t="shared" si="48"/>
        <v>0.125</v>
      </c>
      <c r="AR25" s="13">
        <f t="shared" si="48"/>
        <v>0.125</v>
      </c>
      <c r="AS25" s="13">
        <f t="shared" si="48"/>
        <v>0.125</v>
      </c>
      <c r="AT25" s="13">
        <f t="shared" si="48"/>
        <v>0.125</v>
      </c>
      <c r="AU25" s="13">
        <f t="shared" si="48"/>
        <v>0.125</v>
      </c>
      <c r="AV25" s="13">
        <f t="shared" si="48"/>
        <v>0.125</v>
      </c>
      <c r="AW25" s="13">
        <f t="shared" si="48"/>
        <v>0.125</v>
      </c>
      <c r="AX25" s="13">
        <f t="shared" si="48"/>
        <v>0.125</v>
      </c>
      <c r="AY25" s="13">
        <f t="shared" si="48"/>
        <v>0.125</v>
      </c>
      <c r="AZ25" s="13">
        <f t="shared" si="48"/>
        <v>0.125</v>
      </c>
      <c r="BA25" s="13">
        <f t="shared" si="48"/>
        <v>0.125</v>
      </c>
      <c r="BB25" s="13">
        <f t="shared" si="48"/>
        <v>0.125</v>
      </c>
      <c r="BC25" s="13">
        <f t="shared" si="48"/>
        <v>0.125</v>
      </c>
      <c r="BD25" s="13">
        <f t="shared" si="48"/>
        <v>0.125</v>
      </c>
      <c r="BE25" s="13">
        <f t="shared" si="48"/>
        <v>0.125</v>
      </c>
      <c r="BF25" s="13">
        <f t="shared" si="48"/>
        <v>0.125</v>
      </c>
      <c r="BG25" s="13">
        <f t="shared" si="48"/>
        <v>0.125</v>
      </c>
      <c r="BH25" s="13">
        <f t="shared" si="48"/>
        <v>0.125</v>
      </c>
      <c r="BI25" s="13">
        <f t="shared" si="48"/>
        <v>0.125</v>
      </c>
      <c r="BJ25" s="13">
        <f t="shared" si="48"/>
        <v>0.125</v>
      </c>
      <c r="BK25" s="13">
        <f t="shared" si="48"/>
        <v>0.125</v>
      </c>
      <c r="BL25" s="13">
        <f t="shared" si="48"/>
        <v>0.125</v>
      </c>
      <c r="BM25" s="13">
        <f t="shared" si="48"/>
        <v>0.125</v>
      </c>
      <c r="BN25" s="13">
        <f t="shared" si="48"/>
        <v>0.125</v>
      </c>
      <c r="BO25" s="13">
        <f t="shared" si="48"/>
        <v>0.125</v>
      </c>
      <c r="BP25" s="13">
        <f t="shared" si="48"/>
        <v>0.125</v>
      </c>
      <c r="BQ25" s="13">
        <f t="shared" si="48"/>
        <v>0.125</v>
      </c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U25" s="13"/>
      <c r="DV25" s="13"/>
      <c r="DW25" s="13"/>
    </row>
    <row r="26" spans="4:127" x14ac:dyDescent="0.2">
      <c r="D26" s="2">
        <f>+ForwardLiborSimulation!D26</f>
        <v>5.25</v>
      </c>
      <c r="E26" s="10"/>
      <c r="F26" s="12" t="str">
        <f t="shared" si="17"/>
        <v>L(t;5,5.25)</v>
      </c>
      <c r="G26" s="13">
        <v>0.126</v>
      </c>
      <c r="H26" s="13">
        <v>0.127</v>
      </c>
      <c r="I26" s="13">
        <v>0.128</v>
      </c>
      <c r="J26" s="13">
        <f t="shared" ref="J26:BN26" si="49">+I26</f>
        <v>0.128</v>
      </c>
      <c r="K26" s="13">
        <f t="shared" si="49"/>
        <v>0.128</v>
      </c>
      <c r="L26" s="13">
        <f t="shared" si="49"/>
        <v>0.128</v>
      </c>
      <c r="M26" s="13">
        <f t="shared" si="49"/>
        <v>0.128</v>
      </c>
      <c r="N26" s="13">
        <f t="shared" si="49"/>
        <v>0.128</v>
      </c>
      <c r="O26" s="13">
        <f t="shared" si="49"/>
        <v>0.128</v>
      </c>
      <c r="P26" s="13">
        <f t="shared" si="49"/>
        <v>0.128</v>
      </c>
      <c r="Q26" s="13">
        <f t="shared" si="49"/>
        <v>0.128</v>
      </c>
      <c r="R26" s="13">
        <f t="shared" si="49"/>
        <v>0.128</v>
      </c>
      <c r="S26" s="13">
        <f t="shared" si="49"/>
        <v>0.128</v>
      </c>
      <c r="T26" s="13">
        <f t="shared" si="49"/>
        <v>0.128</v>
      </c>
      <c r="U26" s="13">
        <f t="shared" si="49"/>
        <v>0.128</v>
      </c>
      <c r="V26" s="13">
        <f t="shared" si="49"/>
        <v>0.128</v>
      </c>
      <c r="W26" s="13">
        <f t="shared" si="49"/>
        <v>0.128</v>
      </c>
      <c r="X26" s="13">
        <f t="shared" si="49"/>
        <v>0.128</v>
      </c>
      <c r="Y26" s="13">
        <f t="shared" si="49"/>
        <v>0.128</v>
      </c>
      <c r="Z26" s="13">
        <f t="shared" si="49"/>
        <v>0.128</v>
      </c>
      <c r="AA26" s="13">
        <f t="shared" si="49"/>
        <v>0.128</v>
      </c>
      <c r="AB26" s="13">
        <f t="shared" si="49"/>
        <v>0.128</v>
      </c>
      <c r="AC26" s="13">
        <f t="shared" si="49"/>
        <v>0.128</v>
      </c>
      <c r="AD26" s="13">
        <f t="shared" si="49"/>
        <v>0.128</v>
      </c>
      <c r="AE26" s="13">
        <f t="shared" si="49"/>
        <v>0.128</v>
      </c>
      <c r="AF26" s="13">
        <f t="shared" si="49"/>
        <v>0.128</v>
      </c>
      <c r="AG26" s="13">
        <f t="shared" si="49"/>
        <v>0.128</v>
      </c>
      <c r="AH26" s="13">
        <f t="shared" si="49"/>
        <v>0.128</v>
      </c>
      <c r="AI26" s="13">
        <f t="shared" si="49"/>
        <v>0.128</v>
      </c>
      <c r="AJ26" s="13">
        <f t="shared" si="49"/>
        <v>0.128</v>
      </c>
      <c r="AK26" s="13">
        <f t="shared" si="49"/>
        <v>0.128</v>
      </c>
      <c r="AL26" s="13">
        <f t="shared" si="49"/>
        <v>0.128</v>
      </c>
      <c r="AM26" s="13">
        <f t="shared" si="49"/>
        <v>0.128</v>
      </c>
      <c r="AN26" s="13">
        <f t="shared" si="49"/>
        <v>0.128</v>
      </c>
      <c r="AO26" s="13">
        <f t="shared" si="49"/>
        <v>0.128</v>
      </c>
      <c r="AP26" s="13">
        <f t="shared" si="49"/>
        <v>0.128</v>
      </c>
      <c r="AQ26" s="13">
        <f t="shared" si="49"/>
        <v>0.128</v>
      </c>
      <c r="AR26" s="13">
        <f t="shared" si="49"/>
        <v>0.128</v>
      </c>
      <c r="AS26" s="13">
        <f t="shared" si="49"/>
        <v>0.128</v>
      </c>
      <c r="AT26" s="13">
        <f t="shared" si="49"/>
        <v>0.128</v>
      </c>
      <c r="AU26" s="13">
        <f t="shared" si="49"/>
        <v>0.128</v>
      </c>
      <c r="AV26" s="13">
        <f t="shared" si="49"/>
        <v>0.128</v>
      </c>
      <c r="AW26" s="13">
        <f t="shared" si="49"/>
        <v>0.128</v>
      </c>
      <c r="AX26" s="13">
        <f t="shared" si="49"/>
        <v>0.128</v>
      </c>
      <c r="AY26" s="13">
        <f t="shared" si="49"/>
        <v>0.128</v>
      </c>
      <c r="AZ26" s="13">
        <f t="shared" si="49"/>
        <v>0.128</v>
      </c>
      <c r="BA26" s="13">
        <f t="shared" si="49"/>
        <v>0.128</v>
      </c>
      <c r="BB26" s="13">
        <f t="shared" si="49"/>
        <v>0.128</v>
      </c>
      <c r="BC26" s="13">
        <f t="shared" si="49"/>
        <v>0.128</v>
      </c>
      <c r="BD26" s="13">
        <f t="shared" si="49"/>
        <v>0.128</v>
      </c>
      <c r="BE26" s="13">
        <f t="shared" si="49"/>
        <v>0.128</v>
      </c>
      <c r="BF26" s="13">
        <f t="shared" si="49"/>
        <v>0.128</v>
      </c>
      <c r="BG26" s="13">
        <f t="shared" si="49"/>
        <v>0.128</v>
      </c>
      <c r="BH26" s="13">
        <f t="shared" si="49"/>
        <v>0.128</v>
      </c>
      <c r="BI26" s="13">
        <f t="shared" si="49"/>
        <v>0.128</v>
      </c>
      <c r="BJ26" s="13">
        <f t="shared" si="49"/>
        <v>0.128</v>
      </c>
      <c r="BK26" s="13">
        <f t="shared" si="49"/>
        <v>0.128</v>
      </c>
      <c r="BL26" s="13">
        <f t="shared" si="49"/>
        <v>0.128</v>
      </c>
      <c r="BM26" s="13">
        <f t="shared" si="49"/>
        <v>0.128</v>
      </c>
      <c r="BN26" s="13">
        <f t="shared" si="49"/>
        <v>0.128</v>
      </c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U26" s="13"/>
      <c r="DV26" s="13"/>
      <c r="DW26" s="13"/>
    </row>
    <row r="27" spans="4:127" x14ac:dyDescent="0.2">
      <c r="D27" s="2">
        <f>+ForwardLiborSimulation!D27</f>
        <v>5</v>
      </c>
      <c r="E27" s="10"/>
      <c r="F27" s="12" t="str">
        <f t="shared" si="17"/>
        <v>L(t;4.75,5)</v>
      </c>
      <c r="G27" s="13">
        <v>0.129</v>
      </c>
      <c r="H27" s="13">
        <v>0.13</v>
      </c>
      <c r="I27" s="13">
        <v>0.13100000000000001</v>
      </c>
      <c r="J27" s="13">
        <f t="shared" ref="J27:BK27" si="50">+I27</f>
        <v>0.13100000000000001</v>
      </c>
      <c r="K27" s="13">
        <f t="shared" si="50"/>
        <v>0.13100000000000001</v>
      </c>
      <c r="L27" s="13">
        <f t="shared" si="50"/>
        <v>0.13100000000000001</v>
      </c>
      <c r="M27" s="13">
        <f t="shared" si="50"/>
        <v>0.13100000000000001</v>
      </c>
      <c r="N27" s="13">
        <f t="shared" si="50"/>
        <v>0.13100000000000001</v>
      </c>
      <c r="O27" s="13">
        <f t="shared" si="50"/>
        <v>0.13100000000000001</v>
      </c>
      <c r="P27" s="13">
        <f t="shared" si="50"/>
        <v>0.13100000000000001</v>
      </c>
      <c r="Q27" s="13">
        <f t="shared" si="50"/>
        <v>0.13100000000000001</v>
      </c>
      <c r="R27" s="13">
        <f t="shared" si="50"/>
        <v>0.13100000000000001</v>
      </c>
      <c r="S27" s="13">
        <f t="shared" si="50"/>
        <v>0.13100000000000001</v>
      </c>
      <c r="T27" s="13">
        <f t="shared" si="50"/>
        <v>0.13100000000000001</v>
      </c>
      <c r="U27" s="13">
        <f t="shared" si="50"/>
        <v>0.13100000000000001</v>
      </c>
      <c r="V27" s="13">
        <f t="shared" si="50"/>
        <v>0.13100000000000001</v>
      </c>
      <c r="W27" s="13">
        <f t="shared" si="50"/>
        <v>0.13100000000000001</v>
      </c>
      <c r="X27" s="13">
        <f t="shared" si="50"/>
        <v>0.13100000000000001</v>
      </c>
      <c r="Y27" s="13">
        <f t="shared" si="50"/>
        <v>0.13100000000000001</v>
      </c>
      <c r="Z27" s="13">
        <f t="shared" si="50"/>
        <v>0.13100000000000001</v>
      </c>
      <c r="AA27" s="13">
        <f t="shared" si="50"/>
        <v>0.13100000000000001</v>
      </c>
      <c r="AB27" s="13">
        <f t="shared" si="50"/>
        <v>0.13100000000000001</v>
      </c>
      <c r="AC27" s="13">
        <f t="shared" si="50"/>
        <v>0.13100000000000001</v>
      </c>
      <c r="AD27" s="13">
        <f t="shared" si="50"/>
        <v>0.13100000000000001</v>
      </c>
      <c r="AE27" s="13">
        <f t="shared" si="50"/>
        <v>0.13100000000000001</v>
      </c>
      <c r="AF27" s="13">
        <f t="shared" si="50"/>
        <v>0.13100000000000001</v>
      </c>
      <c r="AG27" s="13">
        <f t="shared" si="50"/>
        <v>0.13100000000000001</v>
      </c>
      <c r="AH27" s="13">
        <f t="shared" si="50"/>
        <v>0.13100000000000001</v>
      </c>
      <c r="AI27" s="13">
        <f t="shared" si="50"/>
        <v>0.13100000000000001</v>
      </c>
      <c r="AJ27" s="13">
        <f t="shared" si="50"/>
        <v>0.13100000000000001</v>
      </c>
      <c r="AK27" s="13">
        <f t="shared" si="50"/>
        <v>0.13100000000000001</v>
      </c>
      <c r="AL27" s="13">
        <f t="shared" si="50"/>
        <v>0.13100000000000001</v>
      </c>
      <c r="AM27" s="13">
        <f t="shared" si="50"/>
        <v>0.13100000000000001</v>
      </c>
      <c r="AN27" s="13">
        <f t="shared" si="50"/>
        <v>0.13100000000000001</v>
      </c>
      <c r="AO27" s="13">
        <f t="shared" si="50"/>
        <v>0.13100000000000001</v>
      </c>
      <c r="AP27" s="13">
        <f t="shared" si="50"/>
        <v>0.13100000000000001</v>
      </c>
      <c r="AQ27" s="13">
        <f t="shared" si="50"/>
        <v>0.13100000000000001</v>
      </c>
      <c r="AR27" s="13">
        <f t="shared" si="50"/>
        <v>0.13100000000000001</v>
      </c>
      <c r="AS27" s="13">
        <f t="shared" si="50"/>
        <v>0.13100000000000001</v>
      </c>
      <c r="AT27" s="13">
        <f t="shared" si="50"/>
        <v>0.13100000000000001</v>
      </c>
      <c r="AU27" s="13">
        <f t="shared" si="50"/>
        <v>0.13100000000000001</v>
      </c>
      <c r="AV27" s="13">
        <f t="shared" si="50"/>
        <v>0.13100000000000001</v>
      </c>
      <c r="AW27" s="13">
        <f t="shared" si="50"/>
        <v>0.13100000000000001</v>
      </c>
      <c r="AX27" s="13">
        <f t="shared" si="50"/>
        <v>0.13100000000000001</v>
      </c>
      <c r="AY27" s="13">
        <f t="shared" si="50"/>
        <v>0.13100000000000001</v>
      </c>
      <c r="AZ27" s="13">
        <f t="shared" si="50"/>
        <v>0.13100000000000001</v>
      </c>
      <c r="BA27" s="13">
        <f t="shared" si="50"/>
        <v>0.13100000000000001</v>
      </c>
      <c r="BB27" s="13">
        <f t="shared" si="50"/>
        <v>0.13100000000000001</v>
      </c>
      <c r="BC27" s="13">
        <f t="shared" si="50"/>
        <v>0.13100000000000001</v>
      </c>
      <c r="BD27" s="13">
        <f t="shared" si="50"/>
        <v>0.13100000000000001</v>
      </c>
      <c r="BE27" s="13">
        <f t="shared" si="50"/>
        <v>0.13100000000000001</v>
      </c>
      <c r="BF27" s="13">
        <f t="shared" si="50"/>
        <v>0.13100000000000001</v>
      </c>
      <c r="BG27" s="13">
        <f t="shared" si="50"/>
        <v>0.13100000000000001</v>
      </c>
      <c r="BH27" s="13">
        <f t="shared" si="50"/>
        <v>0.13100000000000001</v>
      </c>
      <c r="BI27" s="13">
        <f t="shared" si="50"/>
        <v>0.13100000000000001</v>
      </c>
      <c r="BJ27" s="13">
        <f t="shared" si="50"/>
        <v>0.13100000000000001</v>
      </c>
      <c r="BK27" s="13">
        <f t="shared" si="50"/>
        <v>0.13100000000000001</v>
      </c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U27" s="13"/>
      <c r="DV27" s="13"/>
      <c r="DW27" s="13"/>
    </row>
    <row r="28" spans="4:127" x14ac:dyDescent="0.2">
      <c r="D28" s="2">
        <f>+ForwardLiborSimulation!D28</f>
        <v>4.75</v>
      </c>
      <c r="E28" s="10"/>
      <c r="F28" s="12" t="str">
        <f t="shared" si="17"/>
        <v>L(t;4.5,4.75)</v>
      </c>
      <c r="G28" s="13">
        <v>0.13200000000000001</v>
      </c>
      <c r="H28" s="13">
        <v>0.13300000000000001</v>
      </c>
      <c r="I28" s="13">
        <v>0.13400000000000001</v>
      </c>
      <c r="J28" s="13">
        <f t="shared" ref="J28:BH28" si="51">+I28</f>
        <v>0.13400000000000001</v>
      </c>
      <c r="K28" s="13">
        <f t="shared" si="51"/>
        <v>0.13400000000000001</v>
      </c>
      <c r="L28" s="13">
        <f t="shared" si="51"/>
        <v>0.13400000000000001</v>
      </c>
      <c r="M28" s="13">
        <f t="shared" si="51"/>
        <v>0.13400000000000001</v>
      </c>
      <c r="N28" s="13">
        <f t="shared" si="51"/>
        <v>0.13400000000000001</v>
      </c>
      <c r="O28" s="13">
        <f t="shared" si="51"/>
        <v>0.13400000000000001</v>
      </c>
      <c r="P28" s="13">
        <f t="shared" si="51"/>
        <v>0.13400000000000001</v>
      </c>
      <c r="Q28" s="13">
        <f t="shared" si="51"/>
        <v>0.13400000000000001</v>
      </c>
      <c r="R28" s="13">
        <f t="shared" si="51"/>
        <v>0.13400000000000001</v>
      </c>
      <c r="S28" s="13">
        <f t="shared" si="51"/>
        <v>0.13400000000000001</v>
      </c>
      <c r="T28" s="13">
        <f t="shared" si="51"/>
        <v>0.13400000000000001</v>
      </c>
      <c r="U28" s="13">
        <f t="shared" si="51"/>
        <v>0.13400000000000001</v>
      </c>
      <c r="V28" s="13">
        <f t="shared" si="51"/>
        <v>0.13400000000000001</v>
      </c>
      <c r="W28" s="13">
        <f t="shared" si="51"/>
        <v>0.13400000000000001</v>
      </c>
      <c r="X28" s="13">
        <f t="shared" si="51"/>
        <v>0.13400000000000001</v>
      </c>
      <c r="Y28" s="13">
        <f t="shared" si="51"/>
        <v>0.13400000000000001</v>
      </c>
      <c r="Z28" s="13">
        <f t="shared" si="51"/>
        <v>0.13400000000000001</v>
      </c>
      <c r="AA28" s="13">
        <f t="shared" si="51"/>
        <v>0.13400000000000001</v>
      </c>
      <c r="AB28" s="13">
        <f t="shared" si="51"/>
        <v>0.13400000000000001</v>
      </c>
      <c r="AC28" s="13">
        <f t="shared" si="51"/>
        <v>0.13400000000000001</v>
      </c>
      <c r="AD28" s="13">
        <f t="shared" si="51"/>
        <v>0.13400000000000001</v>
      </c>
      <c r="AE28" s="13">
        <f t="shared" si="51"/>
        <v>0.13400000000000001</v>
      </c>
      <c r="AF28" s="13">
        <f t="shared" si="51"/>
        <v>0.13400000000000001</v>
      </c>
      <c r="AG28" s="13">
        <f t="shared" si="51"/>
        <v>0.13400000000000001</v>
      </c>
      <c r="AH28" s="13">
        <f t="shared" si="51"/>
        <v>0.13400000000000001</v>
      </c>
      <c r="AI28" s="13">
        <f t="shared" si="51"/>
        <v>0.13400000000000001</v>
      </c>
      <c r="AJ28" s="13">
        <f t="shared" si="51"/>
        <v>0.13400000000000001</v>
      </c>
      <c r="AK28" s="13">
        <f t="shared" si="51"/>
        <v>0.13400000000000001</v>
      </c>
      <c r="AL28" s="13">
        <f t="shared" si="51"/>
        <v>0.13400000000000001</v>
      </c>
      <c r="AM28" s="13">
        <f t="shared" si="51"/>
        <v>0.13400000000000001</v>
      </c>
      <c r="AN28" s="13">
        <f t="shared" si="51"/>
        <v>0.13400000000000001</v>
      </c>
      <c r="AO28" s="13">
        <f t="shared" si="51"/>
        <v>0.13400000000000001</v>
      </c>
      <c r="AP28" s="13">
        <f t="shared" si="51"/>
        <v>0.13400000000000001</v>
      </c>
      <c r="AQ28" s="13">
        <f t="shared" si="51"/>
        <v>0.13400000000000001</v>
      </c>
      <c r="AR28" s="13">
        <f t="shared" si="51"/>
        <v>0.13400000000000001</v>
      </c>
      <c r="AS28" s="13">
        <f t="shared" si="51"/>
        <v>0.13400000000000001</v>
      </c>
      <c r="AT28" s="13">
        <f t="shared" si="51"/>
        <v>0.13400000000000001</v>
      </c>
      <c r="AU28" s="13">
        <f t="shared" si="51"/>
        <v>0.13400000000000001</v>
      </c>
      <c r="AV28" s="13">
        <f t="shared" si="51"/>
        <v>0.13400000000000001</v>
      </c>
      <c r="AW28" s="13">
        <f t="shared" si="51"/>
        <v>0.13400000000000001</v>
      </c>
      <c r="AX28" s="13">
        <f t="shared" si="51"/>
        <v>0.13400000000000001</v>
      </c>
      <c r="AY28" s="13">
        <f t="shared" si="51"/>
        <v>0.13400000000000001</v>
      </c>
      <c r="AZ28" s="13">
        <f t="shared" si="51"/>
        <v>0.13400000000000001</v>
      </c>
      <c r="BA28" s="13">
        <f t="shared" si="51"/>
        <v>0.13400000000000001</v>
      </c>
      <c r="BB28" s="13">
        <f t="shared" si="51"/>
        <v>0.13400000000000001</v>
      </c>
      <c r="BC28" s="13">
        <f t="shared" si="51"/>
        <v>0.13400000000000001</v>
      </c>
      <c r="BD28" s="13">
        <f t="shared" si="51"/>
        <v>0.13400000000000001</v>
      </c>
      <c r="BE28" s="13">
        <f t="shared" si="51"/>
        <v>0.13400000000000001</v>
      </c>
      <c r="BF28" s="13">
        <f t="shared" si="51"/>
        <v>0.13400000000000001</v>
      </c>
      <c r="BG28" s="13">
        <f t="shared" si="51"/>
        <v>0.13400000000000001</v>
      </c>
      <c r="BH28" s="13">
        <f t="shared" si="51"/>
        <v>0.13400000000000001</v>
      </c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U28" s="13"/>
      <c r="DV28" s="13"/>
      <c r="DW28" s="13"/>
    </row>
    <row r="29" spans="4:127" x14ac:dyDescent="0.2">
      <c r="D29" s="2">
        <f>+ForwardLiborSimulation!D29</f>
        <v>4.5</v>
      </c>
      <c r="E29" s="10"/>
      <c r="F29" s="12" t="str">
        <f t="shared" si="17"/>
        <v>L(t;4.25,4.5)</v>
      </c>
      <c r="G29" s="13">
        <v>0.13500000000000001</v>
      </c>
      <c r="H29" s="13">
        <v>0.13600000000000001</v>
      </c>
      <c r="I29" s="13">
        <v>0.13700000000000001</v>
      </c>
      <c r="J29" s="13">
        <f t="shared" ref="J29:BE29" si="52">+I29</f>
        <v>0.13700000000000001</v>
      </c>
      <c r="K29" s="13">
        <f t="shared" si="52"/>
        <v>0.13700000000000001</v>
      </c>
      <c r="L29" s="13">
        <f t="shared" si="52"/>
        <v>0.13700000000000001</v>
      </c>
      <c r="M29" s="13">
        <f t="shared" si="52"/>
        <v>0.13700000000000001</v>
      </c>
      <c r="N29" s="13">
        <f t="shared" si="52"/>
        <v>0.13700000000000001</v>
      </c>
      <c r="O29" s="13">
        <f t="shared" si="52"/>
        <v>0.13700000000000001</v>
      </c>
      <c r="P29" s="13">
        <f t="shared" si="52"/>
        <v>0.13700000000000001</v>
      </c>
      <c r="Q29" s="13">
        <f t="shared" si="52"/>
        <v>0.13700000000000001</v>
      </c>
      <c r="R29" s="13">
        <f t="shared" si="52"/>
        <v>0.13700000000000001</v>
      </c>
      <c r="S29" s="13">
        <f t="shared" si="52"/>
        <v>0.13700000000000001</v>
      </c>
      <c r="T29" s="13">
        <f t="shared" si="52"/>
        <v>0.13700000000000001</v>
      </c>
      <c r="U29" s="13">
        <f t="shared" si="52"/>
        <v>0.13700000000000001</v>
      </c>
      <c r="V29" s="13">
        <f t="shared" si="52"/>
        <v>0.13700000000000001</v>
      </c>
      <c r="W29" s="13">
        <f t="shared" si="52"/>
        <v>0.13700000000000001</v>
      </c>
      <c r="X29" s="13">
        <f t="shared" si="52"/>
        <v>0.13700000000000001</v>
      </c>
      <c r="Y29" s="13">
        <f t="shared" si="52"/>
        <v>0.13700000000000001</v>
      </c>
      <c r="Z29" s="13">
        <f t="shared" si="52"/>
        <v>0.13700000000000001</v>
      </c>
      <c r="AA29" s="13">
        <f t="shared" si="52"/>
        <v>0.13700000000000001</v>
      </c>
      <c r="AB29" s="13">
        <f t="shared" si="52"/>
        <v>0.13700000000000001</v>
      </c>
      <c r="AC29" s="13">
        <f t="shared" si="52"/>
        <v>0.13700000000000001</v>
      </c>
      <c r="AD29" s="13">
        <f t="shared" si="52"/>
        <v>0.13700000000000001</v>
      </c>
      <c r="AE29" s="13">
        <f t="shared" si="52"/>
        <v>0.13700000000000001</v>
      </c>
      <c r="AF29" s="13">
        <f t="shared" si="52"/>
        <v>0.13700000000000001</v>
      </c>
      <c r="AG29" s="13">
        <f t="shared" si="52"/>
        <v>0.13700000000000001</v>
      </c>
      <c r="AH29" s="13">
        <f t="shared" si="52"/>
        <v>0.13700000000000001</v>
      </c>
      <c r="AI29" s="13">
        <f t="shared" si="52"/>
        <v>0.13700000000000001</v>
      </c>
      <c r="AJ29" s="13">
        <f t="shared" si="52"/>
        <v>0.13700000000000001</v>
      </c>
      <c r="AK29" s="13">
        <f t="shared" si="52"/>
        <v>0.13700000000000001</v>
      </c>
      <c r="AL29" s="13">
        <f t="shared" si="52"/>
        <v>0.13700000000000001</v>
      </c>
      <c r="AM29" s="13">
        <f t="shared" si="52"/>
        <v>0.13700000000000001</v>
      </c>
      <c r="AN29" s="13">
        <f t="shared" si="52"/>
        <v>0.13700000000000001</v>
      </c>
      <c r="AO29" s="13">
        <f t="shared" si="52"/>
        <v>0.13700000000000001</v>
      </c>
      <c r="AP29" s="13">
        <f t="shared" si="52"/>
        <v>0.13700000000000001</v>
      </c>
      <c r="AQ29" s="13">
        <f t="shared" si="52"/>
        <v>0.13700000000000001</v>
      </c>
      <c r="AR29" s="13">
        <f t="shared" si="52"/>
        <v>0.13700000000000001</v>
      </c>
      <c r="AS29" s="13">
        <f t="shared" si="52"/>
        <v>0.13700000000000001</v>
      </c>
      <c r="AT29" s="13">
        <f t="shared" si="52"/>
        <v>0.13700000000000001</v>
      </c>
      <c r="AU29" s="13">
        <f t="shared" si="52"/>
        <v>0.13700000000000001</v>
      </c>
      <c r="AV29" s="13">
        <f t="shared" si="52"/>
        <v>0.13700000000000001</v>
      </c>
      <c r="AW29" s="13">
        <f t="shared" si="52"/>
        <v>0.13700000000000001</v>
      </c>
      <c r="AX29" s="13">
        <f t="shared" si="52"/>
        <v>0.13700000000000001</v>
      </c>
      <c r="AY29" s="13">
        <f t="shared" si="52"/>
        <v>0.13700000000000001</v>
      </c>
      <c r="AZ29" s="13">
        <f t="shared" si="52"/>
        <v>0.13700000000000001</v>
      </c>
      <c r="BA29" s="13">
        <f t="shared" si="52"/>
        <v>0.13700000000000001</v>
      </c>
      <c r="BB29" s="13">
        <f t="shared" si="52"/>
        <v>0.13700000000000001</v>
      </c>
      <c r="BC29" s="13">
        <f t="shared" si="52"/>
        <v>0.13700000000000001</v>
      </c>
      <c r="BD29" s="13">
        <f t="shared" si="52"/>
        <v>0.13700000000000001</v>
      </c>
      <c r="BE29" s="13">
        <f t="shared" si="52"/>
        <v>0.13700000000000001</v>
      </c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U29" s="13"/>
      <c r="DV29" s="13"/>
      <c r="DW29" s="13"/>
    </row>
    <row r="30" spans="4:127" x14ac:dyDescent="0.2">
      <c r="D30" s="2">
        <f>+ForwardLiborSimulation!D30</f>
        <v>4.25</v>
      </c>
      <c r="E30" s="10"/>
      <c r="F30" s="12" t="str">
        <f t="shared" si="17"/>
        <v>L(t;4,4.25)</v>
      </c>
      <c r="G30" s="13">
        <v>0.13800000000000001</v>
      </c>
      <c r="H30" s="13">
        <v>0.13900000000000001</v>
      </c>
      <c r="I30" s="13">
        <v>0.14000000000000001</v>
      </c>
      <c r="J30" s="13">
        <f t="shared" ref="J30:BB30" si="53">+I30</f>
        <v>0.14000000000000001</v>
      </c>
      <c r="K30" s="13">
        <f t="shared" si="53"/>
        <v>0.14000000000000001</v>
      </c>
      <c r="L30" s="13">
        <f t="shared" si="53"/>
        <v>0.14000000000000001</v>
      </c>
      <c r="M30" s="13">
        <f t="shared" si="53"/>
        <v>0.14000000000000001</v>
      </c>
      <c r="N30" s="13">
        <f t="shared" si="53"/>
        <v>0.14000000000000001</v>
      </c>
      <c r="O30" s="13">
        <f t="shared" si="53"/>
        <v>0.14000000000000001</v>
      </c>
      <c r="P30" s="13">
        <f t="shared" si="53"/>
        <v>0.14000000000000001</v>
      </c>
      <c r="Q30" s="13">
        <f t="shared" si="53"/>
        <v>0.14000000000000001</v>
      </c>
      <c r="R30" s="13">
        <f t="shared" si="53"/>
        <v>0.14000000000000001</v>
      </c>
      <c r="S30" s="13">
        <f t="shared" si="53"/>
        <v>0.14000000000000001</v>
      </c>
      <c r="T30" s="13">
        <f t="shared" si="53"/>
        <v>0.14000000000000001</v>
      </c>
      <c r="U30" s="13">
        <f t="shared" si="53"/>
        <v>0.14000000000000001</v>
      </c>
      <c r="V30" s="13">
        <f t="shared" si="53"/>
        <v>0.14000000000000001</v>
      </c>
      <c r="W30" s="13">
        <f t="shared" si="53"/>
        <v>0.14000000000000001</v>
      </c>
      <c r="X30" s="13">
        <f t="shared" si="53"/>
        <v>0.14000000000000001</v>
      </c>
      <c r="Y30" s="13">
        <f t="shared" si="53"/>
        <v>0.14000000000000001</v>
      </c>
      <c r="Z30" s="13">
        <f t="shared" si="53"/>
        <v>0.14000000000000001</v>
      </c>
      <c r="AA30" s="13">
        <f t="shared" si="53"/>
        <v>0.14000000000000001</v>
      </c>
      <c r="AB30" s="13">
        <f t="shared" si="53"/>
        <v>0.14000000000000001</v>
      </c>
      <c r="AC30" s="13">
        <f t="shared" si="53"/>
        <v>0.14000000000000001</v>
      </c>
      <c r="AD30" s="13">
        <f t="shared" si="53"/>
        <v>0.14000000000000001</v>
      </c>
      <c r="AE30" s="13">
        <f t="shared" si="53"/>
        <v>0.14000000000000001</v>
      </c>
      <c r="AF30" s="13">
        <f t="shared" si="53"/>
        <v>0.14000000000000001</v>
      </c>
      <c r="AG30" s="13">
        <f t="shared" si="53"/>
        <v>0.14000000000000001</v>
      </c>
      <c r="AH30" s="13">
        <f t="shared" si="53"/>
        <v>0.14000000000000001</v>
      </c>
      <c r="AI30" s="13">
        <f t="shared" si="53"/>
        <v>0.14000000000000001</v>
      </c>
      <c r="AJ30" s="13">
        <f t="shared" si="53"/>
        <v>0.14000000000000001</v>
      </c>
      <c r="AK30" s="13">
        <f t="shared" si="53"/>
        <v>0.14000000000000001</v>
      </c>
      <c r="AL30" s="13">
        <f t="shared" si="53"/>
        <v>0.14000000000000001</v>
      </c>
      <c r="AM30" s="13">
        <f t="shared" si="53"/>
        <v>0.14000000000000001</v>
      </c>
      <c r="AN30" s="13">
        <f t="shared" si="53"/>
        <v>0.14000000000000001</v>
      </c>
      <c r="AO30" s="13">
        <f t="shared" si="53"/>
        <v>0.14000000000000001</v>
      </c>
      <c r="AP30" s="13">
        <f t="shared" si="53"/>
        <v>0.14000000000000001</v>
      </c>
      <c r="AQ30" s="13">
        <f t="shared" si="53"/>
        <v>0.14000000000000001</v>
      </c>
      <c r="AR30" s="13">
        <f t="shared" si="53"/>
        <v>0.14000000000000001</v>
      </c>
      <c r="AS30" s="13">
        <f t="shared" si="53"/>
        <v>0.14000000000000001</v>
      </c>
      <c r="AT30" s="13">
        <f t="shared" si="53"/>
        <v>0.14000000000000001</v>
      </c>
      <c r="AU30" s="13">
        <f t="shared" si="53"/>
        <v>0.14000000000000001</v>
      </c>
      <c r="AV30" s="13">
        <f t="shared" si="53"/>
        <v>0.14000000000000001</v>
      </c>
      <c r="AW30" s="13">
        <f t="shared" si="53"/>
        <v>0.14000000000000001</v>
      </c>
      <c r="AX30" s="13">
        <f t="shared" si="53"/>
        <v>0.14000000000000001</v>
      </c>
      <c r="AY30" s="13">
        <f t="shared" si="53"/>
        <v>0.14000000000000001</v>
      </c>
      <c r="AZ30" s="13">
        <f t="shared" si="53"/>
        <v>0.14000000000000001</v>
      </c>
      <c r="BA30" s="13">
        <f t="shared" si="53"/>
        <v>0.14000000000000001</v>
      </c>
      <c r="BB30" s="13">
        <f t="shared" si="53"/>
        <v>0.14000000000000001</v>
      </c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U30" s="13"/>
      <c r="DV30" s="13"/>
      <c r="DW30" s="13"/>
    </row>
    <row r="31" spans="4:127" x14ac:dyDescent="0.2">
      <c r="D31" s="2">
        <f>+ForwardLiborSimulation!D31</f>
        <v>4</v>
      </c>
      <c r="E31" s="10"/>
      <c r="F31" s="12" t="str">
        <f t="shared" si="17"/>
        <v>L(t;3.75,4)</v>
      </c>
      <c r="G31" s="13">
        <v>0.14099999999999999</v>
      </c>
      <c r="H31" s="13">
        <v>0.14199999999999999</v>
      </c>
      <c r="I31" s="13">
        <v>0.14299999999999999</v>
      </c>
      <c r="J31" s="13">
        <f t="shared" ref="J31:AY31" si="54">+I31</f>
        <v>0.14299999999999999</v>
      </c>
      <c r="K31" s="13">
        <f t="shared" si="54"/>
        <v>0.14299999999999999</v>
      </c>
      <c r="L31" s="13">
        <f t="shared" si="54"/>
        <v>0.14299999999999999</v>
      </c>
      <c r="M31" s="13">
        <f t="shared" si="54"/>
        <v>0.14299999999999999</v>
      </c>
      <c r="N31" s="13">
        <f t="shared" si="54"/>
        <v>0.14299999999999999</v>
      </c>
      <c r="O31" s="13">
        <f t="shared" si="54"/>
        <v>0.14299999999999999</v>
      </c>
      <c r="P31" s="13">
        <f t="shared" si="54"/>
        <v>0.14299999999999999</v>
      </c>
      <c r="Q31" s="13">
        <f t="shared" si="54"/>
        <v>0.14299999999999999</v>
      </c>
      <c r="R31" s="13">
        <f t="shared" si="54"/>
        <v>0.14299999999999999</v>
      </c>
      <c r="S31" s="13">
        <f t="shared" si="54"/>
        <v>0.14299999999999999</v>
      </c>
      <c r="T31" s="13">
        <f t="shared" si="54"/>
        <v>0.14299999999999999</v>
      </c>
      <c r="U31" s="13">
        <f t="shared" si="54"/>
        <v>0.14299999999999999</v>
      </c>
      <c r="V31" s="13">
        <f t="shared" si="54"/>
        <v>0.14299999999999999</v>
      </c>
      <c r="W31" s="13">
        <f t="shared" si="54"/>
        <v>0.14299999999999999</v>
      </c>
      <c r="X31" s="13">
        <f t="shared" si="54"/>
        <v>0.14299999999999999</v>
      </c>
      <c r="Y31" s="13">
        <f t="shared" si="54"/>
        <v>0.14299999999999999</v>
      </c>
      <c r="Z31" s="13">
        <f t="shared" si="54"/>
        <v>0.14299999999999999</v>
      </c>
      <c r="AA31" s="13">
        <f t="shared" si="54"/>
        <v>0.14299999999999999</v>
      </c>
      <c r="AB31" s="13">
        <f t="shared" si="54"/>
        <v>0.14299999999999999</v>
      </c>
      <c r="AC31" s="13">
        <f t="shared" si="54"/>
        <v>0.14299999999999999</v>
      </c>
      <c r="AD31" s="13">
        <f t="shared" si="54"/>
        <v>0.14299999999999999</v>
      </c>
      <c r="AE31" s="13">
        <f t="shared" si="54"/>
        <v>0.14299999999999999</v>
      </c>
      <c r="AF31" s="13">
        <f t="shared" si="54"/>
        <v>0.14299999999999999</v>
      </c>
      <c r="AG31" s="13">
        <f t="shared" si="54"/>
        <v>0.14299999999999999</v>
      </c>
      <c r="AH31" s="13">
        <f t="shared" si="54"/>
        <v>0.14299999999999999</v>
      </c>
      <c r="AI31" s="13">
        <f t="shared" si="54"/>
        <v>0.14299999999999999</v>
      </c>
      <c r="AJ31" s="13">
        <f t="shared" si="54"/>
        <v>0.14299999999999999</v>
      </c>
      <c r="AK31" s="13">
        <f t="shared" si="54"/>
        <v>0.14299999999999999</v>
      </c>
      <c r="AL31" s="13">
        <f t="shared" si="54"/>
        <v>0.14299999999999999</v>
      </c>
      <c r="AM31" s="13">
        <f t="shared" si="54"/>
        <v>0.14299999999999999</v>
      </c>
      <c r="AN31" s="13">
        <f t="shared" si="54"/>
        <v>0.14299999999999999</v>
      </c>
      <c r="AO31" s="13">
        <f t="shared" si="54"/>
        <v>0.14299999999999999</v>
      </c>
      <c r="AP31" s="13">
        <f t="shared" si="54"/>
        <v>0.14299999999999999</v>
      </c>
      <c r="AQ31" s="13">
        <f t="shared" si="54"/>
        <v>0.14299999999999999</v>
      </c>
      <c r="AR31" s="13">
        <f t="shared" si="54"/>
        <v>0.14299999999999999</v>
      </c>
      <c r="AS31" s="13">
        <f t="shared" si="54"/>
        <v>0.14299999999999999</v>
      </c>
      <c r="AT31" s="13">
        <f t="shared" si="54"/>
        <v>0.14299999999999999</v>
      </c>
      <c r="AU31" s="13">
        <f t="shared" si="54"/>
        <v>0.14299999999999999</v>
      </c>
      <c r="AV31" s="13">
        <f t="shared" si="54"/>
        <v>0.14299999999999999</v>
      </c>
      <c r="AW31" s="13">
        <f t="shared" si="54"/>
        <v>0.14299999999999999</v>
      </c>
      <c r="AX31" s="13">
        <f t="shared" si="54"/>
        <v>0.14299999999999999</v>
      </c>
      <c r="AY31" s="13">
        <f t="shared" si="54"/>
        <v>0.14299999999999999</v>
      </c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U31" s="13"/>
      <c r="DV31" s="13"/>
      <c r="DW31" s="13"/>
    </row>
    <row r="32" spans="4:127" x14ac:dyDescent="0.2">
      <c r="D32" s="2">
        <f>+ForwardLiborSimulation!D32</f>
        <v>3.75</v>
      </c>
      <c r="E32" s="10"/>
      <c r="F32" s="12" t="str">
        <f t="shared" si="17"/>
        <v>L(t;3.5,3.75)</v>
      </c>
      <c r="G32" s="13">
        <v>0.14399999999999999</v>
      </c>
      <c r="H32" s="13">
        <v>0.14499999999999999</v>
      </c>
      <c r="I32" s="13">
        <v>0.14599999999999999</v>
      </c>
      <c r="J32" s="13">
        <f t="shared" ref="J32:AV32" si="55">+I32</f>
        <v>0.14599999999999999</v>
      </c>
      <c r="K32" s="13">
        <f t="shared" si="55"/>
        <v>0.14599999999999999</v>
      </c>
      <c r="L32" s="13">
        <f t="shared" si="55"/>
        <v>0.14599999999999999</v>
      </c>
      <c r="M32" s="13">
        <f t="shared" si="55"/>
        <v>0.14599999999999999</v>
      </c>
      <c r="N32" s="13">
        <f t="shared" si="55"/>
        <v>0.14599999999999999</v>
      </c>
      <c r="O32" s="13">
        <f t="shared" si="55"/>
        <v>0.14599999999999999</v>
      </c>
      <c r="P32" s="13">
        <f t="shared" si="55"/>
        <v>0.14599999999999999</v>
      </c>
      <c r="Q32" s="13">
        <f t="shared" si="55"/>
        <v>0.14599999999999999</v>
      </c>
      <c r="R32" s="13">
        <f t="shared" si="55"/>
        <v>0.14599999999999999</v>
      </c>
      <c r="S32" s="13">
        <f t="shared" si="55"/>
        <v>0.14599999999999999</v>
      </c>
      <c r="T32" s="13">
        <f t="shared" si="55"/>
        <v>0.14599999999999999</v>
      </c>
      <c r="U32" s="13">
        <f t="shared" si="55"/>
        <v>0.14599999999999999</v>
      </c>
      <c r="V32" s="13">
        <f t="shared" si="55"/>
        <v>0.14599999999999999</v>
      </c>
      <c r="W32" s="13">
        <f t="shared" si="55"/>
        <v>0.14599999999999999</v>
      </c>
      <c r="X32" s="13">
        <f t="shared" si="55"/>
        <v>0.14599999999999999</v>
      </c>
      <c r="Y32" s="13">
        <f t="shared" si="55"/>
        <v>0.14599999999999999</v>
      </c>
      <c r="Z32" s="13">
        <f t="shared" si="55"/>
        <v>0.14599999999999999</v>
      </c>
      <c r="AA32" s="13">
        <f t="shared" si="55"/>
        <v>0.14599999999999999</v>
      </c>
      <c r="AB32" s="13">
        <f t="shared" si="55"/>
        <v>0.14599999999999999</v>
      </c>
      <c r="AC32" s="13">
        <f t="shared" si="55"/>
        <v>0.14599999999999999</v>
      </c>
      <c r="AD32" s="13">
        <f t="shared" si="55"/>
        <v>0.14599999999999999</v>
      </c>
      <c r="AE32" s="13">
        <f t="shared" si="55"/>
        <v>0.14599999999999999</v>
      </c>
      <c r="AF32" s="13">
        <f t="shared" si="55"/>
        <v>0.14599999999999999</v>
      </c>
      <c r="AG32" s="13">
        <f t="shared" si="55"/>
        <v>0.14599999999999999</v>
      </c>
      <c r="AH32" s="13">
        <f t="shared" si="55"/>
        <v>0.14599999999999999</v>
      </c>
      <c r="AI32" s="13">
        <f t="shared" si="55"/>
        <v>0.14599999999999999</v>
      </c>
      <c r="AJ32" s="13">
        <f t="shared" si="55"/>
        <v>0.14599999999999999</v>
      </c>
      <c r="AK32" s="13">
        <f t="shared" si="55"/>
        <v>0.14599999999999999</v>
      </c>
      <c r="AL32" s="13">
        <f t="shared" si="55"/>
        <v>0.14599999999999999</v>
      </c>
      <c r="AM32" s="13">
        <f t="shared" si="55"/>
        <v>0.14599999999999999</v>
      </c>
      <c r="AN32" s="13">
        <f t="shared" si="55"/>
        <v>0.14599999999999999</v>
      </c>
      <c r="AO32" s="13">
        <f t="shared" si="55"/>
        <v>0.14599999999999999</v>
      </c>
      <c r="AP32" s="13">
        <f t="shared" si="55"/>
        <v>0.14599999999999999</v>
      </c>
      <c r="AQ32" s="13">
        <f t="shared" si="55"/>
        <v>0.14599999999999999</v>
      </c>
      <c r="AR32" s="13">
        <f t="shared" si="55"/>
        <v>0.14599999999999999</v>
      </c>
      <c r="AS32" s="13">
        <f t="shared" si="55"/>
        <v>0.14599999999999999</v>
      </c>
      <c r="AT32" s="13">
        <f t="shared" si="55"/>
        <v>0.14599999999999999</v>
      </c>
      <c r="AU32" s="13">
        <f t="shared" si="55"/>
        <v>0.14599999999999999</v>
      </c>
      <c r="AV32" s="13">
        <f t="shared" si="55"/>
        <v>0.14599999999999999</v>
      </c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U32" s="13"/>
      <c r="DV32" s="13"/>
      <c r="DW32" s="13"/>
    </row>
    <row r="33" spans="4:134" x14ac:dyDescent="0.2">
      <c r="D33" s="2">
        <f>+ForwardLiborSimulation!D33</f>
        <v>3.5</v>
      </c>
      <c r="E33" s="10"/>
      <c r="F33" s="12" t="str">
        <f t="shared" si="17"/>
        <v>L(t;3.25,3.5)</v>
      </c>
      <c r="G33" s="13">
        <v>0.14699999999999999</v>
      </c>
      <c r="H33" s="13">
        <v>0.14799999999999999</v>
      </c>
      <c r="I33" s="13">
        <v>0.14899999999999999</v>
      </c>
      <c r="J33" s="13">
        <f t="shared" ref="J33:AS33" si="56">+I33</f>
        <v>0.14899999999999999</v>
      </c>
      <c r="K33" s="13">
        <f t="shared" si="56"/>
        <v>0.14899999999999999</v>
      </c>
      <c r="L33" s="13">
        <f t="shared" si="56"/>
        <v>0.14899999999999999</v>
      </c>
      <c r="M33" s="13">
        <f t="shared" si="56"/>
        <v>0.14899999999999999</v>
      </c>
      <c r="N33" s="13">
        <f t="shared" si="56"/>
        <v>0.14899999999999999</v>
      </c>
      <c r="O33" s="13">
        <f t="shared" si="56"/>
        <v>0.14899999999999999</v>
      </c>
      <c r="P33" s="13">
        <f t="shared" si="56"/>
        <v>0.14899999999999999</v>
      </c>
      <c r="Q33" s="13">
        <f t="shared" si="56"/>
        <v>0.14899999999999999</v>
      </c>
      <c r="R33" s="13">
        <f t="shared" si="56"/>
        <v>0.14899999999999999</v>
      </c>
      <c r="S33" s="13">
        <f t="shared" si="56"/>
        <v>0.14899999999999999</v>
      </c>
      <c r="T33" s="13">
        <f t="shared" si="56"/>
        <v>0.14899999999999999</v>
      </c>
      <c r="U33" s="13">
        <f t="shared" si="56"/>
        <v>0.14899999999999999</v>
      </c>
      <c r="V33" s="13">
        <f t="shared" si="56"/>
        <v>0.14899999999999999</v>
      </c>
      <c r="W33" s="13">
        <f t="shared" si="56"/>
        <v>0.14899999999999999</v>
      </c>
      <c r="X33" s="13">
        <f t="shared" si="56"/>
        <v>0.14899999999999999</v>
      </c>
      <c r="Y33" s="13">
        <f t="shared" si="56"/>
        <v>0.14899999999999999</v>
      </c>
      <c r="Z33" s="13">
        <f t="shared" si="56"/>
        <v>0.14899999999999999</v>
      </c>
      <c r="AA33" s="13">
        <f t="shared" si="56"/>
        <v>0.14899999999999999</v>
      </c>
      <c r="AB33" s="13">
        <f t="shared" si="56"/>
        <v>0.14899999999999999</v>
      </c>
      <c r="AC33" s="13">
        <f t="shared" si="56"/>
        <v>0.14899999999999999</v>
      </c>
      <c r="AD33" s="13">
        <f t="shared" si="56"/>
        <v>0.14899999999999999</v>
      </c>
      <c r="AE33" s="13">
        <f t="shared" si="56"/>
        <v>0.14899999999999999</v>
      </c>
      <c r="AF33" s="13">
        <f t="shared" si="56"/>
        <v>0.14899999999999999</v>
      </c>
      <c r="AG33" s="13">
        <f t="shared" si="56"/>
        <v>0.14899999999999999</v>
      </c>
      <c r="AH33" s="13">
        <f t="shared" si="56"/>
        <v>0.14899999999999999</v>
      </c>
      <c r="AI33" s="13">
        <f t="shared" si="56"/>
        <v>0.14899999999999999</v>
      </c>
      <c r="AJ33" s="13">
        <f t="shared" si="56"/>
        <v>0.14899999999999999</v>
      </c>
      <c r="AK33" s="13">
        <f t="shared" si="56"/>
        <v>0.14899999999999999</v>
      </c>
      <c r="AL33" s="13">
        <f t="shared" si="56"/>
        <v>0.14899999999999999</v>
      </c>
      <c r="AM33" s="13">
        <f t="shared" si="56"/>
        <v>0.14899999999999999</v>
      </c>
      <c r="AN33" s="13">
        <f t="shared" si="56"/>
        <v>0.14899999999999999</v>
      </c>
      <c r="AO33" s="13">
        <f t="shared" si="56"/>
        <v>0.14899999999999999</v>
      </c>
      <c r="AP33" s="13">
        <f t="shared" si="56"/>
        <v>0.14899999999999999</v>
      </c>
      <c r="AQ33" s="13">
        <f t="shared" si="56"/>
        <v>0.14899999999999999</v>
      </c>
      <c r="AR33" s="13">
        <f t="shared" si="56"/>
        <v>0.14899999999999999</v>
      </c>
      <c r="AS33" s="13">
        <f t="shared" si="56"/>
        <v>0.14899999999999999</v>
      </c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U33" s="13"/>
      <c r="DV33" s="13"/>
      <c r="DW33" s="13"/>
    </row>
    <row r="34" spans="4:134" x14ac:dyDescent="0.2">
      <c r="D34" s="2">
        <f>+ForwardLiborSimulation!D34</f>
        <v>3.25</v>
      </c>
      <c r="E34" s="10"/>
      <c r="F34" s="12" t="str">
        <f t="shared" si="17"/>
        <v>L(t;3,3.25)</v>
      </c>
      <c r="G34" s="13">
        <v>0.15</v>
      </c>
      <c r="H34" s="13">
        <v>0.15</v>
      </c>
      <c r="I34" s="13">
        <v>0.15</v>
      </c>
      <c r="J34" s="13">
        <f t="shared" ref="J34:AP34" si="57">+I34</f>
        <v>0.15</v>
      </c>
      <c r="K34" s="13">
        <f t="shared" si="57"/>
        <v>0.15</v>
      </c>
      <c r="L34" s="13">
        <f t="shared" si="57"/>
        <v>0.15</v>
      </c>
      <c r="M34" s="13">
        <f t="shared" si="57"/>
        <v>0.15</v>
      </c>
      <c r="N34" s="13">
        <f t="shared" si="57"/>
        <v>0.15</v>
      </c>
      <c r="O34" s="13">
        <f t="shared" si="57"/>
        <v>0.15</v>
      </c>
      <c r="P34" s="13">
        <f t="shared" si="57"/>
        <v>0.15</v>
      </c>
      <c r="Q34" s="13">
        <f t="shared" si="57"/>
        <v>0.15</v>
      </c>
      <c r="R34" s="13">
        <f t="shared" si="57"/>
        <v>0.15</v>
      </c>
      <c r="S34" s="13">
        <f t="shared" si="57"/>
        <v>0.15</v>
      </c>
      <c r="T34" s="13">
        <f t="shared" si="57"/>
        <v>0.15</v>
      </c>
      <c r="U34" s="13">
        <f t="shared" si="57"/>
        <v>0.15</v>
      </c>
      <c r="V34" s="13">
        <f t="shared" si="57"/>
        <v>0.15</v>
      </c>
      <c r="W34" s="13">
        <f t="shared" si="57"/>
        <v>0.15</v>
      </c>
      <c r="X34" s="13">
        <f t="shared" si="57"/>
        <v>0.15</v>
      </c>
      <c r="Y34" s="13">
        <f t="shared" si="57"/>
        <v>0.15</v>
      </c>
      <c r="Z34" s="13">
        <f t="shared" si="57"/>
        <v>0.15</v>
      </c>
      <c r="AA34" s="13">
        <f t="shared" si="57"/>
        <v>0.15</v>
      </c>
      <c r="AB34" s="13">
        <f t="shared" si="57"/>
        <v>0.15</v>
      </c>
      <c r="AC34" s="13">
        <f t="shared" si="57"/>
        <v>0.15</v>
      </c>
      <c r="AD34" s="13">
        <f t="shared" si="57"/>
        <v>0.15</v>
      </c>
      <c r="AE34" s="13">
        <f t="shared" si="57"/>
        <v>0.15</v>
      </c>
      <c r="AF34" s="13">
        <f t="shared" si="57"/>
        <v>0.15</v>
      </c>
      <c r="AG34" s="13">
        <f t="shared" si="57"/>
        <v>0.15</v>
      </c>
      <c r="AH34" s="13">
        <f t="shared" si="57"/>
        <v>0.15</v>
      </c>
      <c r="AI34" s="13">
        <f t="shared" si="57"/>
        <v>0.15</v>
      </c>
      <c r="AJ34" s="13">
        <f t="shared" si="57"/>
        <v>0.15</v>
      </c>
      <c r="AK34" s="13">
        <f t="shared" si="57"/>
        <v>0.15</v>
      </c>
      <c r="AL34" s="13">
        <f t="shared" si="57"/>
        <v>0.15</v>
      </c>
      <c r="AM34" s="13">
        <f t="shared" si="57"/>
        <v>0.15</v>
      </c>
      <c r="AN34" s="13">
        <f t="shared" si="57"/>
        <v>0.15</v>
      </c>
      <c r="AO34" s="13">
        <f t="shared" si="57"/>
        <v>0.15</v>
      </c>
      <c r="AP34" s="13">
        <f t="shared" si="57"/>
        <v>0.15</v>
      </c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U34" s="13"/>
      <c r="DV34" s="13"/>
      <c r="DW34" s="13"/>
    </row>
    <row r="35" spans="4:134" x14ac:dyDescent="0.2">
      <c r="D35" s="2">
        <f>+ForwardLiborSimulation!D35</f>
        <v>3</v>
      </c>
      <c r="E35" s="10"/>
      <c r="F35" s="12" t="str">
        <f t="shared" si="17"/>
        <v>L(t;2.75,3)</v>
      </c>
      <c r="G35" s="13">
        <v>0.15</v>
      </c>
      <c r="H35" s="13">
        <v>0.15</v>
      </c>
      <c r="I35" s="13">
        <v>0.15</v>
      </c>
      <c r="J35" s="13">
        <f t="shared" ref="J35:AM35" si="58">+I35</f>
        <v>0.15</v>
      </c>
      <c r="K35" s="13">
        <f t="shared" si="58"/>
        <v>0.15</v>
      </c>
      <c r="L35" s="13">
        <f t="shared" si="58"/>
        <v>0.15</v>
      </c>
      <c r="M35" s="13">
        <f t="shared" si="58"/>
        <v>0.15</v>
      </c>
      <c r="N35" s="13">
        <f t="shared" si="58"/>
        <v>0.15</v>
      </c>
      <c r="O35" s="13">
        <f t="shared" si="58"/>
        <v>0.15</v>
      </c>
      <c r="P35" s="13">
        <f t="shared" si="58"/>
        <v>0.15</v>
      </c>
      <c r="Q35" s="13">
        <f t="shared" si="58"/>
        <v>0.15</v>
      </c>
      <c r="R35" s="13">
        <f t="shared" si="58"/>
        <v>0.15</v>
      </c>
      <c r="S35" s="13">
        <f t="shared" si="58"/>
        <v>0.15</v>
      </c>
      <c r="T35" s="13">
        <f t="shared" si="58"/>
        <v>0.15</v>
      </c>
      <c r="U35" s="13">
        <f t="shared" si="58"/>
        <v>0.15</v>
      </c>
      <c r="V35" s="13">
        <f t="shared" si="58"/>
        <v>0.15</v>
      </c>
      <c r="W35" s="13">
        <f t="shared" si="58"/>
        <v>0.15</v>
      </c>
      <c r="X35" s="13">
        <f t="shared" si="58"/>
        <v>0.15</v>
      </c>
      <c r="Y35" s="13">
        <f t="shared" si="58"/>
        <v>0.15</v>
      </c>
      <c r="Z35" s="13">
        <f t="shared" si="58"/>
        <v>0.15</v>
      </c>
      <c r="AA35" s="13">
        <f t="shared" si="58"/>
        <v>0.15</v>
      </c>
      <c r="AB35" s="13">
        <f t="shared" si="58"/>
        <v>0.15</v>
      </c>
      <c r="AC35" s="13">
        <f t="shared" si="58"/>
        <v>0.15</v>
      </c>
      <c r="AD35" s="13">
        <f t="shared" si="58"/>
        <v>0.15</v>
      </c>
      <c r="AE35" s="13">
        <f t="shared" si="58"/>
        <v>0.15</v>
      </c>
      <c r="AF35" s="13">
        <f t="shared" si="58"/>
        <v>0.15</v>
      </c>
      <c r="AG35" s="13">
        <f t="shared" si="58"/>
        <v>0.15</v>
      </c>
      <c r="AH35" s="13">
        <f t="shared" si="58"/>
        <v>0.15</v>
      </c>
      <c r="AI35" s="13">
        <f t="shared" si="58"/>
        <v>0.15</v>
      </c>
      <c r="AJ35" s="13">
        <f t="shared" si="58"/>
        <v>0.15</v>
      </c>
      <c r="AK35" s="13">
        <f t="shared" si="58"/>
        <v>0.15</v>
      </c>
      <c r="AL35" s="13">
        <f t="shared" si="58"/>
        <v>0.15</v>
      </c>
      <c r="AM35" s="13">
        <f t="shared" si="58"/>
        <v>0.15</v>
      </c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U35" s="13"/>
      <c r="DV35" s="13"/>
      <c r="DW35" s="13"/>
    </row>
    <row r="36" spans="4:134" x14ac:dyDescent="0.2">
      <c r="D36" s="2">
        <f>+ForwardLiborSimulation!D36</f>
        <v>2.75</v>
      </c>
      <c r="E36" s="10"/>
      <c r="F36" s="12" t="str">
        <f t="shared" si="17"/>
        <v>L(t;2.5,2.75)</v>
      </c>
      <c r="G36" s="13">
        <v>0.15</v>
      </c>
      <c r="H36" s="13">
        <v>0.15</v>
      </c>
      <c r="I36" s="13">
        <v>0.15</v>
      </c>
      <c r="J36" s="13">
        <f t="shared" ref="J36:AJ36" si="59">+I36</f>
        <v>0.15</v>
      </c>
      <c r="K36" s="13">
        <f t="shared" si="59"/>
        <v>0.15</v>
      </c>
      <c r="L36" s="13">
        <f t="shared" si="59"/>
        <v>0.15</v>
      </c>
      <c r="M36" s="13">
        <f t="shared" si="59"/>
        <v>0.15</v>
      </c>
      <c r="N36" s="13">
        <f t="shared" si="59"/>
        <v>0.15</v>
      </c>
      <c r="O36" s="13">
        <f t="shared" si="59"/>
        <v>0.15</v>
      </c>
      <c r="P36" s="13">
        <f t="shared" si="59"/>
        <v>0.15</v>
      </c>
      <c r="Q36" s="13">
        <f t="shared" si="59"/>
        <v>0.15</v>
      </c>
      <c r="R36" s="13">
        <f t="shared" si="59"/>
        <v>0.15</v>
      </c>
      <c r="S36" s="13">
        <f t="shared" si="59"/>
        <v>0.15</v>
      </c>
      <c r="T36" s="13">
        <f t="shared" si="59"/>
        <v>0.15</v>
      </c>
      <c r="U36" s="13">
        <f t="shared" si="59"/>
        <v>0.15</v>
      </c>
      <c r="V36" s="13">
        <f t="shared" si="59"/>
        <v>0.15</v>
      </c>
      <c r="W36" s="13">
        <f t="shared" si="59"/>
        <v>0.15</v>
      </c>
      <c r="X36" s="13">
        <f t="shared" si="59"/>
        <v>0.15</v>
      </c>
      <c r="Y36" s="13">
        <f t="shared" si="59"/>
        <v>0.15</v>
      </c>
      <c r="Z36" s="13">
        <f t="shared" si="59"/>
        <v>0.15</v>
      </c>
      <c r="AA36" s="13">
        <f t="shared" si="59"/>
        <v>0.15</v>
      </c>
      <c r="AB36" s="13">
        <f t="shared" si="59"/>
        <v>0.15</v>
      </c>
      <c r="AC36" s="13">
        <f t="shared" si="59"/>
        <v>0.15</v>
      </c>
      <c r="AD36" s="13">
        <f t="shared" si="59"/>
        <v>0.15</v>
      </c>
      <c r="AE36" s="13">
        <f t="shared" si="59"/>
        <v>0.15</v>
      </c>
      <c r="AF36" s="13">
        <f t="shared" si="59"/>
        <v>0.15</v>
      </c>
      <c r="AG36" s="13">
        <f t="shared" si="59"/>
        <v>0.15</v>
      </c>
      <c r="AH36" s="13">
        <f t="shared" si="59"/>
        <v>0.15</v>
      </c>
      <c r="AI36" s="13">
        <f t="shared" si="59"/>
        <v>0.15</v>
      </c>
      <c r="AJ36" s="13">
        <f t="shared" si="59"/>
        <v>0.15</v>
      </c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U36" s="13"/>
      <c r="DV36" s="13"/>
      <c r="DW36" s="13"/>
    </row>
    <row r="37" spans="4:134" x14ac:dyDescent="0.2">
      <c r="D37" s="2">
        <f>+ForwardLiborSimulation!D37</f>
        <v>2.5</v>
      </c>
      <c r="E37" s="10"/>
      <c r="F37" s="12" t="str">
        <f t="shared" si="17"/>
        <v>L(t;2.25,2.5)</v>
      </c>
      <c r="G37" s="13">
        <v>0.15</v>
      </c>
      <c r="H37" s="13">
        <v>0.15</v>
      </c>
      <c r="I37" s="13">
        <v>0.15</v>
      </c>
      <c r="J37" s="13">
        <f t="shared" ref="J37:AG37" si="60">+I37</f>
        <v>0.15</v>
      </c>
      <c r="K37" s="13">
        <f t="shared" si="60"/>
        <v>0.15</v>
      </c>
      <c r="L37" s="13">
        <f t="shared" si="60"/>
        <v>0.15</v>
      </c>
      <c r="M37" s="13">
        <f t="shared" si="60"/>
        <v>0.15</v>
      </c>
      <c r="N37" s="13">
        <f t="shared" si="60"/>
        <v>0.15</v>
      </c>
      <c r="O37" s="13">
        <f t="shared" si="60"/>
        <v>0.15</v>
      </c>
      <c r="P37" s="13">
        <f t="shared" si="60"/>
        <v>0.15</v>
      </c>
      <c r="Q37" s="13">
        <f t="shared" si="60"/>
        <v>0.15</v>
      </c>
      <c r="R37" s="13">
        <f t="shared" si="60"/>
        <v>0.15</v>
      </c>
      <c r="S37" s="13">
        <f t="shared" si="60"/>
        <v>0.15</v>
      </c>
      <c r="T37" s="13">
        <f t="shared" si="60"/>
        <v>0.15</v>
      </c>
      <c r="U37" s="13">
        <f t="shared" si="60"/>
        <v>0.15</v>
      </c>
      <c r="V37" s="13">
        <f t="shared" si="60"/>
        <v>0.15</v>
      </c>
      <c r="W37" s="13">
        <f t="shared" si="60"/>
        <v>0.15</v>
      </c>
      <c r="X37" s="13">
        <f t="shared" si="60"/>
        <v>0.15</v>
      </c>
      <c r="Y37" s="13">
        <f t="shared" si="60"/>
        <v>0.15</v>
      </c>
      <c r="Z37" s="13">
        <f t="shared" si="60"/>
        <v>0.15</v>
      </c>
      <c r="AA37" s="13">
        <f t="shared" si="60"/>
        <v>0.15</v>
      </c>
      <c r="AB37" s="13">
        <f t="shared" si="60"/>
        <v>0.15</v>
      </c>
      <c r="AC37" s="13">
        <f t="shared" si="60"/>
        <v>0.15</v>
      </c>
      <c r="AD37" s="13">
        <f t="shared" si="60"/>
        <v>0.15</v>
      </c>
      <c r="AE37" s="13">
        <f t="shared" si="60"/>
        <v>0.15</v>
      </c>
      <c r="AF37" s="13">
        <f t="shared" si="60"/>
        <v>0.15</v>
      </c>
      <c r="AG37" s="13">
        <f t="shared" si="60"/>
        <v>0.15</v>
      </c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U37" s="13"/>
      <c r="DV37" s="13"/>
      <c r="DW37" s="13"/>
    </row>
    <row r="38" spans="4:134" x14ac:dyDescent="0.2">
      <c r="D38" s="2">
        <f>+ForwardLiborSimulation!D38</f>
        <v>2.25</v>
      </c>
      <c r="E38" s="10"/>
      <c r="F38" s="12" t="str">
        <f t="shared" si="17"/>
        <v>L(t;2,2.25)</v>
      </c>
      <c r="G38" s="13">
        <v>0.14799999999999999</v>
      </c>
      <c r="H38" s="13">
        <v>0.14599999999999999</v>
      </c>
      <c r="I38" s="13">
        <v>0.14399999999999999</v>
      </c>
      <c r="J38" s="13">
        <f t="shared" ref="J38:AD38" si="61">+I38</f>
        <v>0.14399999999999999</v>
      </c>
      <c r="K38" s="13">
        <f t="shared" si="61"/>
        <v>0.14399999999999999</v>
      </c>
      <c r="L38" s="13">
        <f t="shared" si="61"/>
        <v>0.14399999999999999</v>
      </c>
      <c r="M38" s="13">
        <f t="shared" si="61"/>
        <v>0.14399999999999999</v>
      </c>
      <c r="N38" s="13">
        <f t="shared" si="61"/>
        <v>0.14399999999999999</v>
      </c>
      <c r="O38" s="13">
        <f t="shared" si="61"/>
        <v>0.14399999999999999</v>
      </c>
      <c r="P38" s="13">
        <f t="shared" si="61"/>
        <v>0.14399999999999999</v>
      </c>
      <c r="Q38" s="13">
        <f t="shared" si="61"/>
        <v>0.14399999999999999</v>
      </c>
      <c r="R38" s="13">
        <f t="shared" si="61"/>
        <v>0.14399999999999999</v>
      </c>
      <c r="S38" s="13">
        <f t="shared" si="61"/>
        <v>0.14399999999999999</v>
      </c>
      <c r="T38" s="13">
        <f t="shared" si="61"/>
        <v>0.14399999999999999</v>
      </c>
      <c r="U38" s="13">
        <f t="shared" si="61"/>
        <v>0.14399999999999999</v>
      </c>
      <c r="V38" s="13">
        <f t="shared" si="61"/>
        <v>0.14399999999999999</v>
      </c>
      <c r="W38" s="13">
        <f t="shared" si="61"/>
        <v>0.14399999999999999</v>
      </c>
      <c r="X38" s="13">
        <f t="shared" si="61"/>
        <v>0.14399999999999999</v>
      </c>
      <c r="Y38" s="13">
        <f t="shared" si="61"/>
        <v>0.14399999999999999</v>
      </c>
      <c r="Z38" s="13">
        <f t="shared" si="61"/>
        <v>0.14399999999999999</v>
      </c>
      <c r="AA38" s="13">
        <f t="shared" si="61"/>
        <v>0.14399999999999999</v>
      </c>
      <c r="AB38" s="13">
        <f t="shared" si="61"/>
        <v>0.14399999999999999</v>
      </c>
      <c r="AC38" s="13">
        <f t="shared" si="61"/>
        <v>0.14399999999999999</v>
      </c>
      <c r="AD38" s="13">
        <f t="shared" si="61"/>
        <v>0.14399999999999999</v>
      </c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U38" s="13"/>
      <c r="DV38" s="13"/>
      <c r="DW38" s="13"/>
    </row>
    <row r="39" spans="4:134" x14ac:dyDescent="0.2">
      <c r="D39" s="2">
        <f>+ForwardLiborSimulation!D39</f>
        <v>2</v>
      </c>
      <c r="E39" s="10"/>
      <c r="F39" s="12" t="str">
        <f t="shared" si="17"/>
        <v>L(t;1.75,2)</v>
      </c>
      <c r="G39" s="13">
        <v>0.14199999999999999</v>
      </c>
      <c r="H39" s="13">
        <v>0.14000000000000001</v>
      </c>
      <c r="I39" s="13">
        <v>0.13800000000000001</v>
      </c>
      <c r="J39" s="13">
        <f t="shared" ref="J39:AA39" si="62">+I39</f>
        <v>0.13800000000000001</v>
      </c>
      <c r="K39" s="13">
        <f t="shared" si="62"/>
        <v>0.13800000000000001</v>
      </c>
      <c r="L39" s="13">
        <f t="shared" si="62"/>
        <v>0.13800000000000001</v>
      </c>
      <c r="M39" s="13">
        <f t="shared" si="62"/>
        <v>0.13800000000000001</v>
      </c>
      <c r="N39" s="13">
        <f t="shared" si="62"/>
        <v>0.13800000000000001</v>
      </c>
      <c r="O39" s="13">
        <f t="shared" si="62"/>
        <v>0.13800000000000001</v>
      </c>
      <c r="P39" s="13">
        <f t="shared" si="62"/>
        <v>0.13800000000000001</v>
      </c>
      <c r="Q39" s="13">
        <f t="shared" si="62"/>
        <v>0.13800000000000001</v>
      </c>
      <c r="R39" s="13">
        <f t="shared" si="62"/>
        <v>0.13800000000000001</v>
      </c>
      <c r="S39" s="13">
        <f t="shared" si="62"/>
        <v>0.13800000000000001</v>
      </c>
      <c r="T39" s="13">
        <f t="shared" si="62"/>
        <v>0.13800000000000001</v>
      </c>
      <c r="U39" s="13">
        <f t="shared" si="62"/>
        <v>0.13800000000000001</v>
      </c>
      <c r="V39" s="13">
        <f t="shared" si="62"/>
        <v>0.13800000000000001</v>
      </c>
      <c r="W39" s="13">
        <f t="shared" si="62"/>
        <v>0.13800000000000001</v>
      </c>
      <c r="X39" s="13">
        <f t="shared" si="62"/>
        <v>0.13800000000000001</v>
      </c>
      <c r="Y39" s="13">
        <f t="shared" si="62"/>
        <v>0.13800000000000001</v>
      </c>
      <c r="Z39" s="13">
        <f t="shared" si="62"/>
        <v>0.13800000000000001</v>
      </c>
      <c r="AA39" s="13">
        <f t="shared" si="62"/>
        <v>0.13800000000000001</v>
      </c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U39" s="13"/>
      <c r="DV39" s="13"/>
      <c r="DW39" s="13"/>
    </row>
    <row r="40" spans="4:134" x14ac:dyDescent="0.2">
      <c r="D40" s="2">
        <f>+ForwardLiborSimulation!D40</f>
        <v>1.75</v>
      </c>
      <c r="E40" s="10"/>
      <c r="F40" s="12" t="str">
        <f t="shared" si="17"/>
        <v>L(t;1.5,1.75)</v>
      </c>
      <c r="G40" s="13">
        <v>0.13600000000000001</v>
      </c>
      <c r="H40" s="13">
        <v>0.13400000000000001</v>
      </c>
      <c r="I40" s="13">
        <v>0.13200000000000001</v>
      </c>
      <c r="J40" s="13">
        <f t="shared" ref="J40:X40" si="63">+I40</f>
        <v>0.13200000000000001</v>
      </c>
      <c r="K40" s="13">
        <f t="shared" si="63"/>
        <v>0.13200000000000001</v>
      </c>
      <c r="L40" s="13">
        <f t="shared" si="63"/>
        <v>0.13200000000000001</v>
      </c>
      <c r="M40" s="13">
        <f t="shared" si="63"/>
        <v>0.13200000000000001</v>
      </c>
      <c r="N40" s="13">
        <f t="shared" si="63"/>
        <v>0.13200000000000001</v>
      </c>
      <c r="O40" s="13">
        <f t="shared" si="63"/>
        <v>0.13200000000000001</v>
      </c>
      <c r="P40" s="13">
        <f t="shared" si="63"/>
        <v>0.13200000000000001</v>
      </c>
      <c r="Q40" s="13">
        <f t="shared" si="63"/>
        <v>0.13200000000000001</v>
      </c>
      <c r="R40" s="13">
        <f t="shared" si="63"/>
        <v>0.13200000000000001</v>
      </c>
      <c r="S40" s="13">
        <f t="shared" si="63"/>
        <v>0.13200000000000001</v>
      </c>
      <c r="T40" s="13">
        <f t="shared" si="63"/>
        <v>0.13200000000000001</v>
      </c>
      <c r="U40" s="13">
        <f t="shared" si="63"/>
        <v>0.13200000000000001</v>
      </c>
      <c r="V40" s="13">
        <f t="shared" si="63"/>
        <v>0.13200000000000001</v>
      </c>
      <c r="W40" s="13">
        <f t="shared" si="63"/>
        <v>0.13200000000000001</v>
      </c>
      <c r="X40" s="13">
        <f t="shared" si="63"/>
        <v>0.13200000000000001</v>
      </c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U40" s="13"/>
      <c r="DV40" s="13"/>
      <c r="DW40" s="13"/>
    </row>
    <row r="41" spans="4:134" x14ac:dyDescent="0.2">
      <c r="D41" s="2">
        <f>+ForwardLiborSimulation!D41</f>
        <v>1.5</v>
      </c>
      <c r="E41" s="10"/>
      <c r="F41" s="12" t="str">
        <f t="shared" si="17"/>
        <v>L(t;1.25,1.5)</v>
      </c>
      <c r="G41" s="13">
        <v>0.13</v>
      </c>
      <c r="H41" s="13">
        <v>0.128</v>
      </c>
      <c r="I41" s="13">
        <v>0.126</v>
      </c>
      <c r="J41" s="13">
        <f t="shared" ref="J41:U41" si="64">+I41</f>
        <v>0.126</v>
      </c>
      <c r="K41" s="13">
        <f t="shared" si="64"/>
        <v>0.126</v>
      </c>
      <c r="L41" s="13">
        <f t="shared" si="64"/>
        <v>0.126</v>
      </c>
      <c r="M41" s="13">
        <f t="shared" si="64"/>
        <v>0.126</v>
      </c>
      <c r="N41" s="13">
        <f t="shared" si="64"/>
        <v>0.126</v>
      </c>
      <c r="O41" s="13">
        <f t="shared" si="64"/>
        <v>0.126</v>
      </c>
      <c r="P41" s="13">
        <f t="shared" si="64"/>
        <v>0.126</v>
      </c>
      <c r="Q41" s="13">
        <f t="shared" si="64"/>
        <v>0.126</v>
      </c>
      <c r="R41" s="13">
        <f t="shared" si="64"/>
        <v>0.126</v>
      </c>
      <c r="S41" s="13">
        <f t="shared" si="64"/>
        <v>0.126</v>
      </c>
      <c r="T41" s="13">
        <f t="shared" si="64"/>
        <v>0.126</v>
      </c>
      <c r="U41" s="13">
        <f t="shared" si="64"/>
        <v>0.126</v>
      </c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U41" s="13"/>
      <c r="DV41" s="13"/>
      <c r="DW41" s="13"/>
    </row>
    <row r="42" spans="4:134" x14ac:dyDescent="0.2">
      <c r="D42" s="2">
        <f>+ForwardLiborSimulation!D42</f>
        <v>1.25</v>
      </c>
      <c r="E42" s="10"/>
      <c r="F42" s="12" t="str">
        <f t="shared" si="17"/>
        <v>L(t;1,1.25)</v>
      </c>
      <c r="G42" s="13">
        <v>0.124</v>
      </c>
      <c r="H42" s="13">
        <v>0.122</v>
      </c>
      <c r="I42" s="13">
        <v>0.12</v>
      </c>
      <c r="J42" s="13">
        <f t="shared" ref="J42:R42" si="65">+I42</f>
        <v>0.12</v>
      </c>
      <c r="K42" s="13">
        <f t="shared" si="65"/>
        <v>0.12</v>
      </c>
      <c r="L42" s="13">
        <f t="shared" si="65"/>
        <v>0.12</v>
      </c>
      <c r="M42" s="13">
        <f t="shared" si="65"/>
        <v>0.12</v>
      </c>
      <c r="N42" s="13">
        <f t="shared" si="65"/>
        <v>0.12</v>
      </c>
      <c r="O42" s="13">
        <f t="shared" si="65"/>
        <v>0.12</v>
      </c>
      <c r="P42" s="13">
        <f t="shared" si="65"/>
        <v>0.12</v>
      </c>
      <c r="Q42" s="13">
        <f t="shared" si="65"/>
        <v>0.12</v>
      </c>
      <c r="R42" s="13">
        <f t="shared" si="65"/>
        <v>0.12</v>
      </c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U42" s="13"/>
      <c r="DV42" s="13"/>
      <c r="DW42" s="13"/>
    </row>
    <row r="43" spans="4:134" x14ac:dyDescent="0.2">
      <c r="D43" s="2">
        <f>+ForwardLiborSimulation!D43</f>
        <v>1</v>
      </c>
      <c r="E43" s="10"/>
      <c r="F43" s="12" t="str">
        <f t="shared" si="17"/>
        <v>L(t;0.75,1)</v>
      </c>
      <c r="G43" s="13">
        <v>0.11799999999999999</v>
      </c>
      <c r="H43" s="13">
        <v>0.11600000000000001</v>
      </c>
      <c r="I43" s="13">
        <v>0.114</v>
      </c>
      <c r="J43" s="13">
        <f t="shared" ref="J43:O43" si="66">+I43</f>
        <v>0.114</v>
      </c>
      <c r="K43" s="13">
        <f t="shared" si="66"/>
        <v>0.114</v>
      </c>
      <c r="L43" s="13">
        <f t="shared" si="66"/>
        <v>0.114</v>
      </c>
      <c r="M43" s="13">
        <f t="shared" si="66"/>
        <v>0.114</v>
      </c>
      <c r="N43" s="13">
        <f t="shared" si="66"/>
        <v>0.114</v>
      </c>
      <c r="O43" s="13">
        <f t="shared" si="66"/>
        <v>0.114</v>
      </c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U43" s="13"/>
      <c r="DV43" s="13"/>
      <c r="DW43" s="13"/>
    </row>
    <row r="44" spans="4:134" x14ac:dyDescent="0.2">
      <c r="D44" s="2">
        <f>+ForwardLiborSimulation!D44</f>
        <v>0.75</v>
      </c>
      <c r="E44" s="10"/>
      <c r="F44" s="12" t="str">
        <f t="shared" si="17"/>
        <v>L(t;0.5,0.75)</v>
      </c>
      <c r="G44" s="13">
        <v>0.112</v>
      </c>
      <c r="H44" s="13">
        <v>0.11</v>
      </c>
      <c r="I44" s="13">
        <v>0.108</v>
      </c>
      <c r="J44" s="13">
        <f t="shared" ref="J44:L44" si="67">+I44</f>
        <v>0.108</v>
      </c>
      <c r="K44" s="13">
        <f t="shared" si="67"/>
        <v>0.108</v>
      </c>
      <c r="L44" s="13">
        <f t="shared" si="67"/>
        <v>0.108</v>
      </c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U44" s="13"/>
      <c r="DV44" s="13"/>
      <c r="DW44" s="13"/>
    </row>
    <row r="45" spans="4:134" x14ac:dyDescent="0.2">
      <c r="D45" s="2">
        <f>+ForwardLiborSimulation!D45</f>
        <v>0.5</v>
      </c>
      <c r="E45" s="10"/>
      <c r="F45" s="12" t="str">
        <f t="shared" si="17"/>
        <v>L(t;0.25,0.5)</v>
      </c>
      <c r="G45" s="13">
        <v>0.106</v>
      </c>
      <c r="H45" s="13">
        <v>0.104</v>
      </c>
      <c r="I45" s="13">
        <v>0.10199999999999999</v>
      </c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U45" s="13"/>
      <c r="DV45" s="13"/>
      <c r="DW45" s="13"/>
    </row>
    <row r="46" spans="4:134" x14ac:dyDescent="0.2">
      <c r="D46" s="2">
        <f>+ForwardLiborSimulation!D46</f>
        <v>0.25</v>
      </c>
      <c r="E46" s="10"/>
      <c r="F46" s="12" t="str">
        <f t="shared" si="17"/>
        <v>L(t;0,0.25)</v>
      </c>
      <c r="G46" s="14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</row>
    <row r="47" spans="4:134" s="9" customFormat="1" x14ac:dyDescent="0.2">
      <c r="D47" s="2">
        <f>+ForwardLiborSimulation!D47</f>
        <v>0</v>
      </c>
      <c r="E47" s="10"/>
      <c r="F47" s="11" t="s">
        <v>6</v>
      </c>
      <c r="G47" s="8">
        <f>+ForwardLiborSimulation!G47</f>
        <v>0</v>
      </c>
      <c r="H47" s="8">
        <f>+ForwardLiborSimulation!H47</f>
        <v>8.3333333333333329E-2</v>
      </c>
      <c r="I47" s="8">
        <f>+ForwardLiborSimulation!I47</f>
        <v>0.16666666666666666</v>
      </c>
      <c r="J47" s="8">
        <f>+ForwardLiborSimulation!J47</f>
        <v>0.25</v>
      </c>
      <c r="K47" s="8">
        <f>+ForwardLiborSimulation!K47</f>
        <v>0.33333333333333331</v>
      </c>
      <c r="L47" s="8">
        <f>+ForwardLiborSimulation!L47</f>
        <v>0.41666666666666663</v>
      </c>
      <c r="M47" s="8">
        <f>+ForwardLiborSimulation!M47</f>
        <v>0.49999999999999994</v>
      </c>
      <c r="N47" s="8">
        <f>+ForwardLiborSimulation!N47</f>
        <v>0.58333333333333326</v>
      </c>
      <c r="O47" s="8">
        <f>+ForwardLiborSimulation!O47</f>
        <v>0.66666666666666663</v>
      </c>
      <c r="P47" s="8">
        <f>+ForwardLiborSimulation!P47</f>
        <v>0.75</v>
      </c>
      <c r="Q47" s="8">
        <f>+ForwardLiborSimulation!Q47</f>
        <v>0.83333333333333337</v>
      </c>
      <c r="R47" s="8">
        <f>+ForwardLiborSimulation!R47</f>
        <v>0.91666666666666674</v>
      </c>
      <c r="S47" s="8">
        <f>+ForwardLiborSimulation!S47</f>
        <v>1</v>
      </c>
      <c r="T47" s="8">
        <f>+ForwardLiborSimulation!T47</f>
        <v>1.0833333333333333</v>
      </c>
      <c r="U47" s="8">
        <f>+ForwardLiborSimulation!U47</f>
        <v>1.1666666666666665</v>
      </c>
      <c r="V47" s="8">
        <f>+ForwardLiborSimulation!V47</f>
        <v>1.2499999999999998</v>
      </c>
      <c r="W47" s="8">
        <f>+ForwardLiborSimulation!W47</f>
        <v>1.333333333333333</v>
      </c>
      <c r="X47" s="8">
        <f>+ForwardLiborSimulation!X47</f>
        <v>1.4166666666666663</v>
      </c>
      <c r="Y47" s="8">
        <f>+ForwardLiborSimulation!Y47</f>
        <v>1.4999999999999996</v>
      </c>
      <c r="Z47" s="8">
        <f>+ForwardLiborSimulation!Z47</f>
        <v>1.5833333333333328</v>
      </c>
      <c r="AA47" s="8">
        <f>+ForwardLiborSimulation!AA47</f>
        <v>1.6666666666666661</v>
      </c>
      <c r="AB47" s="8">
        <f>+ForwardLiborSimulation!AB47</f>
        <v>1.7499999999999993</v>
      </c>
      <c r="AC47" s="8">
        <f>+ForwardLiborSimulation!AC47</f>
        <v>1.8333333333333326</v>
      </c>
      <c r="AD47" s="8">
        <f>+ForwardLiborSimulation!AD47</f>
        <v>1.9166666666666659</v>
      </c>
      <c r="AE47" s="8">
        <f>+ForwardLiborSimulation!AE47</f>
        <v>1.9999999999999991</v>
      </c>
      <c r="AF47" s="8">
        <f>+ForwardLiborSimulation!AF47</f>
        <v>2.0833333333333326</v>
      </c>
      <c r="AG47" s="8">
        <f>+ForwardLiborSimulation!AG47</f>
        <v>2.1666666666666661</v>
      </c>
      <c r="AH47" s="8">
        <f>+ForwardLiborSimulation!AH47</f>
        <v>2.2499999999999996</v>
      </c>
      <c r="AI47" s="8">
        <f>+ForwardLiborSimulation!AI47</f>
        <v>2.333333333333333</v>
      </c>
      <c r="AJ47" s="8">
        <f>+ForwardLiborSimulation!AJ47</f>
        <v>2.4166666666666665</v>
      </c>
      <c r="AK47" s="8">
        <f>+ForwardLiborSimulation!AK47</f>
        <v>2.5</v>
      </c>
      <c r="AL47" s="8">
        <f>+ForwardLiborSimulation!AL47</f>
        <v>2.5833333333333335</v>
      </c>
      <c r="AM47" s="8">
        <f>+ForwardLiborSimulation!AM47</f>
        <v>2.666666666666667</v>
      </c>
      <c r="AN47" s="8">
        <f>+ForwardLiborSimulation!AN47</f>
        <v>2.7500000000000004</v>
      </c>
      <c r="AO47" s="8">
        <f>+ForwardLiborSimulation!AO47</f>
        <v>2.8333333333333339</v>
      </c>
      <c r="AP47" s="8">
        <f>+ForwardLiborSimulation!AP47</f>
        <v>2.9166666666666674</v>
      </c>
      <c r="AQ47" s="8">
        <f>+ForwardLiborSimulation!AQ47</f>
        <v>3.0000000000000009</v>
      </c>
      <c r="AR47" s="8">
        <f>+ForwardLiborSimulation!AR47</f>
        <v>3.0833333333333344</v>
      </c>
      <c r="AS47" s="8">
        <f>+ForwardLiborSimulation!AS47</f>
        <v>3.1666666666666679</v>
      </c>
      <c r="AT47" s="8">
        <f>+ForwardLiborSimulation!AT47</f>
        <v>3.2500000000000013</v>
      </c>
      <c r="AU47" s="8">
        <f>+ForwardLiborSimulation!AU47</f>
        <v>3.3333333333333348</v>
      </c>
      <c r="AV47" s="8">
        <f>+ForwardLiborSimulation!AV47</f>
        <v>3.4166666666666683</v>
      </c>
      <c r="AW47" s="8">
        <f>+ForwardLiborSimulation!AW47</f>
        <v>3.5000000000000018</v>
      </c>
      <c r="AX47" s="8">
        <f>+ForwardLiborSimulation!AX47</f>
        <v>3.5833333333333353</v>
      </c>
      <c r="AY47" s="8">
        <f>+ForwardLiborSimulation!AY47</f>
        <v>3.6666666666666687</v>
      </c>
      <c r="AZ47" s="8">
        <f>+ForwardLiborSimulation!AZ47</f>
        <v>3.7500000000000022</v>
      </c>
      <c r="BA47" s="8">
        <f>+ForwardLiborSimulation!BA47</f>
        <v>3.8333333333333357</v>
      </c>
      <c r="BB47" s="8">
        <f>+ForwardLiborSimulation!BB47</f>
        <v>3.9166666666666692</v>
      </c>
      <c r="BC47" s="8">
        <f>+ForwardLiborSimulation!BC47</f>
        <v>4.0000000000000027</v>
      </c>
      <c r="BD47" s="8">
        <f>+ForwardLiborSimulation!BD47</f>
        <v>4.0833333333333357</v>
      </c>
      <c r="BE47" s="8">
        <f>+ForwardLiborSimulation!BE47</f>
        <v>4.1666666666666687</v>
      </c>
      <c r="BF47" s="8">
        <f>+ForwardLiborSimulation!BF47</f>
        <v>4.2500000000000018</v>
      </c>
      <c r="BG47" s="8">
        <f>+ForwardLiborSimulation!BG47</f>
        <v>4.3333333333333348</v>
      </c>
      <c r="BH47" s="8">
        <f>+ForwardLiborSimulation!BH47</f>
        <v>4.4166666666666679</v>
      </c>
      <c r="BI47" s="8">
        <f>+ForwardLiborSimulation!BI47</f>
        <v>4.5000000000000009</v>
      </c>
      <c r="BJ47" s="8">
        <f>+ForwardLiborSimulation!BJ47</f>
        <v>4.5833333333333339</v>
      </c>
      <c r="BK47" s="8">
        <f>+ForwardLiborSimulation!BK47</f>
        <v>4.666666666666667</v>
      </c>
      <c r="BL47" s="8">
        <f>+ForwardLiborSimulation!BL47</f>
        <v>4.75</v>
      </c>
      <c r="BM47" s="8">
        <f>+ForwardLiborSimulation!BM47</f>
        <v>4.833333333333333</v>
      </c>
      <c r="BN47" s="8">
        <f>+ForwardLiborSimulation!BN47</f>
        <v>4.9166666666666661</v>
      </c>
      <c r="BO47" s="8">
        <f>+ForwardLiborSimulation!BO47</f>
        <v>4.9999999999999991</v>
      </c>
      <c r="BP47" s="8">
        <f>+ForwardLiborSimulation!BP47</f>
        <v>5.0833333333333321</v>
      </c>
      <c r="BQ47" s="8">
        <f>+ForwardLiborSimulation!BQ47</f>
        <v>5.1666666666666652</v>
      </c>
      <c r="BR47" s="8">
        <f>+ForwardLiborSimulation!BR47</f>
        <v>5.2499999999999982</v>
      </c>
      <c r="BS47" s="8">
        <f>+ForwardLiborSimulation!BS47</f>
        <v>5.3333333333333313</v>
      </c>
      <c r="BT47" s="8">
        <f>+ForwardLiborSimulation!BT47</f>
        <v>5.4166666666666643</v>
      </c>
      <c r="BU47" s="8">
        <f>+ForwardLiborSimulation!BU47</f>
        <v>5.4999999999999973</v>
      </c>
      <c r="BV47" s="8">
        <f>+ForwardLiborSimulation!BV47</f>
        <v>5.5833333333333304</v>
      </c>
      <c r="BW47" s="8">
        <f>+ForwardLiborSimulation!BW47</f>
        <v>5.6666666666666634</v>
      </c>
      <c r="BX47" s="8">
        <f>+ForwardLiborSimulation!BX47</f>
        <v>5.7499999999999964</v>
      </c>
      <c r="BY47" s="8">
        <f>+ForwardLiborSimulation!BY47</f>
        <v>5.8333333333333295</v>
      </c>
      <c r="BZ47" s="8">
        <f>+ForwardLiborSimulation!BZ47</f>
        <v>5.9166666666666625</v>
      </c>
      <c r="CA47" s="8">
        <f>+ForwardLiborSimulation!CA47</f>
        <v>5.9999999999999956</v>
      </c>
      <c r="CB47" s="8">
        <f>+ForwardLiborSimulation!CB47</f>
        <v>6.0833333333333286</v>
      </c>
      <c r="CC47" s="8">
        <f>+ForwardLiborSimulation!CC47</f>
        <v>6.1666666666666616</v>
      </c>
      <c r="CD47" s="8">
        <f>+ForwardLiborSimulation!CD47</f>
        <v>6.2499999999999947</v>
      </c>
      <c r="CE47" s="8">
        <f>+ForwardLiborSimulation!CE47</f>
        <v>6.3333333333333277</v>
      </c>
      <c r="CF47" s="8">
        <f>+ForwardLiborSimulation!CF47</f>
        <v>6.4166666666666607</v>
      </c>
      <c r="CG47" s="8">
        <f>+ForwardLiborSimulation!CG47</f>
        <v>6.4999999999999938</v>
      </c>
      <c r="CH47" s="8">
        <f>+ForwardLiborSimulation!CH47</f>
        <v>6.5833333333333268</v>
      </c>
      <c r="CI47" s="8">
        <f>+ForwardLiborSimulation!CI47</f>
        <v>6.6666666666666599</v>
      </c>
      <c r="CJ47" s="8">
        <f>+ForwardLiborSimulation!CJ47</f>
        <v>6.7499999999999929</v>
      </c>
      <c r="CK47" s="8">
        <f>+ForwardLiborSimulation!CK47</f>
        <v>6.8333333333333259</v>
      </c>
      <c r="CL47" s="8">
        <f>+ForwardLiborSimulation!CL47</f>
        <v>6.916666666666659</v>
      </c>
      <c r="CM47" s="8">
        <f>+ForwardLiborSimulation!CM47</f>
        <v>6.999999999999992</v>
      </c>
      <c r="CN47" s="8">
        <f>+ForwardLiborSimulation!CN47</f>
        <v>7.083333333333325</v>
      </c>
      <c r="CO47" s="8">
        <f>+ForwardLiborSimulation!CO47</f>
        <v>7.1666666666666581</v>
      </c>
      <c r="CP47" s="8">
        <f>+ForwardLiborSimulation!CP47</f>
        <v>7.2499999999999911</v>
      </c>
      <c r="CQ47" s="8">
        <f>+ForwardLiborSimulation!CQ47</f>
        <v>7.3333333333333242</v>
      </c>
      <c r="CR47" s="8">
        <f>+ForwardLiborSimulation!CR47</f>
        <v>7.4166666666666572</v>
      </c>
      <c r="CS47" s="8">
        <f>+ForwardLiborSimulation!CS47</f>
        <v>7.4999999999999902</v>
      </c>
      <c r="CT47" s="8">
        <f>+ForwardLiborSimulation!CT47</f>
        <v>7.5833333333333233</v>
      </c>
      <c r="CU47" s="8">
        <f>+ForwardLiborSimulation!CU47</f>
        <v>7.6666666666666563</v>
      </c>
      <c r="CV47" s="8">
        <f>+ForwardLiborSimulation!CV47</f>
        <v>7.7499999999999893</v>
      </c>
      <c r="CW47" s="8">
        <f>+ForwardLiborSimulation!CW47</f>
        <v>7.8333333333333224</v>
      </c>
      <c r="CX47" s="8">
        <f>+ForwardLiborSimulation!CX47</f>
        <v>7.9166666666666554</v>
      </c>
      <c r="CY47" s="8">
        <f>+ForwardLiborSimulation!CY47</f>
        <v>7.9999999999999885</v>
      </c>
      <c r="CZ47" s="8">
        <f>+ForwardLiborSimulation!CZ47</f>
        <v>8.0833333333333215</v>
      </c>
      <c r="DA47" s="8">
        <f>+ForwardLiborSimulation!DA47</f>
        <v>8.1666666666666554</v>
      </c>
      <c r="DB47" s="8">
        <f>+ForwardLiborSimulation!DB47</f>
        <v>8.2499999999999893</v>
      </c>
      <c r="DC47" s="8">
        <f>+ForwardLiborSimulation!DC47</f>
        <v>8.3333333333333233</v>
      </c>
      <c r="DD47" s="8">
        <f>+ForwardLiborSimulation!DD47</f>
        <v>8.4166666666666572</v>
      </c>
      <c r="DE47" s="8">
        <f>+ForwardLiborSimulation!DE47</f>
        <v>8.4999999999999911</v>
      </c>
      <c r="DF47" s="8">
        <f>+ForwardLiborSimulation!DF47</f>
        <v>8.583333333333325</v>
      </c>
      <c r="DG47" s="8">
        <f>+ForwardLiborSimulation!DG47</f>
        <v>8.666666666666659</v>
      </c>
      <c r="DH47" s="8">
        <f>+ForwardLiborSimulation!DH47</f>
        <v>8.7499999999999929</v>
      </c>
      <c r="DI47" s="8">
        <f>+ForwardLiborSimulation!DI47</f>
        <v>8.8333333333333268</v>
      </c>
      <c r="DJ47" s="8">
        <f>+ForwardLiborSimulation!DJ47</f>
        <v>8.9166666666666607</v>
      </c>
      <c r="DK47" s="8">
        <f>+ForwardLiborSimulation!DK47</f>
        <v>8.9999999999999947</v>
      </c>
      <c r="DL47" s="8">
        <f>+ForwardLiborSimulation!DL47</f>
        <v>9.0833333333333286</v>
      </c>
      <c r="DM47" s="8">
        <f>+ForwardLiborSimulation!DM47</f>
        <v>9.1666666666666625</v>
      </c>
      <c r="DN47" s="8">
        <f>+ForwardLiborSimulation!DN47</f>
        <v>9.2499999999999964</v>
      </c>
      <c r="DO47" s="8">
        <f>+ForwardLiborSimulation!DO47</f>
        <v>9.3333333333333304</v>
      </c>
      <c r="DP47" s="8">
        <f>+ForwardLiborSimulation!DP47</f>
        <v>9.4166666666666643</v>
      </c>
      <c r="DQ47" s="8">
        <f>+ForwardLiborSimulation!DQ47</f>
        <v>9.4999999999999982</v>
      </c>
      <c r="DR47" s="8">
        <f>+ForwardLiborSimulation!DR47</f>
        <v>9.5833333333333321</v>
      </c>
      <c r="DS47" s="8">
        <f>+ForwardLiborSimulation!DS47</f>
        <v>9.6666666666666661</v>
      </c>
      <c r="DT47" s="8">
        <f>+ForwardLiborSimulation!DT47</f>
        <v>9.75</v>
      </c>
      <c r="DU47" s="8">
        <f>+ForwardLiborSimulation!DU47</f>
        <v>9.8333333333333339</v>
      </c>
      <c r="DV47" s="8">
        <f>+ForwardLiborSimulation!DV47</f>
        <v>9.9166666666666679</v>
      </c>
      <c r="DW47" s="8">
        <f>+ForwardLiborSimulation!DW47</f>
        <v>10.000000000000002</v>
      </c>
    </row>
    <row r="48" spans="4:134" x14ac:dyDescent="0.2">
      <c r="DX48" s="2"/>
      <c r="DY48" s="2"/>
      <c r="DZ48" s="2"/>
      <c r="EA48" s="2"/>
      <c r="EB48" s="2"/>
      <c r="EC48" s="2"/>
      <c r="ED48" s="2"/>
    </row>
    <row r="49" spans="3:127" x14ac:dyDescent="0.2">
      <c r="G49" s="4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</row>
    <row r="50" spans="3:127" x14ac:dyDescent="0.2">
      <c r="G50" s="4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</row>
    <row r="51" spans="3:127" x14ac:dyDescent="0.2">
      <c r="G51" s="4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</row>
    <row r="52" spans="3:127" x14ac:dyDescent="0.2">
      <c r="G52" s="4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</row>
    <row r="53" spans="3:127" x14ac:dyDescent="0.2">
      <c r="G53" s="4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</row>
    <row r="54" spans="3:127" x14ac:dyDescent="0.2">
      <c r="G54" s="4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</row>
    <row r="55" spans="3:127" x14ac:dyDescent="0.2">
      <c r="G55" s="4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</row>
    <row r="56" spans="3:127" x14ac:dyDescent="0.2">
      <c r="G56" s="4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</row>
    <row r="57" spans="3:127" x14ac:dyDescent="0.2">
      <c r="G57" s="4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</row>
    <row r="58" spans="3:127" x14ac:dyDescent="0.25">
      <c r="C58" s="17"/>
      <c r="G58" s="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</row>
    <row r="59" spans="3:127" x14ac:dyDescent="0.25">
      <c r="C59" s="17"/>
      <c r="G59" s="4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</row>
    <row r="60" spans="3:127" x14ac:dyDescent="0.25">
      <c r="C60" s="17"/>
      <c r="G60" s="4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</row>
    <row r="61" spans="3:127" x14ac:dyDescent="0.25">
      <c r="C61" s="17"/>
      <c r="G61" s="4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</row>
    <row r="62" spans="3:127" x14ac:dyDescent="0.25">
      <c r="C62" s="17"/>
      <c r="G62" s="4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</row>
    <row r="63" spans="3:127" x14ac:dyDescent="0.25">
      <c r="C63" s="17"/>
      <c r="G63" s="4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</row>
    <row r="64" spans="3:127" x14ac:dyDescent="0.25">
      <c r="C64" s="17"/>
      <c r="G64" s="4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</row>
    <row r="65" spans="3:127" x14ac:dyDescent="0.25">
      <c r="C65" s="17"/>
      <c r="G65" s="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</row>
    <row r="66" spans="3:127" x14ac:dyDescent="0.25">
      <c r="C66" s="17"/>
      <c r="G66" s="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</row>
    <row r="67" spans="3:127" x14ac:dyDescent="0.25">
      <c r="C67" s="17"/>
      <c r="G67" s="4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</row>
    <row r="68" spans="3:127" x14ac:dyDescent="0.25">
      <c r="C68" s="17"/>
      <c r="G68" s="4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</row>
    <row r="69" spans="3:127" x14ac:dyDescent="0.25">
      <c r="C69" s="17"/>
      <c r="G69" s="4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</row>
    <row r="70" spans="3:127" x14ac:dyDescent="0.25">
      <c r="C70" s="17"/>
      <c r="G70" s="4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</row>
    <row r="71" spans="3:127" x14ac:dyDescent="0.25">
      <c r="C71" s="17"/>
      <c r="G71" s="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</row>
    <row r="72" spans="3:127" x14ac:dyDescent="0.25">
      <c r="C72" s="17"/>
      <c r="G72" s="4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</row>
    <row r="73" spans="3:127" x14ac:dyDescent="0.25">
      <c r="C73" s="17"/>
      <c r="G73" s="4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</row>
    <row r="74" spans="3:127" x14ac:dyDescent="0.25">
      <c r="C74" s="17"/>
      <c r="G74" s="4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</row>
    <row r="75" spans="3:127" x14ac:dyDescent="0.25">
      <c r="C75" s="17"/>
    </row>
    <row r="76" spans="3:127" x14ac:dyDescent="0.25">
      <c r="C76" s="17"/>
    </row>
    <row r="77" spans="3:127" x14ac:dyDescent="0.25">
      <c r="C77" s="17"/>
    </row>
    <row r="78" spans="3:127" x14ac:dyDescent="0.25">
      <c r="C78" s="17"/>
    </row>
    <row r="79" spans="3:127" x14ac:dyDescent="0.25">
      <c r="C79" s="17"/>
    </row>
    <row r="80" spans="3:127" x14ac:dyDescent="0.25">
      <c r="C80" s="17"/>
    </row>
    <row r="81" spans="3:3" x14ac:dyDescent="0.25">
      <c r="C81" s="17"/>
    </row>
    <row r="82" spans="3:3" x14ac:dyDescent="0.25">
      <c r="C82" s="17"/>
    </row>
    <row r="83" spans="3:3" x14ac:dyDescent="0.25">
      <c r="C83" s="17"/>
    </row>
    <row r="84" spans="3:3" x14ac:dyDescent="0.25">
      <c r="C84" s="17"/>
    </row>
    <row r="85" spans="3:3" x14ac:dyDescent="0.25">
      <c r="C85" s="17"/>
    </row>
    <row r="86" spans="3:3" x14ac:dyDescent="0.25">
      <c r="C86" s="17"/>
    </row>
    <row r="87" spans="3:3" x14ac:dyDescent="0.25">
      <c r="C87" s="17"/>
    </row>
    <row r="88" spans="3:3" x14ac:dyDescent="0.25">
      <c r="C88" s="17"/>
    </row>
    <row r="89" spans="3:3" x14ac:dyDescent="0.25">
      <c r="C89" s="17"/>
    </row>
    <row r="90" spans="3:3" x14ac:dyDescent="0.25">
      <c r="C90" s="17"/>
    </row>
    <row r="91" spans="3:3" x14ac:dyDescent="0.25">
      <c r="C91" s="17"/>
    </row>
    <row r="92" spans="3:3" x14ac:dyDescent="0.25">
      <c r="C92" s="17"/>
    </row>
    <row r="93" spans="3:3" x14ac:dyDescent="0.25">
      <c r="C93" s="17"/>
    </row>
    <row r="94" spans="3:3" x14ac:dyDescent="0.25">
      <c r="C94" s="17"/>
    </row>
    <row r="95" spans="3:3" x14ac:dyDescent="0.25">
      <c r="C95" s="17"/>
    </row>
    <row r="96" spans="3:3" x14ac:dyDescent="0.25">
      <c r="C96" s="17"/>
    </row>
    <row r="97" spans="3:3" x14ac:dyDescent="0.25">
      <c r="C97" s="17"/>
    </row>
    <row r="98" spans="3:3" x14ac:dyDescent="0.25">
      <c r="C98" s="17"/>
    </row>
    <row r="99" spans="3:3" x14ac:dyDescent="0.25">
      <c r="C99" s="17"/>
    </row>
    <row r="100" spans="3:3" x14ac:dyDescent="0.25">
      <c r="C100" s="17"/>
    </row>
    <row r="101" spans="3:3" x14ac:dyDescent="0.25">
      <c r="C101" s="17"/>
    </row>
    <row r="102" spans="3:3" x14ac:dyDescent="0.25">
      <c r="C102" s="17"/>
    </row>
    <row r="103" spans="3:3" x14ac:dyDescent="0.25">
      <c r="C103" s="17"/>
    </row>
    <row r="104" spans="3:3" x14ac:dyDescent="0.25">
      <c r="C104" s="17"/>
    </row>
    <row r="105" spans="3:3" x14ac:dyDescent="0.25">
      <c r="C105" s="17"/>
    </row>
    <row r="106" spans="3:3" x14ac:dyDescent="0.25">
      <c r="C106" s="17"/>
    </row>
    <row r="107" spans="3:3" x14ac:dyDescent="0.25">
      <c r="C107" s="17"/>
    </row>
    <row r="108" spans="3:3" x14ac:dyDescent="0.25">
      <c r="C108" s="17"/>
    </row>
    <row r="109" spans="3:3" x14ac:dyDescent="0.25">
      <c r="C109" s="17"/>
    </row>
    <row r="110" spans="3:3" x14ac:dyDescent="0.25">
      <c r="C110" s="17"/>
    </row>
    <row r="111" spans="3:3" x14ac:dyDescent="0.25">
      <c r="C111" s="17"/>
    </row>
    <row r="112" spans="3:3" x14ac:dyDescent="0.25">
      <c r="C112" s="17"/>
    </row>
    <row r="113" spans="3:3" x14ac:dyDescent="0.25">
      <c r="C113" s="17"/>
    </row>
    <row r="114" spans="3:3" x14ac:dyDescent="0.25">
      <c r="C114" s="17"/>
    </row>
    <row r="115" spans="3:3" x14ac:dyDescent="0.25">
      <c r="C115" s="17"/>
    </row>
    <row r="116" spans="3:3" x14ac:dyDescent="0.25">
      <c r="C116" s="17"/>
    </row>
    <row r="117" spans="3:3" x14ac:dyDescent="0.25">
      <c r="C117" s="17"/>
    </row>
    <row r="118" spans="3:3" x14ac:dyDescent="0.25">
      <c r="C118" s="17"/>
    </row>
    <row r="119" spans="3:3" x14ac:dyDescent="0.25">
      <c r="C119" s="17"/>
    </row>
    <row r="120" spans="3:3" x14ac:dyDescent="0.25">
      <c r="C120" s="17"/>
    </row>
    <row r="121" spans="3:3" x14ac:dyDescent="0.25">
      <c r="C121" s="17"/>
    </row>
    <row r="122" spans="3:3" x14ac:dyDescent="0.25">
      <c r="C122" s="17"/>
    </row>
    <row r="123" spans="3:3" x14ac:dyDescent="0.25">
      <c r="C123" s="17"/>
    </row>
    <row r="124" spans="3:3" x14ac:dyDescent="0.25">
      <c r="C124" s="17"/>
    </row>
    <row r="125" spans="3:3" x14ac:dyDescent="0.25">
      <c r="C125" s="17"/>
    </row>
    <row r="126" spans="3:3" x14ac:dyDescent="0.25">
      <c r="C126" s="17"/>
    </row>
    <row r="127" spans="3:3" x14ac:dyDescent="0.25">
      <c r="C127" s="17"/>
    </row>
    <row r="128" spans="3:3" x14ac:dyDescent="0.25">
      <c r="C128" s="17"/>
    </row>
    <row r="129" spans="3:3" x14ac:dyDescent="0.25">
      <c r="C129" s="17"/>
    </row>
    <row r="130" spans="3:3" x14ac:dyDescent="0.25">
      <c r="C130" s="17"/>
    </row>
    <row r="131" spans="3:3" x14ac:dyDescent="0.25">
      <c r="C131" s="17"/>
    </row>
    <row r="132" spans="3:3" x14ac:dyDescent="0.25">
      <c r="C132" s="17"/>
    </row>
    <row r="133" spans="3:3" x14ac:dyDescent="0.25">
      <c r="C133" s="17"/>
    </row>
    <row r="134" spans="3:3" x14ac:dyDescent="0.25">
      <c r="C134" s="17"/>
    </row>
    <row r="135" spans="3:3" x14ac:dyDescent="0.25">
      <c r="C135" s="17"/>
    </row>
    <row r="136" spans="3:3" x14ac:dyDescent="0.25">
      <c r="C136" s="17"/>
    </row>
    <row r="137" spans="3:3" x14ac:dyDescent="0.25">
      <c r="C137" s="17"/>
    </row>
    <row r="138" spans="3:3" x14ac:dyDescent="0.25">
      <c r="C138" s="17"/>
    </row>
    <row r="139" spans="3:3" x14ac:dyDescent="0.25">
      <c r="C139" s="17"/>
    </row>
    <row r="140" spans="3:3" x14ac:dyDescent="0.25">
      <c r="C140" s="17"/>
    </row>
    <row r="141" spans="3:3" x14ac:dyDescent="0.25">
      <c r="C141" s="17"/>
    </row>
    <row r="142" spans="3:3" x14ac:dyDescent="0.25">
      <c r="C142" s="17"/>
    </row>
    <row r="143" spans="3:3" x14ac:dyDescent="0.25">
      <c r="C143" s="17"/>
    </row>
    <row r="144" spans="3:3" x14ac:dyDescent="0.25">
      <c r="C144" s="17"/>
    </row>
    <row r="145" spans="3:3" x14ac:dyDescent="0.25">
      <c r="C145" s="17"/>
    </row>
    <row r="146" spans="3:3" x14ac:dyDescent="0.25">
      <c r="C146" s="17"/>
    </row>
    <row r="147" spans="3:3" x14ac:dyDescent="0.25">
      <c r="C147" s="17"/>
    </row>
    <row r="148" spans="3:3" x14ac:dyDescent="0.25">
      <c r="C148" s="17"/>
    </row>
    <row r="149" spans="3:3" x14ac:dyDescent="0.25">
      <c r="C149" s="17"/>
    </row>
    <row r="150" spans="3:3" x14ac:dyDescent="0.25">
      <c r="C150" s="17"/>
    </row>
    <row r="151" spans="3:3" x14ac:dyDescent="0.25">
      <c r="C151" s="17"/>
    </row>
    <row r="152" spans="3:3" x14ac:dyDescent="0.25">
      <c r="C152" s="17"/>
    </row>
    <row r="153" spans="3:3" x14ac:dyDescent="0.25">
      <c r="C153" s="17"/>
    </row>
    <row r="154" spans="3:3" x14ac:dyDescent="0.25">
      <c r="C154" s="17"/>
    </row>
    <row r="155" spans="3:3" x14ac:dyDescent="0.25">
      <c r="C155" s="17"/>
    </row>
    <row r="156" spans="3:3" x14ac:dyDescent="0.25">
      <c r="C156" s="17"/>
    </row>
    <row r="157" spans="3:3" x14ac:dyDescent="0.25">
      <c r="C157" s="17"/>
    </row>
    <row r="158" spans="3:3" x14ac:dyDescent="0.25">
      <c r="C158" s="17"/>
    </row>
    <row r="159" spans="3:3" x14ac:dyDescent="0.25">
      <c r="C159" s="17"/>
    </row>
    <row r="160" spans="3:3" x14ac:dyDescent="0.25">
      <c r="C160" s="17"/>
    </row>
    <row r="161" spans="3:3" x14ac:dyDescent="0.25">
      <c r="C161" s="17"/>
    </row>
    <row r="162" spans="3:3" x14ac:dyDescent="0.25">
      <c r="C162" s="17"/>
    </row>
    <row r="163" spans="3:3" x14ac:dyDescent="0.25">
      <c r="C163" s="17"/>
    </row>
    <row r="164" spans="3:3" x14ac:dyDescent="0.25">
      <c r="C164" s="17"/>
    </row>
    <row r="165" spans="3:3" x14ac:dyDescent="0.25">
      <c r="C165" s="17"/>
    </row>
    <row r="166" spans="3:3" x14ac:dyDescent="0.25">
      <c r="C166" s="17"/>
    </row>
    <row r="167" spans="3:3" x14ac:dyDescent="0.25">
      <c r="C167" s="17"/>
    </row>
    <row r="168" spans="3:3" x14ac:dyDescent="0.25">
      <c r="C168" s="17"/>
    </row>
    <row r="169" spans="3:3" x14ac:dyDescent="0.25">
      <c r="C169" s="17"/>
    </row>
    <row r="170" spans="3:3" x14ac:dyDescent="0.25">
      <c r="C170" s="17"/>
    </row>
    <row r="171" spans="3:3" x14ac:dyDescent="0.25">
      <c r="C171" s="17"/>
    </row>
    <row r="172" spans="3:3" x14ac:dyDescent="0.25">
      <c r="C172" s="17"/>
    </row>
    <row r="173" spans="3:3" x14ac:dyDescent="0.25">
      <c r="C173" s="17"/>
    </row>
    <row r="174" spans="3:3" x14ac:dyDescent="0.25">
      <c r="C174" s="17"/>
    </row>
    <row r="175" spans="3:3" x14ac:dyDescent="0.25">
      <c r="C175" s="17"/>
    </row>
    <row r="176" spans="3:3" x14ac:dyDescent="0.25">
      <c r="C176" s="17"/>
    </row>
    <row r="177" spans="3:3" x14ac:dyDescent="0.25">
      <c r="C177" s="17"/>
    </row>
  </sheetData>
  <phoneticPr fontId="2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D177"/>
  <sheetViews>
    <sheetView zoomScale="60" zoomScaleNormal="60" workbookViewId="0">
      <selection activeCell="G32" sqref="G32"/>
    </sheetView>
  </sheetViews>
  <sheetFormatPr defaultRowHeight="13.8" x14ac:dyDescent="0.2"/>
  <cols>
    <col min="1" max="1" width="2.21875" style="1" customWidth="1"/>
    <col min="2" max="2" width="3.33203125" style="1" customWidth="1"/>
    <col min="3" max="3" width="5.21875" style="1" customWidth="1"/>
    <col min="4" max="4" width="18.33203125" style="1" bestFit="1" customWidth="1"/>
    <col min="5" max="5" width="22.6640625" style="1" bestFit="1" customWidth="1"/>
    <col min="6" max="6" width="15.5546875" style="11" bestFit="1" customWidth="1"/>
    <col min="7" max="7" width="16.33203125" style="1" customWidth="1"/>
    <col min="8" max="8" width="10.5546875" style="1" bestFit="1" customWidth="1"/>
    <col min="9" max="10" width="9.88671875" style="1" bestFit="1" customWidth="1"/>
    <col min="11" max="11" width="10.5546875" style="1" bestFit="1" customWidth="1"/>
    <col min="12" max="16" width="9.88671875" style="1" bestFit="1" customWidth="1"/>
    <col min="17" max="17" width="10.5546875" style="1" bestFit="1" customWidth="1"/>
    <col min="18" max="21" width="9.88671875" style="1" bestFit="1" customWidth="1"/>
    <col min="22" max="23" width="10.5546875" style="1" bestFit="1" customWidth="1"/>
    <col min="24" max="24" width="9.88671875" style="1" bestFit="1" customWidth="1"/>
    <col min="25" max="25" width="10.5546875" style="1" bestFit="1" customWidth="1"/>
    <col min="26" max="27" width="9.88671875" style="1" bestFit="1" customWidth="1"/>
    <col min="28" max="28" width="10.5546875" style="1" bestFit="1" customWidth="1"/>
    <col min="29" max="32" width="9.88671875" style="1" bestFit="1" customWidth="1"/>
    <col min="33" max="33" width="10.5546875" style="1" bestFit="1" customWidth="1"/>
    <col min="34" max="35" width="9.88671875" style="1" bestFit="1" customWidth="1"/>
    <col min="36" max="39" width="10.5546875" style="1" bestFit="1" customWidth="1"/>
    <col min="40" max="42" width="9.88671875" style="1" bestFit="1" customWidth="1"/>
    <col min="43" max="43" width="10.5546875" style="1" bestFit="1" customWidth="1"/>
    <col min="44" max="45" width="9.88671875" style="1" bestFit="1" customWidth="1"/>
    <col min="46" max="48" width="10.5546875" style="1" bestFit="1" customWidth="1"/>
    <col min="49" max="50" width="9.88671875" style="1" bestFit="1" customWidth="1"/>
    <col min="51" max="51" width="10.5546875" style="1" bestFit="1" customWidth="1"/>
    <col min="52" max="54" width="9.88671875" style="1" bestFit="1" customWidth="1"/>
    <col min="55" max="59" width="10.5546875" style="1" bestFit="1" customWidth="1"/>
    <col min="60" max="60" width="9.88671875" style="1" bestFit="1" customWidth="1"/>
    <col min="61" max="62" width="10.5546875" style="1" bestFit="1" customWidth="1"/>
    <col min="63" max="64" width="9.88671875" style="1" bestFit="1" customWidth="1"/>
    <col min="65" max="66" width="10.5546875" style="1" bestFit="1" customWidth="1"/>
    <col min="67" max="67" width="9.88671875" style="1" bestFit="1" customWidth="1"/>
    <col min="68" max="70" width="10.5546875" style="1" bestFit="1" customWidth="1"/>
    <col min="71" max="73" width="9.88671875" style="1" bestFit="1" customWidth="1"/>
    <col min="74" max="74" width="10.5546875" style="1" bestFit="1" customWidth="1"/>
    <col min="75" max="75" width="9.88671875" style="1" bestFit="1" customWidth="1"/>
    <col min="76" max="76" width="10.5546875" style="1" bestFit="1" customWidth="1"/>
    <col min="77" max="77" width="9.88671875" style="1" bestFit="1" customWidth="1"/>
    <col min="78" max="81" width="10.5546875" style="1" bestFit="1" customWidth="1"/>
    <col min="82" max="83" width="9.88671875" style="1" bestFit="1" customWidth="1"/>
    <col min="84" max="84" width="10.5546875" style="1" bestFit="1" customWidth="1"/>
    <col min="85" max="85" width="9.88671875" style="1" bestFit="1" customWidth="1"/>
    <col min="86" max="86" width="10.5546875" style="1" bestFit="1" customWidth="1"/>
    <col min="87" max="87" width="9.88671875" style="1" bestFit="1" customWidth="1"/>
    <col min="88" max="89" width="10.5546875" style="1" bestFit="1" customWidth="1"/>
    <col min="90" max="94" width="9.88671875" style="1" bestFit="1" customWidth="1"/>
    <col min="95" max="97" width="10.5546875" style="1" bestFit="1" customWidth="1"/>
    <col min="98" max="101" width="9.88671875" style="1" bestFit="1" customWidth="1"/>
    <col min="102" max="103" width="10.5546875" style="1" bestFit="1" customWidth="1"/>
    <col min="104" max="105" width="9.88671875" style="1" bestFit="1" customWidth="1"/>
    <col min="106" max="107" width="10.5546875" style="1" bestFit="1" customWidth="1"/>
    <col min="108" max="109" width="9.88671875" style="1" bestFit="1" customWidth="1"/>
    <col min="110" max="110" width="10.5546875" style="1" bestFit="1" customWidth="1"/>
    <col min="111" max="111" width="9.88671875" style="1" bestFit="1" customWidth="1"/>
    <col min="112" max="112" width="10.5546875" style="1" bestFit="1" customWidth="1"/>
    <col min="113" max="113" width="9.88671875" style="1" bestFit="1" customWidth="1"/>
    <col min="114" max="114" width="10.5546875" style="1" bestFit="1" customWidth="1"/>
    <col min="115" max="115" width="9.88671875" style="1" bestFit="1" customWidth="1"/>
    <col min="116" max="116" width="10.5546875" style="1" bestFit="1" customWidth="1"/>
    <col min="117" max="118" width="9.88671875" style="1" bestFit="1" customWidth="1"/>
    <col min="119" max="119" width="10.5546875" style="1" bestFit="1" customWidth="1"/>
    <col min="120" max="123" width="9.88671875" style="1" bestFit="1" customWidth="1"/>
    <col min="124" max="124" width="10.5546875" style="1" bestFit="1" customWidth="1"/>
    <col min="125" max="126" width="9.88671875" style="1" bestFit="1" customWidth="1"/>
    <col min="127" max="16384" width="8.88671875" style="1"/>
  </cols>
  <sheetData>
    <row r="1" spans="2:127" x14ac:dyDescent="0.2">
      <c r="D1" s="2"/>
    </row>
    <row r="2" spans="2:127" x14ac:dyDescent="0.2">
      <c r="D2" s="1" t="s">
        <v>11</v>
      </c>
    </row>
    <row r="3" spans="2:127" x14ac:dyDescent="0.2">
      <c r="D3" s="2"/>
      <c r="G3" s="9" t="s">
        <v>1</v>
      </c>
    </row>
    <row r="4" spans="2:127" x14ac:dyDescent="0.2">
      <c r="D4" s="2"/>
      <c r="G4" s="9" t="s">
        <v>2</v>
      </c>
    </row>
    <row r="5" spans="2:127" x14ac:dyDescent="0.2">
      <c r="D5" s="2"/>
      <c r="E5" s="9"/>
    </row>
    <row r="6" spans="2:127" x14ac:dyDescent="0.2">
      <c r="D6" s="8" t="s">
        <v>0</v>
      </c>
      <c r="E6" s="9"/>
      <c r="F6" s="15" t="str">
        <f>+F47</f>
        <v>t (years) =</v>
      </c>
      <c r="G6" s="15">
        <f>+G47</f>
        <v>0</v>
      </c>
      <c r="H6" s="15">
        <f t="shared" ref="H6:BS6" si="0">+H47</f>
        <v>8.3333333333333329E-2</v>
      </c>
      <c r="I6" s="15">
        <f t="shared" si="0"/>
        <v>0.16666666666666666</v>
      </c>
      <c r="J6" s="15">
        <f t="shared" si="0"/>
        <v>0.25</v>
      </c>
      <c r="K6" s="15">
        <f t="shared" si="0"/>
        <v>0.33333333333333331</v>
      </c>
      <c r="L6" s="15">
        <f t="shared" si="0"/>
        <v>0.41666666666666663</v>
      </c>
      <c r="M6" s="15">
        <f t="shared" si="0"/>
        <v>0.49999999999999994</v>
      </c>
      <c r="N6" s="15">
        <f t="shared" si="0"/>
        <v>0.58333333333333326</v>
      </c>
      <c r="O6" s="15">
        <f t="shared" si="0"/>
        <v>0.66666666666666663</v>
      </c>
      <c r="P6" s="15">
        <f t="shared" si="0"/>
        <v>0.75</v>
      </c>
      <c r="Q6" s="15">
        <f t="shared" si="0"/>
        <v>0.83333333333333337</v>
      </c>
      <c r="R6" s="15">
        <f t="shared" si="0"/>
        <v>0.91666666666666674</v>
      </c>
      <c r="S6" s="15">
        <f t="shared" si="0"/>
        <v>1</v>
      </c>
      <c r="T6" s="15">
        <f t="shared" si="0"/>
        <v>1.0833333333333333</v>
      </c>
      <c r="U6" s="15">
        <f t="shared" si="0"/>
        <v>1.1666666666666665</v>
      </c>
      <c r="V6" s="15">
        <f t="shared" si="0"/>
        <v>1.2499999999999998</v>
      </c>
      <c r="W6" s="15">
        <f t="shared" si="0"/>
        <v>1.333333333333333</v>
      </c>
      <c r="X6" s="15">
        <f t="shared" si="0"/>
        <v>1.4166666666666663</v>
      </c>
      <c r="Y6" s="15">
        <f t="shared" si="0"/>
        <v>1.4999999999999996</v>
      </c>
      <c r="Z6" s="15">
        <f t="shared" si="0"/>
        <v>1.5833333333333328</v>
      </c>
      <c r="AA6" s="15">
        <f t="shared" si="0"/>
        <v>1.6666666666666661</v>
      </c>
      <c r="AB6" s="15">
        <f t="shared" si="0"/>
        <v>1.7499999999999993</v>
      </c>
      <c r="AC6" s="15">
        <f t="shared" si="0"/>
        <v>1.8333333333333326</v>
      </c>
      <c r="AD6" s="15">
        <f t="shared" si="0"/>
        <v>1.9166666666666659</v>
      </c>
      <c r="AE6" s="15">
        <f t="shared" si="0"/>
        <v>1.9999999999999991</v>
      </c>
      <c r="AF6" s="15">
        <f t="shared" si="0"/>
        <v>2.0833333333333326</v>
      </c>
      <c r="AG6" s="15">
        <f t="shared" si="0"/>
        <v>2.1666666666666661</v>
      </c>
      <c r="AH6" s="15">
        <f t="shared" si="0"/>
        <v>2.2499999999999996</v>
      </c>
      <c r="AI6" s="15">
        <f t="shared" si="0"/>
        <v>2.333333333333333</v>
      </c>
      <c r="AJ6" s="15">
        <f t="shared" si="0"/>
        <v>2.4166666666666665</v>
      </c>
      <c r="AK6" s="15">
        <f t="shared" si="0"/>
        <v>2.5</v>
      </c>
      <c r="AL6" s="15">
        <f t="shared" si="0"/>
        <v>2.5833333333333335</v>
      </c>
      <c r="AM6" s="15">
        <f t="shared" si="0"/>
        <v>2.666666666666667</v>
      </c>
      <c r="AN6" s="15">
        <f t="shared" si="0"/>
        <v>2.7500000000000004</v>
      </c>
      <c r="AO6" s="15">
        <f t="shared" si="0"/>
        <v>2.8333333333333339</v>
      </c>
      <c r="AP6" s="15">
        <f t="shared" si="0"/>
        <v>2.9166666666666674</v>
      </c>
      <c r="AQ6" s="15">
        <f t="shared" si="0"/>
        <v>3.0000000000000009</v>
      </c>
      <c r="AR6" s="15">
        <f t="shared" si="0"/>
        <v>3.0833333333333344</v>
      </c>
      <c r="AS6" s="15">
        <f t="shared" si="0"/>
        <v>3.1666666666666679</v>
      </c>
      <c r="AT6" s="15">
        <f t="shared" si="0"/>
        <v>3.2500000000000013</v>
      </c>
      <c r="AU6" s="15">
        <f t="shared" si="0"/>
        <v>3.3333333333333348</v>
      </c>
      <c r="AV6" s="15">
        <f t="shared" si="0"/>
        <v>3.4166666666666683</v>
      </c>
      <c r="AW6" s="15">
        <f t="shared" si="0"/>
        <v>3.5000000000000018</v>
      </c>
      <c r="AX6" s="15">
        <f t="shared" si="0"/>
        <v>3.5833333333333353</v>
      </c>
      <c r="AY6" s="15">
        <f t="shared" si="0"/>
        <v>3.6666666666666687</v>
      </c>
      <c r="AZ6" s="15">
        <f t="shared" si="0"/>
        <v>3.7500000000000022</v>
      </c>
      <c r="BA6" s="15">
        <f t="shared" si="0"/>
        <v>3.8333333333333357</v>
      </c>
      <c r="BB6" s="15">
        <f t="shared" si="0"/>
        <v>3.9166666666666692</v>
      </c>
      <c r="BC6" s="15">
        <f t="shared" si="0"/>
        <v>4.0000000000000027</v>
      </c>
      <c r="BD6" s="15">
        <f t="shared" si="0"/>
        <v>4.0833333333333357</v>
      </c>
      <c r="BE6" s="15">
        <f t="shared" si="0"/>
        <v>4.1666666666666687</v>
      </c>
      <c r="BF6" s="15">
        <f t="shared" si="0"/>
        <v>4.2500000000000018</v>
      </c>
      <c r="BG6" s="15">
        <f t="shared" si="0"/>
        <v>4.3333333333333348</v>
      </c>
      <c r="BH6" s="15">
        <f t="shared" si="0"/>
        <v>4.4166666666666679</v>
      </c>
      <c r="BI6" s="15">
        <f t="shared" si="0"/>
        <v>4.5000000000000009</v>
      </c>
      <c r="BJ6" s="15">
        <f t="shared" si="0"/>
        <v>4.5833333333333339</v>
      </c>
      <c r="BK6" s="15">
        <f t="shared" si="0"/>
        <v>4.666666666666667</v>
      </c>
      <c r="BL6" s="15">
        <f t="shared" si="0"/>
        <v>4.75</v>
      </c>
      <c r="BM6" s="15">
        <f t="shared" si="0"/>
        <v>4.833333333333333</v>
      </c>
      <c r="BN6" s="15">
        <f t="shared" si="0"/>
        <v>4.9166666666666661</v>
      </c>
      <c r="BO6" s="15">
        <f t="shared" si="0"/>
        <v>4.9999999999999991</v>
      </c>
      <c r="BP6" s="15">
        <f t="shared" si="0"/>
        <v>5.0833333333333321</v>
      </c>
      <c r="BQ6" s="15">
        <f t="shared" si="0"/>
        <v>5.1666666666666652</v>
      </c>
      <c r="BR6" s="15">
        <f t="shared" si="0"/>
        <v>5.2499999999999982</v>
      </c>
      <c r="BS6" s="15">
        <f t="shared" si="0"/>
        <v>5.3333333333333313</v>
      </c>
      <c r="BT6" s="15">
        <f t="shared" ref="BT6:DW6" si="1">+BT47</f>
        <v>5.4166666666666643</v>
      </c>
      <c r="BU6" s="15">
        <f t="shared" si="1"/>
        <v>5.4999999999999973</v>
      </c>
      <c r="BV6" s="15">
        <f t="shared" si="1"/>
        <v>5.5833333333333304</v>
      </c>
      <c r="BW6" s="15">
        <f t="shared" si="1"/>
        <v>5.6666666666666634</v>
      </c>
      <c r="BX6" s="15">
        <f t="shared" si="1"/>
        <v>5.7499999999999964</v>
      </c>
      <c r="BY6" s="15">
        <f t="shared" si="1"/>
        <v>5.8333333333333295</v>
      </c>
      <c r="BZ6" s="15">
        <f t="shared" si="1"/>
        <v>5.9166666666666625</v>
      </c>
      <c r="CA6" s="15">
        <f t="shared" si="1"/>
        <v>5.9999999999999956</v>
      </c>
      <c r="CB6" s="15">
        <f t="shared" si="1"/>
        <v>6.0833333333333286</v>
      </c>
      <c r="CC6" s="15">
        <f t="shared" si="1"/>
        <v>6.1666666666666616</v>
      </c>
      <c r="CD6" s="15">
        <f t="shared" si="1"/>
        <v>6.2499999999999947</v>
      </c>
      <c r="CE6" s="15">
        <f t="shared" si="1"/>
        <v>6.3333333333333277</v>
      </c>
      <c r="CF6" s="15">
        <f t="shared" si="1"/>
        <v>6.4166666666666607</v>
      </c>
      <c r="CG6" s="15">
        <f t="shared" si="1"/>
        <v>6.4999999999999938</v>
      </c>
      <c r="CH6" s="15">
        <f t="shared" si="1"/>
        <v>6.5833333333333268</v>
      </c>
      <c r="CI6" s="15">
        <f t="shared" si="1"/>
        <v>6.6666666666666599</v>
      </c>
      <c r="CJ6" s="15">
        <f t="shared" si="1"/>
        <v>6.7499999999999929</v>
      </c>
      <c r="CK6" s="15">
        <f t="shared" si="1"/>
        <v>6.8333333333333259</v>
      </c>
      <c r="CL6" s="15">
        <f t="shared" si="1"/>
        <v>6.916666666666659</v>
      </c>
      <c r="CM6" s="15">
        <f t="shared" si="1"/>
        <v>6.999999999999992</v>
      </c>
      <c r="CN6" s="15">
        <f t="shared" si="1"/>
        <v>7.083333333333325</v>
      </c>
      <c r="CO6" s="15">
        <f t="shared" si="1"/>
        <v>7.1666666666666581</v>
      </c>
      <c r="CP6" s="15">
        <f t="shared" si="1"/>
        <v>7.2499999999999911</v>
      </c>
      <c r="CQ6" s="15">
        <f t="shared" si="1"/>
        <v>7.3333333333333242</v>
      </c>
      <c r="CR6" s="15">
        <f t="shared" si="1"/>
        <v>7.4166666666666572</v>
      </c>
      <c r="CS6" s="15">
        <f t="shared" si="1"/>
        <v>7.4999999999999902</v>
      </c>
      <c r="CT6" s="15">
        <f t="shared" si="1"/>
        <v>7.5833333333333233</v>
      </c>
      <c r="CU6" s="15">
        <f t="shared" si="1"/>
        <v>7.6666666666666563</v>
      </c>
      <c r="CV6" s="15">
        <f t="shared" si="1"/>
        <v>7.7499999999999893</v>
      </c>
      <c r="CW6" s="15">
        <f t="shared" si="1"/>
        <v>7.8333333333333224</v>
      </c>
      <c r="CX6" s="15">
        <f t="shared" si="1"/>
        <v>7.9166666666666554</v>
      </c>
      <c r="CY6" s="15">
        <f t="shared" si="1"/>
        <v>7.9999999999999885</v>
      </c>
      <c r="CZ6" s="15">
        <f t="shared" si="1"/>
        <v>8.0833333333333215</v>
      </c>
      <c r="DA6" s="15">
        <f t="shared" si="1"/>
        <v>8.1666666666666554</v>
      </c>
      <c r="DB6" s="15">
        <f t="shared" si="1"/>
        <v>8.2499999999999893</v>
      </c>
      <c r="DC6" s="15">
        <f t="shared" si="1"/>
        <v>8.3333333333333233</v>
      </c>
      <c r="DD6" s="15">
        <f t="shared" si="1"/>
        <v>8.4166666666666572</v>
      </c>
      <c r="DE6" s="15">
        <f t="shared" si="1"/>
        <v>8.4999999999999911</v>
      </c>
      <c r="DF6" s="15">
        <f t="shared" si="1"/>
        <v>8.583333333333325</v>
      </c>
      <c r="DG6" s="15">
        <f t="shared" si="1"/>
        <v>8.666666666666659</v>
      </c>
      <c r="DH6" s="15">
        <f t="shared" si="1"/>
        <v>8.7499999999999929</v>
      </c>
      <c r="DI6" s="15">
        <f t="shared" si="1"/>
        <v>8.8333333333333268</v>
      </c>
      <c r="DJ6" s="15">
        <f t="shared" si="1"/>
        <v>8.9166666666666607</v>
      </c>
      <c r="DK6" s="15">
        <f t="shared" si="1"/>
        <v>8.9999999999999947</v>
      </c>
      <c r="DL6" s="15">
        <f t="shared" si="1"/>
        <v>9.0833333333333286</v>
      </c>
      <c r="DM6" s="15">
        <f t="shared" si="1"/>
        <v>9.1666666666666625</v>
      </c>
      <c r="DN6" s="15">
        <f t="shared" si="1"/>
        <v>9.2499999999999964</v>
      </c>
      <c r="DO6" s="15">
        <f t="shared" si="1"/>
        <v>9.3333333333333304</v>
      </c>
      <c r="DP6" s="15">
        <f t="shared" si="1"/>
        <v>9.4166666666666643</v>
      </c>
      <c r="DQ6" s="15">
        <f t="shared" si="1"/>
        <v>9.4999999999999982</v>
      </c>
      <c r="DR6" s="15">
        <f t="shared" si="1"/>
        <v>9.5833333333333321</v>
      </c>
      <c r="DS6" s="15">
        <f t="shared" si="1"/>
        <v>9.6666666666666661</v>
      </c>
      <c r="DT6" s="15">
        <f t="shared" si="1"/>
        <v>9.75</v>
      </c>
      <c r="DU6" s="15">
        <f t="shared" si="1"/>
        <v>9.8333333333333339</v>
      </c>
      <c r="DV6" s="15">
        <f t="shared" si="1"/>
        <v>9.9166666666666679</v>
      </c>
      <c r="DW6" s="15">
        <f t="shared" si="1"/>
        <v>10.000000000000002</v>
      </c>
    </row>
    <row r="7" spans="2:127" x14ac:dyDescent="0.2">
      <c r="D7" s="2">
        <f>+ForwardLiborSimulation!D7</f>
        <v>10</v>
      </c>
      <c r="E7" s="10"/>
      <c r="F7" s="12" t="str">
        <f>+"L(t;"&amp;D8&amp;","&amp;D7&amp;")"</f>
        <v>L(t;9.75,10)</v>
      </c>
      <c r="G7" s="14"/>
      <c r="H7" s="21">
        <v>0</v>
      </c>
      <c r="I7" s="21">
        <v>0</v>
      </c>
      <c r="J7" s="21">
        <v>0</v>
      </c>
      <c r="K7" s="21">
        <v>0</v>
      </c>
      <c r="L7" s="21">
        <v>0</v>
      </c>
      <c r="M7" s="21">
        <v>0</v>
      </c>
      <c r="N7" s="21">
        <v>0</v>
      </c>
      <c r="O7" s="21">
        <v>0</v>
      </c>
      <c r="P7" s="21">
        <v>0</v>
      </c>
      <c r="Q7" s="21">
        <v>0</v>
      </c>
      <c r="R7" s="21">
        <v>0</v>
      </c>
      <c r="S7" s="21">
        <v>0</v>
      </c>
      <c r="T7" s="21">
        <v>0</v>
      </c>
      <c r="U7" s="21">
        <v>0</v>
      </c>
      <c r="V7" s="21">
        <v>0</v>
      </c>
      <c r="W7" s="21">
        <v>0</v>
      </c>
      <c r="X7" s="21">
        <v>0</v>
      </c>
      <c r="Y7" s="21">
        <v>0</v>
      </c>
      <c r="Z7" s="21">
        <v>0</v>
      </c>
      <c r="AA7" s="21">
        <v>0</v>
      </c>
      <c r="AB7" s="21">
        <v>0</v>
      </c>
      <c r="AC7" s="21">
        <v>0</v>
      </c>
      <c r="AD7" s="21">
        <v>0</v>
      </c>
      <c r="AE7" s="21">
        <v>0</v>
      </c>
      <c r="AF7" s="21">
        <v>0</v>
      </c>
      <c r="AG7" s="21">
        <v>0</v>
      </c>
      <c r="AH7" s="21">
        <v>0</v>
      </c>
      <c r="AI7" s="21">
        <v>0</v>
      </c>
      <c r="AJ7" s="21">
        <v>0</v>
      </c>
      <c r="AK7" s="21">
        <v>0</v>
      </c>
      <c r="AL7" s="21">
        <v>0</v>
      </c>
      <c r="AM7" s="21">
        <v>0</v>
      </c>
      <c r="AN7" s="21">
        <v>0</v>
      </c>
      <c r="AO7" s="21">
        <v>0</v>
      </c>
      <c r="AP7" s="21">
        <v>0</v>
      </c>
      <c r="AQ7" s="21">
        <v>0</v>
      </c>
      <c r="AR7" s="21">
        <v>0</v>
      </c>
      <c r="AS7" s="21">
        <v>0</v>
      </c>
      <c r="AT7" s="21">
        <v>0</v>
      </c>
      <c r="AU7" s="21">
        <v>0</v>
      </c>
      <c r="AV7" s="21">
        <v>0</v>
      </c>
      <c r="AW7" s="21">
        <v>0</v>
      </c>
      <c r="AX7" s="21">
        <v>0</v>
      </c>
      <c r="AY7" s="21">
        <v>0</v>
      </c>
      <c r="AZ7" s="21">
        <v>0</v>
      </c>
      <c r="BA7" s="21">
        <v>0</v>
      </c>
      <c r="BB7" s="21">
        <v>0</v>
      </c>
      <c r="BC7" s="21">
        <v>0</v>
      </c>
      <c r="BD7" s="21">
        <v>0</v>
      </c>
      <c r="BE7" s="21">
        <v>0</v>
      </c>
      <c r="BF7" s="21">
        <v>0</v>
      </c>
      <c r="BG7" s="21">
        <v>0</v>
      </c>
      <c r="BH7" s="21">
        <v>0</v>
      </c>
      <c r="BI7" s="21">
        <v>0</v>
      </c>
      <c r="BJ7" s="21">
        <v>0</v>
      </c>
      <c r="BK7" s="21">
        <v>0</v>
      </c>
      <c r="BL7" s="21">
        <v>0</v>
      </c>
      <c r="BM7" s="21">
        <v>0</v>
      </c>
      <c r="BN7" s="21">
        <v>0</v>
      </c>
      <c r="BO7" s="21">
        <v>0</v>
      </c>
      <c r="BP7" s="21">
        <v>0</v>
      </c>
      <c r="BQ7" s="21">
        <v>0</v>
      </c>
      <c r="BR7" s="21">
        <v>0</v>
      </c>
      <c r="BS7" s="21">
        <v>0</v>
      </c>
      <c r="BT7" s="21">
        <v>0</v>
      </c>
      <c r="BU7" s="21">
        <v>0</v>
      </c>
      <c r="BV7" s="21">
        <v>0</v>
      </c>
      <c r="BW7" s="21">
        <v>0</v>
      </c>
      <c r="BX7" s="21">
        <v>0</v>
      </c>
      <c r="BY7" s="21">
        <v>0</v>
      </c>
      <c r="BZ7" s="21">
        <v>0</v>
      </c>
      <c r="CA7" s="21">
        <v>0</v>
      </c>
      <c r="CB7" s="21">
        <v>0</v>
      </c>
      <c r="CC7" s="21">
        <v>0</v>
      </c>
      <c r="CD7" s="21">
        <v>0</v>
      </c>
      <c r="CE7" s="21">
        <v>0</v>
      </c>
      <c r="CF7" s="21">
        <v>0</v>
      </c>
      <c r="CG7" s="21">
        <v>0</v>
      </c>
      <c r="CH7" s="21">
        <v>0</v>
      </c>
      <c r="CI7" s="21">
        <v>0</v>
      </c>
      <c r="CJ7" s="21">
        <v>0</v>
      </c>
      <c r="CK7" s="21">
        <v>0</v>
      </c>
      <c r="CL7" s="21">
        <v>0</v>
      </c>
      <c r="CM7" s="21">
        <v>0</v>
      </c>
      <c r="CN7" s="21">
        <v>0</v>
      </c>
      <c r="CO7" s="21">
        <v>0</v>
      </c>
      <c r="CP7" s="21">
        <v>0</v>
      </c>
      <c r="CQ7" s="21">
        <v>0</v>
      </c>
      <c r="CR7" s="21">
        <v>0</v>
      </c>
      <c r="CS7" s="21">
        <v>0</v>
      </c>
      <c r="CT7" s="21">
        <v>0</v>
      </c>
      <c r="CU7" s="21">
        <v>0</v>
      </c>
      <c r="CV7" s="21">
        <v>0</v>
      </c>
      <c r="CW7" s="21">
        <v>0</v>
      </c>
      <c r="CX7" s="21">
        <v>0</v>
      </c>
      <c r="CY7" s="21">
        <v>0</v>
      </c>
      <c r="CZ7" s="21">
        <v>0</v>
      </c>
      <c r="DA7" s="21">
        <v>0</v>
      </c>
      <c r="DB7" s="21">
        <v>0</v>
      </c>
      <c r="DC7" s="21">
        <v>0</v>
      </c>
      <c r="DD7" s="21">
        <v>0</v>
      </c>
      <c r="DE7" s="21">
        <v>0</v>
      </c>
      <c r="DF7" s="21">
        <v>0</v>
      </c>
      <c r="DG7" s="21">
        <v>0</v>
      </c>
      <c r="DH7" s="21">
        <v>0</v>
      </c>
      <c r="DI7" s="21">
        <v>0</v>
      </c>
      <c r="DJ7" s="21">
        <v>0</v>
      </c>
      <c r="DK7" s="21">
        <v>0</v>
      </c>
      <c r="DL7" s="21">
        <v>0</v>
      </c>
      <c r="DM7" s="21">
        <v>0</v>
      </c>
      <c r="DN7" s="21">
        <v>0</v>
      </c>
      <c r="DO7" s="21">
        <v>0</v>
      </c>
      <c r="DP7" s="21">
        <v>0</v>
      </c>
      <c r="DQ7" s="21">
        <v>0</v>
      </c>
      <c r="DR7" s="21">
        <v>0</v>
      </c>
      <c r="DS7" s="21">
        <v>0</v>
      </c>
      <c r="DT7" s="21">
        <v>0</v>
      </c>
      <c r="DU7" s="21"/>
      <c r="DV7" s="21"/>
      <c r="DW7" s="21"/>
    </row>
    <row r="8" spans="2:127" x14ac:dyDescent="0.2">
      <c r="B8" s="5"/>
      <c r="D8" s="2">
        <f>+ForwardLiborSimulation!D8</f>
        <v>9.75</v>
      </c>
      <c r="E8" s="10"/>
      <c r="F8" s="12" t="str">
        <f>+"L(t;"&amp;D9&amp;","&amp;D8&amp;")"</f>
        <v>L(t;9.5,9.75)</v>
      </c>
      <c r="G8" s="14"/>
      <c r="H8" s="24">
        <f>+H7+(LiborTenor*Volatility!G7*ForwardLiborSimulation!G7)/(1+LiborTenor*ForwardLiborSimulation!G7)</f>
        <v>8.5185185185185201E-4</v>
      </c>
      <c r="I8" s="24">
        <f ca="1">+I7+(LiborTenor*Volatility!H7*ForwardLiborSimulation!H7)/(1+LiborTenor*ForwardLiborSimulation!H7)</f>
        <v>8.7911514772701918E-4</v>
      </c>
      <c r="J8" s="24">
        <f ca="1">+J7+(LiborTenor*Volatility!I7*ForwardLiborSimulation!I7)/(1+LiborTenor*ForwardLiborSimulation!I7)</f>
        <v>8.9271063994576436E-4</v>
      </c>
      <c r="K8" s="24">
        <f ca="1">+K7+(LiborTenor*Volatility!J7*ForwardLiborSimulation!J7)/(1+LiborTenor*ForwardLiborSimulation!J7)</f>
        <v>8.7810272717936475E-4</v>
      </c>
      <c r="L8" s="24">
        <f ca="1">+L7+(LiborTenor*Volatility!K7*ForwardLiborSimulation!K7)/(1+LiborTenor*ForwardLiborSimulation!K7)</f>
        <v>8.8324665082479886E-4</v>
      </c>
      <c r="M8" s="24">
        <f ca="1">+M7+(LiborTenor*Volatility!L7*ForwardLiborSimulation!L7)/(1+LiborTenor*ForwardLiborSimulation!L7)</f>
        <v>8.6680152923625969E-4</v>
      </c>
      <c r="N8" s="24">
        <f ca="1">+N7+(LiborTenor*Volatility!M7*ForwardLiborSimulation!M7)/(1+LiborTenor*ForwardLiborSimulation!M7)</f>
        <v>9.0175843208370964E-4</v>
      </c>
      <c r="O8" s="24">
        <f ca="1">+O7+(LiborTenor*Volatility!N7*ForwardLiborSimulation!N7)/(1+LiborTenor*ForwardLiborSimulation!N7)</f>
        <v>8.9653390829884524E-4</v>
      </c>
      <c r="P8" s="24">
        <f ca="1">+P7+(LiborTenor*Volatility!O7*ForwardLiborSimulation!O7)/(1+LiborTenor*ForwardLiborSimulation!O7)</f>
        <v>9.1663636450158058E-4</v>
      </c>
      <c r="Q8" s="24">
        <f ca="1">+Q7+(LiborTenor*Volatility!P7*ForwardLiborSimulation!P7)/(1+LiborTenor*ForwardLiborSimulation!P7)</f>
        <v>9.0142759688242944E-4</v>
      </c>
      <c r="R8" s="24">
        <f ca="1">+R7+(LiborTenor*Volatility!Q7*ForwardLiborSimulation!Q7)/(1+LiborTenor*ForwardLiborSimulation!Q7)</f>
        <v>9.0469527521429228E-4</v>
      </c>
      <c r="S8" s="24">
        <f ca="1">+S7+(LiborTenor*Volatility!R7*ForwardLiborSimulation!R7)/(1+LiborTenor*ForwardLiborSimulation!R7)</f>
        <v>9.2026110667234936E-4</v>
      </c>
      <c r="T8" s="24">
        <f ca="1">+T7+(LiborTenor*Volatility!S7*ForwardLiborSimulation!S7)/(1+LiborTenor*ForwardLiborSimulation!S7)</f>
        <v>9.5024172492788681E-4</v>
      </c>
      <c r="U8" s="24">
        <f ca="1">+U7+(LiborTenor*Volatility!T7*ForwardLiborSimulation!T7)/(1+LiborTenor*ForwardLiborSimulation!T7)</f>
        <v>9.3931187778209871E-4</v>
      </c>
      <c r="V8" s="24">
        <f ca="1">+V7+(LiborTenor*Volatility!U7*ForwardLiborSimulation!U7)/(1+LiborTenor*ForwardLiborSimulation!U7)</f>
        <v>9.3790858948753126E-4</v>
      </c>
      <c r="W8" s="24">
        <f ca="1">+W7+(LiborTenor*Volatility!V7*ForwardLiborSimulation!V7)/(1+LiborTenor*ForwardLiborSimulation!V7)</f>
        <v>9.209438781555766E-4</v>
      </c>
      <c r="X8" s="24">
        <f ca="1">+X7+(LiborTenor*Volatility!W7*ForwardLiborSimulation!W7)/(1+LiborTenor*ForwardLiborSimulation!W7)</f>
        <v>8.7970413946371079E-4</v>
      </c>
      <c r="Y8" s="24">
        <f ca="1">+Y7+(LiborTenor*Volatility!X7*ForwardLiborSimulation!X7)/(1+LiborTenor*ForwardLiborSimulation!X7)</f>
        <v>8.9114367381768649E-4</v>
      </c>
      <c r="Z8" s="24">
        <f ca="1">+Z7+(LiborTenor*Volatility!Y7*ForwardLiborSimulation!Y7)/(1+LiborTenor*ForwardLiborSimulation!Y7)</f>
        <v>8.8193602030646858E-4</v>
      </c>
      <c r="AA8" s="24">
        <f ca="1">+AA7+(LiborTenor*Volatility!Z7*ForwardLiborSimulation!Z7)/(1+LiborTenor*ForwardLiborSimulation!Z7)</f>
        <v>8.963872002150944E-4</v>
      </c>
      <c r="AB8" s="24">
        <f ca="1">+AB7+(LiborTenor*Volatility!AA7*ForwardLiborSimulation!AA7)/(1+LiborTenor*ForwardLiborSimulation!AA7)</f>
        <v>9.0797120624033008E-4</v>
      </c>
      <c r="AC8" s="24">
        <f ca="1">+AC7+(LiborTenor*Volatility!AB7*ForwardLiborSimulation!AB7)/(1+LiborTenor*ForwardLiborSimulation!AB7)</f>
        <v>9.0634970993568249E-4</v>
      </c>
      <c r="AD8" s="24">
        <f ca="1">+AD7+(LiborTenor*Volatility!AC7*ForwardLiborSimulation!AC7)/(1+LiborTenor*ForwardLiborSimulation!AC7)</f>
        <v>8.9344776473446088E-4</v>
      </c>
      <c r="AE8" s="24">
        <f ca="1">+AE7+(LiborTenor*Volatility!AD7*ForwardLiborSimulation!AD7)/(1+LiborTenor*ForwardLiborSimulation!AD7)</f>
        <v>8.8785347144125287E-4</v>
      </c>
      <c r="AF8" s="24">
        <f ca="1">+AF7+(LiborTenor*Volatility!AE7*ForwardLiborSimulation!AE7)/(1+LiborTenor*ForwardLiborSimulation!AE7)</f>
        <v>9.1922213912491984E-4</v>
      </c>
      <c r="AG8" s="24">
        <f ca="1">+AG7+(LiborTenor*Volatility!AF7*ForwardLiborSimulation!AF7)/(1+LiborTenor*ForwardLiborSimulation!AF7)</f>
        <v>9.2268445648485892E-4</v>
      </c>
      <c r="AH8" s="24">
        <f ca="1">+AH7+(LiborTenor*Volatility!AG7*ForwardLiborSimulation!AG7)/(1+LiborTenor*ForwardLiborSimulation!AG7)</f>
        <v>9.3115551216131198E-4</v>
      </c>
      <c r="AI8" s="24">
        <f ca="1">+AI7+(LiborTenor*Volatility!AH7*ForwardLiborSimulation!AH7)/(1+LiborTenor*ForwardLiborSimulation!AH7)</f>
        <v>9.4085005988673036E-4</v>
      </c>
      <c r="AJ8" s="24">
        <f ca="1">+AJ7+(LiborTenor*Volatility!AI7*ForwardLiborSimulation!AI7)/(1+LiborTenor*ForwardLiborSimulation!AI7)</f>
        <v>9.7321721109764096E-4</v>
      </c>
      <c r="AK8" s="24">
        <f ca="1">+AK7+(LiborTenor*Volatility!AJ7*ForwardLiborSimulation!AJ7)/(1+LiborTenor*ForwardLiborSimulation!AJ7)</f>
        <v>9.8054581166012213E-4</v>
      </c>
      <c r="AL8" s="24">
        <f ca="1">+AL7+(LiborTenor*Volatility!AK7*ForwardLiborSimulation!AK7)/(1+LiborTenor*ForwardLiborSimulation!AK7)</f>
        <v>1.005227197567753E-3</v>
      </c>
      <c r="AM8" s="24">
        <f ca="1">+AM7+(LiborTenor*Volatility!AL7*ForwardLiborSimulation!AL7)/(1+LiborTenor*ForwardLiborSimulation!AL7)</f>
        <v>1.0168265285879637E-3</v>
      </c>
      <c r="AN8" s="24">
        <f ca="1">+AN7+(LiborTenor*Volatility!AM7*ForwardLiborSimulation!AM7)/(1+LiborTenor*ForwardLiborSimulation!AM7)</f>
        <v>1.0132101477683601E-3</v>
      </c>
      <c r="AO8" s="24">
        <f ca="1">+AO7+(LiborTenor*Volatility!AN7*ForwardLiborSimulation!AN7)/(1+LiborTenor*ForwardLiborSimulation!AN7)</f>
        <v>9.7249028624470687E-4</v>
      </c>
      <c r="AP8" s="24">
        <f ca="1">+AP7+(LiborTenor*Volatility!AO7*ForwardLiborSimulation!AO7)/(1+LiborTenor*ForwardLiborSimulation!AO7)</f>
        <v>9.6094436120985015E-4</v>
      </c>
      <c r="AQ8" s="24">
        <f ca="1">+AQ7+(LiborTenor*Volatility!AP7*ForwardLiborSimulation!AP7)/(1+LiborTenor*ForwardLiborSimulation!AP7)</f>
        <v>9.3655735091961365E-4</v>
      </c>
      <c r="AR8" s="24">
        <f ca="1">+AR7+(LiborTenor*Volatility!AQ7*ForwardLiborSimulation!AQ7)/(1+LiborTenor*ForwardLiborSimulation!AQ7)</f>
        <v>9.5013007398071455E-4</v>
      </c>
      <c r="AS8" s="24">
        <f ca="1">+AS7+(LiborTenor*Volatility!AR7*ForwardLiborSimulation!AR7)/(1+LiborTenor*ForwardLiborSimulation!AR7)</f>
        <v>9.6853152750819935E-4</v>
      </c>
      <c r="AT8" s="24">
        <f ca="1">+AT7+(LiborTenor*Volatility!AS7*ForwardLiborSimulation!AS7)/(1+LiborTenor*ForwardLiborSimulation!AS7)</f>
        <v>9.5501697132599473E-4</v>
      </c>
      <c r="AU8" s="24">
        <f ca="1">+AU7+(LiborTenor*Volatility!AT7*ForwardLiborSimulation!AT7)/(1+LiborTenor*ForwardLiborSimulation!AT7)</f>
        <v>9.4932476191919297E-4</v>
      </c>
      <c r="AV8" s="24">
        <f ca="1">+AV7+(LiborTenor*Volatility!AU7*ForwardLiborSimulation!AU7)/(1+LiborTenor*ForwardLiborSimulation!AU7)</f>
        <v>9.6616116452650602E-4</v>
      </c>
      <c r="AW8" s="24">
        <f ca="1">+AW7+(LiborTenor*Volatility!AV7*ForwardLiborSimulation!AV7)/(1+LiborTenor*ForwardLiborSimulation!AV7)</f>
        <v>9.6974204132962397E-4</v>
      </c>
      <c r="AX8" s="24">
        <f ca="1">+AX7+(LiborTenor*Volatility!AW7*ForwardLiborSimulation!AW7)/(1+LiborTenor*ForwardLiborSimulation!AW7)</f>
        <v>9.8947497448756655E-4</v>
      </c>
      <c r="AY8" s="24">
        <f ca="1">+AY7+(LiborTenor*Volatility!AX7*ForwardLiborSimulation!AX7)/(1+LiborTenor*ForwardLiborSimulation!AX7)</f>
        <v>9.6886417537690543E-4</v>
      </c>
      <c r="AZ8" s="24">
        <f ca="1">+AZ7+(LiborTenor*Volatility!AY7*ForwardLiborSimulation!AY7)/(1+LiborTenor*ForwardLiborSimulation!AY7)</f>
        <v>9.8384320353479197E-4</v>
      </c>
      <c r="BA8" s="24">
        <f ca="1">+BA7+(LiborTenor*Volatility!AZ7*ForwardLiborSimulation!AZ7)/(1+LiborTenor*ForwardLiborSimulation!AZ7)</f>
        <v>9.9650322668886097E-4</v>
      </c>
      <c r="BB8" s="24">
        <f ca="1">+BB7+(LiborTenor*Volatility!BA7*ForwardLiborSimulation!BA7)/(1+LiborTenor*ForwardLiborSimulation!BA7)</f>
        <v>1.0300216490901945E-3</v>
      </c>
      <c r="BC8" s="24">
        <f ca="1">+BC7+(LiborTenor*Volatility!BB7*ForwardLiborSimulation!BB7)/(1+LiborTenor*ForwardLiborSimulation!BB7)</f>
        <v>1.0384387162310673E-3</v>
      </c>
      <c r="BD8" s="24">
        <f ca="1">+BD7+(LiborTenor*Volatility!BC7*ForwardLiborSimulation!BC7)/(1+LiborTenor*ForwardLiborSimulation!BC7)</f>
        <v>1.0168790098229968E-3</v>
      </c>
      <c r="BE8" s="24">
        <f ca="1">+BE7+(LiborTenor*Volatility!BD7*ForwardLiborSimulation!BD7)/(1+LiborTenor*ForwardLiborSimulation!BD7)</f>
        <v>1.0154016887062738E-3</v>
      </c>
      <c r="BF8" s="24">
        <f ca="1">+BF7+(LiborTenor*Volatility!BE7*ForwardLiborSimulation!BE7)/(1+LiborTenor*ForwardLiborSimulation!BE7)</f>
        <v>1.005141004572365E-3</v>
      </c>
      <c r="BG8" s="24">
        <f ca="1">+BG7+(LiborTenor*Volatility!BF7*ForwardLiborSimulation!BF7)/(1+LiborTenor*ForwardLiborSimulation!BF7)</f>
        <v>9.7140782172598942E-4</v>
      </c>
      <c r="BH8" s="24">
        <f ca="1">+BH7+(LiborTenor*Volatility!BG7*ForwardLiborSimulation!BG7)/(1+LiborTenor*ForwardLiborSimulation!BG7)</f>
        <v>1.0084457021703075E-3</v>
      </c>
      <c r="BI8" s="24">
        <f ca="1">+BI7+(LiborTenor*Volatility!BH7*ForwardLiborSimulation!BH7)/(1+LiborTenor*ForwardLiborSimulation!BH7)</f>
        <v>9.9095512178468863E-4</v>
      </c>
      <c r="BJ8" s="24">
        <f ca="1">+BJ7+(LiborTenor*Volatility!BI7*ForwardLiborSimulation!BI7)/(1+LiborTenor*ForwardLiborSimulation!BI7)</f>
        <v>9.4439884035446738E-4</v>
      </c>
      <c r="BK8" s="24">
        <f ca="1">+BK7+(LiborTenor*Volatility!BJ7*ForwardLiborSimulation!BJ7)/(1+LiborTenor*ForwardLiborSimulation!BJ7)</f>
        <v>9.5546935621643777E-4</v>
      </c>
      <c r="BL8" s="24">
        <f ca="1">+BL7+(LiborTenor*Volatility!BK7*ForwardLiborSimulation!BK7)/(1+LiborTenor*ForwardLiborSimulation!BK7)</f>
        <v>9.7060258865859202E-4</v>
      </c>
      <c r="BM8" s="24">
        <f ca="1">+BM7+(LiborTenor*Volatility!BL7*ForwardLiborSimulation!BL7)/(1+LiborTenor*ForwardLiborSimulation!BL7)</f>
        <v>9.8646847429658476E-4</v>
      </c>
      <c r="BN8" s="24">
        <f ca="1">+BN7+(LiborTenor*Volatility!BM7*ForwardLiborSimulation!BM7)/(1+LiborTenor*ForwardLiborSimulation!BM7)</f>
        <v>9.583645827165616E-4</v>
      </c>
      <c r="BO8" s="24">
        <f ca="1">+BO7+(LiborTenor*Volatility!BN7*ForwardLiborSimulation!BN7)/(1+LiborTenor*ForwardLiborSimulation!BN7)</f>
        <v>9.6701264572940577E-4</v>
      </c>
      <c r="BP8" s="24">
        <f ca="1">+BP7+(LiborTenor*Volatility!BO7*ForwardLiborSimulation!BO7)/(1+LiborTenor*ForwardLiborSimulation!BO7)</f>
        <v>9.9029102310457307E-4</v>
      </c>
      <c r="BQ8" s="24">
        <f ca="1">+BQ7+(LiborTenor*Volatility!BP7*ForwardLiborSimulation!BP7)/(1+LiborTenor*ForwardLiborSimulation!BP7)</f>
        <v>9.9419923500802506E-4</v>
      </c>
      <c r="BR8" s="24">
        <f ca="1">+BR7+(LiborTenor*Volatility!BQ7*ForwardLiborSimulation!BQ7)/(1+LiborTenor*ForwardLiborSimulation!BQ7)</f>
        <v>9.9588520530514112E-4</v>
      </c>
      <c r="BS8" s="24">
        <f ca="1">+BS7+(LiborTenor*Volatility!BR7*ForwardLiborSimulation!BR7)/(1+LiborTenor*ForwardLiborSimulation!BR7)</f>
        <v>1.0236313952448328E-3</v>
      </c>
      <c r="BT8" s="24">
        <f ca="1">+BT7+(LiborTenor*Volatility!BS7*ForwardLiborSimulation!BS7)/(1+LiborTenor*ForwardLiborSimulation!BS7)</f>
        <v>9.8838718129354644E-4</v>
      </c>
      <c r="BU8" s="24">
        <f ca="1">+BU7+(LiborTenor*Volatility!BT7*ForwardLiborSimulation!BT7)/(1+LiborTenor*ForwardLiborSimulation!BT7)</f>
        <v>9.6203102806708893E-4</v>
      </c>
      <c r="BV8" s="24">
        <f ca="1">+BV7+(LiborTenor*Volatility!BU7*ForwardLiborSimulation!BU7)/(1+LiborTenor*ForwardLiborSimulation!BU7)</f>
        <v>9.3796693388342115E-4</v>
      </c>
      <c r="BW8" s="24">
        <f ca="1">+BW7+(LiborTenor*Volatility!BV7*ForwardLiborSimulation!BV7)/(1+LiborTenor*ForwardLiborSimulation!BV7)</f>
        <v>9.7201464934644369E-4</v>
      </c>
      <c r="BX8" s="24">
        <f ca="1">+BX7+(LiborTenor*Volatility!BW7*ForwardLiborSimulation!BW7)/(1+LiborTenor*ForwardLiborSimulation!BW7)</f>
        <v>9.2781017832569367E-4</v>
      </c>
      <c r="BY8" s="24">
        <f ca="1">+BY7+(LiborTenor*Volatility!BX7*ForwardLiborSimulation!BX7)/(1+LiborTenor*ForwardLiborSimulation!BX7)</f>
        <v>9.1440056340898711E-4</v>
      </c>
      <c r="BZ8" s="24">
        <f ca="1">+BZ7+(LiborTenor*Volatility!BY7*ForwardLiborSimulation!BY7)/(1+LiborTenor*ForwardLiborSimulation!BY7)</f>
        <v>9.1922954796247968E-4</v>
      </c>
      <c r="CA8" s="24">
        <f ca="1">+CA7+(LiborTenor*Volatility!BZ7*ForwardLiborSimulation!BZ7)/(1+LiborTenor*ForwardLiborSimulation!BZ7)</f>
        <v>9.6060610517460657E-4</v>
      </c>
      <c r="CB8" s="24">
        <f ca="1">+CB7+(LiborTenor*Volatility!CA7*ForwardLiborSimulation!CA7)/(1+LiborTenor*ForwardLiborSimulation!CA7)</f>
        <v>9.3939624099205834E-4</v>
      </c>
      <c r="CC8" s="24">
        <f ca="1">+CC7+(LiborTenor*Volatility!CB7*ForwardLiborSimulation!CB7)/(1+LiborTenor*ForwardLiborSimulation!CB7)</f>
        <v>9.5624307976333359E-4</v>
      </c>
      <c r="CD8" s="24">
        <f ca="1">+CD7+(LiborTenor*Volatility!CC7*ForwardLiborSimulation!CC7)/(1+LiborTenor*ForwardLiborSimulation!CC7)</f>
        <v>9.5287672338781673E-4</v>
      </c>
      <c r="CE8" s="24">
        <f ca="1">+CE7+(LiborTenor*Volatility!CD7*ForwardLiborSimulation!CD7)/(1+LiborTenor*ForwardLiborSimulation!CD7)</f>
        <v>9.6102834066511889E-4</v>
      </c>
      <c r="CF8" s="24">
        <f ca="1">+CF7+(LiborTenor*Volatility!CE7*ForwardLiborSimulation!CE7)/(1+LiborTenor*ForwardLiborSimulation!CE7)</f>
        <v>9.3425906741982862E-4</v>
      </c>
      <c r="CG8" s="24">
        <f ca="1">+CG7+(LiborTenor*Volatility!CF7*ForwardLiborSimulation!CF7)/(1+LiborTenor*ForwardLiborSimulation!CF7)</f>
        <v>9.5824768806824221E-4</v>
      </c>
      <c r="CH8" s="24">
        <f ca="1">+CH7+(LiborTenor*Volatility!CG7*ForwardLiborSimulation!CG7)/(1+LiborTenor*ForwardLiborSimulation!CG7)</f>
        <v>9.6708868522859886E-4</v>
      </c>
      <c r="CI8" s="24">
        <f ca="1">+CI7+(LiborTenor*Volatility!CH7*ForwardLiborSimulation!CH7)/(1+LiborTenor*ForwardLiborSimulation!CH7)</f>
        <v>9.46269662835708E-4</v>
      </c>
      <c r="CJ8" s="24">
        <f ca="1">+CJ7+(LiborTenor*Volatility!CI7*ForwardLiborSimulation!CI7)/(1+LiborTenor*ForwardLiborSimulation!CI7)</f>
        <v>9.4228730020818566E-4</v>
      </c>
      <c r="CK8" s="24">
        <f ca="1">+CK7+(LiborTenor*Volatility!CJ7*ForwardLiborSimulation!CJ7)/(1+LiborTenor*ForwardLiborSimulation!CJ7)</f>
        <v>9.2809280299016692E-4</v>
      </c>
      <c r="CL8" s="24">
        <f ca="1">+CL7+(LiborTenor*Volatility!CK7*ForwardLiborSimulation!CK7)/(1+LiborTenor*ForwardLiborSimulation!CK7)</f>
        <v>9.210874439035964E-4</v>
      </c>
      <c r="CM8" s="24">
        <f ca="1">+CM7+(LiborTenor*Volatility!CL7*ForwardLiborSimulation!CL7)/(1+LiborTenor*ForwardLiborSimulation!CL7)</f>
        <v>9.3753369627507378E-4</v>
      </c>
      <c r="CN8" s="24">
        <f ca="1">+CN7+(LiborTenor*Volatility!CM7*ForwardLiborSimulation!CM7)/(1+LiborTenor*ForwardLiborSimulation!CM7)</f>
        <v>9.284994679234739E-4</v>
      </c>
      <c r="CO8" s="24">
        <f ca="1">+CO7+(LiborTenor*Volatility!CN7*ForwardLiborSimulation!CN7)/(1+LiborTenor*ForwardLiborSimulation!CN7)</f>
        <v>9.17708616343381E-4</v>
      </c>
      <c r="CP8" s="24">
        <f ca="1">+CP7+(LiborTenor*Volatility!CO7*ForwardLiborSimulation!CO7)/(1+LiborTenor*ForwardLiborSimulation!CO7)</f>
        <v>8.8547252331147173E-4</v>
      </c>
      <c r="CQ8" s="24">
        <f ca="1">+CQ7+(LiborTenor*Volatility!CP7*ForwardLiborSimulation!CP7)/(1+LiborTenor*ForwardLiborSimulation!CP7)</f>
        <v>8.9704266709193889E-4</v>
      </c>
      <c r="CR8" s="24">
        <f ca="1">+CR7+(LiborTenor*Volatility!CQ7*ForwardLiborSimulation!CQ7)/(1+LiborTenor*ForwardLiborSimulation!CQ7)</f>
        <v>9.1841410165989035E-4</v>
      </c>
      <c r="CS8" s="24">
        <f ca="1">+CS7+(LiborTenor*Volatility!CR7*ForwardLiborSimulation!CR7)/(1+LiborTenor*ForwardLiborSimulation!CR7)</f>
        <v>9.3821701954055904E-4</v>
      </c>
      <c r="CT8" s="24">
        <f ca="1">+CT7+(LiborTenor*Volatility!CS7*ForwardLiborSimulation!CS7)/(1+LiborTenor*ForwardLiborSimulation!CS7)</f>
        <v>9.4753999106730283E-4</v>
      </c>
      <c r="CU8" s="24">
        <f ca="1">+CU7+(LiborTenor*Volatility!CT7*ForwardLiborSimulation!CT7)/(1+LiborTenor*ForwardLiborSimulation!CT7)</f>
        <v>9.6717899002006123E-4</v>
      </c>
      <c r="CV8" s="24">
        <f ca="1">+CV7+(LiborTenor*Volatility!CU7*ForwardLiborSimulation!CU7)/(1+LiborTenor*ForwardLiborSimulation!CU7)</f>
        <v>9.6621132458191812E-4</v>
      </c>
      <c r="CW8" s="24">
        <f ca="1">+CW7+(LiborTenor*Volatility!CV7*ForwardLiborSimulation!CV7)/(1+LiborTenor*ForwardLiborSimulation!CV7)</f>
        <v>9.6772060347175882E-4</v>
      </c>
      <c r="CX8" s="24">
        <f ca="1">+CX7+(LiborTenor*Volatility!CW7*ForwardLiborSimulation!CW7)/(1+LiborTenor*ForwardLiborSimulation!CW7)</f>
        <v>9.8557830211082787E-4</v>
      </c>
      <c r="CY8" s="24">
        <f ca="1">+CY7+(LiborTenor*Volatility!CX7*ForwardLiborSimulation!CX7)/(1+LiborTenor*ForwardLiborSimulation!CX7)</f>
        <v>9.9610746043252954E-4</v>
      </c>
      <c r="CZ8" s="24">
        <f ca="1">+CZ7+(LiborTenor*Volatility!CY7*ForwardLiborSimulation!CY7)/(1+LiborTenor*ForwardLiborSimulation!CY7)</f>
        <v>1.02474110505887E-3</v>
      </c>
      <c r="DA8" s="24">
        <f ca="1">+DA7+(LiborTenor*Volatility!CZ7*ForwardLiborSimulation!CZ7)/(1+LiborTenor*ForwardLiborSimulation!CZ7)</f>
        <v>1.0307392519207665E-3</v>
      </c>
      <c r="DB8" s="24">
        <f ca="1">+DB7+(LiborTenor*Volatility!DA7*ForwardLiborSimulation!DA7)/(1+LiborTenor*ForwardLiborSimulation!DA7)</f>
        <v>1.0463130836043848E-3</v>
      </c>
      <c r="DC8" s="24">
        <f ca="1">+DC7+(LiborTenor*Volatility!DB7*ForwardLiborSimulation!DB7)/(1+LiborTenor*ForwardLiborSimulation!DB7)</f>
        <v>1.0598567985268556E-3</v>
      </c>
      <c r="DD8" s="24">
        <f ca="1">+DD7+(LiborTenor*Volatility!DC7*ForwardLiborSimulation!DC7)/(1+LiborTenor*ForwardLiborSimulation!DC7)</f>
        <v>1.0417508806756933E-3</v>
      </c>
      <c r="DE8" s="24">
        <f ca="1">+DE7+(LiborTenor*Volatility!DD7*ForwardLiborSimulation!DD7)/(1+LiborTenor*ForwardLiborSimulation!DD7)</f>
        <v>1.0558891707005153E-3</v>
      </c>
      <c r="DF8" s="24">
        <f ca="1">+DF7+(LiborTenor*Volatility!DE7*ForwardLiborSimulation!DE7)/(1+LiborTenor*ForwardLiborSimulation!DE7)</f>
        <v>1.0906865163415234E-3</v>
      </c>
      <c r="DG8" s="24">
        <f ca="1">+DG7+(LiborTenor*Volatility!DF7*ForwardLiborSimulation!DF7)/(1+LiborTenor*ForwardLiborSimulation!DF7)</f>
        <v>1.0824289555360677E-3</v>
      </c>
      <c r="DH8" s="24">
        <f ca="1">+DH7+(LiborTenor*Volatility!DG7*ForwardLiborSimulation!DG7)/(1+LiborTenor*ForwardLiborSimulation!DG7)</f>
        <v>1.0932808702584372E-3</v>
      </c>
      <c r="DI8" s="24">
        <f ca="1">+DI7+(LiborTenor*Volatility!DH7*ForwardLiborSimulation!DH7)/(1+LiborTenor*ForwardLiborSimulation!DH7)</f>
        <v>1.1237212638754625E-3</v>
      </c>
      <c r="DJ8" s="24">
        <f ca="1">+DJ7+(LiborTenor*Volatility!DI7*ForwardLiborSimulation!DI7)/(1+LiborTenor*ForwardLiborSimulation!DI7)</f>
        <v>1.1289846470748462E-3</v>
      </c>
      <c r="DK8" s="24">
        <f ca="1">+DK7+(LiborTenor*Volatility!DJ7*ForwardLiborSimulation!DJ7)/(1+LiborTenor*ForwardLiborSimulation!DJ7)</f>
        <v>1.1202412962451774E-3</v>
      </c>
      <c r="DL8" s="24">
        <f ca="1">+DL7+(LiborTenor*Volatility!DK7*ForwardLiborSimulation!DK7)/(1+LiborTenor*ForwardLiborSimulation!DK7)</f>
        <v>1.1273079829206749E-3</v>
      </c>
      <c r="DM8" s="24">
        <f ca="1">+DM7+(LiborTenor*Volatility!DL7*ForwardLiborSimulation!DL7)/(1+LiborTenor*ForwardLiborSimulation!DL7)</f>
        <v>1.1189733564541588E-3</v>
      </c>
      <c r="DN8" s="24">
        <f ca="1">+DN7+(LiborTenor*Volatility!DM7*ForwardLiborSimulation!DM7)/(1+LiborTenor*ForwardLiborSimulation!DM7)</f>
        <v>1.1289415494518304E-3</v>
      </c>
      <c r="DO8" s="24">
        <f ca="1">+DO7+(LiborTenor*Volatility!DN7*ForwardLiborSimulation!DN7)/(1+LiborTenor*ForwardLiborSimulation!DN7)</f>
        <v>1.1642857222947112E-3</v>
      </c>
      <c r="DP8" s="24">
        <f ca="1">+DP7+(LiborTenor*Volatility!DO7*ForwardLiborSimulation!DO7)/(1+LiborTenor*ForwardLiborSimulation!DO7)</f>
        <v>1.1863705138518204E-3</v>
      </c>
      <c r="DQ8" s="24">
        <f ca="1">+DQ7+(LiborTenor*Volatility!DP7*ForwardLiborSimulation!DP7)/(1+LiborTenor*ForwardLiborSimulation!DP7)</f>
        <v>1.1397165620925932E-3</v>
      </c>
      <c r="DR8" s="24"/>
      <c r="DS8" s="24"/>
      <c r="DT8" s="24"/>
      <c r="DU8" s="14"/>
      <c r="DV8" s="14"/>
      <c r="DW8" s="14"/>
    </row>
    <row r="9" spans="2:127" x14ac:dyDescent="0.2">
      <c r="B9" s="7"/>
      <c r="D9" s="2">
        <f>+ForwardLiborSimulation!D9</f>
        <v>9.5</v>
      </c>
      <c r="E9" s="10"/>
      <c r="F9" s="12" t="str">
        <f>+"L(t;"&amp;D10&amp;","&amp;D9&amp;")"</f>
        <v>L(t;9.25,9.5)</v>
      </c>
      <c r="G9" s="14"/>
      <c r="H9" s="24">
        <f>+H8+(LiborTenor*Volatility!G8*ForwardLiborSimulation!G8)/(1+LiborTenor*ForwardLiborSimulation!G8)</f>
        <v>1.7407407407407411E-3</v>
      </c>
      <c r="I9" s="24">
        <f ca="1">+I8+(LiborTenor*Volatility!H8*ForwardLiborSimulation!H8)/(1+LiborTenor*ForwardLiborSimulation!H8)</f>
        <v>1.7965783480830134E-3</v>
      </c>
      <c r="J9" s="24">
        <f ca="1">+J8+(LiborTenor*Volatility!I8*ForwardLiborSimulation!I8)/(1+LiborTenor*ForwardLiborSimulation!I8)</f>
        <v>1.8238645489029681E-3</v>
      </c>
      <c r="K9" s="24">
        <f ca="1">+K8+(LiborTenor*Volatility!J8*ForwardLiborSimulation!J8)/(1+LiborTenor*ForwardLiborSimulation!J8)</f>
        <v>1.7933707899341412E-3</v>
      </c>
      <c r="L9" s="24">
        <f ca="1">+L8+(LiborTenor*Volatility!K8*ForwardLiborSimulation!K8)/(1+LiborTenor*ForwardLiborSimulation!K8)</f>
        <v>1.8040979835394154E-3</v>
      </c>
      <c r="M9" s="24">
        <f ca="1">+M8+(LiborTenor*Volatility!L8*ForwardLiborSimulation!L8)/(1+LiborTenor*ForwardLiborSimulation!L8)</f>
        <v>1.7697780678298464E-3</v>
      </c>
      <c r="N9" s="24">
        <f ca="1">+N8+(LiborTenor*Volatility!M8*ForwardLiborSimulation!M8)/(1+LiborTenor*ForwardLiborSimulation!M8)</f>
        <v>1.8426841383888727E-3</v>
      </c>
      <c r="O9" s="24">
        <f ca="1">+O8+(LiborTenor*Volatility!N8*ForwardLiborSimulation!N8)/(1+LiborTenor*ForwardLiborSimulation!N8)</f>
        <v>1.8317727220736474E-3</v>
      </c>
      <c r="P9" s="24">
        <f ca="1">+P8+(LiborTenor*Volatility!O8*ForwardLiborSimulation!O8)/(1+LiborTenor*ForwardLiborSimulation!O8)</f>
        <v>1.8737259425647564E-3</v>
      </c>
      <c r="Q9" s="24">
        <f ca="1">+Q8+(LiborTenor*Volatility!P8*ForwardLiborSimulation!P8)/(1+LiborTenor*ForwardLiborSimulation!P8)</f>
        <v>1.841961115178417E-3</v>
      </c>
      <c r="R9" s="24">
        <f ca="1">+R8+(LiborTenor*Volatility!Q8*ForwardLiborSimulation!Q8)/(1+LiborTenor*ForwardLiborSimulation!Q8)</f>
        <v>1.8487770737265785E-3</v>
      </c>
      <c r="S9" s="24">
        <f ca="1">+S8+(LiborTenor*Volatility!R8*ForwardLiborSimulation!R8)/(1+LiborTenor*ForwardLiborSimulation!R8)</f>
        <v>1.8812671209214038E-3</v>
      </c>
      <c r="T9" s="24">
        <f ca="1">+T8+(LiborTenor*Volatility!S8*ForwardLiborSimulation!S8)/(1+LiborTenor*ForwardLiborSimulation!S8)</f>
        <v>1.9438718074544408E-3</v>
      </c>
      <c r="U9" s="24">
        <f ca="1">+U8+(LiborTenor*Volatility!T8*ForwardLiborSimulation!T8)/(1+LiborTenor*ForwardLiborSimulation!T8)</f>
        <v>1.9210248381919097E-3</v>
      </c>
      <c r="V9" s="24">
        <f ca="1">+V8+(LiborTenor*Volatility!U8*ForwardLiborSimulation!U8)/(1+LiborTenor*ForwardLiborSimulation!U8)</f>
        <v>1.9180873900185294E-3</v>
      </c>
      <c r="W9" s="24">
        <f ca="1">+W8+(LiborTenor*Volatility!V8*ForwardLiborSimulation!V8)/(1+LiborTenor*ForwardLiborSimulation!V8)</f>
        <v>1.8826391366670871E-3</v>
      </c>
      <c r="X9" s="24">
        <f ca="1">+X8+(LiborTenor*Volatility!W8*ForwardLiborSimulation!W8)/(1+LiborTenor*ForwardLiborSimulation!W8)</f>
        <v>1.796509751605634E-3</v>
      </c>
      <c r="Y9" s="24">
        <f ca="1">+Y8+(LiborTenor*Volatility!X8*ForwardLiborSimulation!X8)/(1+LiborTenor*ForwardLiborSimulation!X8)</f>
        <v>1.8203700443659033E-3</v>
      </c>
      <c r="Z9" s="24">
        <f ca="1">+Z8+(LiborTenor*Volatility!Y8*ForwardLiborSimulation!Y8)/(1+LiborTenor*ForwardLiborSimulation!Y8)</f>
        <v>1.8011505285578781E-3</v>
      </c>
      <c r="AA9" s="24">
        <f ca="1">+AA8+(LiborTenor*Volatility!Z8*ForwardLiborSimulation!Z8)/(1+LiborTenor*ForwardLiborSimulation!Z8)</f>
        <v>1.8312950727237226E-3</v>
      </c>
      <c r="AB9" s="24">
        <f ca="1">+AB8+(LiborTenor*Volatility!AA8*ForwardLiborSimulation!AA8)/(1+LiborTenor*ForwardLiborSimulation!AA8)</f>
        <v>1.8554660846576134E-3</v>
      </c>
      <c r="AC9" s="24">
        <f ca="1">+AC8+(LiborTenor*Volatility!AB8*ForwardLiborSimulation!AB8)/(1+LiborTenor*ForwardLiborSimulation!AB8)</f>
        <v>1.8520758012583027E-3</v>
      </c>
      <c r="AD9" s="24">
        <f ca="1">+AD8+(LiborTenor*Volatility!AC8*ForwardLiborSimulation!AC8)/(1+LiborTenor*ForwardLiborSimulation!AC8)</f>
        <v>1.8251374237513393E-3</v>
      </c>
      <c r="AE9" s="24">
        <f ca="1">+AE8+(LiborTenor*Volatility!AD8*ForwardLiborSimulation!AD8)/(1+LiborTenor*ForwardLiborSimulation!AD8)</f>
        <v>1.8134578412216918E-3</v>
      </c>
      <c r="AF9" s="24">
        <f ca="1">+AF8+(LiborTenor*Volatility!AE8*ForwardLiborSimulation!AE8)/(1+LiborTenor*ForwardLiborSimulation!AE8)</f>
        <v>1.8789049851603004E-3</v>
      </c>
      <c r="AG9" s="24">
        <f ca="1">+AG8+(LiborTenor*Volatility!AF8*ForwardLiborSimulation!AF8)/(1+LiborTenor*ForwardLiborSimulation!AF8)</f>
        <v>1.8861292918877603E-3</v>
      </c>
      <c r="AH9" s="24">
        <f ca="1">+AH8+(LiborTenor*Volatility!AG8*ForwardLiborSimulation!AG8)/(1+LiborTenor*ForwardLiborSimulation!AG8)</f>
        <v>1.9038136810217471E-3</v>
      </c>
      <c r="AI9" s="24">
        <f ca="1">+AI8+(LiborTenor*Volatility!AH8*ForwardLiborSimulation!AH8)/(1+LiborTenor*ForwardLiborSimulation!AH8)</f>
        <v>1.9240568727519759E-3</v>
      </c>
      <c r="AJ9" s="24">
        <f ca="1">+AJ8+(LiborTenor*Volatility!AI8*ForwardLiborSimulation!AI8)/(1+LiborTenor*ForwardLiborSimulation!AI8)</f>
        <v>1.9916699166648609E-3</v>
      </c>
      <c r="AK9" s="24">
        <f ca="1">+AK8+(LiborTenor*Volatility!AJ8*ForwardLiborSimulation!AJ8)/(1+LiborTenor*ForwardLiborSimulation!AJ8)</f>
        <v>2.0069852898865772E-3</v>
      </c>
      <c r="AL9" s="24">
        <f ca="1">+AL8+(LiborTenor*Volatility!AK8*ForwardLiborSimulation!AK8)/(1+LiborTenor*ForwardLiborSimulation!AK8)</f>
        <v>2.058586734055064E-3</v>
      </c>
      <c r="AM9" s="24">
        <f ca="1">+AM8+(LiborTenor*Volatility!AL8*ForwardLiborSimulation!AL8)/(1+LiborTenor*ForwardLiborSimulation!AL8)</f>
        <v>2.0828468584997133E-3</v>
      </c>
      <c r="AN9" s="24">
        <f ca="1">+AN8+(LiborTenor*Volatility!AM8*ForwardLiborSimulation!AM8)/(1+LiborTenor*ForwardLiborSimulation!AM8)</f>
        <v>2.0752726785894619E-3</v>
      </c>
      <c r="AO9" s="24">
        <f ca="1">+AO8+(LiborTenor*Volatility!AN8*ForwardLiborSimulation!AN8)/(1+LiborTenor*ForwardLiborSimulation!AN8)</f>
        <v>1.9900620016261774E-3</v>
      </c>
      <c r="AP9" s="24">
        <f ca="1">+AP8+(LiborTenor*Volatility!AO8*ForwardLiborSimulation!AO8)/(1+LiborTenor*ForwardLiborSimulation!AO8)</f>
        <v>1.9659190209378422E-3</v>
      </c>
      <c r="AQ9" s="24">
        <f ca="1">+AQ8+(LiborTenor*Volatility!AP8*ForwardLiborSimulation!AP8)/(1+LiborTenor*ForwardLiborSimulation!AP8)</f>
        <v>1.9149448855669217E-3</v>
      </c>
      <c r="AR9" s="24">
        <f ca="1">+AR8+(LiborTenor*Volatility!AQ8*ForwardLiborSimulation!AQ8)/(1+LiborTenor*ForwardLiborSimulation!AQ8)</f>
        <v>1.943289492166619E-3</v>
      </c>
      <c r="AS9" s="24">
        <f ca="1">+AS8+(LiborTenor*Volatility!AR8*ForwardLiborSimulation!AR8)/(1+LiborTenor*ForwardLiborSimulation!AR8)</f>
        <v>1.9817317321725435E-3</v>
      </c>
      <c r="AT9" s="24">
        <f ca="1">+AT8+(LiborTenor*Volatility!AS8*ForwardLiborSimulation!AS8)/(1+LiborTenor*ForwardLiborSimulation!AS8)</f>
        <v>1.9534766084439467E-3</v>
      </c>
      <c r="AU9" s="24">
        <f ca="1">+AU8+(LiborTenor*Volatility!AT8*ForwardLiborSimulation!AT8)/(1+LiborTenor*ForwardLiborSimulation!AT8)</f>
        <v>1.9415762383712489E-3</v>
      </c>
      <c r="AV9" s="24">
        <f ca="1">+AV8+(LiborTenor*Volatility!AU8*ForwardLiborSimulation!AU8)/(1+LiborTenor*ForwardLiborSimulation!AU8)</f>
        <v>1.9767472856398261E-3</v>
      </c>
      <c r="AW9" s="24">
        <f ca="1">+AW8+(LiborTenor*Volatility!AV8*ForwardLiborSimulation!AV8)/(1+LiborTenor*ForwardLiborSimulation!AV8)</f>
        <v>1.984225812967054E-3</v>
      </c>
      <c r="AX9" s="24">
        <f ca="1">+AX8+(LiborTenor*Volatility!AW8*ForwardLiborSimulation!AW8)/(1+LiborTenor*ForwardLiborSimulation!AW8)</f>
        <v>2.0254669976049722E-3</v>
      </c>
      <c r="AY9" s="24">
        <f ca="1">+AY8+(LiborTenor*Volatility!AX8*ForwardLiborSimulation!AX8)/(1+LiborTenor*ForwardLiborSimulation!AX8)</f>
        <v>1.9823595303950581E-3</v>
      </c>
      <c r="AZ9" s="24">
        <f ca="1">+AZ8+(LiborTenor*Volatility!AY8*ForwardLiborSimulation!AY8)/(1+LiborTenor*ForwardLiborSimulation!AY8)</f>
        <v>2.0136627179736383E-3</v>
      </c>
      <c r="BA9" s="24">
        <f ca="1">+BA8+(LiborTenor*Volatility!AZ8*ForwardLiborSimulation!AZ8)/(1+LiborTenor*ForwardLiborSimulation!AZ8)</f>
        <v>2.0401272035325923E-3</v>
      </c>
      <c r="BB9" s="24">
        <f ca="1">+BB8+(LiborTenor*Volatility!BA8*ForwardLiborSimulation!BA8)/(1+LiborTenor*ForwardLiborSimulation!BA8)</f>
        <v>2.1102225856408992E-3</v>
      </c>
      <c r="BC9" s="24">
        <f ca="1">+BC8+(LiborTenor*Volatility!BB8*ForwardLiborSimulation!BB8)/(1+LiborTenor*ForwardLiborSimulation!BB8)</f>
        <v>2.1278320956608547E-3</v>
      </c>
      <c r="BD9" s="24">
        <f ca="1">+BD8+(LiborTenor*Volatility!BC8*ForwardLiborSimulation!BC8)/(1+LiborTenor*ForwardLiborSimulation!BC8)</f>
        <v>2.0826941596215499E-3</v>
      </c>
      <c r="BE9" s="24">
        <f ca="1">+BE8+(LiborTenor*Volatility!BD8*ForwardLiborSimulation!BD8)/(1+LiborTenor*ForwardLiborSimulation!BD8)</f>
        <v>2.0795965399328896E-3</v>
      </c>
      <c r="BF9" s="24">
        <f ca="1">+BF8+(LiborTenor*Volatility!BE8*ForwardLiborSimulation!BE8)/(1+LiborTenor*ForwardLiborSimulation!BE8)</f>
        <v>2.0581219870290596E-3</v>
      </c>
      <c r="BG9" s="24">
        <f ca="1">+BG8+(LiborTenor*Volatility!BF8*ForwardLiborSimulation!BF8)/(1+LiborTenor*ForwardLiborSimulation!BF8)</f>
        <v>1.9875523208050402E-3</v>
      </c>
      <c r="BH9" s="24">
        <f ca="1">+BH8+(LiborTenor*Volatility!BG8*ForwardLiborSimulation!BG8)/(1+LiborTenor*ForwardLiborSimulation!BG8)</f>
        <v>2.0649618347883961E-3</v>
      </c>
      <c r="BI9" s="24">
        <f ca="1">+BI8+(LiborTenor*Volatility!BH8*ForwardLiborSimulation!BH8)/(1+LiborTenor*ForwardLiborSimulation!BH8)</f>
        <v>2.0283673910089961E-3</v>
      </c>
      <c r="BJ9" s="24">
        <f ca="1">+BJ8+(LiborTenor*Volatility!BI8*ForwardLiborSimulation!BI8)/(1+LiborTenor*ForwardLiborSimulation!BI8)</f>
        <v>1.9310081742723421E-3</v>
      </c>
      <c r="BK9" s="24">
        <f ca="1">+BK8+(LiborTenor*Volatility!BJ8*ForwardLiborSimulation!BJ8)/(1+LiborTenor*ForwardLiborSimulation!BJ8)</f>
        <v>1.9541265518485114E-3</v>
      </c>
      <c r="BL9" s="24">
        <f ca="1">+BL8+(LiborTenor*Volatility!BK8*ForwardLiborSimulation!BK8)/(1+LiborTenor*ForwardLiborSimulation!BK8)</f>
        <v>1.9857387848653701E-3</v>
      </c>
      <c r="BM9" s="24">
        <f ca="1">+BM8+(LiborTenor*Volatility!BL8*ForwardLiborSimulation!BL8)/(1+LiborTenor*ForwardLiborSimulation!BL8)</f>
        <v>2.0188926660270109E-3</v>
      </c>
      <c r="BN9" s="24">
        <f ca="1">+BN8+(LiborTenor*Volatility!BM8*ForwardLiborSimulation!BM8)/(1+LiborTenor*ForwardLiborSimulation!BM8)</f>
        <v>1.9601278476052866E-3</v>
      </c>
      <c r="BO9" s="24">
        <f ca="1">+BO8+(LiborTenor*Volatility!BN8*ForwardLiborSimulation!BN8)/(1+LiborTenor*ForwardLiborSimulation!BN8)</f>
        <v>1.9781912856445022E-3</v>
      </c>
      <c r="BP9" s="24">
        <f ca="1">+BP8+(LiborTenor*Volatility!BO8*ForwardLiborSimulation!BO8)/(1+LiborTenor*ForwardLiborSimulation!BO8)</f>
        <v>2.0268322637207892E-3</v>
      </c>
      <c r="BQ9" s="24">
        <f ca="1">+BQ8+(LiborTenor*Volatility!BP8*ForwardLiborSimulation!BP8)/(1+LiborTenor*ForwardLiborSimulation!BP8)</f>
        <v>2.0349975543262899E-3</v>
      </c>
      <c r="BR9" s="24">
        <f ca="1">+BR8+(LiborTenor*Volatility!BQ8*ForwardLiborSimulation!BQ8)/(1+LiborTenor*ForwardLiborSimulation!BQ8)</f>
        <v>2.0385166863937185E-3</v>
      </c>
      <c r="BS9" s="24">
        <f ca="1">+BS8+(LiborTenor*Volatility!BR8*ForwardLiborSimulation!BR8)/(1+LiborTenor*ForwardLiborSimulation!BR8)</f>
        <v>2.0965300538682129E-3</v>
      </c>
      <c r="BT9" s="24">
        <f ca="1">+BT8+(LiborTenor*Volatility!BS8*ForwardLiborSimulation!BS8)/(1+LiborTenor*ForwardLiborSimulation!BS8)</f>
        <v>2.0227800199086599E-3</v>
      </c>
      <c r="BU9" s="24">
        <f ca="1">+BU8+(LiborTenor*Volatility!BT8*ForwardLiborSimulation!BT8)/(1+LiborTenor*ForwardLiborSimulation!BT8)</f>
        <v>1.9676704053523853E-3</v>
      </c>
      <c r="BV9" s="24">
        <f ca="1">+BV8+(LiborTenor*Volatility!BU8*ForwardLiborSimulation!BU8)/(1+LiborTenor*ForwardLiborSimulation!BU8)</f>
        <v>1.9173832865136157E-3</v>
      </c>
      <c r="BW9" s="24">
        <f ca="1">+BW8+(LiborTenor*Volatility!BV8*ForwardLiborSimulation!BV8)/(1+LiborTenor*ForwardLiborSimulation!BV8)</f>
        <v>1.98847821797641E-3</v>
      </c>
      <c r="BX9" s="24">
        <f ca="1">+BX8+(LiborTenor*Volatility!BW8*ForwardLiborSimulation!BW8)/(1+LiborTenor*ForwardLiborSimulation!BW8)</f>
        <v>1.896089480836852E-3</v>
      </c>
      <c r="BY9" s="24">
        <f ca="1">+BY8+(LiborTenor*Volatility!BX8*ForwardLiborSimulation!BX8)/(1+LiborTenor*ForwardLiborSimulation!BX8)</f>
        <v>1.8680886957393129E-3</v>
      </c>
      <c r="BZ9" s="24">
        <f ca="1">+BZ8+(LiborTenor*Volatility!BY8*ForwardLiborSimulation!BY8)/(1+LiborTenor*ForwardLiborSimulation!BY8)</f>
        <v>1.8781615824272338E-3</v>
      </c>
      <c r="CA9" s="24">
        <f ca="1">+CA8+(LiborTenor*Volatility!BZ8*ForwardLiborSimulation!BZ8)/(1+LiborTenor*ForwardLiborSimulation!BZ8)</f>
        <v>1.9645185733466945E-3</v>
      </c>
      <c r="CB9" s="24">
        <f ca="1">+CB8+(LiborTenor*Volatility!CA8*ForwardLiborSimulation!CA8)/(1+LiborTenor*ForwardLiborSimulation!CA8)</f>
        <v>1.9202007356559467E-3</v>
      </c>
      <c r="CC9" s="24">
        <f ca="1">+CC8+(LiborTenor*Volatility!CB8*ForwardLiborSimulation!CB8)/(1+LiborTenor*ForwardLiborSimulation!CB8)</f>
        <v>1.955374003106451E-3</v>
      </c>
      <c r="CD9" s="24">
        <f ca="1">+CD8+(LiborTenor*Volatility!CC8*ForwardLiborSimulation!CC8)/(1+LiborTenor*ForwardLiborSimulation!CC8)</f>
        <v>1.9483359921788172E-3</v>
      </c>
      <c r="CE9" s="24">
        <f ca="1">+CE8+(LiborTenor*Volatility!CD8*ForwardLiborSimulation!CD8)/(1+LiborTenor*ForwardLiborSimulation!CD8)</f>
        <v>1.9653572387820588E-3</v>
      </c>
      <c r="CF9" s="24">
        <f ca="1">+CF8+(LiborTenor*Volatility!CE8*ForwardLiborSimulation!CE8)/(1+LiborTenor*ForwardLiborSimulation!CE8)</f>
        <v>1.9094252016454124E-3</v>
      </c>
      <c r="CG9" s="24">
        <f ca="1">+CG8+(LiborTenor*Volatility!CF8*ForwardLiborSimulation!CF8)/(1+LiborTenor*ForwardLiborSimulation!CF8)</f>
        <v>1.9595043403978023E-3</v>
      </c>
      <c r="CH9" s="24">
        <f ca="1">+CH8+(LiborTenor*Volatility!CG8*ForwardLiborSimulation!CG8)/(1+LiborTenor*ForwardLiborSimulation!CG8)</f>
        <v>1.9779672525686719E-3</v>
      </c>
      <c r="CI9" s="24">
        <f ca="1">+CI8+(LiborTenor*Volatility!CH8*ForwardLiborSimulation!CH8)/(1+LiborTenor*ForwardLiborSimulation!CH8)</f>
        <v>1.9344616655713554E-3</v>
      </c>
      <c r="CJ9" s="24">
        <f ca="1">+CJ8+(LiborTenor*Volatility!CI8*ForwardLiborSimulation!CI8)/(1+LiborTenor*ForwardLiborSimulation!CI8)</f>
        <v>1.926139201224723E-3</v>
      </c>
      <c r="CK9" s="24">
        <f ca="1">+CK8+(LiborTenor*Volatility!CJ8*ForwardLiborSimulation!CJ8)/(1+LiborTenor*ForwardLiborSimulation!CJ8)</f>
        <v>1.8964924482157241E-3</v>
      </c>
      <c r="CL9" s="24">
        <f ca="1">+CL8+(LiborTenor*Volatility!CK8*ForwardLiborSimulation!CK8)/(1+LiborTenor*ForwardLiborSimulation!CK8)</f>
        <v>1.8818632424821577E-3</v>
      </c>
      <c r="CM9" s="24">
        <f ca="1">+CM8+(LiborTenor*Volatility!CL8*ForwardLiborSimulation!CL8)/(1+LiborTenor*ForwardLiborSimulation!CL8)</f>
        <v>1.9161834949795694E-3</v>
      </c>
      <c r="CN9" s="24">
        <f ca="1">+CN8+(LiborTenor*Volatility!CM8*ForwardLiborSimulation!CM8)/(1+LiborTenor*ForwardLiborSimulation!CM8)</f>
        <v>1.8973149297976805E-3</v>
      </c>
      <c r="CO9" s="24">
        <f ca="1">+CO8+(LiborTenor*Volatility!CN8*ForwardLiborSimulation!CN8)/(1+LiborTenor*ForwardLiborSimulation!CN8)</f>
        <v>1.8747835516724762E-3</v>
      </c>
      <c r="CP9" s="24">
        <f ca="1">+CP8+(LiborTenor*Volatility!CO8*ForwardLiborSimulation!CO8)/(1+LiborTenor*ForwardLiborSimulation!CO8)</f>
        <v>1.8075022791924954E-3</v>
      </c>
      <c r="CQ9" s="24">
        <f ca="1">+CQ8+(LiborTenor*Volatility!CP8*ForwardLiborSimulation!CP8)/(1+LiborTenor*ForwardLiborSimulation!CP8)</f>
        <v>1.8316244011409803E-3</v>
      </c>
      <c r="CR9" s="24">
        <f ca="1">+CR8+(LiborTenor*Volatility!CQ8*ForwardLiborSimulation!CQ8)/(1+LiborTenor*ForwardLiborSimulation!CQ8)</f>
        <v>1.8761971388946167E-3</v>
      </c>
      <c r="CS9" s="24">
        <f ca="1">+CS8+(LiborTenor*Volatility!CR8*ForwardLiborSimulation!CR8)/(1+LiborTenor*ForwardLiborSimulation!CR8)</f>
        <v>1.9175186841643662E-3</v>
      </c>
      <c r="CT9" s="24">
        <f ca="1">+CT8+(LiborTenor*Volatility!CS8*ForwardLiborSimulation!CS8)/(1+LiborTenor*ForwardLiborSimulation!CS8)</f>
        <v>1.9369782111768436E-3</v>
      </c>
      <c r="CU9" s="24">
        <f ca="1">+CU8+(LiborTenor*Volatility!CT8*ForwardLiborSimulation!CT8)/(1+LiborTenor*ForwardLiborSimulation!CT8)</f>
        <v>1.9779846033525102E-3</v>
      </c>
      <c r="CV9" s="24">
        <f ca="1">+CV8+(LiborTenor*Volatility!CU8*ForwardLiborSimulation!CU8)/(1+LiborTenor*ForwardLiborSimulation!CU8)</f>
        <v>1.9759569849899534E-3</v>
      </c>
      <c r="CW9" s="24">
        <f ca="1">+CW8+(LiborTenor*Volatility!CV8*ForwardLiborSimulation!CV8)/(1+LiborTenor*ForwardLiborSimulation!CV8)</f>
        <v>1.9791041950774908E-3</v>
      </c>
      <c r="CX9" s="24">
        <f ca="1">+CX8+(LiborTenor*Volatility!CW8*ForwardLiborSimulation!CW8)/(1+LiborTenor*ForwardLiborSimulation!CW8)</f>
        <v>2.0164070040457845E-3</v>
      </c>
      <c r="CY9" s="24">
        <f ca="1">+CY8+(LiborTenor*Volatility!CX8*ForwardLiborSimulation!CX8)/(1+LiborTenor*ForwardLiborSimulation!CX8)</f>
        <v>2.0384072389240085E-3</v>
      </c>
      <c r="CZ9" s="24">
        <f ca="1">+CZ8+(LiborTenor*Volatility!CY8*ForwardLiborSimulation!CY8)/(1+LiborTenor*ForwardLiborSimulation!CY8)</f>
        <v>2.0982596733310713E-3</v>
      </c>
      <c r="DA9" s="24">
        <f ca="1">+DA8+(LiborTenor*Volatility!CZ8*ForwardLiborSimulation!CZ8)/(1+LiborTenor*ForwardLiborSimulation!CZ8)</f>
        <v>2.1107997813588886E-3</v>
      </c>
      <c r="DB9" s="24">
        <f ca="1">+DB8+(LiborTenor*Volatility!DA8*ForwardLiborSimulation!DA8)/(1+LiborTenor*ForwardLiborSimulation!DA8)</f>
        <v>2.1433739074375852E-3</v>
      </c>
      <c r="DC9" s="24">
        <f ca="1">+DC8+(LiborTenor*Volatility!DB8*ForwardLiborSimulation!DB8)/(1+LiborTenor*ForwardLiborSimulation!DB8)</f>
        <v>2.1717098163631498E-3</v>
      </c>
      <c r="DD9" s="24">
        <f ca="1">+DD8+(LiborTenor*Volatility!DC8*ForwardLiborSimulation!DC8)/(1+LiborTenor*ForwardLiborSimulation!DC8)</f>
        <v>2.1338016851662339E-3</v>
      </c>
      <c r="DE9" s="24">
        <f ca="1">+DE8+(LiborTenor*Volatility!DD8*ForwardLiborSimulation!DD8)/(1+LiborTenor*ForwardLiborSimulation!DD8)</f>
        <v>2.163378765127422E-3</v>
      </c>
      <c r="DF9" s="24">
        <f ca="1">+DF8+(LiborTenor*Volatility!DE8*ForwardLiborSimulation!DE8)/(1+LiborTenor*ForwardLiborSimulation!DE8)</f>
        <v>2.2362044712135E-3</v>
      </c>
      <c r="DG9" s="24">
        <f ca="1">+DG8+(LiborTenor*Volatility!DF8*ForwardLiborSimulation!DF8)/(1+LiborTenor*ForwardLiborSimulation!DF8)</f>
        <v>2.2189012145956278E-3</v>
      </c>
      <c r="DH9" s="24">
        <f ca="1">+DH8+(LiborTenor*Volatility!DG8*ForwardLiborSimulation!DG8)/(1+LiborTenor*ForwardLiborSimulation!DG8)</f>
        <v>2.2416193687376899E-3</v>
      </c>
      <c r="DI9" s="24">
        <f ca="1">+DI8+(LiborTenor*Volatility!DH8*ForwardLiborSimulation!DH8)/(1+LiborTenor*ForwardLiborSimulation!DH8)</f>
        <v>2.3053717227746106E-3</v>
      </c>
      <c r="DJ9" s="24">
        <f ca="1">+DJ8+(LiborTenor*Volatility!DI8*ForwardLiborSimulation!DI8)/(1+LiborTenor*ForwardLiborSimulation!DI8)</f>
        <v>2.3163947779380528E-3</v>
      </c>
      <c r="DK9" s="24">
        <f ca="1">+DK8+(LiborTenor*Volatility!DJ8*ForwardLiborSimulation!DJ8)/(1+LiborTenor*ForwardLiborSimulation!DJ8)</f>
        <v>2.2980602606073688E-3</v>
      </c>
      <c r="DL9" s="24">
        <f ca="1">+DL8+(LiborTenor*Volatility!DK8*ForwardLiborSimulation!DK8)/(1+LiborTenor*ForwardLiborSimulation!DK8)</f>
        <v>2.3128616489929846E-3</v>
      </c>
      <c r="DM9" s="24">
        <f ca="1">+DM8+(LiborTenor*Volatility!DL8*ForwardLiborSimulation!DL8)/(1+LiborTenor*ForwardLiborSimulation!DL8)</f>
        <v>2.2953845633992614E-3</v>
      </c>
      <c r="DN9" s="24">
        <f ca="1">+DN8+(LiborTenor*Volatility!DM8*ForwardLiborSimulation!DM8)/(1+LiborTenor*ForwardLiborSimulation!DM8)</f>
        <v>2.3162658471309488E-3</v>
      </c>
      <c r="DO9" s="24"/>
      <c r="DP9" s="24"/>
      <c r="DQ9" s="24"/>
      <c r="DR9" s="14"/>
      <c r="DS9" s="14"/>
      <c r="DT9" s="14"/>
      <c r="DU9" s="14"/>
      <c r="DV9" s="14"/>
      <c r="DW9" s="14"/>
    </row>
    <row r="10" spans="2:127" x14ac:dyDescent="0.2">
      <c r="D10" s="2">
        <f>+ForwardLiborSimulation!D10</f>
        <v>9.25</v>
      </c>
      <c r="E10" s="10"/>
      <c r="F10" s="12" t="str">
        <f>+"L(t;"&amp;D11&amp;","&amp;D10&amp;")"</f>
        <v>L(t;9,9.25)</v>
      </c>
      <c r="G10" s="14"/>
      <c r="H10" s="24">
        <f>+H9+(LiborTenor*Volatility!G9*ForwardLiborSimulation!G9)/(1+LiborTenor*ForwardLiborSimulation!G9)</f>
        <v>2.666666666666667E-3</v>
      </c>
      <c r="I10" s="24">
        <f ca="1">+I9+(LiborTenor*Volatility!H9*ForwardLiborSimulation!H9)/(1+LiborTenor*ForwardLiborSimulation!H9)</f>
        <v>2.75244418643755E-3</v>
      </c>
      <c r="J10" s="24">
        <f ca="1">+J9+(LiborTenor*Volatility!I9*ForwardLiborSimulation!I9)/(1+LiborTenor*ForwardLiborSimulation!I9)</f>
        <v>2.7935191354628358E-3</v>
      </c>
      <c r="K10" s="24">
        <f ca="1">+K9+(LiborTenor*Volatility!J9*ForwardLiborSimulation!J9)/(1+LiborTenor*ForwardLiborSimulation!J9)</f>
        <v>2.7458063366359335E-3</v>
      </c>
      <c r="L10" s="24">
        <f ca="1">+L9+(LiborTenor*Volatility!K9*ForwardLiborSimulation!K9)/(1+LiborTenor*ForwardLiborSimulation!K9)</f>
        <v>2.7625735205049603E-3</v>
      </c>
      <c r="M10" s="24">
        <f ca="1">+M9+(LiborTenor*Volatility!L9*ForwardLiborSimulation!L9)/(1+LiborTenor*ForwardLiborSimulation!L9)</f>
        <v>2.7088885045721675E-3</v>
      </c>
      <c r="N10" s="24">
        <f ca="1">+N9+(LiborTenor*Volatility!M9*ForwardLiborSimulation!M9)/(1+LiborTenor*ForwardLiborSimulation!M9)</f>
        <v>2.8228564105520059E-3</v>
      </c>
      <c r="O10" s="24">
        <f ca="1">+O9+(LiborTenor*Volatility!N9*ForwardLiborSimulation!N9)/(1+LiborTenor*ForwardLiborSimulation!N9)</f>
        <v>2.8057749577519277E-3</v>
      </c>
      <c r="P10" s="24">
        <f ca="1">+P9+(LiborTenor*Volatility!O9*ForwardLiborSimulation!O9)/(1+LiborTenor*ForwardLiborSimulation!O9)</f>
        <v>2.8714008372202025E-3</v>
      </c>
      <c r="Q10" s="24">
        <f ca="1">+Q9+(LiborTenor*Volatility!P9*ForwardLiborSimulation!P9)/(1+LiborTenor*ForwardLiborSimulation!P9)</f>
        <v>2.8216724365514216E-3</v>
      </c>
      <c r="R10" s="24">
        <f ca="1">+R9+(LiborTenor*Volatility!Q9*ForwardLiborSimulation!Q9)/(1+LiborTenor*ForwardLiborSimulation!Q9)</f>
        <v>2.8323284220627366E-3</v>
      </c>
      <c r="S10" s="24">
        <f ca="1">+S9+(LiborTenor*Volatility!R9*ForwardLiborSimulation!R9)/(1+LiborTenor*ForwardLiborSimulation!R9)</f>
        <v>2.8831586974355367E-3</v>
      </c>
      <c r="T10" s="24">
        <f ca="1">+T9+(LiborTenor*Volatility!S9*ForwardLiborSimulation!S9)/(1+LiborTenor*ForwardLiborSimulation!S9)</f>
        <v>2.9811466336238631E-3</v>
      </c>
      <c r="U10" s="24">
        <f ca="1">+U9+(LiborTenor*Volatility!T9*ForwardLiborSimulation!T9)/(1+LiborTenor*ForwardLiborSimulation!T9)</f>
        <v>2.9453486940398243E-3</v>
      </c>
      <c r="V10" s="24">
        <f ca="1">+V9+(LiborTenor*Volatility!U9*ForwardLiborSimulation!U9)/(1+LiborTenor*ForwardLiborSimulation!U9)</f>
        <v>2.9407392942130167E-3</v>
      </c>
      <c r="W10" s="24">
        <f ca="1">+W9+(LiborTenor*Volatility!V9*ForwardLiborSimulation!V9)/(1+LiborTenor*ForwardLiborSimulation!V9)</f>
        <v>2.885218919842638E-3</v>
      </c>
      <c r="X10" s="24">
        <f ca="1">+X9+(LiborTenor*Volatility!W9*ForwardLiborSimulation!W9)/(1+LiborTenor*ForwardLiborSimulation!W9)</f>
        <v>2.7503881072770998E-3</v>
      </c>
      <c r="Y10" s="24">
        <f ca="1">+Y9+(LiborTenor*Volatility!X9*ForwardLiborSimulation!X9)/(1+LiborTenor*ForwardLiborSimulation!X9)</f>
        <v>2.7876897053285606E-3</v>
      </c>
      <c r="Z10" s="24">
        <f ca="1">+Z9+(LiborTenor*Volatility!Y9*ForwardLiborSimulation!Y9)/(1+LiborTenor*ForwardLiborSimulation!Y9)</f>
        <v>2.757619671597415E-3</v>
      </c>
      <c r="AA10" s="24">
        <f ca="1">+AA9+(LiborTenor*Volatility!Z9*ForwardLiborSimulation!Z9)/(1+LiborTenor*ForwardLiborSimulation!Z9)</f>
        <v>2.8047499009482752E-3</v>
      </c>
      <c r="AB10" s="24">
        <f ca="1">+AB9+(LiborTenor*Volatility!AA9*ForwardLiborSimulation!AA9)/(1+LiborTenor*ForwardLiborSimulation!AA9)</f>
        <v>2.8425522374801678E-3</v>
      </c>
      <c r="AC10" s="24">
        <f ca="1">+AC9+(LiborTenor*Volatility!AB9*ForwardLiborSimulation!AB9)/(1+LiborTenor*ForwardLiborSimulation!AB9)</f>
        <v>2.837238657135159E-3</v>
      </c>
      <c r="AD10" s="24">
        <f ca="1">+AD9+(LiborTenor*Volatility!AC9*ForwardLiborSimulation!AC9)/(1+LiborTenor*ForwardLiborSimulation!AC9)</f>
        <v>2.7950799479144251E-3</v>
      </c>
      <c r="AE10" s="24">
        <f ca="1">+AE9+(LiborTenor*Volatility!AD9*ForwardLiborSimulation!AD9)/(1+LiborTenor*ForwardLiborSimulation!AD9)</f>
        <v>2.7768026920551863E-3</v>
      </c>
      <c r="AF10" s="24">
        <f ca="1">+AF9+(LiborTenor*Volatility!AE9*ForwardLiborSimulation!AE9)/(1+LiborTenor*ForwardLiborSimulation!AE9)</f>
        <v>2.8791492642324832E-3</v>
      </c>
      <c r="AG10" s="24">
        <f ca="1">+AG9+(LiborTenor*Volatility!AF9*ForwardLiborSimulation!AF9)/(1+LiborTenor*ForwardLiborSimulation!AF9)</f>
        <v>2.8904473450903239E-3</v>
      </c>
      <c r="AH10" s="24">
        <f ca="1">+AH9+(LiborTenor*Volatility!AG9*ForwardLiborSimulation!AG9)/(1+LiborTenor*ForwardLiborSimulation!AG9)</f>
        <v>2.9181188756262342E-3</v>
      </c>
      <c r="AI10" s="24">
        <f ca="1">+AI9+(LiborTenor*Volatility!AH9*ForwardLiborSimulation!AH9)/(1+LiborTenor*ForwardLiborSimulation!AH9)</f>
        <v>2.9498016894424217E-3</v>
      </c>
      <c r="AJ10" s="24">
        <f ca="1">+AJ9+(LiborTenor*Volatility!AI9*ForwardLiborSimulation!AI9)/(1+LiborTenor*ForwardLiborSimulation!AI9)</f>
        <v>3.0556677051224003E-3</v>
      </c>
      <c r="AK10" s="24">
        <f ca="1">+AK9+(LiborTenor*Volatility!AJ9*ForwardLiborSimulation!AJ9)/(1+LiborTenor*ForwardLiborSimulation!AJ9)</f>
        <v>3.0796579015851151E-3</v>
      </c>
      <c r="AL10" s="24">
        <f ca="1">+AL9+(LiborTenor*Volatility!AK9*ForwardLiborSimulation!AK9)/(1+LiborTenor*ForwardLiborSimulation!AK9)</f>
        <v>3.1605232255591592E-3</v>
      </c>
      <c r="AM10" s="24">
        <f ca="1">+AM9+(LiborTenor*Volatility!AL9*ForwardLiborSimulation!AL9)/(1+LiborTenor*ForwardLiborSimulation!AL9)</f>
        <v>3.1985564415582296E-3</v>
      </c>
      <c r="AN10" s="24">
        <f ca="1">+AN9+(LiborTenor*Volatility!AM9*ForwardLiborSimulation!AM9)/(1+LiborTenor*ForwardLiborSimulation!AM9)</f>
        <v>3.1866648863188018E-3</v>
      </c>
      <c r="AO10" s="24">
        <f ca="1">+AO9+(LiborTenor*Volatility!AN9*ForwardLiborSimulation!AN9)/(1+LiborTenor*ForwardLiborSimulation!AN9)</f>
        <v>3.0530046266501257E-3</v>
      </c>
      <c r="AP10" s="24">
        <f ca="1">+AP9+(LiborTenor*Volatility!AO9*ForwardLiborSimulation!AO9)/(1+LiborTenor*ForwardLiborSimulation!AO9)</f>
        <v>3.0151632481285992E-3</v>
      </c>
      <c r="AQ10" s="24">
        <f ca="1">+AQ9+(LiborTenor*Volatility!AP9*ForwardLiborSimulation!AP9)/(1+LiborTenor*ForwardLiborSimulation!AP9)</f>
        <v>2.9352996758167656E-3</v>
      </c>
      <c r="AR10" s="24">
        <f ca="1">+AR9+(LiborTenor*Volatility!AQ9*ForwardLiborSimulation!AQ9)/(1+LiborTenor*ForwardLiborSimulation!AQ9)</f>
        <v>2.9796674003410425E-3</v>
      </c>
      <c r="AS10" s="24">
        <f ca="1">+AS9+(LiborTenor*Volatility!AR9*ForwardLiborSimulation!AR9)/(1+LiborTenor*ForwardLiborSimulation!AR9)</f>
        <v>3.0398627262198229E-3</v>
      </c>
      <c r="AT10" s="24">
        <f ca="1">+AT9+(LiborTenor*Volatility!AS9*ForwardLiborSimulation!AS9)/(1+LiborTenor*ForwardLiborSimulation!AS9)</f>
        <v>2.9955831493223626E-3</v>
      </c>
      <c r="AU10" s="24">
        <f ca="1">+AU9+(LiborTenor*Volatility!AT9*ForwardLiborSimulation!AT9)/(1+LiborTenor*ForwardLiborSimulation!AT9)</f>
        <v>2.9769342181131574E-3</v>
      </c>
      <c r="AV10" s="24">
        <f ca="1">+AV9+(LiborTenor*Volatility!AU9*ForwardLiborSimulation!AU9)/(1+LiborTenor*ForwardLiborSimulation!AU9)</f>
        <v>3.0320045398921007E-3</v>
      </c>
      <c r="AW10" s="24">
        <f ca="1">+AW9+(LiborTenor*Volatility!AV9*ForwardLiborSimulation!AV9)/(1+LiborTenor*ForwardLiborSimulation!AV9)</f>
        <v>3.0437110390996325E-3</v>
      </c>
      <c r="AX10" s="24">
        <f ca="1">+AX9+(LiborTenor*Volatility!AW9*ForwardLiborSimulation!AW9)/(1+LiborTenor*ForwardLiborSimulation!AW9)</f>
        <v>3.1083168988405656E-3</v>
      </c>
      <c r="AY10" s="24">
        <f ca="1">+AY9+(LiborTenor*Volatility!AX9*ForwardLiborSimulation!AX9)/(1+LiborTenor*ForwardLiborSimulation!AX9)</f>
        <v>3.0407360848390894E-3</v>
      </c>
      <c r="AZ10" s="24">
        <f ca="1">+AZ9+(LiborTenor*Volatility!AY9*ForwardLiborSimulation!AY9)/(1+LiborTenor*ForwardLiborSimulation!AY9)</f>
        <v>3.0897695738543161E-3</v>
      </c>
      <c r="BA10" s="24">
        <f ca="1">+BA9+(LiborTenor*Volatility!AZ9*ForwardLiborSimulation!AZ9)/(1+LiborTenor*ForwardLiborSimulation!AZ9)</f>
        <v>3.1312357526652071E-3</v>
      </c>
      <c r="BB10" s="24">
        <f ca="1">+BB9+(LiborTenor*Volatility!BA9*ForwardLiborSimulation!BA9)/(1+LiborTenor*ForwardLiborSimulation!BA9)</f>
        <v>3.2411118378558729E-3</v>
      </c>
      <c r="BC10" s="24">
        <f ca="1">+BC9+(LiborTenor*Volatility!BB9*ForwardLiborSimulation!BB9)/(1+LiborTenor*ForwardLiborSimulation!BB9)</f>
        <v>3.2687266083563909E-3</v>
      </c>
      <c r="BD10" s="24">
        <f ca="1">+BD9+(LiborTenor*Volatility!BC9*ForwardLiborSimulation!BC9)/(1+LiborTenor*ForwardLiborSimulation!BC9)</f>
        <v>3.1978889469639416E-3</v>
      </c>
      <c r="BE10" s="24">
        <f ca="1">+BE9+(LiborTenor*Volatility!BD9*ForwardLiborSimulation!BD9)/(1+LiborTenor*ForwardLiborSimulation!BD9)</f>
        <v>3.1930198534507216E-3</v>
      </c>
      <c r="BF10" s="24">
        <f ca="1">+BF9+(LiborTenor*Volatility!BE9*ForwardLiborSimulation!BE9)/(1+LiborTenor*ForwardLiborSimulation!BE9)</f>
        <v>3.1593304409385922E-3</v>
      </c>
      <c r="BG10" s="24">
        <f ca="1">+BG9+(LiborTenor*Volatility!BF9*ForwardLiborSimulation!BF9)/(1+LiborTenor*ForwardLiborSimulation!BF9)</f>
        <v>3.0486700350930039E-3</v>
      </c>
      <c r="BH10" s="24">
        <f ca="1">+BH9+(LiborTenor*Volatility!BG9*ForwardLiborSimulation!BG9)/(1+LiborTenor*ForwardLiborSimulation!BG9)</f>
        <v>3.1699370315065589E-3</v>
      </c>
      <c r="BI10" s="24">
        <f ca="1">+BI9+(LiborTenor*Volatility!BH9*ForwardLiborSimulation!BH9)/(1+LiborTenor*ForwardLiborSimulation!BH9)</f>
        <v>3.1125463905485994E-3</v>
      </c>
      <c r="BJ10" s="24">
        <f ca="1">+BJ9+(LiborTenor*Volatility!BI9*ForwardLiborSimulation!BI9)/(1+LiborTenor*ForwardLiborSimulation!BI9)</f>
        <v>2.9599361755981981E-3</v>
      </c>
      <c r="BK10" s="24">
        <f ca="1">+BK9+(LiborTenor*Volatility!BJ9*ForwardLiborSimulation!BJ9)/(1+LiborTenor*ForwardLiborSimulation!BJ9)</f>
        <v>2.9961216445942972E-3</v>
      </c>
      <c r="BL10" s="24">
        <f ca="1">+BL9+(LiborTenor*Volatility!BK9*ForwardLiborSimulation!BK9)/(1+LiborTenor*ForwardLiborSimulation!BK9)</f>
        <v>3.0456176322164836E-3</v>
      </c>
      <c r="BM10" s="24">
        <f ca="1">+BM9+(LiborTenor*Volatility!BL9*ForwardLiborSimulation!BL9)/(1+LiborTenor*ForwardLiborSimulation!BL9)</f>
        <v>3.0975453528932946E-3</v>
      </c>
      <c r="BN10" s="24">
        <f ca="1">+BN9+(LiborTenor*Volatility!BM9*ForwardLiborSimulation!BM9)/(1+LiborTenor*ForwardLiborSimulation!BM9)</f>
        <v>3.0054422867128059E-3</v>
      </c>
      <c r="BO10" s="24">
        <f ca="1">+BO9+(LiborTenor*Volatility!BN9*ForwardLiborSimulation!BN9)/(1+LiborTenor*ForwardLiborSimulation!BN9)</f>
        <v>3.0337216483111683E-3</v>
      </c>
      <c r="BP10" s="24">
        <f ca="1">+BP9+(LiborTenor*Volatility!BO9*ForwardLiborSimulation!BO9)/(1+LiborTenor*ForwardLiborSimulation!BO9)</f>
        <v>3.1099025912030183E-3</v>
      </c>
      <c r="BQ10" s="24">
        <f ca="1">+BQ9+(LiborTenor*Volatility!BP9*ForwardLiborSimulation!BP9)/(1+LiborTenor*ForwardLiborSimulation!BP9)</f>
        <v>3.1226889986555894E-3</v>
      </c>
      <c r="BR10" s="24">
        <f ca="1">+BR9+(LiborTenor*Volatility!BQ9*ForwardLiborSimulation!BQ9)/(1+LiborTenor*ForwardLiborSimulation!BQ9)</f>
        <v>3.1281942645116968E-3</v>
      </c>
      <c r="BS10" s="24">
        <f ca="1">+BS9+(LiborTenor*Volatility!BR9*ForwardLiborSimulation!BR9)/(1+LiborTenor*ForwardLiborSimulation!BR9)</f>
        <v>3.2191130859531465E-3</v>
      </c>
      <c r="BT10" s="24">
        <f ca="1">+BT9+(LiborTenor*Volatility!BS9*ForwardLiborSimulation!BS9)/(1+LiborTenor*ForwardLiborSimulation!BS9)</f>
        <v>3.1034355167911185E-3</v>
      </c>
      <c r="BU10" s="24">
        <f ca="1">+BU9+(LiborTenor*Volatility!BT9*ForwardLiborSimulation!BT9)/(1+LiborTenor*ForwardLiborSimulation!BT9)</f>
        <v>3.0170627956511249E-3</v>
      </c>
      <c r="BV10" s="24">
        <f ca="1">+BV9+(LiborTenor*Volatility!BU9*ForwardLiborSimulation!BU9)/(1+LiborTenor*ForwardLiborSimulation!BU9)</f>
        <v>2.9382963906571542E-3</v>
      </c>
      <c r="BW10" s="24">
        <f ca="1">+BW9+(LiborTenor*Volatility!BV9*ForwardLiborSimulation!BV9)/(1+LiborTenor*ForwardLiborSimulation!BV9)</f>
        <v>3.0495655998908759E-3</v>
      </c>
      <c r="BX10" s="24">
        <f ca="1">+BX9+(LiborTenor*Volatility!BW9*ForwardLiborSimulation!BW9)/(1+LiborTenor*ForwardLiborSimulation!BW9)</f>
        <v>2.9048320861982772E-3</v>
      </c>
      <c r="BY10" s="24">
        <f ca="1">+BY9+(LiborTenor*Volatility!BX9*ForwardLiborSimulation!BX9)/(1+LiborTenor*ForwardLiborSimulation!BX9)</f>
        <v>2.8610080604846997E-3</v>
      </c>
      <c r="BZ10" s="24">
        <f ca="1">+BZ9+(LiborTenor*Volatility!BY9*ForwardLiborSimulation!BY9)/(1+LiborTenor*ForwardLiborSimulation!BY9)</f>
        <v>2.8767558438713542E-3</v>
      </c>
      <c r="CA10" s="24">
        <f ca="1">+CA9+(LiborTenor*Volatility!BZ9*ForwardLiborSimulation!BZ9)/(1+LiborTenor*ForwardLiborSimulation!BZ9)</f>
        <v>3.0118448476420473E-3</v>
      </c>
      <c r="CB10" s="24">
        <f ca="1">+CB9+(LiborTenor*Volatility!CA9*ForwardLiborSimulation!CA9)/(1+LiborTenor*ForwardLiborSimulation!CA9)</f>
        <v>2.9424363132251356E-3</v>
      </c>
      <c r="CC10" s="24">
        <f ca="1">+CC9+(LiborTenor*Volatility!CB9*ForwardLiborSimulation!CB9)/(1+LiborTenor*ForwardLiborSimulation!CB9)</f>
        <v>2.9974775088343337E-3</v>
      </c>
      <c r="CD10" s="24">
        <f ca="1">+CD9+(LiborTenor*Volatility!CC9*ForwardLiborSimulation!CC9)/(1+LiborTenor*ForwardLiborSimulation!CC9)</f>
        <v>2.9864482022240102E-3</v>
      </c>
      <c r="CE10" s="24">
        <f ca="1">+CE9+(LiborTenor*Volatility!CD9*ForwardLiborSimulation!CD9)/(1+LiborTenor*ForwardLiborSimulation!CD9)</f>
        <v>3.0130872252671051E-3</v>
      </c>
      <c r="CF10" s="24">
        <f ca="1">+CF9+(LiborTenor*Volatility!CE9*ForwardLiborSimulation!CE9)/(1+LiborTenor*ForwardLiborSimulation!CE9)</f>
        <v>2.9254927257961489E-3</v>
      </c>
      <c r="CG10" s="24">
        <f ca="1">+CG9+(LiborTenor*Volatility!CF9*ForwardLiborSimulation!CF9)/(1+LiborTenor*ForwardLiborSimulation!CF9)</f>
        <v>3.0038515826813217E-3</v>
      </c>
      <c r="CH10" s="24">
        <f ca="1">+CH9+(LiborTenor*Volatility!CG9*ForwardLiborSimulation!CG9)/(1+LiborTenor*ForwardLiborSimulation!CG9)</f>
        <v>3.0327503490549411E-3</v>
      </c>
      <c r="CI10" s="24">
        <f ca="1">+CI9+(LiborTenor*Volatility!CH9*ForwardLiborSimulation!CH9)/(1+LiborTenor*ForwardLiborSimulation!CH9)</f>
        <v>2.9646070652643271E-3</v>
      </c>
      <c r="CJ10" s="24">
        <f ca="1">+CJ9+(LiborTenor*Volatility!CI9*ForwardLiborSimulation!CI9)/(1+LiborTenor*ForwardLiborSimulation!CI9)</f>
        <v>2.9515704813728979E-3</v>
      </c>
      <c r="CK10" s="24">
        <f ca="1">+CK9+(LiborTenor*Volatility!CJ9*ForwardLiborSimulation!CJ9)/(1+LiborTenor*ForwardLiborSimulation!CJ9)</f>
        <v>2.9051593480373451E-3</v>
      </c>
      <c r="CL10" s="24">
        <f ca="1">+CL9+(LiborTenor*Volatility!CK9*ForwardLiborSimulation!CK9)/(1+LiborTenor*ForwardLiborSimulation!CK9)</f>
        <v>2.8822612468289537E-3</v>
      </c>
      <c r="CM10" s="24">
        <f ca="1">+CM9+(LiborTenor*Volatility!CL9*ForwardLiborSimulation!CL9)/(1+LiborTenor*ForwardLiborSimulation!CL9)</f>
        <v>2.935940673768784E-3</v>
      </c>
      <c r="CN10" s="24">
        <f ca="1">+CN9+(LiborTenor*Volatility!CM9*ForwardLiborSimulation!CM9)/(1+LiborTenor*ForwardLiborSimulation!CM9)</f>
        <v>2.9064030725666694E-3</v>
      </c>
      <c r="CO10" s="24">
        <f ca="1">+CO9+(LiborTenor*Volatility!CN9*ForwardLiborSimulation!CN9)/(1+LiborTenor*ForwardLiborSimulation!CN9)</f>
        <v>2.8711412621626031E-3</v>
      </c>
      <c r="CP10" s="24">
        <f ca="1">+CP9+(LiborTenor*Volatility!CO9*ForwardLiborSimulation!CO9)/(1+LiborTenor*ForwardLiborSimulation!CO9)</f>
        <v>2.765890777198095E-3</v>
      </c>
      <c r="CQ10" s="24">
        <f ca="1">+CQ9+(LiborTenor*Volatility!CP9*ForwardLiborSimulation!CP9)/(1+LiborTenor*ForwardLiborSimulation!CP9)</f>
        <v>2.8035832670461076E-3</v>
      </c>
      <c r="CR10" s="24">
        <f ca="1">+CR9+(LiborTenor*Volatility!CQ9*ForwardLiborSimulation!CQ9)/(1+LiborTenor*ForwardLiborSimulation!CQ9)</f>
        <v>2.8732575173195055E-3</v>
      </c>
      <c r="CS10" s="24">
        <f ca="1">+CS9+(LiborTenor*Volatility!CR9*ForwardLiborSimulation!CR9)/(1+LiborTenor*ForwardLiborSimulation!CR9)</f>
        <v>2.9378818267498117E-3</v>
      </c>
      <c r="CT10" s="24">
        <f ca="1">+CT9+(LiborTenor*Volatility!CS9*ForwardLiborSimulation!CS9)/(1+LiborTenor*ForwardLiborSimulation!CS9)</f>
        <v>2.9683245146337341E-3</v>
      </c>
      <c r="CU10" s="24">
        <f ca="1">+CU9+(LiborTenor*Volatility!CT9*ForwardLiborSimulation!CT9)/(1+LiborTenor*ForwardLiborSimulation!CT9)</f>
        <v>3.0324989697542801E-3</v>
      </c>
      <c r="CV10" s="24">
        <f ca="1">+CV9+(LiborTenor*Volatility!CU9*ForwardLiborSimulation!CU9)/(1+LiborTenor*ForwardLiborSimulation!CU9)</f>
        <v>3.0293140298320634E-3</v>
      </c>
      <c r="CW10" s="24">
        <f ca="1">+CW9+(LiborTenor*Volatility!CV9*ForwardLiborSimulation!CV9)/(1+LiborTenor*ForwardLiborSimulation!CV9)</f>
        <v>3.0342323891083883E-3</v>
      </c>
      <c r="CX10" s="24">
        <f ca="1">+CX9+(LiborTenor*Volatility!CW9*ForwardLiborSimulation!CW9)/(1+LiborTenor*ForwardLiborSimulation!CW9)</f>
        <v>3.0926360092295496E-3</v>
      </c>
      <c r="CY10" s="24">
        <f ca="1">+CY9+(LiborTenor*Volatility!CX9*ForwardLiborSimulation!CX9)/(1+LiborTenor*ForwardLiborSimulation!CX9)</f>
        <v>3.1270903655617817E-3</v>
      </c>
      <c r="CZ10" s="24">
        <f ca="1">+CZ9+(LiborTenor*Volatility!CY9*ForwardLiborSimulation!CY9)/(1+LiborTenor*ForwardLiborSimulation!CY9)</f>
        <v>3.2208631414413639E-3</v>
      </c>
      <c r="DA10" s="24">
        <f ca="1">+DA9+(LiborTenor*Volatility!CZ9*ForwardLiborSimulation!CZ9)/(1+LiborTenor*ForwardLiborSimulation!CZ9)</f>
        <v>3.2405135024632398E-3</v>
      </c>
      <c r="DB10" s="24">
        <f ca="1">+DB9+(LiborTenor*Volatility!DA9*ForwardLiborSimulation!DA9)/(1+LiborTenor*ForwardLiborSimulation!DA9)</f>
        <v>3.2915810164794602E-3</v>
      </c>
      <c r="DC10" s="24">
        <f ca="1">+DC9+(LiborTenor*Volatility!DB9*ForwardLiborSimulation!DB9)/(1+LiborTenor*ForwardLiborSimulation!DB9)</f>
        <v>3.3360168627803539E-3</v>
      </c>
      <c r="DD10" s="24">
        <f ca="1">+DD9+(LiborTenor*Volatility!DC9*ForwardLiborSimulation!DC9)/(1+LiborTenor*ForwardLiborSimulation!DC9)</f>
        <v>3.276525277943438E-3</v>
      </c>
      <c r="DE10" s="24">
        <f ca="1">+DE9+(LiborTenor*Volatility!DD9*ForwardLiborSimulation!DD9)/(1+LiborTenor*ForwardLiborSimulation!DD9)</f>
        <v>3.3229030016923428E-3</v>
      </c>
      <c r="DF10" s="24">
        <f ca="1">+DF9+(LiborTenor*Volatility!DE9*ForwardLiborSimulation!DE9)/(1+LiborTenor*ForwardLiborSimulation!DE9)</f>
        <v>3.4371449098134239E-3</v>
      </c>
      <c r="DG10" s="24">
        <f ca="1">+DG9+(LiborTenor*Volatility!DF9*ForwardLiborSimulation!DF9)/(1+LiborTenor*ForwardLiborSimulation!DF9)</f>
        <v>3.4099662663178059E-3</v>
      </c>
      <c r="DH10" s="24">
        <f ca="1">+DH9+(LiborTenor*Volatility!DG9*ForwardLiborSimulation!DG9)/(1+LiborTenor*ForwardLiborSimulation!DG9)</f>
        <v>3.4456147481104786E-3</v>
      </c>
      <c r="DI10" s="24">
        <f ca="1">+DI9+(LiborTenor*Volatility!DH9*ForwardLiborSimulation!DH9)/(1+LiborTenor*ForwardLiborSimulation!DH9)</f>
        <v>3.5456956491826588E-3</v>
      </c>
      <c r="DJ10" s="24">
        <f ca="1">+DJ9+(LiborTenor*Volatility!DI9*ForwardLiborSimulation!DI9)/(1+LiborTenor*ForwardLiborSimulation!DI9)</f>
        <v>3.5629992902641793E-3</v>
      </c>
      <c r="DK10" s="24">
        <f ca="1">+DK9+(LiborTenor*Volatility!DJ9*ForwardLiborSimulation!DJ9)/(1+LiborTenor*ForwardLiborSimulation!DJ9)</f>
        <v>3.5341793689888539E-3</v>
      </c>
      <c r="DL10" s="24"/>
      <c r="DM10" s="24"/>
      <c r="DN10" s="24"/>
      <c r="DO10" s="14"/>
      <c r="DP10" s="14"/>
      <c r="DQ10" s="14"/>
      <c r="DR10" s="14"/>
      <c r="DS10" s="14"/>
      <c r="DT10" s="14"/>
      <c r="DU10" s="14"/>
      <c r="DV10" s="14"/>
      <c r="DW10" s="14"/>
    </row>
    <row r="11" spans="2:127" x14ac:dyDescent="0.2">
      <c r="D11" s="2">
        <f>+ForwardLiborSimulation!D11</f>
        <v>9</v>
      </c>
      <c r="E11" s="10"/>
      <c r="F11" s="12" t="str">
        <f>+"L(t;"&amp;D12&amp;","&amp;D11&amp;")"</f>
        <v>L(t;8.75,9)</v>
      </c>
      <c r="G11" s="14"/>
      <c r="H11" s="24">
        <f>+H10+(LiborTenor*Volatility!G10*ForwardLiborSimulation!G10)/(1+LiborTenor*ForwardLiborSimulation!G10)</f>
        <v>3.6296296296296302E-3</v>
      </c>
      <c r="I11" s="24">
        <f ca="1">+I10+(LiborTenor*Volatility!H10*ForwardLiborSimulation!H10)/(1+LiborTenor*ForwardLiborSimulation!H10)</f>
        <v>3.7467671477985831E-3</v>
      </c>
      <c r="J11" s="24">
        <f ca="1">+J10+(LiborTenor*Volatility!I10*ForwardLiborSimulation!I10)/(1+LiborTenor*ForwardLiborSimulation!I10)</f>
        <v>3.8017316078900669E-3</v>
      </c>
      <c r="K11" s="24">
        <f ca="1">+K10+(LiborTenor*Volatility!J10*ForwardLiborSimulation!J10)/(1+LiborTenor*ForwardLiborSimulation!J10)</f>
        <v>3.7354110907080597E-3</v>
      </c>
      <c r="L11" s="24">
        <f ca="1">+L10+(LiborTenor*Volatility!K10*ForwardLiborSimulation!K10)/(1+LiborTenor*ForwardLiborSimulation!K10)</f>
        <v>3.7586922559060603E-3</v>
      </c>
      <c r="M11" s="24">
        <f ca="1">+M10+(LiborTenor*Volatility!L10*ForwardLiborSimulation!L10)/(1+LiborTenor*ForwardLiborSimulation!L10)</f>
        <v>3.6840910592781544E-3</v>
      </c>
      <c r="N11" s="24">
        <f ca="1">+N10+(LiborTenor*Volatility!M10*ForwardLiborSimulation!M10)/(1+LiborTenor*ForwardLiborSimulation!M10)</f>
        <v>3.8423535300784952E-3</v>
      </c>
      <c r="O11" s="24">
        <f ca="1">+O10+(LiborTenor*Volatility!N10*ForwardLiborSimulation!N10)/(1+LiborTenor*ForwardLiborSimulation!N10)</f>
        <v>3.818597957330376E-3</v>
      </c>
      <c r="P11" s="24">
        <f ca="1">+P10+(LiborTenor*Volatility!O10*ForwardLiborSimulation!O10)/(1+LiborTenor*ForwardLiborSimulation!O10)</f>
        <v>3.9097919987223489E-3</v>
      </c>
      <c r="Q11" s="24">
        <f ca="1">+Q10+(LiborTenor*Volatility!P10*ForwardLiborSimulation!P10)/(1+LiborTenor*ForwardLiborSimulation!P10)</f>
        <v>3.8406319146715388E-3</v>
      </c>
      <c r="R11" s="24">
        <f ca="1">+R10+(LiborTenor*Volatility!Q10*ForwardLiborSimulation!Q10)/(1+LiborTenor*ForwardLiborSimulation!Q10)</f>
        <v>3.8554307324589953E-3</v>
      </c>
      <c r="S11" s="24">
        <f ca="1">+S10+(LiborTenor*Volatility!R10*ForwardLiborSimulation!R10)/(1+LiborTenor*ForwardLiborSimulation!R10)</f>
        <v>3.9260749083681046E-3</v>
      </c>
      <c r="T11" s="24">
        <f ca="1">+T10+(LiborTenor*Volatility!S10*ForwardLiborSimulation!S10)/(1+LiborTenor*ForwardLiborSimulation!S10)</f>
        <v>4.0623213927927677E-3</v>
      </c>
      <c r="U11" s="24">
        <f ca="1">+U10+(LiborTenor*Volatility!T10*ForwardLiborSimulation!T10)/(1+LiborTenor*ForwardLiborSimulation!T10)</f>
        <v>4.0124915689786923E-3</v>
      </c>
      <c r="V11" s="24">
        <f ca="1">+V10+(LiborTenor*Volatility!U10*ForwardLiborSimulation!U10)/(1+LiborTenor*ForwardLiborSimulation!U10)</f>
        <v>4.0060653367858436E-3</v>
      </c>
      <c r="W11" s="24">
        <f ca="1">+W10+(LiborTenor*Volatility!V10*ForwardLiborSimulation!V10)/(1+LiborTenor*ForwardLiborSimulation!V10)</f>
        <v>3.9288139591415524E-3</v>
      </c>
      <c r="X11" s="24">
        <f ca="1">+X10+(LiborTenor*Volatility!W10*ForwardLiborSimulation!W10)/(1+LiborTenor*ForwardLiborSimulation!W10)</f>
        <v>3.7413073037043899E-3</v>
      </c>
      <c r="Y11" s="24">
        <f ca="1">+Y10+(LiborTenor*Volatility!X10*ForwardLiborSimulation!X10)/(1+LiborTenor*ForwardLiborSimulation!X10)</f>
        <v>3.7931098824150042E-3</v>
      </c>
      <c r="Z11" s="24">
        <f ca="1">+Z10+(LiborTenor*Volatility!Y10*ForwardLiborSimulation!Y10)/(1+LiborTenor*ForwardLiborSimulation!Y10)</f>
        <v>3.7513161462806081E-3</v>
      </c>
      <c r="AA11" s="24">
        <f ca="1">+AA10+(LiborTenor*Volatility!Z10*ForwardLiborSimulation!Z10)/(1+LiborTenor*ForwardLiborSimulation!Z10)</f>
        <v>3.8167743034428561E-3</v>
      </c>
      <c r="AB11" s="24">
        <f ca="1">+AB10+(LiborTenor*Volatility!AA10*ForwardLiborSimulation!AA10)/(1+LiborTenor*ForwardLiborSimulation!AA10)</f>
        <v>3.8692934822171171E-3</v>
      </c>
      <c r="AC11" s="24">
        <f ca="1">+AC10+(LiborTenor*Volatility!AB10*ForwardLiborSimulation!AB10)/(1+LiborTenor*ForwardLiborSimulation!AB10)</f>
        <v>3.861894753792657E-3</v>
      </c>
      <c r="AD11" s="24">
        <f ca="1">+AD10+(LiborTenor*Volatility!AC10*ForwardLiborSimulation!AC10)/(1+LiborTenor*ForwardLiborSimulation!AC10)</f>
        <v>3.803282240507219E-3</v>
      </c>
      <c r="AE11" s="24">
        <f ca="1">+AE10+(LiborTenor*Volatility!AD10*ForwardLiborSimulation!AD10)/(1+LiborTenor*ForwardLiborSimulation!AD10)</f>
        <v>3.7778734514004411E-3</v>
      </c>
      <c r="AF11" s="24">
        <f ca="1">+AF10+(LiborTenor*Volatility!AE10*ForwardLiborSimulation!AE10)/(1+LiborTenor*ForwardLiborSimulation!AE10)</f>
        <v>3.9200512274307139E-3</v>
      </c>
      <c r="AG11" s="24">
        <f ca="1">+AG10+(LiborTenor*Volatility!AF10*ForwardLiborSimulation!AF10)/(1+LiborTenor*ForwardLiborSimulation!AF10)</f>
        <v>3.9357468885400648E-3</v>
      </c>
      <c r="AH11" s="24">
        <f ca="1">+AH10+(LiborTenor*Volatility!AG10*ForwardLiborSimulation!AG10)/(1+LiborTenor*ForwardLiborSimulation!AG10)</f>
        <v>3.9742108591394251E-3</v>
      </c>
      <c r="AI11" s="24">
        <f ca="1">+AI10+(LiborTenor*Volatility!AH10*ForwardLiborSimulation!AH10)/(1+LiborTenor*ForwardLiborSimulation!AH10)</f>
        <v>4.0182611623884312E-3</v>
      </c>
      <c r="AJ11" s="24">
        <f ca="1">+AJ10+(LiborTenor*Volatility!AI10*ForwardLiborSimulation!AI10)/(1+LiborTenor*ForwardLiborSimulation!AI10)</f>
        <v>4.1655160288735426E-3</v>
      </c>
      <c r="AK11" s="24">
        <f ca="1">+AK10+(LiborTenor*Volatility!AJ10*ForwardLiborSimulation!AJ10)/(1+LiborTenor*ForwardLiborSimulation!AJ10)</f>
        <v>4.1988990831535091E-3</v>
      </c>
      <c r="AL11" s="24">
        <f ca="1">+AL10+(LiborTenor*Volatility!AK10*ForwardLiborSimulation!AK10)/(1+LiborTenor*ForwardLiborSimulation!AK10)</f>
        <v>4.311478049206249E-3</v>
      </c>
      <c r="AM11" s="24">
        <f ca="1">+AM10+(LiborTenor*Volatility!AL10*ForwardLiborSimulation!AL10)/(1+LiborTenor*ForwardLiborSimulation!AL10)</f>
        <v>4.364447916390202E-3</v>
      </c>
      <c r="AN11" s="24">
        <f ca="1">+AN10+(LiborTenor*Volatility!AM10*ForwardLiborSimulation!AM10)/(1+LiborTenor*ForwardLiborSimulation!AM10)</f>
        <v>4.3478608662340587E-3</v>
      </c>
      <c r="AO11" s="24">
        <f ca="1">+AO10+(LiborTenor*Volatility!AN10*ForwardLiborSimulation!AN10)/(1+LiborTenor*ForwardLiborSimulation!AN10)</f>
        <v>4.1616020059365945E-3</v>
      </c>
      <c r="AP11" s="24">
        <f ca="1">+AP10+(LiborTenor*Volatility!AO10*ForwardLiborSimulation!AO10)/(1+LiborTenor*ForwardLiborSimulation!AO10)</f>
        <v>4.1089101717648319E-3</v>
      </c>
      <c r="AQ11" s="24">
        <f ca="1">+AQ10+(LiborTenor*Volatility!AP10*ForwardLiborSimulation!AP10)/(1+LiborTenor*ForwardLiborSimulation!AP10)</f>
        <v>3.9977519220586299E-3</v>
      </c>
      <c r="AR11" s="24">
        <f ca="1">+AR10+(LiborTenor*Volatility!AQ10*ForwardLiborSimulation!AQ10)/(1+LiborTenor*ForwardLiborSimulation!AQ10)</f>
        <v>4.059446081017621E-3</v>
      </c>
      <c r="AS11" s="24">
        <f ca="1">+AS10+(LiborTenor*Volatility!AR10*ForwardLiborSimulation!AR10)/(1+LiborTenor*ForwardLiborSimulation!AR10)</f>
        <v>4.143179930040498E-3</v>
      </c>
      <c r="AT11" s="24">
        <f ca="1">+AT10+(LiborTenor*Volatility!AS10*ForwardLiborSimulation!AS10)/(1+LiborTenor*ForwardLiborSimulation!AS10)</f>
        <v>4.0815336402881975E-3</v>
      </c>
      <c r="AU11" s="24">
        <f ca="1">+AU10+(LiborTenor*Volatility!AT10*ForwardLiborSimulation!AT10)/(1+LiborTenor*ForwardLiborSimulation!AT10)</f>
        <v>4.0555710559182379E-3</v>
      </c>
      <c r="AV11" s="24">
        <f ca="1">+AV10+(LiborTenor*Volatility!AU10*ForwardLiborSimulation!AU10)/(1+LiborTenor*ForwardLiborSimulation!AU10)</f>
        <v>4.1321717845259377E-3</v>
      </c>
      <c r="AW11" s="24">
        <f ca="1">+AW10+(LiborTenor*Volatility!AV10*ForwardLiborSimulation!AV10)/(1+LiborTenor*ForwardLiborSimulation!AV10)</f>
        <v>4.1484500641160993E-3</v>
      </c>
      <c r="AX11" s="24">
        <f ca="1">+AX10+(LiborTenor*Volatility!AW10*ForwardLiborSimulation!AW10)/(1+LiborTenor*ForwardLiborSimulation!AW10)</f>
        <v>4.2383584704138878E-3</v>
      </c>
      <c r="AY11" s="24">
        <f ca="1">+AY10+(LiborTenor*Volatility!AX10*ForwardLiborSimulation!AX10)/(1+LiborTenor*ForwardLiborSimulation!AX10)</f>
        <v>4.1442359374289093E-3</v>
      </c>
      <c r="AZ11" s="24">
        <f ca="1">+AZ10+(LiborTenor*Volatility!AY10*ForwardLiborSimulation!AY10)/(1+LiborTenor*ForwardLiborSimulation!AY10)</f>
        <v>4.2124670793554286E-3</v>
      </c>
      <c r="BA11" s="24">
        <f ca="1">+BA10+(LiborTenor*Volatility!AZ10*ForwardLiborSimulation!AZ10)/(1+LiborTenor*ForwardLiborSimulation!AZ10)</f>
        <v>4.2701852065360609E-3</v>
      </c>
      <c r="BB11" s="24">
        <f ca="1">+BB10+(LiborTenor*Volatility!BA10*ForwardLiborSimulation!BA10)/(1+LiborTenor*ForwardLiborSimulation!BA10)</f>
        <v>4.4231920149305588E-3</v>
      </c>
      <c r="BC11" s="24">
        <f ca="1">+BC10+(LiborTenor*Volatility!BB10*ForwardLiborSimulation!BB10)/(1+LiborTenor*ForwardLiborSimulation!BB10)</f>
        <v>4.4616625799633108E-3</v>
      </c>
      <c r="BD11" s="24">
        <f ca="1">+BD10+(LiborTenor*Volatility!BC10*ForwardLiborSimulation!BC10)/(1+LiborTenor*ForwardLiborSimulation!BC10)</f>
        <v>4.3628992620320566E-3</v>
      </c>
      <c r="BE11" s="24">
        <f ca="1">+BE10+(LiborTenor*Volatility!BD10*ForwardLiborSimulation!BD10)/(1+LiborTenor*ForwardLiborSimulation!BD10)</f>
        <v>4.3560990793572322E-3</v>
      </c>
      <c r="BF11" s="24">
        <f ca="1">+BF10+(LiborTenor*Volatility!BE10*ForwardLiborSimulation!BE10)/(1+LiborTenor*ForwardLiborSimulation!BE10)</f>
        <v>4.3091453764985991E-3</v>
      </c>
      <c r="BG11" s="24">
        <f ca="1">+BG10+(LiborTenor*Volatility!BF10*ForwardLiborSimulation!BF10)/(1+LiborTenor*ForwardLiborSimulation!BF10)</f>
        <v>4.1549875376799151E-3</v>
      </c>
      <c r="BH11" s="24">
        <f ca="1">+BH10+(LiborTenor*Volatility!BG10*ForwardLiborSimulation!BG10)/(1+LiborTenor*ForwardLiborSimulation!BG10)</f>
        <v>4.323750505969292E-3</v>
      </c>
      <c r="BI11" s="24">
        <f ca="1">+BI10+(LiborTenor*Volatility!BH10*ForwardLiborSimulation!BH10)/(1+LiborTenor*ForwardLiborSimulation!BH10)</f>
        <v>4.2437914544715804E-3</v>
      </c>
      <c r="BJ11" s="24">
        <f ca="1">+BJ10+(LiborTenor*Volatility!BI10*ForwardLiborSimulation!BI10)/(1+LiborTenor*ForwardLiborSimulation!BI10)</f>
        <v>4.0312793139274453E-3</v>
      </c>
      <c r="BK11" s="24">
        <f ca="1">+BK10+(LiborTenor*Volatility!BJ10*ForwardLiborSimulation!BJ10)/(1+LiborTenor*ForwardLiborSimulation!BJ10)</f>
        <v>4.0815928638073401E-3</v>
      </c>
      <c r="BL11" s="24">
        <f ca="1">+BL10+(LiborTenor*Volatility!BK10*ForwardLiborSimulation!BK10)/(1+LiborTenor*ForwardLiborSimulation!BK10)</f>
        <v>4.1504362974718323E-3</v>
      </c>
      <c r="BM11" s="24">
        <f ca="1">+BM10+(LiborTenor*Volatility!BL10*ForwardLiborSimulation!BL10)/(1+LiborTenor*ForwardLiborSimulation!BL10)</f>
        <v>4.2226875003594355E-3</v>
      </c>
      <c r="BN11" s="24">
        <f ca="1">+BN10+(LiborTenor*Volatility!BM10*ForwardLiborSimulation!BM10)/(1+LiborTenor*ForwardLiborSimulation!BM10)</f>
        <v>4.0944478245091981E-3</v>
      </c>
      <c r="BO11" s="24">
        <f ca="1">+BO10+(LiborTenor*Volatility!BN10*ForwardLiborSimulation!BN10)/(1+LiborTenor*ForwardLiborSimulation!BN10)</f>
        <v>4.1337768035329195E-3</v>
      </c>
      <c r="BP11" s="24">
        <f ca="1">+BP10+(LiborTenor*Volatility!BO10*ForwardLiborSimulation!BO10)/(1+LiborTenor*ForwardLiborSimulation!BO10)</f>
        <v>4.239768289593198E-3</v>
      </c>
      <c r="BQ11" s="24">
        <f ca="1">+BQ10+(LiborTenor*Volatility!BP10*ForwardLiborSimulation!BP10)/(1+LiborTenor*ForwardLiborSimulation!BP10)</f>
        <v>4.257554950323642E-3</v>
      </c>
      <c r="BR11" s="24">
        <f ca="1">+BR10+(LiborTenor*Volatility!BQ10*ForwardLiborSimulation!BQ10)/(1+LiborTenor*ForwardLiborSimulation!BQ10)</f>
        <v>4.2652049835623668E-3</v>
      </c>
      <c r="BS11" s="24">
        <f ca="1">+BS10+(LiborTenor*Volatility!BR10*ForwardLiborSimulation!BR10)/(1+LiborTenor*ForwardLiborSimulation!BR10)</f>
        <v>4.3917853038720539E-3</v>
      </c>
      <c r="BT11" s="24">
        <f ca="1">+BT10+(LiborTenor*Volatility!BS10*ForwardLiborSimulation!BS10)/(1+LiborTenor*ForwardLiborSimulation!BS10)</f>
        <v>4.230596869459465E-3</v>
      </c>
      <c r="BU11" s="24">
        <f ca="1">+BU10+(LiborTenor*Volatility!BT10*ForwardLiborSimulation!BT10)/(1+LiborTenor*ForwardLiborSimulation!BT10)</f>
        <v>4.1103384545383755E-3</v>
      </c>
      <c r="BV11" s="24">
        <f ca="1">+BV10+(LiborTenor*Volatility!BU10*ForwardLiborSimulation!BU10)/(1+LiborTenor*ForwardLiborSimulation!BU10)</f>
        <v>4.0007389776531878E-3</v>
      </c>
      <c r="BW11" s="24">
        <f ca="1">+BW10+(LiborTenor*Volatility!BV10*ForwardLiborSimulation!BV10)/(1+LiborTenor*ForwardLiborSimulation!BV10)</f>
        <v>4.1554365814738077E-3</v>
      </c>
      <c r="BX11" s="24">
        <f ca="1">+BX10+(LiborTenor*Volatility!BW10*ForwardLiborSimulation!BW10)/(1+LiborTenor*ForwardLiborSimulation!BW10)</f>
        <v>3.9540166774372533E-3</v>
      </c>
      <c r="BY11" s="24">
        <f ca="1">+BY10+(LiborTenor*Volatility!BX10*ForwardLiborSimulation!BX10)/(1+LiborTenor*ForwardLiborSimulation!BX10)</f>
        <v>3.8930869660810706E-3</v>
      </c>
      <c r="BZ11" s="24">
        <f ca="1">+BZ10+(LiborTenor*Volatility!BY10*ForwardLiborSimulation!BY10)/(1+LiborTenor*ForwardLiborSimulation!BY10)</f>
        <v>3.9149564795384791E-3</v>
      </c>
      <c r="CA11" s="24">
        <f ca="1">+CA10+(LiborTenor*Volatility!BZ10*ForwardLiborSimulation!BZ10)/(1+LiborTenor*ForwardLiborSimulation!BZ10)</f>
        <v>4.1026756477184727E-3</v>
      </c>
      <c r="CB11" s="24">
        <f ca="1">+CB10+(LiborTenor*Volatility!CA10*ForwardLiborSimulation!CA10)/(1+LiborTenor*ForwardLiborSimulation!CA10)</f>
        <v>4.0061090552263355E-3</v>
      </c>
      <c r="CC11" s="24">
        <f ca="1">+CC10+(LiborTenor*Volatility!CB10*ForwardLiborSimulation!CB10)/(1+LiborTenor*ForwardLiborSimulation!CB10)</f>
        <v>4.0826211805432555E-3</v>
      </c>
      <c r="CD11" s="24">
        <f ca="1">+CD10+(LiborTenor*Volatility!CC10*ForwardLiborSimulation!CC10)/(1+LiborTenor*ForwardLiborSimulation!CC10)</f>
        <v>4.0672664918488758E-3</v>
      </c>
      <c r="CE11" s="24">
        <f ca="1">+CE10+(LiborTenor*Volatility!CD10*ForwardLiborSimulation!CD10)/(1+LiborTenor*ForwardLiborSimulation!CD10)</f>
        <v>4.1043013540738608E-3</v>
      </c>
      <c r="CF11" s="24">
        <f ca="1">+CF10+(LiborTenor*Volatility!CE10*ForwardLiborSimulation!CE10)/(1+LiborTenor*ForwardLiborSimulation!CE10)</f>
        <v>3.9824385371430232E-3</v>
      </c>
      <c r="CG11" s="24">
        <f ca="1">+CG10+(LiborTenor*Volatility!CF10*ForwardLiborSimulation!CF10)/(1+LiborTenor*ForwardLiborSimulation!CF10)</f>
        <v>4.0913529757966452E-3</v>
      </c>
      <c r="CH11" s="24">
        <f ca="1">+CH10+(LiborTenor*Volatility!CG10*ForwardLiborSimulation!CG10)/(1+LiborTenor*ForwardLiborSimulation!CG10)</f>
        <v>4.1315343325702769E-3</v>
      </c>
      <c r="CI11" s="24">
        <f ca="1">+CI10+(LiborTenor*Volatility!CH10*ForwardLiborSimulation!CH10)/(1+LiborTenor*ForwardLiborSimulation!CH10)</f>
        <v>4.0367186182085511E-3</v>
      </c>
      <c r="CJ11" s="24">
        <f ca="1">+CJ10+(LiborTenor*Volatility!CI10*ForwardLiborSimulation!CI10)/(1+LiborTenor*ForwardLiborSimulation!CI10)</f>
        <v>4.0185775615200307E-3</v>
      </c>
      <c r="CK11" s="24">
        <f ca="1">+CK10+(LiborTenor*Volatility!CJ10*ForwardLiborSimulation!CJ10)/(1+LiborTenor*ForwardLiborSimulation!CJ10)</f>
        <v>3.9540357118103267E-3</v>
      </c>
      <c r="CL11" s="24">
        <f ca="1">+CL10+(LiborTenor*Volatility!CK10*ForwardLiborSimulation!CK10)/(1+LiborTenor*ForwardLiborSimulation!CK10)</f>
        <v>3.9221971787137804E-3</v>
      </c>
      <c r="CM11" s="24">
        <f ca="1">+CM10+(LiborTenor*Volatility!CL10*ForwardLiborSimulation!CL10)/(1+LiborTenor*ForwardLiborSimulation!CL10)</f>
        <v>3.9967777594968751E-3</v>
      </c>
      <c r="CN11" s="24">
        <f ca="1">+CN10+(LiborTenor*Volatility!CM10*ForwardLiborSimulation!CM10)/(1+LiborTenor*ForwardLiborSimulation!CM10)</f>
        <v>3.9557019223063986E-3</v>
      </c>
      <c r="CO11" s="24">
        <f ca="1">+CO10+(LiborTenor*Volatility!CN10*ForwardLiborSimulation!CN10)/(1+LiborTenor*ForwardLiborSimulation!CN10)</f>
        <v>3.9066797303280451E-3</v>
      </c>
      <c r="CP11" s="24">
        <f ca="1">+CP10+(LiborTenor*Volatility!CO10*ForwardLiborSimulation!CO10)/(1+LiborTenor*ForwardLiborSimulation!CO10)</f>
        <v>3.7604220251761049E-3</v>
      </c>
      <c r="CQ11" s="24">
        <f ca="1">+CQ10+(LiborTenor*Volatility!CP10*ForwardLiborSimulation!CP10)/(1+LiborTenor*ForwardLiborSimulation!CP10)</f>
        <v>3.8127391534566509E-3</v>
      </c>
      <c r="CR11" s="24">
        <f ca="1">+CR10+(LiborTenor*Volatility!CQ10*ForwardLiborSimulation!CQ10)/(1+LiborTenor*ForwardLiborSimulation!CQ10)</f>
        <v>3.9094843995417178E-3</v>
      </c>
      <c r="CS11" s="24">
        <f ca="1">+CS10+(LiborTenor*Volatility!CR10*ForwardLiborSimulation!CR10)/(1+LiborTenor*ForwardLiborSimulation!CR10)</f>
        <v>3.999263216475619E-3</v>
      </c>
      <c r="CT11" s="24">
        <f ca="1">+CT10+(LiborTenor*Volatility!CS10*ForwardLiborSimulation!CS10)/(1+LiborTenor*ForwardLiborSimulation!CS10)</f>
        <v>4.0415683208830551E-3</v>
      </c>
      <c r="CU11" s="24">
        <f ca="1">+CU10+(LiborTenor*Volatility!CT10*ForwardLiborSimulation!CT10)/(1+LiborTenor*ForwardLiborSimulation!CT10)</f>
        <v>4.1307832113133052E-3</v>
      </c>
      <c r="CV11" s="24">
        <f ca="1">+CV10+(LiborTenor*Volatility!CU10*ForwardLiborSimulation!CU10)/(1+LiborTenor*ForwardLiborSimulation!CU10)</f>
        <v>4.1263383772315587E-3</v>
      </c>
      <c r="CW11" s="24">
        <f ca="1">+CW10+(LiborTenor*Volatility!CV10*ForwardLiborSimulation!CV10)/(1+LiborTenor*ForwardLiborSimulation!CV10)</f>
        <v>4.1331655124286311E-3</v>
      </c>
      <c r="CX11" s="24">
        <f ca="1">+CX10+(LiborTenor*Volatility!CW10*ForwardLiborSimulation!CW10)/(1+LiborTenor*ForwardLiborSimulation!CW10)</f>
        <v>4.2143935468734912E-3</v>
      </c>
      <c r="CY11" s="24">
        <f ca="1">+CY10+(LiborTenor*Volatility!CX10*ForwardLiborSimulation!CX10)/(1+LiborTenor*ForwardLiborSimulation!CX10)</f>
        <v>4.2623259916337577E-3</v>
      </c>
      <c r="CZ11" s="24">
        <f ca="1">+CZ10+(LiborTenor*Volatility!CY10*ForwardLiborSimulation!CY10)/(1+LiborTenor*ForwardLiborSimulation!CY10)</f>
        <v>4.3928368938470005E-3</v>
      </c>
      <c r="DA11" s="24">
        <f ca="1">+DA10+(LiborTenor*Volatility!CZ10*ForwardLiborSimulation!CZ10)/(1+LiborTenor*ForwardLiborSimulation!CZ10)</f>
        <v>4.4201901874550125E-3</v>
      </c>
      <c r="DB11" s="24">
        <f ca="1">+DB10+(LiborTenor*Volatility!DA10*ForwardLiborSimulation!DA10)/(1+LiborTenor*ForwardLiborSimulation!DA10)</f>
        <v>4.4913108901128186E-3</v>
      </c>
      <c r="DC11" s="24">
        <f ca="1">+DC10+(LiborTenor*Volatility!DB10*ForwardLiborSimulation!DB10)/(1+LiborTenor*ForwardLiborSimulation!DB10)</f>
        <v>4.5532138197704915E-3</v>
      </c>
      <c r="DD11" s="24">
        <f ca="1">+DD10+(LiborTenor*Volatility!DC10*ForwardLiborSimulation!DC10)/(1+LiborTenor*ForwardLiborSimulation!DC10)</f>
        <v>4.4702718431586085E-3</v>
      </c>
      <c r="DE11" s="24">
        <f ca="1">+DE10+(LiborTenor*Volatility!DD10*ForwardLiborSimulation!DD10)/(1+LiborTenor*ForwardLiborSimulation!DD10)</f>
        <v>4.5348735233289071E-3</v>
      </c>
      <c r="DF11" s="24">
        <f ca="1">+DF10+(LiborTenor*Volatility!DE10*ForwardLiborSimulation!DE10)/(1+LiborTenor*ForwardLiborSimulation!DE10)</f>
        <v>4.6940770510055102E-3</v>
      </c>
      <c r="DG11" s="24">
        <f ca="1">+DG10+(LiborTenor*Volatility!DF10*ForwardLiborSimulation!DF10)/(1+LiborTenor*ForwardLiborSimulation!DF10)</f>
        <v>4.6561511860888465E-3</v>
      </c>
      <c r="DH11" s="24">
        <f ca="1">+DH10+(LiborTenor*Volatility!DG10*ForwardLiborSimulation!DG10)/(1+LiborTenor*ForwardLiborSimulation!DG10)</f>
        <v>4.7058440716260773E-3</v>
      </c>
      <c r="DI11" s="24"/>
      <c r="DJ11" s="24"/>
      <c r="DK11" s="2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</row>
    <row r="12" spans="2:127" x14ac:dyDescent="0.2">
      <c r="B12" s="7"/>
      <c r="D12" s="2">
        <f>+ForwardLiborSimulation!D12</f>
        <v>8.75</v>
      </c>
      <c r="E12" s="10"/>
      <c r="F12" s="12" t="str">
        <f t="shared" ref="F12:F46" si="2">+"L(t;"&amp;D13&amp;","&amp;D12&amp;")"</f>
        <v>L(t;8.5,8.75)</v>
      </c>
      <c r="G12" s="14"/>
      <c r="H12" s="24">
        <f>+H11+(LiborTenor*Volatility!G11*ForwardLiborSimulation!G11)/(1+LiborTenor*ForwardLiborSimulation!G11)</f>
        <v>4.6296296296296302E-3</v>
      </c>
      <c r="I12" s="24">
        <f ca="1">+I11+(LiborTenor*Volatility!H11*ForwardLiborSimulation!H11)/(1+LiborTenor*ForwardLiborSimulation!H11)</f>
        <v>4.7796016127574729E-3</v>
      </c>
      <c r="J12" s="24">
        <f ca="1">+J11+(LiborTenor*Volatility!I11*ForwardLiborSimulation!I11)/(1+LiborTenor*ForwardLiborSimulation!I11)</f>
        <v>4.8485589653431528E-3</v>
      </c>
      <c r="K12" s="24">
        <f ca="1">+K11+(LiborTenor*Volatility!J11*ForwardLiborSimulation!J11)/(1+LiborTenor*ForwardLiborSimulation!J11)</f>
        <v>4.7621863378054085E-3</v>
      </c>
      <c r="L12" s="24">
        <f ca="1">+L11+(LiborTenor*Volatility!K11*ForwardLiborSimulation!K11)/(1+LiborTenor*ForwardLiborSimulation!K11)</f>
        <v>4.7924726383416216E-3</v>
      </c>
      <c r="M12" s="24">
        <f ca="1">+M11+(LiborTenor*Volatility!L11*ForwardLiborSimulation!L11)/(1+LiborTenor*ForwardLiborSimulation!L11)</f>
        <v>4.6953432630863559E-3</v>
      </c>
      <c r="N12" s="24">
        <f ca="1">+N11+(LiborTenor*Volatility!M11*ForwardLiborSimulation!M11)/(1+LiborTenor*ForwardLiborSimulation!M11)</f>
        <v>4.9012527396770584E-3</v>
      </c>
      <c r="O12" s="24">
        <f ca="1">+O11+(LiborTenor*Volatility!N11*ForwardLiborSimulation!N11)/(1+LiborTenor*ForwardLiborSimulation!N11)</f>
        <v>4.8702978558530464E-3</v>
      </c>
      <c r="P12" s="24">
        <f ca="1">+P11+(LiborTenor*Volatility!O11*ForwardLiborSimulation!O11)/(1+LiborTenor*ForwardLiborSimulation!O11)</f>
        <v>4.989029182021063E-3</v>
      </c>
      <c r="Q12" s="24">
        <f ca="1">+Q11+(LiborTenor*Volatility!P11*ForwardLiborSimulation!P11)/(1+LiborTenor*ForwardLiborSimulation!P11)</f>
        <v>4.8989083309986343E-3</v>
      </c>
      <c r="R12" s="24">
        <f ca="1">+R11+(LiborTenor*Volatility!Q11*ForwardLiborSimulation!Q11)/(1+LiborTenor*ForwardLiborSimulation!Q11)</f>
        <v>4.9181637525985492E-3</v>
      </c>
      <c r="S12" s="24">
        <f ca="1">+S11+(LiborTenor*Volatility!R11*ForwardLiborSimulation!R11)/(1+LiborTenor*ForwardLiborSimulation!R11)</f>
        <v>5.0101531823632901E-3</v>
      </c>
      <c r="T12" s="24">
        <f ca="1">+T11+(LiborTenor*Volatility!S11*ForwardLiborSimulation!S11)/(1+LiborTenor*ForwardLiborSimulation!S11)</f>
        <v>5.1876499998789512E-3</v>
      </c>
      <c r="U12" s="24">
        <f ca="1">+U11+(LiborTenor*Volatility!T11*ForwardLiborSimulation!T11)/(1+LiborTenor*ForwardLiborSimulation!T11)</f>
        <v>5.1226598157828214E-3</v>
      </c>
      <c r="V12" s="24">
        <f ca="1">+V11+(LiborTenor*Volatility!U11*ForwardLiborSimulation!U11)/(1+LiborTenor*ForwardLiborSimulation!U11)</f>
        <v>5.1142646066885209E-3</v>
      </c>
      <c r="W12" s="24">
        <f ca="1">+W11+(LiborTenor*Volatility!V11*ForwardLiborSimulation!V11)/(1+LiborTenor*ForwardLiborSimulation!V11)</f>
        <v>5.0135524861398099E-3</v>
      </c>
      <c r="X12" s="24">
        <f ca="1">+X11+(LiborTenor*Volatility!W11*ForwardLiborSimulation!W11)/(1+LiborTenor*ForwardLiborSimulation!W11)</f>
        <v>4.7692321941433333E-3</v>
      </c>
      <c r="Y12" s="24">
        <f ca="1">+Y11+(LiborTenor*Volatility!X11*ForwardLiborSimulation!X11)/(1+LiborTenor*ForwardLiborSimulation!X11)</f>
        <v>4.8366343513024787E-3</v>
      </c>
      <c r="Z12" s="24">
        <f ca="1">+Z11+(LiborTenor*Volatility!Y11*ForwardLiborSimulation!Y11)/(1+LiborTenor*ForwardLiborSimulation!Y11)</f>
        <v>4.782209119960649E-3</v>
      </c>
      <c r="AA12" s="24">
        <f ca="1">+AA11+(LiborTenor*Volatility!Z11*ForwardLiborSimulation!Z11)/(1+LiborTenor*ForwardLiborSimulation!Z11)</f>
        <v>4.8673871396199648E-3</v>
      </c>
      <c r="AB12" s="24">
        <f ca="1">+AB11+(LiborTenor*Volatility!AA11*ForwardLiborSimulation!AA11)/(1+LiborTenor*ForwardLiborSimulation!AA11)</f>
        <v>4.9357497436651335E-3</v>
      </c>
      <c r="AC12" s="24">
        <f ca="1">+AC11+(LiborTenor*Volatility!AB11*ForwardLiborSimulation!AB11)/(1+LiborTenor*ForwardLiborSimulation!AB11)</f>
        <v>4.9260965489476291E-3</v>
      </c>
      <c r="AD12" s="24">
        <f ca="1">+AD11+(LiborTenor*Volatility!AC11*ForwardLiborSimulation!AC11)/(1+LiborTenor*ForwardLiborSimulation!AC11)</f>
        <v>4.849747031924867E-3</v>
      </c>
      <c r="AE12" s="24">
        <f ca="1">+AE11+(LiborTenor*Volatility!AD11*ForwardLiborSimulation!AD11)/(1+LiborTenor*ForwardLiborSimulation!AD11)</f>
        <v>4.8166512869110565E-3</v>
      </c>
      <c r="AF12" s="24">
        <f ca="1">+AF11+(LiborTenor*Volatility!AE11*ForwardLiborSimulation!AE11)/(1+LiborTenor*ForwardLiborSimulation!AE11)</f>
        <v>5.0017025135681813E-3</v>
      </c>
      <c r="AG12" s="24">
        <f ca="1">+AG11+(LiborTenor*Volatility!AF11*ForwardLiborSimulation!AF11)/(1+LiborTenor*ForwardLiborSimulation!AF11)</f>
        <v>5.02213148226195E-3</v>
      </c>
      <c r="AH12" s="24">
        <f ca="1">+AH11+(LiborTenor*Volatility!AG11*ForwardLiborSimulation!AG11)/(1+LiborTenor*ForwardLiborSimulation!AG11)</f>
        <v>5.0722246288267513E-3</v>
      </c>
      <c r="AI12" s="24">
        <f ca="1">+AI11+(LiborTenor*Volatility!AH11*ForwardLiborSimulation!AH11)/(1+LiborTenor*ForwardLiborSimulation!AH11)</f>
        <v>5.1296071697679285E-3</v>
      </c>
      <c r="AJ12" s="24">
        <f ca="1">+AJ11+(LiborTenor*Volatility!AI11*ForwardLiborSimulation!AI11)/(1+LiborTenor*ForwardLiborSimulation!AI11)</f>
        <v>5.3215159886461682E-3</v>
      </c>
      <c r="AK12" s="24">
        <f ca="1">+AK11+(LiborTenor*Volatility!AJ11*ForwardLiborSimulation!AJ11)/(1+LiborTenor*ForwardLiborSimulation!AJ11)</f>
        <v>5.3650400095935644E-3</v>
      </c>
      <c r="AL12" s="24">
        <f ca="1">+AL11+(LiborTenor*Volatility!AK11*ForwardLiborSimulation!AK11)/(1+LiborTenor*ForwardLiborSimulation!AK11)</f>
        <v>5.5118890798382704E-3</v>
      </c>
      <c r="AM12" s="24">
        <f ca="1">+AM11+(LiborTenor*Volatility!AL11*ForwardLiborSimulation!AL11)/(1+LiborTenor*ForwardLiborSimulation!AL11)</f>
        <v>5.5810108251184249E-3</v>
      </c>
      <c r="AN12" s="24">
        <f ca="1">+AN11+(LiborTenor*Volatility!AM11*ForwardLiborSimulation!AM11)/(1+LiborTenor*ForwardLiborSimulation!AM11)</f>
        <v>5.5593312237608526E-3</v>
      </c>
      <c r="AO12" s="24">
        <f ca="1">+AO11+(LiborTenor*Volatility!AN11*ForwardLiborSimulation!AN11)/(1+LiborTenor*ForwardLiborSimulation!AN11)</f>
        <v>5.316132081352341E-3</v>
      </c>
      <c r="AP12" s="24">
        <f ca="1">+AP11+(LiborTenor*Volatility!AO11*ForwardLiborSimulation!AO11)/(1+LiborTenor*ForwardLiborSimulation!AO11)</f>
        <v>5.2473865209488454E-3</v>
      </c>
      <c r="AQ12" s="24">
        <f ca="1">+AQ11+(LiborTenor*Volatility!AP11*ForwardLiborSimulation!AP11)/(1+LiborTenor*ForwardLiborSimulation!AP11)</f>
        <v>5.1024247196343282E-3</v>
      </c>
      <c r="AR12" s="24">
        <f ca="1">+AR11+(LiborTenor*Volatility!AQ11*ForwardLiborSimulation!AQ11)/(1+LiborTenor*ForwardLiborSimulation!AQ11)</f>
        <v>5.1828006935404599E-3</v>
      </c>
      <c r="AS12" s="24">
        <f ca="1">+AS11+(LiborTenor*Volatility!AR11*ForwardLiborSimulation!AR11)/(1+LiborTenor*ForwardLiborSimulation!AR11)</f>
        <v>5.2919317777929921E-3</v>
      </c>
      <c r="AT12" s="24">
        <f ca="1">+AT11+(LiborTenor*Volatility!AS11*ForwardLiborSimulation!AS11)/(1+LiborTenor*ForwardLiborSimulation!AS11)</f>
        <v>5.2115176544193335E-3</v>
      </c>
      <c r="AU12" s="24">
        <f ca="1">+AU11+(LiborTenor*Volatility!AT11*ForwardLiborSimulation!AT11)/(1+LiborTenor*ForwardLiborSimulation!AT11)</f>
        <v>5.1776513933169321E-3</v>
      </c>
      <c r="AV12" s="24">
        <f ca="1">+AV11+(LiborTenor*Volatility!AU11*ForwardLiborSimulation!AU11)/(1+LiborTenor*ForwardLiborSimulation!AU11)</f>
        <v>5.2774802441222912E-3</v>
      </c>
      <c r="AW12" s="24">
        <f ca="1">+AW11+(LiborTenor*Volatility!AV11*ForwardLiborSimulation!AV11)/(1+LiborTenor*ForwardLiborSimulation!AV11)</f>
        <v>5.2986875260946399E-3</v>
      </c>
      <c r="AX12" s="24">
        <f ca="1">+AX11+(LiborTenor*Volatility!AW11*ForwardLiborSimulation!AW11)/(1+LiborTenor*ForwardLiborSimulation!AW11)</f>
        <v>5.4159181005359672E-3</v>
      </c>
      <c r="AY12" s="24">
        <f ca="1">+AY11+(LiborTenor*Volatility!AX11*ForwardLiborSimulation!AX11)/(1+LiborTenor*ForwardLiborSimulation!AX11)</f>
        <v>5.2930929236967954E-3</v>
      </c>
      <c r="AZ12" s="24">
        <f ca="1">+AZ11+(LiborTenor*Volatility!AY11*ForwardLiborSimulation!AY11)/(1+LiborTenor*ForwardLiborSimulation!AY11)</f>
        <v>5.3820504442824661E-3</v>
      </c>
      <c r="BA12" s="24">
        <f ca="1">+BA11+(LiborTenor*Volatility!AZ11*ForwardLiborSimulation!AZ11)/(1+LiborTenor*ForwardLiborSimulation!AZ11)</f>
        <v>5.4573240015019153E-3</v>
      </c>
      <c r="BB12" s="24">
        <f ca="1">+BB11+(LiborTenor*Volatility!BA11*ForwardLiborSimulation!BA11)/(1+LiborTenor*ForwardLiborSimulation!BA11)</f>
        <v>5.6569588335989192E-3</v>
      </c>
      <c r="BC12" s="24">
        <f ca="1">+BC11+(LiborTenor*Volatility!BB11*ForwardLiborSimulation!BB11)/(1+LiborTenor*ForwardLiborSimulation!BB11)</f>
        <v>5.7071736937833895E-3</v>
      </c>
      <c r="BD12" s="24">
        <f ca="1">+BD11+(LiborTenor*Volatility!BC11*ForwardLiborSimulation!BC11)/(1+LiborTenor*ForwardLiborSimulation!BC11)</f>
        <v>5.5781529113274088E-3</v>
      </c>
      <c r="BE12" s="24">
        <f ca="1">+BE11+(LiborTenor*Volatility!BD11*ForwardLiborSimulation!BD11)/(1+LiborTenor*ForwardLiborSimulation!BD11)</f>
        <v>5.5692533342797616E-3</v>
      </c>
      <c r="BF12" s="24">
        <f ca="1">+BF11+(LiborTenor*Volatility!BE11*ForwardLiborSimulation!BE11)/(1+LiborTenor*ForwardLiborSimulation!BE11)</f>
        <v>5.5079368456083513E-3</v>
      </c>
      <c r="BG12" s="24">
        <f ca="1">+BG11+(LiborTenor*Volatility!BF11*ForwardLiborSimulation!BF11)/(1+LiborTenor*ForwardLiborSimulation!BF11)</f>
        <v>5.3067210183776452E-3</v>
      </c>
      <c r="BH12" s="24">
        <f ca="1">+BH11+(LiborTenor*Volatility!BG11*ForwardLiborSimulation!BG11)/(1+LiborTenor*ForwardLiborSimulation!BG11)</f>
        <v>5.5267715443445484E-3</v>
      </c>
      <c r="BI12" s="24">
        <f ca="1">+BI11+(LiborTenor*Volatility!BH11*ForwardLiborSimulation!BH11)/(1+LiborTenor*ForwardLiborSimulation!BH11)</f>
        <v>5.4223911885729293E-3</v>
      </c>
      <c r="BJ12" s="24">
        <f ca="1">+BJ11+(LiborTenor*Volatility!BI11*ForwardLiborSimulation!BI11)/(1+LiborTenor*ForwardLiborSimulation!BI11)</f>
        <v>5.1451219728612958E-3</v>
      </c>
      <c r="BK12" s="24">
        <f ca="1">+BK11+(LiborTenor*Volatility!BJ11*ForwardLiborSimulation!BJ11)/(1+LiborTenor*ForwardLiborSimulation!BJ11)</f>
        <v>5.2106661952120853E-3</v>
      </c>
      <c r="BL12" s="24">
        <f ca="1">+BL11+(LiborTenor*Volatility!BK11*ForwardLiborSimulation!BK11)/(1+LiborTenor*ForwardLiborSimulation!BK11)</f>
        <v>5.3003796104249493E-3</v>
      </c>
      <c r="BM12" s="24">
        <f ca="1">+BM11+(LiborTenor*Volatility!BL11*ForwardLiborSimulation!BL11)/(1+LiborTenor*ForwardLiborSimulation!BL11)</f>
        <v>5.3945677536636379E-3</v>
      </c>
      <c r="BN12" s="24">
        <f ca="1">+BN11+(LiborTenor*Volatility!BM11*ForwardLiborSimulation!BM11)/(1+LiborTenor*ForwardLiborSimulation!BM11)</f>
        <v>5.2272713747989101E-3</v>
      </c>
      <c r="BO12" s="24">
        <f ca="1">+BO11+(LiborTenor*Volatility!BN11*ForwardLiborSimulation!BN11)/(1+LiborTenor*ForwardLiborSimulation!BN11)</f>
        <v>5.2785166896512914E-3</v>
      </c>
      <c r="BP12" s="24">
        <f ca="1">+BP11+(LiborTenor*Volatility!BO11*ForwardLiborSimulation!BO11)/(1+LiborTenor*ForwardLiborSimulation!BO11)</f>
        <v>5.4166825145305474E-3</v>
      </c>
      <c r="BQ12" s="24">
        <f ca="1">+BQ11+(LiborTenor*Volatility!BP11*ForwardLiborSimulation!BP11)/(1+LiborTenor*ForwardLiborSimulation!BP11)</f>
        <v>5.4398635716089725E-3</v>
      </c>
      <c r="BR12" s="24">
        <f ca="1">+BR11+(LiborTenor*Volatility!BQ11*ForwardLiborSimulation!BQ11)/(1+LiborTenor*ForwardLiborSimulation!BQ11)</f>
        <v>5.4498225356975384E-3</v>
      </c>
      <c r="BS12" s="24">
        <f ca="1">+BS11+(LiborTenor*Volatility!BR11*ForwardLiborSimulation!BR11)/(1+LiborTenor*ForwardLiborSimulation!BR11)</f>
        <v>5.6149385619744521E-3</v>
      </c>
      <c r="BT12" s="24">
        <f ca="1">+BT11+(LiborTenor*Volatility!BS11*ForwardLiborSimulation!BS11)/(1+LiborTenor*ForwardLiborSimulation!BS11)</f>
        <v>5.4044928984265427E-3</v>
      </c>
      <c r="BU12" s="24">
        <f ca="1">+BU11+(LiborTenor*Volatility!BT11*ForwardLiborSimulation!BT11)/(1+LiborTenor*ForwardLiborSimulation!BT11)</f>
        <v>5.2476127270643519E-3</v>
      </c>
      <c r="BV12" s="24">
        <f ca="1">+BV11+(LiborTenor*Volatility!BU11*ForwardLiborSimulation!BU11)/(1+LiborTenor*ForwardLiborSimulation!BU11)</f>
        <v>5.1047287435215718E-3</v>
      </c>
      <c r="BW12" s="24">
        <f ca="1">+BW11+(LiborTenor*Volatility!BV11*ForwardLiborSimulation!BV11)/(1+LiborTenor*ForwardLiborSimulation!BV11)</f>
        <v>5.3062352965035538E-3</v>
      </c>
      <c r="BX12" s="24">
        <f ca="1">+BX11+(LiborTenor*Volatility!BW11*ForwardLiborSimulation!BW11)/(1+LiborTenor*ForwardLiborSimulation!BW11)</f>
        <v>5.0436060333902957E-3</v>
      </c>
      <c r="BY12" s="24">
        <f ca="1">+BY11+(LiborTenor*Volatility!BX11*ForwardLiborSimulation!BX11)/(1+LiborTenor*ForwardLiborSimulation!BX11)</f>
        <v>4.9642379973028226E-3</v>
      </c>
      <c r="BZ12" s="24">
        <f ca="1">+BZ11+(LiborTenor*Volatility!BY11*ForwardLiborSimulation!BY11)/(1+LiborTenor*ForwardLiborSimulation!BY11)</f>
        <v>4.9926916554653318E-3</v>
      </c>
      <c r="CA12" s="24">
        <f ca="1">+CA11+(LiborTenor*Volatility!BZ11*ForwardLiborSimulation!BZ11)/(1+LiborTenor*ForwardLiborSimulation!BZ11)</f>
        <v>5.2370844411745859E-3</v>
      </c>
      <c r="CB12" s="24">
        <f ca="1">+CB11+(LiborTenor*Volatility!CA11*ForwardLiborSimulation!CA11)/(1+LiborTenor*ForwardLiborSimulation!CA11)</f>
        <v>5.1112078361919338E-3</v>
      </c>
      <c r="CC12" s="24">
        <f ca="1">+CC11+(LiborTenor*Volatility!CB11*ForwardLiborSimulation!CB11)/(1+LiborTenor*ForwardLiborSimulation!CB11)</f>
        <v>5.2108549233060271E-3</v>
      </c>
      <c r="CD12" s="24">
        <f ca="1">+CD11+(LiborTenor*Volatility!CC11*ForwardLiborSimulation!CC11)/(1+LiborTenor*ForwardLiborSimulation!CC11)</f>
        <v>5.1908262253757614E-3</v>
      </c>
      <c r="CE12" s="24">
        <f ca="1">+CE11+(LiborTenor*Volatility!CD11*ForwardLiborSimulation!CD11)/(1+LiborTenor*ForwardLiborSimulation!CD11)</f>
        <v>5.2390646509077685E-3</v>
      </c>
      <c r="CF12" s="24">
        <f ca="1">+CF11+(LiborTenor*Volatility!CE11*ForwardLiborSimulation!CE11)/(1+LiborTenor*ForwardLiborSimulation!CE11)</f>
        <v>5.0802216490471374E-3</v>
      </c>
      <c r="CG12" s="24">
        <f ca="1">+CG11+(LiborTenor*Volatility!CF11*ForwardLiborSimulation!CF11)/(1+LiborTenor*ForwardLiborSimulation!CF11)</f>
        <v>5.2220534655332855E-3</v>
      </c>
      <c r="CH12" s="24">
        <f ca="1">+CH11+(LiborTenor*Volatility!CG11*ForwardLiborSimulation!CG11)/(1+LiborTenor*ForwardLiborSimulation!CG11)</f>
        <v>5.2743966826922254E-3</v>
      </c>
      <c r="CI12" s="24">
        <f ca="1">+CI11+(LiborTenor*Volatility!CH11*ForwardLiborSimulation!CH11)/(1+LiborTenor*ForwardLiborSimulation!CH11)</f>
        <v>5.1507902651971903E-3</v>
      </c>
      <c r="CJ12" s="24">
        <f ca="1">+CJ11+(LiborTenor*Volatility!CI11*ForwardLiborSimulation!CI11)/(1+LiborTenor*ForwardLiborSimulation!CI11)</f>
        <v>5.1271380009823338E-3</v>
      </c>
      <c r="CK12" s="24">
        <f ca="1">+CK11+(LiborTenor*Volatility!CJ11*ForwardLiborSimulation!CJ11)/(1+LiborTenor*ForwardLiborSimulation!CJ11)</f>
        <v>5.0430450921443411E-3</v>
      </c>
      <c r="CL12" s="24">
        <f ca="1">+CL11+(LiborTenor*Volatility!CK11*ForwardLiborSimulation!CK11)/(1+LiborTenor*ForwardLiborSimulation!CK11)</f>
        <v>5.0015681998696222E-3</v>
      </c>
      <c r="CM12" s="24">
        <f ca="1">+CM11+(LiborTenor*Volatility!CL11*ForwardLiborSimulation!CL11)/(1+LiborTenor*ForwardLiborSimulation!CL11)</f>
        <v>5.098648031204904E-3</v>
      </c>
      <c r="CN12" s="24">
        <f ca="1">+CN11+(LiborTenor*Volatility!CM11*ForwardLiborSimulation!CM11)/(1+LiborTenor*ForwardLiborSimulation!CM11)</f>
        <v>5.0451303786459307E-3</v>
      </c>
      <c r="CO12" s="24">
        <f ca="1">+CO11+(LiborTenor*Volatility!CN11*ForwardLiborSimulation!CN11)/(1+LiborTenor*ForwardLiborSimulation!CN11)</f>
        <v>4.9812780380613028E-3</v>
      </c>
      <c r="CP12" s="24">
        <f ca="1">+CP11+(LiborTenor*Volatility!CO11*ForwardLiborSimulation!CO11)/(1+LiborTenor*ForwardLiborSimulation!CO11)</f>
        <v>4.7908622247528993E-3</v>
      </c>
      <c r="CQ12" s="24">
        <f ca="1">+CQ11+(LiborTenor*Volatility!CP11*ForwardLiborSimulation!CP11)/(1+LiborTenor*ForwardLiborSimulation!CP11)</f>
        <v>4.8588934233921542E-3</v>
      </c>
      <c r="CR12" s="24">
        <f ca="1">+CR11+(LiborTenor*Volatility!CQ11*ForwardLiborSimulation!CQ11)/(1+LiborTenor*ForwardLiborSimulation!CQ11)</f>
        <v>4.9847472715052361E-3</v>
      </c>
      <c r="CS12" s="24">
        <f ca="1">+CS11+(LiborTenor*Volatility!CR11*ForwardLiborSimulation!CR11)/(1+LiborTenor*ForwardLiborSimulation!CR11)</f>
        <v>5.1015990420373841E-3</v>
      </c>
      <c r="CT12" s="24">
        <f ca="1">+CT11+(LiborTenor*Volatility!CS11*ForwardLiborSimulation!CS11)/(1+LiborTenor*ForwardLiborSimulation!CS11)</f>
        <v>5.156678054573414E-3</v>
      </c>
      <c r="CU12" s="24">
        <f ca="1">+CU11+(LiborTenor*Volatility!CT11*ForwardLiborSimulation!CT11)/(1+LiborTenor*ForwardLiborSimulation!CT11)</f>
        <v>5.2728767942560213E-3</v>
      </c>
      <c r="CV12" s="24">
        <f ca="1">+CV11+(LiborTenor*Volatility!CU11*ForwardLiborSimulation!CU11)/(1+LiborTenor*ForwardLiborSimulation!CU11)</f>
        <v>5.2670641655313943E-3</v>
      </c>
      <c r="CW12" s="24">
        <f ca="1">+CW11+(LiborTenor*Volatility!CV11*ForwardLiborSimulation!CV11)/(1+LiborTenor*ForwardLiborSimulation!CV11)</f>
        <v>5.2759419432387381E-3</v>
      </c>
      <c r="CX12" s="24">
        <f ca="1">+CX11+(LiborTenor*Volatility!CW11*ForwardLiborSimulation!CW11)/(1+LiborTenor*ForwardLiborSimulation!CW11)</f>
        <v>5.3817854260498526E-3</v>
      </c>
      <c r="CY12" s="24">
        <f ca="1">+CY11+(LiborTenor*Volatility!CX11*ForwardLiborSimulation!CX11)/(1+LiborTenor*ForwardLiborSimulation!CX11)</f>
        <v>5.4442605898131925E-3</v>
      </c>
      <c r="CZ12" s="24">
        <f ca="1">+CZ11+(LiborTenor*Volatility!CY11*ForwardLiborSimulation!CY11)/(1+LiborTenor*ForwardLiborSimulation!CY11)</f>
        <v>5.6144433253183202E-3</v>
      </c>
      <c r="DA12" s="24">
        <f ca="1">+DA11+(LiborTenor*Volatility!CZ11*ForwardLiborSimulation!CZ11)/(1+LiborTenor*ForwardLiborSimulation!CZ11)</f>
        <v>5.6501164929249476E-3</v>
      </c>
      <c r="DB12" s="24">
        <f ca="1">+DB11+(LiborTenor*Volatility!DA11*ForwardLiborSimulation!DA11)/(1+LiborTenor*ForwardLiborSimulation!DA11)</f>
        <v>5.7429168871297471E-3</v>
      </c>
      <c r="DC12" s="24">
        <f ca="1">+DC11+(LiborTenor*Volatility!DB11*ForwardLiborSimulation!DB11)/(1+LiborTenor*ForwardLiborSimulation!DB11)</f>
        <v>5.8237135141027381E-3</v>
      </c>
      <c r="DD12" s="24">
        <f ca="1">+DD11+(LiborTenor*Volatility!DC11*ForwardLiborSimulation!DC11)/(1+LiborTenor*ForwardLiborSimulation!DC11)</f>
        <v>5.7153678304253889E-3</v>
      </c>
      <c r="DE12" s="24">
        <f ca="1">+DE11+(LiborTenor*Volatility!DD11*ForwardLiborSimulation!DD11)/(1+LiborTenor*ForwardLiborSimulation!DD11)</f>
        <v>5.7996782662822367E-3</v>
      </c>
      <c r="DF12" s="24"/>
      <c r="DG12" s="24"/>
      <c r="DH12" s="2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</row>
    <row r="13" spans="2:127" x14ac:dyDescent="0.2">
      <c r="D13" s="2">
        <f>+ForwardLiborSimulation!D13</f>
        <v>8.5</v>
      </c>
      <c r="E13" s="10"/>
      <c r="F13" s="12" t="str">
        <f t="shared" si="2"/>
        <v>L(t;8.25,8.5)</v>
      </c>
      <c r="G13" s="14"/>
      <c r="H13" s="24">
        <f>+H12+(LiborTenor*Volatility!G12*ForwardLiborSimulation!G12)/(1+LiborTenor*ForwardLiborSimulation!G12)</f>
        <v>5.6666666666666671E-3</v>
      </c>
      <c r="I13" s="24">
        <f ca="1">+I12+(LiborTenor*Volatility!H12*ForwardLiborSimulation!H12)/(1+LiborTenor*ForwardLiborSimulation!H12)</f>
        <v>5.8510018534343664E-3</v>
      </c>
      <c r="J13" s="24">
        <f ca="1">+J12+(LiborTenor*Volatility!I12*ForwardLiborSimulation!I12)/(1+LiborTenor*ForwardLiborSimulation!I12)</f>
        <v>5.934057989069424E-3</v>
      </c>
      <c r="K13" s="24">
        <f ca="1">+K12+(LiborTenor*Volatility!J12*ForwardLiborSimulation!J12)/(1+LiborTenor*ForwardLiborSimulation!J12)</f>
        <v>5.8261329129741845E-3</v>
      </c>
      <c r="L13" s="24">
        <f ca="1">+L12+(LiborTenor*Volatility!K12*ForwardLiborSimulation!K12)/(1+LiborTenor*ForwardLiborSimulation!K12)</f>
        <v>5.8639325533836892E-3</v>
      </c>
      <c r="M13" s="24">
        <f ca="1">+M12+(LiborTenor*Volatility!L12*ForwardLiborSimulation!L12)/(1+LiborTenor*ForwardLiborSimulation!L12)</f>
        <v>5.7426019387923103E-3</v>
      </c>
      <c r="N13" s="24">
        <f ca="1">+N12+(LiborTenor*Volatility!M12*ForwardLiborSimulation!M12)/(1+LiborTenor*ForwardLiborSimulation!M12)</f>
        <v>5.9996302144903245E-3</v>
      </c>
      <c r="O13" s="24">
        <f ca="1">+O12+(LiborTenor*Volatility!N12*ForwardLiborSimulation!N12)/(1+LiborTenor*ForwardLiborSimulation!N12)</f>
        <v>5.9609295487941232E-3</v>
      </c>
      <c r="P13" s="24">
        <f ca="1">+P12+(LiborTenor*Volatility!O12*ForwardLiborSimulation!O12)/(1+LiborTenor*ForwardLiborSimulation!O12)</f>
        <v>6.109240903970822E-3</v>
      </c>
      <c r="Q13" s="24">
        <f ca="1">+Q12+(LiborTenor*Volatility!P12*ForwardLiborSimulation!P12)/(1+LiborTenor*ForwardLiborSimulation!P12)</f>
        <v>5.9965688504017437E-3</v>
      </c>
      <c r="R13" s="24">
        <f ca="1">+R12+(LiborTenor*Volatility!Q12*ForwardLiborSimulation!Q12)/(1+LiborTenor*ForwardLiborSimulation!Q12)</f>
        <v>6.0206055151338176E-3</v>
      </c>
      <c r="S13" s="24">
        <f ca="1">+S12+(LiborTenor*Volatility!R12*ForwardLiborSimulation!R12)/(1+LiborTenor*ForwardLiborSimulation!R12)</f>
        <v>6.1355292431635759E-3</v>
      </c>
      <c r="T13" s="24">
        <f ca="1">+T12+(LiborTenor*Volatility!S12*ForwardLiborSimulation!S12)/(1+LiborTenor*ForwardLiborSimulation!S12)</f>
        <v>6.3573850167158155E-3</v>
      </c>
      <c r="U13" s="24">
        <f ca="1">+U12+(LiborTenor*Volatility!T12*ForwardLiborSimulation!T12)/(1+LiborTenor*ForwardLiborSimulation!T12)</f>
        <v>6.2760579338056064E-3</v>
      </c>
      <c r="V13" s="24">
        <f ca="1">+V12+(LiborTenor*Volatility!U12*ForwardLiborSimulation!U12)/(1+LiborTenor*ForwardLiborSimulation!U12)</f>
        <v>6.2655341583669885E-3</v>
      </c>
      <c r="W13" s="24">
        <f ca="1">+W12+(LiborTenor*Volatility!V12*ForwardLiborSimulation!V12)/(1+LiborTenor*ForwardLiborSimulation!V12)</f>
        <v>6.1395601448758583E-3</v>
      </c>
      <c r="X13" s="24">
        <f ca="1">+X12+(LiborTenor*Volatility!W12*ForwardLiborSimulation!W12)/(1+LiborTenor*ForwardLiborSimulation!W12)</f>
        <v>5.8341243177217634E-3</v>
      </c>
      <c r="Y13" s="24">
        <f ca="1">+Y12+(LiborTenor*Volatility!X12*ForwardLiborSimulation!X12)/(1+LiborTenor*ForwardLiborSimulation!X12)</f>
        <v>5.9182633556269897E-3</v>
      </c>
      <c r="Z13" s="24">
        <f ca="1">+Z12+(LiborTenor*Volatility!Y12*ForwardLiborSimulation!Y12)/(1+LiborTenor*ForwardLiborSimulation!Y12)</f>
        <v>5.8502641512318335E-3</v>
      </c>
      <c r="AA13" s="24">
        <f ca="1">+AA12+(LiborTenor*Volatility!Z12*ForwardLiborSimulation!Z12)/(1+LiborTenor*ForwardLiborSimulation!Z12)</f>
        <v>5.9566034155186312E-3</v>
      </c>
      <c r="AB13" s="24">
        <f ca="1">+AB12+(LiborTenor*Volatility!AA12*ForwardLiborSimulation!AA12)/(1+LiborTenor*ForwardLiborSimulation!AA12)</f>
        <v>6.04197694573447E-3</v>
      </c>
      <c r="AC13" s="24">
        <f ca="1">+AC12+(LiborTenor*Volatility!AB12*ForwardLiborSimulation!AB12)/(1+LiborTenor*ForwardLiborSimulation!AB12)</f>
        <v>6.0298923701103653E-3</v>
      </c>
      <c r="AD13" s="24">
        <f ca="1">+AD12+(LiborTenor*Volatility!AC12*ForwardLiborSimulation!AC12)/(1+LiborTenor*ForwardLiborSimulation!AC12)</f>
        <v>5.9344727745876359E-3</v>
      </c>
      <c r="AE13" s="24">
        <f ca="1">+AE12+(LiborTenor*Volatility!AD12*ForwardLiborSimulation!AD12)/(1+LiborTenor*ForwardLiborSimulation!AD12)</f>
        <v>5.8931130022845668E-3</v>
      </c>
      <c r="AF13" s="24">
        <f ca="1">+AF12+(LiborTenor*Volatility!AE12*ForwardLiborSimulation!AE12)/(1+LiborTenor*ForwardLiborSimulation!AE12)</f>
        <v>6.1241900116463036E-3</v>
      </c>
      <c r="AG13" s="24">
        <f ca="1">+AG12+(LiborTenor*Volatility!AF12*ForwardLiborSimulation!AF12)/(1+LiborTenor*ForwardLiborSimulation!AF12)</f>
        <v>6.1496998274689517E-3</v>
      </c>
      <c r="AH13" s="24">
        <f ca="1">+AH12+(LiborTenor*Volatility!AG12*ForwardLiborSimulation!AG12)/(1+LiborTenor*ForwardLiborSimulation!AG12)</f>
        <v>6.2122902553523309E-3</v>
      </c>
      <c r="AI13" s="24">
        <f ca="1">+AI12+(LiborTenor*Volatility!AH12*ForwardLiborSimulation!AH12)/(1+LiborTenor*ForwardLiborSimulation!AH12)</f>
        <v>6.284006638618389E-3</v>
      </c>
      <c r="AJ13" s="24">
        <f ca="1">+AJ12+(LiborTenor*Volatility!AI12*ForwardLiborSimulation!AI12)/(1+LiborTenor*ForwardLiborSimulation!AI12)</f>
        <v>6.5239641154622918E-3</v>
      </c>
      <c r="AK13" s="24">
        <f ca="1">+AK12+(LiborTenor*Volatility!AJ12*ForwardLiborSimulation!AJ12)/(1+LiborTenor*ForwardLiborSimulation!AJ12)</f>
        <v>6.5784073607770104E-3</v>
      </c>
      <c r="AL13" s="24">
        <f ca="1">+AL12+(LiborTenor*Volatility!AK12*ForwardLiborSimulation!AK12)/(1+LiborTenor*ForwardLiborSimulation!AK12)</f>
        <v>6.7621904224382436E-3</v>
      </c>
      <c r="AM13" s="24">
        <f ca="1">+AM12+(LiborTenor*Volatility!AL12*ForwardLiborSimulation!AL12)/(1+LiborTenor*ForwardLiborSimulation!AL12)</f>
        <v>6.8487313248889346E-3</v>
      </c>
      <c r="AN13" s="24">
        <f ca="1">+AN12+(LiborTenor*Volatility!AM12*ForwardLiborSimulation!AM12)/(1+LiborTenor*ForwardLiborSimulation!AM12)</f>
        <v>6.8215427779966878E-3</v>
      </c>
      <c r="AO13" s="24">
        <f ca="1">+AO12+(LiborTenor*Volatility!AN12*ForwardLiborSimulation!AN12)/(1+LiborTenor*ForwardLiborSimulation!AN12)</f>
        <v>6.5168666223538139E-3</v>
      </c>
      <c r="AP13" s="24">
        <f ca="1">+AP12+(LiborTenor*Volatility!AO12*ForwardLiborSimulation!AO12)/(1+LiborTenor*ForwardLiborSimulation!AO12)</f>
        <v>6.4308123628009431E-3</v>
      </c>
      <c r="AQ13" s="24">
        <f ca="1">+AQ12+(LiborTenor*Volatility!AP12*ForwardLiborSimulation!AP12)/(1+LiborTenor*ForwardLiborSimulation!AP12)</f>
        <v>6.2494338244740311E-3</v>
      </c>
      <c r="AR13" s="24">
        <f ca="1">+AR12+(LiborTenor*Volatility!AQ12*ForwardLiborSimulation!AQ12)/(1+LiborTenor*ForwardLiborSimulation!AQ12)</f>
        <v>6.3498990126864552E-3</v>
      </c>
      <c r="AS13" s="24">
        <f ca="1">+AS12+(LiborTenor*Volatility!AR12*ForwardLiborSimulation!AR12)/(1+LiborTenor*ForwardLiborSimulation!AR12)</f>
        <v>6.4863594204287202E-3</v>
      </c>
      <c r="AT13" s="24">
        <f ca="1">+AT12+(LiborTenor*Volatility!AS12*ForwardLiborSimulation!AS12)/(1+LiborTenor*ForwardLiborSimulation!AS12)</f>
        <v>6.3857170081929064E-3</v>
      </c>
      <c r="AU13" s="24">
        <f ca="1">+AU12+(LiborTenor*Volatility!AT12*ForwardLiborSimulation!AT12)/(1+LiborTenor*ForwardLiborSimulation!AT12)</f>
        <v>6.3433318779367882E-3</v>
      </c>
      <c r="AV13" s="24">
        <f ca="1">+AV12+(LiborTenor*Volatility!AU12*ForwardLiborSimulation!AU12)/(1+LiborTenor*ForwardLiborSimulation!AU12)</f>
        <v>6.4681531947995731E-3</v>
      </c>
      <c r="AW13" s="24">
        <f ca="1">+AW12+(LiborTenor*Volatility!AV12*ForwardLiborSimulation!AV12)/(1+LiborTenor*ForwardLiborSimulation!AV12)</f>
        <v>6.4946600275547928E-3</v>
      </c>
      <c r="AX13" s="24">
        <f ca="1">+AX12+(LiborTenor*Volatility!AW12*ForwardLiborSimulation!AW12)/(1+LiborTenor*ForwardLiborSimulation!AW12)</f>
        <v>6.6413144024594145E-3</v>
      </c>
      <c r="AY13" s="24">
        <f ca="1">+AY12+(LiborTenor*Volatility!AX12*ForwardLiborSimulation!AX12)/(1+LiborTenor*ForwardLiborSimulation!AX12)</f>
        <v>6.4875322712344323E-3</v>
      </c>
      <c r="AZ13" s="24">
        <f ca="1">+AZ12+(LiborTenor*Volatility!AY12*ForwardLiborSimulation!AY12)/(1+LiborTenor*ForwardLiborSimulation!AY12)</f>
        <v>6.5988064002573763E-3</v>
      </c>
      <c r="BA13" s="24">
        <f ca="1">+BA12+(LiborTenor*Volatility!AZ12*ForwardLiborSimulation!AZ12)/(1+LiborTenor*ForwardLiborSimulation!AZ12)</f>
        <v>6.6929922665011736E-3</v>
      </c>
      <c r="BB13" s="24">
        <f ca="1">+BB12+(LiborTenor*Volatility!BA12*ForwardLiborSimulation!BA12)/(1+LiborTenor*ForwardLiborSimulation!BA12)</f>
        <v>6.942900636665892E-3</v>
      </c>
      <c r="BC13" s="24">
        <f ca="1">+BC12+(LiborTenor*Volatility!BB12*ForwardLiborSimulation!BB12)/(1+LiborTenor*ForwardLiborSimulation!BB12)</f>
        <v>7.0057864837451697E-3</v>
      </c>
      <c r="BD13" s="24">
        <f ca="1">+BD12+(LiborTenor*Volatility!BC12*ForwardLiborSimulation!BC12)/(1+LiborTenor*ForwardLiborSimulation!BC12)</f>
        <v>6.8440691343611493E-3</v>
      </c>
      <c r="BE13" s="24">
        <f ca="1">+BE12+(LiborTenor*Volatility!BD12*ForwardLiborSimulation!BD12)/(1+LiborTenor*ForwardLiborSimulation!BD12)</f>
        <v>6.8328929105581733E-3</v>
      </c>
      <c r="BF13" s="24">
        <f ca="1">+BF12+(LiborTenor*Volatility!BE12*ForwardLiborSimulation!BE12)/(1+LiborTenor*ForwardLiborSimulation!BE12)</f>
        <v>6.7560654608593805E-3</v>
      </c>
      <c r="BG13" s="24">
        <f ca="1">+BG12+(LiborTenor*Volatility!BF12*ForwardLiborSimulation!BF12)/(1+LiborTenor*ForwardLiborSimulation!BF12)</f>
        <v>6.5040758625477145E-3</v>
      </c>
      <c r="BH13" s="24">
        <f ca="1">+BH12+(LiborTenor*Volatility!BG12*ForwardLiborSimulation!BG12)/(1+LiborTenor*ForwardLiborSimulation!BG12)</f>
        <v>6.7793589918127735E-3</v>
      </c>
      <c r="BI13" s="24">
        <f ca="1">+BI12+(LiborTenor*Volatility!BH12*ForwardLiborSimulation!BH12)/(1+LiborTenor*ForwardLiborSimulation!BH12)</f>
        <v>6.6486229867058176E-3</v>
      </c>
      <c r="BJ13" s="24">
        <f ca="1">+BJ12+(LiborTenor*Volatility!BI12*ForwardLiborSimulation!BI12)/(1+LiborTenor*ForwardLiborSimulation!BI12)</f>
        <v>6.301536068926427E-3</v>
      </c>
      <c r="BK13" s="24">
        <f ca="1">+BK12+(LiborTenor*Volatility!BJ12*ForwardLiborSimulation!BJ12)/(1+LiborTenor*ForwardLiborSimulation!BJ12)</f>
        <v>6.3834549654608209E-3</v>
      </c>
      <c r="BL13" s="24">
        <f ca="1">+BL12+(LiborTenor*Volatility!BK12*ForwardLiborSimulation!BK12)/(1+LiborTenor*ForwardLiborSimulation!BK12)</f>
        <v>6.4956196023297072E-3</v>
      </c>
      <c r="BM13" s="24">
        <f ca="1">+BM12+(LiborTenor*Volatility!BL12*ForwardLiborSimulation!BL12)/(1+LiborTenor*ForwardLiborSimulation!BL12)</f>
        <v>6.6134219268573127E-3</v>
      </c>
      <c r="BN13" s="24">
        <f ca="1">+BN12+(LiborTenor*Volatility!BM12*ForwardLiborSimulation!BM12)/(1+LiborTenor*ForwardLiborSimulation!BM12)</f>
        <v>6.4040263977608244E-3</v>
      </c>
      <c r="BO13" s="24">
        <f ca="1">+BO12+(LiborTenor*Volatility!BN12*ForwardLiborSimulation!BN12)/(1+LiborTenor*ForwardLiborSimulation!BN12)</f>
        <v>6.4680876402342449E-3</v>
      </c>
      <c r="BP13" s="24">
        <f ca="1">+BP12+(LiborTenor*Volatility!BO12*ForwardLiborSimulation!BO12)/(1+LiborTenor*ForwardLiborSimulation!BO12)</f>
        <v>6.6408847472610825E-3</v>
      </c>
      <c r="BQ13" s="24">
        <f ca="1">+BQ12+(LiborTenor*Volatility!BP12*ForwardLiborSimulation!BP12)/(1+LiborTenor*ForwardLiborSimulation!BP12)</f>
        <v>6.6698692397260291E-3</v>
      </c>
      <c r="BR13" s="24">
        <f ca="1">+BR12+(LiborTenor*Volatility!BQ12*ForwardLiborSimulation!BQ12)/(1+LiborTenor*ForwardLiborSimulation!BQ12)</f>
        <v>6.6823066833755331E-3</v>
      </c>
      <c r="BS13" s="24">
        <f ca="1">+BS12+(LiborTenor*Volatility!BR12*ForwardLiborSimulation!BR12)/(1+LiborTenor*ForwardLiborSimulation!BR12)</f>
        <v>6.888951089357661E-3</v>
      </c>
      <c r="BT13" s="24">
        <f ca="1">+BT12+(LiborTenor*Volatility!BS12*ForwardLiborSimulation!BS12)/(1+LiborTenor*ForwardLiborSimulation!BS12)</f>
        <v>6.6253374715983075E-3</v>
      </c>
      <c r="BU13" s="24">
        <f ca="1">+BU12+(LiborTenor*Volatility!BT12*ForwardLiborSimulation!BT12)/(1+LiborTenor*ForwardLiborSimulation!BT12)</f>
        <v>6.4289855467004227E-3</v>
      </c>
      <c r="BV13" s="24">
        <f ca="1">+BV12+(LiborTenor*Volatility!BU12*ForwardLiborSimulation!BU12)/(1+LiborTenor*ForwardLiborSimulation!BU12)</f>
        <v>6.2502679190070539E-3</v>
      </c>
      <c r="BW13" s="24">
        <f ca="1">+BW12+(LiborTenor*Volatility!BV12*ForwardLiborSimulation!BV12)/(1+LiborTenor*ForwardLiborSimulation!BV12)</f>
        <v>6.5020896821793607E-3</v>
      </c>
      <c r="BX13" s="24">
        <f ca="1">+BX12+(LiborTenor*Volatility!BW12*ForwardLiborSimulation!BW12)/(1+LiborTenor*ForwardLiborSimulation!BW12)</f>
        <v>6.1735466263806507E-3</v>
      </c>
      <c r="BY13" s="24">
        <f ca="1">+BY12+(LiborTenor*Volatility!BX12*ForwardLiborSimulation!BX12)/(1+LiborTenor*ForwardLiborSimulation!BX12)</f>
        <v>6.0743576542071067E-3</v>
      </c>
      <c r="BZ13" s="24">
        <f ca="1">+BZ12+(LiborTenor*Volatility!BY12*ForwardLiborSimulation!BY12)/(1+LiborTenor*ForwardLiborSimulation!BY12)</f>
        <v>6.1098731759023509E-3</v>
      </c>
      <c r="CA13" s="24">
        <f ca="1">+CA12+(LiborTenor*Volatility!BZ12*ForwardLiborSimulation!BZ12)/(1+LiborTenor*ForwardLiborSimulation!BZ12)</f>
        <v>6.4151269193385325E-3</v>
      </c>
      <c r="CB13" s="24">
        <f ca="1">+CB12+(LiborTenor*Volatility!CA12*ForwardLiborSimulation!CA12)/(1+LiborTenor*ForwardLiborSimulation!CA12)</f>
        <v>6.2577038712245681E-3</v>
      </c>
      <c r="CC13" s="24">
        <f ca="1">+CC12+(LiborTenor*Volatility!CB12*ForwardLiborSimulation!CB12)/(1+LiborTenor*ForwardLiborSimulation!CB12)</f>
        <v>6.382210445842508E-3</v>
      </c>
      <c r="CD13" s="24">
        <f ca="1">+CD12+(LiborTenor*Volatility!CC12*ForwardLiborSimulation!CC12)/(1+LiborTenor*ForwardLiborSimulation!CC12)</f>
        <v>6.3571444826651773E-3</v>
      </c>
      <c r="CE13" s="24">
        <f ca="1">+CE12+(LiborTenor*Volatility!CD12*ForwardLiborSimulation!CD12)/(1+LiborTenor*ForwardLiborSimulation!CD12)</f>
        <v>6.4174235672874473E-3</v>
      </c>
      <c r="CF13" s="24">
        <f ca="1">+CF12+(LiborTenor*Volatility!CE12*ForwardLiborSimulation!CE12)/(1+LiborTenor*ForwardLiborSimulation!CE12)</f>
        <v>6.2187827414404984E-3</v>
      </c>
      <c r="CG13" s="24">
        <f ca="1">+CG12+(LiborTenor*Volatility!CF12*ForwardLiborSimulation!CF12)/(1+LiborTenor*ForwardLiborSimulation!CF12)</f>
        <v>6.3959788388981125E-3</v>
      </c>
      <c r="CH13" s="24">
        <f ca="1">+CH12+(LiborTenor*Volatility!CG12*ForwardLiborSimulation!CG12)/(1+LiborTenor*ForwardLiborSimulation!CG12)</f>
        <v>6.4613954173281573E-3</v>
      </c>
      <c r="CI13" s="24">
        <f ca="1">+CI12+(LiborTenor*Volatility!CH12*ForwardLiborSimulation!CH12)/(1+LiborTenor*ForwardLiborSimulation!CH12)</f>
        <v>6.3067966252403707E-3</v>
      </c>
      <c r="CJ13" s="24">
        <f ca="1">+CJ12+(LiborTenor*Volatility!CI12*ForwardLiborSimulation!CI12)/(1+LiborTenor*ForwardLiborSimulation!CI12)</f>
        <v>6.2772100025051108E-3</v>
      </c>
      <c r="CK13" s="24">
        <f ca="1">+CK12+(LiborTenor*Volatility!CJ12*ForwardLiborSimulation!CJ12)/(1+LiborTenor*ForwardLiborSimulation!CJ12)</f>
        <v>6.1720919418809615E-3</v>
      </c>
      <c r="CL13" s="24">
        <f ca="1">+CL12+(LiborTenor*Volatility!CK12*ForwardLiborSimulation!CK12)/(1+LiborTenor*ForwardLiborSimulation!CK12)</f>
        <v>6.1202524928540437E-3</v>
      </c>
      <c r="CM13" s="24">
        <f ca="1">+CM12+(LiborTenor*Volatility!CL12*ForwardLiborSimulation!CL12)/(1+LiborTenor*ForwardLiborSimulation!CL12)</f>
        <v>6.2414850335698376E-3</v>
      </c>
      <c r="CN13" s="24">
        <f ca="1">+CN12+(LiborTenor*Volatility!CM12*ForwardLiborSimulation!CM12)/(1+LiborTenor*ForwardLiborSimulation!CM12)</f>
        <v>6.1745877607631422E-3</v>
      </c>
      <c r="CO13" s="24">
        <f ca="1">+CO12+(LiborTenor*Volatility!CN12*ForwardLiborSimulation!CN12)/(1+LiborTenor*ForwardLiborSimulation!CN12)</f>
        <v>6.094795952464393E-3</v>
      </c>
      <c r="CP13" s="24">
        <f ca="1">+CP12+(LiborTenor*Volatility!CO12*ForwardLiborSimulation!CO12)/(1+LiborTenor*ForwardLiborSimulation!CO12)</f>
        <v>5.856959482501067E-3</v>
      </c>
      <c r="CQ13" s="24">
        <f ca="1">+CQ12+(LiborTenor*Volatility!CP12*ForwardLiborSimulation!CP12)/(1+LiborTenor*ForwardLiborSimulation!CP12)</f>
        <v>5.9418285802193219E-3</v>
      </c>
      <c r="CR13" s="24">
        <f ca="1">+CR12+(LiborTenor*Volatility!CQ12*ForwardLiborSimulation!CQ12)/(1+LiborTenor*ForwardLiborSimulation!CQ12)</f>
        <v>6.0988955231520503E-3</v>
      </c>
      <c r="CS13" s="24">
        <f ca="1">+CS12+(LiborTenor*Volatility!CR12*ForwardLiborSimulation!CR12)/(1+LiborTenor*ForwardLiborSimulation!CR12)</f>
        <v>6.2448044078617258E-3</v>
      </c>
      <c r="CT13" s="24">
        <f ca="1">+CT12+(LiborTenor*Volatility!CS12*ForwardLiborSimulation!CS12)/(1+LiborTenor*ForwardLiborSimulation!CS12)</f>
        <v>6.3136005979573199E-3</v>
      </c>
      <c r="CU13" s="24">
        <f ca="1">+CU12+(LiborTenor*Volatility!CT12*ForwardLiborSimulation!CT12)/(1+LiborTenor*ForwardLiborSimulation!CT12)</f>
        <v>6.4587968912385545E-3</v>
      </c>
      <c r="CV13" s="24">
        <f ca="1">+CV12+(LiborTenor*Volatility!CU12*ForwardLiborSimulation!CU12)/(1+LiborTenor*ForwardLiborSimulation!CU12)</f>
        <v>6.4515031148322521E-3</v>
      </c>
      <c r="CW13" s="24">
        <f ca="1">+CW12+(LiborTenor*Volatility!CV12*ForwardLiborSimulation!CV12)/(1+LiborTenor*ForwardLiborSimulation!CV12)</f>
        <v>6.4625774607144906E-3</v>
      </c>
      <c r="CX13" s="24">
        <f ca="1">+CX12+(LiborTenor*Volatility!CW12*ForwardLiborSimulation!CW12)/(1+LiborTenor*ForwardLiborSimulation!CW12)</f>
        <v>6.5948942985924845E-3</v>
      </c>
      <c r="CY13" s="24">
        <f ca="1">+CY12+(LiborTenor*Volatility!CX12*ForwardLiborSimulation!CX12)/(1+LiborTenor*ForwardLiborSimulation!CX12)</f>
        <v>6.6730171618477243E-3</v>
      </c>
      <c r="CZ13" s="24">
        <f ca="1">+CZ12+(LiborTenor*Volatility!CY12*ForwardLiborSimulation!CY12)/(1+LiborTenor*ForwardLiborSimulation!CY12)</f>
        <v>6.885920906658966E-3</v>
      </c>
      <c r="DA13" s="24">
        <f ca="1">+DA12+(LiborTenor*Volatility!CZ12*ForwardLiborSimulation!CZ12)/(1+LiborTenor*ForwardLiborSimulation!CZ12)</f>
        <v>6.9305549884032432E-3</v>
      </c>
      <c r="DB13" s="24">
        <f ca="1">+DB12+(LiborTenor*Volatility!DA12*ForwardLiborSimulation!DA12)/(1+LiborTenor*ForwardLiborSimulation!DA12)</f>
        <v>7.0467281901662546E-3</v>
      </c>
      <c r="DC13" s="24"/>
      <c r="DD13" s="24"/>
      <c r="DE13" s="2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</row>
    <row r="14" spans="2:127" x14ac:dyDescent="0.2">
      <c r="D14" s="2">
        <f>+ForwardLiborSimulation!D14</f>
        <v>8.25</v>
      </c>
      <c r="E14" s="10"/>
      <c r="F14" s="12" t="str">
        <f t="shared" si="2"/>
        <v>L(t;8,8.25)</v>
      </c>
      <c r="G14" s="14"/>
      <c r="H14" s="24">
        <f>+H13+(LiborTenor*Volatility!G13*ForwardLiborSimulation!G13)/(1+LiborTenor*ForwardLiborSimulation!G13)</f>
        <v>6.7407407407407416E-3</v>
      </c>
      <c r="I14" s="24">
        <f ca="1">+I13+(LiborTenor*Volatility!H13*ForwardLiborSimulation!H13)/(1+LiborTenor*ForwardLiborSimulation!H13)</f>
        <v>6.961022029423951E-3</v>
      </c>
      <c r="J14" s="24">
        <f ca="1">+J13+(LiborTenor*Volatility!I13*ForwardLiborSimulation!I13)/(1+LiborTenor*ForwardLiborSimulation!I13)</f>
        <v>7.0582852335749338E-3</v>
      </c>
      <c r="K14" s="24">
        <f ca="1">+K13+(LiborTenor*Volatility!J13*ForwardLiborSimulation!J13)/(1+LiborTenor*ForwardLiborSimulation!J13)</f>
        <v>6.9272511877919935E-3</v>
      </c>
      <c r="L14" s="24">
        <f ca="1">+L13+(LiborTenor*Volatility!K13*ForwardLiborSimulation!K13)/(1+LiborTenor*ForwardLiborSimulation!K13)</f>
        <v>6.9730893061053737E-3</v>
      </c>
      <c r="M14" s="24">
        <f ca="1">+M13+(LiborTenor*Volatility!L13*ForwardLiborSimulation!L13)/(1+LiborTenor*ForwardLiborSimulation!L13)</f>
        <v>6.8258231812169919E-3</v>
      </c>
      <c r="N14" s="24">
        <f ca="1">+N13+(LiborTenor*Volatility!M13*ForwardLiborSimulation!M13)/(1+LiborTenor*ForwardLiborSimulation!M13)</f>
        <v>7.1375610332245383E-3</v>
      </c>
      <c r="O14" s="24">
        <f ca="1">+O13+(LiborTenor*Volatility!N13*ForwardLiborSimulation!N13)/(1+LiborTenor*ForwardLiborSimulation!N13)</f>
        <v>7.0905466593496422E-3</v>
      </c>
      <c r="P14" s="24">
        <f ca="1">+P13+(LiborTenor*Volatility!O13*ForwardLiborSimulation!O13)/(1+LiborTenor*ForwardLiborSimulation!O13)</f>
        <v>7.2705544002828575E-3</v>
      </c>
      <c r="Q14" s="24">
        <f ca="1">+Q13+(LiborTenor*Volatility!P13*ForwardLiborSimulation!P13)/(1+LiborTenor*ForwardLiborSimulation!P13)</f>
        <v>7.1336789766226804E-3</v>
      </c>
      <c r="R14" s="24">
        <f ca="1">+R13+(LiborTenor*Volatility!Q13*ForwardLiborSimulation!Q13)/(1+LiborTenor*ForwardLiborSimulation!Q13)</f>
        <v>7.1628322870041453E-3</v>
      </c>
      <c r="S14" s="24">
        <f ca="1">+S13+(LiborTenor*Volatility!R13*ForwardLiborSimulation!R13)/(1+LiborTenor*ForwardLiborSimulation!R13)</f>
        <v>7.3023370478100969E-3</v>
      </c>
      <c r="T14" s="24">
        <f ca="1">+T13+(LiborTenor*Volatility!S13*ForwardLiborSimulation!S13)/(1+LiborTenor*ForwardLiborSimulation!S13)</f>
        <v>7.5717775725231851E-3</v>
      </c>
      <c r="U14" s="24">
        <f ca="1">+U13+(LiborTenor*Volatility!T13*ForwardLiborSimulation!T13)/(1+LiborTenor*ForwardLiborSimulation!T13)</f>
        <v>7.4728884856305102E-3</v>
      </c>
      <c r="V14" s="24">
        <f ca="1">+V13+(LiborTenor*Volatility!U13*ForwardLiborSimulation!U13)/(1+LiborTenor*ForwardLiborSimulation!U13)</f>
        <v>7.4600689221527511E-3</v>
      </c>
      <c r="W14" s="24">
        <f ca="1">+W13+(LiborTenor*Volatility!V13*ForwardLiborSimulation!V13)/(1+LiborTenor*ForwardLiborSimulation!V13)</f>
        <v>7.3069599036005043E-3</v>
      </c>
      <c r="X14" s="24">
        <f ca="1">+X13+(LiborTenor*Volatility!W13*ForwardLiborSimulation!W13)/(1+LiborTenor*ForwardLiborSimulation!W13)</f>
        <v>6.9359418295027566E-3</v>
      </c>
      <c r="Y14" s="24">
        <f ca="1">+Y13+(LiborTenor*Volatility!X13*ForwardLiborSimulation!X13)/(1+LiborTenor*ForwardLiborSimulation!X13)</f>
        <v>7.0379935250601518E-3</v>
      </c>
      <c r="Z14" s="24">
        <f ca="1">+Z13+(LiborTenor*Volatility!Y13*ForwardLiborSimulation!Y13)/(1+LiborTenor*ForwardLiborSimulation!Y13)</f>
        <v>6.9554431109722058E-3</v>
      </c>
      <c r="AA14" s="24">
        <f ca="1">+AA13+(LiborTenor*Volatility!Z13*ForwardLiborSimulation!Z13)/(1+LiborTenor*ForwardLiborSimulation!Z13)</f>
        <v>7.0844341896608735E-3</v>
      </c>
      <c r="AB14" s="24">
        <f ca="1">+AB13+(LiborTenor*Volatility!AA13*ForwardLiborSimulation!AA13)/(1+LiborTenor*ForwardLiborSimulation!AA13)</f>
        <v>7.1880269031465455E-3</v>
      </c>
      <c r="AC14" s="24">
        <f ca="1">+AC13+(LiborTenor*Volatility!AB13*ForwardLiborSimulation!AB13)/(1+LiborTenor*ForwardLiborSimulation!AB13)</f>
        <v>7.1733263028165607E-3</v>
      </c>
      <c r="AD14" s="24">
        <f ca="1">+AD13+(LiborTenor*Volatility!AC13*ForwardLiborSimulation!AC13)/(1+LiborTenor*ForwardLiborSimulation!AC13)</f>
        <v>7.0574535381377904E-3</v>
      </c>
      <c r="AE14" s="24">
        <f ca="1">+AE13+(LiborTenor*Volatility!AD13*ForwardLiborSimulation!AD13)/(1+LiborTenor*ForwardLiborSimulation!AD13)</f>
        <v>7.0072309335765422E-3</v>
      </c>
      <c r="AF14" s="24">
        <f ca="1">+AF13+(LiborTenor*Volatility!AE13*ForwardLiborSimulation!AE13)/(1+LiborTenor*ForwardLiborSimulation!AE13)</f>
        <v>7.2875957230996149E-3</v>
      </c>
      <c r="AG14" s="24">
        <f ca="1">+AG13+(LiborTenor*Volatility!AF13*ForwardLiborSimulation!AF13)/(1+LiborTenor*ForwardLiborSimulation!AF13)</f>
        <v>7.318545619855182E-3</v>
      </c>
      <c r="AH14" s="24">
        <f ca="1">+AH13+(LiborTenor*Volatility!AG13*ForwardLiborSimulation!AG13)/(1+LiborTenor*ForwardLiborSimulation!AG13)</f>
        <v>7.3945327214837648E-3</v>
      </c>
      <c r="AI14" s="24">
        <f ca="1">+AI13+(LiborTenor*Volatility!AH13*ForwardLiborSimulation!AH13)/(1+LiborTenor*ForwardLiborSimulation!AH13)</f>
        <v>7.4816213669931389E-3</v>
      </c>
      <c r="AJ14" s="24">
        <f ca="1">+AJ13+(LiborTenor*Volatility!AI13*ForwardLiborSimulation!AI13)/(1+LiborTenor*ForwardLiborSimulation!AI13)</f>
        <v>7.7731521503339729E-3</v>
      </c>
      <c r="AK14" s="24">
        <f ca="1">+AK13+(LiborTenor*Volatility!AJ13*ForwardLiborSimulation!AJ13)/(1+LiborTenor*ForwardLiborSimulation!AJ13)</f>
        <v>7.8393230849678509E-3</v>
      </c>
      <c r="AL14" s="24">
        <f ca="1">+AL13+(LiborTenor*Volatility!AK13*ForwardLiborSimulation!AK13)/(1+LiborTenor*ForwardLiborSimulation!AK13)</f>
        <v>8.0628121403903043E-3</v>
      </c>
      <c r="AM14" s="24">
        <f ca="1">+AM13+(LiborTenor*Volatility!AL13*ForwardLiborSimulation!AL13)/(1+LiborTenor*ForwardLiborSimulation!AL13)</f>
        <v>8.1680918943248682E-3</v>
      </c>
      <c r="AN14" s="24">
        <f ca="1">+AN13+(LiborTenor*Volatility!AM13*ForwardLiborSimulation!AM13)/(1+LiborTenor*ForwardLiborSimulation!AM13)</f>
        <v>8.1349582601346233E-3</v>
      </c>
      <c r="AO14" s="24">
        <f ca="1">+AO13+(LiborTenor*Volatility!AN13*ForwardLiborSimulation!AN13)/(1+LiborTenor*ForwardLiborSimulation!AN13)</f>
        <v>7.7640709536944469E-3</v>
      </c>
      <c r="AP14" s="24">
        <f ca="1">+AP13+(LiborTenor*Volatility!AO13*ForwardLiborSimulation!AO13)/(1+LiborTenor*ForwardLiborSimulation!AO13)</f>
        <v>7.659400838343924E-3</v>
      </c>
      <c r="AQ14" s="24">
        <f ca="1">+AQ13+(LiborTenor*Volatility!AP13*ForwardLiborSimulation!AP13)/(1+LiborTenor*ForwardLiborSimulation!AP13)</f>
        <v>7.4388874181184452E-3</v>
      </c>
      <c r="AR14" s="24">
        <f ca="1">+AR13+(LiborTenor*Volatility!AQ13*ForwardLiborSimulation!AQ13)/(1+LiborTenor*ForwardLiborSimulation!AQ13)</f>
        <v>7.5609011659682514E-3</v>
      </c>
      <c r="AS14" s="24">
        <f ca="1">+AS13+(LiborTenor*Volatility!AR13*ForwardLiborSimulation!AR13)/(1+LiborTenor*ForwardLiborSimulation!AR13)</f>
        <v>7.7266964263448708E-3</v>
      </c>
      <c r="AT14" s="24">
        <f ca="1">+AT13+(LiborTenor*Volatility!AS13*ForwardLiborSimulation!AS13)/(1+LiborTenor*ForwardLiborSimulation!AS13)</f>
        <v>7.6043054766130689E-3</v>
      </c>
      <c r="AU14" s="24">
        <f ca="1">+AU13+(LiborTenor*Volatility!AT13*ForwardLiborSimulation!AT13)/(1+LiborTenor*ForwardLiborSimulation!AT13)</f>
        <v>7.5527608816776653E-3</v>
      </c>
      <c r="AV14" s="24">
        <f ca="1">+AV13+(LiborTenor*Volatility!AU13*ForwardLiborSimulation!AU13)/(1+LiborTenor*ForwardLiborSimulation!AU13)</f>
        <v>7.704405646210848E-3</v>
      </c>
      <c r="AW14" s="24">
        <f ca="1">+AW13+(LiborTenor*Volatility!AV13*ForwardLiborSimulation!AV13)/(1+LiborTenor*ForwardLiborSimulation!AV13)</f>
        <v>7.7365958037312818E-3</v>
      </c>
      <c r="AX14" s="24">
        <f ca="1">+AX13+(LiborTenor*Volatility!AW13*ForwardLiborSimulation!AW13)/(1+LiborTenor*ForwardLiborSimulation!AW13)</f>
        <v>7.9148578395822292E-3</v>
      </c>
      <c r="AY14" s="24">
        <f ca="1">+AY13+(LiborTenor*Volatility!AX13*ForwardLiborSimulation!AX13)/(1+LiborTenor*ForwardLiborSimulation!AX13)</f>
        <v>7.7277702526015032E-3</v>
      </c>
      <c r="AZ14" s="24">
        <f ca="1">+AZ13+(LiborTenor*Volatility!AY13*ForwardLiborSimulation!AY13)/(1+LiborTenor*ForwardLiborSimulation!AY13)</f>
        <v>7.8630128174125204E-3</v>
      </c>
      <c r="BA14" s="24">
        <f ca="1">+BA13+(LiborTenor*Volatility!AZ13*ForwardLiborSimulation!AZ13)/(1+LiborTenor*ForwardLiborSimulation!AZ13)</f>
        <v>7.9775214071182467E-3</v>
      </c>
      <c r="BB14" s="24">
        <f ca="1">+BB13+(LiborTenor*Volatility!BA13*ForwardLiborSimulation!BA13)/(1+LiborTenor*ForwardLiborSimulation!BA13)</f>
        <v>8.2814979038218772E-3</v>
      </c>
      <c r="BC14" s="24">
        <f ca="1">+BC13+(LiborTenor*Volatility!BB13*ForwardLiborSimulation!BB13)/(1+LiborTenor*ForwardLiborSimulation!BB13)</f>
        <v>8.3580198185654632E-3</v>
      </c>
      <c r="BD14" s="24">
        <f ca="1">+BD13+(LiborTenor*Volatility!BC13*ForwardLiborSimulation!BC13)/(1+LiborTenor*ForwardLiborSimulation!BC13)</f>
        <v>8.1610581136773649E-3</v>
      </c>
      <c r="BE14" s="24">
        <f ca="1">+BE13+(LiborTenor*Volatility!BD13*ForwardLiborSimulation!BD13)/(1+LiborTenor*ForwardLiborSimulation!BD13)</f>
        <v>8.1474187787736012E-3</v>
      </c>
      <c r="BF14" s="24">
        <f ca="1">+BF13+(LiborTenor*Volatility!BE13*ForwardLiborSimulation!BE13)/(1+LiborTenor*ForwardLiborSimulation!BE13)</f>
        <v>8.0538819088395875E-3</v>
      </c>
      <c r="BG14" s="24">
        <f ca="1">+BG13+(LiborTenor*Volatility!BF13*ForwardLiborSimulation!BF13)/(1+LiborTenor*ForwardLiborSimulation!BF13)</f>
        <v>7.7472462277153702E-3</v>
      </c>
      <c r="BH14" s="24">
        <f ca="1">+BH13+(LiborTenor*Volatility!BG13*ForwardLiborSimulation!BG13)/(1+LiborTenor*ForwardLiborSimulation!BG13)</f>
        <v>8.081860733474026E-3</v>
      </c>
      <c r="BI14" s="24">
        <f ca="1">+BI13+(LiborTenor*Volatility!BH13*ForwardLiborSimulation!BH13)/(1+LiborTenor*ForwardLiborSimulation!BH13)</f>
        <v>7.9227525434041081E-3</v>
      </c>
      <c r="BJ14" s="24">
        <f ca="1">+BJ13+(LiborTenor*Volatility!BI13*ForwardLiborSimulation!BI13)/(1+LiborTenor*ForwardLiborSimulation!BI13)</f>
        <v>7.5005806716943527E-3</v>
      </c>
      <c r="BK14" s="24">
        <f ca="1">+BK13+(LiborTenor*Volatility!BJ13*ForwardLiborSimulation!BJ13)/(1+LiborTenor*ForwardLiborSimulation!BJ13)</f>
        <v>7.6000594270937243E-3</v>
      </c>
      <c r="BL14" s="24">
        <f ca="1">+BL13+(LiborTenor*Volatility!BK13*ForwardLiborSimulation!BK13)/(1+LiborTenor*ForwardLiborSimulation!BK13)</f>
        <v>7.7363150434738796E-3</v>
      </c>
      <c r="BM14" s="24">
        <f ca="1">+BM13+(LiborTenor*Volatility!BL13*ForwardLiborSimulation!BL13)/(1+LiborTenor*ForwardLiborSimulation!BL13)</f>
        <v>7.8794724894865852E-3</v>
      </c>
      <c r="BN14" s="24">
        <f ca="1">+BN13+(LiborTenor*Volatility!BM13*ForwardLiborSimulation!BM13)/(1+LiborTenor*ForwardLiborSimulation!BM13)</f>
        <v>7.6248124577541617E-3</v>
      </c>
      <c r="BO14" s="24">
        <f ca="1">+BO13+(LiborTenor*Volatility!BN13*ForwardLiborSimulation!BN13)/(1+LiborTenor*ForwardLiborSimulation!BN13)</f>
        <v>7.7026219108159901E-3</v>
      </c>
      <c r="BP14" s="24">
        <f ca="1">+BP13+(LiborTenor*Volatility!BO13*ForwardLiborSimulation!BO13)/(1+LiborTenor*ForwardLiborSimulation!BO13)</f>
        <v>7.9126002464468253E-3</v>
      </c>
      <c r="BQ14" s="24">
        <f ca="1">+BQ13+(LiborTenor*Volatility!BP13*ForwardLiborSimulation!BP13)/(1+LiborTenor*ForwardLiborSimulation!BP13)</f>
        <v>7.9478119791944312E-3</v>
      </c>
      <c r="BR14" s="24">
        <f ca="1">+BR13+(LiborTenor*Volatility!BQ13*ForwardLiborSimulation!BQ13)/(1+LiborTenor*ForwardLiborSimulation!BQ13)</f>
        <v>7.9629026786318807E-3</v>
      </c>
      <c r="BS14" s="24">
        <f ca="1">+BS13+(LiborTenor*Volatility!BR13*ForwardLiborSimulation!BR13)/(1+LiborTenor*ForwardLiborSimulation!BR13)</f>
        <v>8.2141868164922541E-3</v>
      </c>
      <c r="BT14" s="24">
        <f ca="1">+BT13+(LiborTenor*Volatility!BS13*ForwardLiborSimulation!BS13)/(1+LiborTenor*ForwardLiborSimulation!BS13)</f>
        <v>7.8933289274729802E-3</v>
      </c>
      <c r="BU14" s="24">
        <f ca="1">+BU13+(LiborTenor*Volatility!BT13*ForwardLiborSimulation!BT13)/(1+LiborTenor*ForwardLiborSimulation!BT13)</f>
        <v>7.6545409363703914E-3</v>
      </c>
      <c r="BV14" s="24">
        <f ca="1">+BV13+(LiborTenor*Volatility!BU13*ForwardLiborSimulation!BU13)/(1+LiborTenor*ForwardLiborSimulation!BU13)</f>
        <v>7.4373428443844473E-3</v>
      </c>
      <c r="BW14" s="24">
        <f ca="1">+BW13+(LiborTenor*Volatility!BV13*ForwardLiborSimulation!BV13)/(1+LiborTenor*ForwardLiborSimulation!BV13)</f>
        <v>7.7431109370789866E-3</v>
      </c>
      <c r="BX14" s="24">
        <f ca="1">+BX13+(LiborTenor*Volatility!BW13*ForwardLiborSimulation!BW13)/(1+LiborTenor*ForwardLiborSimulation!BW13)</f>
        <v>7.3437682270075973E-3</v>
      </c>
      <c r="BY14" s="24">
        <f ca="1">+BY13+(LiborTenor*Volatility!BX13*ForwardLiborSimulation!BX13)/(1+LiborTenor*ForwardLiborSimulation!BX13)</f>
        <v>7.2233259994898607E-3</v>
      </c>
      <c r="BZ14" s="24">
        <f ca="1">+BZ13+(LiborTenor*Volatility!BY13*ForwardLiborSimulation!BY13)/(1+LiborTenor*ForwardLiborSimulation!BY13)</f>
        <v>7.2663961110253162E-3</v>
      </c>
      <c r="CA14" s="24">
        <f ca="1">+CA13+(LiborTenor*Volatility!BZ13*ForwardLiborSimulation!BZ13)/(1+LiborTenor*ForwardLiborSimulation!BZ13)</f>
        <v>7.636840478481983E-3</v>
      </c>
      <c r="CB14" s="24">
        <f ca="1">+CB13+(LiborTenor*Volatility!CA13*ForwardLiborSimulation!CA13)/(1+LiborTenor*ForwardLiborSimulation!CA13)</f>
        <v>7.4455502714331663E-3</v>
      </c>
      <c r="CC14" s="24">
        <f ca="1">+CC13+(LiborTenor*Volatility!CB13*ForwardLiborSimulation!CB13)/(1+LiborTenor*ForwardLiborSimulation!CB13)</f>
        <v>7.5967007492686121E-3</v>
      </c>
      <c r="CD14" s="24">
        <f ca="1">+CD13+(LiborTenor*Volatility!CC13*ForwardLiborSimulation!CC13)/(1+LiborTenor*ForwardLiborSimulation!CC13)</f>
        <v>7.5662195557845251E-3</v>
      </c>
      <c r="CE14" s="24">
        <f ca="1">+CE13+(LiborTenor*Volatility!CD13*ForwardLiborSimulation!CD13)/(1+LiborTenor*ForwardLiborSimulation!CD13)</f>
        <v>7.6394054411095952E-3</v>
      </c>
      <c r="CF14" s="24">
        <f ca="1">+CF13+(LiborTenor*Volatility!CE13*ForwardLiborSimulation!CE13)/(1+LiborTenor*ForwardLiborSimulation!CE13)</f>
        <v>7.3980437209573927E-3</v>
      </c>
      <c r="CG14" s="24">
        <f ca="1">+CG13+(LiborTenor*Volatility!CF13*ForwardLiborSimulation!CF13)/(1+LiborTenor*ForwardLiborSimulation!CF13)</f>
        <v>7.6131351882183134E-3</v>
      </c>
      <c r="CH14" s="24">
        <f ca="1">+CH13+(LiborTenor*Volatility!CG13*ForwardLiborSimulation!CG13)/(1+LiborTenor*ForwardLiborSimulation!CG13)</f>
        <v>7.6925685164111841E-3</v>
      </c>
      <c r="CI14" s="24">
        <f ca="1">+CI13+(LiborTenor*Volatility!CH13*ForwardLiborSimulation!CH13)/(1+LiborTenor*ForwardLiborSimulation!CH13)</f>
        <v>7.5046924989748132E-3</v>
      </c>
      <c r="CJ14" s="24">
        <f ca="1">+CJ13+(LiborTenor*Volatility!CI13*ForwardLiborSimulation!CI13)/(1+LiborTenor*ForwardLiborSimulation!CI13)</f>
        <v>7.4687319275649252E-3</v>
      </c>
      <c r="CK14" s="24">
        <f ca="1">+CK13+(LiborTenor*Volatility!CJ13*ForwardLiborSimulation!CJ13)/(1+LiborTenor*ForwardLiborSimulation!CJ13)</f>
        <v>7.3410611830041833E-3</v>
      </c>
      <c r="CL14" s="24">
        <f ca="1">+CL13+(LiborTenor*Volatility!CK13*ForwardLiborSimulation!CK13)/(1+LiborTenor*ForwardLiborSimulation!CK13)</f>
        <v>7.2781088546920092E-3</v>
      </c>
      <c r="CM14" s="24">
        <f ca="1">+CM13+(LiborTenor*Volatility!CL13*ForwardLiborSimulation!CL13)/(1+LiborTenor*ForwardLiborSimulation!CL13)</f>
        <v>7.4252021021185234E-3</v>
      </c>
      <c r="CN14" s="24">
        <f ca="1">+CN13+(LiborTenor*Volatility!CM13*ForwardLiborSimulation!CM13)/(1+LiborTenor*ForwardLiborSimulation!CM13)</f>
        <v>7.3439533662433736E-3</v>
      </c>
      <c r="CO14" s="24">
        <f ca="1">+CO13+(LiborTenor*Volatility!CN13*ForwardLiborSimulation!CN13)/(1+LiborTenor*ForwardLiborSimulation!CN13)</f>
        <v>7.2470735257326056E-3</v>
      </c>
      <c r="CP14" s="24">
        <f ca="1">+CP13+(LiborTenor*Volatility!CO13*ForwardLiborSimulation!CO13)/(1+LiborTenor*ForwardLiborSimulation!CO13)</f>
        <v>6.9584435379079273E-3</v>
      </c>
      <c r="CQ14" s="24">
        <f ca="1">+CQ13+(LiborTenor*Volatility!CP13*ForwardLiborSimulation!CP13)/(1+LiborTenor*ForwardLiborSimulation!CP13)</f>
        <v>7.0613079501884498E-3</v>
      </c>
      <c r="CR14" s="24">
        <f ca="1">+CR13+(LiborTenor*Volatility!CQ13*ForwardLiborSimulation!CQ13)/(1+LiborTenor*ForwardLiborSimulation!CQ13)</f>
        <v>7.2517580447435479E-3</v>
      </c>
      <c r="CS14" s="24">
        <f ca="1">+CS13+(LiborTenor*Volatility!CR13*ForwardLiborSimulation!CR13)/(1+LiborTenor*ForwardLiborSimulation!CR13)</f>
        <v>7.4287728447936545E-3</v>
      </c>
      <c r="CT14" s="24">
        <f ca="1">+CT13+(LiborTenor*Volatility!CS13*ForwardLiborSimulation!CS13)/(1+LiborTenor*ForwardLiborSimulation!CS13)</f>
        <v>7.5122607571781229E-3</v>
      </c>
      <c r="CU14" s="24">
        <f ca="1">+CU13+(LiborTenor*Volatility!CT13*ForwardLiborSimulation!CT13)/(1+LiborTenor*ForwardLiborSimulation!CT13)</f>
        <v>7.6885377557990488E-3</v>
      </c>
      <c r="CV14" s="24">
        <f ca="1">+CV13+(LiborTenor*Volatility!CU13*ForwardLiborSimulation!CU13)/(1+LiborTenor*ForwardLiborSimulation!CU13)</f>
        <v>7.6796439010677325E-3</v>
      </c>
      <c r="CW14" s="24">
        <f ca="1">+CW13+(LiborTenor*Volatility!CV13*ForwardLiborSimulation!CV13)/(1+LiborTenor*ForwardLiborSimulation!CV13)</f>
        <v>7.6930646072624828E-3</v>
      </c>
      <c r="CX14" s="24">
        <f ca="1">+CX13+(LiborTenor*Volatility!CW13*ForwardLiborSimulation!CW13)/(1+LiborTenor*ForwardLiborSimulation!CW13)</f>
        <v>7.8537789326836149E-3</v>
      </c>
      <c r="CY14" s="24">
        <f ca="1">+CY13+(LiborTenor*Volatility!CX13*ForwardLiborSimulation!CX13)/(1+LiborTenor*ForwardLiborSimulation!CX13)</f>
        <v>7.9486944556931751E-3</v>
      </c>
      <c r="CZ14" s="24"/>
      <c r="DA14" s="24"/>
      <c r="DB14" s="2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</row>
    <row r="15" spans="2:127" x14ac:dyDescent="0.2">
      <c r="D15" s="2">
        <f>+ForwardLiborSimulation!D15</f>
        <v>8</v>
      </c>
      <c r="E15" s="10"/>
      <c r="F15" s="12" t="str">
        <f t="shared" si="2"/>
        <v>L(t;7.75,8)</v>
      </c>
      <c r="G15" s="14"/>
      <c r="H15" s="24">
        <f>+H14+(LiborTenor*Volatility!G14*ForwardLiborSimulation!G14)/(1+LiborTenor*ForwardLiborSimulation!G14)</f>
        <v>7.8518518518518529E-3</v>
      </c>
      <c r="I15" s="24">
        <f ca="1">+I14+(LiborTenor*Volatility!H14*ForwardLiborSimulation!H14)/(1+LiborTenor*ForwardLiborSimulation!H14)</f>
        <v>8.1097161837415631E-3</v>
      </c>
      <c r="J15" s="24">
        <f ca="1">+J14+(LiborTenor*Volatility!I14*ForwardLiborSimulation!I14)/(1+LiborTenor*ForwardLiborSimulation!I14)</f>
        <v>8.221297017769278E-3</v>
      </c>
      <c r="K15" s="24">
        <f ca="1">+K14+(LiborTenor*Volatility!J14*ForwardLiborSimulation!J14)/(1+LiborTenor*ForwardLiborSimulation!J14)</f>
        <v>8.0655410574887558E-3</v>
      </c>
      <c r="L15" s="24">
        <f ca="1">+L14+(LiborTenor*Volatility!K14*ForwardLiborSimulation!K14)/(1+LiborTenor*ForwardLiborSimulation!K14)</f>
        <v>8.1199596035788496E-3</v>
      </c>
      <c r="M15" s="24">
        <f ca="1">+M14+(LiborTenor*Volatility!L14*ForwardLiborSimulation!L14)/(1+LiborTenor*ForwardLiborSimulation!L14)</f>
        <v>7.9449623376121863E-3</v>
      </c>
      <c r="N15" s="24">
        <f ca="1">+N14+(LiborTenor*Volatility!M14*ForwardLiborSimulation!M14)/(1+LiborTenor*ForwardLiborSimulation!M14)</f>
        <v>8.315119149181505E-3</v>
      </c>
      <c r="O15" s="24">
        <f ca="1">+O14+(LiborTenor*Volatility!N14*ForwardLiborSimulation!N14)/(1+LiborTenor*ForwardLiborSimulation!N14)</f>
        <v>8.2592015056427003E-3</v>
      </c>
      <c r="P15" s="24">
        <f ca="1">+P14+(LiborTenor*Volatility!O14*ForwardLiborSimulation!O14)/(1+LiborTenor*ForwardLiborSimulation!O14)</f>
        <v>8.4730955822259792E-3</v>
      </c>
      <c r="Q15" s="24">
        <f ca="1">+Q14+(LiborTenor*Volatility!P14*ForwardLiborSimulation!P14)/(1+LiborTenor*ForwardLiborSimulation!P14)</f>
        <v>8.3103025075920746E-3</v>
      </c>
      <c r="R15" s="24">
        <f ca="1">+R14+(LiborTenor*Volatility!Q14*ForwardLiborSimulation!Q14)/(1+LiborTenor*ForwardLiborSimulation!Q14)</f>
        <v>8.3449185185590947E-3</v>
      </c>
      <c r="S15" s="24">
        <f ca="1">+S14+(LiborTenor*Volatility!R14*ForwardLiborSimulation!R14)/(1+LiborTenor*ForwardLiborSimulation!R14)</f>
        <v>8.5107087244476274E-3</v>
      </c>
      <c r="T15" s="24">
        <f ca="1">+T14+(LiborTenor*Volatility!S14*ForwardLiborSimulation!S14)/(1+LiborTenor*ForwardLiborSimulation!S14)</f>
        <v>8.8310772835059718E-3</v>
      </c>
      <c r="U15" s="24">
        <f ca="1">+U14+(LiborTenor*Volatility!T14*ForwardLiborSimulation!T14)/(1+LiborTenor*ForwardLiborSimulation!T14)</f>
        <v>8.7133520129309382E-3</v>
      </c>
      <c r="V15" s="24">
        <f ca="1">+V14+(LiborTenor*Volatility!U14*ForwardLiborSimulation!U14)/(1+LiborTenor*ForwardLiborSimulation!U14)</f>
        <v>8.698061613805803E-3</v>
      </c>
      <c r="W15" s="24">
        <f ca="1">+W14+(LiborTenor*Volatility!V14*ForwardLiborSimulation!V14)/(1+LiborTenor*ForwardLiborSimulation!V14)</f>
        <v>8.51587196595565E-3</v>
      </c>
      <c r="X15" s="24">
        <f ca="1">+X14+(LiborTenor*Volatility!W14*ForwardLiborSimulation!W14)/(1+LiborTenor*ForwardLiborSimulation!W14)</f>
        <v>8.0746394308024699E-3</v>
      </c>
      <c r="Y15" s="24">
        <f ca="1">+Y14+(LiborTenor*Volatility!X14*ForwardLiborSimulation!X14)/(1+LiborTenor*ForwardLiborSimulation!X14)</f>
        <v>8.1958177935107113E-3</v>
      </c>
      <c r="Z15" s="24">
        <f ca="1">+Z14+(LiborTenor*Volatility!Y14*ForwardLiborSimulation!Y14)/(1+LiborTenor*ForwardLiborSimulation!Y14)</f>
        <v>8.0977041037275915E-3</v>
      </c>
      <c r="AA15" s="24">
        <f ca="1">+AA14+(LiborTenor*Volatility!Z14*ForwardLiborSimulation!Z14)/(1+LiborTenor*ForwardLiborSimulation!Z14)</f>
        <v>8.2508864790447386E-3</v>
      </c>
      <c r="AB15" s="24">
        <f ca="1">+AB14+(LiborTenor*Volatility!AA14*ForwardLiborSimulation!AA14)/(1+LiborTenor*ForwardLiborSimulation!AA14)</f>
        <v>8.3739472130570647E-3</v>
      </c>
      <c r="AC15" s="24">
        <f ca="1">+AC14+(LiborTenor*Volatility!AB14*ForwardLiborSimulation!AB14)/(1+LiborTenor*ForwardLiborSimulation!AB14)</f>
        <v>8.3564380788472507E-3</v>
      </c>
      <c r="AD15" s="24">
        <f ca="1">+AD14+(LiborTenor*Volatility!AC14*ForwardLiborSimulation!AC14)/(1+LiborTenor*ForwardLiborSimulation!AC14)</f>
        <v>8.2186789049834962E-3</v>
      </c>
      <c r="AE15" s="24">
        <f ca="1">+AE14+(LiborTenor*Volatility!AD14*ForwardLiborSimulation!AD14)/(1+LiborTenor*ForwardLiborSimulation!AD14)</f>
        <v>8.1589728460475883E-3</v>
      </c>
      <c r="AF15" s="24">
        <f ca="1">+AF14+(LiborTenor*Volatility!AE14*ForwardLiborSimulation!AE14)/(1+LiborTenor*ForwardLiborSimulation!AE14)</f>
        <v>8.4919966239012535E-3</v>
      </c>
      <c r="AG15" s="24">
        <f ca="1">+AG14+(LiborTenor*Volatility!AF14*ForwardLiborSimulation!AF14)/(1+LiborTenor*ForwardLiborSimulation!AF14)</f>
        <v>8.5287574026581513E-3</v>
      </c>
      <c r="AH15" s="24">
        <f ca="1">+AH14+(LiborTenor*Volatility!AG14*ForwardLiborSimulation!AG14)/(1+LiborTenor*ForwardLiborSimulation!AG14)</f>
        <v>8.6190717602972946E-3</v>
      </c>
      <c r="AI15" s="24">
        <f ca="1">+AI14+(LiborTenor*Volatility!AH14*ForwardLiborSimulation!AH14)/(1+LiborTenor*ForwardLiborSimulation!AH14)</f>
        <v>8.7226078452621973E-3</v>
      </c>
      <c r="AJ15" s="24">
        <f ca="1">+AJ14+(LiborTenor*Volatility!AI14*ForwardLiborSimulation!AI14)/(1+LiborTenor*ForwardLiborSimulation!AI14)</f>
        <v>9.0693668217899578E-3</v>
      </c>
      <c r="AK15" s="24">
        <f ca="1">+AK14+(LiborTenor*Volatility!AJ14*ForwardLiborSimulation!AJ14)/(1+LiborTenor*ForwardLiborSimulation!AJ14)</f>
        <v>9.1481041597099751E-3</v>
      </c>
      <c r="AL15" s="24">
        <f ca="1">+AL14+(LiborTenor*Volatility!AK14*ForwardLiborSimulation!AK14)/(1+LiborTenor*ForwardLiborSimulation!AK14)</f>
        <v>9.4141799796782118E-3</v>
      </c>
      <c r="AM15" s="24">
        <f ca="1">+AM14+(LiborTenor*Volatility!AL14*ForwardLiborSimulation!AL14)/(1+LiborTenor*ForwardLiborSimulation!AL14)</f>
        <v>9.5395710350079134E-3</v>
      </c>
      <c r="AN15" s="24">
        <f ca="1">+AN14+(LiborTenor*Volatility!AM14*ForwardLiborSimulation!AM14)/(1+LiborTenor*ForwardLiborSimulation!AM14)</f>
        <v>9.5000360068976976E-3</v>
      </c>
      <c r="AO15" s="24">
        <f ca="1">+AO14+(LiborTenor*Volatility!AN14*ForwardLiborSimulation!AN14)/(1+LiborTenor*ForwardLiborSimulation!AN14)</f>
        <v>9.0580036806586807E-3</v>
      </c>
      <c r="AP15" s="24">
        <f ca="1">+AP14+(LiborTenor*Volatility!AO14*ForwardLiborSimulation!AO14)/(1+LiborTenor*ForwardLiborSimulation!AO14)</f>
        <v>8.933357896551513E-3</v>
      </c>
      <c r="AQ15" s="24">
        <f ca="1">+AQ14+(LiborTenor*Volatility!AP14*ForwardLiborSimulation!AP14)/(1+LiborTenor*ForwardLiborSimulation!AP14)</f>
        <v>8.6708858723226791E-3</v>
      </c>
      <c r="AR15" s="24">
        <f ca="1">+AR14+(LiborTenor*Volatility!AQ14*ForwardLiborSimulation!AQ14)/(1+LiborTenor*ForwardLiborSimulation!AQ14)</f>
        <v>8.8159593698453123E-3</v>
      </c>
      <c r="AS15" s="24">
        <f ca="1">+AS14+(LiborTenor*Volatility!AR14*ForwardLiborSimulation!AR14)/(1+LiborTenor*ForwardLiborSimulation!AR14)</f>
        <v>9.0131684798827535E-3</v>
      </c>
      <c r="AT15" s="24">
        <f ca="1">+AT14+(LiborTenor*Volatility!AS14*ForwardLiborSimulation!AS14)/(1+LiborTenor*ForwardLiborSimulation!AS14)</f>
        <v>8.8674485070522526E-3</v>
      </c>
      <c r="AU15" s="24">
        <f ca="1">+AU14+(LiborTenor*Volatility!AT14*ForwardLiborSimulation!AT14)/(1+LiborTenor*ForwardLiborSimulation!AT14)</f>
        <v>8.8060782179687526E-3</v>
      </c>
      <c r="AV15" s="24">
        <f ca="1">+AV14+(LiborTenor*Volatility!AU14*ForwardLiborSimulation!AU14)/(1+LiborTenor*ForwardLiborSimulation!AU14)</f>
        <v>8.9864440215984276E-3</v>
      </c>
      <c r="AW15" s="24">
        <f ca="1">+AW14+(LiborTenor*Volatility!AV14*ForwardLiborSimulation!AV14)/(1+LiborTenor*ForwardLiborSimulation!AV14)</f>
        <v>9.0247143886412907E-3</v>
      </c>
      <c r="AX15" s="24">
        <f ca="1">+AX14+(LiborTenor*Volatility!AW14*ForwardLiborSimulation!AW14)/(1+LiborTenor*ForwardLiborSimulation!AW14)</f>
        <v>9.2368503468852146E-3</v>
      </c>
      <c r="AY15" s="24">
        <f ca="1">+AY14+(LiborTenor*Volatility!AX14*ForwardLiborSimulation!AX14)/(1+LiborTenor*ForwardLiborSimulation!AX14)</f>
        <v>9.0140138362023239E-3</v>
      </c>
      <c r="AZ15" s="24">
        <f ca="1">+AZ14+(LiborTenor*Volatility!AY14*ForwardLiborSimulation!AY14)/(1+LiborTenor*ForwardLiborSimulation!AY14)</f>
        <v>9.174938317907071E-3</v>
      </c>
      <c r="BA15" s="24">
        <f ca="1">+BA14+(LiborTenor*Volatility!AZ14*ForwardLiborSimulation!AZ14)/(1+LiborTenor*ForwardLiborSimulation!AZ14)</f>
        <v>9.311233685365395E-3</v>
      </c>
      <c r="BB15" s="24">
        <f ca="1">+BB14+(LiborTenor*Volatility!BA14*ForwardLiborSimulation!BA14)/(1+LiborTenor*ForwardLiborSimulation!BA14)</f>
        <v>9.673222755059838E-3</v>
      </c>
      <c r="BC15" s="24">
        <f ca="1">+BC14+(LiborTenor*Volatility!BB14*ForwardLiborSimulation!BB14)/(1+LiborTenor*ForwardLiborSimulation!BB14)</f>
        <v>9.7643843774259682E-3</v>
      </c>
      <c r="BD15" s="24">
        <f ca="1">+BD14+(LiborTenor*Volatility!BC14*ForwardLiborSimulation!BC14)/(1+LiborTenor*ForwardLiborSimulation!BC14)</f>
        <v>9.5295204785844148E-3</v>
      </c>
      <c r="BE15" s="24">
        <f ca="1">+BE14+(LiborTenor*Volatility!BD14*ForwardLiborSimulation!BD14)/(1+LiborTenor*ForwardLiborSimulation!BD14)</f>
        <v>9.5132220840165611E-3</v>
      </c>
      <c r="BF15" s="24">
        <f ca="1">+BF14+(LiborTenor*Volatility!BE14*ForwardLiborSimulation!BE14)/(1+LiborTenor*ForwardLiborSimulation!BE14)</f>
        <v>9.4017264581725685E-3</v>
      </c>
      <c r="BG15" s="24">
        <f ca="1">+BG14+(LiborTenor*Volatility!BF14*ForwardLiborSimulation!BF14)/(1+LiborTenor*ForwardLiborSimulation!BF14)</f>
        <v>9.0364146184387512E-3</v>
      </c>
      <c r="BH15" s="24">
        <f ca="1">+BH14+(LiborTenor*Volatility!BG14*ForwardLiborSimulation!BG14)/(1+LiborTenor*ForwardLiborSimulation!BG14)</f>
        <v>9.4346131701629234E-3</v>
      </c>
      <c r="BI15" s="24">
        <f ca="1">+BI14+(LiborTenor*Volatility!BH14*ForwardLiborSimulation!BH14)/(1+LiborTenor*ForwardLiborSimulation!BH14)</f>
        <v>9.245033363318415E-3</v>
      </c>
      <c r="BJ15" s="24">
        <f ca="1">+BJ14+(LiborTenor*Volatility!BI14*ForwardLiborSimulation!BI14)/(1+LiborTenor*ForwardLiborSimulation!BI14)</f>
        <v>8.7423016256562309E-3</v>
      </c>
      <c r="BK15" s="24">
        <f ca="1">+BK14+(LiborTenor*Volatility!BJ14*ForwardLiborSimulation!BJ14)/(1+LiborTenor*ForwardLiborSimulation!BJ14)</f>
        <v>8.860566344486967E-3</v>
      </c>
      <c r="BL15" s="24">
        <f ca="1">+BL14+(LiborTenor*Volatility!BK14*ForwardLiborSimulation!BK14)/(1+LiborTenor*ForwardLiborSimulation!BK14)</f>
        <v>9.0226109805165815E-3</v>
      </c>
      <c r="BM15" s="24">
        <f ca="1">+BM14+(LiborTenor*Volatility!BL14*ForwardLiborSimulation!BL14)/(1+LiborTenor*ForwardLiborSimulation!BL14)</f>
        <v>9.1929280515631491E-3</v>
      </c>
      <c r="BN15" s="24">
        <f ca="1">+BN14+(LiborTenor*Volatility!BM14*ForwardLiborSimulation!BM14)/(1+LiborTenor*ForwardLiborSimulation!BM14)</f>
        <v>8.8897147825529998E-3</v>
      </c>
      <c r="BO15" s="24">
        <f ca="1">+BO14+(LiborTenor*Volatility!BN14*ForwardLiborSimulation!BN14)/(1+LiborTenor*ForwardLiborSimulation!BN14)</f>
        <v>8.9822372063803647E-3</v>
      </c>
      <c r="BP15" s="24">
        <f ca="1">+BP14+(LiborTenor*Volatility!BO14*ForwardLiborSimulation!BO14)/(1+LiborTenor*ForwardLiborSimulation!BO14)</f>
        <v>9.232039498509521E-3</v>
      </c>
      <c r="BQ15" s="24">
        <f ca="1">+BQ14+(LiborTenor*Volatility!BP14*ForwardLiborSimulation!BP14)/(1+LiborTenor*ForwardLiborSimulation!BP14)</f>
        <v>9.2739168923521836E-3</v>
      </c>
      <c r="BR15" s="24">
        <f ca="1">+BR14+(LiborTenor*Volatility!BQ14*ForwardLiborSimulation!BQ14)/(1+LiborTenor*ForwardLiborSimulation!BQ14)</f>
        <v>9.2918406803472187E-3</v>
      </c>
      <c r="BS15" s="24">
        <f ca="1">+BS14+(LiborTenor*Volatility!BR14*ForwardLiborSimulation!BR14)/(1+LiborTenor*ForwardLiborSimulation!BR14)</f>
        <v>9.590994696520961E-3</v>
      </c>
      <c r="BT15" s="24">
        <f ca="1">+BT14+(LiborTenor*Volatility!BS14*ForwardLiborSimulation!BS14)/(1+LiborTenor*ForwardLiborSimulation!BS14)</f>
        <v>9.2086494980027564E-3</v>
      </c>
      <c r="BU15" s="24">
        <f ca="1">+BU14+(LiborTenor*Volatility!BT14*ForwardLiborSimulation!BT14)/(1+LiborTenor*ForwardLiborSimulation!BT14)</f>
        <v>8.9243465124344036E-3</v>
      </c>
      <c r="BV15" s="24">
        <f ca="1">+BV14+(LiborTenor*Volatility!BU14*ForwardLiborSimulation!BU14)/(1+LiborTenor*ForwardLiborSimulation!BU14)</f>
        <v>8.6659235498763119E-3</v>
      </c>
      <c r="BW15" s="24">
        <f ca="1">+BW14+(LiborTenor*Volatility!BV14*ForwardLiborSimulation!BV14)/(1+LiborTenor*ForwardLiborSimulation!BV14)</f>
        <v>9.0293929820000826E-3</v>
      </c>
      <c r="BX15" s="24">
        <f ca="1">+BX14+(LiborTenor*Volatility!BW14*ForwardLiborSimulation!BW14)/(1+LiborTenor*ForwardLiborSimulation!BW14)</f>
        <v>8.5541835169522899E-3</v>
      </c>
      <c r="BY15" s="24">
        <f ca="1">+BY14+(LiborTenor*Volatility!BX14*ForwardLiborSimulation!BX14)/(1+LiborTenor*ForwardLiborSimulation!BX14)</f>
        <v>8.4110063151372101E-3</v>
      </c>
      <c r="BZ15" s="24">
        <f ca="1">+BZ14+(LiborTenor*Volatility!BY14*ForwardLiborSimulation!BY14)/(1+LiborTenor*ForwardLiborSimulation!BY14)</f>
        <v>8.462138433856313E-3</v>
      </c>
      <c r="CA15" s="24">
        <f ca="1">+CA14+(LiborTenor*Volatility!BZ14*ForwardLiborSimulation!BZ14)/(1+LiborTenor*ForwardLiborSimulation!BZ14)</f>
        <v>8.9022437075389847E-3</v>
      </c>
      <c r="CB15" s="24">
        <f ca="1">+CB14+(LiborTenor*Volatility!CA14*ForwardLiborSimulation!CA14)/(1+LiborTenor*ForwardLiborSimulation!CA14)</f>
        <v>8.6746816082871638E-3</v>
      </c>
      <c r="CC15" s="24">
        <f ca="1">+CC14+(LiborTenor*Volatility!CB14*ForwardLiborSimulation!CB14)/(1+LiborTenor*ForwardLiborSimulation!CB14)</f>
        <v>8.8543196235505474E-3</v>
      </c>
      <c r="CD15" s="24">
        <f ca="1">+CD14+(LiborTenor*Volatility!CC14*ForwardLiborSimulation!CC14)/(1+LiborTenor*ForwardLiborSimulation!CC14)</f>
        <v>8.8180304539456824E-3</v>
      </c>
      <c r="CE15" s="24">
        <f ca="1">+CE14+(LiborTenor*Volatility!CD14*ForwardLiborSimulation!CD14)/(1+LiborTenor*ForwardLiborSimulation!CD14)</f>
        <v>8.9050179649106283E-3</v>
      </c>
      <c r="CF15" s="24">
        <f ca="1">+CF14+(LiborTenor*Volatility!CE14*ForwardLiborSimulation!CE14)/(1+LiborTenor*ForwardLiborSimulation!CE14)</f>
        <v>8.6179072918513254E-3</v>
      </c>
      <c r="CG15" s="24">
        <f ca="1">+CG14+(LiborTenor*Volatility!CF14*ForwardLiborSimulation!CF14)/(1+LiborTenor*ForwardLiborSimulation!CF14)</f>
        <v>8.87350838429549E-3</v>
      </c>
      <c r="CH15" s="24">
        <f ca="1">+CH14+(LiborTenor*Volatility!CG14*ForwardLiborSimulation!CG14)/(1+LiborTenor*ForwardLiborSimulation!CG14)</f>
        <v>8.967933353968973E-3</v>
      </c>
      <c r="CI15" s="24">
        <f ca="1">+CI14+(LiborTenor*Volatility!CH14*ForwardLiborSimulation!CH14)/(1+LiborTenor*ForwardLiborSimulation!CH14)</f>
        <v>8.7444123830340663E-3</v>
      </c>
      <c r="CJ15" s="24">
        <f ca="1">+CJ14+(LiborTenor*Volatility!CI14*ForwardLiborSimulation!CI14)/(1+LiborTenor*ForwardLiborSimulation!CI14)</f>
        <v>8.7016218232709112E-3</v>
      </c>
      <c r="CK15" s="24">
        <f ca="1">+CK14+(LiborTenor*Volatility!CJ14*ForwardLiborSimulation!CJ14)/(1+LiborTenor*ForwardLiborSimulation!CJ14)</f>
        <v>8.5498177887241081E-3</v>
      </c>
      <c r="CL15" s="24">
        <f ca="1">+CL14+(LiborTenor*Volatility!CK14*ForwardLiborSimulation!CK14)/(1+LiborTenor*ForwardLiborSimulation!CK14)</f>
        <v>8.4749763045290465E-3</v>
      </c>
      <c r="CM15" s="24">
        <f ca="1">+CM14+(LiborTenor*Volatility!CL14*ForwardLiborSimulation!CL14)/(1+LiborTenor*ForwardLiborSimulation!CL14)</f>
        <v>8.6496919015395766E-3</v>
      </c>
      <c r="CN15" s="24">
        <f ca="1">+CN14+(LiborTenor*Volatility!CM14*ForwardLiborSimulation!CM14)/(1+LiborTenor*ForwardLiborSimulation!CM14)</f>
        <v>8.5530860441146786E-3</v>
      </c>
      <c r="CO15" s="24">
        <f ca="1">+CO14+(LiborTenor*Volatility!CN14*ForwardLiborSimulation!CN14)/(1+LiborTenor*ForwardLiborSimulation!CN14)</f>
        <v>8.4379307103718132E-3</v>
      </c>
      <c r="CP15" s="24">
        <f ca="1">+CP14+(LiborTenor*Volatility!CO14*ForwardLiborSimulation!CO14)/(1+LiborTenor*ForwardLiborSimulation!CO14)</f>
        <v>8.0950255092707441E-3</v>
      </c>
      <c r="CQ15" s="24">
        <f ca="1">+CQ14+(LiborTenor*Volatility!CP14*ForwardLiborSimulation!CP14)/(1+LiborTenor*ForwardLiborSimulation!CP14)</f>
        <v>8.2170753827426612E-3</v>
      </c>
      <c r="CR15" s="24">
        <f ca="1">+CR14+(LiborTenor*Volatility!CQ14*ForwardLiborSimulation!CQ14)/(1+LiborTenor*ForwardLiborSimulation!CQ14)</f>
        <v>8.4431428402053296E-3</v>
      </c>
      <c r="CS15" s="24">
        <f ca="1">+CS14+(LiborTenor*Volatility!CR14*ForwardLiborSimulation!CR14)/(1+LiborTenor*ForwardLiborSimulation!CR14)</f>
        <v>8.6533758367607089E-3</v>
      </c>
      <c r="CT15" s="24">
        <f ca="1">+CT14+(LiborTenor*Volatility!CS14*ForwardLiborSimulation!CS14)/(1+LiborTenor*ForwardLiborSimulation!CS14)</f>
        <v>8.7525607440258786E-3</v>
      </c>
      <c r="CU15" s="24">
        <f ca="1">+CU14+(LiborTenor*Volatility!CT14*ForwardLiborSimulation!CT14)/(1+LiborTenor*ForwardLiborSimulation!CT14)</f>
        <v>8.9620701106914152E-3</v>
      </c>
      <c r="CV15" s="24">
        <f ca="1">+CV14+(LiborTenor*Volatility!CU14*ForwardLiborSimulation!CU14)/(1+LiborTenor*ForwardLiborSimulation!CU14)</f>
        <v>8.9514515443628352E-3</v>
      </c>
      <c r="CW15" s="24"/>
      <c r="CX15" s="24"/>
      <c r="CY15" s="2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</row>
    <row r="16" spans="2:127" x14ac:dyDescent="0.2">
      <c r="D16" s="2">
        <f>+ForwardLiborSimulation!D16</f>
        <v>7.75</v>
      </c>
      <c r="E16" s="10"/>
      <c r="F16" s="12" t="str">
        <f t="shared" si="2"/>
        <v>L(t;7.5,7.75)</v>
      </c>
      <c r="G16" s="14"/>
      <c r="H16" s="24">
        <f>+H15+(LiborTenor*Volatility!G15*ForwardLiborSimulation!G15)/(1+LiborTenor*ForwardLiborSimulation!G15)</f>
        <v>9.0000000000000011E-3</v>
      </c>
      <c r="I16" s="24">
        <f ca="1">+I15+(LiborTenor*Volatility!H15*ForwardLiborSimulation!H15)/(1+LiborTenor*ForwardLiborSimulation!H15)</f>
        <v>9.2971382387696602E-3</v>
      </c>
      <c r="J16" s="24">
        <f ca="1">+J15+(LiborTenor*Volatility!I15*ForwardLiborSimulation!I15)/(1+LiborTenor*ForwardLiborSimulation!I15)</f>
        <v>9.4231494160854738E-3</v>
      </c>
      <c r="K16" s="24">
        <f ca="1">+K15+(LiborTenor*Volatility!J15*ForwardLiborSimulation!J15)/(1+LiborTenor*ForwardLiborSimulation!J15)</f>
        <v>9.241001928048935E-3</v>
      </c>
      <c r="L16" s="24">
        <f ca="1">+L15+(LiborTenor*Volatility!K15*ForwardLiborSimulation!K15)/(1+LiborTenor*ForwardLiborSimulation!K15)</f>
        <v>9.3045595373444714E-3</v>
      </c>
      <c r="M16" s="24">
        <f ca="1">+M15+(LiborTenor*Volatility!L15*ForwardLiborSimulation!L15)/(1+LiborTenor*ForwardLiborSimulation!L15)</f>
        <v>9.0999739881047082E-3</v>
      </c>
      <c r="N16" s="24">
        <f ca="1">+N15+(LiborTenor*Volatility!M15*ForwardLiborSimulation!M15)/(1+LiborTenor*ForwardLiborSimulation!M15)</f>
        <v>9.5323773611959879E-3</v>
      </c>
      <c r="O16" s="24">
        <f ca="1">+O15+(LiborTenor*Volatility!N15*ForwardLiborSimulation!N15)/(1+LiborTenor*ForwardLiborSimulation!N15)</f>
        <v>9.4669450678468246E-3</v>
      </c>
      <c r="P16" s="24">
        <f ca="1">+P15+(LiborTenor*Volatility!O15*ForwardLiborSimulation!O15)/(1+LiborTenor*ForwardLiborSimulation!O15)</f>
        <v>9.7169889930820048E-3</v>
      </c>
      <c r="Q16" s="24">
        <f ca="1">+Q15+(LiborTenor*Volatility!P15*ForwardLiborSimulation!P15)/(1+LiborTenor*ForwardLiborSimulation!P15)</f>
        <v>9.5265014906063417E-3</v>
      </c>
      <c r="R16" s="24">
        <f ca="1">+R15+(LiborTenor*Volatility!Q15*ForwardLiborSimulation!Q15)/(1+LiborTenor*ForwardLiborSimulation!Q15)</f>
        <v>9.5669367924978536E-3</v>
      </c>
      <c r="S16" s="24">
        <f ca="1">+S15+(LiborTenor*Volatility!R15*ForwardLiborSimulation!R15)/(1+LiborTenor*ForwardLiborSimulation!R15)</f>
        <v>9.7607745097464463E-3</v>
      </c>
      <c r="T16" s="24">
        <f ca="1">+T15+(LiborTenor*Volatility!S15*ForwardLiborSimulation!S15)/(1+LiborTenor*ForwardLiborSimulation!S15)</f>
        <v>1.0135532171592902E-2</v>
      </c>
      <c r="U16" s="24">
        <f ca="1">+U15+(LiborTenor*Volatility!T15*ForwardLiborSimulation!T15)/(1+LiborTenor*ForwardLiborSimulation!T15)</f>
        <v>9.9976469515554601E-3</v>
      </c>
      <c r="V16" s="24">
        <f ca="1">+V15+(LiborTenor*Volatility!U15*ForwardLiborSimulation!U15)/(1+LiborTenor*ForwardLiborSimulation!U15)</f>
        <v>9.9797026432288313E-3</v>
      </c>
      <c r="W16" s="24">
        <f ca="1">+W15+(LiborTenor*Volatility!V15*ForwardLiborSimulation!V15)/(1+LiborTenor*ForwardLiborSimulation!V15)</f>
        <v>9.7664136816077701E-3</v>
      </c>
      <c r="X16" s="24">
        <f ca="1">+X15+(LiborTenor*Volatility!W15*ForwardLiborSimulation!W15)/(1+LiborTenor*ForwardLiborSimulation!W15)</f>
        <v>9.2501682997972803E-3</v>
      </c>
      <c r="Y16" s="24">
        <f ca="1">+Y15+(LiborTenor*Volatility!X15*ForwardLiborSimulation!X15)/(1+LiborTenor*ForwardLiborSimulation!X15)</f>
        <v>9.3917253174905426E-3</v>
      </c>
      <c r="Z16" s="24">
        <f ca="1">+Z15+(LiborTenor*Volatility!Y15*ForwardLiborSimulation!Y15)/(1+LiborTenor*ForwardLiborSimulation!Y15)</f>
        <v>9.2770013894802762E-3</v>
      </c>
      <c r="AA16" s="24">
        <f ca="1">+AA15+(LiborTenor*Volatility!Z15*ForwardLiborSimulation!Z15)/(1+LiborTenor*ForwardLiborSimulation!Z15)</f>
        <v>9.4559631653235599E-3</v>
      </c>
      <c r="AB16" s="24">
        <f ca="1">+AB15+(LiborTenor*Volatility!AA15*ForwardLiborSimulation!AA15)/(1+LiborTenor*ForwardLiborSimulation!AA15)</f>
        <v>9.5997811466603574E-3</v>
      </c>
      <c r="AC16" s="24">
        <f ca="1">+AC15+(LiborTenor*Volatility!AB15*ForwardLiborSimulation!AB15)/(1+LiborTenor*ForwardLiborSimulation!AB15)</f>
        <v>9.5792629644976413E-3</v>
      </c>
      <c r="AD16" s="24">
        <f ca="1">+AD15+(LiborTenor*Volatility!AC15*ForwardLiborSimulation!AC15)/(1+LiborTenor*ForwardLiborSimulation!AC15)</f>
        <v>9.4181338662550958E-3</v>
      </c>
      <c r="AE16" s="24">
        <f ca="1">+AE15+(LiborTenor*Volatility!AD15*ForwardLiborSimulation!AD15)/(1+LiborTenor*ForwardLiborSimulation!AD15)</f>
        <v>9.348301831612827E-3</v>
      </c>
      <c r="AF16" s="24">
        <f ca="1">+AF15+(LiborTenor*Volatility!AE15*ForwardLiborSimulation!AE15)/(1+LiborTenor*ForwardLiborSimulation!AE15)</f>
        <v>9.7374645266116253E-3</v>
      </c>
      <c r="AG16" s="24">
        <f ca="1">+AG15+(LiborTenor*Volatility!AF15*ForwardLiborSimulation!AF15)/(1+LiborTenor*ForwardLiborSimulation!AF15)</f>
        <v>9.7804184195795993E-3</v>
      </c>
      <c r="AH16" s="24">
        <f ca="1">+AH15+(LiborTenor*Volatility!AG15*ForwardLiborSimulation!AG15)/(1+LiborTenor*ForwardLiborSimulation!AG15)</f>
        <v>9.8860216929802323E-3</v>
      </c>
      <c r="AI16" s="24">
        <f ca="1">+AI15+(LiborTenor*Volatility!AH15*ForwardLiborSimulation!AH15)/(1+LiborTenor*ForwardLiborSimulation!AH15)</f>
        <v>1.0007117076661911E-2</v>
      </c>
      <c r="AJ16" s="24">
        <f ca="1">+AJ15+(LiborTenor*Volatility!AI15*ForwardLiborSimulation!AI15)/(1+LiborTenor*ForwardLiborSimulation!AI15)</f>
        <v>1.0412889621342953E-2</v>
      </c>
      <c r="AK16" s="24">
        <f ca="1">+AK15+(LiborTenor*Volatility!AJ15*ForwardLiborSimulation!AJ15)/(1+LiborTenor*ForwardLiborSimulation!AJ15)</f>
        <v>1.0505062350195167E-2</v>
      </c>
      <c r="AL16" s="24">
        <f ca="1">+AL15+(LiborTenor*Volatility!AK15*ForwardLiborSimulation!AK15)/(1+LiborTenor*ForwardLiborSimulation!AK15)</f>
        <v>1.0816715089134002E-2</v>
      </c>
      <c r="AM16" s="24">
        <f ca="1">+AM15+(LiborTenor*Volatility!AL15*ForwardLiborSimulation!AL15)/(1+LiborTenor*ForwardLiborSimulation!AL15)</f>
        <v>1.0963642968097272E-2</v>
      </c>
      <c r="AN16" s="24">
        <f ca="1">+AN15+(LiborTenor*Volatility!AM15*ForwardLiborSimulation!AM15)/(1+LiborTenor*ForwardLiborSimulation!AM15)</f>
        <v>1.0917229649104868E-2</v>
      </c>
      <c r="AO16" s="24">
        <f ca="1">+AO15+(LiborTenor*Volatility!AN15*ForwardLiborSimulation!AN15)/(1+LiborTenor*ForwardLiborSimulation!AN15)</f>
        <v>1.039891641199386E-2</v>
      </c>
      <c r="AP16" s="24">
        <f ca="1">+AP15+(LiborTenor*Volatility!AO15*ForwardLiborSimulation!AO15)/(1+LiborTenor*ForwardLiborSimulation!AO15)</f>
        <v>1.0252882026747241E-2</v>
      </c>
      <c r="AQ16" s="24">
        <f ca="1">+AQ15+(LiborTenor*Volatility!AP15*ForwardLiborSimulation!AP15)/(1+LiborTenor*ForwardLiborSimulation!AP15)</f>
        <v>9.9455215134449885E-3</v>
      </c>
      <c r="AR16" s="24">
        <f ca="1">+AR15+(LiborTenor*Volatility!AQ15*ForwardLiborSimulation!AQ15)/(1+LiborTenor*ForwardLiborSimulation!AQ15)</f>
        <v>1.0115217665059619E-2</v>
      </c>
      <c r="AS16" s="24">
        <f ca="1">+AS15+(LiborTenor*Volatility!AR15*ForwardLiborSimulation!AR15)/(1+LiborTenor*ForwardLiborSimulation!AR15)</f>
        <v>1.0345993077900427E-2</v>
      </c>
      <c r="AT16" s="24">
        <f ca="1">+AT15+(LiborTenor*Volatility!AS15*ForwardLiborSimulation!AS15)/(1+LiborTenor*ForwardLiborSimulation!AS15)</f>
        <v>1.0175302932050431E-2</v>
      </c>
      <c r="AU16" s="24">
        <f ca="1">+AU15+(LiborTenor*Volatility!AT15*ForwardLiborSimulation!AT15)/(1+LiborTenor*ForwardLiborSimulation!AT15)</f>
        <v>1.0103414858364534E-2</v>
      </c>
      <c r="AV16" s="24">
        <f ca="1">+AV15+(LiborTenor*Volatility!AU15*ForwardLiborSimulation!AU15)/(1+LiborTenor*ForwardLiborSimulation!AU15)</f>
        <v>1.0314465836177754E-2</v>
      </c>
      <c r="AW16" s="24">
        <f ca="1">+AW15+(LiborTenor*Volatility!AV15*ForwardLiborSimulation!AV15)/(1+LiborTenor*ForwardLiborSimulation!AV15)</f>
        <v>1.0359226279230227E-2</v>
      </c>
      <c r="AX16" s="24">
        <f ca="1">+AX15+(LiborTenor*Volatility!AW15*ForwardLiborSimulation!AW15)/(1+LiborTenor*ForwardLiborSimulation!AW15)</f>
        <v>1.0607584948999048E-2</v>
      </c>
      <c r="AY16" s="24">
        <f ca="1">+AY15+(LiborTenor*Volatility!AX15*ForwardLiborSimulation!AX15)/(1+LiborTenor*ForwardLiborSimulation!AX15)</f>
        <v>1.0346460335451967E-2</v>
      </c>
      <c r="AZ16" s="24">
        <f ca="1">+AZ15+(LiborTenor*Volatility!AY15*ForwardLiborSimulation!AY15)/(1+LiborTenor*ForwardLiborSimulation!AY15)</f>
        <v>1.0534841886601186E-2</v>
      </c>
      <c r="BA16" s="24">
        <f ca="1">+BA15+(LiborTenor*Volatility!AZ15*ForwardLiborSimulation!AZ15)/(1+LiborTenor*ForwardLiborSimulation!AZ15)</f>
        <v>1.0694441795529013E-2</v>
      </c>
      <c r="BB16" s="24">
        <f ca="1">+BB15+(LiborTenor*Volatility!BA15*ForwardLiborSimulation!BA15)/(1+LiborTenor*ForwardLiborSimulation!BA15)</f>
        <v>1.1118538447040135E-2</v>
      </c>
      <c r="BC16" s="24">
        <f ca="1">+BC15+(LiborTenor*Volatility!BB15*ForwardLiborSimulation!BB15)/(1+LiborTenor*ForwardLiborSimulation!BB15)</f>
        <v>1.1225382117516145E-2</v>
      </c>
      <c r="BD16" s="24">
        <f ca="1">+BD15+(LiborTenor*Volatility!BC15*ForwardLiborSimulation!BC15)/(1+LiborTenor*ForwardLiborSimulation!BC15)</f>
        <v>1.0949846802994847E-2</v>
      </c>
      <c r="BE16" s="24">
        <f ca="1">+BE15+(LiborTenor*Volatility!BD15*ForwardLiborSimulation!BD15)/(1+LiborTenor*ForwardLiborSimulation!BD15)</f>
        <v>1.0930683636314543E-2</v>
      </c>
      <c r="BF16" s="24">
        <f ca="1">+BF15+(LiborTenor*Volatility!BE15*ForwardLiborSimulation!BE15)/(1+LiborTenor*ForwardLiborSimulation!BE15)</f>
        <v>1.0799928462740589E-2</v>
      </c>
      <c r="BG16" s="24">
        <f ca="1">+BG15+(LiborTenor*Volatility!BF15*ForwardLiborSimulation!BF15)/(1+LiborTenor*ForwardLiborSimulation!BF15)</f>
        <v>1.0371751459924736E-2</v>
      </c>
      <c r="BH16" s="24">
        <f ca="1">+BH15+(LiborTenor*Volatility!BG15*ForwardLiborSimulation!BG15)/(1+LiborTenor*ForwardLiborSimulation!BG15)</f>
        <v>1.0837940689690875E-2</v>
      </c>
      <c r="BI16" s="24">
        <f ca="1">+BI15+(LiborTenor*Volatility!BH15*ForwardLiborSimulation!BH15)/(1+LiborTenor*ForwardLiborSimulation!BH15)</f>
        <v>1.0615706268015937E-2</v>
      </c>
      <c r="BJ16" s="24">
        <f ca="1">+BJ15+(LiborTenor*Volatility!BI15*ForwardLiborSimulation!BI15)/(1+LiborTenor*ForwardLiborSimulation!BI15)</f>
        <v>1.0026731174429253E-2</v>
      </c>
      <c r="BK16" s="24">
        <f ca="1">+BK15+(LiborTenor*Volatility!BJ15*ForwardLiborSimulation!BJ15)/(1+LiborTenor*ForwardLiborSimulation!BJ15)</f>
        <v>1.0165048581396901E-2</v>
      </c>
      <c r="BL16" s="24">
        <f ca="1">+BL15+(LiborTenor*Volatility!BK15*ForwardLiborSimulation!BK15)/(1+LiborTenor*ForwardLiborSimulation!BK15)</f>
        <v>1.0354638274233439E-2</v>
      </c>
      <c r="BM16" s="24">
        <f ca="1">+BM15+(LiborTenor*Volatility!BL15*ForwardLiborSimulation!BL15)/(1+LiborTenor*ForwardLiborSimulation!BL15)</f>
        <v>1.0553982847502348E-2</v>
      </c>
      <c r="BN16" s="24">
        <f ca="1">+BN15+(LiborTenor*Volatility!BM15*ForwardLiborSimulation!BM15)/(1+LiborTenor*ForwardLiborSimulation!BM15)</f>
        <v>1.0198803824697962E-2</v>
      </c>
      <c r="BO16" s="24">
        <f ca="1">+BO15+(LiborTenor*Volatility!BN15*ForwardLiborSimulation!BN15)/(1+LiborTenor*ForwardLiborSimulation!BN15)</f>
        <v>1.0307036210308313E-2</v>
      </c>
      <c r="BP16" s="24">
        <f ca="1">+BP15+(LiborTenor*Volatility!BO15*ForwardLiborSimulation!BO15)/(1+LiborTenor*ForwardLiborSimulation!BO15)</f>
        <v>1.0599397667278434E-2</v>
      </c>
      <c r="BQ16" s="24">
        <f ca="1">+BQ15+(LiborTenor*Volatility!BP15*ForwardLiborSimulation!BP15)/(1+LiborTenor*ForwardLiborSimulation!BP15)</f>
        <v>1.0648393588809589E-2</v>
      </c>
      <c r="BR16" s="24">
        <f ca="1">+BR15+(LiborTenor*Volatility!BQ15*ForwardLiborSimulation!BQ15)/(1+LiborTenor*ForwardLiborSimulation!BQ15)</f>
        <v>1.0669335170335352E-2</v>
      </c>
      <c r="BS16" s="24">
        <f ca="1">+BS15+(LiborTenor*Volatility!BR15*ForwardLiborSimulation!BR15)/(1+LiborTenor*ForwardLiborSimulation!BR15)</f>
        <v>1.1019708022096892E-2</v>
      </c>
      <c r="BT16" s="24">
        <f ca="1">+BT15+(LiborTenor*Volatility!BS15*ForwardLiborSimulation!BS15)/(1+LiborTenor*ForwardLiborSimulation!BS15)</f>
        <v>1.0571464732019111E-2</v>
      </c>
      <c r="BU16" s="24">
        <f ca="1">+BU15+(LiborTenor*Volatility!BT15*ForwardLiborSimulation!BT15)/(1+LiborTenor*ForwardLiborSimulation!BT15)</f>
        <v>1.0238452992524924E-2</v>
      </c>
      <c r="BV16" s="24">
        <f ca="1">+BV15+(LiborTenor*Volatility!BU15*ForwardLiborSimulation!BU15)/(1+LiborTenor*ForwardLiborSimulation!BU15)</f>
        <v>9.9359633425602674E-3</v>
      </c>
      <c r="BW16" s="24">
        <f ca="1">+BW15+(LiborTenor*Volatility!BV15*ForwardLiborSimulation!BV15)/(1+LiborTenor*ForwardLiborSimulation!BV15)</f>
        <v>1.036101192467394E-2</v>
      </c>
      <c r="BX16" s="24">
        <f ca="1">+BX15+(LiborTenor*Volatility!BW15*ForwardLiborSimulation!BW15)/(1+LiborTenor*ForwardLiborSimulation!BW15)</f>
        <v>9.8046877107271571E-3</v>
      </c>
      <c r="BY16" s="24">
        <f ca="1">+BY15+(LiborTenor*Volatility!BX15*ForwardLiborSimulation!BX15)/(1+LiborTenor*ForwardLiborSimulation!BX15)</f>
        <v>9.6372447692742273E-3</v>
      </c>
      <c r="BZ16" s="24">
        <f ca="1">+BZ15+(LiborTenor*Volatility!BY15*ForwardLiborSimulation!BY15)/(1+LiborTenor*ForwardLiborSimulation!BY15)</f>
        <v>9.696960667332279E-3</v>
      </c>
      <c r="CA16" s="24">
        <f ca="1">+CA15+(LiborTenor*Volatility!BZ15*ForwardLiborSimulation!BZ15)/(1+LiborTenor*ForwardLiborSimulation!BZ15)</f>
        <v>1.0211335883442097E-2</v>
      </c>
      <c r="CB16" s="24">
        <f ca="1">+CB15+(LiborTenor*Volatility!CA15*ForwardLiborSimulation!CA15)/(1+LiborTenor*ForwardLiborSimulation!CA15)</f>
        <v>9.9450134879613284E-3</v>
      </c>
      <c r="CC16" s="24">
        <f ca="1">+CC15+(LiborTenor*Volatility!CB15*ForwardLiborSimulation!CB15)/(1+LiborTenor*ForwardLiborSimulation!CB15)</f>
        <v>1.0155041152822968E-2</v>
      </c>
      <c r="CD16" s="24">
        <f ca="1">+CD15+(LiborTenor*Volatility!CC15*ForwardLiborSimulation!CC15)/(1+LiborTenor*ForwardLiborSimulation!CC15)</f>
        <v>1.0112536417883995E-2</v>
      </c>
      <c r="CE16" s="24">
        <f ca="1">+CE15+(LiborTenor*Volatility!CD15*ForwardLiborSimulation!CD15)/(1+LiborTenor*ForwardLiborSimulation!CD15)</f>
        <v>1.0214248663052934E-2</v>
      </c>
      <c r="CF16" s="24">
        <f ca="1">+CF15+(LiborTenor*Volatility!CE15*ForwardLiborSimulation!CE15)/(1+LiborTenor*ForwardLiborSimulation!CE15)</f>
        <v>9.878256538857039E-3</v>
      </c>
      <c r="CG16" s="24">
        <f ca="1">+CG15+(LiborTenor*Volatility!CF15*ForwardLiborSimulation!CF15)/(1+LiborTenor*ForwardLiborSimulation!CF15)</f>
        <v>1.0177063559898541E-2</v>
      </c>
      <c r="CH16" s="24">
        <f ca="1">+CH15+(LiborTenor*Volatility!CG15*ForwardLiborSimulation!CG15)/(1+LiborTenor*ForwardLiborSimulation!CG15)</f>
        <v>1.028748613991552E-2</v>
      </c>
      <c r="CI16" s="24">
        <f ca="1">+CI15+(LiborTenor*Volatility!CH15*ForwardLiborSimulation!CH15)/(1+LiborTenor*ForwardLiborSimulation!CH15)</f>
        <v>1.0025869996677515E-2</v>
      </c>
      <c r="CJ16" s="24">
        <f ca="1">+CJ15+(LiborTenor*Volatility!CI15*ForwardLiborSimulation!CI15)/(1+LiborTenor*ForwardLiborSimulation!CI15)</f>
        <v>9.9757769621704965E-3</v>
      </c>
      <c r="CK16" s="24">
        <f ca="1">+CK15+(LiborTenor*Volatility!CJ15*ForwardLiborSimulation!CJ15)/(1+LiborTenor*ForwardLiborSimulation!CJ15)</f>
        <v>9.7982063799962327E-3</v>
      </c>
      <c r="CL16" s="24">
        <f ca="1">+CL15+(LiborTenor*Volatility!CK15*ForwardLiborSimulation!CK15)/(1+LiborTenor*ForwardLiborSimulation!CK15)</f>
        <v>9.7106737065430996E-3</v>
      </c>
      <c r="CM16" s="24">
        <f ca="1">+CM15+(LiborTenor*Volatility!CL15*ForwardLiborSimulation!CL15)/(1+LiborTenor*ForwardLiborSimulation!CL15)</f>
        <v>9.9148259784521998E-3</v>
      </c>
      <c r="CN16" s="24">
        <f ca="1">+CN15+(LiborTenor*Volatility!CM15*ForwardLiborSimulation!CM15)/(1+LiborTenor*ForwardLiborSimulation!CM15)</f>
        <v>9.8018237833955458E-3</v>
      </c>
      <c r="CO16" s="24">
        <f ca="1">+CO15+(LiborTenor*Volatility!CN15*ForwardLiborSimulation!CN15)/(1+LiborTenor*ForwardLiborSimulation!CN15)</f>
        <v>9.6671669910479464E-3</v>
      </c>
      <c r="CP16" s="24">
        <f ca="1">+CP15+(LiborTenor*Volatility!CO15*ForwardLiborSimulation!CO15)/(1+LiborTenor*ForwardLiborSimulation!CO15)</f>
        <v>9.2663976586480363E-3</v>
      </c>
      <c r="CQ16" s="24">
        <f ca="1">+CQ15+(LiborTenor*Volatility!CP15*ForwardLiborSimulation!CP15)/(1+LiborTenor*ForwardLiborSimulation!CP15)</f>
        <v>9.4088549698207284E-3</v>
      </c>
      <c r="CR16" s="24">
        <f ca="1">+CR15+(LiborTenor*Volatility!CQ15*ForwardLiborSimulation!CQ15)/(1+LiborTenor*ForwardLiborSimulation!CQ15)</f>
        <v>9.6728366588742752E-3</v>
      </c>
      <c r="CS16" s="24">
        <f ca="1">+CS15+(LiborTenor*Volatility!CR15*ForwardLiborSimulation!CR15)/(1+LiborTenor*ForwardLiborSimulation!CR15)</f>
        <v>9.9184623649416544E-3</v>
      </c>
      <c r="CT16" s="24"/>
      <c r="CU16" s="24"/>
      <c r="CV16" s="2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</row>
    <row r="17" spans="4:127" x14ac:dyDescent="0.2">
      <c r="D17" s="2">
        <f>+ForwardLiborSimulation!D17</f>
        <v>7.5</v>
      </c>
      <c r="E17" s="10"/>
      <c r="F17" s="12" t="str">
        <f t="shared" si="2"/>
        <v>L(t;7.25,7.5)</v>
      </c>
      <c r="G17" s="14"/>
      <c r="H17" s="24">
        <f>+H16+(LiborTenor*Volatility!G16*ForwardLiborSimulation!G16)/(1+LiborTenor*ForwardLiborSimulation!G16)</f>
        <v>1.0185185185185186E-2</v>
      </c>
      <c r="I17" s="24">
        <f ca="1">+I16+(LiborTenor*Volatility!H16*ForwardLiborSimulation!H16)/(1+LiborTenor*ForwardLiborSimulation!H16)</f>
        <v>1.0523341992204664E-2</v>
      </c>
      <c r="J17" s="24">
        <f ca="1">+J16+(LiborTenor*Volatility!I16*ForwardLiborSimulation!I16)/(1+LiborTenor*ForwardLiborSimulation!I16)</f>
        <v>1.0663898249575011E-2</v>
      </c>
      <c r="K17" s="24">
        <f ca="1">+K16+(LiborTenor*Volatility!J16*ForwardLiborSimulation!J16)/(1+LiborTenor*ForwardLiborSimulation!J16)</f>
        <v>1.04536327032956E-2</v>
      </c>
      <c r="L17" s="24">
        <f ca="1">+L16+(LiborTenor*Volatility!K16*ForwardLiborSimulation!K16)/(1+LiborTenor*ForwardLiborSimulation!K16)</f>
        <v>1.0526904565852084E-2</v>
      </c>
      <c r="M17" s="24">
        <f ca="1">+M16+(LiborTenor*Volatility!L16*ForwardLiborSimulation!L16)/(1+LiborTenor*ForwardLiborSimulation!L16)</f>
        <v>1.0290811926181429E-2</v>
      </c>
      <c r="N17" s="24">
        <f ca="1">+N16+(LiborTenor*Volatility!M16*ForwardLiborSimulation!M16)/(1+LiborTenor*ForwardLiborSimulation!M16)</f>
        <v>1.0789407284481873E-2</v>
      </c>
      <c r="O17" s="24">
        <f ca="1">+O16+(LiborTenor*Volatility!N16*ForwardLiborSimulation!N16)/(1+LiborTenor*ForwardLiborSimulation!N16)</f>
        <v>1.0713826955232325E-2</v>
      </c>
      <c r="P17" s="24">
        <f ca="1">+P16+(LiborTenor*Volatility!O16*ForwardLiborSimulation!O16)/(1+LiborTenor*ForwardLiborSimulation!O16)</f>
        <v>1.1002357764361981E-2</v>
      </c>
      <c r="Q17" s="24">
        <f ca="1">+Q16+(LiborTenor*Volatility!P16*ForwardLiborSimulation!P16)/(1+LiborTenor*ForwardLiborSimulation!P16)</f>
        <v>1.078233617737435E-2</v>
      </c>
      <c r="R17" s="24">
        <f ca="1">+R16+(LiborTenor*Volatility!Q16*ForwardLiborSimulation!Q16)/(1+LiborTenor*ForwardLiborSimulation!Q16)</f>
        <v>1.0828957772635621E-2</v>
      </c>
      <c r="S17" s="24">
        <f ca="1">+S16+(LiborTenor*Volatility!R16*ForwardLiborSimulation!R16)/(1+LiborTenor*ForwardLiborSimulation!R16)</f>
        <v>1.1052662685953856E-2</v>
      </c>
      <c r="T17" s="24">
        <f ca="1">+T16+(LiborTenor*Volatility!S16*ForwardLiborSimulation!S16)/(1+LiborTenor*ForwardLiborSimulation!S16)</f>
        <v>1.1485388582328263E-2</v>
      </c>
      <c r="U17" s="24">
        <f ca="1">+U16+(LiborTenor*Volatility!T16*ForwardLiborSimulation!T16)/(1+LiborTenor*ForwardLiborSimulation!T16)</f>
        <v>1.1325969545855682E-2</v>
      </c>
      <c r="V17" s="24">
        <f ca="1">+V16+(LiborTenor*Volatility!U16*ForwardLiborSimulation!U16)/(1+LiborTenor*ForwardLiborSimulation!U16)</f>
        <v>1.1305180022373219E-2</v>
      </c>
      <c r="W17" s="24">
        <f ca="1">+W16+(LiborTenor*Volatility!V16*ForwardLiborSimulation!V16)/(1+LiborTenor*ForwardLiborSimulation!V16)</f>
        <v>1.1058699456363126E-2</v>
      </c>
      <c r="X17" s="24">
        <f ca="1">+X16+(LiborTenor*Volatility!W16*ForwardLiborSimulation!W16)/(1+LiborTenor*ForwardLiborSimulation!W16)</f>
        <v>1.0462476022455824E-2</v>
      </c>
      <c r="Y17" s="24">
        <f ca="1">+Y16+(LiborTenor*Volatility!X16*ForwardLiborSimulation!X16)/(1+LiborTenor*ForwardLiborSimulation!X16)</f>
        <v>1.062570139468602E-2</v>
      </c>
      <c r="Z17" s="24">
        <f ca="1">+Z16+(LiborTenor*Volatility!Y16*ForwardLiborSimulation!Y16)/(1+LiborTenor*ForwardLiborSimulation!Y16)</f>
        <v>1.0493285305846645E-2</v>
      </c>
      <c r="AA17" s="24">
        <f ca="1">+AA16+(LiborTenor*Volatility!Z16*ForwardLiborSimulation!Z16)/(1+LiborTenor*ForwardLiborSimulation!Z16)</f>
        <v>1.0699662901222448E-2</v>
      </c>
      <c r="AB17" s="24">
        <f ca="1">+AB16+(LiborTenor*Volatility!AA16*ForwardLiborSimulation!AA16)/(1+LiborTenor*ForwardLiborSimulation!AA16)</f>
        <v>1.0865567540832328E-2</v>
      </c>
      <c r="AC17" s="24">
        <f ca="1">+AC16+(LiborTenor*Volatility!AB16*ForwardLiborSimulation!AB16)/(1+LiborTenor*ForwardLiborSimulation!AB16)</f>
        <v>1.0841831648957559E-2</v>
      </c>
      <c r="AD17" s="24">
        <f ca="1">+AD16+(LiborTenor*Volatility!AC16*ForwardLiborSimulation!AC16)/(1+LiborTenor*ForwardLiborSimulation!AC16)</f>
        <v>1.065579871824082E-2</v>
      </c>
      <c r="AE17" s="24">
        <f ca="1">+AE16+(LiborTenor*Volatility!AD16*ForwardLiborSimulation!AD16)/(1+LiborTenor*ForwardLiborSimulation!AD16)</f>
        <v>1.0575176206965128E-2</v>
      </c>
      <c r="AF17" s="24">
        <f ca="1">+AF16+(LiborTenor*Volatility!AE16*ForwardLiborSimulation!AE16)/(1+LiborTenor*ForwardLiborSimulation!AE16)</f>
        <v>1.1024065942455426E-2</v>
      </c>
      <c r="AG17" s="24">
        <f ca="1">+AG16+(LiborTenor*Volatility!AF16*ForwardLiborSimulation!AF16)/(1+LiborTenor*ForwardLiborSimulation!AF16)</f>
        <v>1.1073606467657262E-2</v>
      </c>
      <c r="AH17" s="24">
        <f ca="1">+AH16+(LiborTenor*Volatility!AG16*ForwardLiborSimulation!AG16)/(1+LiborTenor*ForwardLiborSimulation!AG16)</f>
        <v>1.1195491266330959E-2</v>
      </c>
      <c r="AI17" s="24">
        <f ca="1">+AI16+(LiborTenor*Volatility!AH16*ForwardLiborSimulation!AH16)/(1+LiborTenor*ForwardLiborSimulation!AH16)</f>
        <v>1.1335294397201689E-2</v>
      </c>
      <c r="AJ17" s="24">
        <f ca="1">+AJ16+(LiborTenor*Volatility!AI16*ForwardLiborSimulation!AI16)/(1+LiborTenor*ForwardLiborSimulation!AI16)</f>
        <v>1.180399657701298E-2</v>
      </c>
      <c r="AK17" s="24">
        <f ca="1">+AK16+(LiborTenor*Volatility!AJ16*ForwardLiborSimulation!AJ16)/(1+LiborTenor*ForwardLiborSimulation!AJ16)</f>
        <v>1.1910503965233001E-2</v>
      </c>
      <c r="AL17" s="24">
        <f ca="1">+AL16+(LiborTenor*Volatility!AK16*ForwardLiborSimulation!AK16)/(1+LiborTenor*ForwardLiborSimulation!AK16)</f>
        <v>1.2270833736856441E-2</v>
      </c>
      <c r="AM17" s="24">
        <f ca="1">+AM16+(LiborTenor*Volatility!AL16*ForwardLiborSimulation!AL16)/(1+LiborTenor*ForwardLiborSimulation!AL16)</f>
        <v>1.2440777326205242E-2</v>
      </c>
      <c r="AN17" s="24">
        <f ca="1">+AN16+(LiborTenor*Volatility!AM16*ForwardLiborSimulation!AM16)/(1+LiborTenor*ForwardLiborSimulation!AM16)</f>
        <v>1.2386987795499078E-2</v>
      </c>
      <c r="AO17" s="24">
        <f ca="1">+AO16+(LiborTenor*Volatility!AN16*ForwardLiborSimulation!AN16)/(1+LiborTenor*ForwardLiborSimulation!AN16)</f>
        <v>1.1787053480720008E-2</v>
      </c>
      <c r="AP17" s="24">
        <f ca="1">+AP16+(LiborTenor*Volatility!AO16*ForwardLiborSimulation!AO16)/(1+LiborTenor*ForwardLiborSimulation!AO16)</f>
        <v>1.1618163989549046E-2</v>
      </c>
      <c r="AQ17" s="24">
        <f ca="1">+AQ16+(LiborTenor*Volatility!AP16*ForwardLiborSimulation!AP16)/(1+LiborTenor*ForwardLiborSimulation!AP16)</f>
        <v>1.126287838683126E-2</v>
      </c>
      <c r="AR17" s="24">
        <f ca="1">+AR16+(LiborTenor*Volatility!AQ16*ForwardLiborSimulation!AQ16)/(1+LiborTenor*ForwardLiborSimulation!AQ16)</f>
        <v>1.1458811651321524E-2</v>
      </c>
      <c r="AS17" s="24">
        <f ca="1">+AS16+(LiborTenor*Volatility!AR16*ForwardLiborSimulation!AR16)/(1+LiborTenor*ForwardLiborSimulation!AR16)</f>
        <v>1.1725379224659228E-2</v>
      </c>
      <c r="AT17" s="24">
        <f ca="1">+AT16+(LiborTenor*Volatility!AS16*ForwardLiborSimulation!AS16)/(1+LiborTenor*ForwardLiborSimulation!AS16)</f>
        <v>1.1528016681327365E-2</v>
      </c>
      <c r="AU17" s="24">
        <f ca="1">+AU16+(LiborTenor*Volatility!AT16*ForwardLiborSimulation!AT16)/(1+LiborTenor*ForwardLiborSimulation!AT16)</f>
        <v>1.1444892648747321E-2</v>
      </c>
      <c r="AV17" s="24">
        <f ca="1">+AV16+(LiborTenor*Volatility!AU16*ForwardLiborSimulation!AU16)/(1+LiborTenor*ForwardLiborSimulation!AU16)</f>
        <v>1.1688659374134965E-2</v>
      </c>
      <c r="AW17" s="24">
        <f ca="1">+AW16+(LiborTenor*Volatility!AV16*ForwardLiborSimulation!AV16)/(1+LiborTenor*ForwardLiborSimulation!AV16)</f>
        <v>1.174033259789457E-2</v>
      </c>
      <c r="AX17" s="24">
        <f ca="1">+AX16+(LiborTenor*Volatility!AW16*ForwardLiborSimulation!AW16)/(1+LiborTenor*ForwardLiborSimulation!AW16)</f>
        <v>1.2027345375213277E-2</v>
      </c>
      <c r="AY17" s="24">
        <f ca="1">+AY16+(LiborTenor*Volatility!AX16*ForwardLiborSimulation!AX16)/(1+LiborTenor*ForwardLiborSimulation!AX16)</f>
        <v>1.1725297056568246E-2</v>
      </c>
      <c r="AZ17" s="24">
        <f ca="1">+AZ16+(LiborTenor*Volatility!AY16*ForwardLiborSimulation!AY16)/(1+LiborTenor*ForwardLiborSimulation!AY16)</f>
        <v>1.1942972479240673E-2</v>
      </c>
      <c r="BA17" s="24">
        <f ca="1">+BA16+(LiborTenor*Volatility!AZ16*ForwardLiborSimulation!AZ16)/(1+LiborTenor*ForwardLiborSimulation!AZ16)</f>
        <v>1.2127448436447034E-2</v>
      </c>
      <c r="BB17" s="24">
        <f ca="1">+BB16+(LiborTenor*Volatility!BA16*ForwardLiborSimulation!BA16)/(1+LiborTenor*ForwardLiborSimulation!BA16)</f>
        <v>1.2617898862773197E-2</v>
      </c>
      <c r="BC17" s="24">
        <f ca="1">+BC16+(LiborTenor*Volatility!BB16*ForwardLiborSimulation!BB16)/(1+LiborTenor*ForwardLiborSimulation!BB16)</f>
        <v>1.2741505733820912E-2</v>
      </c>
      <c r="BD17" s="24">
        <f ca="1">+BD16+(LiborTenor*Volatility!BC16*ForwardLiborSimulation!BC16)/(1+LiborTenor*ForwardLiborSimulation!BC16)</f>
        <v>1.2422417097800474E-2</v>
      </c>
      <c r="BE17" s="24">
        <f ca="1">+BE16+(LiborTenor*Volatility!BD16*ForwardLiborSimulation!BD16)/(1+LiborTenor*ForwardLiborSimulation!BD16)</f>
        <v>1.2400173395666358E-2</v>
      </c>
      <c r="BF17" s="24">
        <f ca="1">+BF16+(LiborTenor*Volatility!BE16*ForwardLiborSimulation!BE16)/(1+LiborTenor*ForwardLiborSimulation!BE16)</f>
        <v>1.2248805860566543E-2</v>
      </c>
      <c r="BG17" s="24">
        <f ca="1">+BG16+(LiborTenor*Volatility!BF16*ForwardLiborSimulation!BF16)/(1+LiborTenor*ForwardLiborSimulation!BF16)</f>
        <v>1.1753414670905699E-2</v>
      </c>
      <c r="BH17" s="24">
        <f ca="1">+BH16+(LiborTenor*Volatility!BG16*ForwardLiborSimulation!BG16)/(1+LiborTenor*ForwardLiborSimulation!BG16)</f>
        <v>1.2292155134064961E-2</v>
      </c>
      <c r="BI17" s="24">
        <f ca="1">+BI16+(LiborTenor*Volatility!BH16*ForwardLiborSimulation!BH16)/(1+LiborTenor*ForwardLiborSimulation!BH16)</f>
        <v>1.203499890072224E-2</v>
      </c>
      <c r="BJ17" s="24">
        <f ca="1">+BJ16+(LiborTenor*Volatility!BI16*ForwardLiborSimulation!BI16)/(1+LiborTenor*ForwardLiborSimulation!BI16)</f>
        <v>1.1353887587890707E-2</v>
      </c>
      <c r="BK17" s="24">
        <f ca="1">+BK16+(LiborTenor*Volatility!BJ16*ForwardLiborSimulation!BJ16)/(1+LiborTenor*ForwardLiborSimulation!BJ16)</f>
        <v>1.1513564690731035E-2</v>
      </c>
      <c r="BL17" s="24">
        <f ca="1">+BL16+(LiborTenor*Volatility!BK16*ForwardLiborSimulation!BK16)/(1+LiborTenor*ForwardLiborSimulation!BK16)</f>
        <v>1.1732513138339777E-2</v>
      </c>
      <c r="BM17" s="24">
        <f ca="1">+BM16+(LiborTenor*Volatility!BL16*ForwardLiborSimulation!BL16)/(1+LiborTenor*ForwardLiborSimulation!BL16)</f>
        <v>1.1962816219737158E-2</v>
      </c>
      <c r="BN17" s="24">
        <f ca="1">+BN16+(LiborTenor*Volatility!BM16*ForwardLiborSimulation!BM16)/(1+LiborTenor*ForwardLiborSimulation!BM16)</f>
        <v>1.1552134825678802E-2</v>
      </c>
      <c r="BO17" s="24">
        <f ca="1">+BO16+(LiborTenor*Volatility!BN16*ForwardLiborSimulation!BN16)/(1+LiborTenor*ForwardLiborSimulation!BN16)</f>
        <v>1.1677106115537905E-2</v>
      </c>
      <c r="BP17" s="24">
        <f ca="1">+BP16+(LiborTenor*Volatility!BO16*ForwardLiborSimulation!BO16)/(1+LiborTenor*ForwardLiborSimulation!BO16)</f>
        <v>1.2014854043746187E-2</v>
      </c>
      <c r="BQ17" s="24">
        <f ca="1">+BQ16+(LiborTenor*Volatility!BP16*ForwardLiborSimulation!BP16)/(1+LiborTenor*ForwardLiborSimulation!BP16)</f>
        <v>1.2071435614677051E-2</v>
      </c>
      <c r="BR17" s="24">
        <f ca="1">+BR16+(LiborTenor*Volatility!BQ16*ForwardLiborSimulation!BQ16)/(1+LiborTenor*ForwardLiborSimulation!BQ16)</f>
        <v>1.209558436911252E-2</v>
      </c>
      <c r="BS17" s="24">
        <f ca="1">+BS16+(LiborTenor*Volatility!BR16*ForwardLiborSimulation!BR16)/(1+LiborTenor*ForwardLiborSimulation!BR16)</f>
        <v>1.250064373867406E-2</v>
      </c>
      <c r="BT17" s="24">
        <f ca="1">+BT16+(LiborTenor*Volatility!BS16*ForwardLiborSimulation!BS16)/(1+LiborTenor*ForwardLiborSimulation!BS16)</f>
        <v>1.1981922920160926E-2</v>
      </c>
      <c r="BU17" s="24">
        <f ca="1">+BU16+(LiborTenor*Volatility!BT16*ForwardLiborSimulation!BT16)/(1+LiborTenor*ForwardLiborSimulation!BT16)</f>
        <v>1.1596893708165353E-2</v>
      </c>
      <c r="BV17" s="24">
        <f ca="1">+BV16+(LiborTenor*Volatility!BU16*ForwardLiborSimulation!BU16)/(1+LiborTenor*ForwardLiborSimulation!BU16)</f>
        <v>1.124739840066743E-2</v>
      </c>
      <c r="BW17" s="24">
        <f ca="1">+BW16+(LiborTenor*Volatility!BV16*ForwardLiborSimulation!BV16)/(1+LiborTenor*ForwardLiborSimulation!BV16)</f>
        <v>1.1738025529374993E-2</v>
      </c>
      <c r="BX17" s="24">
        <f ca="1">+BX16+(LiborTenor*Volatility!BW16*ForwardLiborSimulation!BW16)/(1+LiborTenor*ForwardLiborSimulation!BW16)</f>
        <v>1.1095158187316627E-2</v>
      </c>
      <c r="BY17" s="24">
        <f ca="1">+BY16+(LiborTenor*Volatility!BX16*ForwardLiborSimulation!BX16)/(1+LiborTenor*ForwardLiborSimulation!BX16)</f>
        <v>1.0901870094129643E-2</v>
      </c>
      <c r="BZ17" s="24">
        <f ca="1">+BZ16+(LiborTenor*Volatility!BY16*ForwardLiborSimulation!BY16)/(1+LiborTenor*ForwardLiborSimulation!BY16)</f>
        <v>1.0970705542477451E-2</v>
      </c>
      <c r="CA17" s="24">
        <f ca="1">+CA16+(LiborTenor*Volatility!BZ16*ForwardLiborSimulation!BZ16)/(1+LiborTenor*ForwardLiborSimulation!BZ16)</f>
        <v>1.1564096475219389E-2</v>
      </c>
      <c r="CB17" s="24">
        <f ca="1">+CB16+(LiborTenor*Volatility!CA16*ForwardLiborSimulation!CA16)/(1+LiborTenor*ForwardLiborSimulation!CA16)</f>
        <v>1.1256442136767389E-2</v>
      </c>
      <c r="CC17" s="24">
        <f ca="1">+CC16+(LiborTenor*Volatility!CB16*ForwardLiborSimulation!CB16)/(1+LiborTenor*ForwardLiborSimulation!CB16)</f>
        <v>1.1498819230759651E-2</v>
      </c>
      <c r="CD17" s="24">
        <f ca="1">+CD16+(LiborTenor*Volatility!CC16*ForwardLiborSimulation!CC16)/(1+LiborTenor*ForwardLiborSimulation!CC16)</f>
        <v>1.1449676444880319E-2</v>
      </c>
      <c r="CE17" s="24">
        <f ca="1">+CE16+(LiborTenor*Volatility!CD16*ForwardLiborSimulation!CD16)/(1+LiborTenor*ForwardLiborSimulation!CD16)</f>
        <v>1.1567064379096215E-2</v>
      </c>
      <c r="CF17" s="24">
        <f ca="1">+CF16+(LiborTenor*Volatility!CE16*ForwardLiborSimulation!CE16)/(1+LiborTenor*ForwardLiborSimulation!CE16)</f>
        <v>1.1178954523179246E-2</v>
      </c>
      <c r="CG17" s="24">
        <f ca="1">+CG16+(LiborTenor*Volatility!CF16*ForwardLiborSimulation!CF16)/(1+LiborTenor*ForwardLiborSimulation!CF16)</f>
        <v>1.1523744604914392E-2</v>
      </c>
      <c r="CH17" s="24">
        <f ca="1">+CH16+(LiborTenor*Volatility!CG16*ForwardLiborSimulation!CG16)/(1+LiborTenor*ForwardLiborSimulation!CG16)</f>
        <v>1.1651201372951489E-2</v>
      </c>
      <c r="CI17" s="24">
        <f ca="1">+CI16+(LiborTenor*Volatility!CH16*ForwardLiborSimulation!CH16)/(1+LiborTenor*ForwardLiborSimulation!CH16)</f>
        <v>1.1348957822003101E-2</v>
      </c>
      <c r="CJ17" s="24">
        <f ca="1">+CJ16+(LiborTenor*Volatility!CI16*ForwardLiborSimulation!CI16)/(1+LiborTenor*ForwardLiborSimulation!CI16)</f>
        <v>1.1291073396290058E-2</v>
      </c>
      <c r="CK17" s="24">
        <f ca="1">+CK16+(LiborTenor*Volatility!CJ16*ForwardLiborSimulation!CJ16)/(1+LiborTenor*ForwardLiborSimulation!CJ16)</f>
        <v>1.1086050837758059E-2</v>
      </c>
      <c r="CL17" s="24">
        <f ca="1">+CL16+(LiborTenor*Volatility!CK16*ForwardLiborSimulation!CK16)/(1+LiborTenor*ForwardLiborSimulation!CK16)</f>
        <v>1.098499940937968E-2</v>
      </c>
      <c r="CM17" s="24">
        <f ca="1">+CM16+(LiborTenor*Volatility!CL16*ForwardLiborSimulation!CL16)/(1+LiborTenor*ForwardLiborSimulation!CL16)</f>
        <v>1.1220454330013816E-2</v>
      </c>
      <c r="CN17" s="24">
        <f ca="1">+CN16+(LiborTenor*Volatility!CM16*ForwardLiborSimulation!CM16)/(1+LiborTenor*ForwardLiborSimulation!CM16)</f>
        <v>1.1089983318509822E-2</v>
      </c>
      <c r="CO17" s="24">
        <f ca="1">+CO16+(LiborTenor*Volatility!CN16*ForwardLiborSimulation!CN16)/(1+LiborTenor*ForwardLiborSimulation!CN16)</f>
        <v>1.0934561034381257E-2</v>
      </c>
      <c r="CP17" s="24">
        <f ca="1">+CP16+(LiborTenor*Volatility!CO16*ForwardLiborSimulation!CO16)/(1+LiborTenor*ForwardLiborSimulation!CO16)</f>
        <v>1.0472233176996302E-2</v>
      </c>
      <c r="CQ17" s="24"/>
      <c r="CR17" s="24"/>
      <c r="CS17" s="2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</row>
    <row r="18" spans="4:127" x14ac:dyDescent="0.2">
      <c r="D18" s="2">
        <f>+ForwardLiborSimulation!D18</f>
        <v>7.25</v>
      </c>
      <c r="E18" s="10"/>
      <c r="F18" s="12" t="str">
        <f t="shared" si="2"/>
        <v>L(t;7,7.25)</v>
      </c>
      <c r="G18" s="14"/>
      <c r="H18" s="24">
        <f>+H17+(LiborTenor*Volatility!G17*ForwardLiborSimulation!G17)/(1+LiborTenor*ForwardLiborSimulation!G17)</f>
        <v>1.1407407407407408E-2</v>
      </c>
      <c r="I18" s="24">
        <f ca="1">+I17+(LiborTenor*Volatility!H17*ForwardLiborSimulation!H17)/(1+LiborTenor*ForwardLiborSimulation!H17)</f>
        <v>1.1788381113004148E-2</v>
      </c>
      <c r="J18" s="24">
        <f ca="1">+J17+(LiborTenor*Volatility!I17*ForwardLiborSimulation!I17)/(1+LiborTenor*ForwardLiborSimulation!I17)</f>
        <v>1.1943599076978208E-2</v>
      </c>
      <c r="K18" s="24">
        <f ca="1">+K17+(LiborTenor*Volatility!J17*ForwardLiborSimulation!J17)/(1+LiborTenor*ForwardLiborSimulation!J17)</f>
        <v>1.1703431771956865E-2</v>
      </c>
      <c r="L18" s="24">
        <f ca="1">+L17+(LiborTenor*Volatility!K17*ForwardLiborSimulation!K17)/(1+LiborTenor*ForwardLiborSimulation!K17)</f>
        <v>1.178700949687566E-2</v>
      </c>
      <c r="M18" s="24">
        <f ca="1">+M17+(LiborTenor*Volatility!L17*ForwardLiborSimulation!L17)/(1+LiborTenor*ForwardLiborSimulation!L17)</f>
        <v>1.1517429139217127E-2</v>
      </c>
      <c r="N18" s="24">
        <f ca="1">+N17+(LiborTenor*Volatility!M17*ForwardLiborSimulation!M17)/(1+LiborTenor*ForwardLiborSimulation!M17)</f>
        <v>1.2086279321390527E-2</v>
      </c>
      <c r="O18" s="24">
        <f ca="1">+O17+(LiborTenor*Volatility!N17*ForwardLiborSimulation!N17)/(1+LiborTenor*ForwardLiborSimulation!N17)</f>
        <v>1.1999895373140593E-2</v>
      </c>
      <c r="P18" s="24">
        <f ca="1">+P17+(LiborTenor*Volatility!O17*ForwardLiborSimulation!O17)/(1+LiborTenor*ForwardLiborSimulation!O17)</f>
        <v>1.2329323571789574E-2</v>
      </c>
      <c r="Q18" s="24">
        <f ca="1">+Q17+(LiborTenor*Volatility!P17*ForwardLiborSimulation!P17)/(1+LiborTenor*ForwardLiborSimulation!P17)</f>
        <v>1.2077864978942849E-2</v>
      </c>
      <c r="R18" s="24">
        <f ca="1">+R17+(LiborTenor*Volatility!Q17*ForwardLiborSimulation!Q17)/(1+LiborTenor*ForwardLiborSimulation!Q17)</f>
        <v>1.2131050152508208E-2</v>
      </c>
      <c r="S18" s="24">
        <f ca="1">+S17+(LiborTenor*Volatility!R17*ForwardLiborSimulation!R17)/(1+LiborTenor*ForwardLiborSimulation!R17)</f>
        <v>1.2386499517588582E-2</v>
      </c>
      <c r="T18" s="24">
        <f ca="1">+T17+(LiborTenor*Volatility!S17*ForwardLiborSimulation!S17)/(1+LiborTenor*ForwardLiborSimulation!S17)</f>
        <v>1.2880891101930407E-2</v>
      </c>
      <c r="U18" s="24">
        <f ca="1">+U17+(LiborTenor*Volatility!T17*ForwardLiborSimulation!T17)/(1+LiborTenor*ForwardLiborSimulation!T17)</f>
        <v>1.2698513762274976E-2</v>
      </c>
      <c r="V18" s="24">
        <f ca="1">+V17+(LiborTenor*Volatility!U17*ForwardLiborSimulation!U17)/(1+LiborTenor*ForwardLiborSimulation!U17)</f>
        <v>1.2674679272358415E-2</v>
      </c>
      <c r="W18" s="24">
        <f ca="1">+W17+(LiborTenor*Volatility!V17*ForwardLiborSimulation!V17)/(1+LiborTenor*ForwardLiborSimulation!V17)</f>
        <v>1.2392840661792829E-2</v>
      </c>
      <c r="X18" s="24">
        <f ca="1">+X17+(LiborTenor*Volatility!W17*ForwardLiborSimulation!W17)/(1+LiborTenor*ForwardLiborSimulation!W17)</f>
        <v>1.1711506523832382E-2</v>
      </c>
      <c r="Y18" s="24">
        <f ca="1">+Y17+(LiborTenor*Volatility!X17*ForwardLiborSimulation!X17)/(1+LiborTenor*ForwardLiborSimulation!X17)</f>
        <v>1.1897727382776736E-2</v>
      </c>
      <c r="Z18" s="24">
        <f ca="1">+Z17+(LiborTenor*Volatility!Y17*ForwardLiborSimulation!Y17)/(1+LiborTenor*ForwardLiborSimulation!Y17)</f>
        <v>1.1746502190749184E-2</v>
      </c>
      <c r="AA18" s="24">
        <f ca="1">+AA17+(LiborTenor*Volatility!Z17*ForwardLiborSimulation!Z17)/(1+LiborTenor*ForwardLiborSimulation!Z17)</f>
        <v>1.1981980017244395E-2</v>
      </c>
      <c r="AB18" s="24">
        <f ca="1">+AB17+(LiborTenor*Volatility!AA17*ForwardLiborSimulation!AA17)/(1+LiborTenor*ForwardLiborSimulation!AA17)</f>
        <v>1.2171340689871092E-2</v>
      </c>
      <c r="AC18" s="24">
        <f ca="1">+AC17+(LiborTenor*Volatility!AB17*ForwardLiborSimulation!AB17)/(1+LiborTenor*ForwardLiborSimulation!AB17)</f>
        <v>1.214417013286808E-2</v>
      </c>
      <c r="AD18" s="24">
        <f ca="1">+AD17+(LiborTenor*Volatility!AC17*ForwardLiborSimulation!AC17)/(1+LiborTenor*ForwardLiborSimulation!AC17)</f>
        <v>1.1931648959370674E-2</v>
      </c>
      <c r="AE18" s="24">
        <f ca="1">+AE17+(LiborTenor*Volatility!AD17*ForwardLiborSimulation!AD17)/(1+LiborTenor*ForwardLiborSimulation!AD17)</f>
        <v>1.1839549412445045E-2</v>
      </c>
      <c r="AF18" s="24">
        <f ca="1">+AF17+(LiborTenor*Volatility!AE17*ForwardLiborSimulation!AE17)/(1+LiborTenor*ForwardLiborSimulation!AE17)</f>
        <v>1.235186194351476E-2</v>
      </c>
      <c r="AG18" s="24">
        <f ca="1">+AG17+(LiborTenor*Volatility!AF17*ForwardLiborSimulation!AF17)/(1+LiborTenor*ForwardLiborSimulation!AF17)</f>
        <v>1.2408393750182826E-2</v>
      </c>
      <c r="AH18" s="24">
        <f ca="1">+AH17+(LiborTenor*Volatility!AG17*ForwardLiborSimulation!AG17)/(1+LiborTenor*ForwardLiborSimulation!AG17)</f>
        <v>1.2547583490060228E-2</v>
      </c>
      <c r="AI18" s="24">
        <f ca="1">+AI17+(LiborTenor*Volatility!AH17*ForwardLiborSimulation!AH17)/(1+LiborTenor*ForwardLiborSimulation!AH17)</f>
        <v>1.2707279295040156E-2</v>
      </c>
      <c r="AJ18" s="24">
        <f ca="1">+AJ17+(LiborTenor*Volatility!AI17*ForwardLiborSimulation!AI17)/(1+LiborTenor*ForwardLiborSimulation!AI17)</f>
        <v>1.3242958025027894E-2</v>
      </c>
      <c r="AK18" s="24">
        <f ca="1">+AK17+(LiborTenor*Volatility!AJ17*ForwardLiborSimulation!AJ17)/(1+LiborTenor*ForwardLiborSimulation!AJ17)</f>
        <v>1.336472961095056E-2</v>
      </c>
      <c r="AL18" s="24">
        <f ca="1">+AL17+(LiborTenor*Volatility!AK17*ForwardLiborSimulation!AK17)/(1+LiborTenor*ForwardLiborSimulation!AK17)</f>
        <v>1.3776947022927043E-2</v>
      </c>
      <c r="AM18" s="24">
        <f ca="1">+AM17+(LiborTenor*Volatility!AL17*ForwardLiborSimulation!AL17)/(1+LiborTenor*ForwardLiborSimulation!AL17)</f>
        <v>1.3971438840657966E-2</v>
      </c>
      <c r="AN18" s="24">
        <f ca="1">+AN17+(LiborTenor*Volatility!AM17*ForwardLiborSimulation!AM17)/(1+LiborTenor*ForwardLiborSimulation!AM17)</f>
        <v>1.3909753711978171E-2</v>
      </c>
      <c r="AO18" s="24">
        <f ca="1">+AO17+(LiborTenor*Volatility!AN17*ForwardLiborSimulation!AN17)/(1+LiborTenor*ForwardLiborSimulation!AN17)</f>
        <v>1.3222651663006318E-2</v>
      </c>
      <c r="AP18" s="24">
        <f ca="1">+AP17+(LiborTenor*Volatility!AO17*ForwardLiborSimulation!AO17)/(1+LiborTenor*ForwardLiborSimulation!AO17)</f>
        <v>1.3029386546563585E-2</v>
      </c>
      <c r="AQ18" s="24">
        <f ca="1">+AQ17+(LiborTenor*Volatility!AP17*ForwardLiborSimulation!AP17)/(1+LiborTenor*ForwardLiborSimulation!AP17)</f>
        <v>1.2623032021413707E-2</v>
      </c>
      <c r="AR18" s="24">
        <f ca="1">+AR17+(LiborTenor*Volatility!AQ17*ForwardLiborSimulation!AQ17)/(1+LiborTenor*ForwardLiborSimulation!AQ17)</f>
        <v>1.2846868221580278E-2</v>
      </c>
      <c r="AS18" s="24">
        <f ca="1">+AS17+(LiborTenor*Volatility!AR17*ForwardLiborSimulation!AR17)/(1+LiborTenor*ForwardLiborSimulation!AR17)</f>
        <v>1.3151527125274783E-2</v>
      </c>
      <c r="AT18" s="24">
        <f ca="1">+AT17+(LiborTenor*Volatility!AS17*ForwardLiborSimulation!AS17)/(1+LiborTenor*ForwardLiborSimulation!AS17)</f>
        <v>1.2925728493273267E-2</v>
      </c>
      <c r="AU18" s="24">
        <f ca="1">+AU17+(LiborTenor*Volatility!AT17*ForwardLiborSimulation!AT17)/(1+LiborTenor*ForwardLiborSimulation!AT17)</f>
        <v>1.2830624025414503E-2</v>
      </c>
      <c r="AV18" s="24">
        <f ca="1">+AV17+(LiborTenor*Volatility!AU17*ForwardLiborSimulation!AU17)/(1+LiborTenor*ForwardLiborSimulation!AU17)</f>
        <v>1.3109203364535141E-2</v>
      </c>
      <c r="AW18" s="24">
        <f ca="1">+AW17+(LiborTenor*Volatility!AV17*ForwardLiborSimulation!AV17)/(1+LiborTenor*ForwardLiborSimulation!AV17)</f>
        <v>1.3168224753693971E-2</v>
      </c>
      <c r="AX18" s="24">
        <f ca="1">+AX17+(LiborTenor*Volatility!AW17*ForwardLiborSimulation!AW17)/(1+LiborTenor*ForwardLiborSimulation!AW17)</f>
        <v>1.3496405671755883E-2</v>
      </c>
      <c r="AY18" s="24">
        <f ca="1">+AY17+(LiborTenor*Volatility!AX17*ForwardLiborSimulation!AX17)/(1+LiborTenor*ForwardLiborSimulation!AX17)</f>
        <v>1.3150700945340897E-2</v>
      </c>
      <c r="AZ18" s="24">
        <f ca="1">+AZ17+(LiborTenor*Volatility!AY17*ForwardLiborSimulation!AY17)/(1+LiborTenor*ForwardLiborSimulation!AY17)</f>
        <v>1.3399568628522254E-2</v>
      </c>
      <c r="BA18" s="24">
        <f ca="1">+BA17+(LiborTenor*Volatility!AZ17*ForwardLiborSimulation!AZ17)/(1+LiborTenor*ForwardLiborSimulation!AZ17)</f>
        <v>1.3610545880604005E-2</v>
      </c>
      <c r="BB18" s="24">
        <f ca="1">+BB17+(LiborTenor*Volatility!BA17*ForwardLiborSimulation!BA17)/(1+LiborTenor*ForwardLiborSimulation!BA17)</f>
        <v>1.4171747995015324E-2</v>
      </c>
      <c r="BC18" s="24">
        <f ca="1">+BC17+(LiborTenor*Volatility!BB17*ForwardLiborSimulation!BB17)/(1+LiborTenor*ForwardLiborSimulation!BB17)</f>
        <v>1.4313238111559512E-2</v>
      </c>
      <c r="BD18" s="24">
        <f ca="1">+BD17+(LiborTenor*Volatility!BC17*ForwardLiborSimulation!BC17)/(1+LiborTenor*ForwardLiborSimulation!BC17)</f>
        <v>1.3947600298235606E-2</v>
      </c>
      <c r="BE18" s="24">
        <f ca="1">+BE17+(LiborTenor*Volatility!BD17*ForwardLiborSimulation!BD17)/(1+LiborTenor*ForwardLiborSimulation!BD17)</f>
        <v>1.392204995215795E-2</v>
      </c>
      <c r="BF18" s="24">
        <f ca="1">+BF17+(LiborTenor*Volatility!BE17*ForwardLiborSimulation!BE17)/(1+LiborTenor*ForwardLiborSimulation!BE17)</f>
        <v>1.3748664668857293E-2</v>
      </c>
      <c r="BG18" s="24">
        <f ca="1">+BG17+(LiborTenor*Volatility!BF17*ForwardLiborSimulation!BF17)/(1+LiborTenor*ForwardLiborSimulation!BF17)</f>
        <v>1.3181549236314035E-2</v>
      </c>
      <c r="BH18" s="24">
        <f ca="1">+BH17+(LiborTenor*Volatility!BG17*ForwardLiborSimulation!BG17)/(1+LiborTenor*ForwardLiborSimulation!BG17)</f>
        <v>1.3797555263262842E-2</v>
      </c>
      <c r="BI18" s="24">
        <f ca="1">+BI17+(LiborTenor*Volatility!BH17*ForwardLiborSimulation!BH17)/(1+LiborTenor*ForwardLiborSimulation!BH17)</f>
        <v>1.350312522961109E-2</v>
      </c>
      <c r="BJ18" s="24">
        <f ca="1">+BJ17+(LiborTenor*Volatility!BI17*ForwardLiborSimulation!BI17)/(1+LiborTenor*ForwardLiborSimulation!BI17)</f>
        <v>1.2723774792855342E-2</v>
      </c>
      <c r="BK18" s="24">
        <f ca="1">+BK17+(LiborTenor*Volatility!BJ17*ForwardLiborSimulation!BJ17)/(1+LiborTenor*ForwardLiborSimulation!BJ17)</f>
        <v>1.2906158507198763E-2</v>
      </c>
      <c r="BL18" s="24">
        <f ca="1">+BL17+(LiborTenor*Volatility!BK17*ForwardLiborSimulation!BK17)/(1+LiborTenor*ForwardLiborSimulation!BK17)</f>
        <v>1.315633668008828E-2</v>
      </c>
      <c r="BM18" s="24">
        <f ca="1">+BM17+(LiborTenor*Volatility!BL17*ForwardLiborSimulation!BL17)/(1+LiborTenor*ForwardLiborSimulation!BL17)</f>
        <v>1.341959210274731E-2</v>
      </c>
      <c r="BN18" s="24">
        <f ca="1">+BN17+(LiborTenor*Volatility!BM17*ForwardLiborSimulation!BM17)/(1+LiborTenor*ForwardLiborSimulation!BM17)</f>
        <v>1.2949747383686282E-2</v>
      </c>
      <c r="BO18" s="24">
        <f ca="1">+BO17+(LiborTenor*Volatility!BN17*ForwardLiborSimulation!BN17)/(1+LiborTenor*ForwardLiborSimulation!BN17)</f>
        <v>1.3092518158712702E-2</v>
      </c>
      <c r="BP18" s="24">
        <f ca="1">+BP17+(LiborTenor*Volatility!BO17*ForwardLiborSimulation!BO17)/(1+LiborTenor*ForwardLiborSimulation!BO17)</f>
        <v>1.3478571496770651E-2</v>
      </c>
      <c r="BQ18" s="24">
        <f ca="1">+BQ17+(LiborTenor*Volatility!BP17*ForwardLiborSimulation!BP17)/(1+LiborTenor*ForwardLiborSimulation!BP17)</f>
        <v>1.3543219882436138E-2</v>
      </c>
      <c r="BR18" s="24">
        <f ca="1">+BR17+(LiborTenor*Volatility!BQ17*ForwardLiborSimulation!BQ17)/(1+LiborTenor*ForwardLiborSimulation!BQ17)</f>
        <v>1.3570769652246663E-2</v>
      </c>
      <c r="BS18" s="24">
        <f ca="1">+BS17+(LiborTenor*Volatility!BR17*ForwardLiborSimulation!BR17)/(1+LiborTenor*ForwardLiborSimulation!BR17)</f>
        <v>1.4034101755210155E-2</v>
      </c>
      <c r="BT18" s="24">
        <f ca="1">+BT17+(LiborTenor*Volatility!BS17*ForwardLiborSimulation!BS17)/(1+LiborTenor*ForwardLiborSimulation!BS17)</f>
        <v>1.3440154522282271E-2</v>
      </c>
      <c r="BU18" s="24">
        <f ca="1">+BU17+(LiborTenor*Volatility!BT17*ForwardLiborSimulation!BT17)/(1+LiborTenor*ForwardLiborSimulation!BT17)</f>
        <v>1.2999684123132E-2</v>
      </c>
      <c r="BV18" s="24">
        <f ca="1">+BV17+(LiborTenor*Volatility!BU17*ForwardLiborSimulation!BU17)/(1+LiborTenor*ForwardLiborSimulation!BU17)</f>
        <v>1.2600147376196531E-2</v>
      </c>
      <c r="BW18" s="24">
        <f ca="1">+BW17+(LiborTenor*Volatility!BV17*ForwardLiborSimulation!BV17)/(1+LiborTenor*ForwardLiborSimulation!BV17)</f>
        <v>1.3160472692483263E-2</v>
      </c>
      <c r="BX18" s="24">
        <f ca="1">+BX17+(LiborTenor*Volatility!BW17*ForwardLiborSimulation!BW17)/(1+LiborTenor*ForwardLiborSimulation!BW17)</f>
        <v>1.2425454132675956E-2</v>
      </c>
      <c r="BY18" s="24">
        <f ca="1">+BY17+(LiborTenor*Volatility!BX17*ForwardLiborSimulation!BX17)/(1+LiborTenor*ForwardLiborSimulation!BX17)</f>
        <v>1.2204693276049937E-2</v>
      </c>
      <c r="BZ18" s="24">
        <f ca="1">+BZ17+(LiborTenor*Volatility!BY17*ForwardLiborSimulation!BY17)/(1+LiborTenor*ForwardLiborSimulation!BY17)</f>
        <v>1.2283197668652285E-2</v>
      </c>
      <c r="CA18" s="24">
        <f ca="1">+CA17+(LiborTenor*Volatility!BZ17*ForwardLiborSimulation!BZ17)/(1+LiborTenor*ForwardLiborSimulation!BZ17)</f>
        <v>1.2960484658025268E-2</v>
      </c>
      <c r="CB18" s="24">
        <f ca="1">+CB17+(LiborTenor*Volatility!CA17*ForwardLiborSimulation!CA17)/(1+LiborTenor*ForwardLiborSimulation!CA17)</f>
        <v>1.260884399879037E-2</v>
      </c>
      <c r="CC18" s="24">
        <f ca="1">+CC17+(LiborTenor*Volatility!CB17*ForwardLiborSimulation!CB17)/(1+LiborTenor*ForwardLiborSimulation!CB17)</f>
        <v>1.2885587087213306E-2</v>
      </c>
      <c r="CD18" s="24">
        <f ca="1">+CD17+(LiborTenor*Volatility!CC17*ForwardLiborSimulation!CC17)/(1+LiborTenor*ForwardLiborSimulation!CC17)</f>
        <v>1.2829368825654688E-2</v>
      </c>
      <c r="CE18" s="24">
        <f ca="1">+CE17+(LiborTenor*Volatility!CD17*ForwardLiborSimulation!CD17)/(1+LiborTenor*ForwardLiborSimulation!CD17)</f>
        <v>1.2963410774644833E-2</v>
      </c>
      <c r="CF18" s="24">
        <f ca="1">+CF17+(LiborTenor*Volatility!CE17*ForwardLiborSimulation!CE17)/(1+LiborTenor*ForwardLiborSimulation!CE17)</f>
        <v>1.2519843892809334E-2</v>
      </c>
      <c r="CG18" s="24">
        <f ca="1">+CG17+(LiborTenor*Volatility!CF17*ForwardLiborSimulation!CF17)/(1+LiborTenor*ForwardLiborSimulation!CF17)</f>
        <v>1.2913473674504539E-2</v>
      </c>
      <c r="CH18" s="24">
        <f ca="1">+CH17+(LiborTenor*Volatility!CG17*ForwardLiborSimulation!CG17)/(1+LiborTenor*ForwardLiborSimulation!CG17)</f>
        <v>1.3059031305991708E-2</v>
      </c>
      <c r="CI18" s="24">
        <f ca="1">+CI17+(LiborTenor*Volatility!CH17*ForwardLiborSimulation!CH17)/(1+LiborTenor*ForwardLiborSimulation!CH17)</f>
        <v>1.2713546659092656E-2</v>
      </c>
      <c r="CJ18" s="24">
        <f ca="1">+CJ17+(LiborTenor*Volatility!CI17*ForwardLiborSimulation!CI17)/(1+LiborTenor*ForwardLiborSimulation!CI17)</f>
        <v>1.2647365526763349E-2</v>
      </c>
      <c r="CK18" s="24">
        <f ca="1">+CK17+(LiborTenor*Volatility!CJ17*ForwardLiborSimulation!CJ17)/(1+LiborTenor*ForwardLiborSimulation!CJ17)</f>
        <v>1.2413153932180813E-2</v>
      </c>
      <c r="CL18" s="24">
        <f ca="1">+CL17+(LiborTenor*Volatility!CK17*ForwardLiborSimulation!CK17)/(1+LiborTenor*ForwardLiborSimulation!CK17)</f>
        <v>1.2297730903387911E-2</v>
      </c>
      <c r="CM18" s="24">
        <f ca="1">+CM17+(LiborTenor*Volatility!CL17*ForwardLiborSimulation!CL17)/(1+LiborTenor*ForwardLiborSimulation!CL17)</f>
        <v>1.2566404989767946E-2</v>
      </c>
      <c r="CN18" s="24"/>
      <c r="CO18" s="24"/>
      <c r="CP18" s="2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</row>
    <row r="19" spans="4:127" x14ac:dyDescent="0.2">
      <c r="D19" s="2">
        <f>+ForwardLiborSimulation!D19</f>
        <v>7</v>
      </c>
      <c r="E19" s="10"/>
      <c r="F19" s="12" t="str">
        <f t="shared" si="2"/>
        <v>L(t;6.75,7)</v>
      </c>
      <c r="G19" s="14"/>
      <c r="H19" s="24">
        <f>+H18+(LiborTenor*Volatility!G18*ForwardLiborSimulation!G18)/(1+LiborTenor*ForwardLiborSimulation!G18)</f>
        <v>1.2666666666666666E-2</v>
      </c>
      <c r="I19" s="24">
        <f ca="1">+I18+(LiborTenor*Volatility!H18*ForwardLiborSimulation!H18)/(1+LiborTenor*ForwardLiborSimulation!H18)</f>
        <v>1.3092309137334394E-2</v>
      </c>
      <c r="J19" s="24">
        <f ca="1">+J18+(LiborTenor*Volatility!I18*ForwardLiborSimulation!I18)/(1+LiborTenor*ForwardLiborSimulation!I18)</f>
        <v>1.3262307185769994E-2</v>
      </c>
      <c r="K19" s="24">
        <f ca="1">+K18+(LiborTenor*Volatility!J18*ForwardLiborSimulation!J18)/(1+LiborTenor*ForwardLiborSimulation!J18)</f>
        <v>1.2990396994715244E-2</v>
      </c>
      <c r="L19" s="24">
        <f ca="1">+L18+(LiborTenor*Volatility!K18*ForwardLiborSimulation!K18)/(1+LiborTenor*ForwardLiborSimulation!K18)</f>
        <v>1.3084888469902401E-2</v>
      </c>
      <c r="M19" s="24">
        <f ca="1">+M18+(LiborTenor*Volatility!L18*ForwardLiborSimulation!L18)/(1+LiborTenor*ForwardLiborSimulation!L18)</f>
        <v>1.2779777789047261E-2</v>
      </c>
      <c r="N19" s="24">
        <f ca="1">+N18+(LiborTenor*Volatility!M18*ForwardLiborSimulation!M18)/(1+LiborTenor*ForwardLiborSimulation!M18)</f>
        <v>1.342306263208486E-2</v>
      </c>
      <c r="O19" s="24">
        <f ca="1">+O18+(LiborTenor*Volatility!N18*ForwardLiborSimulation!N18)/(1+LiborTenor*ForwardLiborSimulation!N18)</f>
        <v>1.3325197089891456E-2</v>
      </c>
      <c r="P19" s="24">
        <f ca="1">+P18+(LiborTenor*Volatility!O18*ForwardLiborSimulation!O18)/(1+LiborTenor*ForwardLiborSimulation!O18)</f>
        <v>1.369800659105827E-2</v>
      </c>
      <c r="Q19" s="24">
        <f ca="1">+Q18+(LiborTenor*Volatility!P18*ForwardLiborSimulation!P18)/(1+LiborTenor*ForwardLiborSimulation!P18)</f>
        <v>1.3413144420509988E-2</v>
      </c>
      <c r="R19" s="24">
        <f ca="1">+R18+(LiborTenor*Volatility!Q18*ForwardLiborSimulation!Q18)/(1+LiborTenor*ForwardLiborSimulation!Q18)</f>
        <v>1.3473280603826458E-2</v>
      </c>
      <c r="S19" s="24">
        <f ca="1">+S18+(LiborTenor*Volatility!R18*ForwardLiborSimulation!R18)/(1+LiborTenor*ForwardLiborSimulation!R18)</f>
        <v>1.376240918779187E-2</v>
      </c>
      <c r="T19" s="24">
        <f ca="1">+T18+(LiborTenor*Volatility!S18*ForwardLiborSimulation!S18)/(1+LiborTenor*ForwardLiborSimulation!S18)</f>
        <v>1.432228247353152E-2</v>
      </c>
      <c r="U19" s="24">
        <f ca="1">+U18+(LiborTenor*Volatility!T18*ForwardLiborSimulation!T18)/(1+LiborTenor*ForwardLiborSimulation!T18)</f>
        <v>1.4115471202217169E-2</v>
      </c>
      <c r="V19" s="24">
        <f ca="1">+V18+(LiborTenor*Volatility!U18*ForwardLiborSimulation!U18)/(1+LiborTenor*ForwardLiborSimulation!U18)</f>
        <v>1.4088383329827345E-2</v>
      </c>
      <c r="W19" s="24">
        <f ca="1">+W18+(LiborTenor*Volatility!V18*ForwardLiborSimulation!V18)/(1+LiborTenor*ForwardLiborSimulation!V18)</f>
        <v>1.3768945544397003E-2</v>
      </c>
      <c r="X19" s="24">
        <f ca="1">+X18+(LiborTenor*Volatility!W18*ForwardLiborSimulation!W18)/(1+LiborTenor*ForwardLiborSimulation!W18)</f>
        <v>1.299719999975898E-2</v>
      </c>
      <c r="Y19" s="24">
        <f ca="1">+Y18+(LiborTenor*Volatility!X18*ForwardLiborSimulation!X18)/(1+LiborTenor*ForwardLiborSimulation!X18)</f>
        <v>1.3207780618544662E-2</v>
      </c>
      <c r="Z19" s="24">
        <f ca="1">+Z18+(LiborTenor*Volatility!Y18*ForwardLiborSimulation!Y18)/(1+LiborTenor*ForwardLiborSimulation!Y18)</f>
        <v>1.3036594305609253E-2</v>
      </c>
      <c r="AA19" s="24">
        <f ca="1">+AA18+(LiborTenor*Volatility!Z18*ForwardLiborSimulation!Z18)/(1+LiborTenor*ForwardLiborSimulation!Z18)</f>
        <v>1.3302904428719719E-2</v>
      </c>
      <c r="AB19" s="24">
        <f ca="1">+AB18+(LiborTenor*Volatility!AA18*ForwardLiborSimulation!AA18)/(1+LiborTenor*ForwardLiborSimulation!AA18)</f>
        <v>1.3517130237396056E-2</v>
      </c>
      <c r="AC19" s="24">
        <f ca="1">+AC18+(LiborTenor*Volatility!AB18*ForwardLiborSimulation!AB18)/(1+LiborTenor*ForwardLiborSimulation!AB18)</f>
        <v>1.3486299617120695E-2</v>
      </c>
      <c r="AD19" s="24">
        <f ca="1">+AD18+(LiborTenor*Volatility!AC18*ForwardLiborSimulation!AC18)/(1+LiborTenor*ForwardLiborSimulation!AC18)</f>
        <v>1.3245655187818927E-2</v>
      </c>
      <c r="AE19" s="24">
        <f ca="1">+AE18+(LiborTenor*Volatility!AD18*ForwardLiborSimulation!AD18)/(1+LiborTenor*ForwardLiborSimulation!AD18)</f>
        <v>1.3141369911732042E-2</v>
      </c>
      <c r="AF19" s="24">
        <f ca="1">+AF18+(LiborTenor*Volatility!AE18*ForwardLiborSimulation!AE18)/(1+LiborTenor*ForwardLiborSimulation!AE18)</f>
        <v>1.3720908025128643E-2</v>
      </c>
      <c r="AG19" s="24">
        <f ca="1">+AG18+(LiborTenor*Volatility!AF18*ForwardLiborSimulation!AF18)/(1+LiborTenor*ForwardLiborSimulation!AF18)</f>
        <v>1.3784846729764183E-2</v>
      </c>
      <c r="AH19" s="24">
        <f ca="1">+AH18+(LiborTenor*Volatility!AG18*ForwardLiborSimulation!AG18)/(1+LiborTenor*ForwardLiborSimulation!AG18)</f>
        <v>1.3942395474000854E-2</v>
      </c>
      <c r="AI19" s="24">
        <f ca="1">+AI18+(LiborTenor*Volatility!AH18*ForwardLiborSimulation!AH18)/(1+LiborTenor*ForwardLiborSimulation!AH18)</f>
        <v>1.4123205229447038E-2</v>
      </c>
      <c r="AJ19" s="24">
        <f ca="1">+AJ18+(LiborTenor*Volatility!AI18*ForwardLiborSimulation!AI18)/(1+LiborTenor*ForwardLiborSimulation!AI18)</f>
        <v>1.4730038379827741E-2</v>
      </c>
      <c r="AK19" s="24">
        <f ca="1">+AK18+(LiborTenor*Volatility!AJ18*ForwardLiborSimulation!AJ18)/(1+LiborTenor*ForwardLiborSimulation!AJ18)</f>
        <v>1.4868033942356376E-2</v>
      </c>
      <c r="AL19" s="24">
        <f ca="1">+AL18+(LiborTenor*Volatility!AK18*ForwardLiborSimulation!AK18)/(1+LiborTenor*ForwardLiborSimulation!AK18)</f>
        <v>1.5335460588559632E-2</v>
      </c>
      <c r="AM19" s="24">
        <f ca="1">+AM18+(LiborTenor*Volatility!AL18*ForwardLiborSimulation!AL18)/(1+LiborTenor*ForwardLiborSimulation!AL18)</f>
        <v>1.5556087024279351E-2</v>
      </c>
      <c r="AN19" s="24">
        <f ca="1">+AN18+(LiborTenor*Volatility!AM18*ForwardLiborSimulation!AM18)/(1+LiborTenor*ForwardLiborSimulation!AM18)</f>
        <v>1.5485964996379524E-2</v>
      </c>
      <c r="AO19" s="24">
        <f ca="1">+AO18+(LiborTenor*Volatility!AN18*ForwardLiborSimulation!AN18)/(1+LiborTenor*ForwardLiborSimulation!AN18)</f>
        <v>1.4705939895312209E-2</v>
      </c>
      <c r="AP19" s="24">
        <f ca="1">+AP18+(LiborTenor*Volatility!AO18*ForwardLiborSimulation!AO18)/(1+LiborTenor*ForwardLiborSimulation!AO18)</f>
        <v>1.4486724189043062E-2</v>
      </c>
      <c r="AQ19" s="24">
        <f ca="1">+AQ18+(LiborTenor*Volatility!AP18*ForwardLiborSimulation!AP18)/(1+LiborTenor*ForwardLiborSimulation!AP18)</f>
        <v>1.4026049194749764E-2</v>
      </c>
      <c r="AR19" s="24">
        <f ca="1">+AR18+(LiborTenor*Volatility!AQ18*ForwardLiborSimulation!AQ18)/(1+LiborTenor*ForwardLiborSimulation!AQ18)</f>
        <v>1.4279505296122735E-2</v>
      </c>
      <c r="AS19" s="24">
        <f ca="1">+AS18+(LiborTenor*Volatility!AR18*ForwardLiborSimulation!AR18)/(1+LiborTenor*ForwardLiborSimulation!AR18)</f>
        <v>1.4624627877994043E-2</v>
      </c>
      <c r="AT19" s="24">
        <f ca="1">+AT18+(LiborTenor*Volatility!AS18*ForwardLiborSimulation!AS18)/(1+LiborTenor*ForwardLiborSimulation!AS18)</f>
        <v>1.436856762619365E-2</v>
      </c>
      <c r="AU19" s="24">
        <f ca="1">+AU18+(LiborTenor*Volatility!AT18*ForwardLiborSimulation!AT18)/(1+LiborTenor*ForwardLiborSimulation!AT18)</f>
        <v>1.4260711731338931E-2</v>
      </c>
      <c r="AV19" s="24">
        <f ca="1">+AV18+(LiborTenor*Volatility!AU18*ForwardLiborSimulation!AU18)/(1+LiborTenor*ForwardLiborSimulation!AU18)</f>
        <v>1.4576266656450693E-2</v>
      </c>
      <c r="AW19" s="24">
        <f ca="1">+AW18+(LiborTenor*Volatility!AV18*ForwardLiborSimulation!AV18)/(1+LiborTenor*ForwardLiborSimulation!AV18)</f>
        <v>1.4643084102578266E-2</v>
      </c>
      <c r="AX19" s="24">
        <f ca="1">+AX18+(LiborTenor*Volatility!AW18*ForwardLiborSimulation!AW18)/(1+LiborTenor*ForwardLiborSimulation!AW18)</f>
        <v>1.5015029811688388E-2</v>
      </c>
      <c r="AY19" s="24">
        <f ca="1">+AY18+(LiborTenor*Volatility!AX18*ForwardLiborSimulation!AX18)/(1+LiborTenor*ForwardLiborSimulation!AX18)</f>
        <v>1.4622838233244111E-2</v>
      </c>
      <c r="AZ19" s="24">
        <f ca="1">+AZ18+(LiborTenor*Volatility!AY18*ForwardLiborSimulation!AY18)/(1+LiborTenor*ForwardLiborSimulation!AY18)</f>
        <v>1.4904858048426948E-2</v>
      </c>
      <c r="BA19" s="24">
        <f ca="1">+BA18+(LiborTenor*Volatility!AZ18*ForwardLiborSimulation!AZ18)/(1+LiborTenor*ForwardLiborSimulation!AZ18)</f>
        <v>1.5144015540450289E-2</v>
      </c>
      <c r="BB19" s="24">
        <f ca="1">+BB18+(LiborTenor*Volatility!BA18*ForwardLiborSimulation!BA18)/(1+LiborTenor*ForwardLiborSimulation!BA18)</f>
        <v>1.5780519423798479E-2</v>
      </c>
      <c r="BC19" s="24">
        <f ca="1">+BC18+(LiborTenor*Volatility!BB18*ForwardLiborSimulation!BB18)/(1+LiborTenor*ForwardLiborSimulation!BB18)</f>
        <v>1.5941051771710055E-2</v>
      </c>
      <c r="BD19" s="24">
        <f ca="1">+BD18+(LiborTenor*Volatility!BC18*ForwardLiborSimulation!BC18)/(1+LiborTenor*ForwardLiborSimulation!BC18)</f>
        <v>1.5525753746707848E-2</v>
      </c>
      <c r="BE19" s="24">
        <f ca="1">+BE18+(LiborTenor*Volatility!BD18*ForwardLiborSimulation!BD18)/(1+LiborTenor*ForwardLiborSimulation!BD18)</f>
        <v>1.5496660001661958E-2</v>
      </c>
      <c r="BF19" s="24">
        <f ca="1">+BF18+(LiborTenor*Volatility!BE18*ForwardLiborSimulation!BE18)/(1+LiborTenor*ForwardLiborSimulation!BE18)</f>
        <v>1.5299798475737982E-2</v>
      </c>
      <c r="BG19" s="24">
        <f ca="1">+BG18+(LiborTenor*Volatility!BF18*ForwardLiborSimulation!BF18)/(1+LiborTenor*ForwardLiborSimulation!BF18)</f>
        <v>1.4656286780313575E-2</v>
      </c>
      <c r="BH19" s="24">
        <f ca="1">+BH18+(LiborTenor*Volatility!BG18*ForwardLiborSimulation!BG18)/(1+LiborTenor*ForwardLiborSimulation!BG18)</f>
        <v>1.5354426216173131E-2</v>
      </c>
      <c r="BI19" s="24">
        <f ca="1">+BI18+(LiborTenor*Volatility!BH18*ForwardLiborSimulation!BH18)/(1+LiborTenor*ForwardLiborSimulation!BH18)</f>
        <v>1.5020285050276156E-2</v>
      </c>
      <c r="BJ19" s="24">
        <f ca="1">+BJ18+(LiborTenor*Volatility!BI18*ForwardLiborSimulation!BI18)/(1+LiborTenor*ForwardLiborSimulation!BI18)</f>
        <v>1.4136382007930539E-2</v>
      </c>
      <c r="BK19" s="24">
        <f ca="1">+BK18+(LiborTenor*Volatility!BJ18*ForwardLiborSimulation!BJ18)/(1+LiborTenor*ForwardLiborSimulation!BJ18)</f>
        <v>1.4342858743516429E-2</v>
      </c>
      <c r="BL19" s="24">
        <f ca="1">+BL18+(LiborTenor*Volatility!BK18*ForwardLiborSimulation!BK18)/(1+LiborTenor*ForwardLiborSimulation!BK18)</f>
        <v>1.4626194443363119E-2</v>
      </c>
      <c r="BM19" s="24">
        <f ca="1">+BM18+(LiborTenor*Volatility!BL18*ForwardLiborSimulation!BL18)/(1+LiborTenor*ForwardLiborSimulation!BL18)</f>
        <v>1.492445850827283E-2</v>
      </c>
      <c r="BN19" s="24">
        <f ca="1">+BN18+(LiborTenor*Volatility!BM18*ForwardLiborSimulation!BM18)/(1+LiborTenor*ForwardLiborSimulation!BM18)</f>
        <v>1.43916650256956E-2</v>
      </c>
      <c r="BO19" s="24">
        <f ca="1">+BO18+(LiborTenor*Volatility!BN18*ForwardLiborSimulation!BN18)/(1+LiborTenor*ForwardLiborSimulation!BN18)</f>
        <v>1.4553327158120858E-2</v>
      </c>
      <c r="BP19" s="24">
        <f ca="1">+BP18+(LiborTenor*Volatility!BO18*ForwardLiborSimulation!BO18)/(1+LiborTenor*ForwardLiborSimulation!BO18)</f>
        <v>1.4990695925594273E-2</v>
      </c>
      <c r="BQ19" s="24">
        <f ca="1">+BQ18+(LiborTenor*Volatility!BP18*ForwardLiborSimulation!BP18)/(1+LiborTenor*ForwardLiborSimulation!BP18)</f>
        <v>1.5063906102358735E-2</v>
      </c>
      <c r="BR19" s="24">
        <f ca="1">+BR18+(LiborTenor*Volatility!BQ18*ForwardLiborSimulation!BQ18)/(1+LiborTenor*ForwardLiborSimulation!BQ18)</f>
        <v>1.5095054968222492E-2</v>
      </c>
      <c r="BS19" s="24">
        <f ca="1">+BS18+(LiborTenor*Volatility!BR18*ForwardLiborSimulation!BR18)/(1+LiborTenor*ForwardLiborSimulation!BR18)</f>
        <v>1.562036425328811E-2</v>
      </c>
      <c r="BT19" s="24">
        <f ca="1">+BT18+(LiborTenor*Volatility!BS18*ForwardLiborSimulation!BS18)/(1+LiborTenor*ForwardLiborSimulation!BS18)</f>
        <v>1.4946271598353286E-2</v>
      </c>
      <c r="BU19" s="24">
        <f ca="1">+BU18+(LiborTenor*Volatility!BT18*ForwardLiborSimulation!BT18)/(1+LiborTenor*ForwardLiborSimulation!BT18)</f>
        <v>1.4446821358548955E-2</v>
      </c>
      <c r="BV19" s="24">
        <f ca="1">+BV18+(LiborTenor*Volatility!BU18*ForwardLiborSimulation!BU18)/(1+LiborTenor*ForwardLiborSimulation!BU18)</f>
        <v>1.3994111006789805E-2</v>
      </c>
      <c r="BW19" s="24">
        <f ca="1">+BW18+(LiborTenor*Volatility!BV18*ForwardLiborSimulation!BV18)/(1+LiborTenor*ForwardLiborSimulation!BV18)</f>
        <v>1.4628372925089129E-2</v>
      </c>
      <c r="BX19" s="24">
        <f ca="1">+BX18+(LiborTenor*Volatility!BW18*ForwardLiborSimulation!BW18)/(1+LiborTenor*ForwardLiborSimulation!BW18)</f>
        <v>1.3795416194072117E-2</v>
      </c>
      <c r="BY19" s="24">
        <f ca="1">+BY18+(LiborTenor*Volatility!BX18*ForwardLiborSimulation!BX18)/(1+LiborTenor*ForwardLiborSimulation!BX18)</f>
        <v>1.3545507258508954E-2</v>
      </c>
      <c r="BZ19" s="24">
        <f ca="1">+BZ18+(LiborTenor*Volatility!BY18*ForwardLiborSimulation!BY18)/(1+LiborTenor*ForwardLiborSimulation!BY18)</f>
        <v>1.3634243216865485E-2</v>
      </c>
      <c r="CA19" s="24">
        <f ca="1">+CA18+(LiborTenor*Volatility!BZ18*ForwardLiborSimulation!BZ18)/(1+LiborTenor*ForwardLiborSimulation!BZ18)</f>
        <v>1.4400438838305371E-2</v>
      </c>
      <c r="CB19" s="24">
        <f ca="1">+CB18+(LiborTenor*Volatility!CA18*ForwardLiborSimulation!CA18)/(1+LiborTenor*ForwardLiborSimulation!CA18)</f>
        <v>1.4002075346866866E-2</v>
      </c>
      <c r="CC19" s="24">
        <f ca="1">+CC18+(LiborTenor*Volatility!CB18*ForwardLiborSimulation!CB18)/(1+LiborTenor*ForwardLiborSimulation!CB18)</f>
        <v>1.4315256827366597E-2</v>
      </c>
      <c r="CD19" s="24">
        <f ca="1">+CD18+(LiborTenor*Volatility!CC18*ForwardLiborSimulation!CC18)/(1+LiborTenor*ForwardLiborSimulation!CC18)</f>
        <v>1.4251510694384585E-2</v>
      </c>
      <c r="CE19" s="24">
        <f ca="1">+CE18+(LiborTenor*Volatility!CD18*ForwardLiborSimulation!CD18)/(1+LiborTenor*ForwardLiborSimulation!CD18)</f>
        <v>1.4403211840989912E-2</v>
      </c>
      <c r="CF19" s="24">
        <f ca="1">+CF18+(LiborTenor*Volatility!CE18*ForwardLiborSimulation!CE18)/(1+LiborTenor*ForwardLiborSimulation!CE18)</f>
        <v>1.3900746508388063E-2</v>
      </c>
      <c r="CG19" s="24">
        <f ca="1">+CG18+(LiborTenor*Volatility!CF18*ForwardLiborSimulation!CF18)/(1+LiborTenor*ForwardLiborSimulation!CF18)</f>
        <v>1.4346150711641376E-2</v>
      </c>
      <c r="CH19" s="24">
        <f ca="1">+CH18+(LiborTenor*Volatility!CG18*ForwardLiborSimulation!CG18)/(1+LiborTenor*ForwardLiborSimulation!CG18)</f>
        <v>1.4510905425568477E-2</v>
      </c>
      <c r="CI19" s="24">
        <f ca="1">+CI18+(LiborTenor*Volatility!CH18*ForwardLiborSimulation!CH18)/(1+LiborTenor*ForwardLiborSimulation!CH18)</f>
        <v>1.411948519745943E-2</v>
      </c>
      <c r="CJ19" s="24">
        <f ca="1">+CJ18+(LiborTenor*Volatility!CI18*ForwardLiborSimulation!CI18)/(1+LiborTenor*ForwardLiborSimulation!CI18)</f>
        <v>1.4044485690419418E-2</v>
      </c>
      <c r="CK19" s="24"/>
      <c r="CL19" s="24"/>
      <c r="CM19" s="2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</row>
    <row r="20" spans="4:127" x14ac:dyDescent="0.2">
      <c r="D20" s="2">
        <f>+ForwardLiborSimulation!D20</f>
        <v>6.75</v>
      </c>
      <c r="E20" s="10"/>
      <c r="F20" s="12" t="str">
        <f t="shared" si="2"/>
        <v>L(t;6.5,6.75)</v>
      </c>
      <c r="G20" s="14"/>
      <c r="H20" s="24">
        <f>+H19+(LiborTenor*Volatility!G19*ForwardLiborSimulation!G19)/(1+LiborTenor*ForwardLiborSimulation!G19)</f>
        <v>1.3962962962962963E-2</v>
      </c>
      <c r="I20" s="24">
        <f ca="1">+I19+(LiborTenor*Volatility!H19*ForwardLiborSimulation!H19)/(1+LiborTenor*ForwardLiborSimulation!H19)</f>
        <v>1.4435179464518295E-2</v>
      </c>
      <c r="J20" s="24">
        <f ca="1">+J19+(LiborTenor*Volatility!I19*ForwardLiborSimulation!I19)/(1+LiborTenor*ForwardLiborSimulation!I19)</f>
        <v>1.4620077583181269E-2</v>
      </c>
      <c r="K20" s="24">
        <f ca="1">+K19+(LiborTenor*Volatility!J19*ForwardLiborSimulation!J19)/(1+LiborTenor*ForwardLiborSimulation!J19)</f>
        <v>1.4314525691240504E-2</v>
      </c>
      <c r="L20" s="24">
        <f ca="1">+L19+(LiborTenor*Volatility!K19*ForwardLiborSimulation!K19)/(1+LiborTenor*ForwardLiborSimulation!K19)</f>
        <v>1.4420554938497518E-2</v>
      </c>
      <c r="M20" s="24">
        <f ca="1">+M19+(LiborTenor*Volatility!L19*ForwardLiborSimulation!L19)/(1+LiborTenor*ForwardLiborSimulation!L19)</f>
        <v>1.4077809192587783E-2</v>
      </c>
      <c r="N20" s="24">
        <f ca="1">+N19+(LiborTenor*Volatility!M19*ForwardLiborSimulation!M19)/(1+LiborTenor*ForwardLiborSimulation!M19)</f>
        <v>1.4799825105132728E-2</v>
      </c>
      <c r="O20" s="24">
        <f ca="1">+O19+(LiborTenor*Volatility!N19*ForwardLiborSimulation!N19)/(1+LiborTenor*ForwardLiborSimulation!N19)</f>
        <v>1.4689777403628847E-2</v>
      </c>
      <c r="P20" s="24">
        <f ca="1">+P19+(LiborTenor*Volatility!O19*ForwardLiborSimulation!O19)/(1+LiborTenor*ForwardLiborSimulation!O19)</f>
        <v>1.5108525453369244E-2</v>
      </c>
      <c r="Q20" s="24">
        <f ca="1">+Q19+(LiborTenor*Volatility!P19*ForwardLiborSimulation!P19)/(1+LiborTenor*ForwardLiborSimulation!P19)</f>
        <v>1.4788229096136524E-2</v>
      </c>
      <c r="R20" s="24">
        <f ca="1">+R19+(LiborTenor*Volatility!Q19*ForwardLiborSimulation!Q19)/(1+LiborTenor*ForwardLiborSimulation!Q19)</f>
        <v>1.485571372479243E-2</v>
      </c>
      <c r="S20" s="24">
        <f ca="1">+S19+(LiborTenor*Volatility!R19*ForwardLiborSimulation!R19)/(1+LiborTenor*ForwardLiborSimulation!R19)</f>
        <v>1.518051373434952E-2</v>
      </c>
      <c r="T20" s="24">
        <f ca="1">+T19+(LiborTenor*Volatility!S19*ForwardLiborSimulation!S19)/(1+LiborTenor*ForwardLiborSimulation!S19)</f>
        <v>1.5809803512613928E-2</v>
      </c>
      <c r="U20" s="24">
        <f ca="1">+U19+(LiborTenor*Volatility!T19*ForwardLiborSimulation!T19)/(1+LiborTenor*ForwardLiborSimulation!T19)</f>
        <v>1.5577031014215214E-2</v>
      </c>
      <c r="V20" s="24">
        <f ca="1">+V19+(LiborTenor*Volatility!U19*ForwardLiborSimulation!U19)/(1+LiborTenor*ForwardLiborSimulation!U19)</f>
        <v>1.5546472452561598E-2</v>
      </c>
      <c r="W20" s="24">
        <f ca="1">+W19+(LiborTenor*Volatility!V19*ForwardLiborSimulation!V19)/(1+LiborTenor*ForwardLiborSimulation!V19)</f>
        <v>1.5187119134338416E-2</v>
      </c>
      <c r="X20" s="24">
        <f ca="1">+X19+(LiborTenor*Volatility!W19*ForwardLiborSimulation!W19)/(1+LiborTenor*ForwardLiborSimulation!W19)</f>
        <v>1.4319492848974357E-2</v>
      </c>
      <c r="Y20" s="24">
        <f ca="1">+Y19+(LiborTenor*Volatility!X19*ForwardLiborSimulation!X19)/(1+LiborTenor*ForwardLiborSimulation!X19)</f>
        <v>1.4555834337317882E-2</v>
      </c>
      <c r="Z20" s="24">
        <f ca="1">+Z19+(LiborTenor*Volatility!Y19*ForwardLiborSimulation!Y19)/(1+LiborTenor*ForwardLiborSimulation!Y19)</f>
        <v>1.4363499759108079E-2</v>
      </c>
      <c r="AA20" s="24">
        <f ca="1">+AA19+(LiborTenor*Volatility!Z19*ForwardLiborSimulation!Z19)/(1+LiborTenor*ForwardLiborSimulation!Z19)</f>
        <v>1.4662421543253904E-2</v>
      </c>
      <c r="AB20" s="24">
        <f ca="1">+AB19+(LiborTenor*Volatility!AA19*ForwardLiborSimulation!AA19)/(1+LiborTenor*ForwardLiborSimulation!AA19)</f>
        <v>1.4902961068467885E-2</v>
      </c>
      <c r="AC20" s="24">
        <f ca="1">+AC19+(LiborTenor*Volatility!AB19*ForwardLiborSimulation!AB19)/(1+LiborTenor*ForwardLiborSimulation!AB19)</f>
        <v>1.4868236391967143E-2</v>
      </c>
      <c r="AD20" s="24">
        <f ca="1">+AD19+(LiborTenor*Volatility!AC19*ForwardLiborSimulation!AC19)/(1+LiborTenor*ForwardLiborSimulation!AC19)</f>
        <v>1.4597782999797217E-2</v>
      </c>
      <c r="AE20" s="24">
        <f ca="1">+AE19+(LiborTenor*Volatility!AD19*ForwardLiborSimulation!AD19)/(1+LiborTenor*ForwardLiborSimulation!AD19)</f>
        <v>1.4480581092433196E-2</v>
      </c>
      <c r="AF20" s="24">
        <f ca="1">+AF19+(LiborTenor*Volatility!AE19*ForwardLiborSimulation!AE19)/(1+LiborTenor*ForwardLiborSimulation!AE19)</f>
        <v>1.5131253968591695E-2</v>
      </c>
      <c r="AG20" s="24">
        <f ca="1">+AG19+(LiborTenor*Volatility!AF19*ForwardLiborSimulation!AF19)/(1+LiborTenor*ForwardLiborSimulation!AF19)</f>
        <v>1.5203025981632923E-2</v>
      </c>
      <c r="AH20" s="24">
        <f ca="1">+AH19+(LiborTenor*Volatility!AG19*ForwardLiborSimulation!AG19)/(1+LiborTenor*ForwardLiborSimulation!AG19)</f>
        <v>1.5380018265336234E-2</v>
      </c>
      <c r="AI20" s="24">
        <f ca="1">+AI19+(LiborTenor*Volatility!AH19*ForwardLiborSimulation!AH19)/(1+LiborTenor*ForwardLiborSimulation!AH19)</f>
        <v>1.5583199449471133E-2</v>
      </c>
      <c r="AJ20" s="24">
        <f ca="1">+AJ19+(LiborTenor*Volatility!AI19*ForwardLiborSimulation!AI19)/(1+LiborTenor*ForwardLiborSimulation!AI19)</f>
        <v>1.6265495902505311E-2</v>
      </c>
      <c r="AK20" s="24">
        <f ca="1">+AK19+(LiborTenor*Volatility!AJ19*ForwardLiborSimulation!AJ19)/(1+LiborTenor*ForwardLiborSimulation!AJ19)</f>
        <v>1.6420705412909489E-2</v>
      </c>
      <c r="AL20" s="24">
        <f ca="1">+AL19+(LiborTenor*Volatility!AK19*ForwardLiborSimulation!AK19)/(1+LiborTenor*ForwardLiborSimulation!AK19)</f>
        <v>1.694677432182768E-2</v>
      </c>
      <c r="AM20" s="24">
        <f ca="1">+AM19+(LiborTenor*Volatility!AL19*ForwardLiborSimulation!AL19)/(1+LiborTenor*ForwardLiborSimulation!AL19)</f>
        <v>1.7195175849845885E-2</v>
      </c>
      <c r="AN20" s="24">
        <f ca="1">+AN19+(LiborTenor*Volatility!AM19*ForwardLiborSimulation!AM19)/(1+LiborTenor*ForwardLiborSimulation!AM19)</f>
        <v>1.711605324897969E-2</v>
      </c>
      <c r="AO20" s="24">
        <f ca="1">+AO19+(LiborTenor*Volatility!AN19*ForwardLiborSimulation!AN19)/(1+LiborTenor*ForwardLiborSimulation!AN19)</f>
        <v>1.6237138989999653E-2</v>
      </c>
      <c r="AP20" s="24">
        <f ca="1">+AP19+(LiborTenor*Volatility!AO19*ForwardLiborSimulation!AO19)/(1+LiborTenor*ForwardLiborSimulation!AO19)</f>
        <v>1.5990342865726113E-2</v>
      </c>
      <c r="AQ20" s="24">
        <f ca="1">+AQ19+(LiborTenor*Volatility!AP19*ForwardLiborSimulation!AP19)/(1+LiborTenor*ForwardLiborSimulation!AP19)</f>
        <v>1.5471987698734658E-2</v>
      </c>
      <c r="AR20" s="24">
        <f ca="1">+AR19+(LiborTenor*Volatility!AQ19*ForwardLiborSimulation!AQ19)/(1+LiborTenor*ForwardLiborSimulation!AQ19)</f>
        <v>1.5756831556752615E-2</v>
      </c>
      <c r="AS20" s="24">
        <f ca="1">+AS19+(LiborTenor*Volatility!AR19*ForwardLiborSimulation!AR19)/(1+LiborTenor*ForwardLiborSimulation!AR19)</f>
        <v>1.6144863165570806E-2</v>
      </c>
      <c r="AT20" s="24">
        <f ca="1">+AT19+(LiborTenor*Volatility!AS19*ForwardLiborSimulation!AS19)/(1+LiborTenor*ForwardLiborSimulation!AS19)</f>
        <v>1.5856653569594505E-2</v>
      </c>
      <c r="AU20" s="24">
        <f ca="1">+AU19+(LiborTenor*Volatility!AT19*ForwardLiborSimulation!AT19)/(1+LiborTenor*ForwardLiborSimulation!AT19)</f>
        <v>1.5735248532901272E-2</v>
      </c>
      <c r="AV20" s="24">
        <f ca="1">+AV19+(LiborTenor*Volatility!AU19*ForwardLiborSimulation!AU19)/(1+LiborTenor*ForwardLiborSimulation!AU19)</f>
        <v>1.6090007893631835E-2</v>
      </c>
      <c r="AW20" s="24">
        <f ca="1">+AW19+(LiborTenor*Volatility!AV19*ForwardLiborSimulation!AV19)/(1+LiborTenor*ForwardLiborSimulation!AV19)</f>
        <v>1.616508160696856E-2</v>
      </c>
      <c r="AX20" s="24">
        <f ca="1">+AX19+(LiborTenor*Volatility!AW19*ForwardLiborSimulation!AW19)/(1+LiborTenor*ForwardLiborSimulation!AW19)</f>
        <v>1.6583471302777923E-2</v>
      </c>
      <c r="AY20" s="24">
        <f ca="1">+AY19+(LiborTenor*Volatility!AX19*ForwardLiborSimulation!AX19)/(1+LiborTenor*ForwardLiborSimulation!AX19)</f>
        <v>1.614186408327338E-2</v>
      </c>
      <c r="AZ20" s="24">
        <f ca="1">+AZ19+(LiborTenor*Volatility!AY19*ForwardLiborSimulation!AY19)/(1+LiborTenor*ForwardLiborSimulation!AY19)</f>
        <v>1.645905723722646E-2</v>
      </c>
      <c r="BA20" s="24">
        <f ca="1">+BA19+(LiborTenor*Volatility!AZ19*ForwardLiborSimulation!AZ19)/(1+LiborTenor*ForwardLiborSimulation!AZ19)</f>
        <v>1.6728127532371774E-2</v>
      </c>
      <c r="BB20" s="24">
        <f ca="1">+BB19+(LiborTenor*Volatility!BA19*ForwardLiborSimulation!BA19)/(1+LiborTenor*ForwardLiborSimulation!BA19)</f>
        <v>1.7444635788540643E-2</v>
      </c>
      <c r="BC20" s="24">
        <f ca="1">+BC19+(LiborTenor*Volatility!BB19*ForwardLiborSimulation!BB19)/(1+LiborTenor*ForwardLiborSimulation!BB19)</f>
        <v>1.7625408310082687E-2</v>
      </c>
      <c r="BD20" s="24">
        <f ca="1">+BD19+(LiborTenor*Volatility!BC19*ForwardLiborSimulation!BC19)/(1+LiborTenor*ForwardLiborSimulation!BC19)</f>
        <v>1.7157222671602641E-2</v>
      </c>
      <c r="BE20" s="24">
        <f ca="1">+BE19+(LiborTenor*Volatility!BD19*ForwardLiborSimulation!BD19)/(1+LiborTenor*ForwardLiborSimulation!BD19)</f>
        <v>1.7124337817651044E-2</v>
      </c>
      <c r="BF20" s="24">
        <f ca="1">+BF19+(LiborTenor*Volatility!BE19*ForwardLiborSimulation!BE19)/(1+LiborTenor*ForwardLiborSimulation!BE19)</f>
        <v>1.6902487929234114E-2</v>
      </c>
      <c r="BG20" s="24">
        <f ca="1">+BG19+(LiborTenor*Volatility!BF19*ForwardLiborSimulation!BF19)/(1+LiborTenor*ForwardLiborSimulation!BF19)</f>
        <v>1.6177745140269192E-2</v>
      </c>
      <c r="BH20" s="24">
        <f ca="1">+BH19+(LiborTenor*Volatility!BG19*ForwardLiborSimulation!BG19)/(1+LiborTenor*ForwardLiborSimulation!BG19)</f>
        <v>1.6963038969340684E-2</v>
      </c>
      <c r="BI20" s="24">
        <f ca="1">+BI19+(LiborTenor*Volatility!BH19*ForwardLiborSimulation!BH19)/(1+LiborTenor*ForwardLiborSimulation!BH19)</f>
        <v>1.6586663488045973E-2</v>
      </c>
      <c r="BJ20" s="24">
        <f ca="1">+BJ19+(LiborTenor*Volatility!BI19*ForwardLiborSimulation!BI19)/(1+LiborTenor*ForwardLiborSimulation!BI19)</f>
        <v>1.5591683383202062E-2</v>
      </c>
      <c r="BK20" s="24">
        <f ca="1">+BK19+(LiborTenor*Volatility!BJ19*ForwardLiborSimulation!BJ19)/(1+LiborTenor*ForwardLiborSimulation!BJ19)</f>
        <v>1.5823678590862405E-2</v>
      </c>
      <c r="BL20" s="24">
        <f ca="1">+BL19+(LiborTenor*Volatility!BK19*ForwardLiborSimulation!BK19)/(1+LiborTenor*ForwardLiborSimulation!BK19)</f>
        <v>1.6142155955017595E-2</v>
      </c>
      <c r="BM20" s="24">
        <f ca="1">+BM19+(LiborTenor*Volatility!BL19*ForwardLiborSimulation!BL19)/(1+LiborTenor*ForwardLiborSimulation!BL19)</f>
        <v>1.6477547012510932E-2</v>
      </c>
      <c r="BN20" s="24">
        <f ca="1">+BN19+(LiborTenor*Volatility!BM19*ForwardLiborSimulation!BM19)/(1+LiborTenor*ForwardLiborSimulation!BM19)</f>
        <v>1.5877894784666721E-2</v>
      </c>
      <c r="BO20" s="24">
        <f ca="1">+BO19+(LiborTenor*Volatility!BN19*ForwardLiborSimulation!BN19)/(1+LiborTenor*ForwardLiborSimulation!BN19)</f>
        <v>1.6059571056253209E-2</v>
      </c>
      <c r="BP20" s="24">
        <f ca="1">+BP19+(LiborTenor*Volatility!BO19*ForwardLiborSimulation!BO19)/(1+LiborTenor*ForwardLiborSimulation!BO19)</f>
        <v>1.6551355715085005E-2</v>
      </c>
      <c r="BQ20" s="24">
        <f ca="1">+BQ19+(LiborTenor*Volatility!BP19*ForwardLiborSimulation!BP19)/(1+LiborTenor*ForwardLiborSimulation!BP19)</f>
        <v>1.6633636216413974E-2</v>
      </c>
      <c r="BR20" s="24">
        <f ca="1">+BR19+(LiborTenor*Volatility!BQ19*ForwardLiborSimulation!BQ19)/(1+LiborTenor*ForwardLiborSimulation!BQ19)</f>
        <v>1.6668586258794568E-2</v>
      </c>
      <c r="BS20" s="24">
        <f ca="1">+BS19+(LiborTenor*Volatility!BR19*ForwardLiborSimulation!BR19)/(1+LiborTenor*ForwardLiborSimulation!BR19)</f>
        <v>1.7259694995709157E-2</v>
      </c>
      <c r="BT20" s="24">
        <f ca="1">+BT19+(LiborTenor*Volatility!BS19*ForwardLiborSimulation!BS19)/(1+LiborTenor*ForwardLiborSimulation!BS19)</f>
        <v>1.6500367243903281E-2</v>
      </c>
      <c r="BU20" s="24">
        <f ca="1">+BU19+(LiborTenor*Volatility!BT19*ForwardLiborSimulation!BT19)/(1+LiborTenor*ForwardLiborSimulation!BT19)</f>
        <v>1.593828372573295E-2</v>
      </c>
      <c r="BV20" s="24">
        <f ca="1">+BV19+(LiborTenor*Volatility!BU19*ForwardLiborSimulation!BU19)/(1+LiborTenor*ForwardLiborSimulation!BU19)</f>
        <v>1.5429171737836663E-2</v>
      </c>
      <c r="BW20" s="24">
        <f ca="1">+BW19+(LiborTenor*Volatility!BV19*ForwardLiborSimulation!BV19)/(1+LiborTenor*ForwardLiborSimulation!BV19)</f>
        <v>1.6141725843760658E-2</v>
      </c>
      <c r="BX20" s="24">
        <f ca="1">+BX19+(LiborTenor*Volatility!BW19*ForwardLiborSimulation!BW19)/(1+LiborTenor*ForwardLiborSimulation!BW19)</f>
        <v>1.5204866147265796E-2</v>
      </c>
      <c r="BY20" s="24">
        <f ca="1">+BY19+(LiborTenor*Volatility!BX19*ForwardLiborSimulation!BX19)/(1+LiborTenor*ForwardLiborSimulation!BX19)</f>
        <v>1.492408665906985E-2</v>
      </c>
      <c r="BZ20" s="24">
        <f ca="1">+BZ19+(LiborTenor*Volatility!BY19*ForwardLiborSimulation!BY19)/(1+LiborTenor*ForwardLiborSimulation!BY19)</f>
        <v>1.5023629617147684E-2</v>
      </c>
      <c r="CA20" s="24">
        <f ca="1">+CA19+(LiborTenor*Volatility!BZ19*ForwardLiborSimulation!BZ19)/(1+LiborTenor*ForwardLiborSimulation!BZ19)</f>
        <v>1.5883876191320805E-2</v>
      </c>
      <c r="CB20" s="24">
        <f ca="1">+CB19+(LiborTenor*Volatility!CA19*ForwardLiborSimulation!CA19)/(1+LiborTenor*ForwardLiborSimulation!CA19)</f>
        <v>1.5435971908059469E-2</v>
      </c>
      <c r="CC20" s="24">
        <f ca="1">+CC19+(LiborTenor*Volatility!CB19*ForwardLiborSimulation!CB19)/(1+LiborTenor*ForwardLiborSimulation!CB19)</f>
        <v>1.57877189846596E-2</v>
      </c>
      <c r="CD20" s="24">
        <f ca="1">+CD19+(LiborTenor*Volatility!CC19*ForwardLiborSimulation!CC19)/(1+LiborTenor*ForwardLiborSimulation!CC19)</f>
        <v>1.5715977593122647E-2</v>
      </c>
      <c r="CE20" s="24">
        <f ca="1">+CE19+(LiborTenor*Volatility!CD19*ForwardLiborSimulation!CD19)/(1+LiborTenor*ForwardLiborSimulation!CD19)</f>
        <v>1.5886369424890155E-2</v>
      </c>
      <c r="CF20" s="24">
        <f ca="1">+CF19+(LiborTenor*Volatility!CE19*ForwardLiborSimulation!CE19)/(1+LiborTenor*ForwardLiborSimulation!CE19)</f>
        <v>1.5321463085846062E-2</v>
      </c>
      <c r="CG20" s="24">
        <f ca="1">+CG19+(LiborTenor*Volatility!CF19*ForwardLiborSimulation!CF19)/(1+LiborTenor*ForwardLiborSimulation!CF19)</f>
        <v>1.5821652985421278E-2</v>
      </c>
      <c r="CH20" s="24"/>
      <c r="CI20" s="24"/>
      <c r="CJ20" s="2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</row>
    <row r="21" spans="4:127" x14ac:dyDescent="0.2">
      <c r="D21" s="2">
        <f>+ForwardLiborSimulation!D21</f>
        <v>6.5</v>
      </c>
      <c r="E21" s="10"/>
      <c r="F21" s="12" t="str">
        <f t="shared" si="2"/>
        <v>L(t;6.25,6.5)</v>
      </c>
      <c r="G21" s="14"/>
      <c r="H21" s="24">
        <f>+H20+(LiborTenor*Volatility!G20*ForwardLiborSimulation!G20)/(1+LiborTenor*ForwardLiborSimulation!G20)</f>
        <v>1.5296296296296297E-2</v>
      </c>
      <c r="I21" s="24">
        <f ca="1">+I20+(LiborTenor*Volatility!H20*ForwardLiborSimulation!H20)/(1+LiborTenor*ForwardLiborSimulation!H20)</f>
        <v>1.5817045352983623E-2</v>
      </c>
      <c r="J21" s="24">
        <f ca="1">+J20+(LiborTenor*Volatility!I20*ForwardLiborSimulation!I20)/(1+LiborTenor*ForwardLiborSimulation!I20)</f>
        <v>1.6016964987195979E-2</v>
      </c>
      <c r="K21" s="24">
        <f ca="1">+K20+(LiborTenor*Volatility!J20*ForwardLiborSimulation!J20)/(1+LiborTenor*ForwardLiborSimulation!J20)</f>
        <v>1.5675814627206616E-2</v>
      </c>
      <c r="L21" s="24">
        <f ca="1">+L20+(LiborTenor*Volatility!K20*ForwardLiborSimulation!K20)/(1+LiborTenor*ForwardLiborSimulation!K20)</f>
        <v>1.5794021652645911E-2</v>
      </c>
      <c r="M21" s="24">
        <f ca="1">+M20+(LiborTenor*Volatility!L20*ForwardLiborSimulation!L20)/(1+LiborTenor*ForwardLiborSimulation!L20)</f>
        <v>1.541147380250418E-2</v>
      </c>
      <c r="N21" s="24">
        <f ca="1">+N20+(LiborTenor*Volatility!M20*ForwardLiborSimulation!M20)/(1+LiborTenor*ForwardLiborSimulation!M20)</f>
        <v>1.6216633328023408E-2</v>
      </c>
      <c r="O21" s="24">
        <f ca="1">+O20+(LiborTenor*Volatility!N20*ForwardLiborSimulation!N20)/(1+LiborTenor*ForwardLiborSimulation!N20)</f>
        <v>1.6093680109110189E-2</v>
      </c>
      <c r="P21" s="24">
        <f ca="1">+P20+(LiborTenor*Volatility!O20*ForwardLiborSimulation!O20)/(1+LiborTenor*ForwardLiborSimulation!O20)</f>
        <v>1.6560997200756999E-2</v>
      </c>
      <c r="Q21" s="24">
        <f ca="1">+Q20+(LiborTenor*Volatility!P20*ForwardLiborSimulation!P20)/(1+LiborTenor*ForwardLiborSimulation!P20)</f>
        <v>1.620317162336464E-2</v>
      </c>
      <c r="R21" s="24">
        <f ca="1">+R20+(LiborTenor*Volatility!Q20*ForwardLiborSimulation!Q20)/(1+LiborTenor*ForwardLiborSimulation!Q20)</f>
        <v>1.6278411988289693E-2</v>
      </c>
      <c r="S21" s="24">
        <f ca="1">+S20+(LiborTenor*Volatility!R20*ForwardLiborSimulation!R20)/(1+LiborTenor*ForwardLiborSimulation!R20)</f>
        <v>1.6640932985399697E-2</v>
      </c>
      <c r="T21" s="24">
        <f ca="1">+T20+(LiborTenor*Volatility!S20*ForwardLiborSimulation!S20)/(1+LiborTenor*ForwardLiborSimulation!S20)</f>
        <v>1.7343693021659046E-2</v>
      </c>
      <c r="U21" s="24">
        <f ca="1">+U20+(LiborTenor*Volatility!T20*ForwardLiborSimulation!T20)/(1+LiborTenor*ForwardLiborSimulation!T20)</f>
        <v>1.7083379805420764E-2</v>
      </c>
      <c r="V21" s="24">
        <f ca="1">+V20+(LiborTenor*Volatility!U20*ForwardLiborSimulation!U20)/(1+LiborTenor*ForwardLiborSimulation!U20)</f>
        <v>1.7049124124381202E-2</v>
      </c>
      <c r="W21" s="24">
        <f ca="1">+W20+(LiborTenor*Volatility!V20*ForwardLiborSimulation!V20)/(1+LiborTenor*ForwardLiborSimulation!V20)</f>
        <v>1.6647463153777124E-2</v>
      </c>
      <c r="X21" s="24">
        <f ca="1">+X20+(LiborTenor*Volatility!W20*ForwardLiborSimulation!W20)/(1+LiborTenor*ForwardLiborSimulation!W20)</f>
        <v>1.5678317605728888E-2</v>
      </c>
      <c r="Y21" s="24">
        <f ca="1">+Y20+(LiborTenor*Volatility!X20*ForwardLiborSimulation!X20)/(1+LiborTenor*ForwardLiborSimulation!X20)</f>
        <v>1.5941857592794116E-2</v>
      </c>
      <c r="Z21" s="24">
        <f ca="1">+Z20+(LiborTenor*Volatility!Y20*ForwardLiborSimulation!Y20)/(1+LiborTenor*ForwardLiborSimulation!Y20)</f>
        <v>1.5727152431564431E-2</v>
      </c>
      <c r="AA21" s="24">
        <f ca="1">+AA20+(LiborTenor*Volatility!Z20*ForwardLiborSimulation!Z20)/(1+LiborTenor*ForwardLiborSimulation!Z20)</f>
        <v>1.606051216863023E-2</v>
      </c>
      <c r="AB21" s="24">
        <f ca="1">+AB20+(LiborTenor*Volatility!AA20*ForwardLiborSimulation!AA20)/(1+LiborTenor*ForwardLiborSimulation!AA20)</f>
        <v>1.6328853201993412E-2</v>
      </c>
      <c r="AC21" s="24">
        <f ca="1">+AC20+(LiborTenor*Volatility!AB20*ForwardLiborSimulation!AB20)/(1+LiborTenor*ForwardLiborSimulation!AB20)</f>
        <v>1.6289991726509828E-2</v>
      </c>
      <c r="AD21" s="24">
        <f ca="1">+AD20+(LiborTenor*Volatility!AC20*ForwardLiborSimulation!AC20)/(1+LiborTenor*ForwardLiborSimulation!AC20)</f>
        <v>1.5987992888611937E-2</v>
      </c>
      <c r="AE21" s="24">
        <f ca="1">+AE20+(LiborTenor*Volatility!AD20*ForwardLiborSimulation!AD20)/(1+LiborTenor*ForwardLiborSimulation!AD20)</f>
        <v>1.585712116764711E-2</v>
      </c>
      <c r="AF21" s="24">
        <f ca="1">+AF20+(LiborTenor*Volatility!AE20*ForwardLiborSimulation!AE20)/(1+LiborTenor*ForwardLiborSimulation!AE20)</f>
        <v>1.6582943704247306E-2</v>
      </c>
      <c r="AG21" s="24">
        <f ca="1">+AG20+(LiborTenor*Volatility!AF20*ForwardLiborSimulation!AF20)/(1+LiborTenor*ForwardLiborSimulation!AF20)</f>
        <v>1.666298604730081E-2</v>
      </c>
      <c r="AH21" s="24">
        <f ca="1">+AH20+(LiborTenor*Volatility!AG20*ForwardLiborSimulation!AG20)/(1+LiborTenor*ForwardLiborSimulation!AG20)</f>
        <v>1.6860536685961471E-2</v>
      </c>
      <c r="AI21" s="24">
        <f ca="1">+AI20+(LiborTenor*Volatility!AH20*ForwardLiborSimulation!AH20)/(1+LiborTenor*ForwardLiborSimulation!AH20)</f>
        <v>1.7087382812438628E-2</v>
      </c>
      <c r="AJ21" s="24">
        <f ca="1">+AJ20+(LiborTenor*Volatility!AI20*ForwardLiborSimulation!AI20)/(1+LiborTenor*ForwardLiborSimulation!AI20)</f>
        <v>1.7849582467820882E-2</v>
      </c>
      <c r="AK21" s="24">
        <f ca="1">+AK20+(LiborTenor*Volatility!AJ20*ForwardLiborSimulation!AJ20)/(1+LiborTenor*ForwardLiborSimulation!AJ20)</f>
        <v>1.8023026022241061E-2</v>
      </c>
      <c r="AL21" s="24">
        <f ca="1">+AL20+(LiborTenor*Volatility!AK20*ForwardLiborSimulation!AK20)/(1+LiborTenor*ForwardLiborSimulation!AK20)</f>
        <v>1.8611282060122105E-2</v>
      </c>
      <c r="AM21" s="24">
        <f ca="1">+AM20+(LiborTenor*Volatility!AL20*ForwardLiborSimulation!AL20)/(1+LiborTenor*ForwardLiborSimulation!AL20)</f>
        <v>1.8889153424369826E-2</v>
      </c>
      <c r="AN21" s="24">
        <f ca="1">+AN20+(LiborTenor*Volatility!AM20*ForwardLiborSimulation!AM20)/(1+LiborTenor*ForwardLiborSimulation!AM20)</f>
        <v>1.8800443738880828E-2</v>
      </c>
      <c r="AO21" s="24">
        <f ca="1">+AO20+(LiborTenor*Volatility!AN20*ForwardLiborSimulation!AN20)/(1+LiborTenor*ForwardLiborSimulation!AN20)</f>
        <v>1.781646134963254E-2</v>
      </c>
      <c r="AP21" s="24">
        <f ca="1">+AP20+(LiborTenor*Volatility!AO20*ForwardLiborSimulation!AO20)/(1+LiborTenor*ForwardLiborSimulation!AO20)</f>
        <v>1.7540399710093028E-2</v>
      </c>
      <c r="AQ21" s="24">
        <f ca="1">+AQ20+(LiborTenor*Volatility!AP20*ForwardLiborSimulation!AP20)/(1+LiborTenor*ForwardLiborSimulation!AP20)</f>
        <v>1.696089610622847E-2</v>
      </c>
      <c r="AR21" s="24">
        <f ca="1">+AR20+(LiborTenor*Volatility!AQ20*ForwardLiborSimulation!AQ20)/(1+LiborTenor*ForwardLiborSimulation!AQ20)</f>
        <v>1.727894618131149E-2</v>
      </c>
      <c r="AS21" s="24">
        <f ca="1">+AS20+(LiborTenor*Volatility!AR20*ForwardLiborSimulation!AR20)/(1+LiborTenor*ForwardLiborSimulation!AR20)</f>
        <v>1.771240494602308E-2</v>
      </c>
      <c r="AT21" s="24">
        <f ca="1">+AT20+(LiborTenor*Volatility!AS20*ForwardLiborSimulation!AS20)/(1+LiborTenor*ForwardLiborSimulation!AS20)</f>
        <v>1.7390095755804122E-2</v>
      </c>
      <c r="AU21" s="24">
        <f ca="1">+AU20+(LiborTenor*Volatility!AT20*ForwardLiborSimulation!AT20)/(1+LiborTenor*ForwardLiborSimulation!AT20)</f>
        <v>1.725431693740314E-2</v>
      </c>
      <c r="AV21" s="24">
        <f ca="1">+AV20+(LiborTenor*Volatility!AU20*ForwardLiborSimulation!AU20)/(1+LiborTenor*ForwardLiborSimulation!AU20)</f>
        <v>1.765057518905342E-2</v>
      </c>
      <c r="AW21" s="24">
        <f ca="1">+AW20+(LiborTenor*Volatility!AV20*ForwardLiborSimulation!AV20)/(1+LiborTenor*ForwardLiborSimulation!AV20)</f>
        <v>1.7734377495044903E-2</v>
      </c>
      <c r="AX21" s="24">
        <f ca="1">+AX20+(LiborTenor*Volatility!AW20*ForwardLiborSimulation!AW20)/(1+LiborTenor*ForwardLiborSimulation!AW20)</f>
        <v>1.8201972793724E-2</v>
      </c>
      <c r="AY21" s="24">
        <f ca="1">+AY20+(LiborTenor*Volatility!AX20*ForwardLiborSimulation!AX20)/(1+LiborTenor*ForwardLiborSimulation!AX20)</f>
        <v>1.7707922235902201E-2</v>
      </c>
      <c r="AZ21" s="24">
        <f ca="1">+AZ20+(LiborTenor*Volatility!AY20*ForwardLiborSimulation!AY20)/(1+LiborTenor*ForwardLiborSimulation!AY20)</f>
        <v>1.8062371079584687E-2</v>
      </c>
      <c r="BA21" s="24">
        <f ca="1">+BA20+(LiborTenor*Volatility!AZ20*ForwardLiborSimulation!AZ20)/(1+LiborTenor*ForwardLiborSimulation!AZ20)</f>
        <v>1.8363140238756345E-2</v>
      </c>
      <c r="BB21" s="24">
        <f ca="1">+BB20+(LiborTenor*Volatility!BA20*ForwardLiborSimulation!BA20)/(1+LiborTenor*ForwardLiborSimulation!BA20)</f>
        <v>1.9164508255209226E-2</v>
      </c>
      <c r="BC21" s="24">
        <f ca="1">+BC20+(LiborTenor*Volatility!BB20*ForwardLiborSimulation!BB20)/(1+LiborTenor*ForwardLiborSimulation!BB20)</f>
        <v>1.9366757830433068E-2</v>
      </c>
      <c r="BD21" s="24">
        <f ca="1">+BD20+(LiborTenor*Volatility!BC20*ForwardLiborSimulation!BC20)/(1+LiborTenor*ForwardLiborSimulation!BC20)</f>
        <v>1.8842339662594344E-2</v>
      </c>
      <c r="BE21" s="24">
        <f ca="1">+BE20+(LiborTenor*Volatility!BD20*ForwardLiborSimulation!BD20)/(1+LiborTenor*ForwardLiborSimulation!BD20)</f>
        <v>1.8805404719682776E-2</v>
      </c>
      <c r="BF21" s="24">
        <f ca="1">+BF20+(LiborTenor*Volatility!BE20*ForwardLiborSimulation!BE20)/(1+LiborTenor*ForwardLiborSimulation!BE20)</f>
        <v>1.8557000224085355E-2</v>
      </c>
      <c r="BG21" s="24">
        <f ca="1">+BG20+(LiborTenor*Volatility!BF20*ForwardLiborSimulation!BF20)/(1+LiborTenor*ForwardLiborSimulation!BF20)</f>
        <v>1.7746027942257585E-2</v>
      </c>
      <c r="BH21" s="24">
        <f ca="1">+BH20+(LiborTenor*Volatility!BG20*ForwardLiborSimulation!BG20)/(1+LiborTenor*ForwardLiborSimulation!BG20)</f>
        <v>1.8623649794186129E-2</v>
      </c>
      <c r="BI21" s="24">
        <f ca="1">+BI20+(LiborTenor*Volatility!BH20*ForwardLiborSimulation!BH20)/(1+LiborTenor*ForwardLiborSimulation!BH20)</f>
        <v>1.8202430500830754E-2</v>
      </c>
      <c r="BJ21" s="24">
        <f ca="1">+BJ20+(LiborTenor*Volatility!BI20*ForwardLiborSimulation!BI20)/(1+LiborTenor*ForwardLiborSimulation!BI20)</f>
        <v>1.7089637645420666E-2</v>
      </c>
      <c r="BK21" s="24">
        <f ca="1">+BK20+(LiborTenor*Volatility!BJ20*ForwardLiborSimulation!BJ20)/(1+LiborTenor*ForwardLiborSimulation!BJ20)</f>
        <v>1.7348615324298072E-2</v>
      </c>
      <c r="BL21" s="24">
        <f ca="1">+BL20+(LiborTenor*Volatility!BK20*ForwardLiborSimulation!BK20)/(1+LiborTenor*ForwardLiborSimulation!BK20)</f>
        <v>1.770427427522658E-2</v>
      </c>
      <c r="BM21" s="24">
        <f ca="1">+BM20+(LiborTenor*Volatility!BL20*ForwardLiborSimulation!BL20)/(1+LiborTenor*ForwardLiborSimulation!BL20)</f>
        <v>1.8078972246124068E-2</v>
      </c>
      <c r="BN21" s="24">
        <f ca="1">+BN20+(LiborTenor*Volatility!BM20*ForwardLiborSimulation!BM20)/(1+LiborTenor*ForwardLiborSimulation!BM20)</f>
        <v>1.7408426782669101E-2</v>
      </c>
      <c r="BO21" s="24">
        <f ca="1">+BO20+(LiborTenor*Volatility!BN20*ForwardLiborSimulation!BN20)/(1+LiborTenor*ForwardLiborSimulation!BN20)</f>
        <v>1.7611270467833406E-2</v>
      </c>
      <c r="BP21" s="24">
        <f ca="1">+BP20+(LiborTenor*Volatility!BO20*ForwardLiborSimulation!BO20)/(1+LiborTenor*ForwardLiborSimulation!BO20)</f>
        <v>1.8160661194634824E-2</v>
      </c>
      <c r="BQ21" s="24">
        <f ca="1">+BQ20+(LiborTenor*Volatility!BP20*ForwardLiborSimulation!BP20)/(1+LiborTenor*ForwardLiborSimulation!BP20)</f>
        <v>1.8252533835636579E-2</v>
      </c>
      <c r="BR21" s="24">
        <f ca="1">+BR20+(LiborTenor*Volatility!BQ20*ForwardLiborSimulation!BQ20)/(1+LiborTenor*ForwardLiborSimulation!BQ20)</f>
        <v>1.8291490882835965E-2</v>
      </c>
      <c r="BS21" s="24">
        <f ca="1">+BS20+(LiborTenor*Volatility!BR20*ForwardLiborSimulation!BR20)/(1+LiborTenor*ForwardLiborSimulation!BR20)</f>
        <v>1.8952338635655416E-2</v>
      </c>
      <c r="BT21" s="24">
        <f ca="1">+BT20+(LiborTenor*Volatility!BS20*ForwardLiborSimulation!BS20)/(1+LiborTenor*ForwardLiborSimulation!BS20)</f>
        <v>1.8102515031089568E-2</v>
      </c>
      <c r="BU21" s="24">
        <f ca="1">+BU20+(LiborTenor*Volatility!BT20*ForwardLiborSimulation!BT20)/(1+LiborTenor*ForwardLiborSimulation!BT20)</f>
        <v>1.7474030267831241E-2</v>
      </c>
      <c r="BV21" s="24">
        <f ca="1">+BV20+(LiborTenor*Volatility!BU20*ForwardLiborSimulation!BU20)/(1+LiborTenor*ForwardLiborSimulation!BU20)</f>
        <v>1.6905193355789251E-2</v>
      </c>
      <c r="BW21" s="24">
        <f ca="1">+BW20+(LiborTenor*Volatility!BV20*ForwardLiborSimulation!BV20)/(1+LiborTenor*ForwardLiborSimulation!BV20)</f>
        <v>1.7700510670622664E-2</v>
      </c>
      <c r="BX21" s="24">
        <f ca="1">+BX20+(LiborTenor*Volatility!BW20*ForwardLiborSimulation!BW20)/(1+LiborTenor*ForwardLiborSimulation!BW20)</f>
        <v>1.6653606577546491E-2</v>
      </c>
      <c r="BY21" s="24">
        <f ca="1">+BY20+(LiborTenor*Volatility!BX20*ForwardLiborSimulation!BX20)/(1+LiborTenor*ForwardLiborSimulation!BX20)</f>
        <v>1.6340187501264435E-2</v>
      </c>
      <c r="BZ21" s="24">
        <f ca="1">+BZ20+(LiborTenor*Volatility!BY20*ForwardLiborSimulation!BY20)/(1+LiborTenor*ForwardLiborSimulation!BY20)</f>
        <v>1.6451125270994803E-2</v>
      </c>
      <c r="CA21" s="24">
        <f ca="1">+CA20+(LiborTenor*Volatility!BZ20*ForwardLiborSimulation!BZ20)/(1+LiborTenor*ForwardLiborSimulation!BZ20)</f>
        <v>1.7410692212279581E-2</v>
      </c>
      <c r="CB21" s="24">
        <f ca="1">+CB20+(LiborTenor*Volatility!CA20*ForwardLiborSimulation!CA20)/(1+LiborTenor*ForwardLiborSimulation!CA20)</f>
        <v>1.6910348504795655E-2</v>
      </c>
      <c r="CC21" s="24">
        <f ca="1">+CC20+(LiborTenor*Volatility!CB20*ForwardLiborSimulation!CB20)/(1+LiborTenor*ForwardLiborSimulation!CB20)</f>
        <v>1.7302842088779111E-2</v>
      </c>
      <c r="CD21" s="24">
        <f ca="1">+CD20+(LiborTenor*Volatility!CC20*ForwardLiborSimulation!CC20)/(1+LiborTenor*ForwardLiborSimulation!CC20)</f>
        <v>1.7222623051907467E-2</v>
      </c>
      <c r="CE21" s="24"/>
      <c r="CF21" s="24"/>
      <c r="CG21" s="2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</row>
    <row r="22" spans="4:127" x14ac:dyDescent="0.2">
      <c r="D22" s="2">
        <f>+ForwardLiborSimulation!D22</f>
        <v>6.25</v>
      </c>
      <c r="E22" s="10"/>
      <c r="F22" s="12" t="str">
        <f t="shared" si="2"/>
        <v>L(t;6,6.25)</v>
      </c>
      <c r="G22" s="14"/>
      <c r="H22" s="24">
        <f>+H21+(LiborTenor*Volatility!G21*ForwardLiborSimulation!G21)/(1+LiborTenor*ForwardLiborSimulation!G21)</f>
        <v>1.6666666666666666E-2</v>
      </c>
      <c r="I22" s="24">
        <f ca="1">+I21+(LiborTenor*Volatility!H21*ForwardLiborSimulation!H21)/(1+LiborTenor*ForwardLiborSimulation!H21)</f>
        <v>1.7237959916211645E-2</v>
      </c>
      <c r="J22" s="24">
        <f ca="1">+J21+(LiborTenor*Volatility!I21*ForwardLiborSimulation!I21)/(1+LiborTenor*ForwardLiborSimulation!I21)</f>
        <v>1.7453023817524047E-2</v>
      </c>
      <c r="K22" s="24">
        <f ca="1">+K21+(LiborTenor*Volatility!J21*ForwardLiborSimulation!J21)/(1+LiborTenor*ForwardLiborSimulation!J21)</f>
        <v>1.70742600012934E-2</v>
      </c>
      <c r="L22" s="24">
        <f ca="1">+L21+(LiborTenor*Volatility!K21*ForwardLiborSimulation!K21)/(1+LiborTenor*ForwardLiborSimulation!K21)</f>
        <v>1.7205300641072018E-2</v>
      </c>
      <c r="M22" s="24">
        <f ca="1">+M21+(LiborTenor*Volatility!L21*ForwardLiborSimulation!L21)/(1+LiborTenor*ForwardLiborSimulation!L21)</f>
        <v>1.6780721187932012E-2</v>
      </c>
      <c r="N22" s="24">
        <f ca="1">+N21+(LiborTenor*Volatility!M21*ForwardLiborSimulation!M21)/(1+LiborTenor*ForwardLiborSimulation!M21)</f>
        <v>1.7673552557610949E-2</v>
      </c>
      <c r="O22" s="24">
        <f ca="1">+O21+(LiborTenor*Volatility!N21*ForwardLiborSimulation!N21)/(1+LiborTenor*ForwardLiborSimulation!N21)</f>
        <v>1.7536947464445032E-2</v>
      </c>
      <c r="P22" s="24">
        <f ca="1">+P21+(LiborTenor*Volatility!O21*ForwardLiborSimulation!O21)/(1+LiborTenor*ForwardLiborSimulation!O21)</f>
        <v>1.8055537241210111E-2</v>
      </c>
      <c r="Q22" s="24">
        <f ca="1">+Q21+(LiborTenor*Volatility!P21*ForwardLiborSimulation!P21)/(1+LiborTenor*ForwardLiborSimulation!P21)</f>
        <v>1.7658022597754518E-2</v>
      </c>
      <c r="R22" s="24">
        <f ca="1">+R21+(LiborTenor*Volatility!Q21*ForwardLiborSimulation!Q21)/(1+LiborTenor*ForwardLiborSimulation!Q21)</f>
        <v>1.7741435689960391E-2</v>
      </c>
      <c r="S22" s="24">
        <f ca="1">+S21+(LiborTenor*Volatility!R21*ForwardLiborSimulation!R21)/(1+LiborTenor*ForwardLiborSimulation!R21)</f>
        <v>1.8143784494841816E-2</v>
      </c>
      <c r="T22" s="24">
        <f ca="1">+T21+(LiborTenor*Volatility!S21*ForwardLiborSimulation!S21)/(1+LiborTenor*ForwardLiborSimulation!S21)</f>
        <v>1.8924187704025829E-2</v>
      </c>
      <c r="U22" s="24">
        <f ca="1">+U21+(LiborTenor*Volatility!T21*ForwardLiborSimulation!T21)/(1+LiborTenor*ForwardLiborSimulation!T21)</f>
        <v>1.8634701552436541E-2</v>
      </c>
      <c r="V22" s="24">
        <f ca="1">+V21+(LiborTenor*Volatility!U21*ForwardLiborSimulation!U21)/(1+LiborTenor*ForwardLiborSimulation!U21)</f>
        <v>1.8596512959354966E-2</v>
      </c>
      <c r="W22" s="24">
        <f ca="1">+W21+(LiborTenor*Volatility!V21*ForwardLiborSimulation!V21)/(1+LiborTenor*ForwardLiborSimulation!V21)</f>
        <v>1.8150075924838773E-2</v>
      </c>
      <c r="X22" s="24">
        <f ca="1">+X21+(LiborTenor*Volatility!W21*ForwardLiborSimulation!W21)/(1+LiborTenor*ForwardLiborSimulation!W21)</f>
        <v>1.7073602872905314E-2</v>
      </c>
      <c r="Y22" s="24">
        <f ca="1">+Y21+(LiborTenor*Volatility!X21*ForwardLiborSimulation!X21)/(1+LiborTenor*ForwardLiborSimulation!X21)</f>
        <v>1.7365815177290328E-2</v>
      </c>
      <c r="Z22" s="24">
        <f ca="1">+Z21+(LiborTenor*Volatility!Y21*ForwardLiborSimulation!Y21)/(1+LiborTenor*ForwardLiborSimulation!Y21)</f>
        <v>1.7127481899978432E-2</v>
      </c>
      <c r="AA22" s="24">
        <f ca="1">+AA21+(LiborTenor*Volatility!Z21*ForwardLiborSimulation!Z21)/(1+LiborTenor*ForwardLiborSimulation!Z21)</f>
        <v>1.7497152421224866E-2</v>
      </c>
      <c r="AB22" s="24">
        <f ca="1">+AB21+(LiborTenor*Volatility!AA21*ForwardLiborSimulation!AA21)/(1+LiborTenor*ForwardLiborSimulation!AA21)</f>
        <v>1.7794821683481243E-2</v>
      </c>
      <c r="AC22" s="24">
        <f ca="1">+AC21+(LiborTenor*Volatility!AB21*ForwardLiborSimulation!AB21)/(1+LiborTenor*ForwardLiborSimulation!AB21)</f>
        <v>1.7751571758644454E-2</v>
      </c>
      <c r="AD22" s="24">
        <f ca="1">+AD21+(LiborTenor*Volatility!AC21*ForwardLiborSimulation!AC21)/(1+LiborTenor*ForwardLiborSimulation!AC21)</f>
        <v>1.7416240144561078E-2</v>
      </c>
      <c r="AE22" s="24">
        <f ca="1">+AE21+(LiborTenor*Volatility!AD21*ForwardLiborSimulation!AD21)/(1+LiborTenor*ForwardLiborSimulation!AD21)</f>
        <v>1.7270923078582294E-2</v>
      </c>
      <c r="AF22" s="24">
        <f ca="1">+AF21+(LiborTenor*Volatility!AE21*ForwardLiborSimulation!AE21)/(1+LiborTenor*ForwardLiborSimulation!AE21)</f>
        <v>1.8076015175073012E-2</v>
      </c>
      <c r="AG22" s="24">
        <f ca="1">+AG21+(LiborTenor*Volatility!AF21*ForwardLiborSimulation!AF21)/(1+LiborTenor*ForwardLiborSimulation!AF21)</f>
        <v>1.8164775288671751E-2</v>
      </c>
      <c r="AH22" s="24">
        <f ca="1">+AH21+(LiborTenor*Volatility!AG21*ForwardLiborSimulation!AG21)/(1+LiborTenor*ForwardLiborSimulation!AG21)</f>
        <v>1.838402917009414E-2</v>
      </c>
      <c r="AI22" s="24">
        <f ca="1">+AI21+(LiborTenor*Volatility!AH21*ForwardLiborSimulation!AH21)/(1+LiborTenor*ForwardLiborSimulation!AH21)</f>
        <v>1.8635869602409986E-2</v>
      </c>
      <c r="AJ22" s="24">
        <f ca="1">+AJ21+(LiborTenor*Volatility!AI21*ForwardLiborSimulation!AI21)/(1+LiborTenor*ForwardLiborSimulation!AI21)</f>
        <v>1.9482543329934807E-2</v>
      </c>
      <c r="AK22" s="24">
        <f ca="1">+AK21+(LiborTenor*Volatility!AJ21*ForwardLiborSimulation!AJ21)/(1+LiborTenor*ForwardLiborSimulation!AJ21)</f>
        <v>1.9675271062182555E-2</v>
      </c>
      <c r="AL22" s="24">
        <f ca="1">+AL21+(LiborTenor*Volatility!AK21*ForwardLiborSimulation!AK21)/(1+LiborTenor*ForwardLiborSimulation!AK21)</f>
        <v>2.0329371289500575E-2</v>
      </c>
      <c r="AM22" s="24">
        <f ca="1">+AM21+(LiborTenor*Volatility!AL21*ForwardLiborSimulation!AL21)/(1+LiborTenor*ForwardLiborSimulation!AL21)</f>
        <v>2.0638461659378195E-2</v>
      </c>
      <c r="AN22" s="24">
        <f ca="1">+AN21+(LiborTenor*Volatility!AM21*ForwardLiborSimulation!AM21)/(1+LiborTenor*ForwardLiborSimulation!AM21)</f>
        <v>2.0539555066466271E-2</v>
      </c>
      <c r="AO22" s="24">
        <f ca="1">+AO21+(LiborTenor*Volatility!AN21*ForwardLiborSimulation!AN21)/(1+LiborTenor*ForwardLiborSimulation!AN21)</f>
        <v>1.9444110680187775E-2</v>
      </c>
      <c r="AP22" s="24">
        <f ca="1">+AP21+(LiborTenor*Volatility!AO21*ForwardLiborSimulation!AO21)/(1+LiborTenor*ForwardLiborSimulation!AO21)</f>
        <v>1.9137042767274289E-2</v>
      </c>
      <c r="AQ22" s="24">
        <f ca="1">+AQ21+(LiborTenor*Volatility!AP21*ForwardLiborSimulation!AP21)/(1+LiborTenor*ForwardLiborSimulation!AP21)</f>
        <v>1.8492813538845746E-2</v>
      </c>
      <c r="AR22" s="24">
        <f ca="1">+AR21+(LiborTenor*Volatility!AQ21*ForwardLiborSimulation!AQ21)/(1+LiborTenor*ForwardLiborSimulation!AQ21)</f>
        <v>1.8845938578811436E-2</v>
      </c>
      <c r="AS22" s="24">
        <f ca="1">+AS21+(LiborTenor*Volatility!AR21*ForwardLiborSimulation!AR21)/(1+LiborTenor*ForwardLiborSimulation!AR21)</f>
        <v>1.9327415143066483E-2</v>
      </c>
      <c r="AT22" s="24">
        <f ca="1">+AT21+(LiborTenor*Volatility!AS21*ForwardLiborSimulation!AS21)/(1+LiborTenor*ForwardLiborSimulation!AS21)</f>
        <v>1.8968993272237951E-2</v>
      </c>
      <c r="AU22" s="24">
        <f ca="1">+AU21+(LiborTenor*Volatility!AT21*ForwardLiborSimulation!AT21)/(1+LiborTenor*ForwardLiborSimulation!AT21)</f>
        <v>1.8817988911679965E-2</v>
      </c>
      <c r="AV22" s="24">
        <f ca="1">+AV21+(LiborTenor*Volatility!AU21*ForwardLiborSimulation!AU21)/(1+LiborTenor*ForwardLiborSimulation!AU21)</f>
        <v>1.9258105799684646E-2</v>
      </c>
      <c r="AW22" s="24">
        <f ca="1">+AW21+(LiborTenor*Volatility!AV21*ForwardLiborSimulation!AV21)/(1+LiborTenor*ForwardLiborSimulation!AV21)</f>
        <v>1.9351120920106303E-2</v>
      </c>
      <c r="AX22" s="24">
        <f ca="1">+AX21+(LiborTenor*Volatility!AW21*ForwardLiborSimulation!AW21)/(1+LiborTenor*ForwardLiborSimulation!AW21)</f>
        <v>1.9870765679134067E-2</v>
      </c>
      <c r="AY22" s="24">
        <f ca="1">+AY21+(LiborTenor*Volatility!AX21*ForwardLiborSimulation!AX21)/(1+LiborTenor*ForwardLiborSimulation!AX21)</f>
        <v>1.9321144655568678E-2</v>
      </c>
      <c r="AZ22" s="24">
        <f ca="1">+AZ21+(LiborTenor*Volatility!AY21*ForwardLiborSimulation!AY21)/(1+LiborTenor*ForwardLiborSimulation!AY21)</f>
        <v>1.9714992448193663E-2</v>
      </c>
      <c r="BA22" s="24">
        <f ca="1">+BA21+(LiborTenor*Volatility!AZ21*ForwardLiborSimulation!AZ21)/(1+LiborTenor*ForwardLiborSimulation!AZ21)</f>
        <v>2.0049299868623225E-2</v>
      </c>
      <c r="BB22" s="24">
        <f ca="1">+BB21+(LiborTenor*Volatility!BA21*ForwardLiborSimulation!BA21)/(1+LiborTenor*ForwardLiborSimulation!BA21)</f>
        <v>2.0940535979035984E-2</v>
      </c>
      <c r="BC22" s="24">
        <f ca="1">+BC21+(LiborTenor*Volatility!BB21*ForwardLiborSimulation!BB21)/(1+LiborTenor*ForwardLiborSimulation!BB21)</f>
        <v>2.1165538372136652E-2</v>
      </c>
      <c r="BD22" s="24">
        <f ca="1">+BD21+(LiborTenor*Volatility!BC21*ForwardLiborSimulation!BC21)/(1+LiborTenor*ForwardLiborSimulation!BC21)</f>
        <v>2.0581424143023438E-2</v>
      </c>
      <c r="BE22" s="24">
        <f ca="1">+BE21+(LiborTenor*Volatility!BD21*ForwardLiborSimulation!BD21)/(1+LiborTenor*ForwardLiborSimulation!BD21)</f>
        <v>2.0540168539141593E-2</v>
      </c>
      <c r="BF22" s="24">
        <f ca="1">+BF21+(LiborTenor*Volatility!BE21*ForwardLiborSimulation!BE21)/(1+LiborTenor*ForwardLiborSimulation!BE21)</f>
        <v>2.026358858700205E-2</v>
      </c>
      <c r="BG22" s="24">
        <f ca="1">+BG21+(LiborTenor*Volatility!BF21*ForwardLiborSimulation!BF21)/(1+LiborTenor*ForwardLiborSimulation!BF21)</f>
        <v>1.9361224178743551E-2</v>
      </c>
      <c r="BH22" s="24">
        <f ca="1">+BH21+(LiborTenor*Volatility!BG21*ForwardLiborSimulation!BG21)/(1+LiborTenor*ForwardLiborSimulation!BG21)</f>
        <v>2.0336499713398591E-2</v>
      </c>
      <c r="BI22" s="24">
        <f ca="1">+BI21+(LiborTenor*Volatility!BH21*ForwardLiborSimulation!BH21)/(1+LiborTenor*ForwardLiborSimulation!BH21)</f>
        <v>1.986774038321645E-2</v>
      </c>
      <c r="BJ22" s="24">
        <f ca="1">+BJ21+(LiborTenor*Volatility!BI21*ForwardLiborSimulation!BI21)/(1+LiborTenor*ForwardLiborSimulation!BI21)</f>
        <v>1.8630187749376474E-2</v>
      </c>
      <c r="BK22" s="24">
        <f ca="1">+BK21+(LiborTenor*Volatility!BJ21*ForwardLiborSimulation!BJ21)/(1+LiborTenor*ForwardLiborSimulation!BJ21)</f>
        <v>1.8917649913890073E-2</v>
      </c>
      <c r="BL22" s="24">
        <f ca="1">+BL21+(LiborTenor*Volatility!BK21*ForwardLiborSimulation!BK21)/(1+LiborTenor*ForwardLiborSimulation!BK21)</f>
        <v>1.9312585552648566E-2</v>
      </c>
      <c r="BM22" s="24">
        <f ca="1">+BM21+(LiborTenor*Volatility!BL21*ForwardLiborSimulation!BL21)/(1+LiborTenor*ForwardLiborSimulation!BL21)</f>
        <v>1.9728831387915112E-2</v>
      </c>
      <c r="BN22" s="24">
        <f ca="1">+BN21+(LiborTenor*Volatility!BM21*ForwardLiborSimulation!BM21)/(1+LiborTenor*ForwardLiborSimulation!BM21)</f>
        <v>1.8983233820759338E-2</v>
      </c>
      <c r="BO22" s="24">
        <f ca="1">+BO21+(LiborTenor*Volatility!BN21*ForwardLiborSimulation!BN21)/(1+LiborTenor*ForwardLiborSimulation!BN21)</f>
        <v>1.920842823419697E-2</v>
      </c>
      <c r="BP22" s="24">
        <f ca="1">+BP21+(LiborTenor*Volatility!BO21*ForwardLiborSimulation!BO21)/(1+LiborTenor*ForwardLiborSimulation!BO21)</f>
        <v>1.9818704101682749E-2</v>
      </c>
      <c r="BQ22" s="24">
        <f ca="1">+BQ21+(LiborTenor*Volatility!BP21*ForwardLiborSimulation!BP21)/(1+LiborTenor*ForwardLiborSimulation!BP21)</f>
        <v>1.9920703681963137E-2</v>
      </c>
      <c r="BR22" s="24">
        <f ca="1">+BR21+(LiborTenor*Volatility!BQ21*ForwardLiborSimulation!BQ21)/(1+LiborTenor*ForwardLiborSimulation!BQ21)</f>
        <v>1.9963877044724482E-2</v>
      </c>
      <c r="BS22" s="24">
        <f ca="1">+BS21+(LiborTenor*Volatility!BR21*ForwardLiborSimulation!BR21)/(1+LiborTenor*ForwardLiborSimulation!BR21)</f>
        <v>2.0698520027564692E-2</v>
      </c>
      <c r="BT22" s="24">
        <f ca="1">+BT21+(LiborTenor*Volatility!BS21*ForwardLiborSimulation!BS21)/(1+LiborTenor*ForwardLiborSimulation!BS21)</f>
        <v>1.9752768456508574E-2</v>
      </c>
      <c r="BU22" s="24">
        <f ca="1">+BU21+(LiborTenor*Volatility!BT21*ForwardLiborSimulation!BT21)/(1+LiborTenor*ForwardLiborSimulation!BT21)</f>
        <v>1.9054000311319711E-2</v>
      </c>
      <c r="BV22" s="24">
        <f ca="1">+BV21+(LiborTenor*Volatility!BU21*ForwardLiborSimulation!BU21)/(1+LiborTenor*ForwardLiborSimulation!BU21)</f>
        <v>1.8422020633690105E-2</v>
      </c>
      <c r="BW22" s="24">
        <f ca="1">+BW21+(LiborTenor*Volatility!BV21*ForwardLiborSimulation!BV21)/(1+LiborTenor*ForwardLiborSimulation!BV21)</f>
        <v>1.9304685743923761E-2</v>
      </c>
      <c r="BX22" s="24">
        <f ca="1">+BX21+(LiborTenor*Volatility!BW21*ForwardLiborSimulation!BW21)/(1+LiborTenor*ForwardLiborSimulation!BW21)</f>
        <v>1.8141420575643264E-2</v>
      </c>
      <c r="BY22" s="24">
        <f ca="1">+BY21+(LiborTenor*Volatility!BX21*ForwardLiborSimulation!BX21)/(1+LiborTenor*ForwardLiborSimulation!BX21)</f>
        <v>1.7793546962360789E-2</v>
      </c>
      <c r="BZ22" s="24">
        <f ca="1">+BZ21+(LiborTenor*Volatility!BY21*ForwardLiborSimulation!BY21)/(1+LiborTenor*ForwardLiborSimulation!BY21)</f>
        <v>1.791647927989598E-2</v>
      </c>
      <c r="CA22" s="24">
        <f ca="1">+CA21+(LiborTenor*Volatility!BZ21*ForwardLiborSimulation!BZ21)/(1+LiborTenor*ForwardLiborSimulation!BZ21)</f>
        <v>1.8980760282342985E-2</v>
      </c>
      <c r="CB22" s="24"/>
      <c r="CC22" s="24"/>
      <c r="CD22" s="2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</row>
    <row r="23" spans="4:127" x14ac:dyDescent="0.2">
      <c r="D23" s="2">
        <f>+ForwardLiborSimulation!D23</f>
        <v>6</v>
      </c>
      <c r="E23" s="10"/>
      <c r="F23" s="12" t="str">
        <f t="shared" si="2"/>
        <v>L(t;5.75,6)</v>
      </c>
      <c r="G23" s="14"/>
      <c r="H23" s="24">
        <f>+H22+(LiborTenor*Volatility!G22*ForwardLiborSimulation!G22)/(1+LiborTenor*ForwardLiborSimulation!G22)</f>
        <v>1.8074074074074076E-2</v>
      </c>
      <c r="I23" s="24">
        <f ca="1">+I22+(LiborTenor*Volatility!H22*ForwardLiborSimulation!H22)/(1+LiborTenor*ForwardLiborSimulation!H22)</f>
        <v>1.8697976118686087E-2</v>
      </c>
      <c r="J23" s="24">
        <f ca="1">+J22+(LiborTenor*Volatility!I22*ForwardLiborSimulation!I22)/(1+LiborTenor*ForwardLiborSimulation!I22)</f>
        <v>1.8928308186550332E-2</v>
      </c>
      <c r="K23" s="24">
        <f ca="1">+K22+(LiborTenor*Volatility!J22*ForwardLiborSimulation!J22)/(1+LiborTenor*ForwardLiborSimulation!J22)</f>
        <v>1.8509857432173503E-2</v>
      </c>
      <c r="L23" s="24">
        <f ca="1">+L22+(LiborTenor*Volatility!K22*ForwardLiborSimulation!K22)/(1+LiborTenor*ForwardLiborSimulation!K22)</f>
        <v>1.865440319353915E-2</v>
      </c>
      <c r="M23" s="24">
        <f ca="1">+M22+(LiborTenor*Volatility!L22*ForwardLiborSimulation!L22)/(1+LiborTenor*ForwardLiborSimulation!L22)</f>
        <v>1.8185500015251228E-2</v>
      </c>
      <c r="N23" s="24">
        <f ca="1">+N22+(LiborTenor*Volatility!M22*ForwardLiborSimulation!M22)/(1+LiborTenor*ForwardLiborSimulation!M22)</f>
        <v>1.9170646690488392E-2</v>
      </c>
      <c r="O23" s="24">
        <f ca="1">+O22+(LiborTenor*Volatility!N22*ForwardLiborSimulation!N22)/(1+LiborTenor*ForwardLiborSimulation!N22)</f>
        <v>1.9019620157788658E-2</v>
      </c>
      <c r="P23" s="24">
        <f ca="1">+P22+(LiborTenor*Volatility!O22*ForwardLiborSimulation!O22)/(1+LiborTenor*ForwardLiborSimulation!O22)</f>
        <v>1.9592259303594654E-2</v>
      </c>
      <c r="Q23" s="24">
        <f ca="1">+Q22+(LiborTenor*Volatility!P22*ForwardLiborSimulation!P22)/(1+LiborTenor*ForwardLiborSimulation!P22)</f>
        <v>1.9152830547349141E-2</v>
      </c>
      <c r="R23" s="24">
        <f ca="1">+R22+(LiborTenor*Volatility!Q22*ForwardLiborSimulation!Q22)/(1+LiborTenor*ForwardLiborSimulation!Q22)</f>
        <v>1.9244842896182168E-2</v>
      </c>
      <c r="S23" s="24">
        <f ca="1">+S22+(LiborTenor*Volatility!R22*ForwardLiborSimulation!R22)/(1+LiborTenor*ForwardLiborSimulation!R22)</f>
        <v>1.9689183477462353E-2</v>
      </c>
      <c r="T23" s="24">
        <f ca="1">+T22+(LiborTenor*Volatility!S22*ForwardLiborSimulation!S22)/(1+LiborTenor*ForwardLiborSimulation!S22)</f>
        <v>2.0551522077076438E-2</v>
      </c>
      <c r="U23" s="24">
        <f ca="1">+U22+(LiborTenor*Volatility!T22*ForwardLiborSimulation!T22)/(1+LiborTenor*ForwardLiborSimulation!T22)</f>
        <v>2.0231177511514258E-2</v>
      </c>
      <c r="V23" s="24">
        <f ca="1">+V22+(LiborTenor*Volatility!U22*ForwardLiborSimulation!U22)/(1+LiborTenor*ForwardLiborSimulation!U22)</f>
        <v>2.0188810605348412E-2</v>
      </c>
      <c r="W23" s="24">
        <f ca="1">+W22+(LiborTenor*Volatility!V22*ForwardLiborSimulation!V22)/(1+LiborTenor*ForwardLiborSimulation!V22)</f>
        <v>1.9695052277250411E-2</v>
      </c>
      <c r="X23" s="24">
        <f ca="1">+X22+(LiborTenor*Volatility!W22*ForwardLiborSimulation!W22)/(1+LiborTenor*ForwardLiborSimulation!W22)</f>
        <v>1.8505273255695995E-2</v>
      </c>
      <c r="Y23" s="24">
        <f ca="1">+Y22+(LiborTenor*Volatility!X22*ForwardLiborSimulation!X22)/(1+LiborTenor*ForwardLiborSimulation!X22)</f>
        <v>1.882766754246569E-2</v>
      </c>
      <c r="Z23" s="24">
        <f ca="1">+Z22+(LiborTenor*Volatility!Y22*ForwardLiborSimulation!Y22)/(1+LiborTenor*ForwardLiborSimulation!Y22)</f>
        <v>1.8564413363791908E-2</v>
      </c>
      <c r="AA23" s="24">
        <f ca="1">+AA22+(LiborTenor*Volatility!Z22*ForwardLiborSimulation!Z22)/(1+LiborTenor*ForwardLiborSimulation!Z22)</f>
        <v>1.8972313634993382E-2</v>
      </c>
      <c r="AB23" s="24">
        <f ca="1">+AB22+(LiborTenor*Volatility!AA22*ForwardLiborSimulation!AA22)/(1+LiborTenor*ForwardLiborSimulation!AA22)</f>
        <v>1.9300876478215333E-2</v>
      </c>
      <c r="AC23" s="24">
        <f ca="1">+AC22+(LiborTenor*Volatility!AB22*ForwardLiborSimulation!AB22)/(1+LiborTenor*ForwardLiborSimulation!AB22)</f>
        <v>1.9252977385528256E-2</v>
      </c>
      <c r="AD23" s="24">
        <f ca="1">+AD22+(LiborTenor*Volatility!AC22*ForwardLiborSimulation!AC22)/(1+LiborTenor*ForwardLiborSimulation!AC22)</f>
        <v>1.8882474755747274E-2</v>
      </c>
      <c r="AE23" s="24">
        <f ca="1">+AE22+(LiborTenor*Volatility!AD22*ForwardLiborSimulation!AD22)/(1+LiborTenor*ForwardLiborSimulation!AD22)</f>
        <v>1.8721914398310741E-2</v>
      </c>
      <c r="AF23" s="24">
        <f ca="1">+AF22+(LiborTenor*Volatility!AE22*ForwardLiborSimulation!AE22)/(1+LiborTenor*ForwardLiborSimulation!AE22)</f>
        <v>1.9610500200858211E-2</v>
      </c>
      <c r="AG23" s="24">
        <f ca="1">+AG22+(LiborTenor*Volatility!AF22*ForwardLiborSimulation!AF22)/(1+LiborTenor*ForwardLiborSimulation!AF22)</f>
        <v>1.9708435742718449E-2</v>
      </c>
      <c r="AH23" s="24">
        <f ca="1">+AH22+(LiborTenor*Volatility!AG22*ForwardLiborSimulation!AG22)/(1+LiborTenor*ForwardLiborSimulation!AG22)</f>
        <v>1.9950567602254984E-2</v>
      </c>
      <c r="AI23" s="24">
        <f ca="1">+AI22+(LiborTenor*Volatility!AH22*ForwardLiborSimulation!AH22)/(1+LiborTenor*ForwardLiborSimulation!AH22)</f>
        <v>2.0228767348727496E-2</v>
      </c>
      <c r="AJ23" s="24">
        <f ca="1">+AJ22+(LiborTenor*Volatility!AI22*ForwardLiborSimulation!AI22)/(1+LiborTenor*ForwardLiborSimulation!AI22)</f>
        <v>2.116461688700726E-2</v>
      </c>
      <c r="AK23" s="24">
        <f ca="1">+AK22+(LiborTenor*Volatility!AJ22*ForwardLiborSimulation!AJ22)/(1+LiborTenor*ForwardLiborSimulation!AJ22)</f>
        <v>2.1377708861260981E-2</v>
      </c>
      <c r="AL23" s="24">
        <f ca="1">+AL22+(LiborTenor*Volatility!AK22*ForwardLiborSimulation!AK22)/(1+LiborTenor*ForwardLiborSimulation!AK22)</f>
        <v>2.2101422841097968E-2</v>
      </c>
      <c r="AM23" s="24">
        <f ca="1">+AM22+(LiborTenor*Volatility!AL22*ForwardLiborSimulation!AL22)/(1+LiborTenor*ForwardLiborSimulation!AL22)</f>
        <v>2.2443535937364922E-2</v>
      </c>
      <c r="AN23" s="24">
        <f ca="1">+AN22+(LiborTenor*Volatility!AM22*ForwardLiborSimulation!AM22)/(1+LiborTenor*ForwardLiborSimulation!AM22)</f>
        <v>2.2333798822118386E-2</v>
      </c>
      <c r="AO23" s="24">
        <f ca="1">+AO22+(LiborTenor*Volatility!AN22*ForwardLiborSimulation!AN22)/(1+LiborTenor*ForwardLiborSimulation!AN22)</f>
        <v>2.1120281703411726E-2</v>
      </c>
      <c r="AP23" s="24">
        <f ca="1">+AP22+(LiborTenor*Volatility!AO22*ForwardLiborSimulation!AO22)/(1+LiborTenor*ForwardLiborSimulation!AO22)</f>
        <v>2.0780410720860058E-2</v>
      </c>
      <c r="AQ23" s="24">
        <f ca="1">+AQ22+(LiborTenor*Volatility!AP22*ForwardLiborSimulation!AP22)/(1+LiborTenor*ForwardLiborSimulation!AP22)</f>
        <v>2.0067769436162796E-2</v>
      </c>
      <c r="AR23" s="24">
        <f ca="1">+AR22+(LiborTenor*Volatility!AQ22*ForwardLiborSimulation!AQ22)/(1+LiborTenor*ForwardLiborSimulation!AQ22)</f>
        <v>2.045788812545778E-2</v>
      </c>
      <c r="AS23" s="24">
        <f ca="1">+AS22+(LiborTenor*Volatility!AR22*ForwardLiborSimulation!AR22)/(1+LiborTenor*ForwardLiborSimulation!AR22)</f>
        <v>2.0990045336528554E-2</v>
      </c>
      <c r="AT23" s="24">
        <f ca="1">+AT22+(LiborTenor*Volatility!AS22*ForwardLiborSimulation!AS22)/(1+LiborTenor*ForwardLiborSimulation!AS22)</f>
        <v>2.059343457462285E-2</v>
      </c>
      <c r="AU23" s="24">
        <f ca="1">+AU22+(LiborTenor*Volatility!AT22*ForwardLiborSimulation!AT22)/(1+LiborTenor*ForwardLiborSimulation!AT22)</f>
        <v>2.0426325602142182E-2</v>
      </c>
      <c r="AV23" s="24">
        <f ca="1">+AV22+(LiborTenor*Volatility!AU22*ForwardLiborSimulation!AU22)/(1+LiborTenor*ForwardLiborSimulation!AU22)</f>
        <v>2.0912725801840195E-2</v>
      </c>
      <c r="AW23" s="24">
        <f ca="1">+AW22+(LiborTenor*Volatility!AV22*ForwardLiborSimulation!AV22)/(1+LiborTenor*ForwardLiborSimulation!AV22)</f>
        <v>2.1015449620381876E-2</v>
      </c>
      <c r="AX23" s="24">
        <f ca="1">+AX22+(LiborTenor*Volatility!AW22*ForwardLiborSimulation!AW22)/(1+LiborTenor*ForwardLiborSimulation!AW22)</f>
        <v>2.1590069703658087E-2</v>
      </c>
      <c r="AY23" s="24">
        <f ca="1">+AY22+(LiborTenor*Volatility!AX22*ForwardLiborSimulation!AX22)/(1+LiborTenor*ForwardLiborSimulation!AX22)</f>
        <v>2.0981651178116165E-2</v>
      </c>
      <c r="AZ23" s="24">
        <f ca="1">+AZ22+(LiborTenor*Volatility!AY22*ForwardLiborSimulation!AY22)/(1+LiborTenor*ForwardLiborSimulation!AY22)</f>
        <v>2.1417101805400143E-2</v>
      </c>
      <c r="BA23" s="24">
        <f ca="1">+BA22+(LiborTenor*Volatility!AZ22*ForwardLiborSimulation!AZ22)/(1+LiborTenor*ForwardLiborSimulation!AZ22)</f>
        <v>2.1786840017300895E-2</v>
      </c>
      <c r="BB23" s="24">
        <f ca="1">+BB22+(LiborTenor*Volatility!BA22*ForwardLiborSimulation!BA22)/(1+LiborTenor*ForwardLiborSimulation!BA22)</f>
        <v>2.2773105563307996E-2</v>
      </c>
      <c r="BC23" s="24">
        <f ca="1">+BC22+(LiborTenor*Volatility!BB22*ForwardLiborSimulation!BB22)/(1+LiborTenor*ForwardLiborSimulation!BB22)</f>
        <v>2.3022175332973273E-2</v>
      </c>
      <c r="BD23" s="24">
        <f ca="1">+BD22+(LiborTenor*Volatility!BC22*ForwardLiborSimulation!BC22)/(1+LiborTenor*ForwardLiborSimulation!BC22)</f>
        <v>2.2374781839926021E-2</v>
      </c>
      <c r="BE23" s="24">
        <f ca="1">+BE22+(LiborTenor*Volatility!BD22*ForwardLiborSimulation!BD22)/(1+LiborTenor*ForwardLiborSimulation!BD22)</f>
        <v>2.2328923082851015E-2</v>
      </c>
      <c r="BF23" s="24">
        <f ca="1">+BF22+(LiborTenor*Volatility!BE22*ForwardLiborSimulation!BE22)/(1+LiborTenor*ForwardLiborSimulation!BE22)</f>
        <v>2.2022491761002308E-2</v>
      </c>
      <c r="BG23" s="24">
        <f ca="1">+BG22+(LiborTenor*Volatility!BF22*ForwardLiborSimulation!BF22)/(1+LiborTenor*ForwardLiborSimulation!BF22)</f>
        <v>2.1023407789066889E-2</v>
      </c>
      <c r="BH23" s="24">
        <f ca="1">+BH22+(LiborTenor*Volatility!BG22*ForwardLiborSimulation!BG22)/(1+LiborTenor*ForwardLiborSimulation!BG22)</f>
        <v>2.2101813957229884E-2</v>
      </c>
      <c r="BI23" s="24">
        <f ca="1">+BI22+(LiborTenor*Volatility!BH22*ForwardLiborSimulation!BH22)/(1+LiborTenor*ForwardLiborSimulation!BH22)</f>
        <v>2.1582731272547725E-2</v>
      </c>
      <c r="BJ23" s="24">
        <f ca="1">+BJ22+(LiborTenor*Volatility!BI22*ForwardLiborSimulation!BI22)/(1+LiborTenor*ForwardLiborSimulation!BI22)</f>
        <v>2.0213260536163794E-2</v>
      </c>
      <c r="BK23" s="24">
        <f ca="1">+BK22+(LiborTenor*Volatility!BJ22*ForwardLiborSimulation!BJ22)/(1+LiborTenor*ForwardLiborSimulation!BJ22)</f>
        <v>2.0530746642287656E-2</v>
      </c>
      <c r="BL23" s="24">
        <f ca="1">+BL22+(LiborTenor*Volatility!BK22*ForwardLiborSimulation!BK22)/(1+LiborTenor*ForwardLiborSimulation!BK22)</f>
        <v>2.0967108585214601E-2</v>
      </c>
      <c r="BM23" s="24">
        <f ca="1">+BM22+(LiborTenor*Volatility!BL22*ForwardLiborSimulation!BL22)/(1+LiborTenor*ForwardLiborSimulation!BL22)</f>
        <v>2.1427203663052934E-2</v>
      </c>
      <c r="BN23" s="24">
        <f ca="1">+BN22+(LiborTenor*Volatility!BM22*ForwardLiborSimulation!BM22)/(1+LiborTenor*ForwardLiborSimulation!BM22)</f>
        <v>2.0602270976460189E-2</v>
      </c>
      <c r="BO23" s="24">
        <f ca="1">+BO22+(LiborTenor*Volatility!BN22*ForwardLiborSimulation!BN22)/(1+LiborTenor*ForwardLiborSimulation!BN22)</f>
        <v>2.0851028984918668E-2</v>
      </c>
      <c r="BP23" s="24">
        <f ca="1">+BP22+(LiborTenor*Volatility!BO22*ForwardLiborSimulation!BO22)/(1+LiborTenor*ForwardLiborSimulation!BO22)</f>
        <v>2.1525557050858998E-2</v>
      </c>
      <c r="BQ23" s="24">
        <f ca="1">+BQ22+(LiborTenor*Volatility!BP22*ForwardLiborSimulation!BP22)/(1+LiborTenor*ForwardLiborSimulation!BP22)</f>
        <v>2.1638231035574586E-2</v>
      </c>
      <c r="BR23" s="24">
        <f ca="1">+BR22+(LiborTenor*Volatility!BQ22*ForwardLiborSimulation!BQ22)/(1+LiborTenor*ForwardLiborSimulation!BQ22)</f>
        <v>2.1685833228341413E-2</v>
      </c>
      <c r="BS23" s="24">
        <f ca="1">+BS22+(LiborTenor*Volatility!BR22*ForwardLiborSimulation!BR22)/(1+LiborTenor*ForwardLiborSimulation!BR22)</f>
        <v>2.249844354090345E-2</v>
      </c>
      <c r="BT23" s="24">
        <f ca="1">+BT22+(LiborTenor*Volatility!BS22*ForwardLiborSimulation!BS22)/(1+LiborTenor*ForwardLiborSimulation!BS22)</f>
        <v>2.1451160396897189E-2</v>
      </c>
      <c r="BU23" s="24">
        <f ca="1">+BU22+(LiborTenor*Volatility!BT22*ForwardLiborSimulation!BT22)/(1+LiborTenor*ForwardLiborSimulation!BT22)</f>
        <v>2.0678113028450774E-2</v>
      </c>
      <c r="BV23" s="24">
        <f ca="1">+BV22+(LiborTenor*Volatility!BU22*ForwardLiborSimulation!BU22)/(1+LiborTenor*ForwardLiborSimulation!BU22)</f>
        <v>1.9979478989926101E-2</v>
      </c>
      <c r="BW23" s="24">
        <f ca="1">+BW22+(LiborTenor*Volatility!BV22*ForwardLiborSimulation!BV22)/(1+LiborTenor*ForwardLiborSimulation!BV22)</f>
        <v>2.0954188040292566E-2</v>
      </c>
      <c r="BX23" s="24">
        <f ca="1">+BX22+(LiborTenor*Volatility!BW22*ForwardLiborSimulation!BW22)/(1+LiborTenor*ForwardLiborSimulation!BW22)</f>
        <v>1.9668071449541691E-2</v>
      </c>
      <c r="BY23" s="24"/>
      <c r="BZ23" s="24"/>
      <c r="CA23" s="2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</row>
    <row r="24" spans="4:127" x14ac:dyDescent="0.2">
      <c r="D24" s="2">
        <f>+ForwardLiborSimulation!D24</f>
        <v>5.75</v>
      </c>
      <c r="E24" s="10"/>
      <c r="F24" s="12" t="str">
        <f t="shared" si="2"/>
        <v>L(t;5.5,5.75)</v>
      </c>
      <c r="G24" s="14"/>
      <c r="H24" s="24">
        <f>+H23+(LiborTenor*Volatility!G23*ForwardLiborSimulation!G23)/(1+LiborTenor*ForwardLiborSimulation!G23)</f>
        <v>1.9509601506746351E-2</v>
      </c>
      <c r="I24" s="24">
        <f ca="1">+I23+(LiborTenor*Volatility!H23*ForwardLiborSimulation!H23)/(1+LiborTenor*ForwardLiborSimulation!H23)</f>
        <v>2.0187895262625485E-2</v>
      </c>
      <c r="J24" s="24">
        <f ca="1">+J23+(LiborTenor*Volatility!I23*ForwardLiborSimulation!I23)/(1+LiborTenor*ForwardLiborSimulation!I23)</f>
        <v>2.043352560175778E-2</v>
      </c>
      <c r="K24" s="24">
        <f ca="1">+K23+(LiborTenor*Volatility!J23*ForwardLiborSimulation!J23)/(1+LiborTenor*ForwardLiborSimulation!J23)</f>
        <v>1.9973510505881888E-2</v>
      </c>
      <c r="L24" s="24">
        <f ca="1">+L23+(LiborTenor*Volatility!K23*ForwardLiborSimulation!K23)/(1+LiborTenor*ForwardLiborSimulation!K23)</f>
        <v>2.0132161895244756E-2</v>
      </c>
      <c r="M24" s="24">
        <f ca="1">+M23+(LiborTenor*Volatility!L23*ForwardLiborSimulation!L23)/(1+LiborTenor*ForwardLiborSimulation!L23)</f>
        <v>1.9616864690199038E-2</v>
      </c>
      <c r="N24" s="24">
        <f ca="1">+N23+(LiborTenor*Volatility!M23*ForwardLiborSimulation!M23)/(1+LiborTenor*ForwardLiborSimulation!M23)</f>
        <v>2.0698493272853002E-2</v>
      </c>
      <c r="O24" s="24">
        <f ca="1">+O23+(LiborTenor*Volatility!N23*ForwardLiborSimulation!N23)/(1+LiborTenor*ForwardLiborSimulation!N23)</f>
        <v>2.0532344973970541E-2</v>
      </c>
      <c r="P24" s="24">
        <f ca="1">+P23+(LiborTenor*Volatility!O23*ForwardLiborSimulation!O23)/(1+LiborTenor*ForwardLiborSimulation!O23)</f>
        <v>2.1161536684387354E-2</v>
      </c>
      <c r="Q24" s="24">
        <f ca="1">+Q23+(LiborTenor*Volatility!P23*ForwardLiborSimulation!P23)/(1+LiborTenor*ForwardLiborSimulation!P23)</f>
        <v>2.0678172273756148E-2</v>
      </c>
      <c r="R24" s="24">
        <f ca="1">+R23+(LiborTenor*Volatility!Q23*ForwardLiborSimulation!Q23)/(1+LiborTenor*ForwardLiborSimulation!Q23)</f>
        <v>2.0779164760888844E-2</v>
      </c>
      <c r="S24" s="24">
        <f ca="1">+S23+(LiborTenor*Volatility!R23*ForwardLiborSimulation!R23)/(1+LiborTenor*ForwardLiborSimulation!R23)</f>
        <v>2.1267449010942664E-2</v>
      </c>
      <c r="T24" s="24">
        <f ca="1">+T23+(LiborTenor*Volatility!S23*ForwardLiborSimulation!S23)/(1+LiborTenor*ForwardLiborSimulation!S23)</f>
        <v>2.2215609687519285E-2</v>
      </c>
      <c r="U24" s="24">
        <f ca="1">+U23+(LiborTenor*Volatility!T23*ForwardLiborSimulation!T23)/(1+LiborTenor*ForwardLiborSimulation!T23)</f>
        <v>2.186286552383828E-2</v>
      </c>
      <c r="V24" s="24">
        <f ca="1">+V23+(LiborTenor*Volatility!U23*ForwardLiborSimulation!U23)/(1+LiborTenor*ForwardLiborSimulation!U23)</f>
        <v>2.1816091993575187E-2</v>
      </c>
      <c r="W24" s="24">
        <f ca="1">+W23+(LiborTenor*Volatility!V23*ForwardLiborSimulation!V23)/(1+LiborTenor*ForwardLiborSimulation!V23)</f>
        <v>2.1272693544266089E-2</v>
      </c>
      <c r="X24" s="24">
        <f ca="1">+X23+(LiborTenor*Volatility!W23*ForwardLiborSimulation!W23)/(1+LiborTenor*ForwardLiborSimulation!W23)</f>
        <v>1.9964186927261245E-2</v>
      </c>
      <c r="Y24" s="24">
        <f ca="1">+Y23+(LiborTenor*Volatility!X23*ForwardLiborSimulation!X23)/(1+LiborTenor*ForwardLiborSimulation!X23)</f>
        <v>2.0318114972170946E-2</v>
      </c>
      <c r="Z24" s="24">
        <f ca="1">+Z23+(LiborTenor*Volatility!Y23*ForwardLiborSimulation!Y23)/(1+LiborTenor*ForwardLiborSimulation!Y23)</f>
        <v>2.0028771805366212E-2</v>
      </c>
      <c r="AA24" s="24">
        <f ca="1">+AA23+(LiborTenor*Volatility!Z23*ForwardLiborSimulation!Z23)/(1+LiborTenor*ForwardLiborSimulation!Z23)</f>
        <v>2.0476621557115139E-2</v>
      </c>
      <c r="AB24" s="24">
        <f ca="1">+AB23+(LiborTenor*Volatility!AA23*ForwardLiborSimulation!AA23)/(1+LiborTenor*ForwardLiborSimulation!AA23)</f>
        <v>2.0837483733532652E-2</v>
      </c>
      <c r="AC24" s="24">
        <f ca="1">+AC23+(LiborTenor*Volatility!AB23*ForwardLiborSimulation!AB23)/(1+LiborTenor*ForwardLiborSimulation!AB23)</f>
        <v>2.0784695474995334E-2</v>
      </c>
      <c r="AD24" s="24">
        <f ca="1">+AD23+(LiborTenor*Volatility!AC23*ForwardLiborSimulation!AC23)/(1+LiborTenor*ForwardLiborSimulation!AC23)</f>
        <v>2.0377358365241589E-2</v>
      </c>
      <c r="AE24" s="24">
        <f ca="1">+AE23+(LiborTenor*Volatility!AD23*ForwardLiborSimulation!AD23)/(1+LiborTenor*ForwardLiborSimulation!AD23)</f>
        <v>2.0200832181275427E-2</v>
      </c>
      <c r="AF24" s="24">
        <f ca="1">+AF23+(LiborTenor*Volatility!AE23*ForwardLiborSimulation!AE23)/(1+LiborTenor*ForwardLiborSimulation!AE23)</f>
        <v>2.1176704450543364E-2</v>
      </c>
      <c r="AG24" s="24">
        <f ca="1">+AG23+(LiborTenor*Volatility!AF23*ForwardLiborSimulation!AF23)/(1+LiborTenor*ForwardLiborSimulation!AF23)</f>
        <v>2.1284224406353105E-2</v>
      </c>
      <c r="AH24" s="24">
        <f ca="1">+AH23+(LiborTenor*Volatility!AG23*ForwardLiborSimulation!AG23)/(1+LiborTenor*ForwardLiborSimulation!AG23)</f>
        <v>2.1550292087408902E-2</v>
      </c>
      <c r="AI24" s="24">
        <f ca="1">+AI23+(LiborTenor*Volatility!AH23*ForwardLiborSimulation!AH23)/(1+LiborTenor*ForwardLiborSimulation!AH23)</f>
        <v>2.1856082783192222E-2</v>
      </c>
      <c r="AJ24" s="24">
        <f ca="1">+AJ23+(LiborTenor*Volatility!AI23*ForwardLiborSimulation!AI23)/(1+LiborTenor*ForwardLiborSimulation!AI23)</f>
        <v>2.2885369563098262E-2</v>
      </c>
      <c r="AK24" s="24">
        <f ca="1">+AK23+(LiborTenor*Volatility!AJ23*ForwardLiborSimulation!AJ23)/(1+LiborTenor*ForwardLiborSimulation!AJ23)</f>
        <v>2.3119805338651628E-2</v>
      </c>
      <c r="AL24" s="24">
        <f ca="1">+AL23+(LiborTenor*Volatility!AK23*ForwardLiborSimulation!AK23)/(1+LiborTenor*ForwardLiborSimulation!AK23)</f>
        <v>2.3916569777035483E-2</v>
      </c>
      <c r="AM24" s="24">
        <f ca="1">+AM23+(LiborTenor*Volatility!AL23*ForwardLiborSimulation!AL23)/(1+LiborTenor*ForwardLiborSimulation!AL23)</f>
        <v>2.4293352674531005E-2</v>
      </c>
      <c r="AN24" s="24">
        <f ca="1">+AN23+(LiborTenor*Volatility!AM23*ForwardLiborSimulation!AM23)/(1+LiborTenor*ForwardLiborSimulation!AM23)</f>
        <v>2.4172196718426586E-2</v>
      </c>
      <c r="AO24" s="24">
        <f ca="1">+AO23+(LiborTenor*Volatility!AN23*ForwardLiborSimulation!AN23)/(1+LiborTenor*ForwardLiborSimulation!AN23)</f>
        <v>2.2834534678221784E-2</v>
      </c>
      <c r="AP24" s="24">
        <f ca="1">+AP23+(LiborTenor*Volatility!AO23*ForwardLiborSimulation!AO23)/(1+LiborTenor*ForwardLiborSimulation!AO23)</f>
        <v>2.2460217853103082E-2</v>
      </c>
      <c r="AQ24" s="24">
        <f ca="1">+AQ23+(LiborTenor*Volatility!AP23*ForwardLiborSimulation!AP23)/(1+LiborTenor*ForwardLiborSimulation!AP23)</f>
        <v>2.1675807390406455E-2</v>
      </c>
      <c r="AR24" s="24">
        <f ca="1">+AR23+(LiborTenor*Volatility!AQ23*ForwardLiborSimulation!AQ23)/(1+LiborTenor*ForwardLiborSimulation!AQ23)</f>
        <v>2.2104651114506019E-2</v>
      </c>
      <c r="AS24" s="24">
        <f ca="1">+AS23+(LiborTenor*Volatility!AR23*ForwardLiborSimulation!AR23)/(1+LiborTenor*ForwardLiborSimulation!AR23)</f>
        <v>2.2689899208946877E-2</v>
      </c>
      <c r="AT24" s="24">
        <f ca="1">+AT23+(LiborTenor*Volatility!AS23*ForwardLiborSimulation!AS23)/(1+LiborTenor*ForwardLiborSimulation!AS23)</f>
        <v>2.2253204894142321E-2</v>
      </c>
      <c r="AU24" s="24">
        <f ca="1">+AU23+(LiborTenor*Volatility!AT23*ForwardLiborSimulation!AT23)/(1+LiborTenor*ForwardLiborSimulation!AT23)</f>
        <v>2.2069188118200276E-2</v>
      </c>
      <c r="AV24" s="24">
        <f ca="1">+AV23+(LiborTenor*Volatility!AU23*ForwardLiborSimulation!AU23)/(1+LiborTenor*ForwardLiborSimulation!AU23)</f>
        <v>2.2604064542109836E-2</v>
      </c>
      <c r="AW24" s="24">
        <f ca="1">+AW23+(LiborTenor*Volatility!AV23*ForwardLiborSimulation!AV23)/(1+LiborTenor*ForwardLiborSimulation!AV23)</f>
        <v>2.2716942324870978E-2</v>
      </c>
      <c r="AX24" s="24">
        <f ca="1">+AX23+(LiborTenor*Volatility!AW23*ForwardLiborSimulation!AW23)/(1+LiborTenor*ForwardLiborSimulation!AW23)</f>
        <v>2.3349193456920436E-2</v>
      </c>
      <c r="AY24" s="24">
        <f ca="1">+AY23+(LiborTenor*Volatility!AX23*ForwardLiborSimulation!AX23)/(1+LiborTenor*ForwardLiborSimulation!AX23)</f>
        <v>2.267902705274754E-2</v>
      </c>
      <c r="AZ24" s="24">
        <f ca="1">+AZ23+(LiborTenor*Volatility!AY23*ForwardLiborSimulation!AY23)/(1+LiborTenor*ForwardLiborSimulation!AY23)</f>
        <v>2.3158078451670058E-2</v>
      </c>
      <c r="BA24" s="24">
        <f ca="1">+BA23+(LiborTenor*Volatility!AZ23*ForwardLiborSimulation!AZ23)/(1+LiborTenor*ForwardLiborSimulation!AZ23)</f>
        <v>2.3564966179177471E-2</v>
      </c>
      <c r="BB24" s="24">
        <f ca="1">+BB23+(LiborTenor*Volatility!BA23*ForwardLiborSimulation!BA23)/(1+LiborTenor*ForwardLiborSimulation!BA23)</f>
        <v>2.4650967588462278E-2</v>
      </c>
      <c r="BC24" s="24">
        <f ca="1">+BC23+(LiborTenor*Volatility!BB23*ForwardLiborSimulation!BB23)/(1+LiborTenor*ForwardLiborSimulation!BB23)</f>
        <v>2.4925304130820357E-2</v>
      </c>
      <c r="BD24" s="24">
        <f ca="1">+BD23+(LiborTenor*Volatility!BC23*ForwardLiborSimulation!BC23)/(1+LiborTenor*ForwardLiborSimulation!BC23)</f>
        <v>2.4211332983260163E-2</v>
      </c>
      <c r="BE24" s="24">
        <f ca="1">+BE23+(LiborTenor*Volatility!BD23*ForwardLiborSimulation!BD23)/(1+LiborTenor*ForwardLiborSimulation!BD23)</f>
        <v>2.4160605994331973E-2</v>
      </c>
      <c r="BF24" s="24">
        <f ca="1">+BF23+(LiborTenor*Volatility!BE23*ForwardLiborSimulation!BE23)/(1+LiborTenor*ForwardLiborSimulation!BE23)</f>
        <v>2.3822783256166637E-2</v>
      </c>
      <c r="BG24" s="24">
        <f ca="1">+BG23+(LiborTenor*Volatility!BF23*ForwardLiborSimulation!BF23)/(1+LiborTenor*ForwardLiborSimulation!BF23)</f>
        <v>2.2722107052320594E-2</v>
      </c>
      <c r="BH24" s="24">
        <f ca="1">+BH23+(LiborTenor*Volatility!BG23*ForwardLiborSimulation!BG23)/(1+LiborTenor*ForwardLiborSimulation!BG23)</f>
        <v>2.3908611516413113E-2</v>
      </c>
      <c r="BI24" s="24">
        <f ca="1">+BI23+(LiborTenor*Volatility!BH23*ForwardLiborSimulation!BH23)/(1+LiborTenor*ForwardLiborSimulation!BH23)</f>
        <v>2.3336657268279496E-2</v>
      </c>
      <c r="BJ24" s="24">
        <f ca="1">+BJ23+(LiborTenor*Volatility!BI23*ForwardLiborSimulation!BI23)/(1+LiborTenor*ForwardLiborSimulation!BI23)</f>
        <v>2.1828744906492316E-2</v>
      </c>
      <c r="BK24" s="24">
        <f ca="1">+BK23+(LiborTenor*Volatility!BJ23*ForwardLiborSimulation!BJ23)/(1+LiborTenor*ForwardLiborSimulation!BJ23)</f>
        <v>2.2177639150283635E-2</v>
      </c>
      <c r="BL24" s="24">
        <f ca="1">+BL23+(LiborTenor*Volatility!BK23*ForwardLiborSimulation!BK23)/(1+LiborTenor*ForwardLiborSimulation!BK23)</f>
        <v>2.265736576975954E-2</v>
      </c>
      <c r="BM24" s="24">
        <f ca="1">+BM23+(LiborTenor*Volatility!BL23*ForwardLiborSimulation!BL23)/(1+LiborTenor*ForwardLiborSimulation!BL23)</f>
        <v>2.3163390730660691E-2</v>
      </c>
      <c r="BN24" s="24">
        <f ca="1">+BN23+(LiborTenor*Volatility!BM23*ForwardLiborSimulation!BM23)/(1+LiborTenor*ForwardLiborSimulation!BM23)</f>
        <v>2.2255224573975999E-2</v>
      </c>
      <c r="BO24" s="24">
        <f ca="1">+BO23+(LiborTenor*Volatility!BN23*ForwardLiborSimulation!BN23)/(1+LiborTenor*ForwardLiborSimulation!BN23)</f>
        <v>2.2528637376846045E-2</v>
      </c>
      <c r="BP24" s="24">
        <f ca="1">+BP23+(LiborTenor*Volatility!BO23*ForwardLiborSimulation!BO23)/(1+LiborTenor*ForwardLiborSimulation!BO23)</f>
        <v>2.3270460686038347E-2</v>
      </c>
      <c r="BQ24" s="24">
        <f ca="1">+BQ23+(LiborTenor*Volatility!BP23*ForwardLiborSimulation!BP23)/(1+LiborTenor*ForwardLiborSimulation!BP23)</f>
        <v>2.3394300717141138E-2</v>
      </c>
      <c r="BR24" s="24">
        <f ca="1">+BR23+(LiborTenor*Volatility!BQ23*ForwardLiborSimulation!BQ23)/(1+LiborTenor*ForwardLiborSimulation!BQ23)</f>
        <v>2.3446518997366321E-2</v>
      </c>
      <c r="BS24" s="24">
        <f ca="1">+BS23+(LiborTenor*Volatility!BR23*ForwardLiborSimulation!BR23)/(1+LiborTenor*ForwardLiborSimulation!BR23)</f>
        <v>2.434088521402903E-2</v>
      </c>
      <c r="BT24" s="24">
        <f ca="1">+BT23+(LiborTenor*Volatility!BS23*ForwardLiborSimulation!BS23)/(1+LiborTenor*ForwardLiborSimulation!BS23)</f>
        <v>2.3186945909172096E-2</v>
      </c>
      <c r="BU24" s="24">
        <f ca="1">+BU23+(LiborTenor*Volatility!BT23*ForwardLiborSimulation!BT23)/(1+LiborTenor*ForwardLiborSimulation!BT23)</f>
        <v>2.2335986300830661E-2</v>
      </c>
      <c r="BV24" s="24"/>
      <c r="BW24" s="24"/>
      <c r="BX24" s="2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</row>
    <row r="25" spans="4:127" x14ac:dyDescent="0.2">
      <c r="D25" s="2">
        <f>+ForwardLiborSimulation!D25</f>
        <v>5.5</v>
      </c>
      <c r="E25" s="10"/>
      <c r="F25" s="12" t="str">
        <f t="shared" si="2"/>
        <v>L(t;5.25,5.5)</v>
      </c>
      <c r="G25" s="14"/>
      <c r="H25" s="24">
        <f>+H24+(LiborTenor*Volatility!G24*ForwardLiborSimulation!G24)/(1+LiborTenor*ForwardLiborSimulation!G24)</f>
        <v>2.0972790270444453E-2</v>
      </c>
      <c r="I25" s="24">
        <f ca="1">+I24+(LiborTenor*Volatility!H24*ForwardLiborSimulation!H24)/(1+LiborTenor*ForwardLiborSimulation!H24)</f>
        <v>2.1707284895111048E-2</v>
      </c>
      <c r="J25" s="24">
        <f ca="1">+J24+(LiborTenor*Volatility!I24*ForwardLiborSimulation!I24)/(1+LiborTenor*ForwardLiborSimulation!I24)</f>
        <v>2.196824301995455E-2</v>
      </c>
      <c r="K25" s="24">
        <f ca="1">+K24+(LiborTenor*Volatility!J24*ForwardLiborSimulation!J24)/(1+LiborTenor*ForwardLiborSimulation!J24)</f>
        <v>2.1464754052210246E-2</v>
      </c>
      <c r="L25" s="24">
        <f ca="1">+L24+(LiborTenor*Volatility!K24*ForwardLiborSimulation!K24)/(1+LiborTenor*ForwardLiborSimulation!K24)</f>
        <v>2.1638118464922598E-2</v>
      </c>
      <c r="M25" s="24">
        <f ca="1">+M24+(LiborTenor*Volatility!L24*ForwardLiborSimulation!L24)/(1+LiborTenor*ForwardLiborSimulation!L24)</f>
        <v>2.1074323677395194E-2</v>
      </c>
      <c r="N25" s="24">
        <f ca="1">+N24+(LiborTenor*Volatility!M24*ForwardLiborSimulation!M24)/(1+LiborTenor*ForwardLiborSimulation!M24)</f>
        <v>2.225665564802996E-2</v>
      </c>
      <c r="O25" s="24">
        <f ca="1">+O24+(LiborTenor*Volatility!N24*ForwardLiborSimulation!N24)/(1+LiborTenor*ForwardLiborSimulation!N24)</f>
        <v>2.2074671731721184E-2</v>
      </c>
      <c r="P25" s="24">
        <f ca="1">+P24+(LiborTenor*Volatility!O24*ForwardLiborSimulation!O24)/(1+LiborTenor*ForwardLiborSimulation!O24)</f>
        <v>2.2762956490569586E-2</v>
      </c>
      <c r="Q25" s="24">
        <f ca="1">+Q24+(LiborTenor*Volatility!P24*ForwardLiborSimulation!P24)/(1+LiborTenor*ForwardLiborSimulation!P24)</f>
        <v>2.2233597795278778E-2</v>
      </c>
      <c r="R25" s="24">
        <f ca="1">+R24+(LiborTenor*Volatility!Q24*ForwardLiborSimulation!Q24)/(1+LiborTenor*ForwardLiborSimulation!Q24)</f>
        <v>2.2343955216537811E-2</v>
      </c>
      <c r="S25" s="24">
        <f ca="1">+S24+(LiborTenor*Volatility!R24*ForwardLiborSimulation!R24)/(1+LiborTenor*ForwardLiborSimulation!R24)</f>
        <v>2.2878164306339249E-2</v>
      </c>
      <c r="T25" s="24">
        <f ca="1">+T24+(LiborTenor*Volatility!S24*ForwardLiborSimulation!S24)/(1+LiborTenor*ForwardLiborSimulation!S24)</f>
        <v>2.391609832011321E-2</v>
      </c>
      <c r="U25" s="24">
        <f ca="1">+U24+(LiborTenor*Volatility!T24*ForwardLiborSimulation!T24)/(1+LiborTenor*ForwardLiborSimulation!T24)</f>
        <v>2.3529381015397893E-2</v>
      </c>
      <c r="V25" s="24">
        <f ca="1">+V24+(LiborTenor*Volatility!U24*ForwardLiborSimulation!U24)/(1+LiborTenor*ForwardLiborSimulation!U24)</f>
        <v>2.3477965825963596E-2</v>
      </c>
      <c r="W25" s="24">
        <f ca="1">+W24+(LiborTenor*Volatility!V24*ForwardLiborSimulation!V24)/(1+LiborTenor*ForwardLiborSimulation!V24)</f>
        <v>2.2882563592521391E-2</v>
      </c>
      <c r="X25" s="24">
        <f ca="1">+X24+(LiborTenor*Volatility!W24*ForwardLiborSimulation!W24)/(1+LiborTenor*ForwardLiborSimulation!W24)</f>
        <v>2.1449813798102374E-2</v>
      </c>
      <c r="Y25" s="24">
        <f ca="1">+Y24+(LiborTenor*Volatility!X24*ForwardLiborSimulation!X24)/(1+LiborTenor*ForwardLiborSimulation!X24)</f>
        <v>2.1836643352908223E-2</v>
      </c>
      <c r="Z25" s="24">
        <f ca="1">+Z24+(LiborTenor*Volatility!Y24*ForwardLiborSimulation!Y24)/(1+LiborTenor*ForwardLiborSimulation!Y24)</f>
        <v>2.1520024572800167E-2</v>
      </c>
      <c r="AA25" s="24">
        <f ca="1">+AA24+(LiborTenor*Volatility!Z24*ForwardLiborSimulation!Z24)/(1+LiborTenor*ForwardLiborSimulation!Z24)</f>
        <v>2.2009564435672119E-2</v>
      </c>
      <c r="AB25" s="24">
        <f ca="1">+AB24+(LiborTenor*Volatility!AA24*ForwardLiborSimulation!AA24)/(1+LiborTenor*ForwardLiborSimulation!AA24)</f>
        <v>2.2404149830137384E-2</v>
      </c>
      <c r="AC25" s="24">
        <f ca="1">+AC24+(LiborTenor*Volatility!AB24*ForwardLiborSimulation!AB24)/(1+LiborTenor*ForwardLiborSimulation!AB24)</f>
        <v>2.2346226562374071E-2</v>
      </c>
      <c r="AD25" s="24">
        <f ca="1">+AD24+(LiborTenor*Volatility!AC24*ForwardLiborSimulation!AC24)/(1+LiborTenor*ForwardLiborSimulation!AC24)</f>
        <v>2.1900364291001322E-2</v>
      </c>
      <c r="AE25" s="24">
        <f ca="1">+AE24+(LiborTenor*Volatility!AD24*ForwardLiborSimulation!AD24)/(1+LiborTenor*ForwardLiborSimulation!AD24)</f>
        <v>2.1707137622983007E-2</v>
      </c>
      <c r="AF25" s="24">
        <f ca="1">+AF24+(LiborTenor*Volatility!AE24*ForwardLiborSimulation!AE24)/(1+LiborTenor*ForwardLiborSimulation!AE24)</f>
        <v>2.2774137939455444E-2</v>
      </c>
      <c r="AG25" s="24">
        <f ca="1">+AG24+(LiborTenor*Volatility!AF24*ForwardLiborSimulation!AF24)/(1+LiborTenor*ForwardLiborSimulation!AF24)</f>
        <v>2.2891655430831451E-2</v>
      </c>
      <c r="AH25" s="24">
        <f ca="1">+AH24+(LiborTenor*Volatility!AG24*ForwardLiborSimulation!AG24)/(1+LiborTenor*ForwardLiborSimulation!AG24)</f>
        <v>2.3182731290025106E-2</v>
      </c>
      <c r="AI25" s="24">
        <f ca="1">+AI24+(LiborTenor*Volatility!AH24*ForwardLiborSimulation!AH24)/(1+LiborTenor*ForwardLiborSimulation!AH24)</f>
        <v>2.3517362476232758E-2</v>
      </c>
      <c r="AJ25" s="24">
        <f ca="1">+AJ24+(LiborTenor*Volatility!AI24*ForwardLiborSimulation!AI24)/(1+LiborTenor*ForwardLiborSimulation!AI24)</f>
        <v>2.4644418429471716E-2</v>
      </c>
      <c r="AK25" s="24">
        <f ca="1">+AK24+(LiborTenor*Volatility!AJ24*ForwardLiborSimulation!AJ24)/(1+LiborTenor*ForwardLiborSimulation!AJ24)</f>
        <v>2.4901193614144453E-2</v>
      </c>
      <c r="AL25" s="24">
        <f ca="1">+AL24+(LiborTenor*Volatility!AK24*ForwardLiborSimulation!AK24)/(1+LiborTenor*ForwardLiborSimulation!AK24)</f>
        <v>2.5774510079577914E-2</v>
      </c>
      <c r="AM25" s="24">
        <f ca="1">+AM24+(LiborTenor*Volatility!AL24*ForwardLiborSimulation!AL24)/(1+LiborTenor*ForwardLiborSimulation!AL24)</f>
        <v>2.618764167849863E-2</v>
      </c>
      <c r="AN25" s="24">
        <f ca="1">+AN24+(LiborTenor*Volatility!AM24*ForwardLiborSimulation!AM24)/(1+LiborTenor*ForwardLiborSimulation!AM24)</f>
        <v>2.6054462242732546E-2</v>
      </c>
      <c r="AO25" s="24">
        <f ca="1">+AO24+(LiborTenor*Volatility!AN24*ForwardLiborSimulation!AN24)/(1+LiborTenor*ForwardLiborSimulation!AN24)</f>
        <v>2.4586447868831688E-2</v>
      </c>
      <c r="AP25" s="24">
        <f ca="1">+AP24+(LiborTenor*Volatility!AO24*ForwardLiborSimulation!AO24)/(1+LiborTenor*ForwardLiborSimulation!AO24)</f>
        <v>2.4176008991700627E-2</v>
      </c>
      <c r="AQ25" s="24">
        <f ca="1">+AQ24+(LiborTenor*Volatility!AP24*ForwardLiborSimulation!AP24)/(1+LiborTenor*ForwardLiborSimulation!AP24)</f>
        <v>2.3316409993873216E-2</v>
      </c>
      <c r="AR25" s="24">
        <f ca="1">+AR24+(LiborTenor*Volatility!AQ24*ForwardLiborSimulation!AQ24)/(1+LiborTenor*ForwardLiborSimulation!AQ24)</f>
        <v>2.3785734982266517E-2</v>
      </c>
      <c r="AS25" s="24">
        <f ca="1">+AS24+(LiborTenor*Volatility!AR24*ForwardLiborSimulation!AR24)/(1+LiborTenor*ForwardLiborSimulation!AR24)</f>
        <v>2.4426521836935292E-2</v>
      </c>
      <c r="AT25" s="24">
        <f ca="1">+AT24+(LiborTenor*Volatility!AS24*ForwardLiborSimulation!AS24)/(1+LiborTenor*ForwardLiborSimulation!AS24)</f>
        <v>2.394781253269888E-2</v>
      </c>
      <c r="AU25" s="24">
        <f ca="1">+AU24+(LiborTenor*Volatility!AT24*ForwardLiborSimulation!AT24)/(1+LiborTenor*ForwardLiborSimulation!AT24)</f>
        <v>2.374606858693435E-2</v>
      </c>
      <c r="AV25" s="24">
        <f ca="1">+AV24+(LiborTenor*Volatility!AU24*ForwardLiborSimulation!AU24)/(1+LiborTenor*ForwardLiborSimulation!AU24)</f>
        <v>2.4331647489294901E-2</v>
      </c>
      <c r="AW25" s="24">
        <f ca="1">+AW24+(LiborTenor*Volatility!AV24*ForwardLiborSimulation!AV24)/(1+LiborTenor*ForwardLiborSimulation!AV24)</f>
        <v>2.4455129561640733E-2</v>
      </c>
      <c r="AX25" s="24">
        <f ca="1">+AX24+(LiborTenor*Volatility!AW24*ForwardLiborSimulation!AW24)/(1+LiborTenor*ForwardLiborSimulation!AW24)</f>
        <v>2.51477116975223E-2</v>
      </c>
      <c r="AY25" s="24">
        <f ca="1">+AY24+(LiborTenor*Volatility!AX24*ForwardLiborSimulation!AX24)/(1+LiborTenor*ForwardLiborSimulation!AX24)</f>
        <v>2.4412787923379413E-2</v>
      </c>
      <c r="AZ25" s="24">
        <f ca="1">+AZ24+(LiborTenor*Volatility!AY24*ForwardLiborSimulation!AY24)/(1+LiborTenor*ForwardLiborSimulation!AY24)</f>
        <v>2.4937470059395898E-2</v>
      </c>
      <c r="BA25" s="24">
        <f ca="1">+BA24+(LiborTenor*Volatility!AZ24*ForwardLiborSimulation!AZ24)/(1+LiborTenor*ForwardLiborSimulation!AZ24)</f>
        <v>2.5383254705731741E-2</v>
      </c>
      <c r="BB25" s="24">
        <f ca="1">+BB24+(LiborTenor*Volatility!BA24*ForwardLiborSimulation!BA24)/(1+LiborTenor*ForwardLiborSimulation!BA24)</f>
        <v>2.6573785568177074E-2</v>
      </c>
      <c r="BC25" s="24">
        <f ca="1">+BC24+(LiborTenor*Volatility!BB24*ForwardLiborSimulation!BB24)/(1+LiborTenor*ForwardLiborSimulation!BB24)</f>
        <v>2.6874610270337308E-2</v>
      </c>
      <c r="BD25" s="24">
        <f ca="1">+BD24+(LiborTenor*Volatility!BC24*ForwardLiborSimulation!BC24)/(1+LiborTenor*ForwardLiborSimulation!BC24)</f>
        <v>2.6090687710792052E-2</v>
      </c>
      <c r="BE25" s="24">
        <f ca="1">+BE24+(LiborTenor*Volatility!BD24*ForwardLiborSimulation!BD24)/(1+LiborTenor*ForwardLiborSimulation!BD24)</f>
        <v>2.6034818733090916E-2</v>
      </c>
      <c r="BF25" s="24">
        <f ca="1">+BF24+(LiborTenor*Volatility!BE24*ForwardLiborSimulation!BE24)/(1+LiborTenor*ForwardLiborSimulation!BE24)</f>
        <v>2.5664030357205148E-2</v>
      </c>
      <c r="BG25" s="24">
        <f ca="1">+BG24+(LiborTenor*Volatility!BF24*ForwardLiborSimulation!BF24)/(1+LiborTenor*ForwardLiborSimulation!BF24)</f>
        <v>2.4456792064057379E-2</v>
      </c>
      <c r="BH25" s="24">
        <f ca="1">+BH24+(LiborTenor*Volatility!BG24*ForwardLiborSimulation!BG24)/(1+LiborTenor*ForwardLiborSimulation!BG24)</f>
        <v>2.5756442457734764E-2</v>
      </c>
      <c r="BI25" s="24">
        <f ca="1">+BI24+(LiborTenor*Volatility!BH24*ForwardLiborSimulation!BH24)/(1+LiborTenor*ForwardLiborSimulation!BH24)</f>
        <v>2.5129016624521508E-2</v>
      </c>
      <c r="BJ25" s="24">
        <f ca="1">+BJ24+(LiborTenor*Volatility!BI24*ForwardLiborSimulation!BI24)/(1+LiborTenor*ForwardLiborSimulation!BI24)</f>
        <v>2.3476020097247946E-2</v>
      </c>
      <c r="BK25" s="24">
        <f ca="1">+BK24+(LiborTenor*Volatility!BJ24*ForwardLiborSimulation!BJ24)/(1+LiborTenor*ForwardLiborSimulation!BJ24)</f>
        <v>2.3857723527098654E-2</v>
      </c>
      <c r="BL25" s="24">
        <f ca="1">+BL24+(LiborTenor*Volatility!BK24*ForwardLiborSimulation!BK24)/(1+LiborTenor*ForwardLiborSimulation!BK24)</f>
        <v>2.4382779144560527E-2</v>
      </c>
      <c r="BM25" s="24">
        <f ca="1">+BM24+(LiborTenor*Volatility!BL24*ForwardLiborSimulation!BL24)/(1+LiborTenor*ForwardLiborSimulation!BL24)</f>
        <v>2.4936844659167453E-2</v>
      </c>
      <c r="BN25" s="24">
        <f ca="1">+BN24+(LiborTenor*Volatility!BM24*ForwardLiborSimulation!BM24)/(1+LiborTenor*ForwardLiborSimulation!BM24)</f>
        <v>2.3941478146058869E-2</v>
      </c>
      <c r="BO25" s="24">
        <f ca="1">+BO24+(LiborTenor*Volatility!BN24*ForwardLiborSimulation!BN24)/(1+LiborTenor*ForwardLiborSimulation!BN24)</f>
        <v>2.4240650254625466E-2</v>
      </c>
      <c r="BP25" s="24">
        <f ca="1">+BP24+(LiborTenor*Volatility!BO24*ForwardLiborSimulation!BO24)/(1+LiborTenor*ForwardLiborSimulation!BO24)</f>
        <v>2.5052855245698058E-2</v>
      </c>
      <c r="BQ25" s="24">
        <f ca="1">+BQ24+(LiborTenor*Volatility!BP24*ForwardLiborSimulation!BP24)/(1+LiborTenor*ForwardLiborSimulation!BP24)</f>
        <v>2.518835823835576E-2</v>
      </c>
      <c r="BR25" s="24">
        <f ca="1">+BR24+(LiborTenor*Volatility!BQ24*ForwardLiborSimulation!BQ24)/(1+LiborTenor*ForwardLiborSimulation!BQ24)</f>
        <v>2.5245380044170266E-2</v>
      </c>
      <c r="BS25" s="24"/>
      <c r="BT25" s="24"/>
      <c r="BU25" s="2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</row>
    <row r="26" spans="4:127" x14ac:dyDescent="0.2">
      <c r="D26" s="2">
        <f>+ForwardLiborSimulation!D26</f>
        <v>5.25</v>
      </c>
      <c r="E26" s="10"/>
      <c r="F26" s="12" t="str">
        <f t="shared" si="2"/>
        <v>L(t;5,5.25)</v>
      </c>
      <c r="G26" s="14"/>
      <c r="H26" s="24">
        <f>+H25+(LiborTenor*Volatility!G25*ForwardLiborSimulation!G25)/(1+LiborTenor*ForwardLiborSimulation!G25)</f>
        <v>2.2463181564725536E-2</v>
      </c>
      <c r="I26" s="24">
        <f ca="1">+I25+(LiborTenor*Volatility!H25*ForwardLiborSimulation!H25)/(1+LiborTenor*ForwardLiborSimulation!H25)</f>
        <v>2.3255711348003315E-2</v>
      </c>
      <c r="J26" s="24">
        <f ca="1">+J25+(LiborTenor*Volatility!I25*ForwardLiborSimulation!I25)/(1+LiborTenor*ForwardLiborSimulation!I25)</f>
        <v>2.3532026023463191E-2</v>
      </c>
      <c r="K26" s="24">
        <f ca="1">+K25+(LiborTenor*Volatility!J25*ForwardLiborSimulation!J25)/(1+LiborTenor*ForwardLiborSimulation!J25)</f>
        <v>2.2983122363997934E-2</v>
      </c>
      <c r="L26" s="24">
        <f ca="1">+L25+(LiborTenor*Volatility!K25*ForwardLiborSimulation!K25)/(1+LiborTenor*ForwardLiborSimulation!K25)</f>
        <v>2.3171813655784815E-2</v>
      </c>
      <c r="M26" s="24">
        <f ca="1">+M25+(LiborTenor*Volatility!L25*ForwardLiborSimulation!L25)/(1+LiborTenor*ForwardLiborSimulation!L25)</f>
        <v>2.2557385498128735E-2</v>
      </c>
      <c r="N26" s="24">
        <f ca="1">+N25+(LiborTenor*Volatility!M25*ForwardLiborSimulation!M25)/(1+LiborTenor*ForwardLiborSimulation!M25)</f>
        <v>2.3844694652897763E-2</v>
      </c>
      <c r="O26" s="24">
        <f ca="1">+O25+(LiborTenor*Volatility!N25*ForwardLiborSimulation!N25)/(1+LiborTenor*ForwardLiborSimulation!N25)</f>
        <v>2.3646147988720126E-2</v>
      </c>
      <c r="P26" s="24">
        <f ca="1">+P25+(LiborTenor*Volatility!O25*ForwardLiborSimulation!O25)/(1+LiborTenor*ForwardLiborSimulation!O25)</f>
        <v>2.4396102117419195E-2</v>
      </c>
      <c r="Q26" s="24">
        <f ca="1">+Q25+(LiborTenor*Volatility!P25*ForwardLiborSimulation!P25)/(1+LiborTenor*ForwardLiborSimulation!P25)</f>
        <v>2.3818654274937866E-2</v>
      </c>
      <c r="R26" s="24">
        <f ca="1">+R25+(LiborTenor*Volatility!Q25*ForwardLiborSimulation!Q25)/(1+LiborTenor*ForwardLiborSimulation!Q25)</f>
        <v>2.3938765021470059E-2</v>
      </c>
      <c r="S26" s="24">
        <f ca="1">+S25+(LiborTenor*Volatility!R25*ForwardLiborSimulation!R25)/(1+LiborTenor*ForwardLiborSimulation!R25)</f>
        <v>2.4520908242318465E-2</v>
      </c>
      <c r="T26" s="24">
        <f ca="1">+T25+(LiborTenor*Volatility!S25*ForwardLiborSimulation!S25)/(1+LiborTenor*ForwardLiborSimulation!S25)</f>
        <v>2.5652629363551074E-2</v>
      </c>
      <c r="U26" s="24">
        <f ca="1">+U25+(LiborTenor*Volatility!T25*ForwardLiborSimulation!T25)/(1+LiborTenor*ForwardLiborSimulation!T25)</f>
        <v>2.5230333506499263E-2</v>
      </c>
      <c r="V26" s="24">
        <f ca="1">+V25+(LiborTenor*Volatility!U25*ForwardLiborSimulation!U25)/(1+LiborTenor*ForwardLiborSimulation!U25)</f>
        <v>2.5174034854854935E-2</v>
      </c>
      <c r="W26" s="24">
        <f ca="1">+W25+(LiborTenor*Volatility!V25*ForwardLiborSimulation!V25)/(1+LiborTenor*ForwardLiborSimulation!V25)</f>
        <v>2.4524221284541296E-2</v>
      </c>
      <c r="X26" s="24">
        <f ca="1">+X25+(LiborTenor*Volatility!W25*ForwardLiborSimulation!W25)/(1+LiborTenor*ForwardLiborSimulation!W25)</f>
        <v>2.2961621508132066E-2</v>
      </c>
      <c r="Y26" s="24">
        <f ca="1">+Y25+(LiborTenor*Volatility!X25*ForwardLiborSimulation!X25)/(1+LiborTenor*ForwardLiborSimulation!X25)</f>
        <v>2.3382735310170866E-2</v>
      </c>
      <c r="Z26" s="24">
        <f ca="1">+Z25+(LiborTenor*Volatility!Y25*ForwardLiborSimulation!Y25)/(1+LiborTenor*ForwardLiborSimulation!Y25)</f>
        <v>2.3037636401763543E-2</v>
      </c>
      <c r="AA26" s="24">
        <f ca="1">+AA25+(LiborTenor*Volatility!Z25*ForwardLiborSimulation!Z25)/(1+LiborTenor*ForwardLiborSimulation!Z25)</f>
        <v>2.3570626660984459E-2</v>
      </c>
      <c r="AB26" s="24">
        <f ca="1">+AB25+(LiborTenor*Volatility!AA25*ForwardLiborSimulation!AA25)/(1+LiborTenor*ForwardLiborSimulation!AA25)</f>
        <v>2.4000376289222448E-2</v>
      </c>
      <c r="AC26" s="24">
        <f ca="1">+AC25+(LiborTenor*Volatility!AB25*ForwardLiborSimulation!AB25)/(1+LiborTenor*ForwardLiborSimulation!AB25)</f>
        <v>2.3937066357132632E-2</v>
      </c>
      <c r="AD26" s="24">
        <f ca="1">+AD25+(LiborTenor*Volatility!AC25*ForwardLiborSimulation!AC25)/(1+LiborTenor*ForwardLiborSimulation!AC25)</f>
        <v>2.3450961948959511E-2</v>
      </c>
      <c r="AE26" s="24">
        <f ca="1">+AE25+(LiborTenor*Volatility!AD25*ForwardLiborSimulation!AD25)/(1+LiborTenor*ForwardLiborSimulation!AD25)</f>
        <v>2.3240288396286241E-2</v>
      </c>
      <c r="AF26" s="24">
        <f ca="1">+AF25+(LiborTenor*Volatility!AE25*ForwardLiborSimulation!AE25)/(1+LiborTenor*ForwardLiborSimulation!AE25)</f>
        <v>2.4402304473600301E-2</v>
      </c>
      <c r="AG26" s="24">
        <f ca="1">+AG25+(LiborTenor*Volatility!AF25*ForwardLiborSimulation!AF25)/(1+LiborTenor*ForwardLiborSimulation!AF25)</f>
        <v>2.4530236385637415E-2</v>
      </c>
      <c r="AH26" s="24">
        <f ca="1">+AH25+(LiborTenor*Volatility!AG25*ForwardLiborSimulation!AG25)/(1+LiborTenor*ForwardLiborSimulation!AG25)</f>
        <v>2.4847406524558441E-2</v>
      </c>
      <c r="AI26" s="24">
        <f ca="1">+AI25+(LiborTenor*Volatility!AH25*ForwardLiborSimulation!AH25)/(1+LiborTenor*ForwardLiborSimulation!AH25)</f>
        <v>2.521214478841113E-2</v>
      </c>
      <c r="AJ26" s="24">
        <f ca="1">+AJ25+(LiborTenor*Volatility!AI25*ForwardLiborSimulation!AI25)/(1+LiborTenor*ForwardLiborSimulation!AI25)</f>
        <v>2.6441369779581884E-2</v>
      </c>
      <c r="AK26" s="24">
        <f ca="1">+AK25+(LiborTenor*Volatility!AJ25*ForwardLiborSimulation!AJ25)/(1+LiborTenor*ForwardLiborSimulation!AJ25)</f>
        <v>2.672149537177182E-2</v>
      </c>
      <c r="AL26" s="24">
        <f ca="1">+AL25+(LiborTenor*Volatility!AK25*ForwardLiborSimulation!AK25)/(1+LiborTenor*ForwardLiborSimulation!AK25)</f>
        <v>2.7674928475331598E-2</v>
      </c>
      <c r="AM26" s="24">
        <f ca="1">+AM25+(LiborTenor*Volatility!AL25*ForwardLiborSimulation!AL25)/(1+LiborTenor*ForwardLiborSimulation!AL25)</f>
        <v>2.812611860336758E-2</v>
      </c>
      <c r="AN26" s="24">
        <f ca="1">+AN25+(LiborTenor*Volatility!AM25*ForwardLiborSimulation!AM25)/(1+LiborTenor*ForwardLiborSimulation!AM25)</f>
        <v>2.7980294721582651E-2</v>
      </c>
      <c r="AO26" s="24">
        <f ca="1">+AO25+(LiborTenor*Volatility!AN25*ForwardLiborSimulation!AN25)/(1+LiborTenor*ForwardLiborSimulation!AN25)</f>
        <v>2.6375587587941368E-2</v>
      </c>
      <c r="AP26" s="24">
        <f ca="1">+AP25+(LiborTenor*Volatility!AO25*ForwardLiborSimulation!AO25)/(1+LiborTenor*ForwardLiborSimulation!AO25)</f>
        <v>2.5927317737566239E-2</v>
      </c>
      <c r="AQ26" s="24">
        <f ca="1">+AQ25+(LiborTenor*Volatility!AP25*ForwardLiborSimulation!AP25)/(1+LiborTenor*ForwardLiborSimulation!AP25)</f>
        <v>2.498905042108375E-2</v>
      </c>
      <c r="AR26" s="24">
        <f ca="1">+AR25+(LiborTenor*Volatility!AQ25*ForwardLiborSimulation!AQ25)/(1+LiborTenor*ForwardLiborSimulation!AQ25)</f>
        <v>2.5500636462310388E-2</v>
      </c>
      <c r="AS26" s="24">
        <f ca="1">+AS25+(LiborTenor*Volatility!AR25*ForwardLiborSimulation!AR25)/(1+LiborTenor*ForwardLiborSimulation!AR25)</f>
        <v>2.6199445918096319E-2</v>
      </c>
      <c r="AT26" s="24">
        <f ca="1">+AT25+(LiborTenor*Volatility!AS25*ForwardLiborSimulation!AS25)/(1+LiborTenor*ForwardLiborSimulation!AS25)</f>
        <v>2.5676754368998141E-2</v>
      </c>
      <c r="AU26" s="24">
        <f ca="1">+AU25+(LiborTenor*Volatility!AT25*ForwardLiborSimulation!AT25)/(1+LiborTenor*ForwardLiborSimulation!AT25)</f>
        <v>2.5456448075052297E-2</v>
      </c>
      <c r="AV26" s="24">
        <f ca="1">+AV25+(LiborTenor*Volatility!AU25*ForwardLiborSimulation!AU25)/(1+LiborTenor*ForwardLiborSimulation!AU25)</f>
        <v>2.6094987464663721E-2</v>
      </c>
      <c r="AW26" s="24">
        <f ca="1">+AW25+(LiborTenor*Volatility!AV25*ForwardLiborSimulation!AV25)/(1+LiborTenor*ForwardLiborSimulation!AV25)</f>
        <v>2.6229528775323967E-2</v>
      </c>
      <c r="AX26" s="24">
        <f ca="1">+AX25+(LiborTenor*Volatility!AW25*ForwardLiborSimulation!AW25)/(1+LiborTenor*ForwardLiborSimulation!AW25)</f>
        <v>2.6985184304108623E-2</v>
      </c>
      <c r="AY26" s="24">
        <f ca="1">+AY25+(LiborTenor*Volatility!AX25*ForwardLiborSimulation!AX25)/(1+LiborTenor*ForwardLiborSimulation!AX25)</f>
        <v>2.6182436038457806E-2</v>
      </c>
      <c r="AZ26" s="24">
        <f ca="1">+AZ25+(LiborTenor*Volatility!AY25*ForwardLiborSimulation!AY25)/(1+LiborTenor*ForwardLiborSimulation!AY25)</f>
        <v>2.6754809473422115E-2</v>
      </c>
      <c r="BA26" s="24">
        <f ca="1">+BA25+(LiborTenor*Volatility!AZ25*ForwardLiborSimulation!AZ25)/(1+LiborTenor*ForwardLiborSimulation!AZ25)</f>
        <v>2.7241265909985671E-2</v>
      </c>
      <c r="BB26" s="24">
        <f ca="1">+BB25+(LiborTenor*Volatility!BA25*ForwardLiborSimulation!BA25)/(1+LiborTenor*ForwardLiborSimulation!BA25)</f>
        <v>2.8541204093544117E-2</v>
      </c>
      <c r="BC26" s="24">
        <f ca="1">+BC25+(LiborTenor*Volatility!BB25*ForwardLiborSimulation!BB25)/(1+LiborTenor*ForwardLiborSimulation!BB25)</f>
        <v>2.8869759510464457E-2</v>
      </c>
      <c r="BD26" s="24">
        <f ca="1">+BD25+(LiborTenor*Volatility!BC25*ForwardLiborSimulation!BC25)/(1+LiborTenor*ForwardLiborSimulation!BC25)</f>
        <v>2.8012437711170138E-2</v>
      </c>
      <c r="BE26" s="24">
        <f ca="1">+BE25+(LiborTenor*Volatility!BD25*ForwardLiborSimulation!BD25)/(1+LiborTenor*ForwardLiborSimulation!BD25)</f>
        <v>2.7951144236309317E-2</v>
      </c>
      <c r="BF26" s="24">
        <f ca="1">+BF25+(LiborTenor*Volatility!BE25*ForwardLiborSimulation!BE25)/(1+LiborTenor*ForwardLiborSimulation!BE25)</f>
        <v>2.7545782466059016E-2</v>
      </c>
      <c r="BG26" s="24">
        <f ca="1">+BG25+(LiborTenor*Volatility!BF25*ForwardLiborSimulation!BF25)/(1+LiborTenor*ForwardLiborSimulation!BF25)</f>
        <v>2.6226917719745533E-2</v>
      </c>
      <c r="BH26" s="24">
        <f ca="1">+BH25+(LiborTenor*Volatility!BG25*ForwardLiborSimulation!BG25)/(1+LiborTenor*ForwardLiborSimulation!BG25)</f>
        <v>2.7644837983136727E-2</v>
      </c>
      <c r="BI26" s="24">
        <f ca="1">+BI25+(LiborTenor*Volatility!BH25*ForwardLiborSimulation!BH25)/(1+LiborTenor*ForwardLiborSimulation!BH25)</f>
        <v>2.695929010152676E-2</v>
      </c>
      <c r="BJ26" s="24">
        <f ca="1">+BJ25+(LiborTenor*Volatility!BI25*ForwardLiborSimulation!BI25)/(1+LiborTenor*ForwardLiborSimulation!BI25)</f>
        <v>2.515445208231859E-2</v>
      </c>
      <c r="BK26" s="24">
        <f ca="1">+BK25+(LiborTenor*Volatility!BJ25*ForwardLiborSimulation!BJ25)/(1+LiborTenor*ForwardLiborSimulation!BJ25)</f>
        <v>2.5570381321212185E-2</v>
      </c>
      <c r="BL26" s="24">
        <f ca="1">+BL25+(LiborTenor*Volatility!BK25*ForwardLiborSimulation!BK25)/(1+LiborTenor*ForwardLiborSimulation!BK25)</f>
        <v>2.6142754503018388E-2</v>
      </c>
      <c r="BM26" s="24">
        <f ca="1">+BM25+(LiborTenor*Volatility!BL25*ForwardLiborSimulation!BL25)/(1+LiborTenor*ForwardLiborSimulation!BL25)</f>
        <v>2.674699950818869E-2</v>
      </c>
      <c r="BN26" s="24">
        <f ca="1">+BN25+(LiborTenor*Volatility!BM25*ForwardLiborSimulation!BM25)/(1+LiborTenor*ForwardLiborSimulation!BM25)</f>
        <v>2.566039992839448E-2</v>
      </c>
      <c r="BO26" s="24">
        <f ca="1">+BO25+(LiborTenor*Volatility!BN25*ForwardLiborSimulation!BN25)/(1+LiborTenor*ForwardLiborSimulation!BN25)</f>
        <v>2.5986448124586402E-2</v>
      </c>
      <c r="BP26" s="24"/>
      <c r="BQ26" s="24"/>
      <c r="BR26" s="2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</row>
    <row r="27" spans="4:127" x14ac:dyDescent="0.2">
      <c r="D27" s="2">
        <f>+ForwardLiborSimulation!D27</f>
        <v>5</v>
      </c>
      <c r="E27" s="10"/>
      <c r="F27" s="12" t="str">
        <f t="shared" si="2"/>
        <v>L(t;4.75,5)</v>
      </c>
      <c r="G27" s="14"/>
      <c r="H27" s="24">
        <f>+H26+(LiborTenor*Volatility!G26*ForwardLiborSimulation!G26)/(1+LiborTenor*ForwardLiborSimulation!G26)</f>
        <v>2.3980316482910161E-2</v>
      </c>
      <c r="I27" s="24">
        <f ca="1">+I26+(LiborTenor*Volatility!H26*ForwardLiborSimulation!H26)/(1+LiborTenor*ForwardLiborSimulation!H26)</f>
        <v>2.4832739738948999E-2</v>
      </c>
      <c r="J27" s="24">
        <f ca="1">+J26+(LiborTenor*Volatility!I26*ForwardLiborSimulation!I26)/(1+LiborTenor*ForwardLiborSimulation!I26)</f>
        <v>2.5124438822275604E-2</v>
      </c>
      <c r="K27" s="24">
        <f ca="1">+K26+(LiborTenor*Volatility!J26*ForwardLiborSimulation!J26)/(1+LiborTenor*ForwardLiborSimulation!J26)</f>
        <v>2.4528149204747971E-2</v>
      </c>
      <c r="L27" s="24">
        <f ca="1">+L26+(LiborTenor*Volatility!K26*ForwardLiborSimulation!K26)/(1+LiborTenor*ForwardLiborSimulation!K26)</f>
        <v>2.473278726438188E-2</v>
      </c>
      <c r="M27" s="24">
        <f ca="1">+M26+(LiborTenor*Volatility!L26*ForwardLiborSimulation!L26)/(1+LiborTenor*ForwardLiborSimulation!L26)</f>
        <v>2.4065558744070504E-2</v>
      </c>
      <c r="N27" s="24">
        <f ca="1">+N26+(LiborTenor*Volatility!M26*ForwardLiborSimulation!M26)/(1+LiborTenor*ForwardLiborSimulation!M26)</f>
        <v>2.5462168634437746E-2</v>
      </c>
      <c r="O27" s="24">
        <f ca="1">+O26+(LiborTenor*Volatility!N26*ForwardLiborSimulation!N26)/(1+LiborTenor*ForwardLiborSimulation!N26)</f>
        <v>2.5246319062031702E-2</v>
      </c>
      <c r="P27" s="24">
        <f ca="1">+P26+(LiborTenor*Volatility!O26*ForwardLiborSimulation!O26)/(1+LiborTenor*ForwardLiborSimulation!O26)</f>
        <v>2.606055326263599E-2</v>
      </c>
      <c r="Q27" s="24">
        <f ca="1">+Q26+(LiborTenor*Volatility!P26*ForwardLiborSimulation!P26)/(1+LiborTenor*ForwardLiborSimulation!P26)</f>
        <v>2.5432886046047199E-2</v>
      </c>
      <c r="R27" s="24">
        <f ca="1">+R26+(LiborTenor*Volatility!Q26*ForwardLiborSimulation!Q26)/(1+LiborTenor*ForwardLiborSimulation!Q26)</f>
        <v>2.5563141785554237E-2</v>
      </c>
      <c r="S27" s="24">
        <f ca="1">+S26+(LiborTenor*Volatility!R26*ForwardLiborSimulation!R26)/(1+LiborTenor*ForwardLiborSimulation!R26)</f>
        <v>2.6195255383852492E-2</v>
      </c>
      <c r="T27" s="24">
        <f ca="1">+T26+(LiborTenor*Volatility!S26*ForwardLiborSimulation!S26)/(1+LiborTenor*ForwardLiborSimulation!S26)</f>
        <v>2.7424837807650738E-2</v>
      </c>
      <c r="U27" s="24">
        <f ca="1">+U26+(LiborTenor*Volatility!T26*ForwardLiborSimulation!T26)/(1+LiborTenor*ForwardLiborSimulation!T26)</f>
        <v>2.6965326621889486E-2</v>
      </c>
      <c r="V27" s="24">
        <f ca="1">+V26+(LiborTenor*Volatility!U26*ForwardLiborSimulation!U26)/(1+LiborTenor*ForwardLiborSimulation!U26)</f>
        <v>2.6903895895499661E-2</v>
      </c>
      <c r="W27" s="24">
        <f ca="1">+W26+(LiborTenor*Volatility!V26*ForwardLiborSimulation!V26)/(1+LiborTenor*ForwardLiborSimulation!V26)</f>
        <v>2.6197220510170646E-2</v>
      </c>
      <c r="X27" s="24">
        <f ca="1">+X26+(LiborTenor*Volatility!W26*ForwardLiborSimulation!W26)/(1+LiborTenor*ForwardLiborSimulation!W26)</f>
        <v>2.4499075495966836E-2</v>
      </c>
      <c r="Y27" s="24">
        <f ca="1">+Y26+(LiborTenor*Volatility!X26*ForwardLiborSimulation!X26)/(1+LiborTenor*ForwardLiborSimulation!X26)</f>
        <v>2.4955870276689818E-2</v>
      </c>
      <c r="Z27" s="24">
        <f ca="1">+Z26+(LiborTenor*Volatility!Y26*ForwardLiborSimulation!Y26)/(1+LiborTenor*ForwardLiborSimulation!Y26)</f>
        <v>2.4581069490887925E-2</v>
      </c>
      <c r="AA27" s="24">
        <f ca="1">+AA26+(LiborTenor*Volatility!Z26*ForwardLiborSimulation!Z26)/(1+LiborTenor*ForwardLiborSimulation!Z26)</f>
        <v>2.5159288838298974E-2</v>
      </c>
      <c r="AB27" s="24">
        <f ca="1">+AB26+(LiborTenor*Volatility!AA26*ForwardLiborSimulation!AA26)/(1+LiborTenor*ForwardLiborSimulation!AA26)</f>
        <v>2.5625659840684913E-2</v>
      </c>
      <c r="AC27" s="24">
        <f ca="1">+AC26+(LiborTenor*Volatility!AB26*ForwardLiborSimulation!AB26)/(1+LiborTenor*ForwardLiborSimulation!AB26)</f>
        <v>2.5556705814698627E-2</v>
      </c>
      <c r="AD27" s="24">
        <f ca="1">+AD26+(LiborTenor*Volatility!AC26*ForwardLiborSimulation!AC26)/(1+LiborTenor*ForwardLiborSimulation!AC26)</f>
        <v>2.5028616937306087E-2</v>
      </c>
      <c r="AE27" s="24">
        <f ca="1">+AE26+(LiborTenor*Volatility!AD26*ForwardLiborSimulation!AD26)/(1+LiborTenor*ForwardLiborSimulation!AD26)</f>
        <v>2.4799738741647946E-2</v>
      </c>
      <c r="AF27" s="24">
        <f ca="1">+AF26+(LiborTenor*Volatility!AE26*ForwardLiborSimulation!AE26)/(1+LiborTenor*ForwardLiborSimulation!AE26)</f>
        <v>2.606070172681554E-2</v>
      </c>
      <c r="AG27" s="24">
        <f ca="1">+AG26+(LiborTenor*Volatility!AF26*ForwardLiborSimulation!AF26)/(1+LiborTenor*ForwardLiborSimulation!AF26)</f>
        <v>2.6199468334501676E-2</v>
      </c>
      <c r="AH27" s="24">
        <f ca="1">+AH26+(LiborTenor*Volatility!AG26*ForwardLiborSimulation!AG26)/(1+LiborTenor*ForwardLiborSimulation!AG26)</f>
        <v>2.6543831824723366E-2</v>
      </c>
      <c r="AI27" s="24">
        <f ca="1">+AI26+(LiborTenor*Volatility!AH26*ForwardLiborSimulation!AH26)/(1+LiborTenor*ForwardLiborSimulation!AH26)</f>
        <v>2.6939959930146633E-2</v>
      </c>
      <c r="AJ27" s="24">
        <f ca="1">+AJ26+(LiborTenor*Volatility!AI26*ForwardLiborSimulation!AI26)/(1+LiborTenor*ForwardLiborSimulation!AI26)</f>
        <v>2.8275819146840499E-2</v>
      </c>
      <c r="AK27" s="24">
        <f ca="1">+AK26+(LiborTenor*Volatility!AJ26*ForwardLiborSimulation!AJ26)/(1+LiborTenor*ForwardLiborSimulation!AJ26)</f>
        <v>2.8580320865189916E-2</v>
      </c>
      <c r="AL27" s="24">
        <f ca="1">+AL26+(LiborTenor*Volatility!AK26*ForwardLiborSimulation!AK26)/(1+LiborTenor*ForwardLiborSimulation!AK26)</f>
        <v>2.9617496393517156E-2</v>
      </c>
      <c r="AM27" s="24">
        <f ca="1">+AM26+(LiborTenor*Volatility!AL26*ForwardLiborSimulation!AL26)/(1+LiborTenor*ForwardLiborSimulation!AL26)</f>
        <v>3.0108484881326052E-2</v>
      </c>
      <c r="AN27" s="24">
        <f ca="1">+AN26+(LiborTenor*Volatility!AM26*ForwardLiborSimulation!AM26)/(1+LiborTenor*ForwardLiborSimulation!AM26)</f>
        <v>2.9949379260320139E-2</v>
      </c>
      <c r="AO27" s="24">
        <f ca="1">+AO26+(LiborTenor*Volatility!AN26*ForwardLiborSimulation!AN26)/(1+LiborTenor*ForwardLiborSimulation!AN26)</f>
        <v>2.820150823574254E-2</v>
      </c>
      <c r="AP27" s="24">
        <f ca="1">+AP26+(LiborTenor*Volatility!AO26*ForwardLiborSimulation!AO26)/(1+LiborTenor*ForwardLiborSimulation!AO26)</f>
        <v>2.771366652861796E-2</v>
      </c>
      <c r="AQ27" s="24">
        <f ca="1">+AQ26+(LiborTenor*Volatility!AP26*ForwardLiborSimulation!AP26)/(1+LiborTenor*ForwardLiborSimulation!AP26)</f>
        <v>2.6693192540163311E-2</v>
      </c>
      <c r="AR27" s="24">
        <f ca="1">+AR26+(LiborTenor*Volatility!AQ26*ForwardLiborSimulation!AQ26)/(1+LiborTenor*ForwardLiborSimulation!AQ26)</f>
        <v>2.724884167943396E-2</v>
      </c>
      <c r="AS27" s="24">
        <f ca="1">+AS26+(LiborTenor*Volatility!AR26*ForwardLiborSimulation!AR26)/(1+LiborTenor*ForwardLiborSimulation!AR26)</f>
        <v>2.8008191835837304E-2</v>
      </c>
      <c r="AT27" s="24">
        <f ca="1">+AT26+(LiborTenor*Volatility!AS26*ForwardLiborSimulation!AS26)/(1+LiborTenor*ForwardLiborSimulation!AS26)</f>
        <v>2.7439515953136685E-2</v>
      </c>
      <c r="AU27" s="24">
        <f ca="1">+AU26+(LiborTenor*Volatility!AT26*ForwardLiborSimulation!AT26)/(1+LiborTenor*ForwardLiborSimulation!AT26)</f>
        <v>2.7199796696653299E-2</v>
      </c>
      <c r="AV27" s="24">
        <f ca="1">+AV26+(LiborTenor*Volatility!AU26*ForwardLiborSimulation!AU26)/(1+LiborTenor*ForwardLiborSimulation!AU26)</f>
        <v>2.7893584722802248E-2</v>
      </c>
      <c r="AW27" s="24">
        <f ca="1">+AW26+(LiborTenor*Volatility!AV26*ForwardLiborSimulation!AV26)/(1+LiborTenor*ForwardLiborSimulation!AV26)</f>
        <v>2.8039644403058683E-2</v>
      </c>
      <c r="AX27" s="24">
        <f ca="1">+AX26+(LiborTenor*Volatility!AW26*ForwardLiborSimulation!AW26)/(1+LiborTenor*ForwardLiborSimulation!AW26)</f>
        <v>2.8861156311712995E-2</v>
      </c>
      <c r="AY27" s="24">
        <f ca="1">+AY26+(LiborTenor*Volatility!AX26*ForwardLiborSimulation!AX26)/(1+LiborTenor*ForwardLiborSimulation!AX26)</f>
        <v>2.798746034005915E-2</v>
      </c>
      <c r="AZ27" s="24">
        <f ca="1">+AZ26+(LiborTenor*Volatility!AY26*ForwardLiborSimulation!AY26)/(1+LiborTenor*ForwardLiborSimulation!AY26)</f>
        <v>2.8609614770371956E-2</v>
      </c>
      <c r="BA27" s="24">
        <f ca="1">+BA26+(LiborTenor*Volatility!AZ26*ForwardLiborSimulation!AZ26)/(1+LiborTenor*ForwardLiborSimulation!AZ26)</f>
        <v>2.9138544097398588E-2</v>
      </c>
      <c r="BB27" s="24">
        <f ca="1">+BB26+(LiborTenor*Volatility!BA26*ForwardLiborSimulation!BA26)/(1+LiborTenor*ForwardLiborSimulation!BA26)</f>
        <v>3.0552848777614293E-2</v>
      </c>
      <c r="BC27" s="24">
        <f ca="1">+BC26+(LiborTenor*Volatility!BB26*ForwardLiborSimulation!BB26)/(1+LiborTenor*ForwardLiborSimulation!BB26)</f>
        <v>3.0910397782876225E-2</v>
      </c>
      <c r="BD27" s="24">
        <f ca="1">+BD26+(LiborTenor*Volatility!BC26*ForwardLiborSimulation!BC26)/(1+LiborTenor*ForwardLiborSimulation!BC26)</f>
        <v>2.997615621405967E-2</v>
      </c>
      <c r="BE27" s="24">
        <f ca="1">+BE26+(LiborTenor*Volatility!BD26*ForwardLiborSimulation!BD26)/(1+LiborTenor*ForwardLiborSimulation!BD26)</f>
        <v>2.9909146914900122E-2</v>
      </c>
      <c r="BF27" s="24">
        <f ca="1">+BF26+(LiborTenor*Volatility!BE26*ForwardLiborSimulation!BE26)/(1+LiborTenor*ForwardLiborSimulation!BE26)</f>
        <v>2.946757113097577E-2</v>
      </c>
      <c r="BG27" s="24">
        <f ca="1">+BG26+(LiborTenor*Volatility!BF26*ForwardLiborSimulation!BF26)/(1+LiborTenor*ForwardLiborSimulation!BF26)</f>
        <v>2.8031923845435174E-2</v>
      </c>
      <c r="BH27" s="24">
        <f ca="1">+BH26+(LiborTenor*Volatility!BG26*ForwardLiborSimulation!BG26)/(1+LiborTenor*ForwardLiborSimulation!BG26)</f>
        <v>2.9573310475315476E-2</v>
      </c>
      <c r="BI27" s="24">
        <f ca="1">+BI26+(LiborTenor*Volatility!BH26*ForwardLiborSimulation!BH26)/(1+LiborTenor*ForwardLiborSimulation!BH26)</f>
        <v>2.8826941067346137E-2</v>
      </c>
      <c r="BJ27" s="24">
        <f ca="1">+BJ26+(LiborTenor*Volatility!BI26*ForwardLiborSimulation!BI26)/(1+LiborTenor*ForwardLiborSimulation!BI26)</f>
        <v>2.6863393808329802E-2</v>
      </c>
      <c r="BK27" s="24">
        <f ca="1">+BK26+(LiborTenor*Volatility!BJ26*ForwardLiborSimulation!BJ26)/(1+LiborTenor*ForwardLiborSimulation!BJ26)</f>
        <v>2.7314979758964235E-2</v>
      </c>
      <c r="BL27" s="24">
        <f ca="1">+BL26+(LiborTenor*Volatility!BK26*ForwardLiborSimulation!BK26)/(1+LiborTenor*ForwardLiborSimulation!BK26)</f>
        <v>2.7936681583683905E-2</v>
      </c>
      <c r="BM27" s="24"/>
      <c r="BN27" s="24"/>
      <c r="BO27" s="2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</row>
    <row r="28" spans="4:127" x14ac:dyDescent="0.2">
      <c r="D28" s="2">
        <f>+ForwardLiborSimulation!D28</f>
        <v>4.75</v>
      </c>
      <c r="E28" s="10"/>
      <c r="F28" s="12" t="str">
        <f t="shared" si="2"/>
        <v>L(t;4.5,4.75)</v>
      </c>
      <c r="G28" s="14"/>
      <c r="H28" s="24">
        <f>+H27+(LiborTenor*Volatility!G27*ForwardLiborSimulation!G27)/(1+LiborTenor*ForwardLiborSimulation!G27)</f>
        <v>2.5523736012049488E-2</v>
      </c>
      <c r="I28" s="24">
        <f ca="1">+I27+(LiborTenor*Volatility!H27*ForwardLiborSimulation!H27)/(1+LiborTenor*ForwardLiborSimulation!H27)</f>
        <v>2.6437933972521602E-2</v>
      </c>
      <c r="J28" s="24">
        <f ca="1">+J27+(LiborTenor*Volatility!I27*ForwardLiborSimulation!I27)/(1+LiborTenor*ForwardLiborSimulation!I27)</f>
        <v>2.6745044256496119E-2</v>
      </c>
      <c r="K28" s="24">
        <f ca="1">+K27+(LiborTenor*Volatility!J27*ForwardLiborSimulation!J27)/(1+LiborTenor*ForwardLiborSimulation!J27)</f>
        <v>2.6099367816674313E-2</v>
      </c>
      <c r="L28" s="24">
        <f ca="1">+L27+(LiborTenor*Volatility!K27*ForwardLiborSimulation!K27)/(1+LiborTenor*ForwardLiborSimulation!K27)</f>
        <v>2.6320578140048689E-2</v>
      </c>
      <c r="M28" s="24">
        <f ca="1">+M27+(LiborTenor*Volatility!L27*ForwardLiborSimulation!L27)/(1+LiborTenor*ForwardLiborSimulation!L27)</f>
        <v>2.5598352091667956E-2</v>
      </c>
      <c r="N28" s="24">
        <f ca="1">+N27+(LiborTenor*Volatility!M27*ForwardLiborSimulation!M27)/(1+LiborTenor*ForwardLiborSimulation!M27)</f>
        <v>2.710863346725444E-2</v>
      </c>
      <c r="O28" s="24">
        <f ca="1">+O27+(LiborTenor*Volatility!N27*ForwardLiborSimulation!N27)/(1+LiborTenor*ForwardLiborSimulation!N27)</f>
        <v>2.6874728049659919E-2</v>
      </c>
      <c r="P28" s="24">
        <f ca="1">+P27+(LiborTenor*Volatility!O27*ForwardLiborSimulation!O27)/(1+LiborTenor*ForwardLiborSimulation!O27)</f>
        <v>2.7755885941891555E-2</v>
      </c>
      <c r="Q28" s="24">
        <f ca="1">+Q27+(LiborTenor*Volatility!P27*ForwardLiborSimulation!P27)/(1+LiborTenor*ForwardLiborSimulation!P27)</f>
        <v>2.7075834639327317E-2</v>
      </c>
      <c r="R28" s="24">
        <f ca="1">+R27+(LiborTenor*Volatility!Q27*ForwardLiborSimulation!Q27)/(1+LiborTenor*ForwardLiborSimulation!Q27)</f>
        <v>2.7216629997580011E-2</v>
      </c>
      <c r="S28" s="24">
        <f ca="1">+S27+(LiborTenor*Volatility!R27*ForwardLiborSimulation!R27)/(1+LiborTenor*ForwardLiborSimulation!R27)</f>
        <v>2.790077600299231E-2</v>
      </c>
      <c r="T28" s="24">
        <f ca="1">+T27+(LiborTenor*Volatility!S27*ForwardLiborSimulation!S27)/(1+LiborTenor*ForwardLiborSimulation!S27)</f>
        <v>2.9232352243065071E-2</v>
      </c>
      <c r="U28" s="24">
        <f ca="1">+U27+(LiborTenor*Volatility!T27*ForwardLiborSimulation!T27)/(1+LiborTenor*ForwardLiborSimulation!T27)</f>
        <v>2.8733958103610572E-2</v>
      </c>
      <c r="V28" s="24">
        <f ca="1">+V27+(LiborTenor*Volatility!U27*ForwardLiborSimulation!U27)/(1+LiborTenor*ForwardLiborSimulation!U27)</f>
        <v>2.8667139841514533E-2</v>
      </c>
      <c r="W28" s="24">
        <f ca="1">+W27+(LiborTenor*Volatility!V27*ForwardLiborSimulation!V27)/(1+LiborTenor*ForwardLiborSimulation!V27)</f>
        <v>2.7901110221075668E-2</v>
      </c>
      <c r="X28" s="24">
        <f ca="1">+X27+(LiborTenor*Volatility!W27*ForwardLiborSimulation!W27)/(1+LiborTenor*ForwardLiborSimulation!W27)</f>
        <v>2.6061639070995533E-2</v>
      </c>
      <c r="Y28" s="24">
        <f ca="1">+Y27+(LiborTenor*Volatility!X27*ForwardLiborSimulation!X27)/(1+LiborTenor*ForwardLiborSimulation!X27)</f>
        <v>2.6555524563871589E-2</v>
      </c>
      <c r="Z28" s="24">
        <f ca="1">+Z27+(LiborTenor*Volatility!Y27*ForwardLiborSimulation!Y27)/(1+LiborTenor*ForwardLiborSimulation!Y27)</f>
        <v>2.6149783580331227E-2</v>
      </c>
      <c r="AA28" s="24">
        <f ca="1">+AA27+(LiborTenor*Volatility!Z27*ForwardLiborSimulation!Z27)/(1+LiborTenor*ForwardLiborSimulation!Z27)</f>
        <v>2.6775027864169024E-2</v>
      </c>
      <c r="AB28" s="24">
        <f ca="1">+AB27+(LiborTenor*Volatility!AA27*ForwardLiborSimulation!AA27)/(1+LiborTenor*ForwardLiborSimulation!AA27)</f>
        <v>2.727949249550515E-2</v>
      </c>
      <c r="AC28" s="24">
        <f ca="1">+AC27+(LiborTenor*Volatility!AB27*ForwardLiborSimulation!AB27)/(1+LiborTenor*ForwardLiborSimulation!AB27)</f>
        <v>2.7204631212621795E-2</v>
      </c>
      <c r="AD28" s="24">
        <f ca="1">+AD27+(LiborTenor*Volatility!AC27*ForwardLiborSimulation!AC27)/(1+LiborTenor*ForwardLiborSimulation!AC27)</f>
        <v>2.6632791125010349E-2</v>
      </c>
      <c r="AE28" s="24">
        <f ca="1">+AE27+(LiborTenor*Volatility!AD27*ForwardLiborSimulation!AD27)/(1+LiborTenor*ForwardLiborSimulation!AD27)</f>
        <v>2.6384939561686031E-2</v>
      </c>
      <c r="AF28" s="24">
        <f ca="1">+AF27+(LiborTenor*Volatility!AE27*ForwardLiborSimulation!AE27)/(1+LiborTenor*ForwardLiborSimulation!AE27)</f>
        <v>2.7748821323310351E-2</v>
      </c>
      <c r="AG28" s="24">
        <f ca="1">+AG27+(LiborTenor*Volatility!AF27*ForwardLiborSimulation!AF27)/(1+LiborTenor*ForwardLiborSimulation!AF27)</f>
        <v>2.789884591714482E-2</v>
      </c>
      <c r="AH28" s="24">
        <f ca="1">+AH27+(LiborTenor*Volatility!AG27*ForwardLiborSimulation!AG27)/(1+LiborTenor*ForwardLiborSimulation!AG27)</f>
        <v>2.8271514018976443E-2</v>
      </c>
      <c r="AI28" s="24">
        <f ca="1">+AI27+(LiborTenor*Volatility!AH27*ForwardLiborSimulation!AH27)/(1+LiborTenor*ForwardLiborSimulation!AH27)</f>
        <v>2.870033002817322E-2</v>
      </c>
      <c r="AJ28" s="24">
        <f ca="1">+AJ27+(LiborTenor*Volatility!AI27*ForwardLiborSimulation!AI27)/(1+LiborTenor*ForwardLiborSimulation!AI27)</f>
        <v>3.0147351330215663E-2</v>
      </c>
      <c r="AK28" s="24">
        <f ca="1">+AK27+(LiborTenor*Volatility!AJ27*ForwardLiborSimulation!AJ27)/(1+LiborTenor*ForwardLiborSimulation!AJ27)</f>
        <v>3.0477268931360376E-2</v>
      </c>
      <c r="AL28" s="24">
        <f ca="1">+AL27+(LiborTenor*Volatility!AK27*ForwardLiborSimulation!AK27)/(1+LiborTenor*ForwardLiborSimulation!AK27)</f>
        <v>3.1601871933277764E-2</v>
      </c>
      <c r="AM28" s="24">
        <f ca="1">+AM27+(LiborTenor*Volatility!AL27*ForwardLiborSimulation!AL27)/(1+LiborTenor*ForwardLiborSimulation!AL27)</f>
        <v>3.2134427663767964E-2</v>
      </c>
      <c r="AN28" s="24">
        <f ca="1">+AN27+(LiborTenor*Volatility!AM27*ForwardLiborSimulation!AM27)/(1+LiborTenor*ForwardLiborSimulation!AM27)</f>
        <v>3.1961386692591486E-2</v>
      </c>
      <c r="AO28" s="24">
        <f ca="1">+AO27+(LiborTenor*Volatility!AN27*ForwardLiborSimulation!AN27)/(1+LiborTenor*ForwardLiborSimulation!AN27)</f>
        <v>3.0063752349108006E-2</v>
      </c>
      <c r="AP28" s="24">
        <f ca="1">+AP27+(LiborTenor*Volatility!AO27*ForwardLiborSimulation!AO27)/(1+LiborTenor*ForwardLiborSimulation!AO27)</f>
        <v>2.9534566713821403E-2</v>
      </c>
      <c r="AQ28" s="24">
        <f ca="1">+AQ27+(LiborTenor*Volatility!AP27*ForwardLiborSimulation!AP27)/(1+LiborTenor*ForwardLiborSimulation!AP27)</f>
        <v>2.8428291034056356E-2</v>
      </c>
      <c r="AR28" s="24">
        <f ca="1">+AR27+(LiborTenor*Volatility!AQ27*ForwardLiborSimulation!AQ27)/(1+LiborTenor*ForwardLiborSimulation!AQ27)</f>
        <v>2.9029826254338399E-2</v>
      </c>
      <c r="AS28" s="24">
        <f ca="1">+AS27+(LiborTenor*Volatility!AR27*ForwardLiborSimulation!AR27)/(1+LiborTenor*ForwardLiborSimulation!AR27)</f>
        <v>2.9852267735964388E-2</v>
      </c>
      <c r="AT28" s="24">
        <f ca="1">+AT27+(LiborTenor*Volatility!AS27*ForwardLiborSimulation!AS27)/(1+LiborTenor*ForwardLiborSimulation!AS27)</f>
        <v>2.9235571612880505E-2</v>
      </c>
      <c r="AU28" s="24">
        <f ca="1">+AU27+(LiborTenor*Volatility!AT27*ForwardLiborSimulation!AT27)/(1+LiborTenor*ForwardLiborSimulation!AT27)</f>
        <v>2.8975573732798469E-2</v>
      </c>
      <c r="AV28" s="24">
        <f ca="1">+AV27+(LiborTenor*Volatility!AU27*ForwardLiborSimulation!AU27)/(1+LiborTenor*ForwardLiborSimulation!AU27)</f>
        <v>2.9726927045363363E-2</v>
      </c>
      <c r="AW28" s="24">
        <f ca="1">+AW27+(LiborTenor*Volatility!AV27*ForwardLiborSimulation!AV27)/(1+LiborTenor*ForwardLiborSimulation!AV27)</f>
        <v>2.9884967963849051E-2</v>
      </c>
      <c r="AX28" s="24">
        <f ca="1">+AX27+(LiborTenor*Volatility!AW27*ForwardLiborSimulation!AW27)/(1+LiborTenor*ForwardLiborSimulation!AW27)</f>
        <v>3.0775157962696212E-2</v>
      </c>
      <c r="AY28" s="24">
        <f ca="1">+AY27+(LiborTenor*Volatility!AX27*ForwardLiborSimulation!AX27)/(1+LiborTenor*ForwardLiborSimulation!AX27)</f>
        <v>2.9827336567353525E-2</v>
      </c>
      <c r="AZ28" s="24">
        <f ca="1">+AZ27+(LiborTenor*Volatility!AY27*ForwardLiborSimulation!AY27)/(1+LiborTenor*ForwardLiborSimulation!AY27)</f>
        <v>3.0501389333393452E-2</v>
      </c>
      <c r="BA28" s="24">
        <f ca="1">+BA27+(LiborTenor*Volatility!AZ27*ForwardLiborSimulation!AZ27)/(1+LiborTenor*ForwardLiborSimulation!AZ27)</f>
        <v>3.1074617613106353E-2</v>
      </c>
      <c r="BB28" s="24">
        <f ca="1">+BB27+(LiborTenor*Volatility!BA27*ForwardLiborSimulation!BA27)/(1+LiborTenor*ForwardLiborSimulation!BA27)</f>
        <v>3.2608326217902224E-2</v>
      </c>
      <c r="BC28" s="24">
        <f ca="1">+BC27+(LiborTenor*Volatility!BB27*ForwardLiborSimulation!BB27)/(1+LiborTenor*ForwardLiborSimulation!BB27)</f>
        <v>3.2996151129086354E-2</v>
      </c>
      <c r="BD28" s="24">
        <f ca="1">+BD27+(LiborTenor*Volatility!BC27*ForwardLiborSimulation!BC27)/(1+LiborTenor*ForwardLiborSimulation!BC27)</f>
        <v>3.1981397999186638E-2</v>
      </c>
      <c r="BE28" s="24">
        <f ca="1">+BE27+(LiborTenor*Volatility!BD27*ForwardLiborSimulation!BD27)/(1+LiborTenor*ForwardLiborSimulation!BD27)</f>
        <v>3.1908372668954348E-2</v>
      </c>
      <c r="BF28" s="24">
        <f ca="1">+BF27+(LiborTenor*Volatility!BE27*ForwardLiborSimulation!BE27)/(1+LiborTenor*ForwardLiborSimulation!BE27)</f>
        <v>3.142891009517778E-2</v>
      </c>
      <c r="BG28" s="24">
        <f ca="1">+BG27+(LiborTenor*Volatility!BF27*ForwardLiborSimulation!BF27)/(1+LiborTenor*ForwardLiborSimulation!BF27)</f>
        <v>2.987123534721773E-2</v>
      </c>
      <c r="BH28" s="24">
        <f ca="1">+BH27+(LiborTenor*Volatility!BG27*ForwardLiborSimulation!BG27)/(1+LiborTenor*ForwardLiborSimulation!BG27)</f>
        <v>3.1541353564795316E-2</v>
      </c>
      <c r="BI28" s="24">
        <f ca="1">+BI27+(LiborTenor*Volatility!BH27*ForwardLiborSimulation!BH27)/(1+LiborTenor*ForwardLiborSimulation!BH27)</f>
        <v>3.0731415620694275E-2</v>
      </c>
      <c r="BJ28" s="24"/>
      <c r="BK28" s="24"/>
      <c r="BL28" s="2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</row>
    <row r="29" spans="4:127" x14ac:dyDescent="0.2">
      <c r="D29" s="2">
        <f>+ForwardLiborSimulation!D29</f>
        <v>4.5</v>
      </c>
      <c r="E29" s="10"/>
      <c r="F29" s="12" t="str">
        <f t="shared" si="2"/>
        <v>L(t;4.25,4.5)</v>
      </c>
      <c r="G29" s="14"/>
      <c r="H29" s="24">
        <f>+H28+(LiborTenor*Volatility!G28*ForwardLiborSimulation!G28)/(1+LiborTenor*ForwardLiborSimulation!G28)</f>
        <v>2.7092981032892472E-2</v>
      </c>
      <c r="I29" s="24">
        <f ca="1">+I28+(LiborTenor*Volatility!H28*ForwardLiborSimulation!H28)/(1+LiborTenor*ForwardLiborSimulation!H28)</f>
        <v>2.8070856741492799E-2</v>
      </c>
      <c r="J29" s="24">
        <f ca="1">+J28+(LiborTenor*Volatility!I28*ForwardLiborSimulation!I28)/(1+LiborTenor*ForwardLiborSimulation!I28)</f>
        <v>2.8393403799067515E-2</v>
      </c>
      <c r="K29" s="24">
        <f ca="1">+K28+(LiborTenor*Volatility!J28*ForwardLiborSimulation!J28)/(1+LiborTenor*ForwardLiborSimulation!J28)</f>
        <v>2.769631092917206E-2</v>
      </c>
      <c r="L29" s="24">
        <f ca="1">+L28+(LiborTenor*Volatility!K28*ForwardLiborSimulation!K28)/(1+LiborTenor*ForwardLiborSimulation!K28)</f>
        <v>2.793472419492584E-2</v>
      </c>
      <c r="M29" s="24">
        <f ca="1">+M28+(LiborTenor*Volatility!L28*ForwardLiborSimulation!L28)/(1+LiborTenor*ForwardLiborSimulation!L28)</f>
        <v>2.7155274317206029E-2</v>
      </c>
      <c r="N29" s="24">
        <f ca="1">+N28+(LiborTenor*Volatility!M28*ForwardLiborSimulation!M28)/(1+LiborTenor*ForwardLiborSimulation!M28)</f>
        <v>2.8783642572052483E-2</v>
      </c>
      <c r="O29" s="24">
        <f ca="1">+O28+(LiborTenor*Volatility!N28*ForwardLiborSimulation!N28)/(1+LiborTenor*ForwardLiborSimulation!N28)</f>
        <v>2.8530915853204771E-2</v>
      </c>
      <c r="P29" s="24">
        <f ca="1">+P28+(LiborTenor*Volatility!O28*ForwardLiborSimulation!O28)/(1+LiborTenor*ForwardLiborSimulation!O28)</f>
        <v>2.948167250578888E-2</v>
      </c>
      <c r="Q29" s="24">
        <f ca="1">+Q28+(LiborTenor*Volatility!P28*ForwardLiborSimulation!P28)/(1+LiborTenor*ForwardLiborSimulation!P28)</f>
        <v>2.8747038811536771E-2</v>
      </c>
      <c r="R29" s="24">
        <f ca="1">+R28+(LiborTenor*Volatility!Q28*ForwardLiborSimulation!Q28)/(1+LiborTenor*ForwardLiborSimulation!Q28)</f>
        <v>2.8898771054378596E-2</v>
      </c>
      <c r="S29" s="24">
        <f ca="1">+S28+(LiborTenor*Volatility!R28*ForwardLiborSimulation!R28)/(1+LiborTenor*ForwardLiborSimulation!R28)</f>
        <v>2.9637036101700254E-2</v>
      </c>
      <c r="T29" s="24">
        <f ca="1">+T28+(LiborTenor*Volatility!S28*ForwardLiborSimulation!S28)/(1+LiborTenor*ForwardLiborSimulation!S28)</f>
        <v>3.1074794863508261E-2</v>
      </c>
      <c r="U29" s="24">
        <f ca="1">+U28+(LiborTenor*Volatility!T28*ForwardLiborSimulation!T28)/(1+LiborTenor*ForwardLiborSimulation!T28)</f>
        <v>3.0535819826575661E-2</v>
      </c>
      <c r="V29" s="24">
        <f ca="1">+V28+(LiborTenor*Volatility!U28*ForwardLiborSimulation!U28)/(1+LiborTenor*ForwardLiborSimulation!U28)</f>
        <v>3.0463351683292762E-2</v>
      </c>
      <c r="W29" s="24">
        <f ca="1">+W28+(LiborTenor*Volatility!V28*ForwardLiborSimulation!V28)/(1+LiborTenor*ForwardLiborSimulation!V28)</f>
        <v>2.9635434468295998E-2</v>
      </c>
      <c r="X29" s="24">
        <f ca="1">+X28+(LiborTenor*Volatility!W28*ForwardLiborSimulation!W28)/(1+LiborTenor*ForwardLiborSimulation!W28)</f>
        <v>2.7648773488168785E-2</v>
      </c>
      <c r="Y29" s="24">
        <f ca="1">+Y28+(LiborTenor*Volatility!X28*ForwardLiborSimulation!X28)/(1+LiborTenor*ForwardLiborSimulation!X28)</f>
        <v>2.8181171436375607E-2</v>
      </c>
      <c r="Z29" s="24">
        <f ca="1">+Z28+(LiborTenor*Volatility!Y28*ForwardLiborSimulation!Y28)/(1+LiborTenor*ForwardLiborSimulation!Y28)</f>
        <v>2.7743236033451808E-2</v>
      </c>
      <c r="AA29" s="24">
        <f ca="1">+AA28+(LiborTenor*Volatility!Z28*ForwardLiborSimulation!Z28)/(1+LiborTenor*ForwardLiborSimulation!Z28)</f>
        <v>2.8417317006467949E-2</v>
      </c>
      <c r="AB29" s="24">
        <f ca="1">+AB28+(LiborTenor*Volatility!AA28*ForwardLiborSimulation!AA28)/(1+LiborTenor*ForwardLiborSimulation!AA28)</f>
        <v>2.8961361622238425E-2</v>
      </c>
      <c r="AC29" s="24">
        <f ca="1">+AC28+(LiborTenor*Volatility!AB28*ForwardLiborSimulation!AB28)/(1+LiborTenor*ForwardLiborSimulation!AB28)</f>
        <v>2.888032423102331E-2</v>
      </c>
      <c r="AD29" s="24">
        <f ca="1">+AD28+(LiborTenor*Volatility!AC28*ForwardLiborSimulation!AC28)/(1+LiborTenor*ForwardLiborSimulation!AC28)</f>
        <v>2.8262942744510383E-2</v>
      </c>
      <c r="AE29" s="24">
        <f ca="1">+AE28+(LiborTenor*Volatility!AD28*ForwardLiborSimulation!AD28)/(1+LiborTenor*ForwardLiborSimulation!AD28)</f>
        <v>2.7995338519914575E-2</v>
      </c>
      <c r="AF29" s="24">
        <f ca="1">+AF28+(LiborTenor*Volatility!AE28*ForwardLiborSimulation!AE28)/(1+LiborTenor*ForwardLiborSimulation!AE28)</f>
        <v>2.9466148925534764E-2</v>
      </c>
      <c r="AG29" s="24">
        <f ca="1">+AG28+(LiborTenor*Volatility!AF28*ForwardLiborSimulation!AF28)/(1+LiborTenor*ForwardLiborSimulation!AF28)</f>
        <v>2.962785743668931E-2</v>
      </c>
      <c r="AH29" s="24">
        <f ca="1">+AH28+(LiborTenor*Volatility!AG28*ForwardLiborSimulation!AG28)/(1+LiborTenor*ForwardLiborSimulation!AG28)</f>
        <v>3.0029952812161E-2</v>
      </c>
      <c r="AI29" s="24">
        <f ca="1">+AI28+(LiborTenor*Volatility!AH28*ForwardLiborSimulation!AH28)/(1+LiborTenor*ForwardLiborSimulation!AH28)</f>
        <v>3.0492769198697561E-2</v>
      </c>
      <c r="AJ29" s="24">
        <f ca="1">+AJ28+(LiborTenor*Volatility!AI28*ForwardLiborSimulation!AI28)/(1+LiborTenor*ForwardLiborSimulation!AI28)</f>
        <v>3.2055540427683986E-2</v>
      </c>
      <c r="AK29" s="24">
        <f ca="1">+AK28+(LiborTenor*Volatility!AJ28*ForwardLiborSimulation!AJ28)/(1+LiborTenor*ForwardLiborSimulation!AJ28)</f>
        <v>3.2411927012571715E-2</v>
      </c>
      <c r="AL29" s="24">
        <f ca="1">+AL28+(LiborTenor*Volatility!AK28*ForwardLiborSimulation!AK28)/(1+LiborTenor*ForwardLiborSimulation!AK28)</f>
        <v>3.3627699840119867E-2</v>
      </c>
      <c r="AM29" s="24">
        <f ca="1">+AM28+(LiborTenor*Volatility!AL28*ForwardLiborSimulation!AL28)/(1+LiborTenor*ForwardLiborSimulation!AL28)</f>
        <v>3.420361977204979E-2</v>
      </c>
      <c r="AN29" s="24">
        <f ca="1">+AN28+(LiborTenor*Volatility!AM28*ForwardLiborSimulation!AM28)/(1+LiborTenor*ForwardLiborSimulation!AM28)</f>
        <v>3.4015973539901968E-2</v>
      </c>
      <c r="AO29" s="24">
        <f ca="1">+AO28+(LiborTenor*Volatility!AN28*ForwardLiborSimulation!AN28)/(1+LiborTenor*ForwardLiborSimulation!AN28)</f>
        <v>3.1961850661002253E-2</v>
      </c>
      <c r="AP29" s="24">
        <f ca="1">+AP28+(LiborTenor*Volatility!AO28*ForwardLiborSimulation!AO28)/(1+LiborTenor*ForwardLiborSimulation!AO28)</f>
        <v>3.1389518637496797E-2</v>
      </c>
      <c r="AQ29" s="24">
        <f ca="1">+AQ28+(LiborTenor*Volatility!AP28*ForwardLiborSimulation!AP28)/(1+LiborTenor*ForwardLiborSimulation!AP28)</f>
        <v>3.0193791531519257E-2</v>
      </c>
      <c r="AR29" s="24">
        <f ca="1">+AR28+(LiborTenor*Volatility!AQ28*ForwardLiborSimulation!AQ28)/(1+LiborTenor*ForwardLiborSimulation!AQ28)</f>
        <v>3.084305541899926E-2</v>
      </c>
      <c r="AS29" s="24">
        <f ca="1">+AS28+(LiborTenor*Volatility!AR28*ForwardLiborSimulation!AR28)/(1+LiborTenor*ForwardLiborSimulation!AR28)</f>
        <v>3.1731169615078214E-2</v>
      </c>
      <c r="AT29" s="24">
        <f ca="1">+AT28+(LiborTenor*Volatility!AS28*ForwardLiborSimulation!AS28)/(1+LiborTenor*ForwardLiborSimulation!AS28)</f>
        <v>3.1064384571617275E-2</v>
      </c>
      <c r="AU29" s="24">
        <f ca="1">+AU28+(LiborTenor*Volatility!AT28*ForwardLiborSimulation!AT28)/(1+LiborTenor*ForwardLiborSimulation!AT28)</f>
        <v>3.0783227762853207E-2</v>
      </c>
      <c r="AV29" s="24">
        <f ca="1">+AV28+(LiborTenor*Volatility!AU28*ForwardLiborSimulation!AU28)/(1+LiborTenor*ForwardLiborSimulation!AU28)</f>
        <v>3.1594489847728245E-2</v>
      </c>
      <c r="AW29" s="24">
        <f ca="1">+AW28+(LiborTenor*Volatility!AV28*ForwardLiborSimulation!AV28)/(1+LiborTenor*ForwardLiborSimulation!AV28)</f>
        <v>3.1764978161373233E-2</v>
      </c>
      <c r="AX29" s="24">
        <f ca="1">+AX28+(LiborTenor*Volatility!AW28*ForwardLiborSimulation!AW28)/(1+LiborTenor*ForwardLiborSimulation!AW28)</f>
        <v>3.27267047723728E-2</v>
      </c>
      <c r="AY29" s="24">
        <f ca="1">+AY28+(LiborTenor*Volatility!AX28*ForwardLiborSimulation!AX28)/(1+LiborTenor*ForwardLiborSimulation!AX28)</f>
        <v>3.1701527374449361E-2</v>
      </c>
      <c r="AZ29" s="24">
        <f ca="1">+AZ28+(LiborTenor*Volatility!AY28*ForwardLiborSimulation!AY28)/(1+LiborTenor*ForwardLiborSimulation!AY28)</f>
        <v>3.2429621942399144E-2</v>
      </c>
      <c r="BA29" s="24">
        <f ca="1">+BA28+(LiborTenor*Volatility!AZ28*ForwardLiborSimulation!AZ28)/(1+LiborTenor*ForwardLiborSimulation!AZ28)</f>
        <v>3.3048998905633176E-2</v>
      </c>
      <c r="BB29" s="24">
        <f ca="1">+BB28+(LiborTenor*Volatility!BA28*ForwardLiborSimulation!BA28)/(1+LiborTenor*ForwardLiborSimulation!BA28)</f>
        <v>3.4707223977124307E-2</v>
      </c>
      <c r="BC29" s="24">
        <f ca="1">+BC28+(LiborTenor*Volatility!BB28*ForwardLiborSimulation!BB28)/(1+LiborTenor*ForwardLiborSimulation!BB28)</f>
        <v>3.5126625656531518E-2</v>
      </c>
      <c r="BD29" s="24">
        <f ca="1">+BD28+(LiborTenor*Volatility!BC28*ForwardLiborSimulation!BC28)/(1+LiborTenor*ForwardLiborSimulation!BC28)</f>
        <v>3.4027699424524757E-2</v>
      </c>
      <c r="BE29" s="24">
        <f ca="1">+BE28+(LiborTenor*Volatility!BD28*ForwardLiborSimulation!BD28)/(1+LiborTenor*ForwardLiborSimulation!BD28)</f>
        <v>3.3948348922812566E-2</v>
      </c>
      <c r="BF29" s="24">
        <f ca="1">+BF28+(LiborTenor*Volatility!BE28*ForwardLiborSimulation!BE28)/(1+LiborTenor*ForwardLiborSimulation!BE28)</f>
        <v>3.342929536531427E-2</v>
      </c>
      <c r="BG29" s="24"/>
      <c r="BH29" s="24"/>
      <c r="BI29" s="2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  <c r="DT29" s="14"/>
      <c r="DU29" s="14"/>
      <c r="DV29" s="14"/>
      <c r="DW29" s="14"/>
    </row>
    <row r="30" spans="4:127" x14ac:dyDescent="0.2">
      <c r="D30" s="2">
        <f>+ForwardLiborSimulation!D30</f>
        <v>4.25</v>
      </c>
      <c r="E30" s="10"/>
      <c r="F30" s="12" t="str">
        <f t="shared" si="2"/>
        <v>L(t;4,4.25)</v>
      </c>
      <c r="G30" s="14"/>
      <c r="H30" s="24">
        <f>+H29+(LiborTenor*Volatility!G29*ForwardLiborSimulation!G29)/(1+LiborTenor*ForwardLiborSimulation!G29)</f>
        <v>2.868759231985302E-2</v>
      </c>
      <c r="I30" s="24">
        <f ca="1">+I29+(LiborTenor*Volatility!H29*ForwardLiborSimulation!H29)/(1+LiborTenor*ForwardLiborSimulation!H29)</f>
        <v>2.9731069528231568E-2</v>
      </c>
      <c r="J30" s="24">
        <f ca="1">+J29+(LiborTenor*Volatility!I29*ForwardLiborSimulation!I29)/(1+LiborTenor*ForwardLiborSimulation!I29)</f>
        <v>3.0069077558774793E-2</v>
      </c>
      <c r="K30" s="24">
        <f ca="1">+K29+(LiborTenor*Volatility!J29*ForwardLiborSimulation!J29)/(1+LiborTenor*ForwardLiborSimulation!J29)</f>
        <v>2.9318510767702168E-2</v>
      </c>
      <c r="L30" s="24">
        <f ca="1">+L29+(LiborTenor*Volatility!K29*ForwardLiborSimulation!K29)/(1+LiborTenor*ForwardLiborSimulation!K29)</f>
        <v>2.9574762414545097E-2</v>
      </c>
      <c r="M30" s="24">
        <f ca="1">+M29+(LiborTenor*Volatility!L29*ForwardLiborSimulation!L29)/(1+LiborTenor*ForwardLiborSimulation!L29)</f>
        <v>2.8735834312517704E-2</v>
      </c>
      <c r="N30" s="24">
        <f ca="1">+N29+(LiborTenor*Volatility!M29*ForwardLiborSimulation!M29)/(1+LiborTenor*ForwardLiborSimulation!M29)</f>
        <v>3.0486746935055431E-2</v>
      </c>
      <c r="O30" s="24">
        <f ca="1">+O29+(LiborTenor*Volatility!N29*ForwardLiborSimulation!N29)/(1+LiborTenor*ForwardLiborSimulation!N29)</f>
        <v>3.0214421201601973E-2</v>
      </c>
      <c r="P30" s="24">
        <f ca="1">+P29+(LiborTenor*Volatility!O29*ForwardLiborSimulation!O29)/(1+LiborTenor*ForwardLiborSimulation!O29)</f>
        <v>3.1237481658216593E-2</v>
      </c>
      <c r="Q30" s="24">
        <f ca="1">+Q29+(LiborTenor*Volatility!P29*ForwardLiborSimulation!P29)/(1+LiborTenor*ForwardLiborSimulation!P29)</f>
        <v>3.0446034575599055E-2</v>
      </c>
      <c r="R30" s="24">
        <f ca="1">+R29+(LiborTenor*Volatility!Q29*ForwardLiborSimulation!Q29)/(1+LiborTenor*ForwardLiborSimulation!Q29)</f>
        <v>3.0609103291647489E-2</v>
      </c>
      <c r="S30" s="24">
        <f ca="1">+S29+(LiborTenor*Volatility!R29*ForwardLiborSimulation!R29)/(1+LiborTenor*ForwardLiborSimulation!R29)</f>
        <v>3.1403597436723593E-2</v>
      </c>
      <c r="T30" s="24">
        <f ca="1">+T29+(LiborTenor*Volatility!S29*ForwardLiborSimulation!S29)/(1+LiborTenor*ForwardLiborSimulation!S29)</f>
        <v>3.2951781470494254E-2</v>
      </c>
      <c r="U30" s="24">
        <f ca="1">+U29+(LiborTenor*Volatility!T29*ForwardLiborSimulation!T29)/(1+LiborTenor*ForwardLiborSimulation!T29)</f>
        <v>3.237049781685794E-2</v>
      </c>
      <c r="V30" s="24">
        <f ca="1">+V29+(LiborTenor*Volatility!U29*ForwardLiborSimulation!U29)/(1+LiborTenor*ForwardLiborSimulation!U29)</f>
        <v>3.2292110529357168E-2</v>
      </c>
      <c r="W30" s="24">
        <f ca="1">+W29+(LiborTenor*Volatility!V29*ForwardLiborSimulation!V29)/(1+LiborTenor*ForwardLiborSimulation!V29)</f>
        <v>3.1399732442824506E-2</v>
      </c>
      <c r="X30" s="24">
        <f ca="1">+X29+(LiborTenor*Volatility!W29*ForwardLiborSimulation!W29)/(1+LiborTenor*ForwardLiborSimulation!W29)</f>
        <v>2.9259938025452143E-2</v>
      </c>
      <c r="Y30" s="24">
        <f ca="1">+Y29+(LiborTenor*Volatility!X29*ForwardLiborSimulation!X29)/(1+LiborTenor*ForwardLiborSimulation!X29)</f>
        <v>2.983228118977628E-2</v>
      </c>
      <c r="Z30" s="24">
        <f ca="1">+Z29+(LiborTenor*Volatility!Y29*ForwardLiborSimulation!Y29)/(1+LiborTenor*ForwardLiborSimulation!Y29)</f>
        <v>2.9360881921525622E-2</v>
      </c>
      <c r="AA30" s="24">
        <f ca="1">+AA29+(LiborTenor*Volatility!Z29*ForwardLiborSimulation!Z29)/(1+LiborTenor*ForwardLiborSimulation!Z29)</f>
        <v>3.0085625987975199E-2</v>
      </c>
      <c r="AB30" s="24">
        <f ca="1">+AB29+(LiborTenor*Volatility!AA29*ForwardLiborSimulation!AA29)/(1+LiborTenor*ForwardLiborSimulation!AA29)</f>
        <v>3.0670750027564083E-2</v>
      </c>
      <c r="AC30" s="24">
        <f ca="1">+AC29+(LiborTenor*Volatility!AB29*ForwardLiborSimulation!AB29)/(1+LiborTenor*ForwardLiborSimulation!AB29)</f>
        <v>3.058326203727146E-2</v>
      </c>
      <c r="AD30" s="24">
        <f ca="1">+AD29+(LiborTenor*Volatility!AC29*ForwardLiborSimulation!AC29)/(1+LiborTenor*ForwardLiborSimulation!AC29)</f>
        <v>2.9918526488491325E-2</v>
      </c>
      <c r="AE30" s="24">
        <f ca="1">+AE29+(LiborTenor*Volatility!AD29*ForwardLiborSimulation!AD29)/(1+LiborTenor*ForwardLiborSimulation!AD29)</f>
        <v>2.9630380143591893E-2</v>
      </c>
      <c r="AF30" s="24">
        <f ca="1">+AF29+(LiborTenor*Volatility!AE29*ForwardLiborSimulation!AE29)/(1+LiborTenor*ForwardLiborSimulation!AE29)</f>
        <v>3.1212164327315543E-2</v>
      </c>
      <c r="AG30" s="24">
        <f ca="1">+AG29+(LiborTenor*Volatility!AF29*ForwardLiborSimulation!AF29)/(1+LiborTenor*ForwardLiborSimulation!AF29)</f>
        <v>3.1385984952678699E-2</v>
      </c>
      <c r="AH30" s="24">
        <f ca="1">+AH29+(LiborTenor*Volatility!AG29*ForwardLiborSimulation!AG29)/(1+LiborTenor*ForwardLiborSimulation!AG29)</f>
        <v>3.1818640873261278E-2</v>
      </c>
      <c r="AI30" s="24">
        <f ca="1">+AI29+(LiborTenor*Volatility!AH29*ForwardLiborSimulation!AH29)/(1+LiborTenor*ForwardLiborSimulation!AH29)</f>
        <v>3.2316783627217641E-2</v>
      </c>
      <c r="AJ30" s="24">
        <f ca="1">+AJ29+(LiborTenor*Volatility!AI29*ForwardLiborSimulation!AI29)/(1+LiborTenor*ForwardLiborSimulation!AI29)</f>
        <v>3.3999949877548993E-2</v>
      </c>
      <c r="AK30" s="24">
        <f ca="1">+AK29+(LiborTenor*Volatility!AJ29*ForwardLiborSimulation!AJ29)/(1+LiborTenor*ForwardLiborSimulation!AJ29)</f>
        <v>3.4383871186831103E-2</v>
      </c>
      <c r="AL30" s="24">
        <f ca="1">+AL29+(LiborTenor*Volatility!AK29*ForwardLiborSimulation!AK29)/(1+LiborTenor*ForwardLiborSimulation!AK29)</f>
        <v>3.5694611491573457E-2</v>
      </c>
      <c r="AM30" s="24">
        <f ca="1">+AM29+(LiborTenor*Volatility!AL29*ForwardLiborSimulation!AL29)/(1+LiborTenor*ForwardLiborSimulation!AL29)</f>
        <v>3.6315719658009685E-2</v>
      </c>
      <c r="AN30" s="24">
        <f ca="1">+AN29+(LiborTenor*Volatility!AM29*ForwardLiborSimulation!AM29)/(1+LiborTenor*ForwardLiborSimulation!AM29)</f>
        <v>3.6112781981344481E-2</v>
      </c>
      <c r="AO30" s="24">
        <f ca="1">+AO29+(LiborTenor*Volatility!AN29*ForwardLiborSimulation!AN29)/(1+LiborTenor*ForwardLiborSimulation!AN29)</f>
        <v>3.3895322170138534E-2</v>
      </c>
      <c r="AP30" s="24">
        <f ca="1">+AP29+(LiborTenor*Volatility!AO29*ForwardLiborSimulation!AO29)/(1+LiborTenor*ForwardLiborSimulation!AO29)</f>
        <v>3.3278011733886087E-2</v>
      </c>
      <c r="AQ30" s="24">
        <f ca="1">+AQ29+(LiborTenor*Volatility!AP29*ForwardLiborSimulation!AP29)/(1+LiborTenor*ForwardLiborSimulation!AP29)</f>
        <v>3.1989130747821615E-2</v>
      </c>
      <c r="AR30" s="24">
        <f ca="1">+AR29+(LiborTenor*Volatility!AQ29*ForwardLiborSimulation!AQ29)/(1+LiborTenor*ForwardLiborSimulation!AQ29)</f>
        <v>3.2687984142686158E-2</v>
      </c>
      <c r="AS30" s="24">
        <f ca="1">+AS29+(LiborTenor*Volatility!AR29*ForwardLiborSimulation!AR29)/(1+LiborTenor*ForwardLiborSimulation!AR29)</f>
        <v>3.364438142077919E-2</v>
      </c>
      <c r="AT30" s="24">
        <f ca="1">+AT29+(LiborTenor*Volatility!AS29*ForwardLiborSimulation!AS29)/(1+LiborTenor*ForwardLiborSimulation!AS29)</f>
        <v>3.2925407077949082E-2</v>
      </c>
      <c r="AU30" s="24">
        <f ca="1">+AU29+(LiborTenor*Volatility!AT29*ForwardLiborSimulation!AT29)/(1+LiborTenor*ForwardLiborSimulation!AT29)</f>
        <v>3.2622196807548673E-2</v>
      </c>
      <c r="AV30" s="24">
        <f ca="1">+AV29+(LiborTenor*Volatility!AU29*ForwardLiborSimulation!AU29)/(1+LiborTenor*ForwardLiborSimulation!AU29)</f>
        <v>3.3495736298574372E-2</v>
      </c>
      <c r="AW30" s="24">
        <f ca="1">+AW29+(LiborTenor*Volatility!AV29*ForwardLiborSimulation!AV29)/(1+LiborTenor*ForwardLiborSimulation!AV29)</f>
        <v>3.36791410002436E-2</v>
      </c>
      <c r="AX30" s="24">
        <f ca="1">+AX29+(LiborTenor*Volatility!AW29*ForwardLiborSimulation!AW29)/(1+LiborTenor*ForwardLiborSimulation!AW29)</f>
        <v>3.4715297609398593E-2</v>
      </c>
      <c r="AY30" s="24">
        <f ca="1">+AY29+(LiborTenor*Volatility!AX29*ForwardLiborSimulation!AX29)/(1+LiborTenor*ForwardLiborSimulation!AX29)</f>
        <v>3.3609482462616552E-2</v>
      </c>
      <c r="AZ30" s="24">
        <f ca="1">+AZ29+(LiborTenor*Volatility!AY29*ForwardLiborSimulation!AY29)/(1+LiborTenor*ForwardLiborSimulation!AY29)</f>
        <v>3.4393786879850528E-2</v>
      </c>
      <c r="BA30" s="24">
        <f ca="1">+BA29+(LiborTenor*Volatility!AZ29*ForwardLiborSimulation!AZ29)/(1+LiborTenor*ForwardLiborSimulation!AZ29)</f>
        <v>3.5061184607178775E-2</v>
      </c>
      <c r="BB30" s="24">
        <f ca="1">+BB29+(LiborTenor*Volatility!BA29*ForwardLiborSimulation!BA29)/(1+LiborTenor*ForwardLiborSimulation!BA29)</f>
        <v>3.6849110582418437E-2</v>
      </c>
      <c r="BC30" s="24">
        <f ca="1">+BC29+(LiborTenor*Volatility!BB29*ForwardLiborSimulation!BB29)/(1+LiborTenor*ForwardLiborSimulation!BB29)</f>
        <v>3.7301407513932461E-2</v>
      </c>
      <c r="BD30" s="24"/>
      <c r="BE30" s="24"/>
      <c r="BF30" s="2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  <c r="DT30" s="14"/>
      <c r="DU30" s="14"/>
      <c r="DV30" s="14"/>
      <c r="DW30" s="14"/>
    </row>
    <row r="31" spans="4:127" x14ac:dyDescent="0.2">
      <c r="D31" s="2">
        <f>+ForwardLiborSimulation!D31</f>
        <v>4</v>
      </c>
      <c r="E31" s="10"/>
      <c r="F31" s="12" t="str">
        <f t="shared" si="2"/>
        <v>L(t;3.75,4)</v>
      </c>
      <c r="G31" s="14"/>
      <c r="H31" s="24">
        <f>+H30+(LiborTenor*Volatility!G30*ForwardLiborSimulation!G30)/(1+LiborTenor*ForwardLiborSimulation!G30)</f>
        <v>3.0307110540977171E-2</v>
      </c>
      <c r="I31" s="24">
        <f ca="1">+I30+(LiborTenor*Volatility!H30*ForwardLiborSimulation!H30)/(1+LiborTenor*ForwardLiborSimulation!H30)</f>
        <v>3.1418132606228028E-2</v>
      </c>
      <c r="J31" s="24">
        <f ca="1">+J30+(LiborTenor*Volatility!I30*ForwardLiborSimulation!I30)/(1+LiborTenor*ForwardLiborSimulation!I30)</f>
        <v>3.1771624283521462E-2</v>
      </c>
      <c r="K31" s="24">
        <f ca="1">+K30+(LiborTenor*Volatility!J30*ForwardLiborSimulation!J30)/(1+LiborTenor*ForwardLiborSimulation!J30)</f>
        <v>3.0965499063082189E-2</v>
      </c>
      <c r="L31" s="24">
        <f ca="1">+L30+(LiborTenor*Volatility!K30*ForwardLiborSimulation!K30)/(1+LiborTenor*ForwardLiborSimulation!K30)</f>
        <v>3.1240228868967823E-2</v>
      </c>
      <c r="M31" s="24">
        <f ca="1">+M30+(LiborTenor*Volatility!L30*ForwardLiborSimulation!L30)/(1+LiborTenor*ForwardLiborSimulation!L30)</f>
        <v>3.0339541101327843E-2</v>
      </c>
      <c r="N31" s="24">
        <f ca="1">+N30+(LiborTenor*Volatility!M30*ForwardLiborSimulation!M30)/(1+LiborTenor*ForwardLiborSimulation!M30)</f>
        <v>3.2217495128351523E-2</v>
      </c>
      <c r="O31" s="24">
        <f ca="1">+O30+(LiborTenor*Volatility!N30*ForwardLiborSimulation!N30)/(1+LiborTenor*ForwardLiborSimulation!N30)</f>
        <v>3.1924780675927723E-2</v>
      </c>
      <c r="P31" s="24">
        <f ca="1">+P30+(LiborTenor*Volatility!O30*ForwardLiborSimulation!O30)/(1+LiborTenor*ForwardLiborSimulation!O30)</f>
        <v>3.3022878476082068E-2</v>
      </c>
      <c r="Q31" s="24">
        <f ca="1">+Q30+(LiborTenor*Volatility!P30*ForwardLiborSimulation!P30)/(1+LiborTenor*ForwardLiborSimulation!P30)</f>
        <v>3.2172355232202819E-2</v>
      </c>
      <c r="R31" s="24">
        <f ca="1">+R30+(LiborTenor*Volatility!Q30*ForwardLiborSimulation!Q30)/(1+LiborTenor*ForwardLiborSimulation!Q30)</f>
        <v>3.2347162016455537E-2</v>
      </c>
      <c r="S31" s="24">
        <f ca="1">+S30+(LiborTenor*Volatility!R30*ForwardLiborSimulation!R30)/(1+LiborTenor*ForwardLiborSimulation!R30)</f>
        <v>3.3200017546489366E-2</v>
      </c>
      <c r="T31" s="24">
        <f ca="1">+T30+(LiborTenor*Volatility!S30*ForwardLiborSimulation!S30)/(1+LiborTenor*ForwardLiborSimulation!S30)</f>
        <v>3.4862921480581489E-2</v>
      </c>
      <c r="U31" s="24">
        <f ca="1">+U30+(LiborTenor*Volatility!T30*ForwardLiborSimulation!T30)/(1+LiborTenor*ForwardLiborSimulation!T30)</f>
        <v>3.4237572272681024E-2</v>
      </c>
      <c r="V31" s="24">
        <f ca="1">+V30+(LiborTenor*Volatility!U30*ForwardLiborSimulation!U30)/(1+LiborTenor*ForwardLiborSimulation!U30)</f>
        <v>3.4152989630644358E-2</v>
      </c>
      <c r="W31" s="24">
        <f ca="1">+W30+(LiborTenor*Volatility!V30*ForwardLiborSimulation!V30)/(1+LiborTenor*ForwardLiborSimulation!V30)</f>
        <v>3.3193538519190081E-2</v>
      </c>
      <c r="X31" s="24">
        <f ca="1">+X30+(LiborTenor*Volatility!W30*ForwardLiborSimulation!W30)/(1+LiborTenor*ForwardLiborSimulation!W30)</f>
        <v>3.0894590063883884E-2</v>
      </c>
      <c r="Y31" s="24">
        <f ca="1">+Y30+(LiborTenor*Volatility!X30*ForwardLiborSimulation!X30)/(1+LiborTenor*ForwardLiborSimulation!X30)</f>
        <v>3.1508321231252717E-2</v>
      </c>
      <c r="Z31" s="24">
        <f ca="1">+Z30+(LiborTenor*Volatility!Y30*ForwardLiborSimulation!Y30)/(1+LiborTenor*ForwardLiborSimulation!Y30)</f>
        <v>3.1002174111437464E-2</v>
      </c>
      <c r="AA31" s="24">
        <f ca="1">+AA30+(LiborTenor*Volatility!Z30*ForwardLiborSimulation!Z30)/(1+LiborTenor*ForwardLiborSimulation!Z30)</f>
        <v>3.1779421073471398E-2</v>
      </c>
      <c r="AB31" s="24">
        <f ca="1">+AB30+(LiborTenor*Volatility!AA30*ForwardLiborSimulation!AA30)/(1+LiborTenor*ForwardLiborSimulation!AA30)</f>
        <v>3.2407136040833916E-2</v>
      </c>
      <c r="AC31" s="24">
        <f ca="1">+AC30+(LiborTenor*Volatility!AB30*ForwardLiborSimulation!AB30)/(1+LiborTenor*ForwardLiborSimulation!AB30)</f>
        <v>3.2312917374819616E-2</v>
      </c>
      <c r="AD31" s="24">
        <f ca="1">+AD30+(LiborTenor*Volatility!AC30*ForwardLiborSimulation!AC30)/(1+LiborTenor*ForwardLiborSimulation!AC30)</f>
        <v>3.1598993610670423E-2</v>
      </c>
      <c r="AE31" s="24">
        <f ca="1">+AE30+(LiborTenor*Volatility!AD30*ForwardLiborSimulation!AD30)/(1+LiborTenor*ForwardLiborSimulation!AD30)</f>
        <v>3.1289505930582662E-2</v>
      </c>
      <c r="AF31" s="24">
        <f ca="1">+AF30+(LiborTenor*Volatility!AE30*ForwardLiborSimulation!AE30)/(1+LiborTenor*ForwardLiborSimulation!AE30)</f>
        <v>3.2986341552190594E-2</v>
      </c>
      <c r="AG31" s="24">
        <f ca="1">+AG30+(LiborTenor*Volatility!AF30*ForwardLiborSimulation!AF30)/(1+LiborTenor*ForwardLiborSimulation!AF30)</f>
        <v>3.3172704379636625E-2</v>
      </c>
      <c r="AH31" s="24">
        <f ca="1">+AH30+(LiborTenor*Volatility!AG30*ForwardLiborSimulation!AG30)/(1+LiborTenor*ForwardLiborSimulation!AG30)</f>
        <v>3.363706392920681E-2</v>
      </c>
      <c r="AI31" s="24">
        <f ca="1">+AI30+(LiborTenor*Volatility!AH30*ForwardLiborSimulation!AH30)/(1+LiborTenor*ForwardLiborSimulation!AH30)</f>
        <v>3.4171871654954597E-2</v>
      </c>
      <c r="AJ31" s="24">
        <f ca="1">+AJ30+(LiborTenor*Volatility!AI30*ForwardLiborSimulation!AI30)/(1+LiborTenor*ForwardLiborSimulation!AI30)</f>
        <v>3.5980132507630345E-2</v>
      </c>
      <c r="AK31" s="24">
        <f ca="1">+AK30+(LiborTenor*Volatility!AJ30*ForwardLiborSimulation!AJ30)/(1+LiborTenor*ForwardLiborSimulation!AJ30)</f>
        <v>3.6392666206647842E-2</v>
      </c>
      <c r="AL31" s="24">
        <f ca="1">+AL30+(LiborTenor*Volatility!AK30*ForwardLiborSimulation!AK30)/(1+LiborTenor*ForwardLiborSimulation!AK30)</f>
        <v>3.7802224892149107E-2</v>
      </c>
      <c r="AM31" s="24">
        <f ca="1">+AM30+(LiborTenor*Volatility!AL30*ForwardLiborSimulation!AL30)/(1+LiborTenor*ForwardLiborSimulation!AL30)</f>
        <v>3.8470371374361108E-2</v>
      </c>
      <c r="AN31" s="24">
        <f ca="1">+AN30+(LiborTenor*Volatility!AM30*ForwardLiborSimulation!AM30)/(1+LiborTenor*ForwardLiborSimulation!AM30)</f>
        <v>3.8251439833614363E-2</v>
      </c>
      <c r="AO31" s="24">
        <f ca="1">+AO30+(LiborTenor*Volatility!AN30*ForwardLiborSimulation!AN30)/(1+LiborTenor*ForwardLiborSimulation!AN30)</f>
        <v>3.5863674220894856E-2</v>
      </c>
      <c r="AP31" s="24">
        <f ca="1">+AP30+(LiborTenor*Volatility!AO30*ForwardLiborSimulation!AO30)/(1+LiborTenor*ForwardLiborSimulation!AO30)</f>
        <v>3.5199524631962797E-2</v>
      </c>
      <c r="AQ31" s="24">
        <f ca="1">+AQ30+(LiborTenor*Volatility!AP30*ForwardLiborSimulation!AP30)/(1+LiborTenor*ForwardLiborSimulation!AP30)</f>
        <v>3.3813736635073179E-2</v>
      </c>
      <c r="AR31" s="24">
        <f ca="1">+AR30+(LiborTenor*Volatility!AQ30*ForwardLiborSimulation!AQ30)/(1+LiborTenor*ForwardLiborSimulation!AQ30)</f>
        <v>3.4564057268577912E-2</v>
      </c>
      <c r="AS31" s="24">
        <f ca="1">+AS30+(LiborTenor*Volatility!AR30*ForwardLiborSimulation!AR30)/(1+LiborTenor*ForwardLiborSimulation!AR30)</f>
        <v>3.5591375163673993E-2</v>
      </c>
      <c r="AT31" s="24">
        <f ca="1">+AT30+(LiborTenor*Volatility!AS30*ForwardLiborSimulation!AS30)/(1+LiborTenor*ForwardLiborSimulation!AS30)</f>
        <v>3.4818080546875407E-2</v>
      </c>
      <c r="AU31" s="24">
        <f ca="1">+AU30+(LiborTenor*Volatility!AT30*ForwardLiborSimulation!AT30)/(1+LiborTenor*ForwardLiborSimulation!AT30)</f>
        <v>3.4491908483692289E-2</v>
      </c>
      <c r="AV31" s="24">
        <f ca="1">+AV30+(LiborTenor*Volatility!AU30*ForwardLiborSimulation!AU30)/(1+LiborTenor*ForwardLiborSimulation!AU30)</f>
        <v>3.5430117452325625E-2</v>
      </c>
      <c r="AW31" s="24">
        <f ca="1">+AW30+(LiborTenor*Volatility!AV30*ForwardLiborSimulation!AV30)/(1+LiborTenor*ForwardLiborSimulation!AV30)</f>
        <v>3.5626909915704781E-2</v>
      </c>
      <c r="AX31" s="24">
        <f ca="1">+AX30+(LiborTenor*Volatility!AW30*ForwardLiborSimulation!AW30)/(1+LiborTenor*ForwardLiborSimulation!AW30)</f>
        <v>3.6740422790970659E-2</v>
      </c>
      <c r="AY31" s="24">
        <f ca="1">+AY30+(LiborTenor*Volatility!AX30*ForwardLiborSimulation!AX30)/(1+LiborTenor*ForwardLiborSimulation!AX30)</f>
        <v>3.5550638726862607E-2</v>
      </c>
      <c r="AZ31" s="24">
        <f ca="1">+AZ30+(LiborTenor*Volatility!AY30*ForwardLiborSimulation!AY30)/(1+LiborTenor*ForwardLiborSimulation!AY30)</f>
        <v>3.6393344052114009E-2</v>
      </c>
      <c r="BA31" s="24"/>
      <c r="BB31" s="24"/>
      <c r="BC31" s="2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</row>
    <row r="32" spans="4:127" x14ac:dyDescent="0.2">
      <c r="D32" s="2">
        <f>+ForwardLiborSimulation!D32</f>
        <v>3.75</v>
      </c>
      <c r="E32" s="10"/>
      <c r="F32" s="12" t="str">
        <f t="shared" si="2"/>
        <v>L(t;3.5,3.75)</v>
      </c>
      <c r="G32" s="14"/>
      <c r="H32" s="24">
        <f>+H31+(LiborTenor*Volatility!G31*ForwardLiborSimulation!G31)/(1+LiborTenor*ForwardLiborSimulation!G31)</f>
        <v>3.195107625791023E-2</v>
      </c>
      <c r="I32" s="24">
        <f ca="1">+I31+(LiborTenor*Volatility!H31*ForwardLiborSimulation!H31)/(1+LiborTenor*ForwardLiborSimulation!H31)</f>
        <v>3.3131605041738989E-2</v>
      </c>
      <c r="J32" s="24">
        <f ca="1">+J31+(LiborTenor*Volatility!I31*ForwardLiborSimulation!I31)/(1+LiborTenor*ForwardLiborSimulation!I31)</f>
        <v>3.3500601363872999E-2</v>
      </c>
      <c r="K32" s="24">
        <f ca="1">+K31+(LiborTenor*Volatility!J31*ForwardLiborSimulation!J31)/(1+LiborTenor*ForwardLiborSimulation!J31)</f>
        <v>3.2636807061174507E-2</v>
      </c>
      <c r="L32" s="24">
        <f ca="1">+L31+(LiborTenor*Volatility!K31*ForwardLiborSimulation!K31)/(1+LiborTenor*ForwardLiborSimulation!K31)</f>
        <v>3.293065872446517E-2</v>
      </c>
      <c r="M32" s="24">
        <f ca="1">+M31+(LiborTenor*Volatility!L31*ForwardLiborSimulation!L31)/(1+LiborTenor*ForwardLiborSimulation!L31)</f>
        <v>3.1965903856213736E-2</v>
      </c>
      <c r="N32" s="24">
        <f ca="1">+N31+(LiborTenor*Volatility!M31*ForwardLiborSimulation!M31)/(1+LiborTenor*ForwardLiborSimulation!M31)</f>
        <v>3.3975433331151161E-2</v>
      </c>
      <c r="O32" s="24">
        <f ca="1">+O31+(LiborTenor*Volatility!N31*ForwardLiborSimulation!N31)/(1+LiborTenor*ForwardLiborSimulation!N31)</f>
        <v>3.3661528735249663E-2</v>
      </c>
      <c r="P32" s="24">
        <f ca="1">+P31+(LiborTenor*Volatility!O31*ForwardLiborSimulation!O31)/(1+LiborTenor*ForwardLiborSimulation!O31)</f>
        <v>3.483742443040698E-2</v>
      </c>
      <c r="Q32" s="24">
        <f ca="1">+Q31+(LiborTenor*Volatility!P31*ForwardLiborSimulation!P31)/(1+LiborTenor*ForwardLiborSimulation!P31)</f>
        <v>3.3925531402852219E-2</v>
      </c>
      <c r="R32" s="24">
        <f ca="1">+R31+(LiborTenor*Volatility!Q31*ForwardLiborSimulation!Q31)/(1+LiborTenor*ForwardLiborSimulation!Q31)</f>
        <v>3.4112479541403666E-2</v>
      </c>
      <c r="S32" s="24">
        <f ca="1">+S31+(LiborTenor*Volatility!R31*ForwardLiborSimulation!R31)/(1+LiborTenor*ForwardLiborSimulation!R31)</f>
        <v>3.5025849779999688E-2</v>
      </c>
      <c r="T32" s="24">
        <f ca="1">+T31+(LiborTenor*Volatility!S31*ForwardLiborSimulation!S31)/(1+LiborTenor*ForwardLiborSimulation!S31)</f>
        <v>3.6807817935116525E-2</v>
      </c>
      <c r="U32" s="24">
        <f ca="1">+U31+(LiborTenor*Volatility!T31*ForwardLiborSimulation!T31)/(1+LiborTenor*ForwardLiborSimulation!T31)</f>
        <v>3.6136617588097747E-2</v>
      </c>
      <c r="V32" s="24">
        <f ca="1">+V31+(LiborTenor*Volatility!U31*ForwardLiborSimulation!U31)/(1+LiborTenor*ForwardLiborSimulation!U31)</f>
        <v>3.6045556407705924E-2</v>
      </c>
      <c r="W32" s="24">
        <f ca="1">+W31+(LiborTenor*Volatility!V31*ForwardLiborSimulation!V31)/(1+LiborTenor*ForwardLiborSimulation!V31)</f>
        <v>3.5016382302016341E-2</v>
      </c>
      <c r="X32" s="24">
        <f ca="1">+X31+(LiborTenor*Volatility!W31*ForwardLiborSimulation!W31)/(1+LiborTenor*ForwardLiborSimulation!W31)</f>
        <v>3.2552185170176232E-2</v>
      </c>
      <c r="Y32" s="24">
        <f ca="1">+Y31+(LiborTenor*Volatility!X31*ForwardLiborSimulation!X31)/(1+LiborTenor*ForwardLiborSimulation!X31)</f>
        <v>3.3208756163246575E-2</v>
      </c>
      <c r="Z32" s="24">
        <f ca="1">+Z31+(LiborTenor*Volatility!Y31*ForwardLiborSimulation!Y31)/(1+LiborTenor*ForwardLiborSimulation!Y31)</f>
        <v>3.2666563356274908E-2</v>
      </c>
      <c r="AA32" s="24">
        <f ca="1">+AA31+(LiborTenor*Volatility!Z31*ForwardLiborSimulation!Z31)/(1+LiborTenor*ForwardLiborSimulation!Z31)</f>
        <v>3.3498165160275407E-2</v>
      </c>
      <c r="AB32" s="24">
        <f ca="1">+AB31+(LiborTenor*Volatility!AA31*ForwardLiborSimulation!AA31)/(1+LiborTenor*ForwardLiborSimulation!AA31)</f>
        <v>3.4169993602557729E-2</v>
      </c>
      <c r="AC32" s="24">
        <f ca="1">+AC31+(LiborTenor*Volatility!AB31*ForwardLiborSimulation!AB31)/(1+LiborTenor*ForwardLiborSimulation!AB31)</f>
        <v>3.4068758656138565E-2</v>
      </c>
      <c r="AD32" s="24">
        <f ca="1">+AD31+(LiborTenor*Volatility!AC31*ForwardLiborSimulation!AC31)/(1+LiborTenor*ForwardLiborSimulation!AC31)</f>
        <v>3.3303792030503161E-2</v>
      </c>
      <c r="AE32" s="24">
        <f ca="1">+AE31+(LiborTenor*Volatility!AD31*ForwardLiborSimulation!AD31)/(1+LiborTenor*ForwardLiborSimulation!AD31)</f>
        <v>3.2972154460137237E-2</v>
      </c>
      <c r="AF32" s="24">
        <f ca="1">+AF31+(LiborTenor*Volatility!AE31*ForwardLiborSimulation!AE31)/(1+LiborTenor*ForwardLiborSimulation!AE31)</f>
        <v>3.478814895686843E-2</v>
      </c>
      <c r="AG32" s="24">
        <f ca="1">+AG31+(LiborTenor*Volatility!AF31*ForwardLiborSimulation!AF31)/(1+LiborTenor*ForwardLiborSimulation!AF31)</f>
        <v>3.4987485591092361E-2</v>
      </c>
      <c r="AH32" s="24">
        <f ca="1">+AH31+(LiborTenor*Volatility!AG31*ForwardLiborSimulation!AG31)/(1+LiborTenor*ForwardLiborSimulation!AG31)</f>
        <v>3.5484700864661239E-2</v>
      </c>
      <c r="AI32" s="24">
        <f ca="1">+AI31+(LiborTenor*Volatility!AH31*ForwardLiborSimulation!AH31)/(1+LiborTenor*ForwardLiborSimulation!AH31)</f>
        <v>3.6057523871843189E-2</v>
      </c>
      <c r="AJ32" s="24">
        <f ca="1">+AJ31+(LiborTenor*Volatility!AI31*ForwardLiborSimulation!AI31)/(1+LiborTenor*ForwardLiborSimulation!AI31)</f>
        <v>3.7995630592319619E-2</v>
      </c>
      <c r="AK32" s="24">
        <f ca="1">+AK31+(LiborTenor*Volatility!AJ31*ForwardLiborSimulation!AJ31)/(1+LiborTenor*ForwardLiborSimulation!AJ31)</f>
        <v>3.8437865546220418E-2</v>
      </c>
      <c r="AL32" s="24">
        <f ca="1">+AL31+(LiborTenor*Volatility!AK31*ForwardLiborSimulation!AK31)/(1+LiborTenor*ForwardLiborSimulation!AK31)</f>
        <v>3.9950144677658499E-2</v>
      </c>
      <c r="AM32" s="24">
        <f ca="1">+AM31+(LiborTenor*Volatility!AL31*ForwardLiborSimulation!AL31)/(1+LiborTenor*ForwardLiborSimulation!AL31)</f>
        <v>4.0667204555062106E-2</v>
      </c>
      <c r="AN32" s="24">
        <f ca="1">+AN31+(LiborTenor*Volatility!AM31*ForwardLiborSimulation!AM31)/(1+LiborTenor*ForwardLiborSimulation!AM31)</f>
        <v>4.0431560541411282E-2</v>
      </c>
      <c r="AO32" s="24">
        <f ca="1">+AO31+(LiborTenor*Volatility!AN31*ForwardLiborSimulation!AN31)/(1+LiborTenor*ForwardLiborSimulation!AN31)</f>
        <v>3.7866402593488481E-2</v>
      </c>
      <c r="AP32" s="24">
        <f ca="1">+AP31+(LiborTenor*Volatility!AO31*ForwardLiborSimulation!AO31)/(1+LiborTenor*ForwardLiborSimulation!AO31)</f>
        <v>3.7153525270453902E-2</v>
      </c>
      <c r="AQ32" s="24">
        <f ca="1">+AQ31+(LiborTenor*Volatility!AP31*ForwardLiborSimulation!AP31)/(1+LiborTenor*ForwardLiborSimulation!AP31)</f>
        <v>3.5667028542079759E-2</v>
      </c>
      <c r="AR32" s="24">
        <f ca="1">+AR31+(LiborTenor*Volatility!AQ31*ForwardLiborSimulation!AQ31)/(1+LiborTenor*ForwardLiborSimulation!AQ31)</f>
        <v>3.647070966090353E-2</v>
      </c>
      <c r="AS32" s="24">
        <f ca="1">+AS31+(LiborTenor*Volatility!AR31*ForwardLiborSimulation!AR31)/(1+LiborTenor*ForwardLiborSimulation!AR31)</f>
        <v>3.7571611041158207E-2</v>
      </c>
      <c r="AT32" s="24">
        <f ca="1">+AT31+(LiborTenor*Volatility!AS31*ForwardLiborSimulation!AS31)/(1+LiborTenor*ForwardLiborSimulation!AS31)</f>
        <v>3.674183571249915E-2</v>
      </c>
      <c r="AU32" s="24">
        <f ca="1">+AU31+(LiborTenor*Volatility!AT31*ForwardLiborSimulation!AT31)/(1+LiborTenor*ForwardLiborSimulation!AT31)</f>
        <v>3.6391780170439474E-2</v>
      </c>
      <c r="AV32" s="24">
        <f ca="1">+AV31+(LiborTenor*Volatility!AU31*ForwardLiborSimulation!AU31)/(1+LiborTenor*ForwardLiborSimulation!AU31)</f>
        <v>3.7397072394440616E-2</v>
      </c>
      <c r="AW32" s="24">
        <f ca="1">+AW31+(LiborTenor*Volatility!AV31*ForwardLiborSimulation!AV31)/(1+LiborTenor*ForwardLiborSimulation!AV31)</f>
        <v>3.7607725916734475E-2</v>
      </c>
      <c r="AX32" s="24"/>
      <c r="AY32" s="24"/>
      <c r="AZ32" s="2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14"/>
      <c r="DT32" s="14"/>
      <c r="DU32" s="14"/>
      <c r="DV32" s="14"/>
      <c r="DW32" s="14"/>
    </row>
    <row r="33" spans="4:134" x14ac:dyDescent="0.2">
      <c r="D33" s="2">
        <f>+ForwardLiborSimulation!D33</f>
        <v>3.5</v>
      </c>
      <c r="E33" s="10"/>
      <c r="F33" s="12" t="str">
        <f t="shared" si="2"/>
        <v>L(t;3.25,3.5)</v>
      </c>
      <c r="G33" s="14"/>
      <c r="H33" s="24">
        <f>+H32+(LiborTenor*Volatility!G32*ForwardLiborSimulation!G32)/(1+LiborTenor*ForwardLiborSimulation!G32)</f>
        <v>3.3619029925863894E-2</v>
      </c>
      <c r="I33" s="24">
        <f ca="1">+I32+(LiborTenor*Volatility!H32*ForwardLiborSimulation!H32)/(1+LiborTenor*ForwardLiborSimulation!H32)</f>
        <v>3.4871044695552161E-2</v>
      </c>
      <c r="J33" s="24">
        <f ca="1">+J32+(LiborTenor*Volatility!I32*ForwardLiborSimulation!I32)/(1+LiborTenor*ForwardLiborSimulation!I32)</f>
        <v>3.5255564836862284E-2</v>
      </c>
      <c r="K33" s="24">
        <f ca="1">+K32+(LiborTenor*Volatility!J32*ForwardLiborSimulation!J32)/(1+LiborTenor*ForwardLiborSimulation!J32)</f>
        <v>3.4331965532963443E-2</v>
      </c>
      <c r="L33" s="24">
        <f ca="1">+L32+(LiborTenor*Volatility!K32*ForwardLiborSimulation!K32)/(1+LiborTenor*ForwardLiborSimulation!K32)</f>
        <v>3.4645586255728639E-2</v>
      </c>
      <c r="M33" s="24">
        <f ca="1">+M32+(LiborTenor*Volatility!L32*ForwardLiborSimulation!L32)/(1+LiborTenor*ForwardLiborSimulation!L32)</f>
        <v>3.3614431916165775E-2</v>
      </c>
      <c r="N33" s="24">
        <f ca="1">+N32+(LiborTenor*Volatility!M32*ForwardLiborSimulation!M32)/(1+LiborTenor*ForwardLiborSimulation!M32)</f>
        <v>3.576010535194054E-2</v>
      </c>
      <c r="O33" s="24">
        <f ca="1">+O32+(LiborTenor*Volatility!N32*ForwardLiborSimulation!N32)/(1+LiborTenor*ForwardLiborSimulation!N32)</f>
        <v>3.5424197743504846E-2</v>
      </c>
      <c r="P33" s="24">
        <f ca="1">+P32+(LiborTenor*Volatility!O32*ForwardLiborSimulation!O32)/(1+LiborTenor*ForwardLiborSimulation!O32)</f>
        <v>3.6680677408768257E-2</v>
      </c>
      <c r="Q33" s="24">
        <f ca="1">+Q32+(LiborTenor*Volatility!P32*ForwardLiborSimulation!P32)/(1+LiborTenor*ForwardLiborSimulation!P32)</f>
        <v>3.5705091064343594E-2</v>
      </c>
      <c r="R33" s="24">
        <f ca="1">+R32+(LiborTenor*Volatility!Q32*ForwardLiborSimulation!Q32)/(1+LiborTenor*ForwardLiborSimulation!Q32)</f>
        <v>3.5904585220415709E-2</v>
      </c>
      <c r="S33" s="24">
        <f ca="1">+S32+(LiborTenor*Volatility!R32*ForwardLiborSimulation!R32)/(1+LiborTenor*ForwardLiborSimulation!R32)</f>
        <v>3.6880643327705402E-2</v>
      </c>
      <c r="T33" s="24">
        <f ca="1">+T32+(LiborTenor*Volatility!S32*ForwardLiborSimulation!S32)/(1+LiborTenor*ForwardLiborSimulation!S32)</f>
        <v>3.878606751246761E-2</v>
      </c>
      <c r="U33" s="24">
        <f ca="1">+U32+(LiborTenor*Volatility!T32*ForwardLiborSimulation!T32)/(1+LiborTenor*ForwardLiborSimulation!T32)</f>
        <v>3.8067202379342531E-2</v>
      </c>
      <c r="V33" s="24">
        <f ca="1">+V32+(LiborTenor*Volatility!U32*ForwardLiborSimulation!U32)/(1+LiborTenor*ForwardLiborSimulation!U32)</f>
        <v>3.7969372480810601E-2</v>
      </c>
      <c r="W33" s="24">
        <f ca="1">+W32+(LiborTenor*Volatility!V32*ForwardLiborSimulation!V32)/(1+LiborTenor*ForwardLiborSimulation!V32)</f>
        <v>3.6867788675527036E-2</v>
      </c>
      <c r="X33" s="24">
        <f ca="1">+X32+(LiborTenor*Volatility!W32*ForwardLiborSimulation!W32)/(1+LiborTenor*ForwardLiborSimulation!W32)</f>
        <v>3.4232177181797024E-2</v>
      </c>
      <c r="Y33" s="24">
        <f ca="1">+Y32+(LiborTenor*Volatility!X32*ForwardLiborSimulation!X32)/(1+LiborTenor*ForwardLiborSimulation!X32)</f>
        <v>3.4933047870026226E-2</v>
      </c>
      <c r="Z33" s="24">
        <f ca="1">+Z32+(LiborTenor*Volatility!Y32*ForwardLiborSimulation!Y32)/(1+LiborTenor*ForwardLiborSimulation!Y32)</f>
        <v>3.4353498388751152E-2</v>
      </c>
      <c r="AA33" s="24">
        <f ca="1">+AA32+(LiborTenor*Volatility!Z32*ForwardLiborSimulation!Z32)/(1+LiborTenor*ForwardLiborSimulation!Z32)</f>
        <v>3.5241317872153628E-2</v>
      </c>
      <c r="AB33" s="24">
        <f ca="1">+AB32+(LiborTenor*Volatility!AA32*ForwardLiborSimulation!AA32)/(1+LiborTenor*ForwardLiborSimulation!AA32)</f>
        <v>3.595879235676059E-2</v>
      </c>
      <c r="AC33" s="24">
        <f ca="1">+AC32+(LiborTenor*Volatility!AB32*ForwardLiborSimulation!AB32)/(1+LiborTenor*ForwardLiborSimulation!AB32)</f>
        <v>3.5850250059671449E-2</v>
      </c>
      <c r="AD33" s="24">
        <f ca="1">+AD32+(LiborTenor*Volatility!AC32*ForwardLiborSimulation!AC32)/(1+LiborTenor*ForwardLiborSimulation!AC32)</f>
        <v>3.5032366441720864E-2</v>
      </c>
      <c r="AE33" s="24">
        <f ca="1">+AE32+(LiborTenor*Volatility!AD32*ForwardLiborSimulation!AD32)/(1+LiborTenor*ForwardLiborSimulation!AD32)</f>
        <v>3.4677761507487526E-2</v>
      </c>
      <c r="AF33" s="24">
        <f ca="1">+AF32+(LiborTenor*Volatility!AE32*ForwardLiborSimulation!AE32)/(1+LiborTenor*ForwardLiborSimulation!AE32)</f>
        <v>3.661704933973392E-2</v>
      </c>
      <c r="AG33" s="24">
        <f ca="1">+AG32+(LiborTenor*Volatility!AF32*ForwardLiborSimulation!AF32)/(1+LiborTenor*ForwardLiborSimulation!AF32)</f>
        <v>3.6829792528993835E-2</v>
      </c>
      <c r="AH33" s="24">
        <f ca="1">+AH32+(LiborTenor*Volatility!AG32*ForwardLiborSimulation!AG32)/(1+LiborTenor*ForwardLiborSimulation!AG32)</f>
        <v>3.7361023827723328E-2</v>
      </c>
      <c r="AI33" s="24">
        <f ca="1">+AI32+(LiborTenor*Volatility!AH32*ForwardLiborSimulation!AH32)/(1+LiborTenor*ForwardLiborSimulation!AH32)</f>
        <v>3.7973223216018918E-2</v>
      </c>
      <c r="AJ33" s="24">
        <f ca="1">+AJ32+(LiborTenor*Volatility!AI32*ForwardLiborSimulation!AI32)/(1+LiborTenor*ForwardLiborSimulation!AI32)</f>
        <v>4.0045975917489721E-2</v>
      </c>
      <c r="AK33" s="24">
        <f ca="1">+AK32+(LiborTenor*Volatility!AJ32*ForwardLiborSimulation!AJ32)/(1+LiborTenor*ForwardLiborSimulation!AJ32)</f>
        <v>4.0519011457029498E-2</v>
      </c>
      <c r="AL33" s="24">
        <f ca="1">+AL32+(LiborTenor*Volatility!AK32*ForwardLiborSimulation!AK32)/(1+LiborTenor*ForwardLiborSimulation!AK32)</f>
        <v>4.2137962128954751E-2</v>
      </c>
      <c r="AM33" s="24">
        <f ca="1">+AM32+(LiborTenor*Volatility!AL32*ForwardLiborSimulation!AL32)/(1+LiborTenor*ForwardLiborSimulation!AL32)</f>
        <v>4.2905834405750312E-2</v>
      </c>
      <c r="AN33" s="24">
        <f ca="1">+AN32+(LiborTenor*Volatility!AM32*ForwardLiborSimulation!AM32)/(1+LiborTenor*ForwardLiborSimulation!AM32)</f>
        <v>4.2652743178317264E-2</v>
      </c>
      <c r="AO33" s="24">
        <f ca="1">+AO32+(LiborTenor*Volatility!AN32*ForwardLiborSimulation!AN32)/(1+LiborTenor*ForwardLiborSimulation!AN32)</f>
        <v>3.9902991604395262E-2</v>
      </c>
      <c r="AP33" s="24">
        <f ca="1">+AP32+(LiborTenor*Volatility!AO32*ForwardLiborSimulation!AO32)/(1+LiborTenor*ForwardLiborSimulation!AO32)</f>
        <v>3.9139471023029261E-2</v>
      </c>
      <c r="AQ33" s="24">
        <f ca="1">+AQ32+(LiborTenor*Volatility!AP32*ForwardLiborSimulation!AP32)/(1+LiborTenor*ForwardLiborSimulation!AP32)</f>
        <v>3.7548417383617902E-2</v>
      </c>
      <c r="AR33" s="24">
        <f ca="1">+AR32+(LiborTenor*Volatility!AQ32*ForwardLiborSimulation!AQ32)/(1+LiborTenor*ForwardLiborSimulation!AQ32)</f>
        <v>3.8407366362524321E-2</v>
      </c>
      <c r="AS33" s="24">
        <f ca="1">+AS32+(LiborTenor*Volatility!AR32*ForwardLiborSimulation!AR32)/(1+LiborTenor*ForwardLiborSimulation!AR32)</f>
        <v>3.9584537572933468E-2</v>
      </c>
      <c r="AT33" s="24">
        <f ca="1">+AT32+(LiborTenor*Volatility!AS32*ForwardLiborSimulation!AS32)/(1+LiborTenor*ForwardLiborSimulation!AS32)</f>
        <v>3.8696092792171254E-2</v>
      </c>
      <c r="AU33" s="24"/>
      <c r="AV33" s="24"/>
      <c r="AW33" s="2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</row>
    <row r="34" spans="4:134" x14ac:dyDescent="0.2">
      <c r="D34" s="2">
        <f>+ForwardLiborSimulation!D34</f>
        <v>3.25</v>
      </c>
      <c r="E34" s="10"/>
      <c r="F34" s="12" t="str">
        <f t="shared" si="2"/>
        <v>L(t;3,3.25)</v>
      </c>
      <c r="G34" s="14"/>
      <c r="H34" s="24">
        <f>+H33+(LiborTenor*Volatility!G33*ForwardLiborSimulation!G33)/(1+LiborTenor*ForwardLiborSimulation!G33)</f>
        <v>3.5310511893583411E-2</v>
      </c>
      <c r="I34" s="24">
        <f ca="1">+I33+(LiborTenor*Volatility!H33*ForwardLiborSimulation!H33)/(1+LiborTenor*ForwardLiborSimulation!H33)</f>
        <v>3.6636008224865992E-2</v>
      </c>
      <c r="J34" s="24">
        <f ca="1">+J33+(LiborTenor*Volatility!I33*ForwardLiborSimulation!I33)/(1+LiborTenor*ForwardLiborSimulation!I33)</f>
        <v>3.7036069390051454E-2</v>
      </c>
      <c r="K34" s="24">
        <f ca="1">+K33+(LiborTenor*Volatility!J33*ForwardLiborSimulation!J33)/(1+LiborTenor*ForwardLiborSimulation!J33)</f>
        <v>3.6050504785012566E-2</v>
      </c>
      <c r="L34" s="24">
        <f ca="1">+L33+(LiborTenor*Volatility!K33*ForwardLiborSimulation!K33)/(1+LiborTenor*ForwardLiborSimulation!K33)</f>
        <v>3.6384544858599516E-2</v>
      </c>
      <c r="M34" s="24">
        <f ca="1">+M33+(LiborTenor*Volatility!L33*ForwardLiborSimulation!L33)/(1+LiborTenor*ForwardLiborSimulation!L33)</f>
        <v>3.5284634804731471E-2</v>
      </c>
      <c r="N34" s="24">
        <f ca="1">+N33+(LiborTenor*Volatility!M33*ForwardLiborSimulation!M33)/(1+LiborTenor*ForwardLiborSimulation!M33)</f>
        <v>3.7571052651515537E-2</v>
      </c>
      <c r="O34" s="24">
        <f ca="1">+O33+(LiborTenor*Volatility!N33*ForwardLiborSimulation!N33)/(1+LiborTenor*ForwardLiborSimulation!N33)</f>
        <v>3.7212317997385141E-2</v>
      </c>
      <c r="P34" s="24">
        <f ca="1">+P33+(LiborTenor*Volatility!O33*ForwardLiborSimulation!O33)/(1+LiborTenor*ForwardLiborSimulation!O33)</f>
        <v>3.8552191739066814E-2</v>
      </c>
      <c r="Q34" s="24">
        <f ca="1">+Q33+(LiborTenor*Volatility!P33*ForwardLiborSimulation!P33)/(1+LiborTenor*ForwardLiborSimulation!P33)</f>
        <v>3.7510559584644033E-2</v>
      </c>
      <c r="R34" s="24">
        <f ca="1">+R33+(LiborTenor*Volatility!Q33*ForwardLiborSimulation!Q33)/(1+LiborTenor*ForwardLiborSimulation!Q33)</f>
        <v>3.7723005486132923E-2</v>
      </c>
      <c r="S34" s="24">
        <f ca="1">+S33+(LiborTenor*Volatility!R33*ForwardLiborSimulation!R33)/(1+LiborTenor*ForwardLiborSimulation!R33)</f>
        <v>3.8763943254334972E-2</v>
      </c>
      <c r="T34" s="24">
        <f ca="1">+T33+(LiborTenor*Volatility!S33*ForwardLiborSimulation!S33)/(1+LiborTenor*ForwardLiborSimulation!S33)</f>
        <v>4.0797260542737517E-2</v>
      </c>
      <c r="U34" s="24">
        <f ca="1">+U33+(LiborTenor*Volatility!T33*ForwardLiborSimulation!T33)/(1+LiborTenor*ForwardLiborSimulation!T33)</f>
        <v>4.0028889513840669E-2</v>
      </c>
      <c r="V34" s="24">
        <f ca="1">+V33+(LiborTenor*Volatility!U33*ForwardLiborSimulation!U33)/(1+LiborTenor*ForwardLiborSimulation!U33)</f>
        <v>3.992399370292922E-2</v>
      </c>
      <c r="W34" s="24">
        <f ca="1">+W33+(LiborTenor*Volatility!V33*ForwardLiborSimulation!V33)/(1+LiborTenor*ForwardLiborSimulation!V33)</f>
        <v>3.8747277855966725E-2</v>
      </c>
      <c r="X34" s="24">
        <f ca="1">+X33+(LiborTenor*Volatility!W33*ForwardLiborSimulation!W33)/(1+LiborTenor*ForwardLiborSimulation!W33)</f>
        <v>3.5934018294466734E-2</v>
      </c>
      <c r="Y34" s="24">
        <f ca="1">+Y33+(LiborTenor*Volatility!X33*ForwardLiborSimulation!X33)/(1+LiborTenor*ForwardLiborSimulation!X33)</f>
        <v>3.6680655607092938E-2</v>
      </c>
      <c r="Z34" s="24">
        <f ca="1">+Z33+(LiborTenor*Volatility!Y33*ForwardLiborSimulation!Y33)/(1+LiborTenor*ForwardLiborSimulation!Y33)</f>
        <v>3.6062426017380668E-2</v>
      </c>
      <c r="AA34" s="24">
        <f ca="1">+AA33+(LiborTenor*Volatility!Z33*ForwardLiborSimulation!Z33)/(1+LiborTenor*ForwardLiborSimulation!Z33)</f>
        <v>3.7008335656528724E-2</v>
      </c>
      <c r="AB34" s="24">
        <f ca="1">+AB33+(LiborTenor*Volatility!AA33*ForwardLiborSimulation!AA33)/(1+LiborTenor*ForwardLiborSimulation!AA33)</f>
        <v>3.7772997747142691E-2</v>
      </c>
      <c r="AC34" s="24">
        <f ca="1">+AC33+(LiborTenor*Volatility!AB33*ForwardLiborSimulation!AB33)/(1+LiborTenor*ForwardLiborSimulation!AB33)</f>
        <v>3.7656851630735816E-2</v>
      </c>
      <c r="AD34" s="24">
        <f ca="1">+AD33+(LiborTenor*Volatility!AC33*ForwardLiborSimulation!AC33)/(1+LiborTenor*ForwardLiborSimulation!AC33)</f>
        <v>3.6784158424606549E-2</v>
      </c>
      <c r="AE34" s="24">
        <f ca="1">+AE33+(LiborTenor*Volatility!AD33*ForwardLiborSimulation!AD33)/(1+LiborTenor*ForwardLiborSimulation!AD33)</f>
        <v>3.6405760162154917E-2</v>
      </c>
      <c r="AF34" s="24">
        <f ca="1">+AF33+(LiborTenor*Volatility!AE33*ForwardLiborSimulation!AE33)/(1+LiborTenor*ForwardLiborSimulation!AE33)</f>
        <v>3.8472500054316364E-2</v>
      </c>
      <c r="AG34" s="24">
        <f ca="1">+AG33+(LiborTenor*Volatility!AF33*ForwardLiborSimulation!AF33)/(1+LiborTenor*ForwardLiborSimulation!AF33)</f>
        <v>3.8699083318423248E-2</v>
      </c>
      <c r="AH34" s="24">
        <f ca="1">+AH33+(LiborTenor*Volatility!AG33*ForwardLiborSimulation!AG33)/(1+LiborTenor*ForwardLiborSimulation!AG33)</f>
        <v>3.9265498341461327E-2</v>
      </c>
      <c r="AI34" s="24">
        <f ca="1">+AI33+(LiborTenor*Volatility!AH33*ForwardLiborSimulation!AH33)/(1+LiborTenor*ForwardLiborSimulation!AH33)</f>
        <v>3.9918445079732592E-2</v>
      </c>
      <c r="AJ34" s="24">
        <f ca="1">+AJ33+(LiborTenor*Volatility!AI33*ForwardLiborSimulation!AI33)/(1+LiborTenor*ForwardLiborSimulation!AI33)</f>
        <v>4.2130689853235974E-2</v>
      </c>
      <c r="AK34" s="24">
        <f ca="1">+AK33+(LiborTenor*Volatility!AJ33*ForwardLiborSimulation!AJ33)/(1+LiborTenor*ForwardLiborSimulation!AJ33)</f>
        <v>4.2635635031829537E-2</v>
      </c>
      <c r="AL34" s="24">
        <f ca="1">+AL33+(LiborTenor*Volatility!AK33*ForwardLiborSimulation!AK33)/(1+LiborTenor*ForwardLiborSimulation!AK33)</f>
        <v>4.4365255195137947E-2</v>
      </c>
      <c r="AM34" s="24">
        <f ca="1">+AM33+(LiborTenor*Volatility!AL33*ForwardLiborSimulation!AL33)/(1+LiborTenor*ForwardLiborSimulation!AL33)</f>
        <v>4.5185861704321963E-2</v>
      </c>
      <c r="AN34" s="24">
        <f ca="1">+AN33+(LiborTenor*Volatility!AM33*ForwardLiborSimulation!AM33)/(1+LiborTenor*ForwardLiborSimulation!AM33)</f>
        <v>4.4914572458227525E-2</v>
      </c>
      <c r="AO34" s="24">
        <f ca="1">+AO33+(LiborTenor*Volatility!AN33*ForwardLiborSimulation!AN33)/(1+LiborTenor*ForwardLiborSimulation!AN33)</f>
        <v>4.1972914216986908E-2</v>
      </c>
      <c r="AP34" s="24">
        <f ca="1">+AP33+(LiborTenor*Volatility!AO33*ForwardLiborSimulation!AO33)/(1+LiborTenor*ForwardLiborSimulation!AO33)</f>
        <v>4.1156808833600338E-2</v>
      </c>
      <c r="AQ34" s="24">
        <f ca="1">+AQ33+(LiborTenor*Volatility!AP33*ForwardLiborSimulation!AP33)/(1+LiborTenor*ForwardLiborSimulation!AP33)</f>
        <v>3.9457305819004307E-2</v>
      </c>
      <c r="AR34" s="24"/>
      <c r="AS34" s="24"/>
      <c r="AT34" s="24"/>
      <c r="AU34" s="2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  <c r="DM34" s="14"/>
      <c r="DN34" s="14"/>
      <c r="DO34" s="14"/>
      <c r="DP34" s="14"/>
      <c r="DQ34" s="14"/>
      <c r="DR34" s="14"/>
      <c r="DS34" s="14"/>
      <c r="DT34" s="14"/>
      <c r="DU34" s="14"/>
      <c r="DV34" s="14"/>
      <c r="DW34" s="14"/>
    </row>
    <row r="35" spans="4:134" x14ac:dyDescent="0.2">
      <c r="D35" s="2">
        <f>+ForwardLiborSimulation!D35</f>
        <v>3</v>
      </c>
      <c r="E35" s="10"/>
      <c r="F35" s="12" t="str">
        <f t="shared" si="2"/>
        <v>L(t;2.75,3)</v>
      </c>
      <c r="G35" s="14"/>
      <c r="H35" s="24">
        <f>+H34+(LiborTenor*Volatility!G34*ForwardLiborSimulation!G34)/(1+LiborTenor*ForwardLiborSimulation!G34)</f>
        <v>3.7025062403314643E-2</v>
      </c>
      <c r="I35" s="24">
        <f ca="1">+I34+(LiborTenor*Volatility!H34*ForwardLiborSimulation!H34)/(1+LiborTenor*ForwardLiborSimulation!H34)</f>
        <v>3.8414196496802555E-2</v>
      </c>
      <c r="J35" s="24">
        <f ca="1">+J34+(LiborTenor*Volatility!I34*ForwardLiborSimulation!I34)/(1+LiborTenor*ForwardLiborSimulation!I34)</f>
        <v>3.8817886294298616E-2</v>
      </c>
      <c r="K35" s="24">
        <f ca="1">+K34+(LiborTenor*Volatility!J34*ForwardLiborSimulation!J34)/(1+LiborTenor*ForwardLiborSimulation!J34)</f>
        <v>3.7769850815921997E-2</v>
      </c>
      <c r="L35" s="24">
        <f ca="1">+L34+(LiborTenor*Volatility!K34*ForwardLiborSimulation!K34)/(1+LiborTenor*ForwardLiborSimulation!K34)</f>
        <v>3.8124421918782764E-2</v>
      </c>
      <c r="M35" s="24">
        <f ca="1">+M34+(LiborTenor*Volatility!L34*ForwardLiborSimulation!L34)/(1+LiborTenor*ForwardLiborSimulation!L34)</f>
        <v>3.6955215688833414E-2</v>
      </c>
      <c r="N35" s="24">
        <f ca="1">+N34+(LiborTenor*Volatility!M34*ForwardLiborSimulation!M34)/(1+LiborTenor*ForwardLiborSimulation!M34)</f>
        <v>3.9383330502309515E-2</v>
      </c>
      <c r="O35" s="24">
        <f ca="1">+O34+(LiborTenor*Volatility!N34*ForwardLiborSimulation!N34)/(1+LiborTenor*ForwardLiborSimulation!N34)</f>
        <v>3.9001556493019465E-2</v>
      </c>
      <c r="P35" s="24">
        <f ca="1">+P34+(LiborTenor*Volatility!O34*ForwardLiborSimulation!O34)/(1+LiborTenor*ForwardLiborSimulation!O34)</f>
        <v>4.0425403173909649E-2</v>
      </c>
      <c r="Q35" s="24">
        <f ca="1">+Q34+(LiborTenor*Volatility!P34*ForwardLiborSimulation!P34)/(1+LiborTenor*ForwardLiborSimulation!P34)</f>
        <v>3.9317173434670859E-2</v>
      </c>
      <c r="R35" s="24">
        <f ca="1">+R34+(LiborTenor*Volatility!Q34*ForwardLiborSimulation!Q34)/(1+LiborTenor*ForwardLiborSimulation!Q34)</f>
        <v>3.9542626968496544E-2</v>
      </c>
      <c r="S35" s="24">
        <f ca="1">+S34+(LiborTenor*Volatility!R34*ForwardLiborSimulation!R34)/(1+LiborTenor*ForwardLiborSimulation!R34)</f>
        <v>4.0648886989312703E-2</v>
      </c>
      <c r="T35" s="24">
        <f ca="1">+T34+(LiborTenor*Volatility!S34*ForwardLiborSimulation!S34)/(1+LiborTenor*ForwardLiborSimulation!S34)</f>
        <v>4.2811033832406808E-2</v>
      </c>
      <c r="U35" s="24">
        <f ca="1">+U34+(LiborTenor*Volatility!T34*ForwardLiborSimulation!T34)/(1+LiborTenor*ForwardLiborSimulation!T34)</f>
        <v>4.199270703007376E-2</v>
      </c>
      <c r="V35" s="24">
        <f ca="1">+V34+(LiborTenor*Volatility!U34*ForwardLiborSimulation!U34)/(1+LiborTenor*ForwardLiborSimulation!U34)</f>
        <v>4.1880642099178474E-2</v>
      </c>
      <c r="W35" s="24">
        <f ca="1">+W34+(LiborTenor*Volatility!V34*ForwardLiborSimulation!V34)/(1+LiborTenor*ForwardLiborSimulation!V34)</f>
        <v>4.062815858088889E-2</v>
      </c>
      <c r="X35" s="24">
        <f ca="1">+X34+(LiborTenor*Volatility!W34*ForwardLiborSimulation!W34)/(1+LiborTenor*ForwardLiborSimulation!W34)</f>
        <v>3.7635868810788377E-2</v>
      </c>
      <c r="Y35" s="24">
        <f ca="1">+Y34+(LiborTenor*Volatility!X34*ForwardLiborSimulation!X34)/(1+LiborTenor*ForwardLiborSimulation!X34)</f>
        <v>3.8428547936283503E-2</v>
      </c>
      <c r="Z35" s="24">
        <f ca="1">+Z34+(LiborTenor*Volatility!Y34*ForwardLiborSimulation!Y34)/(1+LiborTenor*ForwardLiborSimulation!Y34)</f>
        <v>3.7771331532763137E-2</v>
      </c>
      <c r="AA35" s="24">
        <f ca="1">+AA34+(LiborTenor*Volatility!Z34*ForwardLiborSimulation!Z34)/(1+LiborTenor*ForwardLiborSimulation!Z34)</f>
        <v>3.8775688909491055E-2</v>
      </c>
      <c r="AB35" s="24">
        <f ca="1">+AB34+(LiborTenor*Volatility!AA34*ForwardLiborSimulation!AA34)/(1+LiborTenor*ForwardLiborSimulation!AA34)</f>
        <v>3.9587829459123987E-2</v>
      </c>
      <c r="AC35" s="24">
        <f ca="1">+AC34+(LiborTenor*Volatility!AB34*ForwardLiborSimulation!AB34)/(1+LiborTenor*ForwardLiborSimulation!AB34)</f>
        <v>3.9463984589106577E-2</v>
      </c>
      <c r="AD35" s="24">
        <f ca="1">+AD34+(LiborTenor*Volatility!AC34*ForwardLiborSimulation!AC34)/(1+LiborTenor*ForwardLiborSimulation!AC34)</f>
        <v>3.8536053043203018E-2</v>
      </c>
      <c r="AE35" s="24">
        <f ca="1">+AE34+(LiborTenor*Volatility!AD34*ForwardLiborSimulation!AD34)/(1+LiborTenor*ForwardLiborSimulation!AD34)</f>
        <v>3.8133660552698789E-2</v>
      </c>
      <c r="AF35" s="24">
        <f ca="1">+AF34+(LiborTenor*Volatility!AE34*ForwardLiborSimulation!AE34)/(1+LiborTenor*ForwardLiborSimulation!AE34)</f>
        <v>4.0328673889855997E-2</v>
      </c>
      <c r="AG35" s="24">
        <f ca="1">+AG34+(LiborTenor*Volatility!AF34*ForwardLiborSimulation!AF34)/(1+LiborTenor*ForwardLiborSimulation!AF34)</f>
        <v>4.0569154138685629E-2</v>
      </c>
      <c r="AH35" s="24">
        <f ca="1">+AH34+(LiborTenor*Volatility!AG34*ForwardLiborSimulation!AG34)/(1+LiborTenor*ForwardLiborSimulation!AG34)</f>
        <v>4.1170963478891452E-2</v>
      </c>
      <c r="AI35" s="24">
        <f ca="1">+AI34+(LiborTenor*Volatility!AH34*ForwardLiborSimulation!AH34)/(1+LiborTenor*ForwardLiborSimulation!AH34)</f>
        <v>4.1864910878241679E-2</v>
      </c>
      <c r="AJ35" s="24">
        <f ca="1">+AJ34+(LiborTenor*Volatility!AI34*ForwardLiborSimulation!AI34)/(1+LiborTenor*ForwardLiborSimulation!AI34)</f>
        <v>4.4217638213231901E-2</v>
      </c>
      <c r="AK35" s="24">
        <f ca="1">+AK34+(LiborTenor*Volatility!AJ34*ForwardLiborSimulation!AJ34)/(1+LiborTenor*ForwardLiborSimulation!AJ34)</f>
        <v>4.4754690565383747E-2</v>
      </c>
      <c r="AL35" s="24">
        <f ca="1">+AL34+(LiborTenor*Volatility!AK34*ForwardLiborSimulation!AK34)/(1+LiborTenor*ForwardLiborSimulation!AK34)</f>
        <v>4.6595804573081795E-2</v>
      </c>
      <c r="AM35" s="24">
        <f ca="1">+AM34+(LiborTenor*Volatility!AL34*ForwardLiborSimulation!AL34)/(1+LiborTenor*ForwardLiborSimulation!AL34)</f>
        <v>4.7469519896184392E-2</v>
      </c>
      <c r="AN35" s="24">
        <f ca="1">+AN34+(LiborTenor*Volatility!AM34*ForwardLiborSimulation!AM34)/(1+LiborTenor*ForwardLiborSimulation!AM34)</f>
        <v>4.7179815758974432E-2</v>
      </c>
      <c r="AO35" s="24"/>
      <c r="AP35" s="24"/>
      <c r="AQ35" s="2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  <c r="DT35" s="14"/>
      <c r="DU35" s="14"/>
      <c r="DV35" s="14"/>
      <c r="DW35" s="14"/>
    </row>
    <row r="36" spans="4:134" x14ac:dyDescent="0.2">
      <c r="D36" s="2">
        <f>+ForwardLiborSimulation!D36</f>
        <v>2.75</v>
      </c>
      <c r="E36" s="10"/>
      <c r="F36" s="12" t="str">
        <f t="shared" si="2"/>
        <v>L(t;2.5,2.75)</v>
      </c>
      <c r="G36" s="14"/>
      <c r="H36" s="24">
        <f>+H35+(LiborTenor*Volatility!G35*ForwardLiborSimulation!G35)/(1+LiborTenor*ForwardLiborSimulation!G35)</f>
        <v>3.8728159645919108E-2</v>
      </c>
      <c r="I36" s="24">
        <f ca="1">+I35+(LiborTenor*Volatility!H35*ForwardLiborSimulation!H35)/(1+LiborTenor*ForwardLiborSimulation!H35)</f>
        <v>4.0180475407022208E-2</v>
      </c>
      <c r="J36" s="24">
        <f ca="1">+J35+(LiborTenor*Volatility!I35*ForwardLiborSimulation!I35)/(1+LiborTenor*ForwardLiborSimulation!I35)</f>
        <v>4.0587731028828969E-2</v>
      </c>
      <c r="K36" s="24">
        <f ca="1">+K35+(LiborTenor*Volatility!J35*ForwardLiborSimulation!J35)/(1+LiborTenor*ForwardLiborSimulation!J35)</f>
        <v>3.9477600600745524E-2</v>
      </c>
      <c r="L36" s="24">
        <f ca="1">+L35+(LiborTenor*Volatility!K35*ForwardLiborSimulation!K35)/(1+LiborTenor*ForwardLiborSimulation!K35)</f>
        <v>3.9852529598968199E-2</v>
      </c>
      <c r="M36" s="24">
        <f ca="1">+M35+(LiborTenor*Volatility!L35*ForwardLiborSimulation!L35)/(1+LiborTenor*ForwardLiborSimulation!L35)</f>
        <v>3.8614453514861896E-2</v>
      </c>
      <c r="N36" s="24">
        <f ca="1">+N35+(LiborTenor*Volatility!M35*ForwardLiborSimulation!M35)/(1+LiborTenor*ForwardLiborSimulation!M35)</f>
        <v>4.1183280663236843E-2</v>
      </c>
      <c r="O36" s="24">
        <f ca="1">+O35+(LiborTenor*Volatility!N35*ForwardLiborSimulation!N35)/(1+LiborTenor*ForwardLiborSimulation!N35)</f>
        <v>4.0778581842117627E-2</v>
      </c>
      <c r="P36" s="24">
        <f ca="1">+P35+(LiborTenor*Volatility!O35*ForwardLiborSimulation!O35)/(1+LiborTenor*ForwardLiborSimulation!O35)</f>
        <v>4.2285796238129121E-2</v>
      </c>
      <c r="Q36" s="24">
        <f ca="1">+Q35+(LiborTenor*Volatility!P35*ForwardLiborSimulation!P35)/(1+LiborTenor*ForwardLiborSimulation!P35)</f>
        <v>4.1111376061096334E-2</v>
      </c>
      <c r="R36" s="24">
        <f ca="1">+R35+(LiborTenor*Volatility!Q35*ForwardLiborSimulation!Q35)/(1+LiborTenor*ForwardLiborSimulation!Q35)</f>
        <v>4.1349708929785942E-2</v>
      </c>
      <c r="S36" s="24">
        <f ca="1">+S35+(LiborTenor*Volatility!R35*ForwardLiborSimulation!R35)/(1+LiborTenor*ForwardLiborSimulation!R35)</f>
        <v>4.2520806164213991E-2</v>
      </c>
      <c r="T36" s="24">
        <f ca="1">+T35+(LiborTenor*Volatility!S35*ForwardLiborSimulation!S35)/(1+LiborTenor*ForwardLiborSimulation!S35)</f>
        <v>4.4810860916432042E-2</v>
      </c>
      <c r="U36" s="24">
        <f ca="1">+U35+(LiborTenor*Volatility!T35*ForwardLiborSimulation!T35)/(1+LiborTenor*ForwardLiborSimulation!T35)</f>
        <v>4.3942870043479784E-2</v>
      </c>
      <c r="V36" s="24">
        <f ca="1">+V35+(LiborTenor*Volatility!U35*ForwardLiborSimulation!U35)/(1+LiborTenor*ForwardLiborSimulation!U35)</f>
        <v>4.3823637931290765E-2</v>
      </c>
      <c r="W36" s="24">
        <f ca="1">+W35+(LiborTenor*Volatility!V35*ForwardLiborSimulation!V35)/(1+LiborTenor*ForwardLiborSimulation!V35)</f>
        <v>4.2495861788563953E-2</v>
      </c>
      <c r="X36" s="24">
        <f ca="1">+X35+(LiborTenor*Volatility!W35*ForwardLiborSimulation!W35)/(1+LiborTenor*ForwardLiborSimulation!W35)</f>
        <v>3.9325738322470181E-2</v>
      </c>
      <c r="Y36" s="24">
        <f ca="1">+Y35+(LiborTenor*Volatility!X35*ForwardLiborSimulation!X35)/(1+LiborTenor*ForwardLiborSimulation!X35)</f>
        <v>4.0164103398636117E-2</v>
      </c>
      <c r="Z36" s="24">
        <f ca="1">+Z35+(LiborTenor*Volatility!Y35*ForwardLiborSimulation!Y35)/(1+LiborTenor*ForwardLiborSimulation!Y35)</f>
        <v>3.9468134705713635E-2</v>
      </c>
      <c r="AA36" s="24">
        <f ca="1">+AA35+(LiborTenor*Volatility!Z35*ForwardLiborSimulation!Z35)/(1+LiborTenor*ForwardLiborSimulation!Z35)</f>
        <v>4.0530494987825967E-2</v>
      </c>
      <c r="AB36" s="24">
        <f ca="1">+AB35+(LiborTenor*Volatility!AA35*ForwardLiborSimulation!AA35)/(1+LiborTenor*ForwardLiborSimulation!AA35)</f>
        <v>4.1389742735528867E-2</v>
      </c>
      <c r="AC36" s="24">
        <f ca="1">+AC35+(LiborTenor*Volatility!AB35*ForwardLiborSimulation!AB35)/(1+LiborTenor*ForwardLiborSimulation!AB35)</f>
        <v>4.1258212859792649E-2</v>
      </c>
      <c r="AD36" s="24">
        <f ca="1">+AD35+(LiborTenor*Volatility!AC35*ForwardLiborSimulation!AC35)/(1+LiborTenor*ForwardLiborSimulation!AC35)</f>
        <v>4.027539272480981E-2</v>
      </c>
      <c r="AE36" s="24">
        <f ca="1">+AE35+(LiborTenor*Volatility!AD35*ForwardLiborSimulation!AD35)/(1+LiborTenor*ForwardLiborSimulation!AD35)</f>
        <v>3.9849138311138885E-2</v>
      </c>
      <c r="AF36" s="24">
        <f ca="1">+AF35+(LiborTenor*Volatility!AE35*ForwardLiborSimulation!AE35)/(1+LiborTenor*ForwardLiborSimulation!AE35)</f>
        <v>4.2171477775796329E-2</v>
      </c>
      <c r="AG36" s="24">
        <f ca="1">+AG35+(LiborTenor*Volatility!AF35*ForwardLiborSimulation!AF35)/(1+LiborTenor*ForwardLiborSimulation!AF35)</f>
        <v>4.2425713940470323E-2</v>
      </c>
      <c r="AH36" s="24">
        <f ca="1">+AH35+(LiborTenor*Volatility!AG35*ForwardLiborSimulation!AG35)/(1+LiborTenor*ForwardLiborSimulation!AG35)</f>
        <v>4.3062622302923674E-2</v>
      </c>
      <c r="AI36" s="24">
        <f ca="1">+AI35+(LiborTenor*Volatility!AH35*ForwardLiborSimulation!AH35)/(1+LiborTenor*ForwardLiborSimulation!AH35)</f>
        <v>4.3797232700169789E-2</v>
      </c>
      <c r="AJ36" s="24">
        <f ca="1">+AJ35+(LiborTenor*Volatility!AI35*ForwardLiborSimulation!AI35)/(1+LiborTenor*ForwardLiborSimulation!AI35)</f>
        <v>4.628938974425563E-2</v>
      </c>
      <c r="AK36" s="24">
        <f ca="1">+AK35+(LiborTenor*Volatility!AJ35*ForwardLiborSimulation!AJ35)/(1+LiborTenor*ForwardLiborSimulation!AJ35)</f>
        <v>4.685826551962477E-2</v>
      </c>
      <c r="AL36" s="24"/>
      <c r="AM36" s="24"/>
      <c r="AN36" s="24"/>
      <c r="AO36" s="2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  <c r="DP36" s="14"/>
      <c r="DQ36" s="14"/>
      <c r="DR36" s="14"/>
      <c r="DS36" s="14"/>
      <c r="DT36" s="14"/>
      <c r="DU36" s="14"/>
      <c r="DV36" s="14"/>
      <c r="DW36" s="14"/>
    </row>
    <row r="37" spans="4:134" x14ac:dyDescent="0.2">
      <c r="D37" s="2">
        <f>+ForwardLiborSimulation!D37</f>
        <v>2.5</v>
      </c>
      <c r="E37" s="10"/>
      <c r="F37" s="12" t="str">
        <f t="shared" si="2"/>
        <v>L(t;2.25,2.5)</v>
      </c>
      <c r="G37" s="14"/>
      <c r="H37" s="24">
        <f>+H36+(LiborTenor*Volatility!G36*ForwardLiborSimulation!G36)/(1+LiborTenor*ForwardLiborSimulation!G36)</f>
        <v>4.0419801852005929E-2</v>
      </c>
      <c r="I37" s="24">
        <f ca="1">+I36+(LiborTenor*Volatility!H36*ForwardLiborSimulation!H36)/(1+LiborTenor*ForwardLiborSimulation!H36)</f>
        <v>4.1934843771458875E-2</v>
      </c>
      <c r="J37" s="24">
        <f ca="1">+J36+(LiborTenor*Volatility!I36*ForwardLiborSimulation!I36)/(1+LiborTenor*ForwardLiborSimulation!I36)</f>
        <v>4.2345603178358289E-2</v>
      </c>
      <c r="K37" s="24">
        <f ca="1">+K36+(LiborTenor*Volatility!J36*ForwardLiborSimulation!J36)/(1+LiborTenor*ForwardLiborSimulation!J36)</f>
        <v>4.1173754585892189E-2</v>
      </c>
      <c r="L37" s="24">
        <f ca="1">+L36+(LiborTenor*Volatility!K36*ForwardLiborSimulation!K36)/(1+LiborTenor*ForwardLiborSimulation!K36)</f>
        <v>4.1568869058770226E-2</v>
      </c>
      <c r="M37" s="24">
        <f ca="1">+M36+(LiborTenor*Volatility!L36*ForwardLiborSimulation!L36)/(1+LiborTenor*ForwardLiborSimulation!L36)</f>
        <v>4.0262350219128155E-2</v>
      </c>
      <c r="N37" s="24">
        <f ca="1">+N36+(LiborTenor*Volatility!M36*ForwardLiborSimulation!M36)/(1+LiborTenor*ForwardLiborSimulation!M36)</f>
        <v>4.2970905765501125E-2</v>
      </c>
      <c r="O37" s="24">
        <f ca="1">+O36+(LiborTenor*Volatility!N36*ForwardLiborSimulation!N36)/(1+LiborTenor*ForwardLiborSimulation!N36)</f>
        <v>4.2543397486211887E-2</v>
      </c>
      <c r="P37" s="24">
        <f ca="1">+P36+(LiborTenor*Volatility!O36*ForwardLiborSimulation!O36)/(1+LiborTenor*ForwardLiborSimulation!O36)</f>
        <v>4.4133375231936188E-2</v>
      </c>
      <c r="Q37" s="24">
        <f ca="1">+Q36+(LiborTenor*Volatility!P36*ForwardLiborSimulation!P36)/(1+LiborTenor*ForwardLiborSimulation!P36)</f>
        <v>4.2893172568091872E-2</v>
      </c>
      <c r="R37" s="24">
        <f ca="1">+R36+(LiborTenor*Volatility!Q36*ForwardLiborSimulation!Q36)/(1+LiborTenor*ForwardLiborSimulation!Q36)</f>
        <v>4.3144257315263411E-2</v>
      </c>
      <c r="S37" s="24">
        <f ca="1">+S36+(LiborTenor*Volatility!R36*ForwardLiborSimulation!R36)/(1+LiborTenor*ForwardLiborSimulation!R36)</f>
        <v>4.4379707689349991E-2</v>
      </c>
      <c r="T37" s="24">
        <f ca="1">+T36+(LiborTenor*Volatility!S36*ForwardLiborSimulation!S36)/(1+LiborTenor*ForwardLiborSimulation!S36)</f>
        <v>4.679674989852653E-2</v>
      </c>
      <c r="U37" s="24">
        <f ca="1">+U36+(LiborTenor*Volatility!T36*ForwardLiborSimulation!T36)/(1+LiborTenor*ForwardLiborSimulation!T36)</f>
        <v>4.5879387548733115E-2</v>
      </c>
      <c r="V37" s="24">
        <f ca="1">+V36+(LiborTenor*Volatility!U36*ForwardLiborSimulation!U36)/(1+LiborTenor*ForwardLiborSimulation!U36)</f>
        <v>4.5752991149650618E-2</v>
      </c>
      <c r="W37" s="24">
        <f ca="1">+W36+(LiborTenor*Volatility!V36*ForwardLiborSimulation!V36)/(1+LiborTenor*ForwardLiborSimulation!V36)</f>
        <v>4.4350398119369555E-2</v>
      </c>
      <c r="X37" s="24">
        <f ca="1">+X36+(LiborTenor*Volatility!W36*ForwardLiborSimulation!W36)/(1+LiborTenor*ForwardLiborSimulation!W36)</f>
        <v>4.1003637579653737E-2</v>
      </c>
      <c r="Y37" s="24">
        <f ca="1">+Y36+(LiborTenor*Volatility!X36*ForwardLiborSimulation!X36)/(1+LiborTenor*ForwardLiborSimulation!X36)</f>
        <v>4.1887333723568218E-2</v>
      </c>
      <c r="Z37" s="24">
        <f ca="1">+Z36+(LiborTenor*Volatility!Y36*ForwardLiborSimulation!Y36)/(1+LiborTenor*ForwardLiborSimulation!Y36)</f>
        <v>4.1152847841256113E-2</v>
      </c>
      <c r="AA37" s="24">
        <f ca="1">+AA36+(LiborTenor*Volatility!Z36*ForwardLiborSimulation!Z36)/(1+LiborTenor*ForwardLiborSimulation!Z36)</f>
        <v>4.2272767298562171E-2</v>
      </c>
      <c r="AB37" s="24">
        <f ca="1">+AB36+(LiborTenor*Volatility!AA36*ForwardLiborSimulation!AA36)/(1+LiborTenor*ForwardLiborSimulation!AA36)</f>
        <v>4.3178752090776533E-2</v>
      </c>
      <c r="AC37" s="24">
        <f ca="1">+AC36+(LiborTenor*Volatility!AB36*ForwardLiborSimulation!AB36)/(1+LiborTenor*ForwardLiborSimulation!AB36)</f>
        <v>4.303955176290198E-2</v>
      </c>
      <c r="AD37" s="24">
        <f ca="1">+AD36+(LiborTenor*Volatility!AC36*ForwardLiborSimulation!AC36)/(1+LiborTenor*ForwardLiborSimulation!AC36)</f>
        <v>4.2002193246652463E-2</v>
      </c>
      <c r="AE37" s="24">
        <f ca="1">+AE36+(LiborTenor*Volatility!AD36*ForwardLiborSimulation!AD36)/(1+LiborTenor*ForwardLiborSimulation!AD36)</f>
        <v>4.1552209834574E-2</v>
      </c>
      <c r="AF37" s="24">
        <f ca="1">+AF36+(LiborTenor*Volatility!AE36*ForwardLiborSimulation!AE36)/(1+LiborTenor*ForwardLiborSimulation!AE36)</f>
        <v>4.4000929928733418E-2</v>
      </c>
      <c r="AG37" s="24">
        <f ca="1">+AG36+(LiborTenor*Volatility!AF36*ForwardLiborSimulation!AF36)/(1+LiborTenor*ForwardLiborSimulation!AF36)</f>
        <v>4.4268781963008159E-2</v>
      </c>
      <c r="AH37" s="24">
        <f ca="1">+AH36+(LiborTenor*Volatility!AG36*ForwardLiborSimulation!AG36)/(1+LiborTenor*ForwardLiborSimulation!AG36)</f>
        <v>4.4940495286755859E-2</v>
      </c>
      <c r="AI37" s="24"/>
      <c r="AJ37" s="24"/>
      <c r="AK37" s="24"/>
      <c r="AL37" s="2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</row>
    <row r="38" spans="4:134" x14ac:dyDescent="0.2">
      <c r="D38" s="2">
        <f>+ForwardLiborSimulation!D38</f>
        <v>2.25</v>
      </c>
      <c r="E38" s="10"/>
      <c r="F38" s="12" t="str">
        <f t="shared" si="2"/>
        <v>L(t;2,2.25)</v>
      </c>
      <c r="G38" s="14"/>
      <c r="H38" s="24">
        <f>+H37+(LiborTenor*Volatility!G37*ForwardLiborSimulation!G37)/(1+LiborTenor*ForwardLiborSimulation!G37)</f>
        <v>4.2099987251774176E-2</v>
      </c>
      <c r="I38" s="24">
        <f ca="1">+I37+(LiborTenor*Volatility!H37*ForwardLiborSimulation!H37)/(1+LiborTenor*ForwardLiborSimulation!H37)</f>
        <v>4.3677300401056766E-2</v>
      </c>
      <c r="J38" s="24">
        <f ca="1">+J37+(LiborTenor*Volatility!I37*ForwardLiborSimulation!I37)/(1+LiborTenor*ForwardLiborSimulation!I37)</f>
        <v>4.4091502317636873E-2</v>
      </c>
      <c r="K38" s="24">
        <f ca="1">+K37+(LiborTenor*Volatility!J37*ForwardLiborSimulation!J37)/(1+LiborTenor*ForwardLiborSimulation!J37)</f>
        <v>4.2858313203055685E-2</v>
      </c>
      <c r="L38" s="24">
        <f ca="1">+L37+(LiborTenor*Volatility!K37*ForwardLiborSimulation!K37)/(1+LiborTenor*ForwardLiborSimulation!K37)</f>
        <v>4.3273441438073462E-2</v>
      </c>
      <c r="M38" s="24">
        <f ca="1">+M37+(LiborTenor*Volatility!L37*ForwardLiborSimulation!L37)/(1+LiborTenor*ForwardLiborSimulation!L37)</f>
        <v>4.1898907713899709E-2</v>
      </c>
      <c r="N38" s="24">
        <f ca="1">+N37+(LiborTenor*Volatility!M37*ForwardLiborSimulation!M37)/(1+LiborTenor*ForwardLiborSimulation!M37)</f>
        <v>4.4746208409595721E-2</v>
      </c>
      <c r="O38" s="24">
        <f ca="1">+O37+(LiborTenor*Volatility!N37*ForwardLiborSimulation!N37)/(1+LiborTenor*ForwardLiborSimulation!N37)</f>
        <v>4.429600683083413E-2</v>
      </c>
      <c r="P38" s="24">
        <f ca="1">+P37+(LiborTenor*Volatility!O37*ForwardLiborSimulation!O37)/(1+LiborTenor*ForwardLiborSimulation!O37)</f>
        <v>4.5968144412357359E-2</v>
      </c>
      <c r="Q38" s="24">
        <f ca="1">+Q37+(LiborTenor*Volatility!P37*ForwardLiborSimulation!P37)/(1+LiborTenor*ForwardLiborSimulation!P37)</f>
        <v>4.4662568011822348E-2</v>
      </c>
      <c r="R38" s="24">
        <f ca="1">+R37+(LiborTenor*Volatility!Q37*ForwardLiborSimulation!Q37)/(1+LiborTenor*ForwardLiborSimulation!Q37)</f>
        <v>4.4926278015924963E-2</v>
      </c>
      <c r="S38" s="24">
        <f ca="1">+S37+(LiborTenor*Volatility!R37*ForwardLiborSimulation!R37)/(1+LiborTenor*ForwardLiborSimulation!R37)</f>
        <v>4.6225598412843995E-2</v>
      </c>
      <c r="T38" s="24">
        <f ca="1">+T37+(LiborTenor*Volatility!S37*ForwardLiborSimulation!S37)/(1+LiborTenor*ForwardLiborSimulation!S37)</f>
        <v>4.8768708809661859E-2</v>
      </c>
      <c r="U38" s="24">
        <f ca="1">+U37+(LiborTenor*Volatility!T37*ForwardLiborSimulation!T37)/(1+LiborTenor*ForwardLiborSimulation!T37)</f>
        <v>4.7802268461733861E-2</v>
      </c>
      <c r="V38" s="24">
        <f ca="1">+V37+(LiborTenor*Volatility!U37*ForwardLiborSimulation!U37)/(1+LiborTenor*ForwardLiborSimulation!U37)</f>
        <v>4.766871161865998E-2</v>
      </c>
      <c r="W38" s="24">
        <f ca="1">+W37+(LiborTenor*Volatility!V37*ForwardLiborSimulation!V37)/(1+LiborTenor*ForwardLiborSimulation!V37)</f>
        <v>4.6191778123197337E-2</v>
      </c>
      <c r="X38" s="24">
        <f ca="1">+X37+(LiborTenor*Volatility!W37*ForwardLiborSimulation!W37)/(1+LiborTenor*ForwardLiborSimulation!W37)</f>
        <v>4.2669577242809183E-2</v>
      </c>
      <c r="Y38" s="24">
        <f ca="1">+Y37+(LiborTenor*Volatility!X37*ForwardLiborSimulation!X37)/(1+LiborTenor*ForwardLiborSimulation!X37)</f>
        <v>4.3598250542568134E-2</v>
      </c>
      <c r="Z38" s="24">
        <f ca="1">+Z37+(LiborTenor*Volatility!Y37*ForwardLiborSimulation!Y37)/(1+LiborTenor*ForwardLiborSimulation!Y37)</f>
        <v>4.2825483142079998E-2</v>
      </c>
      <c r="AA38" s="24">
        <f ca="1">+AA37+(LiborTenor*Volatility!Z37*ForwardLiborSimulation!Z37)/(1+LiborTenor*ForwardLiborSimulation!Z37)</f>
        <v>4.4002519136912388E-2</v>
      </c>
      <c r="AB38" s="24">
        <f ca="1">+AB37+(LiborTenor*Volatility!AA37*ForwardLiborSimulation!AA37)/(1+LiborTenor*ForwardLiborSimulation!AA37)</f>
        <v>4.4954871917942486E-2</v>
      </c>
      <c r="AC38" s="24">
        <f ca="1">+AC37+(LiborTenor*Volatility!AB37*ForwardLiborSimulation!AB37)/(1+LiborTenor*ForwardLiborSimulation!AB37)</f>
        <v>4.4808016490454655E-2</v>
      </c>
      <c r="AD38" s="24">
        <f ca="1">+AD37+(LiborTenor*Volatility!AC37*ForwardLiborSimulation!AC37)/(1+LiborTenor*ForwardLiborSimulation!AC37)</f>
        <v>4.371647025421125E-2</v>
      </c>
      <c r="AE38" s="24">
        <f ca="1">+AE37+(LiborTenor*Volatility!AD37*ForwardLiborSimulation!AD37)/(1+LiborTenor*ForwardLiborSimulation!AD37)</f>
        <v>4.3242891383064953E-2</v>
      </c>
      <c r="AF38" s="24"/>
      <c r="AG38" s="24"/>
      <c r="AH38" s="2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4"/>
      <c r="DQ38" s="14"/>
      <c r="DR38" s="14"/>
      <c r="DS38" s="14"/>
      <c r="DT38" s="14"/>
      <c r="DU38" s="14"/>
      <c r="DV38" s="14"/>
      <c r="DW38" s="14"/>
    </row>
    <row r="39" spans="4:134" x14ac:dyDescent="0.2">
      <c r="D39" s="2">
        <f>+ForwardLiborSimulation!D39</f>
        <v>2</v>
      </c>
      <c r="E39" s="10"/>
      <c r="F39" s="12" t="str">
        <f t="shared" si="2"/>
        <v>L(t;1.75,2)</v>
      </c>
      <c r="G39" s="14"/>
      <c r="H39" s="24">
        <f>+H38+(LiborTenor*Volatility!G38*ForwardLiborSimulation!G38)/(1+LiborTenor*ForwardLiborSimulation!G38)</f>
        <v>4.3746464384036225E-2</v>
      </c>
      <c r="I39" s="24">
        <f ca="1">+I38+(LiborTenor*Volatility!H38*ForwardLiborSimulation!H38)/(1+LiborTenor*ForwardLiborSimulation!H38)</f>
        <v>4.5360894353927539E-2</v>
      </c>
      <c r="J39" s="24">
        <f ca="1">+J38+(LiborTenor*Volatility!I38*ForwardLiborSimulation!I38)/(1+LiborTenor*ForwardLiborSimulation!I38)</f>
        <v>4.5755191989008681E-2</v>
      </c>
      <c r="K39" s="24">
        <f ca="1">+K38+(LiborTenor*Volatility!J38*ForwardLiborSimulation!J38)/(1+LiborTenor*ForwardLiborSimulation!J38)</f>
        <v>4.4465850526062473E-2</v>
      </c>
      <c r="L39" s="24">
        <f ca="1">+L38+(LiborTenor*Volatility!K38*ForwardLiborSimulation!K38)/(1+LiborTenor*ForwardLiborSimulation!K38)</f>
        <v>4.4899282736842003E-2</v>
      </c>
      <c r="M39" s="24">
        <f ca="1">+M38+(LiborTenor*Volatility!L38*ForwardLiborSimulation!L38)/(1+LiborTenor*ForwardLiborSimulation!L38)</f>
        <v>4.3462434342600678E-2</v>
      </c>
      <c r="N39" s="24">
        <f ca="1">+N38+(LiborTenor*Volatility!M38*ForwardLiborSimulation!M38)/(1+LiborTenor*ForwardLiborSimulation!M38)</f>
        <v>4.6436968336135323E-2</v>
      </c>
      <c r="O39" s="24">
        <f ca="1">+O38+(LiborTenor*Volatility!N38*ForwardLiborSimulation!N38)/(1+LiborTenor*ForwardLiborSimulation!N38)</f>
        <v>4.5965981224623739E-2</v>
      </c>
      <c r="P39" s="24">
        <f ca="1">+P38+(LiborTenor*Volatility!O38*ForwardLiborSimulation!O38)/(1+LiborTenor*ForwardLiborSimulation!O38)</f>
        <v>4.7713247295175523E-2</v>
      </c>
      <c r="Q39" s="24">
        <f ca="1">+Q38+(LiborTenor*Volatility!P38*ForwardLiborSimulation!P38)/(1+LiborTenor*ForwardLiborSimulation!P38)</f>
        <v>4.6347935636415351E-2</v>
      </c>
      <c r="R39" s="24">
        <f ca="1">+R38+(LiborTenor*Volatility!Q38*ForwardLiborSimulation!Q38)/(1+LiborTenor*ForwardLiborSimulation!Q38)</f>
        <v>4.6623156063321548E-2</v>
      </c>
      <c r="S39" s="24">
        <f ca="1">+S38+(LiborTenor*Volatility!R38*ForwardLiborSimulation!R38)/(1+LiborTenor*ForwardLiborSimulation!R38)</f>
        <v>4.7980833180561649E-2</v>
      </c>
      <c r="T39" s="24">
        <f ca="1">+T38+(LiborTenor*Volatility!S38*ForwardLiborSimulation!S38)/(1+LiborTenor*ForwardLiborSimulation!S38)</f>
        <v>5.06390052741321E-2</v>
      </c>
      <c r="U39" s="24">
        <f ca="1">+U38+(LiborTenor*Volatility!T38*ForwardLiborSimulation!T38)/(1+LiborTenor*ForwardLiborSimulation!T38)</f>
        <v>4.9627828899212079E-2</v>
      </c>
      <c r="V39" s="24">
        <f ca="1">+V38+(LiborTenor*Volatility!U38*ForwardLiborSimulation!U38)/(1+LiborTenor*ForwardLiborSimulation!U38)</f>
        <v>4.9487703422154916E-2</v>
      </c>
      <c r="W39" s="24">
        <f ca="1">+W38+(LiborTenor*Volatility!V38*ForwardLiborSimulation!V38)/(1+LiborTenor*ForwardLiborSimulation!V38)</f>
        <v>4.7942957348539421E-2</v>
      </c>
      <c r="X39" s="24">
        <f ca="1">+X38+(LiborTenor*Volatility!W38*ForwardLiborSimulation!W38)/(1+LiborTenor*ForwardLiborSimulation!W38)</f>
        <v>4.4260536347936197E-2</v>
      </c>
      <c r="Y39" s="24">
        <f ca="1">+Y38+(LiborTenor*Volatility!X38*ForwardLiborSimulation!X38)/(1+LiborTenor*ForwardLiborSimulation!X38)</f>
        <v>4.5230415903090841E-2</v>
      </c>
      <c r="Z39" s="24">
        <f ca="1">+Z38+(LiborTenor*Volatility!Y38*ForwardLiborSimulation!Y38)/(1+LiborTenor*ForwardLiborSimulation!Y38)</f>
        <v>4.4422554545495714E-2</v>
      </c>
      <c r="AA39" s="24">
        <f ca="1">+AA38+(LiborTenor*Volatility!Z38*ForwardLiborSimulation!Z38)/(1+LiborTenor*ForwardLiborSimulation!Z38)</f>
        <v>4.5651917718553689E-2</v>
      </c>
      <c r="AB39" s="24">
        <f ca="1">+AB38+(LiborTenor*Volatility!AA38*ForwardLiborSimulation!AA38)/(1+LiborTenor*ForwardLiborSimulation!AA38)</f>
        <v>4.6646686087028204E-2</v>
      </c>
      <c r="AC39" s="24"/>
      <c r="AD39" s="24"/>
      <c r="AE39" s="2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  <c r="DP39" s="14"/>
      <c r="DQ39" s="14"/>
      <c r="DR39" s="14"/>
      <c r="DS39" s="14"/>
      <c r="DT39" s="14"/>
      <c r="DU39" s="14"/>
      <c r="DV39" s="14"/>
      <c r="DW39" s="14"/>
    </row>
    <row r="40" spans="4:134" x14ac:dyDescent="0.2">
      <c r="D40" s="2">
        <f>+ForwardLiborSimulation!D40</f>
        <v>1.75</v>
      </c>
      <c r="E40" s="10"/>
      <c r="F40" s="12" t="str">
        <f t="shared" si="2"/>
        <v>L(t;1.5,1.75)</v>
      </c>
      <c r="G40" s="14"/>
      <c r="H40" s="24">
        <f>+H39+(LiborTenor*Volatility!G39*ForwardLiborSimulation!G39)/(1+LiborTenor*ForwardLiborSimulation!G39)</f>
        <v>4.5304492509519151E-2</v>
      </c>
      <c r="I40" s="24">
        <f ca="1">+I39+(LiborTenor*Volatility!H39*ForwardLiborSimulation!H39)/(1+LiborTenor*ForwardLiborSimulation!H39)</f>
        <v>4.6950827035305662E-2</v>
      </c>
      <c r="J40" s="24">
        <f ca="1">+J39+(LiborTenor*Volatility!I39*ForwardLiborSimulation!I39)/(1+LiborTenor*ForwardLiborSimulation!I39)</f>
        <v>4.7325240062585844E-2</v>
      </c>
      <c r="K40" s="24">
        <f ca="1">+K39+(LiborTenor*Volatility!J39*ForwardLiborSimulation!J39)/(1+LiborTenor*ForwardLiborSimulation!J39)</f>
        <v>4.5985077158947445E-2</v>
      </c>
      <c r="L40" s="24">
        <f ca="1">+L39+(LiborTenor*Volatility!K39*ForwardLiborSimulation!K39)/(1+LiborTenor*ForwardLiborSimulation!K39)</f>
        <v>4.643506197993446E-2</v>
      </c>
      <c r="M40" s="24">
        <f ca="1">+M39+(LiborTenor*Volatility!L39*ForwardLiborSimulation!L39)/(1+LiborTenor*ForwardLiborSimulation!L39)</f>
        <v>4.4941767120866061E-2</v>
      </c>
      <c r="N40" s="24">
        <f ca="1">+N39+(LiborTenor*Volatility!M39*ForwardLiborSimulation!M39)/(1+LiborTenor*ForwardLiborSimulation!M39)</f>
        <v>4.8031662530357129E-2</v>
      </c>
      <c r="O40" s="24">
        <f ca="1">+O39+(LiborTenor*Volatility!N39*ForwardLiborSimulation!N39)/(1+LiborTenor*ForwardLiborSimulation!N39)</f>
        <v>4.754185370585555E-2</v>
      </c>
      <c r="P40" s="24">
        <f ca="1">+P39+(LiborTenor*Volatility!O39*ForwardLiborSimulation!O39)/(1+LiborTenor*ForwardLiborSimulation!O39)</f>
        <v>4.9357045211935138E-2</v>
      </c>
      <c r="Q40" s="24">
        <f ca="1">+Q39+(LiborTenor*Volatility!P39*ForwardLiborSimulation!P39)/(1+LiborTenor*ForwardLiborSimulation!P39)</f>
        <v>4.7937767851894693E-2</v>
      </c>
      <c r="R40" s="24">
        <f ca="1">+R39+(LiborTenor*Volatility!Q39*ForwardLiborSimulation!Q39)/(1+LiborTenor*ForwardLiborSimulation!Q39)</f>
        <v>4.8223365341079225E-2</v>
      </c>
      <c r="S40" s="24">
        <f ca="1">+S39+(LiborTenor*Volatility!R39*ForwardLiborSimulation!R39)/(1+LiborTenor*ForwardLiborSimulation!R39)</f>
        <v>4.9633762101936638E-2</v>
      </c>
      <c r="T40" s="24">
        <f ca="1">+T39+(LiborTenor*Volatility!S39*ForwardLiborSimulation!S39)/(1+LiborTenor*ForwardLiborSimulation!S39)</f>
        <v>5.2395768794485292E-2</v>
      </c>
      <c r="U40" s="24">
        <f ca="1">+U39+(LiborTenor*Volatility!T39*ForwardLiborSimulation!T39)/(1+LiborTenor*ForwardLiborSimulation!T39)</f>
        <v>5.1344275779141572E-2</v>
      </c>
      <c r="V40" s="24">
        <f ca="1">+V39+(LiborTenor*Volatility!U39*ForwardLiborSimulation!U39)/(1+LiborTenor*ForwardLiborSimulation!U39)</f>
        <v>5.119819459998487E-2</v>
      </c>
      <c r="W40" s="24">
        <f ca="1">+W39+(LiborTenor*Volatility!V39*ForwardLiborSimulation!V39)/(1+LiborTenor*ForwardLiborSimulation!V39)</f>
        <v>4.9592289570173718E-2</v>
      </c>
      <c r="X40" s="24">
        <f ca="1">+X39+(LiborTenor*Volatility!W39*ForwardLiborSimulation!W39)/(1+LiborTenor*ForwardLiborSimulation!W39)</f>
        <v>4.5765200233265371E-2</v>
      </c>
      <c r="Y40" s="24">
        <f ca="1">+Y39+(LiborTenor*Volatility!X39*ForwardLiborSimulation!X39)/(1+LiborTenor*ForwardLiborSimulation!X39)</f>
        <v>4.6772406022196837E-2</v>
      </c>
      <c r="Z40" s="24"/>
      <c r="AA40" s="24"/>
      <c r="AB40" s="2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4"/>
      <c r="DO40" s="14"/>
      <c r="DP40" s="14"/>
      <c r="DQ40" s="14"/>
      <c r="DR40" s="14"/>
      <c r="DS40" s="14"/>
      <c r="DT40" s="14"/>
      <c r="DU40" s="14"/>
      <c r="DV40" s="14"/>
      <c r="DW40" s="14"/>
    </row>
    <row r="41" spans="4:134" x14ac:dyDescent="0.2">
      <c r="D41" s="2">
        <f>+ForwardLiborSimulation!D41</f>
        <v>1.5</v>
      </c>
      <c r="E41" s="10"/>
      <c r="F41" s="12" t="str">
        <f t="shared" si="2"/>
        <v>L(t;1.25,1.5)</v>
      </c>
      <c r="G41" s="14"/>
      <c r="H41" s="24">
        <f>+H40+(LiborTenor*Volatility!G40*ForwardLiborSimulation!G40)/(1+LiborTenor*ForwardLiborSimulation!G40)</f>
        <v>4.6775899001018376E-2</v>
      </c>
      <c r="I41" s="24">
        <f ca="1">+I40+(LiborTenor*Volatility!H40*ForwardLiborSimulation!H40)/(1+LiborTenor*ForwardLiborSimulation!H40)</f>
        <v>4.8449253771300119E-2</v>
      </c>
      <c r="J41" s="24">
        <f ca="1">+J40+(LiborTenor*Volatility!I40*ForwardLiborSimulation!I40)/(1+LiborTenor*ForwardLiborSimulation!I40)</f>
        <v>4.8803826765740702E-2</v>
      </c>
      <c r="K41" s="24">
        <f ca="1">+K40+(LiborTenor*Volatility!J40*ForwardLiborSimulation!J40)/(1+LiborTenor*ForwardLiborSimulation!J40)</f>
        <v>4.7417851463016664E-2</v>
      </c>
      <c r="L41" s="24">
        <f ca="1">+L40+(LiborTenor*Volatility!K40*ForwardLiborSimulation!K40)/(1+LiborTenor*ForwardLiborSimulation!K40)</f>
        <v>4.7882746992674786E-2</v>
      </c>
      <c r="M41" s="24">
        <f ca="1">+M40+(LiborTenor*Volatility!L40*ForwardLiborSimulation!L40)/(1+LiborTenor*ForwardLiborSimulation!L40)</f>
        <v>4.6338525614694745E-2</v>
      </c>
      <c r="N41" s="24">
        <f ca="1">+N40+(LiborTenor*Volatility!M40*ForwardLiborSimulation!M40)/(1+LiborTenor*ForwardLiborSimulation!M40)</f>
        <v>4.9532604411315025E-2</v>
      </c>
      <c r="O41" s="24">
        <f ca="1">+O40+(LiborTenor*Volatility!N40*ForwardLiborSimulation!N40)/(1+LiborTenor*ForwardLiborSimulation!N40)</f>
        <v>4.9025821560413539E-2</v>
      </c>
      <c r="P41" s="24">
        <f ca="1">+P40+(LiborTenor*Volatility!O40*ForwardLiborSimulation!O40)/(1+LiborTenor*ForwardLiborSimulation!O40)</f>
        <v>5.0902183388617545E-2</v>
      </c>
      <c r="Q41" s="24">
        <f ca="1">+Q40+(LiborTenor*Volatility!P40*ForwardLiborSimulation!P40)/(1+LiborTenor*ForwardLiborSimulation!P40)</f>
        <v>4.9434348229968859E-2</v>
      </c>
      <c r="R41" s="24">
        <f ca="1">+R40+(LiborTenor*Volatility!Q40*ForwardLiborSimulation!Q40)/(1+LiborTenor*ForwardLiborSimulation!Q40)</f>
        <v>4.9729265298133943E-2</v>
      </c>
      <c r="S41" s="24">
        <f ca="1">+S40+(LiborTenor*Volatility!R40*ForwardLiborSimulation!R40)/(1+LiborTenor*ForwardLiborSimulation!R40)</f>
        <v>5.11871014614678E-2</v>
      </c>
      <c r="T41" s="24">
        <f ca="1">+T40+(LiborTenor*Volatility!S40*ForwardLiborSimulation!S40)/(1+LiborTenor*ForwardLiborSimulation!S40)</f>
        <v>5.4042440389614699E-2</v>
      </c>
      <c r="U41" s="24">
        <f ca="1">+U40+(LiborTenor*Volatility!T40*ForwardLiborSimulation!T40)/(1+LiborTenor*ForwardLiborSimulation!T40)</f>
        <v>5.2954760202058831E-2</v>
      </c>
      <c r="V41" s="24">
        <f ca="1">+V40+(LiborTenor*Volatility!U40*ForwardLiborSimulation!U40)/(1+LiborTenor*ForwardLiborSimulation!U40)</f>
        <v>5.2803302636544973E-2</v>
      </c>
      <c r="W41" s="24"/>
      <c r="X41" s="24"/>
      <c r="Y41" s="2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/>
      <c r="DL41" s="14"/>
      <c r="DM41" s="14"/>
      <c r="DN41" s="14"/>
      <c r="DO41" s="14"/>
      <c r="DP41" s="14"/>
      <c r="DQ41" s="14"/>
      <c r="DR41" s="14"/>
      <c r="DS41" s="14"/>
      <c r="DT41" s="14"/>
      <c r="DU41" s="14"/>
      <c r="DV41" s="14"/>
      <c r="DW41" s="14"/>
    </row>
    <row r="42" spans="4:134" x14ac:dyDescent="0.2">
      <c r="D42" s="2">
        <f>+ForwardLiborSimulation!D42</f>
        <v>1.25</v>
      </c>
      <c r="E42" s="10"/>
      <c r="F42" s="12" t="str">
        <f t="shared" si="2"/>
        <v>L(t;1,1.25)</v>
      </c>
      <c r="G42" s="14"/>
      <c r="H42" s="24">
        <f>+H41+(LiborTenor*Volatility!G41*ForwardLiborSimulation!G41)/(1+LiborTenor*ForwardLiborSimulation!G41)</f>
        <v>4.8162512078773825E-2</v>
      </c>
      <c r="I42" s="24">
        <f ca="1">+I41+(LiborTenor*Volatility!H41*ForwardLiborSimulation!H41)/(1+LiborTenor*ForwardLiborSimulation!H41)</f>
        <v>4.9858321840530205E-2</v>
      </c>
      <c r="J42" s="24">
        <f ca="1">+J41+(LiborTenor*Volatility!I41*ForwardLiborSimulation!I41)/(1+LiborTenor*ForwardLiborSimulation!I41)</f>
        <v>5.0193122708181312E-2</v>
      </c>
      <c r="K42" s="24">
        <f ca="1">+K41+(LiborTenor*Volatility!J41*ForwardLiborSimulation!J41)/(1+LiborTenor*ForwardLiborSimulation!J41)</f>
        <v>4.8766030454719604E-2</v>
      </c>
      <c r="L42" s="24">
        <f ca="1">+L41+(LiborTenor*Volatility!K41*ForwardLiborSimulation!K41)/(1+LiborTenor*ForwardLiborSimulation!K41)</f>
        <v>4.9244300698914799E-2</v>
      </c>
      <c r="M42" s="24">
        <f ca="1">+M41+(LiborTenor*Volatility!L41*ForwardLiborSimulation!L41)/(1+LiborTenor*ForwardLiborSimulation!L41)</f>
        <v>4.7654332954350453E-2</v>
      </c>
      <c r="N42" s="24">
        <f ca="1">+N41+(LiborTenor*Volatility!M41*ForwardLiborSimulation!M41)/(1+LiborTenor*ForwardLiborSimulation!M41)</f>
        <v>5.0942094277130742E-2</v>
      </c>
      <c r="O42" s="24">
        <f ca="1">+O41+(LiborTenor*Volatility!N41*ForwardLiborSimulation!N41)/(1+LiborTenor*ForwardLiborSimulation!N41)</f>
        <v>5.0420071472751453E-2</v>
      </c>
      <c r="P42" s="24">
        <f ca="1">+P41+(LiborTenor*Volatility!O41*ForwardLiborSimulation!O41)/(1+LiborTenor*ForwardLiborSimulation!O41)</f>
        <v>5.2351282905353264E-2</v>
      </c>
      <c r="Q42" s="24">
        <f ca="1">+Q41+(LiborTenor*Volatility!P41*ForwardLiborSimulation!P41)/(1+LiborTenor*ForwardLiborSimulation!P41)</f>
        <v>5.0839946803577327E-2</v>
      </c>
      <c r="R42" s="24">
        <f ca="1">+R41+(LiborTenor*Volatility!Q41*ForwardLiborSimulation!Q41)/(1+LiborTenor*ForwardLiborSimulation!Q41)</f>
        <v>5.1143198757687615E-2</v>
      </c>
      <c r="S42" s="24">
        <f ca="1">+S41+(LiborTenor*Volatility!R41*ForwardLiborSimulation!R41)/(1+LiborTenor*ForwardLiborSimulation!R41)</f>
        <v>5.2643539394571767E-2</v>
      </c>
      <c r="T42" s="24"/>
      <c r="U42" s="24"/>
      <c r="V42" s="2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14"/>
      <c r="DK42" s="14"/>
      <c r="DL42" s="14"/>
      <c r="DM42" s="14"/>
      <c r="DN42" s="14"/>
      <c r="DO42" s="14"/>
      <c r="DP42" s="14"/>
      <c r="DQ42" s="14"/>
      <c r="DR42" s="14"/>
      <c r="DS42" s="14"/>
      <c r="DT42" s="14"/>
      <c r="DU42" s="14"/>
      <c r="DV42" s="14"/>
      <c r="DW42" s="14"/>
    </row>
    <row r="43" spans="4:134" x14ac:dyDescent="0.2">
      <c r="D43" s="2">
        <f>+ForwardLiborSimulation!D43</f>
        <v>1</v>
      </c>
      <c r="E43" s="10"/>
      <c r="F43" s="12" t="str">
        <f t="shared" si="2"/>
        <v>L(t;0.75,1)</v>
      </c>
      <c r="G43" s="14"/>
      <c r="H43" s="24">
        <f>+H42+(LiborTenor*Volatility!G42*ForwardLiborSimulation!G42)/(1+LiborTenor*ForwardLiborSimulation!G42)</f>
        <v>4.9466160810993989E-2</v>
      </c>
      <c r="I43" s="24">
        <f ca="1">+I42+(LiborTenor*Volatility!H42*ForwardLiborSimulation!H42)/(1+LiborTenor*ForwardLiborSimulation!H42)</f>
        <v>5.1180170545542282E-2</v>
      </c>
      <c r="J43" s="24">
        <f ca="1">+J42+(LiborTenor*Volatility!I42*ForwardLiborSimulation!I42)/(1+LiborTenor*ForwardLiborSimulation!I42)</f>
        <v>5.1495289051639678E-2</v>
      </c>
      <c r="K43" s="24">
        <f ca="1">+K42+(LiborTenor*Volatility!J42*ForwardLiborSimulation!J42)/(1+LiborTenor*ForwardLiborSimulation!J42)</f>
        <v>5.0031470019228599E-2</v>
      </c>
      <c r="L43" s="24">
        <f ca="1">+L42+(LiborTenor*Volatility!K42*ForwardLiborSimulation!K42)/(1+LiborTenor*ForwardLiborSimulation!K42)</f>
        <v>5.0521681419570627E-2</v>
      </c>
      <c r="M43" s="24">
        <f ca="1">+M42+(LiborTenor*Volatility!L42*ForwardLiborSimulation!L42)/(1+LiborTenor*ForwardLiborSimulation!L42)</f>
        <v>4.8890816184228525E-2</v>
      </c>
      <c r="N43" s="24">
        <f ca="1">+N42+(LiborTenor*Volatility!M42*ForwardLiborSimulation!M42)/(1+LiborTenor*ForwardLiborSimulation!M42)</f>
        <v>5.2262419686880716E-2</v>
      </c>
      <c r="O43" s="24">
        <f ca="1">+O42+(LiborTenor*Volatility!N42*ForwardLiborSimulation!N42)/(1+LiborTenor*ForwardLiborSimulation!N42)</f>
        <v>5.1726779983155134E-2</v>
      </c>
      <c r="P43" s="24">
        <f ca="1">+P42+(LiborTenor*Volatility!O42*ForwardLiborSimulation!O42)/(1+LiborTenor*ForwardLiborSimulation!O42)</f>
        <v>5.3706941333518735E-2</v>
      </c>
      <c r="Q43" s="24"/>
      <c r="R43" s="24"/>
      <c r="S43" s="2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/>
      <c r="DL43" s="14"/>
      <c r="DM43" s="14"/>
      <c r="DN43" s="14"/>
      <c r="DO43" s="14"/>
      <c r="DP43" s="14"/>
      <c r="DQ43" s="14"/>
      <c r="DR43" s="14"/>
      <c r="DS43" s="14"/>
      <c r="DT43" s="14"/>
      <c r="DU43" s="14"/>
      <c r="DV43" s="14"/>
      <c r="DW43" s="14"/>
    </row>
    <row r="44" spans="4:134" x14ac:dyDescent="0.2">
      <c r="D44" s="2">
        <f>+ForwardLiborSimulation!D44</f>
        <v>0.75</v>
      </c>
      <c r="E44" s="10"/>
      <c r="F44" s="12" t="str">
        <f t="shared" si="2"/>
        <v>L(t;0.5,0.75)</v>
      </c>
      <c r="G44" s="14"/>
      <c r="H44" s="24">
        <f>+H43+(LiborTenor*Volatility!G43*ForwardLiborSimulation!G43)/(1+LiborTenor*ForwardLiborSimulation!G43)</f>
        <v>5.068867511438041E-2</v>
      </c>
      <c r="I44" s="24">
        <f ca="1">+I43+(LiborTenor*Volatility!H43*ForwardLiborSimulation!H43)/(1+LiborTenor*ForwardLiborSimulation!H43)</f>
        <v>5.2416931280147371E-2</v>
      </c>
      <c r="J44" s="24">
        <f ca="1">+J43+(LiborTenor*Volatility!I43*ForwardLiborSimulation!I43)/(1+LiborTenor*ForwardLiborSimulation!I43)</f>
        <v>5.2712477670017098E-2</v>
      </c>
      <c r="K44" s="24">
        <f ca="1">+K43+(LiborTenor*Volatility!J43*ForwardLiborSimulation!J43)/(1+LiborTenor*ForwardLiborSimulation!J43)</f>
        <v>5.1216025110276703E-2</v>
      </c>
      <c r="L44" s="24">
        <f ca="1">+L43+(LiborTenor*Volatility!K43*ForwardLiborSimulation!K43)/(1+LiborTenor*ForwardLiborSimulation!K43)</f>
        <v>5.1716843152548105E-2</v>
      </c>
      <c r="M44" s="24">
        <f ca="1">+M43+(LiborTenor*Volatility!L43*ForwardLiborSimulation!L43)/(1+LiborTenor*ForwardLiborSimulation!L43)</f>
        <v>5.00496065922773E-2</v>
      </c>
      <c r="N44" s="24"/>
      <c r="O44" s="24"/>
      <c r="P44" s="2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4"/>
      <c r="DK44" s="14"/>
      <c r="DL44" s="14"/>
      <c r="DM44" s="14"/>
      <c r="DN44" s="14"/>
      <c r="DO44" s="14"/>
      <c r="DP44" s="14"/>
      <c r="DQ44" s="14"/>
      <c r="DR44" s="14"/>
      <c r="DS44" s="14"/>
      <c r="DT44" s="14"/>
      <c r="DU44" s="14"/>
      <c r="DV44" s="14"/>
      <c r="DW44" s="14"/>
    </row>
    <row r="45" spans="4:134" x14ac:dyDescent="0.2">
      <c r="D45" s="2">
        <f>+ForwardLiborSimulation!D45</f>
        <v>0.5</v>
      </c>
      <c r="E45" s="10"/>
      <c r="F45" s="12" t="str">
        <f t="shared" si="2"/>
        <v>L(t;0.25,0.5)</v>
      </c>
      <c r="G45" s="14"/>
      <c r="H45" s="24">
        <f>+H44+(LiborTenor*Volatility!G44*ForwardLiborSimulation!G44)/(1+LiborTenor*ForwardLiborSimulation!G44)</f>
        <v>5.1831885754652605E-2</v>
      </c>
      <c r="I45" s="24">
        <f ca="1">+I44+(LiborTenor*Volatility!H44*ForwardLiborSimulation!H44)/(1+LiborTenor*ForwardLiborSimulation!H44)</f>
        <v>5.3570727592769166E-2</v>
      </c>
      <c r="J45" s="24">
        <f ca="1">+J44+(LiborTenor*Volatility!I44*ForwardLiborSimulation!I44)/(1+LiborTenor*ForwardLiborSimulation!I44)</f>
        <v>5.3846831300248733E-2</v>
      </c>
      <c r="K45" s="24"/>
      <c r="L45" s="24"/>
      <c r="M45" s="2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/>
      <c r="DL45" s="14"/>
      <c r="DM45" s="14"/>
      <c r="DN45" s="14"/>
      <c r="DO45" s="14"/>
      <c r="DP45" s="14"/>
      <c r="DQ45" s="14"/>
      <c r="DR45" s="14"/>
      <c r="DS45" s="14"/>
      <c r="DT45" s="14"/>
      <c r="DU45" s="14"/>
      <c r="DV45" s="14"/>
      <c r="DW45" s="14"/>
    </row>
    <row r="46" spans="4:134" x14ac:dyDescent="0.2">
      <c r="D46" s="2">
        <f>+ForwardLiborSimulation!D46</f>
        <v>0.25</v>
      </c>
      <c r="E46" s="10"/>
      <c r="F46" s="12" t="str">
        <f t="shared" si="2"/>
        <v>L(t;0,0.25)</v>
      </c>
      <c r="G46" s="14"/>
      <c r="H46" s="24"/>
      <c r="I46" s="24"/>
      <c r="J46" s="2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</row>
    <row r="47" spans="4:134" s="9" customFormat="1" x14ac:dyDescent="0.2">
      <c r="D47" s="2">
        <f>+ForwardLiborSimulation!D47</f>
        <v>0</v>
      </c>
      <c r="E47" s="10"/>
      <c r="F47" s="11" t="s">
        <v>6</v>
      </c>
      <c r="G47" s="8">
        <f>+ForwardLiborSimulation!G47</f>
        <v>0</v>
      </c>
      <c r="H47" s="8">
        <f>+ForwardLiborSimulation!H47</f>
        <v>8.3333333333333329E-2</v>
      </c>
      <c r="I47" s="8">
        <f>+ForwardLiborSimulation!I47</f>
        <v>0.16666666666666666</v>
      </c>
      <c r="J47" s="8">
        <f>+ForwardLiborSimulation!J47</f>
        <v>0.25</v>
      </c>
      <c r="K47" s="8">
        <f>+ForwardLiborSimulation!K47</f>
        <v>0.33333333333333331</v>
      </c>
      <c r="L47" s="8">
        <f>+ForwardLiborSimulation!L47</f>
        <v>0.41666666666666663</v>
      </c>
      <c r="M47" s="8">
        <f>+ForwardLiborSimulation!M47</f>
        <v>0.49999999999999994</v>
      </c>
      <c r="N47" s="8">
        <f>+ForwardLiborSimulation!N47</f>
        <v>0.58333333333333326</v>
      </c>
      <c r="O47" s="8">
        <f>+ForwardLiborSimulation!O47</f>
        <v>0.66666666666666663</v>
      </c>
      <c r="P47" s="8">
        <f>+ForwardLiborSimulation!P47</f>
        <v>0.75</v>
      </c>
      <c r="Q47" s="8">
        <f>+ForwardLiborSimulation!Q47</f>
        <v>0.83333333333333337</v>
      </c>
      <c r="R47" s="8">
        <f>+ForwardLiborSimulation!R47</f>
        <v>0.91666666666666674</v>
      </c>
      <c r="S47" s="8">
        <f>+ForwardLiborSimulation!S47</f>
        <v>1</v>
      </c>
      <c r="T47" s="8">
        <f>+ForwardLiborSimulation!T47</f>
        <v>1.0833333333333333</v>
      </c>
      <c r="U47" s="8">
        <f>+ForwardLiborSimulation!U47</f>
        <v>1.1666666666666665</v>
      </c>
      <c r="V47" s="8">
        <f>+ForwardLiborSimulation!V47</f>
        <v>1.2499999999999998</v>
      </c>
      <c r="W47" s="8">
        <f>+ForwardLiborSimulation!W47</f>
        <v>1.333333333333333</v>
      </c>
      <c r="X47" s="8">
        <f>+ForwardLiborSimulation!X47</f>
        <v>1.4166666666666663</v>
      </c>
      <c r="Y47" s="8">
        <f>+ForwardLiborSimulation!Y47</f>
        <v>1.4999999999999996</v>
      </c>
      <c r="Z47" s="8">
        <f>+ForwardLiborSimulation!Z47</f>
        <v>1.5833333333333328</v>
      </c>
      <c r="AA47" s="8">
        <f>+ForwardLiborSimulation!AA47</f>
        <v>1.6666666666666661</v>
      </c>
      <c r="AB47" s="8">
        <f>+ForwardLiborSimulation!AB47</f>
        <v>1.7499999999999993</v>
      </c>
      <c r="AC47" s="8">
        <f>+ForwardLiborSimulation!AC47</f>
        <v>1.8333333333333326</v>
      </c>
      <c r="AD47" s="8">
        <f>+ForwardLiborSimulation!AD47</f>
        <v>1.9166666666666659</v>
      </c>
      <c r="AE47" s="8">
        <f>+ForwardLiborSimulation!AE47</f>
        <v>1.9999999999999991</v>
      </c>
      <c r="AF47" s="8">
        <f>+ForwardLiborSimulation!AF47</f>
        <v>2.0833333333333326</v>
      </c>
      <c r="AG47" s="8">
        <f>+ForwardLiborSimulation!AG47</f>
        <v>2.1666666666666661</v>
      </c>
      <c r="AH47" s="8">
        <f>+ForwardLiborSimulation!AH47</f>
        <v>2.2499999999999996</v>
      </c>
      <c r="AI47" s="8">
        <f>+ForwardLiborSimulation!AI47</f>
        <v>2.333333333333333</v>
      </c>
      <c r="AJ47" s="8">
        <f>+ForwardLiborSimulation!AJ47</f>
        <v>2.4166666666666665</v>
      </c>
      <c r="AK47" s="8">
        <f>+ForwardLiborSimulation!AK47</f>
        <v>2.5</v>
      </c>
      <c r="AL47" s="8">
        <f>+ForwardLiborSimulation!AL47</f>
        <v>2.5833333333333335</v>
      </c>
      <c r="AM47" s="8">
        <f>+ForwardLiborSimulation!AM47</f>
        <v>2.666666666666667</v>
      </c>
      <c r="AN47" s="8">
        <f>+ForwardLiborSimulation!AN47</f>
        <v>2.7500000000000004</v>
      </c>
      <c r="AO47" s="8">
        <f>+ForwardLiborSimulation!AO47</f>
        <v>2.8333333333333339</v>
      </c>
      <c r="AP47" s="8">
        <f>+ForwardLiborSimulation!AP47</f>
        <v>2.9166666666666674</v>
      </c>
      <c r="AQ47" s="8">
        <f>+ForwardLiborSimulation!AQ47</f>
        <v>3.0000000000000009</v>
      </c>
      <c r="AR47" s="8">
        <f>+ForwardLiborSimulation!AR47</f>
        <v>3.0833333333333344</v>
      </c>
      <c r="AS47" s="8">
        <f>+ForwardLiborSimulation!AS47</f>
        <v>3.1666666666666679</v>
      </c>
      <c r="AT47" s="8">
        <f>+ForwardLiborSimulation!AT47</f>
        <v>3.2500000000000013</v>
      </c>
      <c r="AU47" s="8">
        <f>+ForwardLiborSimulation!AU47</f>
        <v>3.3333333333333348</v>
      </c>
      <c r="AV47" s="8">
        <f>+ForwardLiborSimulation!AV47</f>
        <v>3.4166666666666683</v>
      </c>
      <c r="AW47" s="8">
        <f>+ForwardLiborSimulation!AW47</f>
        <v>3.5000000000000018</v>
      </c>
      <c r="AX47" s="8">
        <f>+ForwardLiborSimulation!AX47</f>
        <v>3.5833333333333353</v>
      </c>
      <c r="AY47" s="8">
        <f>+ForwardLiborSimulation!AY47</f>
        <v>3.6666666666666687</v>
      </c>
      <c r="AZ47" s="8">
        <f>+ForwardLiborSimulation!AZ47</f>
        <v>3.7500000000000022</v>
      </c>
      <c r="BA47" s="8">
        <f>+ForwardLiborSimulation!BA47</f>
        <v>3.8333333333333357</v>
      </c>
      <c r="BB47" s="8">
        <f>+ForwardLiborSimulation!BB47</f>
        <v>3.9166666666666692</v>
      </c>
      <c r="BC47" s="8">
        <f>+ForwardLiborSimulation!BC47</f>
        <v>4.0000000000000027</v>
      </c>
      <c r="BD47" s="8">
        <f>+ForwardLiborSimulation!BD47</f>
        <v>4.0833333333333357</v>
      </c>
      <c r="BE47" s="8">
        <f>+ForwardLiborSimulation!BE47</f>
        <v>4.1666666666666687</v>
      </c>
      <c r="BF47" s="8">
        <f>+ForwardLiborSimulation!BF47</f>
        <v>4.2500000000000018</v>
      </c>
      <c r="BG47" s="8">
        <f>+ForwardLiborSimulation!BG47</f>
        <v>4.3333333333333348</v>
      </c>
      <c r="BH47" s="8">
        <f>+ForwardLiborSimulation!BH47</f>
        <v>4.4166666666666679</v>
      </c>
      <c r="BI47" s="8">
        <f>+ForwardLiborSimulation!BI47</f>
        <v>4.5000000000000009</v>
      </c>
      <c r="BJ47" s="8">
        <f>+ForwardLiborSimulation!BJ47</f>
        <v>4.5833333333333339</v>
      </c>
      <c r="BK47" s="8">
        <f>+ForwardLiborSimulation!BK47</f>
        <v>4.666666666666667</v>
      </c>
      <c r="BL47" s="8">
        <f>+ForwardLiborSimulation!BL47</f>
        <v>4.75</v>
      </c>
      <c r="BM47" s="8">
        <f>+ForwardLiborSimulation!BM47</f>
        <v>4.833333333333333</v>
      </c>
      <c r="BN47" s="8">
        <f>+ForwardLiborSimulation!BN47</f>
        <v>4.9166666666666661</v>
      </c>
      <c r="BO47" s="8">
        <f>+ForwardLiborSimulation!BO47</f>
        <v>4.9999999999999991</v>
      </c>
      <c r="BP47" s="8">
        <f>+ForwardLiborSimulation!BP47</f>
        <v>5.0833333333333321</v>
      </c>
      <c r="BQ47" s="8">
        <f>+ForwardLiborSimulation!BQ47</f>
        <v>5.1666666666666652</v>
      </c>
      <c r="BR47" s="8">
        <f>+ForwardLiborSimulation!BR47</f>
        <v>5.2499999999999982</v>
      </c>
      <c r="BS47" s="8">
        <f>+ForwardLiborSimulation!BS47</f>
        <v>5.3333333333333313</v>
      </c>
      <c r="BT47" s="8">
        <f>+ForwardLiborSimulation!BT47</f>
        <v>5.4166666666666643</v>
      </c>
      <c r="BU47" s="8">
        <f>+ForwardLiborSimulation!BU47</f>
        <v>5.4999999999999973</v>
      </c>
      <c r="BV47" s="8">
        <f>+ForwardLiborSimulation!BV47</f>
        <v>5.5833333333333304</v>
      </c>
      <c r="BW47" s="8">
        <f>+ForwardLiborSimulation!BW47</f>
        <v>5.6666666666666634</v>
      </c>
      <c r="BX47" s="8">
        <f>+ForwardLiborSimulation!BX47</f>
        <v>5.7499999999999964</v>
      </c>
      <c r="BY47" s="8">
        <f>+ForwardLiborSimulation!BY47</f>
        <v>5.8333333333333295</v>
      </c>
      <c r="BZ47" s="8">
        <f>+ForwardLiborSimulation!BZ47</f>
        <v>5.9166666666666625</v>
      </c>
      <c r="CA47" s="8">
        <f>+ForwardLiborSimulation!CA47</f>
        <v>5.9999999999999956</v>
      </c>
      <c r="CB47" s="8">
        <f>+ForwardLiborSimulation!CB47</f>
        <v>6.0833333333333286</v>
      </c>
      <c r="CC47" s="8">
        <f>+ForwardLiborSimulation!CC47</f>
        <v>6.1666666666666616</v>
      </c>
      <c r="CD47" s="8">
        <f>+ForwardLiborSimulation!CD47</f>
        <v>6.2499999999999947</v>
      </c>
      <c r="CE47" s="8">
        <f>+ForwardLiborSimulation!CE47</f>
        <v>6.3333333333333277</v>
      </c>
      <c r="CF47" s="8">
        <f>+ForwardLiborSimulation!CF47</f>
        <v>6.4166666666666607</v>
      </c>
      <c r="CG47" s="8">
        <f>+ForwardLiborSimulation!CG47</f>
        <v>6.4999999999999938</v>
      </c>
      <c r="CH47" s="8">
        <f>+ForwardLiborSimulation!CH47</f>
        <v>6.5833333333333268</v>
      </c>
      <c r="CI47" s="8">
        <f>+ForwardLiborSimulation!CI47</f>
        <v>6.6666666666666599</v>
      </c>
      <c r="CJ47" s="8">
        <f>+ForwardLiborSimulation!CJ47</f>
        <v>6.7499999999999929</v>
      </c>
      <c r="CK47" s="8">
        <f>+ForwardLiborSimulation!CK47</f>
        <v>6.8333333333333259</v>
      </c>
      <c r="CL47" s="8">
        <f>+ForwardLiborSimulation!CL47</f>
        <v>6.916666666666659</v>
      </c>
      <c r="CM47" s="8">
        <f>+ForwardLiborSimulation!CM47</f>
        <v>6.999999999999992</v>
      </c>
      <c r="CN47" s="8">
        <f>+ForwardLiborSimulation!CN47</f>
        <v>7.083333333333325</v>
      </c>
      <c r="CO47" s="8">
        <f>+ForwardLiborSimulation!CO47</f>
        <v>7.1666666666666581</v>
      </c>
      <c r="CP47" s="8">
        <f>+ForwardLiborSimulation!CP47</f>
        <v>7.2499999999999911</v>
      </c>
      <c r="CQ47" s="8">
        <f>+ForwardLiborSimulation!CQ47</f>
        <v>7.3333333333333242</v>
      </c>
      <c r="CR47" s="8">
        <f>+ForwardLiborSimulation!CR47</f>
        <v>7.4166666666666572</v>
      </c>
      <c r="CS47" s="8">
        <f>+ForwardLiborSimulation!CS47</f>
        <v>7.4999999999999902</v>
      </c>
      <c r="CT47" s="8">
        <f>+ForwardLiborSimulation!CT47</f>
        <v>7.5833333333333233</v>
      </c>
      <c r="CU47" s="8">
        <f>+ForwardLiborSimulation!CU47</f>
        <v>7.6666666666666563</v>
      </c>
      <c r="CV47" s="8">
        <f>+ForwardLiborSimulation!CV47</f>
        <v>7.7499999999999893</v>
      </c>
      <c r="CW47" s="8">
        <f>+ForwardLiborSimulation!CW47</f>
        <v>7.8333333333333224</v>
      </c>
      <c r="CX47" s="8">
        <f>+ForwardLiborSimulation!CX47</f>
        <v>7.9166666666666554</v>
      </c>
      <c r="CY47" s="8">
        <f>+ForwardLiborSimulation!CY47</f>
        <v>7.9999999999999885</v>
      </c>
      <c r="CZ47" s="8">
        <f>+ForwardLiborSimulation!CZ47</f>
        <v>8.0833333333333215</v>
      </c>
      <c r="DA47" s="8">
        <f>+ForwardLiborSimulation!DA47</f>
        <v>8.1666666666666554</v>
      </c>
      <c r="DB47" s="8">
        <f>+ForwardLiborSimulation!DB47</f>
        <v>8.2499999999999893</v>
      </c>
      <c r="DC47" s="8">
        <f>+ForwardLiborSimulation!DC47</f>
        <v>8.3333333333333233</v>
      </c>
      <c r="DD47" s="8">
        <f>+ForwardLiborSimulation!DD47</f>
        <v>8.4166666666666572</v>
      </c>
      <c r="DE47" s="8">
        <f>+ForwardLiborSimulation!DE47</f>
        <v>8.4999999999999911</v>
      </c>
      <c r="DF47" s="8">
        <f>+ForwardLiborSimulation!DF47</f>
        <v>8.583333333333325</v>
      </c>
      <c r="DG47" s="8">
        <f>+ForwardLiborSimulation!DG47</f>
        <v>8.666666666666659</v>
      </c>
      <c r="DH47" s="8">
        <f>+ForwardLiborSimulation!DH47</f>
        <v>8.7499999999999929</v>
      </c>
      <c r="DI47" s="8">
        <f>+ForwardLiborSimulation!DI47</f>
        <v>8.8333333333333268</v>
      </c>
      <c r="DJ47" s="8">
        <f>+ForwardLiborSimulation!DJ47</f>
        <v>8.9166666666666607</v>
      </c>
      <c r="DK47" s="8">
        <f>+ForwardLiborSimulation!DK47</f>
        <v>8.9999999999999947</v>
      </c>
      <c r="DL47" s="8">
        <f>+ForwardLiborSimulation!DL47</f>
        <v>9.0833333333333286</v>
      </c>
      <c r="DM47" s="8">
        <f>+ForwardLiborSimulation!DM47</f>
        <v>9.1666666666666625</v>
      </c>
      <c r="DN47" s="8">
        <f>+ForwardLiborSimulation!DN47</f>
        <v>9.2499999999999964</v>
      </c>
      <c r="DO47" s="8">
        <f>+ForwardLiborSimulation!DO47</f>
        <v>9.3333333333333304</v>
      </c>
      <c r="DP47" s="8">
        <f>+ForwardLiborSimulation!DP47</f>
        <v>9.4166666666666643</v>
      </c>
      <c r="DQ47" s="8">
        <f>+ForwardLiborSimulation!DQ47</f>
        <v>9.4999999999999982</v>
      </c>
      <c r="DR47" s="8">
        <f>+ForwardLiborSimulation!DR47</f>
        <v>9.5833333333333321</v>
      </c>
      <c r="DS47" s="8">
        <f>+ForwardLiborSimulation!DS47</f>
        <v>9.6666666666666661</v>
      </c>
      <c r="DT47" s="8">
        <f>+ForwardLiborSimulation!DT47</f>
        <v>9.75</v>
      </c>
      <c r="DU47" s="8">
        <f>+ForwardLiborSimulation!DU47</f>
        <v>9.8333333333333339</v>
      </c>
      <c r="DV47" s="8">
        <f>+ForwardLiborSimulation!DV47</f>
        <v>9.9166666666666679</v>
      </c>
      <c r="DW47" s="8">
        <f>+ForwardLiborSimulation!DW47</f>
        <v>10.000000000000002</v>
      </c>
    </row>
    <row r="48" spans="4:134" x14ac:dyDescent="0.2">
      <c r="DX48" s="2"/>
      <c r="DY48" s="2"/>
      <c r="DZ48" s="2"/>
      <c r="EA48" s="2"/>
      <c r="EB48" s="2"/>
      <c r="EC48" s="2"/>
      <c r="ED48" s="2"/>
    </row>
    <row r="49" spans="3:127" x14ac:dyDescent="0.2">
      <c r="G49" s="4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</row>
    <row r="50" spans="3:127" x14ac:dyDescent="0.2">
      <c r="G50" s="4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</row>
    <row r="51" spans="3:127" x14ac:dyDescent="0.2">
      <c r="G51" s="4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</row>
    <row r="52" spans="3:127" x14ac:dyDescent="0.2">
      <c r="G52" s="4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</row>
    <row r="53" spans="3:127" x14ac:dyDescent="0.2">
      <c r="G53" s="4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</row>
    <row r="54" spans="3:127" x14ac:dyDescent="0.2">
      <c r="G54" s="4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</row>
    <row r="55" spans="3:127" x14ac:dyDescent="0.2">
      <c r="G55" s="4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</row>
    <row r="56" spans="3:127" x14ac:dyDescent="0.2">
      <c r="G56" s="4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</row>
    <row r="57" spans="3:127" x14ac:dyDescent="0.2">
      <c r="G57" s="4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</row>
    <row r="58" spans="3:127" x14ac:dyDescent="0.25">
      <c r="C58" s="17"/>
      <c r="G58" s="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</row>
    <row r="59" spans="3:127" x14ac:dyDescent="0.25">
      <c r="C59" s="17"/>
      <c r="G59" s="4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</row>
    <row r="60" spans="3:127" x14ac:dyDescent="0.25">
      <c r="C60" s="17"/>
      <c r="G60" s="4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</row>
    <row r="61" spans="3:127" x14ac:dyDescent="0.25">
      <c r="C61" s="17"/>
      <c r="G61" s="4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</row>
    <row r="62" spans="3:127" x14ac:dyDescent="0.25">
      <c r="C62" s="17"/>
      <c r="G62" s="4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</row>
    <row r="63" spans="3:127" x14ac:dyDescent="0.25">
      <c r="C63" s="17"/>
      <c r="G63" s="4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</row>
    <row r="64" spans="3:127" x14ac:dyDescent="0.25">
      <c r="C64" s="17"/>
      <c r="G64" s="4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</row>
    <row r="65" spans="3:127" x14ac:dyDescent="0.25">
      <c r="C65" s="17"/>
      <c r="G65" s="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</row>
    <row r="66" spans="3:127" x14ac:dyDescent="0.25">
      <c r="C66" s="17"/>
      <c r="G66" s="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</row>
    <row r="67" spans="3:127" x14ac:dyDescent="0.25">
      <c r="C67" s="17"/>
      <c r="G67" s="4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</row>
    <row r="68" spans="3:127" x14ac:dyDescent="0.25">
      <c r="C68" s="17"/>
      <c r="G68" s="4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</row>
    <row r="69" spans="3:127" x14ac:dyDescent="0.25">
      <c r="C69" s="17"/>
      <c r="G69" s="4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</row>
    <row r="70" spans="3:127" x14ac:dyDescent="0.25">
      <c r="C70" s="17"/>
      <c r="G70" s="4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</row>
    <row r="71" spans="3:127" x14ac:dyDescent="0.25">
      <c r="C71" s="17"/>
      <c r="G71" s="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</row>
    <row r="72" spans="3:127" x14ac:dyDescent="0.25">
      <c r="C72" s="17"/>
      <c r="G72" s="4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</row>
    <row r="73" spans="3:127" x14ac:dyDescent="0.25">
      <c r="C73" s="17"/>
      <c r="G73" s="4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</row>
    <row r="74" spans="3:127" x14ac:dyDescent="0.25">
      <c r="C74" s="17"/>
      <c r="G74" s="4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</row>
    <row r="75" spans="3:127" x14ac:dyDescent="0.25">
      <c r="C75" s="17"/>
    </row>
    <row r="76" spans="3:127" x14ac:dyDescent="0.25">
      <c r="C76" s="17"/>
    </row>
    <row r="77" spans="3:127" x14ac:dyDescent="0.25">
      <c r="C77" s="17"/>
    </row>
    <row r="78" spans="3:127" x14ac:dyDescent="0.25">
      <c r="C78" s="17"/>
    </row>
    <row r="79" spans="3:127" x14ac:dyDescent="0.25">
      <c r="C79" s="17"/>
    </row>
    <row r="80" spans="3:127" x14ac:dyDescent="0.25">
      <c r="C80" s="17"/>
    </row>
    <row r="81" spans="3:3" x14ac:dyDescent="0.25">
      <c r="C81" s="17"/>
    </row>
    <row r="82" spans="3:3" x14ac:dyDescent="0.25">
      <c r="C82" s="17"/>
    </row>
    <row r="83" spans="3:3" x14ac:dyDescent="0.25">
      <c r="C83" s="17"/>
    </row>
    <row r="84" spans="3:3" x14ac:dyDescent="0.25">
      <c r="C84" s="17"/>
    </row>
    <row r="85" spans="3:3" x14ac:dyDescent="0.25">
      <c r="C85" s="17"/>
    </row>
    <row r="86" spans="3:3" x14ac:dyDescent="0.25">
      <c r="C86" s="17"/>
    </row>
    <row r="87" spans="3:3" x14ac:dyDescent="0.25">
      <c r="C87" s="17"/>
    </row>
    <row r="88" spans="3:3" x14ac:dyDescent="0.25">
      <c r="C88" s="17"/>
    </row>
    <row r="89" spans="3:3" x14ac:dyDescent="0.25">
      <c r="C89" s="17"/>
    </row>
    <row r="90" spans="3:3" x14ac:dyDescent="0.25">
      <c r="C90" s="17"/>
    </row>
    <row r="91" spans="3:3" x14ac:dyDescent="0.25">
      <c r="C91" s="17"/>
    </row>
    <row r="92" spans="3:3" x14ac:dyDescent="0.25">
      <c r="C92" s="17"/>
    </row>
    <row r="93" spans="3:3" x14ac:dyDescent="0.25">
      <c r="C93" s="17"/>
    </row>
    <row r="94" spans="3:3" x14ac:dyDescent="0.25">
      <c r="C94" s="17"/>
    </row>
    <row r="95" spans="3:3" x14ac:dyDescent="0.25">
      <c r="C95" s="17"/>
    </row>
    <row r="96" spans="3:3" x14ac:dyDescent="0.25">
      <c r="C96" s="17"/>
    </row>
    <row r="97" spans="3:3" x14ac:dyDescent="0.25">
      <c r="C97" s="17"/>
    </row>
    <row r="98" spans="3:3" x14ac:dyDescent="0.25">
      <c r="C98" s="17"/>
    </row>
    <row r="99" spans="3:3" x14ac:dyDescent="0.25">
      <c r="C99" s="17"/>
    </row>
    <row r="100" spans="3:3" x14ac:dyDescent="0.25">
      <c r="C100" s="17"/>
    </row>
    <row r="101" spans="3:3" x14ac:dyDescent="0.25">
      <c r="C101" s="17"/>
    </row>
    <row r="102" spans="3:3" x14ac:dyDescent="0.25">
      <c r="C102" s="17"/>
    </row>
    <row r="103" spans="3:3" x14ac:dyDescent="0.25">
      <c r="C103" s="17"/>
    </row>
    <row r="104" spans="3:3" x14ac:dyDescent="0.25">
      <c r="C104" s="17"/>
    </row>
    <row r="105" spans="3:3" x14ac:dyDescent="0.25">
      <c r="C105" s="17"/>
    </row>
    <row r="106" spans="3:3" x14ac:dyDescent="0.25">
      <c r="C106" s="17"/>
    </row>
    <row r="107" spans="3:3" x14ac:dyDescent="0.25">
      <c r="C107" s="17"/>
    </row>
    <row r="108" spans="3:3" x14ac:dyDescent="0.25">
      <c r="C108" s="17"/>
    </row>
    <row r="109" spans="3:3" x14ac:dyDescent="0.25">
      <c r="C109" s="17"/>
    </row>
    <row r="110" spans="3:3" x14ac:dyDescent="0.25">
      <c r="C110" s="17"/>
    </row>
    <row r="111" spans="3:3" x14ac:dyDescent="0.25">
      <c r="C111" s="17"/>
    </row>
    <row r="112" spans="3:3" x14ac:dyDescent="0.25">
      <c r="C112" s="17"/>
    </row>
    <row r="113" spans="3:3" x14ac:dyDescent="0.25">
      <c r="C113" s="17"/>
    </row>
    <row r="114" spans="3:3" x14ac:dyDescent="0.25">
      <c r="C114" s="17"/>
    </row>
    <row r="115" spans="3:3" x14ac:dyDescent="0.25">
      <c r="C115" s="17"/>
    </row>
    <row r="116" spans="3:3" x14ac:dyDescent="0.25">
      <c r="C116" s="17"/>
    </row>
    <row r="117" spans="3:3" x14ac:dyDescent="0.25">
      <c r="C117" s="17"/>
    </row>
    <row r="118" spans="3:3" x14ac:dyDescent="0.25">
      <c r="C118" s="17"/>
    </row>
    <row r="119" spans="3:3" x14ac:dyDescent="0.25">
      <c r="C119" s="17"/>
    </row>
    <row r="120" spans="3:3" x14ac:dyDescent="0.25">
      <c r="C120" s="17"/>
    </row>
    <row r="121" spans="3:3" x14ac:dyDescent="0.25">
      <c r="C121" s="17"/>
    </row>
    <row r="122" spans="3:3" x14ac:dyDescent="0.25">
      <c r="C122" s="17"/>
    </row>
    <row r="123" spans="3:3" x14ac:dyDescent="0.25">
      <c r="C123" s="17"/>
    </row>
    <row r="124" spans="3:3" x14ac:dyDescent="0.25">
      <c r="C124" s="17"/>
    </row>
    <row r="125" spans="3:3" x14ac:dyDescent="0.25">
      <c r="C125" s="17"/>
    </row>
    <row r="126" spans="3:3" x14ac:dyDescent="0.25">
      <c r="C126" s="17"/>
    </row>
    <row r="127" spans="3:3" x14ac:dyDescent="0.25">
      <c r="C127" s="17"/>
    </row>
    <row r="128" spans="3:3" x14ac:dyDescent="0.25">
      <c r="C128" s="17"/>
    </row>
    <row r="129" spans="3:3" x14ac:dyDescent="0.25">
      <c r="C129" s="17"/>
    </row>
    <row r="130" spans="3:3" x14ac:dyDescent="0.25">
      <c r="C130" s="17"/>
    </row>
    <row r="131" spans="3:3" x14ac:dyDescent="0.25">
      <c r="C131" s="17"/>
    </row>
    <row r="132" spans="3:3" x14ac:dyDescent="0.25">
      <c r="C132" s="17"/>
    </row>
    <row r="133" spans="3:3" x14ac:dyDescent="0.25">
      <c r="C133" s="17"/>
    </row>
    <row r="134" spans="3:3" x14ac:dyDescent="0.25">
      <c r="C134" s="17"/>
    </row>
    <row r="135" spans="3:3" x14ac:dyDescent="0.25">
      <c r="C135" s="17"/>
    </row>
    <row r="136" spans="3:3" x14ac:dyDescent="0.25">
      <c r="C136" s="17"/>
    </row>
    <row r="137" spans="3:3" x14ac:dyDescent="0.25">
      <c r="C137" s="17"/>
    </row>
    <row r="138" spans="3:3" x14ac:dyDescent="0.25">
      <c r="C138" s="17"/>
    </row>
    <row r="139" spans="3:3" x14ac:dyDescent="0.25">
      <c r="C139" s="17"/>
    </row>
    <row r="140" spans="3:3" x14ac:dyDescent="0.25">
      <c r="C140" s="17"/>
    </row>
    <row r="141" spans="3:3" x14ac:dyDescent="0.25">
      <c r="C141" s="17"/>
    </row>
    <row r="142" spans="3:3" x14ac:dyDescent="0.25">
      <c r="C142" s="17"/>
    </row>
    <row r="143" spans="3:3" x14ac:dyDescent="0.25">
      <c r="C143" s="17"/>
    </row>
    <row r="144" spans="3:3" x14ac:dyDescent="0.25">
      <c r="C144" s="17"/>
    </row>
    <row r="145" spans="3:3" x14ac:dyDescent="0.25">
      <c r="C145" s="17"/>
    </row>
    <row r="146" spans="3:3" x14ac:dyDescent="0.25">
      <c r="C146" s="17"/>
    </row>
    <row r="147" spans="3:3" x14ac:dyDescent="0.25">
      <c r="C147" s="17"/>
    </row>
    <row r="148" spans="3:3" x14ac:dyDescent="0.25">
      <c r="C148" s="17"/>
    </row>
    <row r="149" spans="3:3" x14ac:dyDescent="0.25">
      <c r="C149" s="17"/>
    </row>
    <row r="150" spans="3:3" x14ac:dyDescent="0.25">
      <c r="C150" s="17"/>
    </row>
    <row r="151" spans="3:3" x14ac:dyDescent="0.25">
      <c r="C151" s="17"/>
    </row>
    <row r="152" spans="3:3" x14ac:dyDescent="0.25">
      <c r="C152" s="17"/>
    </row>
    <row r="153" spans="3:3" x14ac:dyDescent="0.25">
      <c r="C153" s="17"/>
    </row>
    <row r="154" spans="3:3" x14ac:dyDescent="0.25">
      <c r="C154" s="17"/>
    </row>
    <row r="155" spans="3:3" x14ac:dyDescent="0.25">
      <c r="C155" s="17"/>
    </row>
    <row r="156" spans="3:3" x14ac:dyDescent="0.25">
      <c r="C156" s="17"/>
    </row>
    <row r="157" spans="3:3" x14ac:dyDescent="0.25">
      <c r="C157" s="17"/>
    </row>
    <row r="158" spans="3:3" x14ac:dyDescent="0.25">
      <c r="C158" s="17"/>
    </row>
    <row r="159" spans="3:3" x14ac:dyDescent="0.25">
      <c r="C159" s="17"/>
    </row>
    <row r="160" spans="3:3" x14ac:dyDescent="0.25">
      <c r="C160" s="17"/>
    </row>
    <row r="161" spans="3:3" x14ac:dyDescent="0.25">
      <c r="C161" s="17"/>
    </row>
    <row r="162" spans="3:3" x14ac:dyDescent="0.25">
      <c r="C162" s="17"/>
    </row>
    <row r="163" spans="3:3" x14ac:dyDescent="0.25">
      <c r="C163" s="17"/>
    </row>
    <row r="164" spans="3:3" x14ac:dyDescent="0.25">
      <c r="C164" s="17"/>
    </row>
    <row r="165" spans="3:3" x14ac:dyDescent="0.25">
      <c r="C165" s="17"/>
    </row>
    <row r="166" spans="3:3" x14ac:dyDescent="0.25">
      <c r="C166" s="17"/>
    </row>
    <row r="167" spans="3:3" x14ac:dyDescent="0.25">
      <c r="C167" s="17"/>
    </row>
    <row r="168" spans="3:3" x14ac:dyDescent="0.25">
      <c r="C168" s="17"/>
    </row>
    <row r="169" spans="3:3" x14ac:dyDescent="0.25">
      <c r="C169" s="17"/>
    </row>
    <row r="170" spans="3:3" x14ac:dyDescent="0.25">
      <c r="C170" s="17"/>
    </row>
    <row r="171" spans="3:3" x14ac:dyDescent="0.25">
      <c r="C171" s="17"/>
    </row>
    <row r="172" spans="3:3" x14ac:dyDescent="0.25">
      <c r="C172" s="17"/>
    </row>
    <row r="173" spans="3:3" x14ac:dyDescent="0.25">
      <c r="C173" s="17"/>
    </row>
    <row r="174" spans="3:3" x14ac:dyDescent="0.25">
      <c r="C174" s="17"/>
    </row>
    <row r="175" spans="3:3" x14ac:dyDescent="0.25">
      <c r="C175" s="17"/>
    </row>
    <row r="176" spans="3:3" x14ac:dyDescent="0.25">
      <c r="C176" s="17"/>
    </row>
    <row r="177" spans="3:3" x14ac:dyDescent="0.25">
      <c r="C177" s="17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ForwardLiborSimulation</vt:lpstr>
      <vt:lpstr>Volatility</vt:lpstr>
      <vt:lpstr>DriftSum</vt:lpstr>
      <vt:lpstr>LiborTenor</vt:lpstr>
      <vt:lpstr>TimeStep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Murakami</dc:creator>
  <cp:lastModifiedBy>Murakami</cp:lastModifiedBy>
  <dcterms:created xsi:type="dcterms:W3CDTF">2015-07-02T08:59:31Z</dcterms:created>
  <dcterms:modified xsi:type="dcterms:W3CDTF">2015-08-03T07:34:20Z</dcterms:modified>
</cp:coreProperties>
</file>