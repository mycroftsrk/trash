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20" windowWidth="18315" windowHeight="8040"/>
  </bookViews>
  <sheets>
    <sheet name="試算番号1-1" sheetId="10" r:id="rId1"/>
    <sheet name="試算番号1-2" sheetId="20" r:id="rId2"/>
    <sheet name="試算番号1-3" sheetId="21" r:id="rId3"/>
    <sheet name="試算番号2-1" sheetId="2" r:id="rId4"/>
    <sheet name="試算番号2-2" sheetId="4" r:id="rId5"/>
    <sheet name="試算番号2-3" sheetId="6" r:id="rId6"/>
    <sheet name="試算番号2-4" sheetId="7" r:id="rId7"/>
    <sheet name="試算番号2-5" sheetId="8" r:id="rId8"/>
    <sheet name="試算番号4-1" sheetId="9" r:id="rId9"/>
    <sheet name="試算番号4-2" sheetId="22" r:id="rId10"/>
    <sheet name="試算番号4-3" sheetId="23" r:id="rId11"/>
    <sheet name="試算番号4-4" sheetId="29" r:id="rId12"/>
    <sheet name="試算番号4-5" sheetId="30" r:id="rId13"/>
    <sheet name="試算番号4-6その1" sheetId="27" r:id="rId14"/>
    <sheet name="試算番号4-6その2" sheetId="31" r:id="rId15"/>
  </sheets>
  <functionGroups builtInGroupCount="17"/>
  <definedNames>
    <definedName name="solver_adj" localSheetId="12" hidden="1">'試算番号4-5'!$I$11</definedName>
    <definedName name="solver_adj" localSheetId="13" hidden="1">'試算番号4-6その1'!$M$20</definedName>
    <definedName name="solver_cvg" localSheetId="12" hidden="1">0.000001</definedName>
    <definedName name="solver_cvg" localSheetId="13" hidden="1">0.00001</definedName>
    <definedName name="solver_drv" localSheetId="12" hidden="1">2</definedName>
    <definedName name="solver_drv" localSheetId="13" hidden="1">2</definedName>
    <definedName name="solver_est" localSheetId="12" hidden="1">2</definedName>
    <definedName name="solver_est" localSheetId="13" hidden="1">2</definedName>
    <definedName name="solver_itr" localSheetId="12" hidden="1">100</definedName>
    <definedName name="solver_itr" localSheetId="13" hidden="1">100</definedName>
    <definedName name="solver_lin" localSheetId="12" hidden="1">2</definedName>
    <definedName name="solver_lin" localSheetId="13" hidden="1">2</definedName>
    <definedName name="solver_neg" localSheetId="12" hidden="1">2</definedName>
    <definedName name="solver_neg" localSheetId="13" hidden="1">2</definedName>
    <definedName name="solver_num" localSheetId="12" hidden="1">0</definedName>
    <definedName name="solver_num" localSheetId="13" hidden="1">0</definedName>
    <definedName name="solver_nwt" localSheetId="12" hidden="1">1</definedName>
    <definedName name="solver_nwt" localSheetId="13" hidden="1">2</definedName>
    <definedName name="solver_opt" localSheetId="12" hidden="1">'試算番号4-5'!#REF!</definedName>
    <definedName name="solver_opt" localSheetId="13" hidden="1">'試算番号4-6その1'!$P$20</definedName>
    <definedName name="solver_pre" localSheetId="12" hidden="1">0.00000001</definedName>
    <definedName name="solver_pre" localSheetId="13" hidden="1">0.0000001</definedName>
    <definedName name="solver_scl" localSheetId="12" hidden="1">2</definedName>
    <definedName name="solver_scl" localSheetId="13" hidden="1">2</definedName>
    <definedName name="solver_sho" localSheetId="12" hidden="1">2</definedName>
    <definedName name="solver_sho" localSheetId="13" hidden="1">2</definedName>
    <definedName name="solver_tim" localSheetId="12" hidden="1">100</definedName>
    <definedName name="solver_tim" localSheetId="13" hidden="1">100</definedName>
    <definedName name="solver_tol" localSheetId="12" hidden="1">0.05</definedName>
    <definedName name="solver_tol" localSheetId="13" hidden="1">0.05</definedName>
    <definedName name="solver_typ" localSheetId="12" hidden="1">3</definedName>
    <definedName name="solver_typ" localSheetId="13" hidden="1">3</definedName>
    <definedName name="solver_val" localSheetId="12" hidden="1">0</definedName>
    <definedName name="solver_val" localSheetId="13" hidden="1">0</definedName>
  </definedNames>
  <calcPr calcId="145621"/>
</workbook>
</file>

<file path=xl/calcChain.xml><?xml version="1.0" encoding="utf-8"?>
<calcChain xmlns="http://schemas.openxmlformats.org/spreadsheetml/2006/main">
  <c r="U12" i="23" l="1"/>
  <c r="V12" i="22"/>
  <c r="S12" i="6"/>
  <c r="S12" i="4"/>
  <c r="Q12" i="21"/>
  <c r="Q12" i="20"/>
  <c r="D63" i="8" l="1"/>
  <c r="D62" i="8"/>
  <c r="D61" i="8"/>
  <c r="D60" i="8"/>
  <c r="D59" i="8"/>
  <c r="D58" i="8"/>
  <c r="D57" i="8"/>
  <c r="D56" i="8"/>
  <c r="D55" i="8"/>
  <c r="D54" i="8"/>
  <c r="D45" i="7"/>
  <c r="D44" i="7"/>
  <c r="D43" i="7"/>
  <c r="D42" i="7"/>
  <c r="D41" i="7"/>
  <c r="D40" i="7"/>
  <c r="D39" i="7"/>
  <c r="D38" i="7"/>
  <c r="D37" i="7"/>
  <c r="D36" i="7"/>
  <c r="A21" i="21"/>
  <c r="A20" i="21"/>
  <c r="A19" i="21"/>
  <c r="A18" i="21"/>
  <c r="A17" i="21"/>
  <c r="A21" i="20"/>
  <c r="A20" i="20"/>
  <c r="A19" i="20"/>
  <c r="A18" i="20"/>
  <c r="A17" i="20"/>
  <c r="A21" i="10"/>
  <c r="A20" i="10"/>
  <c r="A19" i="10"/>
  <c r="A18" i="10"/>
  <c r="A17" i="10"/>
  <c r="V14" i="8"/>
  <c r="R14" i="31" l="1"/>
  <c r="F22" i="31" l="1"/>
  <c r="F23" i="31" l="1"/>
  <c r="F24" i="31" l="1"/>
  <c r="F25" i="31" l="1"/>
  <c r="F26" i="31" l="1"/>
  <c r="F20" i="31"/>
  <c r="F27" i="31" l="1"/>
  <c r="F28" i="31" l="1"/>
  <c r="F29" i="31" l="1"/>
  <c r="F19" i="31"/>
  <c r="F30" i="31" l="1"/>
  <c r="F31" i="31" l="1"/>
  <c r="F18" i="31"/>
  <c r="F32" i="31" l="1"/>
  <c r="F33" i="31" l="1"/>
  <c r="F17" i="31"/>
  <c r="F34" i="31" l="1"/>
  <c r="F35" i="31" l="1"/>
  <c r="F36" i="31" l="1"/>
  <c r="F16" i="31"/>
  <c r="F37" i="31" l="1"/>
  <c r="F38" i="31" l="1"/>
  <c r="F15" i="31"/>
  <c r="F39" i="31" l="1"/>
  <c r="F40" i="31" l="1"/>
  <c r="F14" i="31"/>
  <c r="F41" i="31" l="1"/>
  <c r="F42" i="31" l="1"/>
  <c r="F13" i="31"/>
  <c r="F43" i="31" l="1"/>
  <c r="F44" i="31" l="1"/>
  <c r="F12" i="31"/>
  <c r="F45" i="31" l="1"/>
  <c r="F46" i="31" l="1"/>
  <c r="F11" i="31"/>
  <c r="G10" i="31"/>
  <c r="J10" i="31"/>
  <c r="F47" i="31" l="1"/>
  <c r="F48" i="31" l="1"/>
  <c r="F18" i="27"/>
  <c r="F17" i="27"/>
  <c r="F15" i="27"/>
  <c r="F14" i="27"/>
  <c r="F13" i="27"/>
  <c r="F12" i="27"/>
  <c r="F11" i="27"/>
  <c r="F49" i="31" l="1"/>
  <c r="F50" i="31" l="1"/>
  <c r="F51" i="31" l="1"/>
  <c r="F52" i="31" l="1"/>
  <c r="F53" i="31" l="1"/>
  <c r="F54" i="31" l="1"/>
  <c r="F55" i="31" l="1"/>
  <c r="F56" i="31" l="1"/>
  <c r="F57" i="31" l="1"/>
  <c r="F58" i="31" l="1"/>
  <c r="F59" i="31" l="1"/>
  <c r="F60" i="31" l="1"/>
  <c r="F61" i="31" l="1"/>
  <c r="F62" i="31" l="1"/>
  <c r="F63" i="31" l="1"/>
  <c r="F64" i="31" l="1"/>
  <c r="F65" i="31" l="1"/>
  <c r="F66" i="31" l="1"/>
  <c r="F67" i="31" l="1"/>
  <c r="F68" i="31" l="1"/>
  <c r="F69" i="31" l="1"/>
  <c r="F70" i="31" l="1"/>
  <c r="F71" i="31" l="1"/>
  <c r="F72" i="31" l="1"/>
  <c r="F73" i="31" l="1"/>
  <c r="F74" i="31" l="1"/>
  <c r="F75" i="31" l="1"/>
  <c r="F76" i="31" l="1"/>
  <c r="F77" i="31" l="1"/>
  <c r="F78" i="31" l="1"/>
  <c r="F79" i="31" l="1"/>
  <c r="F80" i="31" l="1"/>
  <c r="F81" i="31" l="1"/>
  <c r="F82" i="31" l="1"/>
  <c r="F83" i="31" l="1"/>
  <c r="F84" i="31" l="1"/>
  <c r="F85" i="31" l="1"/>
  <c r="F86" i="31" l="1"/>
  <c r="F87" i="31" l="1"/>
  <c r="F88" i="31" l="1"/>
  <c r="F89" i="31" l="1"/>
  <c r="F90" i="31" l="1"/>
  <c r="F91" i="31" l="1"/>
  <c r="F92" i="31" l="1"/>
  <c r="F93" i="31" l="1"/>
  <c r="F94" i="31" l="1"/>
  <c r="F95" i="31" l="1"/>
  <c r="F96" i="31" l="1"/>
  <c r="F97" i="31" l="1"/>
  <c r="F98" i="31" l="1"/>
  <c r="F99" i="31" l="1"/>
  <c r="F100" i="31" l="1"/>
  <c r="F101" i="31" l="1"/>
  <c r="F102" i="31" l="1"/>
  <c r="F103" i="31" l="1"/>
  <c r="F104" i="31" l="1"/>
  <c r="F105" i="31" l="1"/>
  <c r="F106" i="31" l="1"/>
  <c r="F107" i="31" l="1"/>
  <c r="F108" i="31" l="1"/>
  <c r="F109" i="31" l="1"/>
  <c r="F110" i="31" l="1"/>
  <c r="F111" i="31" l="1"/>
  <c r="F112" i="31" l="1"/>
  <c r="F113" i="31" l="1"/>
  <c r="F114" i="31" l="1"/>
  <c r="F115" i="31" l="1"/>
  <c r="F116" i="31" l="1"/>
  <c r="F117" i="31" l="1"/>
  <c r="F118" i="31" l="1"/>
  <c r="F119" i="31" l="1"/>
  <c r="F120" i="31" l="1"/>
  <c r="F121" i="31" l="1"/>
  <c r="F122" i="31" l="1"/>
  <c r="F123" i="31" l="1"/>
  <c r="F124" i="31" l="1"/>
  <c r="F125" i="31" l="1"/>
  <c r="F126" i="31" l="1"/>
  <c r="F127" i="31" l="1"/>
  <c r="F128" i="31" l="1"/>
  <c r="F129" i="31" l="1"/>
  <c r="F130" i="31" l="1"/>
  <c r="F131" i="31" l="1"/>
  <c r="F132" i="31" l="1"/>
  <c r="F133" i="31" l="1"/>
  <c r="F134" i="31" l="1"/>
  <c r="F135" i="31" l="1"/>
  <c r="F136" i="31" l="1"/>
  <c r="F137" i="31" l="1"/>
  <c r="H15" i="30" l="1"/>
  <c r="H14" i="30"/>
  <c r="H13" i="30"/>
  <c r="H12" i="30"/>
  <c r="H11" i="30"/>
  <c r="H18" i="30"/>
  <c r="H17" i="30"/>
  <c r="D27" i="30"/>
  <c r="D26" i="30"/>
  <c r="D25" i="30"/>
  <c r="D24" i="30"/>
  <c r="D23" i="30"/>
  <c r="D22" i="30"/>
  <c r="D21" i="30"/>
  <c r="D20" i="30"/>
  <c r="D19" i="30"/>
  <c r="D18" i="30"/>
  <c r="X15" i="30"/>
  <c r="H22" i="30"/>
  <c r="L11" i="4"/>
  <c r="I13" i="30"/>
  <c r="I11" i="30"/>
  <c r="I12" i="30"/>
  <c r="I14" i="30"/>
  <c r="I18" i="30"/>
  <c r="I17" i="30"/>
  <c r="I15" i="30"/>
  <c r="Q22" i="30"/>
  <c r="I10" i="30"/>
  <c r="L11" i="6"/>
  <c r="J10" i="30" l="1"/>
  <c r="J11" i="30"/>
  <c r="J15" i="30"/>
  <c r="J18" i="30"/>
  <c r="J14" i="30"/>
  <c r="J17" i="30"/>
  <c r="J13" i="30"/>
  <c r="J12" i="30"/>
  <c r="H23" i="30"/>
  <c r="X14" i="30"/>
  <c r="Q23" i="30"/>
  <c r="Q21" i="30"/>
  <c r="H24" i="30" l="1"/>
  <c r="Q24" i="30"/>
  <c r="H25" i="30" l="1"/>
  <c r="Q25" i="30"/>
  <c r="H26" i="30" l="1"/>
  <c r="Q26" i="30"/>
  <c r="H27" i="30" l="1"/>
  <c r="Q27" i="30"/>
  <c r="H28" i="30" l="1"/>
  <c r="Q28" i="30"/>
  <c r="H29" i="30" l="1"/>
  <c r="H20" i="30"/>
  <c r="Q20" i="30"/>
  <c r="Q29" i="30"/>
  <c r="I20" i="30"/>
  <c r="J20" i="30" l="1"/>
  <c r="H30" i="30"/>
  <c r="Q30" i="30"/>
  <c r="H31" i="30" l="1"/>
  <c r="Q31" i="30"/>
  <c r="H32" i="30" l="1"/>
  <c r="Q32" i="30"/>
  <c r="H33" i="30" l="1"/>
  <c r="H19" i="30"/>
  <c r="Q33" i="30"/>
  <c r="Q19" i="30"/>
  <c r="I19" i="30"/>
  <c r="J19" i="30" l="1"/>
  <c r="H34" i="30"/>
  <c r="Q34" i="30"/>
  <c r="H35" i="30" l="1"/>
  <c r="Q35" i="30"/>
  <c r="H36" i="30" l="1"/>
  <c r="Q36" i="30"/>
  <c r="H37" i="30" l="1"/>
  <c r="H16" i="30"/>
  <c r="O10" i="30"/>
  <c r="Q37" i="30"/>
  <c r="Q16" i="30"/>
  <c r="I16" i="30"/>
  <c r="L10" i="30"/>
  <c r="R10" i="30" l="1"/>
  <c r="J16" i="30"/>
  <c r="H38" i="30"/>
  <c r="Q38" i="30"/>
  <c r="M10" i="29"/>
  <c r="H10" i="29"/>
  <c r="K10" i="31"/>
  <c r="J10" i="29"/>
  <c r="K10" i="27"/>
  <c r="P10" i="29" l="1"/>
  <c r="T10" i="30"/>
  <c r="H39" i="30"/>
  <c r="G11" i="29"/>
  <c r="G12" i="29"/>
  <c r="G13" i="29"/>
  <c r="G14" i="29"/>
  <c r="V14" i="29"/>
  <c r="G15" i="29"/>
  <c r="G16" i="29"/>
  <c r="H10" i="27"/>
  <c r="Q39" i="30"/>
  <c r="H10" i="31"/>
  <c r="M10" i="27" l="1"/>
  <c r="M10" i="31"/>
  <c r="N10" i="31" s="1"/>
  <c r="R10" i="29"/>
  <c r="H40" i="30"/>
  <c r="G17" i="29"/>
  <c r="D18" i="29"/>
  <c r="G18" i="29"/>
  <c r="D19" i="29"/>
  <c r="G19" i="29"/>
  <c r="Q40" i="30"/>
  <c r="H41" i="30" l="1"/>
  <c r="D20" i="29"/>
  <c r="G20" i="29"/>
  <c r="D21" i="29"/>
  <c r="O21" i="29"/>
  <c r="Q41" i="30"/>
  <c r="H42" i="30" l="1"/>
  <c r="D22" i="29"/>
  <c r="G22" i="29"/>
  <c r="G23" i="29" s="1"/>
  <c r="D23" i="29"/>
  <c r="O23" i="29"/>
  <c r="O22" i="29"/>
  <c r="Q42" i="30"/>
  <c r="H43" i="30" l="1"/>
  <c r="D24" i="29"/>
  <c r="G24" i="29"/>
  <c r="O24" i="29"/>
  <c r="Q43" i="30"/>
  <c r="H44" i="30" l="1"/>
  <c r="D25" i="29"/>
  <c r="G25" i="29"/>
  <c r="Q44" i="30"/>
  <c r="O25" i="29"/>
  <c r="H45" i="30" l="1"/>
  <c r="D26" i="29"/>
  <c r="G26" i="29"/>
  <c r="Q45" i="30"/>
  <c r="O26" i="29"/>
  <c r="H46" i="30" l="1"/>
  <c r="D27" i="29"/>
  <c r="G27" i="29"/>
  <c r="H20" i="29"/>
  <c r="H19" i="29"/>
  <c r="H17" i="29"/>
  <c r="H18" i="29"/>
  <c r="H11" i="29"/>
  <c r="H15" i="29"/>
  <c r="H12" i="29"/>
  <c r="H14" i="29"/>
  <c r="H16" i="29"/>
  <c r="H13" i="29"/>
  <c r="Q46" i="30"/>
  <c r="O27" i="29"/>
  <c r="H47" i="30" l="1"/>
  <c r="G28" i="29"/>
  <c r="O28" i="29"/>
  <c r="Q47" i="30"/>
  <c r="H48" i="30" l="1"/>
  <c r="G29" i="29"/>
  <c r="O29" i="29"/>
  <c r="Q48" i="30"/>
  <c r="H49" i="30" l="1"/>
  <c r="G30" i="29"/>
  <c r="O30" i="29"/>
  <c r="Q49" i="30"/>
  <c r="H50" i="30" l="1"/>
  <c r="G31" i="29"/>
  <c r="O31" i="29"/>
  <c r="Q50" i="30"/>
  <c r="H51" i="30" l="1"/>
  <c r="G32" i="29"/>
  <c r="O32" i="29"/>
  <c r="Q51" i="30"/>
  <c r="H52" i="30" l="1"/>
  <c r="G33" i="29"/>
  <c r="O33" i="29"/>
  <c r="Q52" i="30"/>
  <c r="H53" i="30" l="1"/>
  <c r="G34" i="29"/>
  <c r="O34" i="29"/>
  <c r="Q53" i="30"/>
  <c r="H54" i="30" l="1"/>
  <c r="G35" i="29"/>
  <c r="O35" i="29"/>
  <c r="Q54" i="30"/>
  <c r="H55" i="30" l="1"/>
  <c r="G36" i="29"/>
  <c r="O36" i="29"/>
  <c r="Q55" i="30"/>
  <c r="H56" i="30" l="1"/>
  <c r="G37" i="29"/>
  <c r="O37" i="29"/>
  <c r="Q56" i="30"/>
  <c r="H57" i="30" l="1"/>
  <c r="G38" i="29"/>
  <c r="Q57" i="30"/>
  <c r="O38" i="29"/>
  <c r="H58" i="30" l="1"/>
  <c r="G39" i="29"/>
  <c r="O39" i="29"/>
  <c r="Q58" i="30"/>
  <c r="H59" i="30" l="1"/>
  <c r="G40" i="29"/>
  <c r="G41" i="29"/>
  <c r="Q59" i="30"/>
  <c r="O41" i="29"/>
  <c r="O40" i="29"/>
  <c r="H60" i="30" l="1"/>
  <c r="G42" i="29"/>
  <c r="O42" i="29"/>
  <c r="Q60" i="30"/>
  <c r="H61" i="30" l="1"/>
  <c r="G43" i="29"/>
  <c r="O43" i="29"/>
  <c r="Q61" i="30"/>
  <c r="H62" i="30" l="1"/>
  <c r="G44" i="29"/>
  <c r="O44" i="29"/>
  <c r="Q62" i="30"/>
  <c r="H63" i="30" l="1"/>
  <c r="G45" i="29"/>
  <c r="Q63" i="30"/>
  <c r="O45" i="29"/>
  <c r="H64" i="30" l="1"/>
  <c r="G46" i="29"/>
  <c r="O46" i="29"/>
  <c r="Q64" i="30"/>
  <c r="H65" i="30" l="1"/>
  <c r="G47" i="29"/>
  <c r="O47" i="29"/>
  <c r="Q65" i="30"/>
  <c r="H66" i="30" l="1"/>
  <c r="G48" i="29"/>
  <c r="O48" i="29"/>
  <c r="Q66" i="30"/>
  <c r="H67" i="30" l="1"/>
  <c r="G49" i="29"/>
  <c r="O49" i="29"/>
  <c r="Q67" i="30"/>
  <c r="H68" i="30" l="1"/>
  <c r="G50" i="29"/>
  <c r="O50" i="29"/>
  <c r="Q68" i="30"/>
  <c r="H69" i="30" l="1"/>
  <c r="G51" i="29"/>
  <c r="O51" i="29"/>
  <c r="Q69" i="30"/>
  <c r="H70" i="30" l="1"/>
  <c r="G52" i="29"/>
  <c r="O52" i="29"/>
  <c r="Q70" i="30"/>
  <c r="H71" i="30" l="1"/>
  <c r="G53" i="29"/>
  <c r="O53" i="29"/>
  <c r="Q71" i="30"/>
  <c r="H72" i="30" l="1"/>
  <c r="G54" i="29"/>
  <c r="O54" i="29"/>
  <c r="Q72" i="30"/>
  <c r="H73" i="30" l="1"/>
  <c r="G55" i="29"/>
  <c r="O55" i="29"/>
  <c r="Q73" i="30"/>
  <c r="H74" i="30" l="1"/>
  <c r="G56" i="29"/>
  <c r="O56" i="29"/>
  <c r="Q74" i="30"/>
  <c r="H75" i="30" l="1"/>
  <c r="G57" i="29"/>
  <c r="O57" i="29"/>
  <c r="Q75" i="30"/>
  <c r="H76" i="30" l="1"/>
  <c r="G58" i="29"/>
  <c r="O58" i="29"/>
  <c r="Q76" i="30"/>
  <c r="H77" i="30" l="1"/>
  <c r="G59" i="29"/>
  <c r="Q77" i="30"/>
  <c r="O59" i="29"/>
  <c r="H78" i="30" l="1"/>
  <c r="G60" i="29"/>
  <c r="Q78" i="30"/>
  <c r="O60" i="29"/>
  <c r="H79" i="30" l="1"/>
  <c r="G61" i="29"/>
  <c r="O61" i="29"/>
  <c r="Q79" i="30"/>
  <c r="H80" i="30" l="1"/>
  <c r="G62" i="29"/>
  <c r="O62" i="29"/>
  <c r="Q80" i="30"/>
  <c r="H81" i="30" l="1"/>
  <c r="G63" i="29"/>
  <c r="O63" i="29"/>
  <c r="Q81" i="30"/>
  <c r="H82" i="30" l="1"/>
  <c r="G64" i="29"/>
  <c r="O64" i="29"/>
  <c r="Q82" i="30"/>
  <c r="H83" i="30" l="1"/>
  <c r="G65" i="29"/>
  <c r="O65" i="29"/>
  <c r="Q83" i="30"/>
  <c r="H84" i="30" l="1"/>
  <c r="G66" i="29"/>
  <c r="O66" i="29"/>
  <c r="Q84" i="30"/>
  <c r="H85" i="30" l="1"/>
  <c r="G67" i="29"/>
  <c r="O67" i="29"/>
  <c r="Q85" i="30"/>
  <c r="H86" i="30" l="1"/>
  <c r="G68" i="29"/>
  <c r="O68" i="29"/>
  <c r="Q86" i="30"/>
  <c r="H87" i="30" l="1"/>
  <c r="G69" i="29"/>
  <c r="O69" i="29"/>
  <c r="Q87" i="30"/>
  <c r="H88" i="30" l="1"/>
  <c r="G70" i="29"/>
  <c r="O70" i="29"/>
  <c r="Q88" i="30"/>
  <c r="H89" i="30" l="1"/>
  <c r="G71" i="29"/>
  <c r="O71" i="29"/>
  <c r="Q89" i="30"/>
  <c r="H90" i="30" l="1"/>
  <c r="G72" i="29"/>
  <c r="O72" i="29"/>
  <c r="Q90" i="30"/>
  <c r="H91" i="30" l="1"/>
  <c r="G73" i="29"/>
  <c r="O73" i="29"/>
  <c r="Q91" i="30"/>
  <c r="H92" i="30" l="1"/>
  <c r="G74" i="29"/>
  <c r="O74" i="29"/>
  <c r="Q92" i="30"/>
  <c r="H93" i="30" l="1"/>
  <c r="G75" i="29"/>
  <c r="O75" i="29"/>
  <c r="Q93" i="30"/>
  <c r="H94" i="30" l="1"/>
  <c r="G76" i="29"/>
  <c r="O76" i="29"/>
  <c r="Q94" i="30"/>
  <c r="H95" i="30" l="1"/>
  <c r="G77" i="29"/>
  <c r="O77" i="29"/>
  <c r="Q95" i="30"/>
  <c r="H96" i="30" l="1"/>
  <c r="G78" i="29"/>
  <c r="O78" i="29"/>
  <c r="Q96" i="30"/>
  <c r="H97" i="30" l="1"/>
  <c r="G79" i="29"/>
  <c r="O79" i="29"/>
  <c r="Q97" i="30"/>
  <c r="H98" i="30" l="1"/>
  <c r="G80" i="29"/>
  <c r="O80" i="29"/>
  <c r="Q98" i="30"/>
  <c r="H99" i="30" l="1"/>
  <c r="G81" i="29"/>
  <c r="O81" i="29"/>
  <c r="Q99" i="30"/>
  <c r="H100" i="30" l="1"/>
  <c r="G82" i="29"/>
  <c r="O82" i="29"/>
  <c r="Q100" i="30"/>
  <c r="H101" i="30" l="1"/>
  <c r="G83" i="29"/>
  <c r="O83" i="29"/>
  <c r="Q101" i="30"/>
  <c r="H102" i="30" l="1"/>
  <c r="G84" i="29"/>
  <c r="O84" i="29"/>
  <c r="Q102" i="30"/>
  <c r="H103" i="30" l="1"/>
  <c r="G85" i="29"/>
  <c r="O85" i="29"/>
  <c r="Q103" i="30"/>
  <c r="H104" i="30" l="1"/>
  <c r="G86" i="29"/>
  <c r="O86" i="29"/>
  <c r="Q104" i="30"/>
  <c r="H105" i="30" l="1"/>
  <c r="G87" i="29"/>
  <c r="O87" i="29"/>
  <c r="Q105" i="30"/>
  <c r="H106" i="30" l="1"/>
  <c r="G88" i="29"/>
  <c r="O88" i="29"/>
  <c r="Q106" i="30"/>
  <c r="H107" i="30" l="1"/>
  <c r="G89" i="29"/>
  <c r="O89" i="29"/>
  <c r="Q107" i="30"/>
  <c r="H108" i="30" l="1"/>
  <c r="G90" i="29"/>
  <c r="O90" i="29"/>
  <c r="Q108" i="30"/>
  <c r="H109" i="30" l="1"/>
  <c r="G91" i="29"/>
  <c r="O91" i="29"/>
  <c r="Q109" i="30"/>
  <c r="H110" i="30" l="1"/>
  <c r="G92" i="29"/>
  <c r="O92" i="29"/>
  <c r="Q110" i="30"/>
  <c r="H111" i="30" l="1"/>
  <c r="G93" i="29"/>
  <c r="O93" i="29"/>
  <c r="Q111" i="30"/>
  <c r="H112" i="30" l="1"/>
  <c r="G94" i="29"/>
  <c r="O94" i="29"/>
  <c r="Q112" i="30"/>
  <c r="H113" i="30" l="1"/>
  <c r="G95" i="29"/>
  <c r="O95" i="29"/>
  <c r="Q113" i="30"/>
  <c r="H114" i="30" l="1"/>
  <c r="G96" i="29"/>
  <c r="O96" i="29"/>
  <c r="Q114" i="30"/>
  <c r="H115" i="30" l="1"/>
  <c r="G97" i="29"/>
  <c r="O97" i="29"/>
  <c r="Q115" i="30"/>
  <c r="H116" i="30" l="1"/>
  <c r="G98" i="29"/>
  <c r="O98" i="29"/>
  <c r="Q116" i="30"/>
  <c r="H117" i="30" l="1"/>
  <c r="G99" i="29"/>
  <c r="O99" i="29"/>
  <c r="Q117" i="30"/>
  <c r="H118" i="30" l="1"/>
  <c r="G100" i="29"/>
  <c r="O100" i="29"/>
  <c r="Q118" i="30"/>
  <c r="H119" i="30" l="1"/>
  <c r="G101" i="29"/>
  <c r="O101" i="29"/>
  <c r="Q119" i="30"/>
  <c r="H120" i="30" l="1"/>
  <c r="G102" i="29"/>
  <c r="O102" i="29"/>
  <c r="Q120" i="30"/>
  <c r="H121" i="30" l="1"/>
  <c r="G103" i="29"/>
  <c r="O103" i="29"/>
  <c r="Q121" i="30"/>
  <c r="H122" i="30" l="1"/>
  <c r="G104" i="29"/>
  <c r="O104" i="29"/>
  <c r="Q122" i="30"/>
  <c r="H123" i="30" l="1"/>
  <c r="G105" i="29"/>
  <c r="O105" i="29"/>
  <c r="Q123" i="30"/>
  <c r="H124" i="30" l="1"/>
  <c r="G106" i="29"/>
  <c r="O106" i="29"/>
  <c r="Q124" i="30"/>
  <c r="H125" i="30" l="1"/>
  <c r="G107" i="29"/>
  <c r="O107" i="29"/>
  <c r="Q125" i="30"/>
  <c r="H126" i="30" l="1"/>
  <c r="G108" i="29"/>
  <c r="O108" i="29"/>
  <c r="Q126" i="30"/>
  <c r="H127" i="30" l="1"/>
  <c r="G109" i="29"/>
  <c r="O109" i="29"/>
  <c r="Q127" i="30"/>
  <c r="H128" i="30" l="1"/>
  <c r="G110" i="29"/>
  <c r="O110" i="29"/>
  <c r="Q128" i="30"/>
  <c r="H129" i="30" l="1"/>
  <c r="G111" i="29"/>
  <c r="O111" i="29"/>
  <c r="Q129" i="30"/>
  <c r="H130" i="30" l="1"/>
  <c r="G112" i="29"/>
  <c r="O112" i="29"/>
  <c r="Q130" i="30"/>
  <c r="H131" i="30" l="1"/>
  <c r="G113" i="29"/>
  <c r="O113" i="29"/>
  <c r="Q131" i="30"/>
  <c r="H132" i="30" l="1"/>
  <c r="G114" i="29"/>
  <c r="O114" i="29"/>
  <c r="Q132" i="30"/>
  <c r="H133" i="30" l="1"/>
  <c r="G115" i="29"/>
  <c r="O115" i="29"/>
  <c r="Q133" i="30"/>
  <c r="H134" i="30" l="1"/>
  <c r="G116" i="29"/>
  <c r="O116" i="29"/>
  <c r="Q134" i="30"/>
  <c r="H135" i="30" l="1"/>
  <c r="G117" i="29"/>
  <c r="O117" i="29"/>
  <c r="Q135" i="30"/>
  <c r="H136" i="30" l="1"/>
  <c r="G118" i="29"/>
  <c r="O118" i="29"/>
  <c r="Q136" i="30"/>
  <c r="H137" i="30" l="1"/>
  <c r="G119" i="29"/>
  <c r="O119" i="29"/>
  <c r="Q137" i="30"/>
  <c r="G120" i="29" l="1"/>
  <c r="O120" i="29"/>
  <c r="G121" i="29" l="1"/>
  <c r="O121" i="29"/>
  <c r="G122" i="29" l="1"/>
  <c r="O122" i="29"/>
  <c r="G123" i="29" l="1"/>
  <c r="O123" i="29"/>
  <c r="G124" i="29" l="1"/>
  <c r="O124" i="29"/>
  <c r="G125" i="29" l="1"/>
  <c r="O125" i="29"/>
  <c r="G126" i="29" l="1"/>
  <c r="O126" i="29"/>
  <c r="G127" i="29" l="1"/>
  <c r="O127" i="29"/>
  <c r="G128" i="29" l="1"/>
  <c r="O128" i="29"/>
  <c r="G129" i="29" l="1"/>
  <c r="O129" i="29"/>
  <c r="G130" i="29" l="1"/>
  <c r="O130" i="29"/>
  <c r="G131" i="29" l="1"/>
  <c r="O131" i="29"/>
  <c r="G132" i="29" l="1"/>
  <c r="O132" i="29"/>
  <c r="G133" i="29" l="1"/>
  <c r="O133" i="29"/>
  <c r="G134" i="29" l="1"/>
  <c r="O134" i="29"/>
  <c r="G135" i="29" l="1"/>
  <c r="O135" i="29"/>
  <c r="G136" i="29" l="1"/>
  <c r="O136" i="29"/>
  <c r="G137" i="29" l="1"/>
  <c r="O137" i="29"/>
  <c r="R14" i="27" l="1"/>
  <c r="G10" i="27"/>
  <c r="N10" i="27" l="1"/>
  <c r="F22" i="27"/>
  <c r="F23" i="27" l="1"/>
  <c r="F24" i="27" l="1"/>
  <c r="F25" i="27" l="1"/>
  <c r="F26" i="27" l="1"/>
  <c r="F27" i="27" l="1"/>
  <c r="F28" i="27" l="1"/>
  <c r="F29" i="27" l="1"/>
  <c r="F20" i="27"/>
  <c r="F30" i="27" l="1"/>
  <c r="F31" i="27" l="1"/>
  <c r="F32" i="27" l="1"/>
  <c r="F33" i="27" l="1"/>
  <c r="F19" i="27"/>
  <c r="F34" i="27" l="1"/>
  <c r="F35" i="27" l="1"/>
  <c r="F36" i="27" l="1"/>
  <c r="F37" i="27" l="1"/>
  <c r="F16" i="27"/>
  <c r="J10" i="27"/>
  <c r="F38" i="27" l="1"/>
  <c r="F39" i="27" l="1"/>
  <c r="F40" i="27" l="1"/>
  <c r="F41" i="27" l="1"/>
  <c r="F42" i="27" l="1"/>
  <c r="F43" i="27" l="1"/>
  <c r="F44" i="27" l="1"/>
  <c r="F45" i="27" l="1"/>
  <c r="F46" i="27" l="1"/>
  <c r="F47" i="27" l="1"/>
  <c r="F48" i="27" l="1"/>
  <c r="F49" i="27" l="1"/>
  <c r="F50" i="27" l="1"/>
  <c r="F51" i="27" l="1"/>
  <c r="F52" i="27" l="1"/>
  <c r="F53" i="27" l="1"/>
  <c r="F54" i="27" l="1"/>
  <c r="F55" i="27" l="1"/>
  <c r="I10" i="7"/>
  <c r="F56" i="27" l="1"/>
  <c r="F57" i="27" l="1"/>
  <c r="F58" i="27" l="1"/>
  <c r="F59" i="27" l="1"/>
  <c r="F60" i="27" l="1"/>
  <c r="F61" i="27" l="1"/>
  <c r="F62" i="27" l="1"/>
  <c r="F63" i="27" l="1"/>
  <c r="F64" i="27" l="1"/>
  <c r="F65" i="27" l="1"/>
  <c r="F66" i="27" l="1"/>
  <c r="F67" i="27" l="1"/>
  <c r="F68" i="27" l="1"/>
  <c r="F69" i="27" l="1"/>
  <c r="F70" i="27" l="1"/>
  <c r="F71" i="27" l="1"/>
  <c r="F72" i="27" l="1"/>
  <c r="F73" i="27" l="1"/>
  <c r="F74" i="27" l="1"/>
  <c r="F75" i="27" l="1"/>
  <c r="F76" i="27" l="1"/>
  <c r="F77" i="27" l="1"/>
  <c r="F78" i="27" l="1"/>
  <c r="F79" i="27" l="1"/>
  <c r="F80" i="27" l="1"/>
  <c r="F81" i="27" l="1"/>
  <c r="F82" i="27" l="1"/>
  <c r="F83" i="27" l="1"/>
  <c r="F84" i="27" l="1"/>
  <c r="F85" i="27" l="1"/>
  <c r="F86" i="27" l="1"/>
  <c r="F87" i="27" l="1"/>
  <c r="F88" i="27" l="1"/>
  <c r="F89" i="27" l="1"/>
  <c r="F90" i="27" l="1"/>
  <c r="F91" i="27" l="1"/>
  <c r="F92" i="27" l="1"/>
  <c r="F93" i="27" l="1"/>
  <c r="F94" i="27" l="1"/>
  <c r="F95" i="27" l="1"/>
  <c r="F96" i="27" l="1"/>
  <c r="F97" i="27" l="1"/>
  <c r="F98" i="27" l="1"/>
  <c r="F99" i="27" l="1"/>
  <c r="X12" i="23"/>
  <c r="X13" i="23"/>
  <c r="X14" i="23"/>
  <c r="X15" i="23"/>
  <c r="X16" i="23"/>
  <c r="X17" i="23"/>
  <c r="X18" i="23"/>
  <c r="X19" i="23"/>
  <c r="X20" i="23"/>
  <c r="X21" i="23"/>
  <c r="X22" i="23"/>
  <c r="X23" i="23"/>
  <c r="X24" i="23"/>
  <c r="X25" i="23"/>
  <c r="X26" i="23"/>
  <c r="X27" i="23"/>
  <c r="X28" i="23"/>
  <c r="X29" i="23"/>
  <c r="X30" i="23"/>
  <c r="X31" i="23"/>
  <c r="X32" i="23"/>
  <c r="X33" i="23"/>
  <c r="X34" i="23"/>
  <c r="X35" i="23"/>
  <c r="X36" i="23"/>
  <c r="X37" i="23"/>
  <c r="X38" i="23"/>
  <c r="X39" i="23"/>
  <c r="X40" i="23"/>
  <c r="X41" i="23"/>
  <c r="X42" i="23"/>
  <c r="X43" i="23"/>
  <c r="X44" i="23"/>
  <c r="X45" i="23"/>
  <c r="X46" i="23"/>
  <c r="X47" i="23"/>
  <c r="X48" i="23"/>
  <c r="X49" i="23"/>
  <c r="X50" i="23"/>
  <c r="X11" i="23"/>
  <c r="A32" i="23"/>
  <c r="A31" i="23"/>
  <c r="A30" i="23"/>
  <c r="A29" i="23"/>
  <c r="G28" i="23"/>
  <c r="A28" i="23"/>
  <c r="N28" i="23"/>
  <c r="F100" i="27" l="1"/>
  <c r="G29" i="23"/>
  <c r="N27" i="23"/>
  <c r="N29" i="23"/>
  <c r="F101" i="27" l="1"/>
  <c r="G30" i="23"/>
  <c r="K27" i="23"/>
  <c r="N30" i="23"/>
  <c r="F102" i="27" l="1"/>
  <c r="G31" i="23"/>
  <c r="N31" i="23"/>
  <c r="K31" i="23"/>
  <c r="F103" i="27" l="1"/>
  <c r="G32" i="23"/>
  <c r="A27" i="23"/>
  <c r="N32" i="23"/>
  <c r="F104" i="27" l="1"/>
  <c r="G33" i="23"/>
  <c r="N33" i="23"/>
  <c r="F105" i="27" l="1"/>
  <c r="G34" i="23"/>
  <c r="G26" i="23"/>
  <c r="A26" i="23"/>
  <c r="N34" i="23"/>
  <c r="F106" i="27" l="1"/>
  <c r="G35" i="23"/>
  <c r="N35" i="23"/>
  <c r="K35" i="23"/>
  <c r="F107" i="27" l="1"/>
  <c r="G36" i="23"/>
  <c r="G25" i="23"/>
  <c r="A25" i="23"/>
  <c r="N36" i="23"/>
  <c r="F108" i="27" l="1"/>
  <c r="G37" i="23"/>
  <c r="N37" i="23"/>
  <c r="F109" i="27" l="1"/>
  <c r="G38" i="23"/>
  <c r="N38" i="23"/>
  <c r="F110" i="27" l="1"/>
  <c r="G39" i="23"/>
  <c r="G24" i="23"/>
  <c r="A24" i="23"/>
  <c r="K39" i="23"/>
  <c r="N24" i="23"/>
  <c r="N39" i="23"/>
  <c r="F111" i="27" l="1"/>
  <c r="G40" i="23"/>
  <c r="N40" i="23"/>
  <c r="F112" i="27" l="1"/>
  <c r="G41" i="23"/>
  <c r="G23" i="23"/>
  <c r="A23" i="23"/>
  <c r="N41" i="23"/>
  <c r="F113" i="27" l="1"/>
  <c r="G42" i="23"/>
  <c r="N42" i="23"/>
  <c r="F114" i="27" l="1"/>
  <c r="G43" i="23"/>
  <c r="G22" i="23"/>
  <c r="A22" i="23"/>
  <c r="N43" i="23"/>
  <c r="K43" i="23"/>
  <c r="F115" i="27" l="1"/>
  <c r="G44" i="23"/>
  <c r="N44" i="23"/>
  <c r="F116" i="27" l="1"/>
  <c r="G45" i="23"/>
  <c r="M21" i="23"/>
  <c r="N45" i="23"/>
  <c r="F117" i="27" l="1"/>
  <c r="G46" i="23"/>
  <c r="G21" i="23"/>
  <c r="A21" i="23"/>
  <c r="N46" i="23"/>
  <c r="N21" i="23"/>
  <c r="F118" i="27" l="1"/>
  <c r="G47" i="23"/>
  <c r="K47" i="23"/>
  <c r="N47" i="23"/>
  <c r="F119" i="27" l="1"/>
  <c r="G48" i="23"/>
  <c r="G20" i="23"/>
  <c r="A20" i="23"/>
  <c r="N48" i="23"/>
  <c r="F120" i="27" l="1"/>
  <c r="G49" i="23"/>
  <c r="N49" i="23"/>
  <c r="F121" i="27" l="1"/>
  <c r="G50" i="23"/>
  <c r="G19" i="23"/>
  <c r="A19" i="23"/>
  <c r="N50" i="23"/>
  <c r="F122" i="27" l="1"/>
  <c r="G51" i="23"/>
  <c r="O18" i="23"/>
  <c r="N51" i="23"/>
  <c r="K51" i="23"/>
  <c r="L16" i="31" l="1"/>
  <c r="W11" i="31" s="1"/>
  <c r="K16" i="30"/>
  <c r="AA11" i="30" s="1"/>
  <c r="L16" i="27"/>
  <c r="W11" i="27" s="1"/>
  <c r="Z11" i="23"/>
  <c r="F123" i="27"/>
  <c r="G52" i="23"/>
  <c r="N52" i="23"/>
  <c r="F124" i="27" l="1"/>
  <c r="G53" i="23"/>
  <c r="G18" i="23"/>
  <c r="A18" i="23"/>
  <c r="N18" i="23"/>
  <c r="N53" i="23"/>
  <c r="F125" i="27" l="1"/>
  <c r="G54" i="23"/>
  <c r="N54" i="23"/>
  <c r="F126" i="27" l="1"/>
  <c r="G55" i="23"/>
  <c r="G17" i="23"/>
  <c r="A17" i="23"/>
  <c r="H20" i="23"/>
  <c r="H47" i="23"/>
  <c r="K55" i="23"/>
  <c r="H33" i="23"/>
  <c r="H35" i="23"/>
  <c r="H49" i="23"/>
  <c r="H32" i="23"/>
  <c r="H36" i="23"/>
  <c r="H41" i="23"/>
  <c r="H26" i="23"/>
  <c r="H37" i="23"/>
  <c r="H18" i="23"/>
  <c r="H25" i="23"/>
  <c r="H50" i="23"/>
  <c r="H27" i="23"/>
  <c r="H45" i="23"/>
  <c r="H53" i="23"/>
  <c r="H22" i="23"/>
  <c r="H48" i="23"/>
  <c r="H40" i="23"/>
  <c r="H43" i="23"/>
  <c r="H46" i="23"/>
  <c r="H39" i="23"/>
  <c r="H17" i="23"/>
  <c r="H31" i="23"/>
  <c r="H34" i="23"/>
  <c r="H30" i="23"/>
  <c r="H21" i="23"/>
  <c r="H19" i="23"/>
  <c r="H42" i="23"/>
  <c r="H23" i="23"/>
  <c r="H55" i="23"/>
  <c r="H52" i="23"/>
  <c r="N55" i="23"/>
  <c r="H51" i="23"/>
  <c r="H29" i="23"/>
  <c r="H38" i="23"/>
  <c r="H44" i="23"/>
  <c r="H24" i="23"/>
  <c r="H54" i="23"/>
  <c r="H28" i="23"/>
  <c r="F127" i="27" l="1"/>
  <c r="I26" i="23"/>
  <c r="R26" i="23" s="1"/>
  <c r="I25" i="23"/>
  <c r="R25" i="23" s="1"/>
  <c r="I24" i="23"/>
  <c r="I23" i="23"/>
  <c r="R23" i="23" s="1"/>
  <c r="I22" i="23"/>
  <c r="R22" i="23" s="1"/>
  <c r="I21" i="23"/>
  <c r="I20" i="23"/>
  <c r="I19" i="23"/>
  <c r="I18" i="23"/>
  <c r="I27" i="23"/>
  <c r="I17" i="23"/>
  <c r="G56" i="23"/>
  <c r="N56" i="23"/>
  <c r="H56" i="23"/>
  <c r="F128" i="27" l="1"/>
  <c r="R19" i="23"/>
  <c r="R17" i="23"/>
  <c r="R20" i="23"/>
  <c r="R27" i="23"/>
  <c r="J27" i="23"/>
  <c r="R21" i="23"/>
  <c r="L21" i="23"/>
  <c r="I29" i="23"/>
  <c r="G57" i="23"/>
  <c r="R18" i="23"/>
  <c r="P18" i="23"/>
  <c r="P21" i="23" s="1"/>
  <c r="P24" i="23" s="1"/>
  <c r="P27" i="23" s="1"/>
  <c r="Q18" i="23"/>
  <c r="I28" i="23"/>
  <c r="R24" i="23"/>
  <c r="I30" i="23"/>
  <c r="G16" i="23"/>
  <c r="H57" i="23"/>
  <c r="H16" i="23"/>
  <c r="N57" i="23"/>
  <c r="F129" i="27" l="1"/>
  <c r="R30" i="23"/>
  <c r="R29" i="23"/>
  <c r="R28" i="23"/>
  <c r="M27" i="23"/>
  <c r="L27" i="23" s="1"/>
  <c r="I16" i="23"/>
  <c r="I31" i="23"/>
  <c r="G58" i="23"/>
  <c r="O21" i="23"/>
  <c r="P28" i="23"/>
  <c r="P29" i="23" s="1"/>
  <c r="P30" i="23" s="1"/>
  <c r="H58" i="23"/>
  <c r="N58" i="23"/>
  <c r="K19" i="30" l="1"/>
  <c r="L19" i="31"/>
  <c r="L19" i="27"/>
  <c r="F130" i="27"/>
  <c r="R16" i="23"/>
  <c r="Q21" i="23"/>
  <c r="O27" i="23" s="1"/>
  <c r="Z12" i="23"/>
  <c r="R31" i="23"/>
  <c r="G59" i="23"/>
  <c r="P31" i="23"/>
  <c r="J31" i="23"/>
  <c r="M31" i="23" s="1"/>
  <c r="M29" i="23" s="1"/>
  <c r="L29" i="23" s="1"/>
  <c r="G15" i="23"/>
  <c r="L21" i="27"/>
  <c r="N59" i="23"/>
  <c r="L21" i="31"/>
  <c r="AA12" i="30"/>
  <c r="H59" i="23"/>
  <c r="H15" i="23"/>
  <c r="K59" i="23"/>
  <c r="Z14" i="23"/>
  <c r="K21" i="30"/>
  <c r="W12" i="31"/>
  <c r="W12" i="27"/>
  <c r="F131" i="27" l="1"/>
  <c r="O24" i="23"/>
  <c r="I15" i="23"/>
  <c r="L31" i="23"/>
  <c r="I35" i="23"/>
  <c r="G60" i="23"/>
  <c r="N60" i="23"/>
  <c r="I34" i="23"/>
  <c r="H60" i="23"/>
  <c r="I32" i="23"/>
  <c r="I33" i="23"/>
  <c r="K20" i="30" l="1"/>
  <c r="L20" i="31"/>
  <c r="L20" i="27"/>
  <c r="F132" i="27"/>
  <c r="R15" i="23"/>
  <c r="Z13" i="23"/>
  <c r="Q24" i="23"/>
  <c r="Q27" i="23" s="1"/>
  <c r="R32" i="23"/>
  <c r="P32" i="23"/>
  <c r="P33" i="23" s="1"/>
  <c r="P34" i="23" s="1"/>
  <c r="P35" i="23" s="1"/>
  <c r="R33" i="23"/>
  <c r="R34" i="23"/>
  <c r="R35" i="23"/>
  <c r="G61" i="23"/>
  <c r="J35" i="23"/>
  <c r="M35" i="23" s="1"/>
  <c r="M33" i="23" s="1"/>
  <c r="L33" i="23" s="1"/>
  <c r="L35" i="23" s="1"/>
  <c r="G14" i="23"/>
  <c r="H61" i="23"/>
  <c r="H14" i="23"/>
  <c r="AA13" i="30"/>
  <c r="N61" i="23"/>
  <c r="W13" i="31"/>
  <c r="F133" i="27" l="1"/>
  <c r="O29" i="23"/>
  <c r="I14" i="23"/>
  <c r="I39" i="23"/>
  <c r="G62" i="23"/>
  <c r="I38" i="23"/>
  <c r="N62" i="23"/>
  <c r="I36" i="23"/>
  <c r="H62" i="23"/>
  <c r="I37" i="23"/>
  <c r="F134" i="27" l="1"/>
  <c r="R14" i="23"/>
  <c r="J39" i="23"/>
  <c r="M39" i="23" s="1"/>
  <c r="M37" i="23" s="1"/>
  <c r="L37" i="23" s="1"/>
  <c r="L39" i="23" s="1"/>
  <c r="O28" i="23"/>
  <c r="R36" i="23"/>
  <c r="P36" i="23"/>
  <c r="P37" i="23" s="1"/>
  <c r="P38" i="23" s="1"/>
  <c r="P39" i="23" s="1"/>
  <c r="R37" i="23"/>
  <c r="R38" i="23"/>
  <c r="G63" i="23"/>
  <c r="R39" i="23"/>
  <c r="H63" i="23"/>
  <c r="K63" i="23"/>
  <c r="N63" i="23"/>
  <c r="I43" i="23" l="1"/>
  <c r="F135" i="27"/>
  <c r="Q28" i="23"/>
  <c r="Q29" i="23" s="1"/>
  <c r="O31" i="23" s="1"/>
  <c r="G64" i="23"/>
  <c r="G13" i="23"/>
  <c r="I41" i="23"/>
  <c r="N64" i="23"/>
  <c r="I42" i="23"/>
  <c r="H64" i="23"/>
  <c r="I40" i="23"/>
  <c r="H13" i="23"/>
  <c r="R42" i="23" l="1"/>
  <c r="R40" i="23"/>
  <c r="P40" i="23"/>
  <c r="P41" i="23" s="1"/>
  <c r="P42" i="23" s="1"/>
  <c r="P43" i="23" s="1"/>
  <c r="R41" i="23"/>
  <c r="J43" i="23"/>
  <c r="M43" i="23" s="1"/>
  <c r="M41" i="23" s="1"/>
  <c r="L41" i="23" s="1"/>
  <c r="L43" i="23" s="1"/>
  <c r="R43" i="23"/>
  <c r="F136" i="27"/>
  <c r="O30" i="23"/>
  <c r="I13" i="23"/>
  <c r="G65" i="23"/>
  <c r="H65" i="23"/>
  <c r="N65" i="23"/>
  <c r="I47" i="23" l="1"/>
  <c r="F137" i="27"/>
  <c r="R13" i="23"/>
  <c r="Q30" i="23"/>
  <c r="Q31" i="23" s="1"/>
  <c r="O33" i="23" s="1"/>
  <c r="G66" i="23"/>
  <c r="I46" i="23"/>
  <c r="I45" i="23"/>
  <c r="I44" i="23"/>
  <c r="N66" i="23"/>
  <c r="H66" i="23"/>
  <c r="J47" i="23" l="1"/>
  <c r="M47" i="23" s="1"/>
  <c r="M45" i="23" s="1"/>
  <c r="L45" i="23" s="1"/>
  <c r="L47" i="23" s="1"/>
  <c r="R46" i="23"/>
  <c r="P44" i="23"/>
  <c r="P45" i="23" s="1"/>
  <c r="P46" i="23" s="1"/>
  <c r="P47" i="23" s="1"/>
  <c r="R44" i="23"/>
  <c r="R45" i="23"/>
  <c r="R47" i="23"/>
  <c r="O32" i="23"/>
  <c r="G67" i="23"/>
  <c r="G12" i="23"/>
  <c r="H12" i="23"/>
  <c r="H67" i="23"/>
  <c r="K67" i="23"/>
  <c r="N67" i="23"/>
  <c r="I51" i="23" l="1"/>
  <c r="R51" i="23" s="1"/>
  <c r="Q32" i="23"/>
  <c r="Q33" i="23" s="1"/>
  <c r="O35" i="23" s="1"/>
  <c r="I12" i="23"/>
  <c r="R12" i="23" s="1"/>
  <c r="G68" i="23"/>
  <c r="I50" i="23"/>
  <c r="N68" i="23"/>
  <c r="H68" i="23"/>
  <c r="I48" i="23"/>
  <c r="I49" i="23"/>
  <c r="R50" i="23" l="1"/>
  <c r="R48" i="23"/>
  <c r="P48" i="23"/>
  <c r="P49" i="23" s="1"/>
  <c r="P50" i="23" s="1"/>
  <c r="P51" i="23" s="1"/>
  <c r="R49" i="23"/>
  <c r="J51" i="23"/>
  <c r="M51" i="23" s="1"/>
  <c r="M49" i="23" s="1"/>
  <c r="L49" i="23" s="1"/>
  <c r="L51" i="23" s="1"/>
  <c r="O34" i="23"/>
  <c r="G69" i="23"/>
  <c r="N69" i="23"/>
  <c r="H69" i="23"/>
  <c r="I55" i="23" l="1"/>
  <c r="J55" i="23" s="1"/>
  <c r="Q34" i="23"/>
  <c r="Q35" i="23" s="1"/>
  <c r="O37" i="23" s="1"/>
  <c r="G70" i="23"/>
  <c r="G11" i="23"/>
  <c r="I52" i="23"/>
  <c r="N70" i="23"/>
  <c r="H70" i="23"/>
  <c r="I53" i="23"/>
  <c r="I54" i="23"/>
  <c r="H11" i="23"/>
  <c r="R55" i="23" l="1"/>
  <c r="R53" i="23"/>
  <c r="R54" i="23"/>
  <c r="R52" i="23"/>
  <c r="P52" i="23"/>
  <c r="P53" i="23" s="1"/>
  <c r="P54" i="23" s="1"/>
  <c r="P55" i="23" s="1"/>
  <c r="M55" i="23"/>
  <c r="M53" i="23" s="1"/>
  <c r="L53" i="23" s="1"/>
  <c r="L55" i="23" s="1"/>
  <c r="I59" i="23"/>
  <c r="R59" i="23" s="1"/>
  <c r="O36" i="23"/>
  <c r="I11" i="23"/>
  <c r="R11" i="23" s="1"/>
  <c r="R10" i="23" s="1"/>
  <c r="G71" i="23"/>
  <c r="I57" i="23"/>
  <c r="H71" i="23"/>
  <c r="K71" i="23"/>
  <c r="N71" i="23"/>
  <c r="I58" i="23"/>
  <c r="I56" i="23"/>
  <c r="J59" i="23" l="1"/>
  <c r="I63" i="23" s="1"/>
  <c r="R57" i="23"/>
  <c r="R58" i="23"/>
  <c r="P56" i="23"/>
  <c r="P57" i="23" s="1"/>
  <c r="P58" i="23" s="1"/>
  <c r="P59" i="23" s="1"/>
  <c r="R56" i="23"/>
  <c r="Q36" i="23"/>
  <c r="Q37" i="23" s="1"/>
  <c r="O39" i="23" s="1"/>
  <c r="G72" i="23"/>
  <c r="Y12" i="22"/>
  <c r="Y13" i="22"/>
  <c r="Y14" i="22"/>
  <c r="Y15" i="22"/>
  <c r="Y16" i="22"/>
  <c r="Y17" i="22"/>
  <c r="Y18" i="22"/>
  <c r="Y19" i="22"/>
  <c r="Y20" i="22"/>
  <c r="Y21" i="22"/>
  <c r="Y22" i="22"/>
  <c r="Y23" i="22"/>
  <c r="Y24" i="22"/>
  <c r="Y25" i="22"/>
  <c r="Y26" i="22"/>
  <c r="Y27" i="22"/>
  <c r="Y28" i="22"/>
  <c r="Y29" i="22"/>
  <c r="Y30" i="22"/>
  <c r="Y11" i="22"/>
  <c r="I60" i="23"/>
  <c r="N72" i="23"/>
  <c r="I61" i="23"/>
  <c r="I62" i="23"/>
  <c r="H72" i="23"/>
  <c r="M59" i="23" l="1"/>
  <c r="M57" i="23" s="1"/>
  <c r="L57" i="23" s="1"/>
  <c r="L59" i="23" s="1"/>
  <c r="O38" i="23"/>
  <c r="R60" i="23"/>
  <c r="P60" i="23"/>
  <c r="P61" i="23" s="1"/>
  <c r="P62" i="23" s="1"/>
  <c r="P63" i="23" s="1"/>
  <c r="R61" i="23"/>
  <c r="R62" i="23"/>
  <c r="R63" i="23"/>
  <c r="G73" i="23"/>
  <c r="J63" i="23"/>
  <c r="Q21" i="22"/>
  <c r="AA11" i="22" s="1"/>
  <c r="H73" i="23"/>
  <c r="N73" i="23"/>
  <c r="M63" i="23" l="1"/>
  <c r="M61" i="23" s="1"/>
  <c r="L61" i="23" s="1"/>
  <c r="L63" i="23" s="1"/>
  <c r="Q38" i="23"/>
  <c r="Q39" i="23" s="1"/>
  <c r="O41" i="23" s="1"/>
  <c r="I67" i="23"/>
  <c r="G74" i="23"/>
  <c r="I66" i="23"/>
  <c r="H74" i="23"/>
  <c r="N74" i="23"/>
  <c r="I65" i="23"/>
  <c r="I64" i="23"/>
  <c r="J67" i="23" l="1"/>
  <c r="M67" i="23" s="1"/>
  <c r="M65" i="23" s="1"/>
  <c r="L65" i="23" s="1"/>
  <c r="L67" i="23" s="1"/>
  <c r="O40" i="23"/>
  <c r="R64" i="23"/>
  <c r="P64" i="23"/>
  <c r="P65" i="23" s="1"/>
  <c r="P66" i="23" s="1"/>
  <c r="P67" i="23" s="1"/>
  <c r="R65" i="23"/>
  <c r="R66" i="23"/>
  <c r="G75" i="23"/>
  <c r="R67" i="23"/>
  <c r="K75" i="23"/>
  <c r="H75" i="23"/>
  <c r="N75" i="23"/>
  <c r="I71" i="23" l="1"/>
  <c r="Q40" i="23"/>
  <c r="Q41" i="23" s="1"/>
  <c r="O43" i="23" s="1"/>
  <c r="G76" i="23"/>
  <c r="N76" i="23"/>
  <c r="I68" i="23"/>
  <c r="I69" i="23"/>
  <c r="I70" i="23"/>
  <c r="H76" i="23"/>
  <c r="J71" i="23" l="1"/>
  <c r="I75" i="23" s="1"/>
  <c r="R75" i="23" s="1"/>
  <c r="R71" i="23"/>
  <c r="R69" i="23"/>
  <c r="R70" i="23"/>
  <c r="R68" i="23"/>
  <c r="P68" i="23"/>
  <c r="P69" i="23" s="1"/>
  <c r="P70" i="23" s="1"/>
  <c r="P71" i="23" s="1"/>
  <c r="O42" i="23"/>
  <c r="G77" i="23"/>
  <c r="I72" i="23"/>
  <c r="I73" i="23"/>
  <c r="H77" i="23"/>
  <c r="I74" i="23"/>
  <c r="N77" i="23"/>
  <c r="R74" i="23" l="1"/>
  <c r="R72" i="23"/>
  <c r="R73" i="23"/>
  <c r="P72" i="23"/>
  <c r="P73" i="23" s="1"/>
  <c r="P74" i="23" s="1"/>
  <c r="P75" i="23" s="1"/>
  <c r="J75" i="23"/>
  <c r="M71" i="23"/>
  <c r="M69" i="23" s="1"/>
  <c r="L69" i="23" s="1"/>
  <c r="L71" i="23" s="1"/>
  <c r="Q42" i="23"/>
  <c r="Q43" i="23" s="1"/>
  <c r="O45" i="23" s="1"/>
  <c r="G78" i="23"/>
  <c r="N78" i="23"/>
  <c r="H78" i="23"/>
  <c r="M75" i="23" l="1"/>
  <c r="M73" i="23" s="1"/>
  <c r="L73" i="23" s="1"/>
  <c r="L75" i="23" s="1"/>
  <c r="O44" i="23"/>
  <c r="G79" i="23"/>
  <c r="N79" i="23"/>
  <c r="K79" i="23"/>
  <c r="H79" i="23"/>
  <c r="Q44" i="23" l="1"/>
  <c r="Q45" i="23" s="1"/>
  <c r="O47" i="23" s="1"/>
  <c r="I79" i="23"/>
  <c r="G80" i="23"/>
  <c r="H80" i="23"/>
  <c r="I76" i="23"/>
  <c r="I78" i="23"/>
  <c r="N80" i="23"/>
  <c r="I77" i="23"/>
  <c r="O46" i="23" l="1"/>
  <c r="R76" i="23"/>
  <c r="P76" i="23"/>
  <c r="P77" i="23" s="1"/>
  <c r="P78" i="23" s="1"/>
  <c r="P79" i="23" s="1"/>
  <c r="R77" i="23"/>
  <c r="R78" i="23"/>
  <c r="G81" i="23"/>
  <c r="R79" i="23"/>
  <c r="J79" i="23"/>
  <c r="M79" i="23" s="1"/>
  <c r="M77" i="23" s="1"/>
  <c r="L77" i="23" s="1"/>
  <c r="L79" i="23" s="1"/>
  <c r="H81" i="23"/>
  <c r="N81" i="23"/>
  <c r="Q46" i="23" l="1"/>
  <c r="Q47" i="23" s="1"/>
  <c r="O49" i="23" s="1"/>
  <c r="G82" i="23"/>
  <c r="N82" i="23"/>
  <c r="H82" i="23"/>
  <c r="O48" i="23" l="1"/>
  <c r="G83" i="23"/>
  <c r="H83" i="23"/>
  <c r="K83" i="23"/>
  <c r="N83" i="23"/>
  <c r="Q48" i="23" l="1"/>
  <c r="Q49" i="23" s="1"/>
  <c r="O51" i="23" s="1"/>
  <c r="I83" i="23"/>
  <c r="G84" i="23"/>
  <c r="I82" i="23"/>
  <c r="I80" i="23"/>
  <c r="N84" i="23"/>
  <c r="H84" i="23"/>
  <c r="I81" i="23"/>
  <c r="O50" i="23" l="1"/>
  <c r="R80" i="23"/>
  <c r="P80" i="23"/>
  <c r="P81" i="23" s="1"/>
  <c r="P82" i="23" s="1"/>
  <c r="P83" i="23" s="1"/>
  <c r="R81" i="23"/>
  <c r="R82" i="23"/>
  <c r="R83" i="23"/>
  <c r="J83" i="23"/>
  <c r="M83" i="23" s="1"/>
  <c r="M81" i="23" s="1"/>
  <c r="L81" i="23" s="1"/>
  <c r="L83" i="23" s="1"/>
  <c r="G85" i="23"/>
  <c r="H85" i="23"/>
  <c r="N85" i="23"/>
  <c r="Q50" i="23" l="1"/>
  <c r="Q51" i="23" s="1"/>
  <c r="O53" i="23" s="1"/>
  <c r="G86" i="23"/>
  <c r="H86" i="23"/>
  <c r="N86" i="23"/>
  <c r="O52" i="23" l="1"/>
  <c r="G87" i="23"/>
  <c r="H87" i="23"/>
  <c r="N87" i="23"/>
  <c r="K87" i="23"/>
  <c r="Q52" i="23" l="1"/>
  <c r="Q53" i="23" s="1"/>
  <c r="O55" i="23" s="1"/>
  <c r="I87" i="23"/>
  <c r="G88" i="23"/>
  <c r="I84" i="23"/>
  <c r="N88" i="23"/>
  <c r="H88" i="23"/>
  <c r="I85" i="23"/>
  <c r="I86" i="23"/>
  <c r="O54" i="23" l="1"/>
  <c r="R84" i="23"/>
  <c r="P84" i="23"/>
  <c r="P85" i="23" s="1"/>
  <c r="P86" i="23" s="1"/>
  <c r="P87" i="23" s="1"/>
  <c r="R85" i="23"/>
  <c r="R86" i="23"/>
  <c r="G89" i="23"/>
  <c r="R87" i="23"/>
  <c r="J87" i="23"/>
  <c r="M87" i="23" s="1"/>
  <c r="M85" i="23" s="1"/>
  <c r="L85" i="23" s="1"/>
  <c r="L87" i="23" s="1"/>
  <c r="N89" i="23"/>
  <c r="H89" i="23"/>
  <c r="Q54" i="23" l="1"/>
  <c r="Q55" i="23" s="1"/>
  <c r="O57" i="23" s="1"/>
  <c r="G90" i="23"/>
  <c r="H90" i="23"/>
  <c r="N90" i="23"/>
  <c r="O56" i="23" l="1"/>
  <c r="G91" i="23"/>
  <c r="H91" i="23"/>
  <c r="N91" i="23"/>
  <c r="K91" i="23"/>
  <c r="Q56" i="23" l="1"/>
  <c r="Q57" i="23" s="1"/>
  <c r="O59" i="23" s="1"/>
  <c r="I91" i="23"/>
  <c r="G92" i="23"/>
  <c r="I89" i="23"/>
  <c r="I90" i="23"/>
  <c r="I88" i="23"/>
  <c r="H92" i="23"/>
  <c r="N92" i="23"/>
  <c r="O58" i="23" l="1"/>
  <c r="R88" i="23"/>
  <c r="P88" i="23"/>
  <c r="P89" i="23" s="1"/>
  <c r="P90" i="23" s="1"/>
  <c r="P91" i="23" s="1"/>
  <c r="R89" i="23"/>
  <c r="R90" i="23"/>
  <c r="R91" i="23"/>
  <c r="J91" i="23"/>
  <c r="M91" i="23" s="1"/>
  <c r="M89" i="23" s="1"/>
  <c r="L89" i="23" s="1"/>
  <c r="L91" i="23" s="1"/>
  <c r="G93" i="23"/>
  <c r="H93" i="23"/>
  <c r="N93" i="23"/>
  <c r="Q58" i="23" l="1"/>
  <c r="Q59" i="23" s="1"/>
  <c r="O61" i="23" s="1"/>
  <c r="G94" i="23"/>
  <c r="N94" i="23"/>
  <c r="H94" i="23"/>
  <c r="O60" i="23" l="1"/>
  <c r="G95" i="23"/>
  <c r="N95" i="23"/>
  <c r="K95" i="23"/>
  <c r="H95" i="23"/>
  <c r="Q60" i="23" l="1"/>
  <c r="Q61" i="23" s="1"/>
  <c r="O63" i="23" s="1"/>
  <c r="I95" i="23"/>
  <c r="G96" i="23"/>
  <c r="I93" i="23"/>
  <c r="I94" i="23"/>
  <c r="I92" i="23"/>
  <c r="N96" i="23"/>
  <c r="H96" i="23"/>
  <c r="O62" i="23" l="1"/>
  <c r="R92" i="23"/>
  <c r="P92" i="23"/>
  <c r="P93" i="23" s="1"/>
  <c r="P94" i="23" s="1"/>
  <c r="P95" i="23" s="1"/>
  <c r="R93" i="23"/>
  <c r="R94" i="23"/>
  <c r="R95" i="23"/>
  <c r="J95" i="23"/>
  <c r="M95" i="23" s="1"/>
  <c r="M93" i="23" s="1"/>
  <c r="L93" i="23" s="1"/>
  <c r="L95" i="23" s="1"/>
  <c r="G97" i="23"/>
  <c r="N97" i="23"/>
  <c r="H97" i="23"/>
  <c r="Q62" i="23" l="1"/>
  <c r="Q63" i="23" s="1"/>
  <c r="O65" i="23" s="1"/>
  <c r="G98" i="23"/>
  <c r="H98" i="23"/>
  <c r="N98" i="23"/>
  <c r="O64" i="23" l="1"/>
  <c r="G99" i="23"/>
  <c r="H99" i="23"/>
  <c r="K99" i="23"/>
  <c r="N99" i="23"/>
  <c r="Q64" i="23" l="1"/>
  <c r="Q65" i="23" s="1"/>
  <c r="O67" i="23" s="1"/>
  <c r="O66" i="23" s="1"/>
  <c r="I99" i="23"/>
  <c r="G100" i="23"/>
  <c r="N100" i="23"/>
  <c r="I96" i="23"/>
  <c r="I97" i="23"/>
  <c r="H100" i="23"/>
  <c r="I98" i="23"/>
  <c r="Q66" i="23" l="1"/>
  <c r="Q67" i="23" s="1"/>
  <c r="O69" i="23" s="1"/>
  <c r="R96" i="23"/>
  <c r="P96" i="23"/>
  <c r="P97" i="23" s="1"/>
  <c r="P98" i="23" s="1"/>
  <c r="P99" i="23" s="1"/>
  <c r="R97" i="23"/>
  <c r="R98" i="23"/>
  <c r="R99" i="23"/>
  <c r="J99" i="23"/>
  <c r="M99" i="23" s="1"/>
  <c r="M97" i="23" s="1"/>
  <c r="L97" i="23" s="1"/>
  <c r="L99" i="23" s="1"/>
  <c r="G101" i="23"/>
  <c r="H101" i="23"/>
  <c r="N101" i="23"/>
  <c r="O68" i="23" l="1"/>
  <c r="G102" i="23"/>
  <c r="N102" i="23"/>
  <c r="H102" i="23"/>
  <c r="Q68" i="23" l="1"/>
  <c r="Q69" i="23" s="1"/>
  <c r="O71" i="23" s="1"/>
  <c r="G103" i="23"/>
  <c r="H103" i="23"/>
  <c r="K103" i="23"/>
  <c r="N103" i="23"/>
  <c r="O70" i="23" l="1"/>
  <c r="I103" i="23"/>
  <c r="G104" i="23"/>
  <c r="I101" i="23"/>
  <c r="H104" i="23"/>
  <c r="I102" i="23"/>
  <c r="N104" i="23"/>
  <c r="I100" i="23"/>
  <c r="Q70" i="23" l="1"/>
  <c r="Q71" i="23" s="1"/>
  <c r="O73" i="23" s="1"/>
  <c r="R100" i="23"/>
  <c r="P100" i="23"/>
  <c r="P101" i="23" s="1"/>
  <c r="P102" i="23" s="1"/>
  <c r="P103" i="23" s="1"/>
  <c r="R101" i="23"/>
  <c r="R102" i="23"/>
  <c r="R103" i="23"/>
  <c r="J103" i="23"/>
  <c r="M103" i="23" s="1"/>
  <c r="M101" i="23" s="1"/>
  <c r="L101" i="23" s="1"/>
  <c r="L103" i="23" s="1"/>
  <c r="G105" i="23"/>
  <c r="N105" i="23"/>
  <c r="H105" i="23"/>
  <c r="O72" i="23" l="1"/>
  <c r="G106" i="23"/>
  <c r="H106" i="23"/>
  <c r="N106" i="23"/>
  <c r="Q72" i="23" l="1"/>
  <c r="Q73" i="23" s="1"/>
  <c r="O75" i="23" s="1"/>
  <c r="G107" i="23"/>
  <c r="H107" i="23"/>
  <c r="K107" i="23"/>
  <c r="N107" i="23"/>
  <c r="O74" i="23" l="1"/>
  <c r="I107" i="23"/>
  <c r="G108" i="23"/>
  <c r="I104" i="23"/>
  <c r="H108" i="23"/>
  <c r="N108" i="23"/>
  <c r="I106" i="23"/>
  <c r="I105" i="23"/>
  <c r="Q74" i="23" l="1"/>
  <c r="Q75" i="23" s="1"/>
  <c r="O77" i="23" s="1"/>
  <c r="R104" i="23"/>
  <c r="P104" i="23"/>
  <c r="P105" i="23" s="1"/>
  <c r="P106" i="23" s="1"/>
  <c r="P107" i="23" s="1"/>
  <c r="R105" i="23"/>
  <c r="R106" i="23"/>
  <c r="R107" i="23"/>
  <c r="J107" i="23"/>
  <c r="M107" i="23" s="1"/>
  <c r="M105" i="23" s="1"/>
  <c r="L105" i="23" s="1"/>
  <c r="L107" i="23" s="1"/>
  <c r="G109" i="23"/>
  <c r="N109" i="23"/>
  <c r="H109" i="23"/>
  <c r="O76" i="23" l="1"/>
  <c r="G110" i="23"/>
  <c r="N110" i="23"/>
  <c r="H110" i="23"/>
  <c r="Q76" i="23" l="1"/>
  <c r="Q77" i="23" s="1"/>
  <c r="O79" i="23" s="1"/>
  <c r="G111" i="23"/>
  <c r="N111" i="23"/>
  <c r="K111" i="23"/>
  <c r="H111" i="23"/>
  <c r="O78" i="23" l="1"/>
  <c r="I111" i="23"/>
  <c r="G112" i="23"/>
  <c r="I109" i="23"/>
  <c r="I108" i="23"/>
  <c r="I110" i="23"/>
  <c r="N112" i="23"/>
  <c r="H112" i="23"/>
  <c r="Q78" i="23" l="1"/>
  <c r="Q79" i="23" s="1"/>
  <c r="O81" i="23" s="1"/>
  <c r="R108" i="23"/>
  <c r="P108" i="23"/>
  <c r="P109" i="23" s="1"/>
  <c r="P110" i="23" s="1"/>
  <c r="P111" i="23" s="1"/>
  <c r="R109" i="23"/>
  <c r="R110" i="23"/>
  <c r="G113" i="23"/>
  <c r="R111" i="23"/>
  <c r="J111" i="23"/>
  <c r="M111" i="23" s="1"/>
  <c r="M109" i="23" s="1"/>
  <c r="L109" i="23" s="1"/>
  <c r="L111" i="23" s="1"/>
  <c r="N113" i="23"/>
  <c r="H113" i="23"/>
  <c r="O80" i="23" l="1"/>
  <c r="G114" i="23"/>
  <c r="N114" i="23"/>
  <c r="H114" i="23"/>
  <c r="Q80" i="23" l="1"/>
  <c r="Q81" i="23" s="1"/>
  <c r="O83" i="23" s="1"/>
  <c r="G115" i="23"/>
  <c r="H115" i="23"/>
  <c r="N115" i="23"/>
  <c r="K115" i="23"/>
  <c r="O82" i="23" l="1"/>
  <c r="I115" i="23"/>
  <c r="G116" i="23"/>
  <c r="H116" i="23"/>
  <c r="I114" i="23"/>
  <c r="N116" i="23"/>
  <c r="I112" i="23"/>
  <c r="I113" i="23"/>
  <c r="Q82" i="23" l="1"/>
  <c r="Q83" i="23" s="1"/>
  <c r="O85" i="23" s="1"/>
  <c r="R112" i="23"/>
  <c r="P112" i="23"/>
  <c r="P113" i="23" s="1"/>
  <c r="P114" i="23" s="1"/>
  <c r="P115" i="23" s="1"/>
  <c r="R113" i="23"/>
  <c r="R114" i="23"/>
  <c r="R115" i="23"/>
  <c r="J115" i="23"/>
  <c r="M115" i="23" s="1"/>
  <c r="M113" i="23" s="1"/>
  <c r="L113" i="23" s="1"/>
  <c r="L115" i="23" s="1"/>
  <c r="G117" i="23"/>
  <c r="N117" i="23"/>
  <c r="H117" i="23"/>
  <c r="O84" i="23" l="1"/>
  <c r="G118" i="23"/>
  <c r="N118" i="23"/>
  <c r="H118" i="23"/>
  <c r="Q84" i="23" l="1"/>
  <c r="Q85" i="23" s="1"/>
  <c r="O87" i="23" s="1"/>
  <c r="G119" i="23"/>
  <c r="H119" i="23"/>
  <c r="K119" i="23"/>
  <c r="N119" i="23"/>
  <c r="O86" i="23" l="1"/>
  <c r="I119" i="23"/>
  <c r="G120" i="23"/>
  <c r="I118" i="23"/>
  <c r="I116" i="23"/>
  <c r="I117" i="23"/>
  <c r="N120" i="23"/>
  <c r="H120" i="23"/>
  <c r="Q86" i="23" l="1"/>
  <c r="Q87" i="23" s="1"/>
  <c r="O89" i="23" s="1"/>
  <c r="R116" i="23"/>
  <c r="P116" i="23"/>
  <c r="P117" i="23" s="1"/>
  <c r="P118" i="23" s="1"/>
  <c r="P119" i="23" s="1"/>
  <c r="R117" i="23"/>
  <c r="R118" i="23"/>
  <c r="R119" i="23"/>
  <c r="J119" i="23"/>
  <c r="M119" i="23" s="1"/>
  <c r="M117" i="23" s="1"/>
  <c r="L117" i="23" s="1"/>
  <c r="L119" i="23" s="1"/>
  <c r="G121" i="23"/>
  <c r="N121" i="23"/>
  <c r="H121" i="23"/>
  <c r="O88" i="23" l="1"/>
  <c r="G122" i="23"/>
  <c r="N122" i="23"/>
  <c r="H122" i="23"/>
  <c r="Q88" i="23" l="1"/>
  <c r="Q89" i="23" s="1"/>
  <c r="O91" i="23" s="1"/>
  <c r="G123" i="23"/>
  <c r="H123" i="23"/>
  <c r="N123" i="23"/>
  <c r="K123" i="23"/>
  <c r="O90" i="23" l="1"/>
  <c r="I123" i="23"/>
  <c r="G124" i="23"/>
  <c r="H124" i="23"/>
  <c r="I120" i="23"/>
  <c r="I121" i="23"/>
  <c r="N124" i="23"/>
  <c r="I122" i="23"/>
  <c r="Q90" i="23" l="1"/>
  <c r="Q91" i="23" s="1"/>
  <c r="O93" i="23" s="1"/>
  <c r="R120" i="23"/>
  <c r="P120" i="23"/>
  <c r="P121" i="23" s="1"/>
  <c r="P122" i="23" s="1"/>
  <c r="P123" i="23" s="1"/>
  <c r="R121" i="23"/>
  <c r="R122" i="23"/>
  <c r="R123" i="23"/>
  <c r="J123" i="23"/>
  <c r="M123" i="23" s="1"/>
  <c r="M121" i="23" s="1"/>
  <c r="L121" i="23" s="1"/>
  <c r="L123" i="23" s="1"/>
  <c r="G125" i="23"/>
  <c r="H125" i="23"/>
  <c r="N125" i="23"/>
  <c r="O92" i="23" l="1"/>
  <c r="G126" i="23"/>
  <c r="N126" i="23"/>
  <c r="H126" i="23"/>
  <c r="Q92" i="23" l="1"/>
  <c r="Q93" i="23" s="1"/>
  <c r="O95" i="23" s="1"/>
  <c r="G127" i="23"/>
  <c r="H127" i="23"/>
  <c r="K127" i="23"/>
  <c r="N127" i="23"/>
  <c r="O94" i="23" l="1"/>
  <c r="I127" i="23"/>
  <c r="G128" i="23"/>
  <c r="H128" i="23"/>
  <c r="I124" i="23"/>
  <c r="N128" i="23"/>
  <c r="I126" i="23"/>
  <c r="I125" i="23"/>
  <c r="Q94" i="23" l="1"/>
  <c r="Q95" i="23" s="1"/>
  <c r="O97" i="23" s="1"/>
  <c r="R124" i="23"/>
  <c r="P124" i="23"/>
  <c r="P125" i="23" s="1"/>
  <c r="P126" i="23" s="1"/>
  <c r="P127" i="23" s="1"/>
  <c r="R125" i="23"/>
  <c r="R126" i="23"/>
  <c r="R127" i="23"/>
  <c r="J127" i="23"/>
  <c r="M127" i="23" s="1"/>
  <c r="M125" i="23" s="1"/>
  <c r="L125" i="23" s="1"/>
  <c r="L127" i="23" s="1"/>
  <c r="G129" i="23"/>
  <c r="N129" i="23"/>
  <c r="H129" i="23"/>
  <c r="O96" i="23" l="1"/>
  <c r="G130" i="23"/>
  <c r="N130" i="23"/>
  <c r="H130" i="23"/>
  <c r="Q96" i="23" l="1"/>
  <c r="Q97" i="23" s="1"/>
  <c r="O99" i="23" s="1"/>
  <c r="G131" i="23"/>
  <c r="H131" i="23"/>
  <c r="K131" i="23"/>
  <c r="N131" i="23"/>
  <c r="O98" i="23" l="1"/>
  <c r="I131" i="23"/>
  <c r="G132" i="23"/>
  <c r="I129" i="23"/>
  <c r="I130" i="23"/>
  <c r="I128" i="23"/>
  <c r="H132" i="23"/>
  <c r="N132" i="23"/>
  <c r="Q98" i="23" l="1"/>
  <c r="Q99" i="23" s="1"/>
  <c r="O101" i="23" s="1"/>
  <c r="R128" i="23"/>
  <c r="P128" i="23"/>
  <c r="P129" i="23" s="1"/>
  <c r="P130" i="23" s="1"/>
  <c r="P131" i="23" s="1"/>
  <c r="R129" i="23"/>
  <c r="R130" i="23"/>
  <c r="G133" i="23"/>
  <c r="R131" i="23"/>
  <c r="J131" i="23"/>
  <c r="M131" i="23" s="1"/>
  <c r="M129" i="23" s="1"/>
  <c r="L129" i="23" s="1"/>
  <c r="L131" i="23" s="1"/>
  <c r="H133" i="23"/>
  <c r="N133" i="23"/>
  <c r="O100" i="23" l="1"/>
  <c r="G134" i="23"/>
  <c r="N134" i="23"/>
  <c r="H134" i="23"/>
  <c r="Q100" i="23" l="1"/>
  <c r="Q101" i="23" s="1"/>
  <c r="O103" i="23" s="1"/>
  <c r="G135" i="23"/>
  <c r="H135" i="23"/>
  <c r="K135" i="23"/>
  <c r="N135" i="23"/>
  <c r="O102" i="23" l="1"/>
  <c r="I135" i="23"/>
  <c r="G136" i="23"/>
  <c r="I134" i="23"/>
  <c r="I132" i="23"/>
  <c r="H136" i="23"/>
  <c r="N136" i="23"/>
  <c r="I133" i="23"/>
  <c r="Q102" i="23" l="1"/>
  <c r="Q103" i="23" s="1"/>
  <c r="O105" i="23" s="1"/>
  <c r="R132" i="23"/>
  <c r="P132" i="23"/>
  <c r="P133" i="23" s="1"/>
  <c r="P134" i="23" s="1"/>
  <c r="P135" i="23" s="1"/>
  <c r="R133" i="23"/>
  <c r="R134" i="23"/>
  <c r="G137" i="23"/>
  <c r="R135" i="23"/>
  <c r="J135" i="23"/>
  <c r="M135" i="23" s="1"/>
  <c r="M133" i="23" s="1"/>
  <c r="L133" i="23" s="1"/>
  <c r="L135" i="23" s="1"/>
  <c r="N137" i="23"/>
  <c r="H137" i="23"/>
  <c r="O104" i="23" l="1"/>
  <c r="G138" i="23"/>
  <c r="N138" i="23"/>
  <c r="H138" i="23"/>
  <c r="Q104" i="23" l="1"/>
  <c r="Q105" i="23" s="1"/>
  <c r="O107" i="23" s="1"/>
  <c r="G139" i="23"/>
  <c r="H139" i="23"/>
  <c r="K139" i="23"/>
  <c r="N139" i="23"/>
  <c r="O106" i="23" l="1"/>
  <c r="I139" i="23"/>
  <c r="G140" i="23"/>
  <c r="I137" i="23"/>
  <c r="I136" i="23"/>
  <c r="I138" i="23"/>
  <c r="N140" i="23"/>
  <c r="H140" i="23"/>
  <c r="Q106" i="23" l="1"/>
  <c r="Q107" i="23" s="1"/>
  <c r="O109" i="23" s="1"/>
  <c r="R136" i="23"/>
  <c r="P136" i="23"/>
  <c r="P137" i="23" s="1"/>
  <c r="P138" i="23" s="1"/>
  <c r="P139" i="23" s="1"/>
  <c r="R137" i="23"/>
  <c r="R138" i="23"/>
  <c r="G141" i="23"/>
  <c r="R139" i="23"/>
  <c r="J139" i="23"/>
  <c r="M139" i="23" s="1"/>
  <c r="M137" i="23" s="1"/>
  <c r="L137" i="23" s="1"/>
  <c r="L139" i="23" s="1"/>
  <c r="H141" i="23"/>
  <c r="N141" i="23"/>
  <c r="O108" i="23" l="1"/>
  <c r="G142" i="23"/>
  <c r="H142" i="23"/>
  <c r="N142" i="23"/>
  <c r="Q108" i="23" l="1"/>
  <c r="Q109" i="23" s="1"/>
  <c r="O111" i="23" s="1"/>
  <c r="G143" i="23"/>
  <c r="H143" i="23"/>
  <c r="K143" i="23"/>
  <c r="N143" i="23"/>
  <c r="O110" i="23" l="1"/>
  <c r="I143" i="23"/>
  <c r="J137" i="27"/>
  <c r="I142" i="23"/>
  <c r="L103" i="27"/>
  <c r="K104" i="30"/>
  <c r="J132" i="27"/>
  <c r="J129" i="31"/>
  <c r="L129" i="30"/>
  <c r="J131" i="31"/>
  <c r="J132" i="31"/>
  <c r="J129" i="27"/>
  <c r="L131" i="30"/>
  <c r="L132" i="30"/>
  <c r="J130" i="27"/>
  <c r="J130" i="31"/>
  <c r="L130" i="30"/>
  <c r="J131" i="27"/>
  <c r="L128" i="30"/>
  <c r="L126" i="30"/>
  <c r="J127" i="27"/>
  <c r="J128" i="31"/>
  <c r="L125" i="30"/>
  <c r="J125" i="31"/>
  <c r="J125" i="27"/>
  <c r="L127" i="30"/>
  <c r="J126" i="31"/>
  <c r="J126" i="27"/>
  <c r="J128" i="27"/>
  <c r="J127" i="31"/>
  <c r="J124" i="27"/>
  <c r="J123" i="31"/>
  <c r="J121" i="27"/>
  <c r="J121" i="31"/>
  <c r="L121" i="30"/>
  <c r="J124" i="31"/>
  <c r="L124" i="30"/>
  <c r="J122" i="31"/>
  <c r="L123" i="30"/>
  <c r="J122" i="27"/>
  <c r="J123" i="27"/>
  <c r="L122" i="30"/>
  <c r="J120" i="27"/>
  <c r="L117" i="30"/>
  <c r="J117" i="27"/>
  <c r="J119" i="27"/>
  <c r="J119" i="31"/>
  <c r="L120" i="30"/>
  <c r="L119" i="30"/>
  <c r="J118" i="27"/>
  <c r="J117" i="31"/>
  <c r="L118" i="30"/>
  <c r="J118" i="31"/>
  <c r="J120" i="31"/>
  <c r="L114" i="30"/>
  <c r="J113" i="27"/>
  <c r="J113" i="31"/>
  <c r="J116" i="27"/>
  <c r="L113" i="30"/>
  <c r="L116" i="30"/>
  <c r="J115" i="27"/>
  <c r="L115" i="30"/>
  <c r="J115" i="31"/>
  <c r="J114" i="31"/>
  <c r="J114" i="27"/>
  <c r="J116" i="31"/>
  <c r="J111" i="31"/>
  <c r="L110" i="30"/>
  <c r="J109" i="27"/>
  <c r="L109" i="30"/>
  <c r="J110" i="27"/>
  <c r="J111" i="27"/>
  <c r="J109" i="31"/>
  <c r="L112" i="30"/>
  <c r="J110" i="31"/>
  <c r="L111" i="30"/>
  <c r="J112" i="31"/>
  <c r="J112" i="27"/>
  <c r="L107" i="30"/>
  <c r="L108" i="30"/>
  <c r="L105" i="30"/>
  <c r="L106" i="30"/>
  <c r="J105" i="27"/>
  <c r="J107" i="31"/>
  <c r="J106" i="27"/>
  <c r="J108" i="31"/>
  <c r="J106" i="31"/>
  <c r="J105" i="31"/>
  <c r="J108" i="27"/>
  <c r="J107" i="27"/>
  <c r="J103" i="27"/>
  <c r="J104" i="27"/>
  <c r="J103" i="31"/>
  <c r="J102" i="31"/>
  <c r="J102" i="27"/>
  <c r="L102" i="30"/>
  <c r="J104" i="31"/>
  <c r="L101" i="30"/>
  <c r="J101" i="27"/>
  <c r="L104" i="30"/>
  <c r="J101" i="31"/>
  <c r="L103" i="30"/>
  <c r="L100" i="30"/>
  <c r="J99" i="27"/>
  <c r="J97" i="31"/>
  <c r="J98" i="27"/>
  <c r="J100" i="27"/>
  <c r="J98" i="31"/>
  <c r="J97" i="27"/>
  <c r="L98" i="30"/>
  <c r="L99" i="30"/>
  <c r="J99" i="31"/>
  <c r="J100" i="31"/>
  <c r="L97" i="30"/>
  <c r="J93" i="31"/>
  <c r="L94" i="30"/>
  <c r="L93" i="30"/>
  <c r="J96" i="31"/>
  <c r="J94" i="27"/>
  <c r="J95" i="27"/>
  <c r="L95" i="30"/>
  <c r="J94" i="31"/>
  <c r="J95" i="31"/>
  <c r="L96" i="30"/>
  <c r="J93" i="27"/>
  <c r="J96" i="27"/>
  <c r="L90" i="30"/>
  <c r="J92" i="31"/>
  <c r="L92" i="30"/>
  <c r="J91" i="31"/>
  <c r="J89" i="31"/>
  <c r="L89" i="30"/>
  <c r="J90" i="27"/>
  <c r="J91" i="27"/>
  <c r="L91" i="30"/>
  <c r="J92" i="27"/>
  <c r="J90" i="31"/>
  <c r="J89" i="27"/>
  <c r="J85" i="31"/>
  <c r="J88" i="27"/>
  <c r="L87" i="30"/>
  <c r="L85" i="30"/>
  <c r="J87" i="27"/>
  <c r="L88" i="30"/>
  <c r="J86" i="27"/>
  <c r="J85" i="27"/>
  <c r="L86" i="30"/>
  <c r="J88" i="31"/>
  <c r="J86" i="31"/>
  <c r="J87" i="31"/>
  <c r="J84" i="31"/>
  <c r="L83" i="30"/>
  <c r="J81" i="31"/>
  <c r="L82" i="30"/>
  <c r="J84" i="27"/>
  <c r="J82" i="31"/>
  <c r="L81" i="30"/>
  <c r="J81" i="27"/>
  <c r="J83" i="27"/>
  <c r="J82" i="27"/>
  <c r="J83" i="31"/>
  <c r="L84" i="30"/>
  <c r="L79" i="30"/>
  <c r="L78" i="30"/>
  <c r="L80" i="30"/>
  <c r="J79" i="27"/>
  <c r="J79" i="31"/>
  <c r="J78" i="27"/>
  <c r="L77" i="30"/>
  <c r="J80" i="27"/>
  <c r="J77" i="31"/>
  <c r="J78" i="31"/>
  <c r="J80" i="31"/>
  <c r="J77" i="27"/>
  <c r="L75" i="30"/>
  <c r="L73" i="30"/>
  <c r="J76" i="27"/>
  <c r="L76" i="30"/>
  <c r="J73" i="27"/>
  <c r="L74" i="30"/>
  <c r="J74" i="27"/>
  <c r="J73" i="31"/>
  <c r="J75" i="27"/>
  <c r="J74" i="31"/>
  <c r="J75" i="31"/>
  <c r="J76" i="31"/>
  <c r="L70" i="30"/>
  <c r="J70" i="27"/>
  <c r="J72" i="27"/>
  <c r="J71" i="31"/>
  <c r="L72" i="30"/>
  <c r="J70" i="31"/>
  <c r="L71" i="30"/>
  <c r="J72" i="31"/>
  <c r="L69" i="30"/>
  <c r="J71" i="27"/>
  <c r="J69" i="27"/>
  <c r="J69" i="31"/>
  <c r="L67" i="30"/>
  <c r="L68" i="30"/>
  <c r="J68" i="31"/>
  <c r="J66" i="31"/>
  <c r="L66" i="30"/>
  <c r="J66" i="27"/>
  <c r="J65" i="27"/>
  <c r="J67" i="27"/>
  <c r="J65" i="31"/>
  <c r="J67" i="31"/>
  <c r="L65" i="30"/>
  <c r="J64" i="31"/>
  <c r="J68" i="27"/>
  <c r="J62" i="31"/>
  <c r="J63" i="31"/>
  <c r="L62" i="30"/>
  <c r="J63" i="27"/>
  <c r="J61" i="27"/>
  <c r="L64" i="30"/>
  <c r="J61" i="31"/>
  <c r="J64" i="27"/>
  <c r="L61" i="30"/>
  <c r="J62" i="27"/>
  <c r="L63" i="30"/>
  <c r="L57" i="30"/>
  <c r="Y50" i="23"/>
  <c r="J59" i="27"/>
  <c r="L60" i="30"/>
  <c r="L58" i="30"/>
  <c r="J58" i="31"/>
  <c r="J60" i="31"/>
  <c r="L59" i="30"/>
  <c r="J57" i="27"/>
  <c r="J57" i="31"/>
  <c r="J58" i="27"/>
  <c r="J59" i="31"/>
  <c r="J60" i="27"/>
  <c r="Y49" i="23"/>
  <c r="Y48" i="23"/>
  <c r="J55" i="31"/>
  <c r="J56" i="27"/>
  <c r="L55" i="30"/>
  <c r="J54" i="27"/>
  <c r="L54" i="30"/>
  <c r="L53" i="30"/>
  <c r="J54" i="31"/>
  <c r="J55" i="27"/>
  <c r="Y44" i="23"/>
  <c r="J56" i="31"/>
  <c r="J53" i="31"/>
  <c r="L56" i="30"/>
  <c r="J53" i="27"/>
  <c r="L52" i="30"/>
  <c r="Y45" i="23"/>
  <c r="Y46" i="23"/>
  <c r="Y47" i="23"/>
  <c r="J52" i="27"/>
  <c r="J51" i="27"/>
  <c r="L51" i="30"/>
  <c r="J50" i="27"/>
  <c r="L49" i="30"/>
  <c r="J52" i="31"/>
  <c r="J49" i="27"/>
  <c r="Y42" i="23"/>
  <c r="J51" i="31"/>
  <c r="L50" i="30"/>
  <c r="J50" i="31"/>
  <c r="J49" i="31"/>
  <c r="Y40" i="23"/>
  <c r="Y43" i="23"/>
  <c r="J48" i="31"/>
  <c r="J46" i="31"/>
  <c r="J48" i="27"/>
  <c r="L45" i="30"/>
  <c r="L46" i="30"/>
  <c r="J47" i="31"/>
  <c r="Y41" i="23"/>
  <c r="Y38" i="23"/>
  <c r="L48" i="30"/>
  <c r="L47" i="30"/>
  <c r="J46" i="27"/>
  <c r="J47" i="27"/>
  <c r="J45" i="31"/>
  <c r="Y39" i="23"/>
  <c r="J45" i="27"/>
  <c r="Y36" i="23"/>
  <c r="L44" i="30"/>
  <c r="J42" i="31"/>
  <c r="J41" i="31"/>
  <c r="Y37" i="23"/>
  <c r="L43" i="30"/>
  <c r="J43" i="27"/>
  <c r="J43" i="31"/>
  <c r="J44" i="31"/>
  <c r="L41" i="30"/>
  <c r="J41" i="27"/>
  <c r="J44" i="27"/>
  <c r="L42" i="30"/>
  <c r="J42" i="27"/>
  <c r="Y35" i="23"/>
  <c r="Y34" i="23"/>
  <c r="Y30" i="23"/>
  <c r="Y33" i="23"/>
  <c r="L40" i="30"/>
  <c r="J39" i="27"/>
  <c r="J37" i="31"/>
  <c r="J37" i="27"/>
  <c r="Y31" i="23"/>
  <c r="J38" i="31"/>
  <c r="J40" i="27"/>
  <c r="L39" i="30"/>
  <c r="Y32" i="23"/>
  <c r="J39" i="31"/>
  <c r="J40" i="31"/>
  <c r="L38" i="30"/>
  <c r="L37" i="30"/>
  <c r="J38" i="27"/>
  <c r="J11" i="27"/>
  <c r="L11" i="30"/>
  <c r="J11" i="31"/>
  <c r="L33" i="30"/>
  <c r="J36" i="31"/>
  <c r="L35" i="30"/>
  <c r="J35" i="31"/>
  <c r="Y28" i="23"/>
  <c r="J33" i="27"/>
  <c r="J33" i="31"/>
  <c r="Y27" i="23"/>
  <c r="L34" i="30"/>
  <c r="J36" i="27"/>
  <c r="L36" i="30"/>
  <c r="J34" i="31"/>
  <c r="J35" i="27"/>
  <c r="J34" i="27"/>
  <c r="Y26" i="23"/>
  <c r="Y29" i="23"/>
  <c r="Y22" i="23"/>
  <c r="Y23" i="23"/>
  <c r="Y25" i="23"/>
  <c r="L32" i="30"/>
  <c r="Y24" i="23"/>
  <c r="L30" i="30"/>
  <c r="J32" i="31"/>
  <c r="L29" i="30"/>
  <c r="J31" i="31"/>
  <c r="J30" i="27"/>
  <c r="J30" i="31"/>
  <c r="J29" i="27"/>
  <c r="J31" i="27"/>
  <c r="J32" i="27"/>
  <c r="L12" i="30"/>
  <c r="J12" i="27"/>
  <c r="L31" i="30"/>
  <c r="J29" i="31"/>
  <c r="J12" i="31"/>
  <c r="AA13" i="23"/>
  <c r="J28" i="31"/>
  <c r="Y21" i="23"/>
  <c r="J27" i="31"/>
  <c r="J13" i="31"/>
  <c r="L26" i="30"/>
  <c r="J25" i="27"/>
  <c r="L27" i="30"/>
  <c r="J25" i="31"/>
  <c r="J27" i="27"/>
  <c r="J26" i="27"/>
  <c r="L25" i="30"/>
  <c r="Y18" i="23"/>
  <c r="L28" i="30"/>
  <c r="Y19" i="23"/>
  <c r="L13" i="30"/>
  <c r="J28" i="27"/>
  <c r="J13" i="27"/>
  <c r="Y20" i="23"/>
  <c r="AA14" i="23"/>
  <c r="J26" i="31"/>
  <c r="AA12" i="23"/>
  <c r="L14" i="30"/>
  <c r="J24" i="27"/>
  <c r="J14" i="27"/>
  <c r="Y17" i="23"/>
  <c r="J14" i="31"/>
  <c r="J24" i="31"/>
  <c r="L24" i="30"/>
  <c r="J23" i="27"/>
  <c r="Y14" i="23"/>
  <c r="L22" i="30"/>
  <c r="J22" i="27"/>
  <c r="J21" i="27"/>
  <c r="L21" i="30"/>
  <c r="Y15" i="23"/>
  <c r="L23" i="30"/>
  <c r="Y16" i="23"/>
  <c r="J21" i="31"/>
  <c r="J23" i="31"/>
  <c r="J22" i="31"/>
  <c r="L20" i="30"/>
  <c r="J19" i="27"/>
  <c r="J19" i="31"/>
  <c r="L19" i="30"/>
  <c r="J16" i="31"/>
  <c r="Y12" i="23"/>
  <c r="J20" i="27"/>
  <c r="L16" i="30"/>
  <c r="L17" i="30"/>
  <c r="J18" i="27"/>
  <c r="J17" i="31"/>
  <c r="AA11" i="23"/>
  <c r="J17" i="27"/>
  <c r="L15" i="30"/>
  <c r="L18" i="30"/>
  <c r="J15" i="31"/>
  <c r="J16" i="27"/>
  <c r="J20" i="31"/>
  <c r="Y11" i="23"/>
  <c r="J18" i="31"/>
  <c r="Y13" i="23"/>
  <c r="J15" i="27"/>
  <c r="L103" i="31"/>
  <c r="L104" i="27"/>
  <c r="J136" i="27"/>
  <c r="L137" i="30"/>
  <c r="J137" i="31"/>
  <c r="I140" i="23"/>
  <c r="L104" i="31"/>
  <c r="J136" i="31"/>
  <c r="K103" i="30"/>
  <c r="I141" i="23"/>
  <c r="J133" i="27"/>
  <c r="L136" i="30"/>
  <c r="L133" i="30"/>
  <c r="J133" i="31"/>
  <c r="J134" i="31"/>
  <c r="J135" i="31"/>
  <c r="J134" i="27"/>
  <c r="L135" i="30"/>
  <c r="J135" i="27"/>
  <c r="U18" i="23" l="1"/>
  <c r="Q110" i="23"/>
  <c r="Q111" i="23" s="1"/>
  <c r="O113" i="23" s="1"/>
  <c r="R140" i="23"/>
  <c r="P140" i="23"/>
  <c r="P141" i="23" s="1"/>
  <c r="P142" i="23" s="1"/>
  <c r="P143" i="23" s="1"/>
  <c r="R141" i="23"/>
  <c r="R142" i="23"/>
  <c r="R143" i="23"/>
  <c r="J143" i="23"/>
  <c r="M143" i="23" s="1"/>
  <c r="M141" i="23" s="1"/>
  <c r="L141" i="23" s="1"/>
  <c r="L143" i="23" s="1"/>
  <c r="L134" i="30"/>
  <c r="O112" i="23" l="1"/>
  <c r="L106" i="27"/>
  <c r="K105" i="30"/>
  <c r="L105" i="27"/>
  <c r="K106" i="30"/>
  <c r="L106" i="31"/>
  <c r="L105" i="31"/>
  <c r="Q112" i="23" l="1"/>
  <c r="Q113" i="23" s="1"/>
  <c r="O115" i="23" s="1"/>
  <c r="O114" i="23" l="1"/>
  <c r="N18" i="22"/>
  <c r="A32" i="22"/>
  <c r="A31" i="22"/>
  <c r="A30" i="22"/>
  <c r="A29" i="22"/>
  <c r="G28" i="22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A28" i="22"/>
  <c r="A27" i="22"/>
  <c r="G26" i="22"/>
  <c r="A26" i="22"/>
  <c r="G25" i="22"/>
  <c r="A25" i="22"/>
  <c r="G24" i="22"/>
  <c r="A24" i="22"/>
  <c r="G23" i="22"/>
  <c r="A23" i="22"/>
  <c r="G22" i="22"/>
  <c r="A22" i="22"/>
  <c r="G21" i="22"/>
  <c r="A21" i="22"/>
  <c r="G20" i="22"/>
  <c r="A20" i="22"/>
  <c r="G19" i="22"/>
  <c r="A19" i="22"/>
  <c r="G18" i="22"/>
  <c r="A18" i="22"/>
  <c r="G17" i="22"/>
  <c r="A17" i="22"/>
  <c r="G16" i="22"/>
  <c r="G15" i="22"/>
  <c r="G14" i="22"/>
  <c r="G13" i="22"/>
  <c r="G12" i="22"/>
  <c r="G11" i="22"/>
  <c r="Y12" i="9"/>
  <c r="Y13" i="9"/>
  <c r="Y14" i="9"/>
  <c r="Y15" i="9"/>
  <c r="Y16" i="9"/>
  <c r="Y17" i="9"/>
  <c r="Y18" i="9"/>
  <c r="Y19" i="9"/>
  <c r="Y20" i="9"/>
  <c r="Y21" i="9"/>
  <c r="Y22" i="9"/>
  <c r="Y23" i="9"/>
  <c r="Y24" i="9"/>
  <c r="Y25" i="9"/>
  <c r="Y26" i="9"/>
  <c r="Y27" i="9"/>
  <c r="Y28" i="9"/>
  <c r="Y29" i="9"/>
  <c r="Y30" i="9"/>
  <c r="Y31" i="9"/>
  <c r="Y32" i="9"/>
  <c r="Y33" i="9"/>
  <c r="Y34" i="9"/>
  <c r="Y35" i="9"/>
  <c r="Y36" i="9"/>
  <c r="Y37" i="9"/>
  <c r="Y38" i="9"/>
  <c r="Y39" i="9"/>
  <c r="Y40" i="9"/>
  <c r="Y41" i="9"/>
  <c r="Y42" i="9"/>
  <c r="Y43" i="9"/>
  <c r="Y44" i="9"/>
  <c r="Y45" i="9"/>
  <c r="Y46" i="9"/>
  <c r="Y47" i="9"/>
  <c r="Y48" i="9"/>
  <c r="Y49" i="9"/>
  <c r="Y50" i="9"/>
  <c r="Y11" i="9"/>
  <c r="P18" i="9"/>
  <c r="L107" i="27"/>
  <c r="O24" i="22"/>
  <c r="L107" i="31"/>
  <c r="L108" i="31"/>
  <c r="L108" i="27"/>
  <c r="K108" i="30"/>
  <c r="K107" i="30"/>
  <c r="AA11" i="9" l="1"/>
  <c r="I16" i="31"/>
  <c r="U11" i="31" s="1"/>
  <c r="I16" i="29"/>
  <c r="Y11" i="29" s="1"/>
  <c r="I16" i="27"/>
  <c r="U11" i="27" s="1"/>
  <c r="N16" i="30"/>
  <c r="AC11" i="30" s="1"/>
  <c r="L16" i="29"/>
  <c r="AA11" i="29" s="1"/>
  <c r="Q114" i="23"/>
  <c r="Q115" i="23" s="1"/>
  <c r="O117" i="23" s="1"/>
  <c r="N21" i="9"/>
  <c r="G28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O24" i="9"/>
  <c r="O116" i="23" l="1"/>
  <c r="G29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L109" i="31"/>
  <c r="L109" i="27"/>
  <c r="K110" i="30"/>
  <c r="L110" i="27"/>
  <c r="K109" i="30"/>
  <c r="L110" i="31"/>
  <c r="Q116" i="23" l="1"/>
  <c r="Q117" i="23" s="1"/>
  <c r="O119" i="23" s="1"/>
  <c r="G30" i="9"/>
  <c r="O118" i="23" l="1"/>
  <c r="G31" i="9"/>
  <c r="L112" i="31"/>
  <c r="L111" i="31"/>
  <c r="Q118" i="23" l="1"/>
  <c r="Q119" i="23" s="1"/>
  <c r="O121" i="23" s="1"/>
  <c r="G32" i="9"/>
  <c r="U14" i="7"/>
  <c r="O90" i="22"/>
  <c r="O115" i="22"/>
  <c r="O30" i="9"/>
  <c r="K115" i="22"/>
  <c r="K81" i="22"/>
  <c r="K27" i="22"/>
  <c r="O48" i="22"/>
  <c r="K121" i="22"/>
  <c r="K143" i="22"/>
  <c r="O122" i="22"/>
  <c r="K43" i="22"/>
  <c r="O61" i="22"/>
  <c r="H138" i="22"/>
  <c r="H78" i="22"/>
  <c r="H140" i="22"/>
  <c r="H100" i="22"/>
  <c r="H55" i="22"/>
  <c r="H54" i="22"/>
  <c r="H111" i="22"/>
  <c r="H49" i="22"/>
  <c r="H19" i="9"/>
  <c r="H23" i="9"/>
  <c r="K73" i="22"/>
  <c r="O75" i="22"/>
  <c r="K59" i="22"/>
  <c r="O42" i="22"/>
  <c r="O91" i="22"/>
  <c r="O36" i="22"/>
  <c r="K85" i="22"/>
  <c r="O133" i="22"/>
  <c r="O100" i="22"/>
  <c r="K83" i="22"/>
  <c r="O45" i="22"/>
  <c r="H105" i="22"/>
  <c r="H142" i="22"/>
  <c r="H143" i="22"/>
  <c r="H137" i="22"/>
  <c r="H67" i="22"/>
  <c r="H97" i="22"/>
  <c r="H31" i="22"/>
  <c r="H69" i="22"/>
  <c r="H41" i="22"/>
  <c r="H11" i="9"/>
  <c r="L11" i="2"/>
  <c r="O130" i="22"/>
  <c r="O73" i="22"/>
  <c r="O34" i="22"/>
  <c r="O63" i="22"/>
  <c r="O96" i="22"/>
  <c r="O77" i="22"/>
  <c r="O135" i="22"/>
  <c r="K41" i="22"/>
  <c r="O99" i="22"/>
  <c r="O40" i="22"/>
  <c r="O28" i="22"/>
  <c r="H120" i="22"/>
  <c r="H139" i="22"/>
  <c r="H107" i="22"/>
  <c r="H63" i="22"/>
  <c r="H96" i="22"/>
  <c r="H113" i="22"/>
  <c r="H72" i="22"/>
  <c r="H88" i="22"/>
  <c r="H99" i="22"/>
  <c r="H22" i="9"/>
  <c r="O124" i="22"/>
  <c r="O123" i="22"/>
  <c r="O113" i="22"/>
  <c r="O52" i="22"/>
  <c r="O95" i="22"/>
  <c r="O81" i="22"/>
  <c r="O94" i="22"/>
  <c r="O33" i="22"/>
  <c r="K75" i="22"/>
  <c r="O31" i="22"/>
  <c r="O18" i="9"/>
  <c r="K33" i="22"/>
  <c r="H28" i="22"/>
  <c r="H52" i="22"/>
  <c r="H24" i="22"/>
  <c r="H80" i="22"/>
  <c r="H117" i="22"/>
  <c r="H90" i="22"/>
  <c r="H13" i="22"/>
  <c r="H127" i="22"/>
  <c r="H26" i="9"/>
  <c r="H20" i="9"/>
  <c r="K112" i="30"/>
  <c r="K111" i="22"/>
  <c r="O121" i="22"/>
  <c r="O35" i="22"/>
  <c r="K139" i="22"/>
  <c r="O127" i="22"/>
  <c r="O106" i="22"/>
  <c r="O68" i="22"/>
  <c r="O21" i="22"/>
  <c r="K117" i="22"/>
  <c r="O85" i="22"/>
  <c r="O29" i="22"/>
  <c r="O78" i="22"/>
  <c r="H50" i="22"/>
  <c r="H34" i="22"/>
  <c r="H93" i="22"/>
  <c r="H74" i="22"/>
  <c r="H73" i="22"/>
  <c r="H58" i="22"/>
  <c r="H83" i="22"/>
  <c r="H94" i="22"/>
  <c r="H30" i="9"/>
  <c r="K105" i="22"/>
  <c r="O117" i="22"/>
  <c r="K63" i="22"/>
  <c r="O98" i="22"/>
  <c r="O143" i="22"/>
  <c r="K49" i="22"/>
  <c r="O39" i="22"/>
  <c r="K101" i="22"/>
  <c r="O141" i="22"/>
  <c r="K89" i="22"/>
  <c r="K65" i="22"/>
  <c r="O129" i="22"/>
  <c r="H81" i="22"/>
  <c r="H103" i="22"/>
  <c r="H71" i="22"/>
  <c r="H56" i="22"/>
  <c r="H134" i="22"/>
  <c r="H21" i="22"/>
  <c r="H118" i="22"/>
  <c r="H122" i="22"/>
  <c r="H17" i="9"/>
  <c r="H13" i="9"/>
  <c r="O92" i="22"/>
  <c r="O76" i="22"/>
  <c r="K53" i="22"/>
  <c r="O93" i="22"/>
  <c r="K67" i="22"/>
  <c r="O109" i="22"/>
  <c r="O37" i="22"/>
  <c r="K31" i="22"/>
  <c r="K79" i="22"/>
  <c r="K97" i="22"/>
  <c r="O80" i="22"/>
  <c r="O56" i="22"/>
  <c r="H65" i="22"/>
  <c r="H47" i="22"/>
  <c r="H23" i="22"/>
  <c r="H101" i="22"/>
  <c r="H12" i="22"/>
  <c r="H131" i="22"/>
  <c r="H126" i="22"/>
  <c r="H59" i="22"/>
  <c r="K27" i="9"/>
  <c r="H21" i="9"/>
  <c r="O128" i="22"/>
  <c r="O44" i="22"/>
  <c r="O140" i="22"/>
  <c r="O65" i="22"/>
  <c r="O87" i="22"/>
  <c r="K91" i="22"/>
  <c r="O82" i="22"/>
  <c r="O59" i="22"/>
  <c r="O53" i="22"/>
  <c r="K137" i="22"/>
  <c r="O120" i="22"/>
  <c r="H112" i="22"/>
  <c r="H68" i="22"/>
  <c r="H37" i="22"/>
  <c r="H85" i="22"/>
  <c r="H64" i="22"/>
  <c r="H66" i="22"/>
  <c r="H92" i="22"/>
  <c r="H121" i="22"/>
  <c r="H22" i="22"/>
  <c r="H14" i="9"/>
  <c r="H10" i="8"/>
  <c r="O43" i="22"/>
  <c r="O83" i="22"/>
  <c r="K113" i="22"/>
  <c r="O62" i="22"/>
  <c r="K71" i="22"/>
  <c r="O101" i="22"/>
  <c r="O27" i="9"/>
  <c r="K87" i="22"/>
  <c r="O32" i="22"/>
  <c r="O84" i="22"/>
  <c r="O46" i="22"/>
  <c r="H79" i="22"/>
  <c r="H57" i="22"/>
  <c r="H102" i="22"/>
  <c r="H19" i="22"/>
  <c r="H132" i="22"/>
  <c r="H124" i="22"/>
  <c r="H46" i="22"/>
  <c r="H61" i="22"/>
  <c r="H26" i="22"/>
  <c r="H12" i="9"/>
  <c r="K93" i="22"/>
  <c r="O137" i="22"/>
  <c r="O49" i="22"/>
  <c r="O41" i="22"/>
  <c r="O105" i="22"/>
  <c r="O138" i="22"/>
  <c r="O21" i="9"/>
  <c r="O104" i="22"/>
  <c r="O134" i="22"/>
  <c r="O102" i="22"/>
  <c r="O103" i="22"/>
  <c r="O110" i="22"/>
  <c r="H91" i="22"/>
  <c r="H136" i="22"/>
  <c r="H98" i="22"/>
  <c r="H119" i="22"/>
  <c r="H108" i="22"/>
  <c r="H11" i="22"/>
  <c r="H43" i="22"/>
  <c r="H89" i="22"/>
  <c r="H32" i="9"/>
  <c r="H16" i="9"/>
  <c r="O29" i="9"/>
  <c r="K37" i="22"/>
  <c r="K125" i="22"/>
  <c r="O27" i="22"/>
  <c r="K61" i="22"/>
  <c r="O86" i="22"/>
  <c r="K29" i="22"/>
  <c r="O71" i="22"/>
  <c r="O50" i="22"/>
  <c r="O74" i="22"/>
  <c r="K109" i="22"/>
  <c r="O58" i="22"/>
  <c r="H35" i="22"/>
  <c r="H20" i="22"/>
  <c r="H15" i="22"/>
  <c r="H48" i="22"/>
  <c r="H129" i="22"/>
  <c r="H109" i="22"/>
  <c r="H17" i="22"/>
  <c r="H14" i="22"/>
  <c r="H28" i="9"/>
  <c r="K31" i="9"/>
  <c r="O28" i="9"/>
  <c r="O69" i="22"/>
  <c r="O64" i="22"/>
  <c r="O30" i="22"/>
  <c r="O89" i="22"/>
  <c r="O60" i="22"/>
  <c r="K129" i="22"/>
  <c r="O70" i="22"/>
  <c r="O131" i="22"/>
  <c r="O18" i="22"/>
  <c r="O55" i="22"/>
  <c r="H86" i="22"/>
  <c r="H95" i="22"/>
  <c r="H38" i="22"/>
  <c r="H33" i="22"/>
  <c r="H53" i="22"/>
  <c r="H141" i="22"/>
  <c r="H42" i="22"/>
  <c r="H104" i="22"/>
  <c r="H29" i="9"/>
  <c r="H24" i="9"/>
  <c r="L112" i="27"/>
  <c r="K69" i="22"/>
  <c r="O142" i="22"/>
  <c r="O112" i="22"/>
  <c r="O32" i="9"/>
  <c r="O79" i="22"/>
  <c r="O47" i="22"/>
  <c r="K131" i="22"/>
  <c r="K99" i="22"/>
  <c r="O54" i="22"/>
  <c r="K77" i="22"/>
  <c r="K119" i="22"/>
  <c r="O97" i="22"/>
  <c r="H39" i="22"/>
  <c r="H133" i="22"/>
  <c r="H51" i="22"/>
  <c r="H32" i="22"/>
  <c r="H44" i="22"/>
  <c r="H114" i="22"/>
  <c r="H123" i="22"/>
  <c r="H135" i="22"/>
  <c r="H18" i="9"/>
  <c r="K29" i="9"/>
  <c r="K47" i="22"/>
  <c r="K133" i="22"/>
  <c r="O67" i="22"/>
  <c r="K45" i="22"/>
  <c r="O116" i="22"/>
  <c r="O107" i="22"/>
  <c r="K107" i="22"/>
  <c r="O88" i="22"/>
  <c r="O125" i="22"/>
  <c r="O114" i="22"/>
  <c r="O118" i="22"/>
  <c r="K35" i="22"/>
  <c r="H70" i="22"/>
  <c r="H45" i="22"/>
  <c r="H16" i="22"/>
  <c r="H27" i="22"/>
  <c r="H62" i="22"/>
  <c r="H60" i="22"/>
  <c r="H87" i="22"/>
  <c r="H115" i="22"/>
  <c r="H15" i="9"/>
  <c r="L111" i="27"/>
  <c r="K51" i="22"/>
  <c r="K103" i="22"/>
  <c r="K127" i="22"/>
  <c r="O119" i="22"/>
  <c r="K39" i="22"/>
  <c r="K141" i="22"/>
  <c r="O31" i="9"/>
  <c r="K123" i="22"/>
  <c r="O126" i="22"/>
  <c r="O66" i="22"/>
  <c r="O136" i="22"/>
  <c r="H125" i="22"/>
  <c r="H116" i="22"/>
  <c r="H128" i="22"/>
  <c r="H30" i="22"/>
  <c r="H106" i="22"/>
  <c r="H18" i="22"/>
  <c r="H75" i="22"/>
  <c r="H36" i="22"/>
  <c r="H130" i="22"/>
  <c r="H31" i="9"/>
  <c r="O38" i="22"/>
  <c r="K55" i="22"/>
  <c r="O139" i="22"/>
  <c r="K57" i="22"/>
  <c r="O72" i="22"/>
  <c r="O108" i="22"/>
  <c r="K95" i="22"/>
  <c r="K135" i="22"/>
  <c r="O57" i="22"/>
  <c r="O51" i="22"/>
  <c r="O111" i="22"/>
  <c r="O132" i="22"/>
  <c r="H29" i="22"/>
  <c r="H25" i="22"/>
  <c r="H110" i="22"/>
  <c r="H82" i="22"/>
  <c r="H76" i="22"/>
  <c r="H40" i="22"/>
  <c r="H77" i="22"/>
  <c r="H84" i="22"/>
  <c r="H27" i="9"/>
  <c r="H25" i="9"/>
  <c r="K111" i="30"/>
  <c r="I16" i="22" l="1"/>
  <c r="I11" i="22"/>
  <c r="S11" i="22" s="1"/>
  <c r="S10" i="22" s="1"/>
  <c r="I24" i="22"/>
  <c r="I30" i="22" s="1"/>
  <c r="S30" i="22" s="1"/>
  <c r="I27" i="22"/>
  <c r="S27" i="22" s="1"/>
  <c r="I12" i="9"/>
  <c r="S12" i="9" s="1"/>
  <c r="I17" i="22"/>
  <c r="S17" i="22" s="1"/>
  <c r="I14" i="22"/>
  <c r="I15" i="22"/>
  <c r="S15" i="22" s="1"/>
  <c r="I12" i="22"/>
  <c r="S12" i="22" s="1"/>
  <c r="I25" i="22"/>
  <c r="S25" i="22" s="1"/>
  <c r="I18" i="22"/>
  <c r="I28" i="22" s="1"/>
  <c r="S28" i="22" s="1"/>
  <c r="I26" i="22"/>
  <c r="S26" i="22" s="1"/>
  <c r="I23" i="22"/>
  <c r="S23" i="22" s="1"/>
  <c r="I20" i="22"/>
  <c r="I22" i="22"/>
  <c r="S22" i="22" s="1"/>
  <c r="I13" i="22"/>
  <c r="S13" i="22" s="1"/>
  <c r="I11" i="9"/>
  <c r="S11" i="9" s="1"/>
  <c r="S10" i="9" s="1"/>
  <c r="I21" i="22"/>
  <c r="S21" i="22" s="1"/>
  <c r="I19" i="22"/>
  <c r="S19" i="22" s="1"/>
  <c r="O120" i="23"/>
  <c r="S14" i="22"/>
  <c r="G33" i="9"/>
  <c r="M19" i="29"/>
  <c r="O12" i="30"/>
  <c r="M15" i="29"/>
  <c r="M21" i="29"/>
  <c r="Z11" i="22"/>
  <c r="N10" i="8"/>
  <c r="M13" i="29"/>
  <c r="K113" i="30"/>
  <c r="O11" i="30"/>
  <c r="O18" i="30"/>
  <c r="L113" i="27"/>
  <c r="L114" i="27"/>
  <c r="H33" i="9"/>
  <c r="M17" i="29"/>
  <c r="K114" i="30"/>
  <c r="O19" i="30"/>
  <c r="O14" i="30"/>
  <c r="Z12" i="22"/>
  <c r="M12" i="29"/>
  <c r="O33" i="9"/>
  <c r="M14" i="29"/>
  <c r="M16" i="29"/>
  <c r="AB11" i="22"/>
  <c r="L113" i="31"/>
  <c r="L114" i="31"/>
  <c r="O13" i="30"/>
  <c r="O15" i="30"/>
  <c r="O17" i="30"/>
  <c r="K33" i="9"/>
  <c r="M18" i="29"/>
  <c r="M20" i="29"/>
  <c r="M11" i="29"/>
  <c r="O21" i="30"/>
  <c r="O16" i="30"/>
  <c r="O20" i="30"/>
  <c r="S18" i="22" l="1"/>
  <c r="S24" i="22"/>
  <c r="J27" i="22"/>
  <c r="R17" i="30"/>
  <c r="R12" i="30"/>
  <c r="R18" i="30"/>
  <c r="R11" i="30"/>
  <c r="R14" i="30"/>
  <c r="R19" i="30"/>
  <c r="R16" i="30"/>
  <c r="R20" i="30"/>
  <c r="R15" i="30"/>
  <c r="R13" i="30"/>
  <c r="N21" i="22"/>
  <c r="L19" i="29" s="1"/>
  <c r="P16" i="30"/>
  <c r="N16" i="29"/>
  <c r="I29" i="22"/>
  <c r="P18" i="22"/>
  <c r="P21" i="22" s="1"/>
  <c r="P24" i="22" s="1"/>
  <c r="P27" i="22" s="1"/>
  <c r="P28" i="22" s="1"/>
  <c r="M18" i="22"/>
  <c r="L21" i="22"/>
  <c r="L27" i="22" s="1"/>
  <c r="S16" i="22"/>
  <c r="R21" i="22"/>
  <c r="S20" i="22"/>
  <c r="Q120" i="23"/>
  <c r="Q121" i="23" s="1"/>
  <c r="O123" i="23" s="1"/>
  <c r="I31" i="22"/>
  <c r="G34" i="9"/>
  <c r="H34" i="9"/>
  <c r="K14" i="31"/>
  <c r="K15" i="27"/>
  <c r="M24" i="29"/>
  <c r="AA12" i="29"/>
  <c r="O23" i="30"/>
  <c r="K18" i="31"/>
  <c r="K16" i="31"/>
  <c r="K11" i="31"/>
  <c r="K12" i="31"/>
  <c r="M23" i="29"/>
  <c r="M22" i="29"/>
  <c r="AD11" i="30"/>
  <c r="K13" i="31"/>
  <c r="K14" i="27"/>
  <c r="K18" i="27"/>
  <c r="K13" i="27"/>
  <c r="AB11" i="29"/>
  <c r="K17" i="31"/>
  <c r="O34" i="9"/>
  <c r="Z13" i="22"/>
  <c r="O22" i="30"/>
  <c r="K11" i="27"/>
  <c r="K12" i="27"/>
  <c r="K17" i="27"/>
  <c r="K16" i="27"/>
  <c r="K15" i="31"/>
  <c r="O10" i="7"/>
  <c r="O24" i="30"/>
  <c r="K19" i="27"/>
  <c r="K19" i="31"/>
  <c r="M21" i="22" l="1"/>
  <c r="N27" i="22" s="1"/>
  <c r="N19" i="30"/>
  <c r="T18" i="30"/>
  <c r="U18" i="30" s="1"/>
  <c r="T14" i="30"/>
  <c r="U14" i="30" s="1"/>
  <c r="T19" i="30"/>
  <c r="T11" i="30"/>
  <c r="U11" i="30" s="1"/>
  <c r="U10" i="30" s="1"/>
  <c r="T12" i="30"/>
  <c r="U12" i="30" s="1"/>
  <c r="T17" i="30"/>
  <c r="U17" i="30" s="1"/>
  <c r="T15" i="30"/>
  <c r="U15" i="30" s="1"/>
  <c r="T13" i="30"/>
  <c r="U13" i="30" s="1"/>
  <c r="P29" i="22"/>
  <c r="P30" i="22" s="1"/>
  <c r="P31" i="22" s="1"/>
  <c r="N19" i="29"/>
  <c r="L29" i="22"/>
  <c r="L31" i="22" s="1"/>
  <c r="S29" i="22"/>
  <c r="S16" i="30"/>
  <c r="T16" i="30"/>
  <c r="M16" i="30"/>
  <c r="O122" i="23"/>
  <c r="J31" i="22"/>
  <c r="I35" i="22" s="1"/>
  <c r="S31" i="22"/>
  <c r="G35" i="9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H17" i="21"/>
  <c r="G17" i="21"/>
  <c r="G18" i="21" s="1"/>
  <c r="I33" i="22"/>
  <c r="N21" i="30"/>
  <c r="L115" i="31"/>
  <c r="O35" i="9"/>
  <c r="AC12" i="30"/>
  <c r="K116" i="30"/>
  <c r="I34" i="22"/>
  <c r="M28" i="29" s="1"/>
  <c r="AB12" i="29"/>
  <c r="M27" i="29"/>
  <c r="O28" i="30"/>
  <c r="H35" i="9"/>
  <c r="AB11" i="30"/>
  <c r="I32" i="22"/>
  <c r="L21" i="29"/>
  <c r="K35" i="9"/>
  <c r="L116" i="31"/>
  <c r="Z15" i="22"/>
  <c r="O27" i="30"/>
  <c r="O25" i="30"/>
  <c r="L115" i="27"/>
  <c r="Z14" i="22"/>
  <c r="L116" i="27"/>
  <c r="K115" i="30"/>
  <c r="O26" i="30"/>
  <c r="M25" i="29"/>
  <c r="M26" i="29"/>
  <c r="J17" i="21" l="1"/>
  <c r="N17" i="21" s="1"/>
  <c r="P19" i="30"/>
  <c r="U19" i="30"/>
  <c r="N24" i="22"/>
  <c r="U16" i="30"/>
  <c r="M19" i="30"/>
  <c r="S19" i="30"/>
  <c r="L20" i="29"/>
  <c r="N20" i="29" s="1"/>
  <c r="N21" i="29" s="1"/>
  <c r="Q122" i="23"/>
  <c r="Q123" i="23" s="1"/>
  <c r="O125" i="23" s="1"/>
  <c r="J35" i="22"/>
  <c r="I39" i="22" s="1"/>
  <c r="S34" i="22"/>
  <c r="S33" i="22"/>
  <c r="L33" i="22"/>
  <c r="L35" i="22" s="1"/>
  <c r="S32" i="22"/>
  <c r="P32" i="22"/>
  <c r="P33" i="22" s="1"/>
  <c r="P34" i="22" s="1"/>
  <c r="P35" i="22" s="1"/>
  <c r="S35" i="22"/>
  <c r="G36" i="9"/>
  <c r="G19" i="21"/>
  <c r="T23" i="21"/>
  <c r="I38" i="22"/>
  <c r="M32" i="29"/>
  <c r="AA13" i="29"/>
  <c r="O32" i="30"/>
  <c r="AD12" i="30"/>
  <c r="O36" i="9"/>
  <c r="I36" i="22"/>
  <c r="H36" i="9"/>
  <c r="I37" i="22"/>
  <c r="M29" i="29"/>
  <c r="O30" i="30"/>
  <c r="O29" i="30"/>
  <c r="O31" i="30"/>
  <c r="M30" i="29"/>
  <c r="K17" i="21" l="1"/>
  <c r="M24" i="22"/>
  <c r="N20" i="30"/>
  <c r="T20" i="30"/>
  <c r="O124" i="23"/>
  <c r="S38" i="22"/>
  <c r="S37" i="22"/>
  <c r="S36" i="22"/>
  <c r="S39" i="22"/>
  <c r="J39" i="22"/>
  <c r="P36" i="22"/>
  <c r="P37" i="22" s="1"/>
  <c r="P38" i="22" s="1"/>
  <c r="P39" i="22" s="1"/>
  <c r="L37" i="22"/>
  <c r="L39" i="22" s="1"/>
  <c r="G37" i="9"/>
  <c r="G20" i="21"/>
  <c r="L118" i="31"/>
  <c r="Z16" i="22"/>
  <c r="AB13" i="29"/>
  <c r="L118" i="27"/>
  <c r="K37" i="9"/>
  <c r="K118" i="30"/>
  <c r="Z17" i="22"/>
  <c r="M31" i="29"/>
  <c r="L117" i="31"/>
  <c r="O37" i="9"/>
  <c r="L117" i="27"/>
  <c r="K117" i="30"/>
  <c r="AC13" i="30"/>
  <c r="H37" i="9"/>
  <c r="AB12" i="30"/>
  <c r="P20" i="30" l="1"/>
  <c r="P21" i="30" s="1"/>
  <c r="U20" i="30"/>
  <c r="S20" i="30"/>
  <c r="M20" i="30"/>
  <c r="Q124" i="23"/>
  <c r="Q125" i="23" s="1"/>
  <c r="I43" i="22"/>
  <c r="G38" i="9"/>
  <c r="G21" i="21"/>
  <c r="T22" i="21"/>
  <c r="O38" i="9"/>
  <c r="H38" i="9"/>
  <c r="AD13" i="30"/>
  <c r="I40" i="22"/>
  <c r="O33" i="30"/>
  <c r="I42" i="22"/>
  <c r="M36" i="29" s="1"/>
  <c r="Z18" i="22"/>
  <c r="I41" i="22"/>
  <c r="M34" i="29"/>
  <c r="O36" i="30"/>
  <c r="M33" i="29"/>
  <c r="I21" i="21"/>
  <c r="O34" i="30"/>
  <c r="Z19" i="22"/>
  <c r="O35" i="30"/>
  <c r="M35" i="29"/>
  <c r="R21" i="30" l="1"/>
  <c r="O127" i="23"/>
  <c r="J43" i="22"/>
  <c r="S40" i="22"/>
  <c r="P40" i="22"/>
  <c r="P41" i="22" s="1"/>
  <c r="P42" i="22" s="1"/>
  <c r="P43" i="22" s="1"/>
  <c r="S41" i="22"/>
  <c r="L41" i="22"/>
  <c r="L43" i="22" s="1"/>
  <c r="S42" i="22"/>
  <c r="I47" i="22"/>
  <c r="S43" i="22"/>
  <c r="G39" i="9"/>
  <c r="J21" i="21"/>
  <c r="G22" i="21"/>
  <c r="O39" i="9"/>
  <c r="I45" i="22"/>
  <c r="J18" i="21"/>
  <c r="K39" i="9"/>
  <c r="J19" i="21"/>
  <c r="K20" i="27"/>
  <c r="H39" i="9"/>
  <c r="I46" i="22"/>
  <c r="I44" i="22"/>
  <c r="O38" i="30" s="1"/>
  <c r="M37" i="29"/>
  <c r="J20" i="21"/>
  <c r="O37" i="30"/>
  <c r="K20" i="31"/>
  <c r="M38" i="29"/>
  <c r="M39" i="29"/>
  <c r="M40" i="29"/>
  <c r="Z21" i="22"/>
  <c r="O39" i="30"/>
  <c r="T21" i="30" l="1"/>
  <c r="S21" i="30"/>
  <c r="M21" i="30"/>
  <c r="O126" i="23"/>
  <c r="S44" i="22"/>
  <c r="S46" i="22"/>
  <c r="S45" i="22"/>
  <c r="S47" i="22"/>
  <c r="L45" i="22"/>
  <c r="L47" i="22" s="1"/>
  <c r="P44" i="22"/>
  <c r="P45" i="22" s="1"/>
  <c r="P46" i="22" s="1"/>
  <c r="P47" i="22" s="1"/>
  <c r="J47" i="22"/>
  <c r="G40" i="9"/>
  <c r="N20" i="21"/>
  <c r="N18" i="21"/>
  <c r="N19" i="21"/>
  <c r="N21" i="21"/>
  <c r="K21" i="21"/>
  <c r="G23" i="21"/>
  <c r="T21" i="21"/>
  <c r="K119" i="30"/>
  <c r="Z20" i="22"/>
  <c r="L119" i="27"/>
  <c r="O40" i="30"/>
  <c r="AB13" i="30"/>
  <c r="L120" i="27"/>
  <c r="H40" i="9"/>
  <c r="L120" i="31"/>
  <c r="K120" i="30"/>
  <c r="L119" i="31"/>
  <c r="O40" i="9"/>
  <c r="U21" i="30" l="1"/>
  <c r="Q126" i="23"/>
  <c r="Q127" i="23" s="1"/>
  <c r="O129" i="23" s="1"/>
  <c r="I51" i="22"/>
  <c r="G41" i="9"/>
  <c r="G24" i="21"/>
  <c r="O41" i="9"/>
  <c r="K41" i="9"/>
  <c r="H41" i="9"/>
  <c r="I49" i="22"/>
  <c r="I50" i="22"/>
  <c r="M44" i="29" s="1"/>
  <c r="I48" i="22"/>
  <c r="O42" i="30"/>
  <c r="O43" i="30"/>
  <c r="Z23" i="22"/>
  <c r="M42" i="29"/>
  <c r="M41" i="29"/>
  <c r="O41" i="30"/>
  <c r="O128" i="23" l="1"/>
  <c r="J51" i="22"/>
  <c r="I55" i="22" s="1"/>
  <c r="S49" i="22"/>
  <c r="L49" i="22"/>
  <c r="L51" i="22" s="1"/>
  <c r="S50" i="22"/>
  <c r="S48" i="22"/>
  <c r="P48" i="22"/>
  <c r="P49" i="22" s="1"/>
  <c r="P50" i="22" s="1"/>
  <c r="P51" i="22" s="1"/>
  <c r="S51" i="22"/>
  <c r="G42" i="9"/>
  <c r="G25" i="21"/>
  <c r="T20" i="21"/>
  <c r="M43" i="29"/>
  <c r="L121" i="31"/>
  <c r="H42" i="9"/>
  <c r="L121" i="27"/>
  <c r="I53" i="22"/>
  <c r="L122" i="31"/>
  <c r="L122" i="27"/>
  <c r="K121" i="30"/>
  <c r="I52" i="22"/>
  <c r="I54" i="22"/>
  <c r="O42" i="9"/>
  <c r="I25" i="21"/>
  <c r="M48" i="29"/>
  <c r="O46" i="30"/>
  <c r="O44" i="30"/>
  <c r="M45" i="29"/>
  <c r="Z22" i="22"/>
  <c r="M46" i="29"/>
  <c r="K122" i="30"/>
  <c r="Z24" i="22"/>
  <c r="O45" i="30"/>
  <c r="O47" i="30"/>
  <c r="M47" i="29"/>
  <c r="O48" i="30"/>
  <c r="Z25" i="22"/>
  <c r="Q128" i="23" l="1"/>
  <c r="Q129" i="23" s="1"/>
  <c r="O131" i="23" s="1"/>
  <c r="S54" i="22"/>
  <c r="S53" i="22"/>
  <c r="S52" i="22"/>
  <c r="L53" i="22"/>
  <c r="L55" i="22" s="1"/>
  <c r="S55" i="22"/>
  <c r="J55" i="22"/>
  <c r="P52" i="22"/>
  <c r="P53" i="22" s="1"/>
  <c r="P54" i="22" s="1"/>
  <c r="P55" i="22" s="1"/>
  <c r="G43" i="9"/>
  <c r="J25" i="21"/>
  <c r="G26" i="21"/>
  <c r="O43" i="9"/>
  <c r="J23" i="21"/>
  <c r="K43" i="9"/>
  <c r="H43" i="9"/>
  <c r="J24" i="21"/>
  <c r="J22" i="21"/>
  <c r="O130" i="23" l="1"/>
  <c r="I59" i="22"/>
  <c r="G44" i="9"/>
  <c r="N23" i="21"/>
  <c r="N24" i="21"/>
  <c r="N22" i="21"/>
  <c r="N25" i="21"/>
  <c r="G27" i="21"/>
  <c r="T19" i="21"/>
  <c r="K124" i="30"/>
  <c r="I57" i="22"/>
  <c r="L124" i="31"/>
  <c r="L123" i="27"/>
  <c r="O44" i="9"/>
  <c r="I56" i="22"/>
  <c r="O50" i="30" s="1"/>
  <c r="L124" i="27"/>
  <c r="K123" i="30"/>
  <c r="H44" i="9"/>
  <c r="I58" i="22"/>
  <c r="M51" i="29"/>
  <c r="O49" i="30"/>
  <c r="L123" i="31"/>
  <c r="M49" i="29"/>
  <c r="M50" i="29"/>
  <c r="O51" i="30"/>
  <c r="Q130" i="23" l="1"/>
  <c r="Q131" i="23" s="1"/>
  <c r="O133" i="23" s="1"/>
  <c r="J59" i="22"/>
  <c r="I63" i="22" s="1"/>
  <c r="S58" i="22"/>
  <c r="S56" i="22"/>
  <c r="P56" i="22"/>
  <c r="P57" i="22" s="1"/>
  <c r="P58" i="22" s="1"/>
  <c r="P59" i="22" s="1"/>
  <c r="S57" i="22"/>
  <c r="L57" i="22"/>
  <c r="L59" i="22" s="1"/>
  <c r="S59" i="22"/>
  <c r="G45" i="9"/>
  <c r="G28" i="21"/>
  <c r="Z26" i="22"/>
  <c r="O52" i="30"/>
  <c r="O45" i="9"/>
  <c r="I61" i="22"/>
  <c r="K45" i="9"/>
  <c r="H45" i="9"/>
  <c r="M52" i="29"/>
  <c r="I60" i="22"/>
  <c r="Z27" i="22"/>
  <c r="I62" i="22"/>
  <c r="M56" i="29"/>
  <c r="M53" i="29"/>
  <c r="O53" i="30"/>
  <c r="M54" i="29"/>
  <c r="Z28" i="22"/>
  <c r="O54" i="30"/>
  <c r="O56" i="30"/>
  <c r="Z29" i="22"/>
  <c r="O55" i="30"/>
  <c r="M55" i="29"/>
  <c r="O132" i="23" l="1"/>
  <c r="S60" i="22"/>
  <c r="S62" i="22"/>
  <c r="S61" i="22"/>
  <c r="S63" i="22"/>
  <c r="J63" i="22"/>
  <c r="P60" i="22"/>
  <c r="P61" i="22" s="1"/>
  <c r="P62" i="22" s="1"/>
  <c r="P63" i="22" s="1"/>
  <c r="L61" i="22"/>
  <c r="G46" i="9"/>
  <c r="G29" i="21"/>
  <c r="T18" i="21"/>
  <c r="H15" i="21"/>
  <c r="G15" i="21"/>
  <c r="G16" i="21" s="1"/>
  <c r="O46" i="9"/>
  <c r="H46" i="9"/>
  <c r="K125" i="30"/>
  <c r="I29" i="21"/>
  <c r="L125" i="27"/>
  <c r="L126" i="31"/>
  <c r="L126" i="27"/>
  <c r="L125" i="31"/>
  <c r="K126" i="30"/>
  <c r="J15" i="21" l="1"/>
  <c r="Q132" i="23"/>
  <c r="Q133" i="23" s="1"/>
  <c r="O135" i="23" s="1"/>
  <c r="I67" i="22"/>
  <c r="L63" i="22"/>
  <c r="G47" i="9"/>
  <c r="G30" i="21"/>
  <c r="T17" i="21"/>
  <c r="I65" i="22"/>
  <c r="O47" i="9"/>
  <c r="K47" i="9"/>
  <c r="I64" i="22"/>
  <c r="M58" i="29"/>
  <c r="M57" i="29"/>
  <c r="O58" i="30"/>
  <c r="J16" i="21"/>
  <c r="H47" i="9"/>
  <c r="I66" i="22"/>
  <c r="O59" i="30" s="1"/>
  <c r="M60" i="29"/>
  <c r="O60" i="30"/>
  <c r="O57" i="30"/>
  <c r="Z30" i="22"/>
  <c r="N16" i="21" l="1"/>
  <c r="M17" i="21"/>
  <c r="N15" i="21"/>
  <c r="M16" i="21"/>
  <c r="L17" i="21"/>
  <c r="L15" i="21"/>
  <c r="O134" i="23"/>
  <c r="J67" i="22"/>
  <c r="I71" i="22" s="1"/>
  <c r="V18" i="22"/>
  <c r="S64" i="22"/>
  <c r="P64" i="22"/>
  <c r="P65" i="22" s="1"/>
  <c r="P66" i="22" s="1"/>
  <c r="P67" i="22" s="1"/>
  <c r="S65" i="22"/>
  <c r="S66" i="22"/>
  <c r="S67" i="22"/>
  <c r="L65" i="22"/>
  <c r="G48" i="9"/>
  <c r="G31" i="21"/>
  <c r="I68" i="22"/>
  <c r="O48" i="9"/>
  <c r="L128" i="27"/>
  <c r="L127" i="31"/>
  <c r="M61" i="29"/>
  <c r="H48" i="9"/>
  <c r="I69" i="22"/>
  <c r="O62" i="30" s="1"/>
  <c r="K127" i="30"/>
  <c r="L128" i="31"/>
  <c r="L16" i="21"/>
  <c r="I70" i="22"/>
  <c r="M62" i="29"/>
  <c r="K128" i="30"/>
  <c r="L127" i="27"/>
  <c r="M59" i="29"/>
  <c r="O64" i="30"/>
  <c r="Q134" i="23" l="1"/>
  <c r="Q135" i="23" s="1"/>
  <c r="O137" i="23" s="1"/>
  <c r="J71" i="22"/>
  <c r="I75" i="22" s="1"/>
  <c r="S68" i="22"/>
  <c r="S70" i="22"/>
  <c r="S69" i="22"/>
  <c r="S71" i="22"/>
  <c r="P68" i="22"/>
  <c r="P69" i="22" s="1"/>
  <c r="P70" i="22" s="1"/>
  <c r="P71" i="22" s="1"/>
  <c r="L67" i="22"/>
  <c r="G49" i="9"/>
  <c r="M19" i="21"/>
  <c r="M18" i="21"/>
  <c r="G32" i="21"/>
  <c r="L19" i="21"/>
  <c r="T16" i="21"/>
  <c r="M63" i="29"/>
  <c r="K49" i="9"/>
  <c r="L18" i="21"/>
  <c r="O63" i="30"/>
  <c r="M64" i="29"/>
  <c r="I73" i="22"/>
  <c r="H49" i="9"/>
  <c r="I74" i="22"/>
  <c r="O61" i="30"/>
  <c r="O49" i="9"/>
  <c r="I72" i="22"/>
  <c r="O67" i="30"/>
  <c r="M67" i="29"/>
  <c r="O68" i="30"/>
  <c r="O66" i="30"/>
  <c r="M66" i="29"/>
  <c r="O65" i="30"/>
  <c r="J75" i="22" l="1"/>
  <c r="I79" i="22" s="1"/>
  <c r="O136" i="23"/>
  <c r="S73" i="22"/>
  <c r="S74" i="22"/>
  <c r="S72" i="22"/>
  <c r="P72" i="22"/>
  <c r="P73" i="22" s="1"/>
  <c r="P74" i="22" s="1"/>
  <c r="P75" i="22" s="1"/>
  <c r="S75" i="22"/>
  <c r="L69" i="22"/>
  <c r="G50" i="9"/>
  <c r="M21" i="21"/>
  <c r="M20" i="21"/>
  <c r="G33" i="21"/>
  <c r="L21" i="21"/>
  <c r="M65" i="29"/>
  <c r="L130" i="31"/>
  <c r="I33" i="21"/>
  <c r="I77" i="22"/>
  <c r="L129" i="27"/>
  <c r="K130" i="30"/>
  <c r="O50" i="9"/>
  <c r="I76" i="22"/>
  <c r="M69" i="29" s="1"/>
  <c r="M70" i="29"/>
  <c r="K129" i="30"/>
  <c r="I78" i="22"/>
  <c r="L130" i="27"/>
  <c r="L20" i="21"/>
  <c r="L129" i="31"/>
  <c r="O70" i="30"/>
  <c r="H50" i="9"/>
  <c r="M68" i="29"/>
  <c r="M71" i="29"/>
  <c r="O69" i="30"/>
  <c r="M72" i="29"/>
  <c r="O71" i="30"/>
  <c r="S77" i="22" l="1"/>
  <c r="S76" i="22"/>
  <c r="S78" i="22"/>
  <c r="S79" i="22"/>
  <c r="J79" i="22"/>
  <c r="P76" i="22"/>
  <c r="P77" i="22" s="1"/>
  <c r="P78" i="22" s="1"/>
  <c r="P79" i="22" s="1"/>
  <c r="Q136" i="23"/>
  <c r="Q137" i="23" s="1"/>
  <c r="O139" i="23" s="1"/>
  <c r="L71" i="22"/>
  <c r="G51" i="9"/>
  <c r="M23" i="21"/>
  <c r="M22" i="21"/>
  <c r="G34" i="21"/>
  <c r="L23" i="21"/>
  <c r="T15" i="21"/>
  <c r="H14" i="21"/>
  <c r="G14" i="21"/>
  <c r="K51" i="9"/>
  <c r="O72" i="30"/>
  <c r="L22" i="21"/>
  <c r="O51" i="9"/>
  <c r="H51" i="9"/>
  <c r="J14" i="21" l="1"/>
  <c r="M14" i="21" s="1"/>
  <c r="I83" i="22"/>
  <c r="O138" i="23"/>
  <c r="L73" i="22"/>
  <c r="G52" i="9"/>
  <c r="K25" i="21"/>
  <c r="J29" i="21" s="1"/>
  <c r="G35" i="21"/>
  <c r="T14" i="21"/>
  <c r="H13" i="21"/>
  <c r="G13" i="21"/>
  <c r="J28" i="21"/>
  <c r="J26" i="21"/>
  <c r="I80" i="22"/>
  <c r="L131" i="31"/>
  <c r="K131" i="30"/>
  <c r="O52" i="9"/>
  <c r="L132" i="27"/>
  <c r="I81" i="22"/>
  <c r="M74" i="29" s="1"/>
  <c r="O74" i="30"/>
  <c r="O73" i="30"/>
  <c r="K132" i="30"/>
  <c r="M73" i="29"/>
  <c r="H52" i="9"/>
  <c r="L131" i="27"/>
  <c r="J27" i="21"/>
  <c r="I82" i="22"/>
  <c r="L132" i="31"/>
  <c r="M76" i="29"/>
  <c r="O76" i="30"/>
  <c r="O75" i="30"/>
  <c r="M75" i="29"/>
  <c r="M15" i="21" l="1"/>
  <c r="N14" i="21"/>
  <c r="J13" i="21"/>
  <c r="N13" i="21" s="1"/>
  <c r="S80" i="22"/>
  <c r="P80" i="22"/>
  <c r="P81" i="22" s="1"/>
  <c r="P82" i="22" s="1"/>
  <c r="P83" i="22" s="1"/>
  <c r="S82" i="22"/>
  <c r="S81" i="22"/>
  <c r="S83" i="22"/>
  <c r="J83" i="22"/>
  <c r="Q138" i="23"/>
  <c r="Q139" i="23" s="1"/>
  <c r="O141" i="23" s="1"/>
  <c r="L75" i="22"/>
  <c r="G53" i="9"/>
  <c r="N28" i="21"/>
  <c r="N26" i="21"/>
  <c r="N27" i="21"/>
  <c r="N29" i="21"/>
  <c r="M25" i="21"/>
  <c r="M24" i="21"/>
  <c r="L25" i="21"/>
  <c r="G36" i="21"/>
  <c r="L27" i="21"/>
  <c r="T13" i="21"/>
  <c r="H12" i="21"/>
  <c r="G12" i="21"/>
  <c r="L26" i="21"/>
  <c r="H53" i="9"/>
  <c r="L24" i="21"/>
  <c r="K53" i="9"/>
  <c r="O53" i="9"/>
  <c r="J12" i="21" l="1"/>
  <c r="N12" i="21" s="1"/>
  <c r="I87" i="22"/>
  <c r="O140" i="23"/>
  <c r="L77" i="22"/>
  <c r="G54" i="9"/>
  <c r="K29" i="21"/>
  <c r="J33" i="21" s="1"/>
  <c r="M27" i="21"/>
  <c r="M26" i="21"/>
  <c r="G37" i="21"/>
  <c r="T12" i="21"/>
  <c r="J30" i="21"/>
  <c r="I85" i="22"/>
  <c r="L134" i="27"/>
  <c r="O54" i="9"/>
  <c r="I84" i="22"/>
  <c r="L133" i="31"/>
  <c r="K134" i="30"/>
  <c r="L133" i="27"/>
  <c r="H54" i="9"/>
  <c r="L134" i="31"/>
  <c r="I37" i="21"/>
  <c r="K133" i="30"/>
  <c r="J32" i="21"/>
  <c r="I86" i="22"/>
  <c r="J31" i="21"/>
  <c r="M78" i="29"/>
  <c r="O78" i="30"/>
  <c r="O77" i="30"/>
  <c r="M80" i="29"/>
  <c r="O80" i="30"/>
  <c r="S85" i="22" l="1"/>
  <c r="S86" i="22"/>
  <c r="S84" i="22"/>
  <c r="P84" i="22"/>
  <c r="P85" i="22" s="1"/>
  <c r="P86" i="22" s="1"/>
  <c r="P87" i="22" s="1"/>
  <c r="S87" i="22"/>
  <c r="J87" i="22"/>
  <c r="Q140" i="23"/>
  <c r="Q141" i="23" s="1"/>
  <c r="O143" i="23" s="1"/>
  <c r="L79" i="22"/>
  <c r="G55" i="9"/>
  <c r="N30" i="21"/>
  <c r="N31" i="21"/>
  <c r="N32" i="21"/>
  <c r="N33" i="21"/>
  <c r="M29" i="21"/>
  <c r="M28" i="21"/>
  <c r="L28" i="21"/>
  <c r="G38" i="21"/>
  <c r="T11" i="21"/>
  <c r="H11" i="21"/>
  <c r="G11" i="21"/>
  <c r="M79" i="29"/>
  <c r="K55" i="9"/>
  <c r="O79" i="30"/>
  <c r="O55" i="9"/>
  <c r="L137" i="31"/>
  <c r="H55" i="9"/>
  <c r="H10" i="21"/>
  <c r="L102" i="27"/>
  <c r="L102" i="31"/>
  <c r="L101" i="27"/>
  <c r="K102" i="30"/>
  <c r="K101" i="30"/>
  <c r="L101" i="31"/>
  <c r="K99" i="30"/>
  <c r="K100" i="30"/>
  <c r="L100" i="27"/>
  <c r="L100" i="31"/>
  <c r="L99" i="31"/>
  <c r="L99" i="27"/>
  <c r="L98" i="31"/>
  <c r="L97" i="31"/>
  <c r="L97" i="27"/>
  <c r="K98" i="30"/>
  <c r="K97" i="30"/>
  <c r="L98" i="27"/>
  <c r="L95" i="31"/>
  <c r="L95" i="27"/>
  <c r="L96" i="27"/>
  <c r="K96" i="30"/>
  <c r="L96" i="31"/>
  <c r="K95" i="30"/>
  <c r="K94" i="30"/>
  <c r="L94" i="27"/>
  <c r="L93" i="27"/>
  <c r="L94" i="31"/>
  <c r="L93" i="31"/>
  <c r="K93" i="30"/>
  <c r="L91" i="31"/>
  <c r="K92" i="30"/>
  <c r="L91" i="27"/>
  <c r="L92" i="31"/>
  <c r="K91" i="30"/>
  <c r="L92" i="27"/>
  <c r="K89" i="30"/>
  <c r="L90" i="31"/>
  <c r="L90" i="27"/>
  <c r="L89" i="27"/>
  <c r="K90" i="30"/>
  <c r="L89" i="31"/>
  <c r="K87" i="30"/>
  <c r="L87" i="27"/>
  <c r="L88" i="27"/>
  <c r="L88" i="31"/>
  <c r="K88" i="30"/>
  <c r="L87" i="31"/>
  <c r="K85" i="30"/>
  <c r="L85" i="31"/>
  <c r="L86" i="27"/>
  <c r="L85" i="27"/>
  <c r="L86" i="31"/>
  <c r="K86" i="30"/>
  <c r="K83" i="30"/>
  <c r="L83" i="31"/>
  <c r="L84" i="31"/>
  <c r="L84" i="27"/>
  <c r="L83" i="27"/>
  <c r="K84" i="30"/>
  <c r="K82" i="30"/>
  <c r="L82" i="31"/>
  <c r="L81" i="31"/>
  <c r="L81" i="27"/>
  <c r="L82" i="27"/>
  <c r="K81" i="30"/>
  <c r="K79" i="30"/>
  <c r="L79" i="31"/>
  <c r="L79" i="27"/>
  <c r="L80" i="31"/>
  <c r="K80" i="30"/>
  <c r="L80" i="27"/>
  <c r="K78" i="30"/>
  <c r="L78" i="31"/>
  <c r="L77" i="31"/>
  <c r="K77" i="30"/>
  <c r="L77" i="27"/>
  <c r="L78" i="27"/>
  <c r="L75" i="27"/>
  <c r="L76" i="31"/>
  <c r="L76" i="27"/>
  <c r="L75" i="31"/>
  <c r="K75" i="30"/>
  <c r="K76" i="30"/>
  <c r="K73" i="30"/>
  <c r="L74" i="31"/>
  <c r="L74" i="27"/>
  <c r="L73" i="31"/>
  <c r="L73" i="27"/>
  <c r="K74" i="30"/>
  <c r="L72" i="31"/>
  <c r="L71" i="31"/>
  <c r="L71" i="27"/>
  <c r="K71" i="30"/>
  <c r="L72" i="27"/>
  <c r="K72" i="30"/>
  <c r="L69" i="27"/>
  <c r="L70" i="31"/>
  <c r="L70" i="27"/>
  <c r="K70" i="30"/>
  <c r="L69" i="31"/>
  <c r="K69" i="30"/>
  <c r="K68" i="30"/>
  <c r="L67" i="31"/>
  <c r="L68" i="31"/>
  <c r="K67" i="30"/>
  <c r="L67" i="27"/>
  <c r="L68" i="27"/>
  <c r="K66" i="30"/>
  <c r="L66" i="27"/>
  <c r="L65" i="31"/>
  <c r="L66" i="31"/>
  <c r="K65" i="30"/>
  <c r="L65" i="27"/>
  <c r="K64" i="30"/>
  <c r="L64" i="31"/>
  <c r="K63" i="30"/>
  <c r="L63" i="31"/>
  <c r="L64" i="27"/>
  <c r="L63" i="27"/>
  <c r="K62" i="30"/>
  <c r="L61" i="27"/>
  <c r="L62" i="31"/>
  <c r="L62" i="27"/>
  <c r="L61" i="31"/>
  <c r="K61" i="30"/>
  <c r="K59" i="30"/>
  <c r="L60" i="27"/>
  <c r="L59" i="31"/>
  <c r="L59" i="27"/>
  <c r="K60" i="30"/>
  <c r="L60" i="31"/>
  <c r="L58" i="27"/>
  <c r="Z50" i="23"/>
  <c r="K57" i="30"/>
  <c r="L57" i="31"/>
  <c r="L58" i="31"/>
  <c r="W50" i="31" s="1"/>
  <c r="K58" i="30"/>
  <c r="AA50" i="30" s="1"/>
  <c r="L57" i="27"/>
  <c r="W50" i="27" s="1"/>
  <c r="K56" i="30"/>
  <c r="AA49" i="30" s="1"/>
  <c r="L55" i="31"/>
  <c r="Z48" i="23"/>
  <c r="L56" i="31"/>
  <c r="K55" i="30"/>
  <c r="AA48" i="30" s="1"/>
  <c r="L55" i="27"/>
  <c r="L56" i="27"/>
  <c r="Z49" i="23"/>
  <c r="L54" i="31"/>
  <c r="W47" i="31" s="1"/>
  <c r="K53" i="30"/>
  <c r="L53" i="27"/>
  <c r="L53" i="31"/>
  <c r="W46" i="31" s="1"/>
  <c r="Z46" i="23"/>
  <c r="K54" i="30"/>
  <c r="Z47" i="23"/>
  <c r="L54" i="27"/>
  <c r="W47" i="27" s="1"/>
  <c r="L52" i="27"/>
  <c r="K51" i="30"/>
  <c r="L51" i="27"/>
  <c r="Z45" i="23"/>
  <c r="Z44" i="23"/>
  <c r="K52" i="30"/>
  <c r="AA45" i="30" s="1"/>
  <c r="L51" i="31"/>
  <c r="L52" i="31"/>
  <c r="L50" i="31"/>
  <c r="W43" i="31" s="1"/>
  <c r="K50" i="30"/>
  <c r="L49" i="27"/>
  <c r="K49" i="30"/>
  <c r="AA42" i="30" s="1"/>
  <c r="L50" i="27"/>
  <c r="W43" i="27" s="1"/>
  <c r="Z43" i="23"/>
  <c r="Z42" i="23"/>
  <c r="L49" i="31"/>
  <c r="W42" i="31" s="1"/>
  <c r="K48" i="30"/>
  <c r="AA41" i="30" s="1"/>
  <c r="L47" i="27"/>
  <c r="L48" i="31"/>
  <c r="W41" i="31" s="1"/>
  <c r="Z41" i="23"/>
  <c r="K47" i="30"/>
  <c r="AA40" i="30" s="1"/>
  <c r="L48" i="27"/>
  <c r="W40" i="27" s="1"/>
  <c r="L47" i="31"/>
  <c r="W40" i="31" s="1"/>
  <c r="Z40" i="23"/>
  <c r="L45" i="27"/>
  <c r="Z39" i="23"/>
  <c r="K45" i="30"/>
  <c r="L45" i="31"/>
  <c r="K46" i="30"/>
  <c r="L46" i="31"/>
  <c r="Z38" i="23"/>
  <c r="L46" i="27"/>
  <c r="W39" i="27" s="1"/>
  <c r="L44" i="31"/>
  <c r="W37" i="31" s="1"/>
  <c r="Z36" i="23"/>
  <c r="Z37" i="23"/>
  <c r="K43" i="30"/>
  <c r="L44" i="27"/>
  <c r="W37" i="27" s="1"/>
  <c r="L43" i="27"/>
  <c r="W36" i="27" s="1"/>
  <c r="L43" i="31"/>
  <c r="W36" i="31" s="1"/>
  <c r="K44" i="30"/>
  <c r="L42" i="27"/>
  <c r="W35" i="27" s="1"/>
  <c r="L42" i="31"/>
  <c r="W35" i="31" s="1"/>
  <c r="Z35" i="23"/>
  <c r="K42" i="30"/>
  <c r="AA35" i="30" s="1"/>
  <c r="L41" i="27"/>
  <c r="W34" i="27" s="1"/>
  <c r="K41" i="30"/>
  <c r="AA34" i="30" s="1"/>
  <c r="L41" i="31"/>
  <c r="W34" i="31" s="1"/>
  <c r="Z34" i="23"/>
  <c r="L40" i="31"/>
  <c r="W33" i="31" s="1"/>
  <c r="L39" i="31"/>
  <c r="W32" i="31" s="1"/>
  <c r="K40" i="30"/>
  <c r="AA33" i="30" s="1"/>
  <c r="Z32" i="23"/>
  <c r="Z33" i="23"/>
  <c r="K39" i="30"/>
  <c r="AA32" i="30" s="1"/>
  <c r="L40" i="27"/>
  <c r="W33" i="27" s="1"/>
  <c r="L39" i="27"/>
  <c r="W32" i="27" s="1"/>
  <c r="K38" i="30"/>
  <c r="AA31" i="30" s="1"/>
  <c r="Z31" i="23"/>
  <c r="L38" i="27"/>
  <c r="W31" i="27" s="1"/>
  <c r="Z30" i="23"/>
  <c r="L38" i="31"/>
  <c r="W31" i="31" s="1"/>
  <c r="L37" i="27"/>
  <c r="W30" i="27" s="1"/>
  <c r="K37" i="30"/>
  <c r="AA30" i="30" s="1"/>
  <c r="L37" i="31"/>
  <c r="L36" i="27"/>
  <c r="W29" i="27" s="1"/>
  <c r="Z29" i="23"/>
  <c r="L36" i="31"/>
  <c r="W29" i="31" s="1"/>
  <c r="Z28" i="23"/>
  <c r="K35" i="30"/>
  <c r="K36" i="30"/>
  <c r="L35" i="31"/>
  <c r="W28" i="31" s="1"/>
  <c r="L35" i="27"/>
  <c r="W28" i="27" s="1"/>
  <c r="K33" i="30"/>
  <c r="L34" i="31"/>
  <c r="W27" i="31" s="1"/>
  <c r="L34" i="27"/>
  <c r="W27" i="27" s="1"/>
  <c r="Z27" i="23"/>
  <c r="K34" i="30"/>
  <c r="L33" i="31"/>
  <c r="L33" i="27"/>
  <c r="W26" i="27" s="1"/>
  <c r="Z26" i="23"/>
  <c r="L32" i="27"/>
  <c r="W25" i="27" s="1"/>
  <c r="K31" i="30"/>
  <c r="L32" i="31"/>
  <c r="Z25" i="23"/>
  <c r="L31" i="31"/>
  <c r="W24" i="31" s="1"/>
  <c r="K32" i="30"/>
  <c r="L31" i="27"/>
  <c r="W24" i="27" s="1"/>
  <c r="Z24" i="23"/>
  <c r="Z22" i="23"/>
  <c r="L29" i="27"/>
  <c r="K30" i="30"/>
  <c r="AA23" i="30" s="1"/>
  <c r="Z23" i="23"/>
  <c r="K29" i="30"/>
  <c r="AA22" i="30" s="1"/>
  <c r="L30" i="31"/>
  <c r="W23" i="31" s="1"/>
  <c r="L29" i="31"/>
  <c r="W22" i="31" s="1"/>
  <c r="L30" i="27"/>
  <c r="K28" i="30"/>
  <c r="AA21" i="30" s="1"/>
  <c r="K27" i="30"/>
  <c r="AA20" i="30" s="1"/>
  <c r="L27" i="31"/>
  <c r="L27" i="27"/>
  <c r="Z21" i="23"/>
  <c r="L28" i="27"/>
  <c r="Z20" i="23"/>
  <c r="L28" i="31"/>
  <c r="L25" i="31"/>
  <c r="L25" i="27"/>
  <c r="K25" i="30"/>
  <c r="Z18" i="23"/>
  <c r="L26" i="31"/>
  <c r="L26" i="27"/>
  <c r="K26" i="30"/>
  <c r="Z19" i="23"/>
  <c r="K23" i="30"/>
  <c r="L24" i="31"/>
  <c r="W17" i="31" s="1"/>
  <c r="Z16" i="23"/>
  <c r="L23" i="31"/>
  <c r="L23" i="27"/>
  <c r="Z17" i="23"/>
  <c r="K24" i="30"/>
  <c r="L24" i="27"/>
  <c r="W17" i="27" s="1"/>
  <c r="K22" i="30"/>
  <c r="L22" i="27"/>
  <c r="W15" i="27" s="1"/>
  <c r="L22" i="31"/>
  <c r="W14" i="31" s="1"/>
  <c r="Z15" i="23"/>
  <c r="L137" i="27"/>
  <c r="M77" i="29"/>
  <c r="K137" i="30"/>
  <c r="W48" i="31"/>
  <c r="W49" i="31"/>
  <c r="W48" i="27"/>
  <c r="W49" i="27"/>
  <c r="W46" i="27"/>
  <c r="AA46" i="30"/>
  <c r="AA47" i="30"/>
  <c r="AA44" i="30"/>
  <c r="W44" i="31"/>
  <c r="W45" i="31"/>
  <c r="W42" i="27"/>
  <c r="AA38" i="30"/>
  <c r="AA39" i="30"/>
  <c r="W38" i="31"/>
  <c r="W39" i="31"/>
  <c r="AA36" i="30"/>
  <c r="AA37" i="30"/>
  <c r="AA28" i="30"/>
  <c r="AA29" i="30"/>
  <c r="AA26" i="30"/>
  <c r="AA27" i="30"/>
  <c r="W26" i="31"/>
  <c r="AA24" i="30"/>
  <c r="AA25" i="30"/>
  <c r="W22" i="27"/>
  <c r="W23" i="27"/>
  <c r="W20" i="27"/>
  <c r="W21" i="27"/>
  <c r="W20" i="31"/>
  <c r="W21" i="31"/>
  <c r="W18" i="31"/>
  <c r="W19" i="31"/>
  <c r="W18" i="27"/>
  <c r="W19" i="27"/>
  <c r="AA18" i="30"/>
  <c r="AA19" i="30"/>
  <c r="W16" i="31"/>
  <c r="AA16" i="30"/>
  <c r="AA17" i="30"/>
  <c r="AA15" i="30"/>
  <c r="AA14" i="30"/>
  <c r="W16" i="27"/>
  <c r="W14" i="27"/>
  <c r="W13" i="27"/>
  <c r="J11" i="21" l="1"/>
  <c r="N11" i="21" s="1"/>
  <c r="N10" i="21" s="1"/>
  <c r="I91" i="22"/>
  <c r="J91" i="22" s="1"/>
  <c r="O142" i="23"/>
  <c r="L81" i="22"/>
  <c r="G56" i="9"/>
  <c r="G39" i="21"/>
  <c r="X19" i="27"/>
  <c r="X23" i="27"/>
  <c r="X49" i="27"/>
  <c r="AA17" i="23"/>
  <c r="AA18" i="23"/>
  <c r="AA22" i="23"/>
  <c r="X25" i="27"/>
  <c r="AA27" i="23"/>
  <c r="AA29" i="23"/>
  <c r="AA30" i="23"/>
  <c r="X33" i="27"/>
  <c r="X34" i="27"/>
  <c r="X37" i="27"/>
  <c r="AA38" i="23"/>
  <c r="X40" i="27"/>
  <c r="X43" i="27"/>
  <c r="W44" i="27"/>
  <c r="AA46" i="23"/>
  <c r="X50" i="27"/>
  <c r="I88" i="22"/>
  <c r="X14" i="27"/>
  <c r="O56" i="9"/>
  <c r="L135" i="31"/>
  <c r="L135" i="27"/>
  <c r="K135" i="30"/>
  <c r="AA48" i="23"/>
  <c r="L136" i="27"/>
  <c r="X18" i="27"/>
  <c r="X22" i="27"/>
  <c r="X48" i="27"/>
  <c r="W15" i="31"/>
  <c r="AA20" i="23"/>
  <c r="AA24" i="23"/>
  <c r="AA26" i="23"/>
  <c r="X27" i="27"/>
  <c r="X29" i="27"/>
  <c r="X31" i="27"/>
  <c r="AA33" i="23"/>
  <c r="AA35" i="23"/>
  <c r="AA37" i="23"/>
  <c r="AA39" i="23"/>
  <c r="AA41" i="23"/>
  <c r="W41" i="27"/>
  <c r="AA43" i="30"/>
  <c r="W45" i="27"/>
  <c r="AA50" i="23"/>
  <c r="I90" i="22"/>
  <c r="M84" i="29" s="1"/>
  <c r="X13" i="27"/>
  <c r="H56" i="9"/>
  <c r="X16" i="27"/>
  <c r="K136" i="30"/>
  <c r="X15" i="27"/>
  <c r="X21" i="27"/>
  <c r="X42" i="27"/>
  <c r="AA15" i="23"/>
  <c r="AA16" i="23"/>
  <c r="AA21" i="23"/>
  <c r="X24" i="27"/>
  <c r="X26" i="27"/>
  <c r="X28" i="27"/>
  <c r="W30" i="31"/>
  <c r="AA31" i="23"/>
  <c r="AA32" i="23"/>
  <c r="X35" i="27"/>
  <c r="AA36" i="23"/>
  <c r="W38" i="27"/>
  <c r="AA42" i="23"/>
  <c r="AA44" i="23"/>
  <c r="X47" i="27"/>
  <c r="AA49" i="23"/>
  <c r="X12" i="27"/>
  <c r="M81" i="29"/>
  <c r="I89" i="22"/>
  <c r="M82" i="29" s="1"/>
  <c r="L136" i="31"/>
  <c r="M83" i="29"/>
  <c r="O84" i="30"/>
  <c r="AA47" i="23"/>
  <c r="X11" i="27"/>
  <c r="X20" i="27"/>
  <c r="X46" i="27"/>
  <c r="X17" i="27"/>
  <c r="AA19" i="23"/>
  <c r="AA23" i="23"/>
  <c r="AA25" i="23"/>
  <c r="W25" i="31"/>
  <c r="AA28" i="23"/>
  <c r="X30" i="27"/>
  <c r="X32" i="27"/>
  <c r="AA34" i="23"/>
  <c r="X36" i="27"/>
  <c r="X39" i="27"/>
  <c r="AA40" i="23"/>
  <c r="AA43" i="23"/>
  <c r="AA45" i="23"/>
  <c r="O83" i="30"/>
  <c r="U19" i="23" l="1"/>
  <c r="U20" i="23" s="1"/>
  <c r="S88" i="22"/>
  <c r="P88" i="22"/>
  <c r="P89" i="22" s="1"/>
  <c r="P90" i="22" s="1"/>
  <c r="P91" i="22" s="1"/>
  <c r="S90" i="22"/>
  <c r="S89" i="22"/>
  <c r="I95" i="22"/>
  <c r="S91" i="22"/>
  <c r="Q142" i="23"/>
  <c r="Q143" i="23" s="1"/>
  <c r="L83" i="22"/>
  <c r="G57" i="9"/>
  <c r="M31" i="21"/>
  <c r="M30" i="21"/>
  <c r="L30" i="21"/>
  <c r="K33" i="21"/>
  <c r="J37" i="21" s="1"/>
  <c r="G40" i="21"/>
  <c r="X38" i="27"/>
  <c r="X44" i="27"/>
  <c r="O57" i="9"/>
  <c r="J36" i="21"/>
  <c r="L29" i="21"/>
  <c r="O82" i="30"/>
  <c r="K57" i="9"/>
  <c r="I94" i="22"/>
  <c r="M88" i="29" s="1"/>
  <c r="J35" i="21"/>
  <c r="O81" i="30"/>
  <c r="X45" i="27"/>
  <c r="I93" i="22"/>
  <c r="I92" i="22"/>
  <c r="M85" i="29"/>
  <c r="O88" i="30"/>
  <c r="X41" i="27"/>
  <c r="J34" i="21"/>
  <c r="H57" i="9"/>
  <c r="M87" i="29"/>
  <c r="O87" i="30"/>
  <c r="O85" i="30"/>
  <c r="O86" i="30"/>
  <c r="R20" i="27" l="1"/>
  <c r="S93" i="22"/>
  <c r="S94" i="22"/>
  <c r="S92" i="22"/>
  <c r="S95" i="22"/>
  <c r="P92" i="22"/>
  <c r="P93" i="22" s="1"/>
  <c r="P94" i="22" s="1"/>
  <c r="P95" i="22" s="1"/>
  <c r="J95" i="22"/>
  <c r="L85" i="22"/>
  <c r="G58" i="9"/>
  <c r="N34" i="21"/>
  <c r="N36" i="21"/>
  <c r="N35" i="21"/>
  <c r="N37" i="21"/>
  <c r="M33" i="21"/>
  <c r="M32" i="21"/>
  <c r="L32" i="21"/>
  <c r="G41" i="21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T25" i="20"/>
  <c r="T26" i="20"/>
  <c r="T27" i="20"/>
  <c r="T28" i="20"/>
  <c r="T29" i="20"/>
  <c r="T30" i="20"/>
  <c r="T11" i="20"/>
  <c r="H58" i="9"/>
  <c r="L31" i="21"/>
  <c r="I41" i="21"/>
  <c r="M86" i="29"/>
  <c r="O58" i="9"/>
  <c r="I99" i="22" l="1"/>
  <c r="L87" i="22"/>
  <c r="G59" i="9"/>
  <c r="M35" i="21"/>
  <c r="L34" i="21"/>
  <c r="M34" i="21"/>
  <c r="K37" i="21"/>
  <c r="J41" i="21" s="1"/>
  <c r="G42" i="21"/>
  <c r="G17" i="20"/>
  <c r="G18" i="20" s="1"/>
  <c r="I98" i="22"/>
  <c r="J38" i="21"/>
  <c r="H59" i="9"/>
  <c r="L33" i="21"/>
  <c r="K59" i="9"/>
  <c r="O59" i="9"/>
  <c r="J40" i="21"/>
  <c r="O92" i="30"/>
  <c r="J39" i="21"/>
  <c r="I96" i="22"/>
  <c r="I97" i="22"/>
  <c r="O90" i="30"/>
  <c r="M90" i="29"/>
  <c r="O89" i="30"/>
  <c r="M89" i="29"/>
  <c r="M91" i="29"/>
  <c r="O91" i="30"/>
  <c r="S97" i="22" l="1"/>
  <c r="S96" i="22"/>
  <c r="P96" i="22"/>
  <c r="P97" i="22" s="1"/>
  <c r="P98" i="22" s="1"/>
  <c r="P99" i="22" s="1"/>
  <c r="S98" i="22"/>
  <c r="S99" i="22"/>
  <c r="J99" i="22"/>
  <c r="L89" i="22"/>
  <c r="G60" i="9"/>
  <c r="N39" i="21"/>
  <c r="N40" i="21"/>
  <c r="N38" i="21"/>
  <c r="N41" i="21"/>
  <c r="M37" i="21"/>
  <c r="M36" i="21"/>
  <c r="L36" i="21"/>
  <c r="G43" i="21"/>
  <c r="L37" i="21"/>
  <c r="H17" i="20"/>
  <c r="J17" i="20" s="1"/>
  <c r="N17" i="20" s="1"/>
  <c r="G19" i="20"/>
  <c r="I19" i="20"/>
  <c r="O60" i="9"/>
  <c r="L35" i="21"/>
  <c r="H60" i="9"/>
  <c r="M92" i="29"/>
  <c r="I103" i="22" l="1"/>
  <c r="L91" i="22"/>
  <c r="G61" i="9"/>
  <c r="G44" i="21"/>
  <c r="G20" i="20"/>
  <c r="H61" i="9"/>
  <c r="I101" i="22"/>
  <c r="I102" i="22"/>
  <c r="M96" i="29"/>
  <c r="K61" i="9"/>
  <c r="O61" i="9"/>
  <c r="M95" i="29"/>
  <c r="I100" i="22"/>
  <c r="O95" i="30"/>
  <c r="M93" i="29"/>
  <c r="O93" i="30"/>
  <c r="O94" i="30"/>
  <c r="M94" i="29"/>
  <c r="S100" i="22" l="1"/>
  <c r="P100" i="22"/>
  <c r="P101" i="22" s="1"/>
  <c r="P102" i="22" s="1"/>
  <c r="P103" i="22" s="1"/>
  <c r="S101" i="22"/>
  <c r="S102" i="22"/>
  <c r="S103" i="22"/>
  <c r="J103" i="22"/>
  <c r="L93" i="22"/>
  <c r="G62" i="9"/>
  <c r="M39" i="21"/>
  <c r="M38" i="21"/>
  <c r="L39" i="21"/>
  <c r="K41" i="21"/>
  <c r="G45" i="21"/>
  <c r="G21" i="20"/>
  <c r="O62" i="9"/>
  <c r="I45" i="21"/>
  <c r="H62" i="9"/>
  <c r="I21" i="20"/>
  <c r="L38" i="21"/>
  <c r="O96" i="30"/>
  <c r="I107" i="22" l="1"/>
  <c r="J107" i="22" s="1"/>
  <c r="L95" i="22"/>
  <c r="G63" i="9"/>
  <c r="J45" i="21"/>
  <c r="M41" i="21"/>
  <c r="M40" i="21"/>
  <c r="G46" i="21"/>
  <c r="L41" i="21"/>
  <c r="G22" i="20"/>
  <c r="O63" i="9"/>
  <c r="J44" i="21"/>
  <c r="J43" i="21"/>
  <c r="H63" i="9"/>
  <c r="I106" i="22"/>
  <c r="M100" i="29" s="1"/>
  <c r="J42" i="21"/>
  <c r="I105" i="22"/>
  <c r="I104" i="22"/>
  <c r="M99" i="29"/>
  <c r="O100" i="30"/>
  <c r="L40" i="21"/>
  <c r="K63" i="9"/>
  <c r="O98" i="30"/>
  <c r="M97" i="29"/>
  <c r="O97" i="30"/>
  <c r="M98" i="29"/>
  <c r="S104" i="22" l="1"/>
  <c r="P104" i="22"/>
  <c r="P105" i="22" s="1"/>
  <c r="P106" i="22" s="1"/>
  <c r="P107" i="22" s="1"/>
  <c r="S105" i="22"/>
  <c r="S106" i="22"/>
  <c r="I111" i="22"/>
  <c r="J111" i="22" s="1"/>
  <c r="S107" i="22"/>
  <c r="L97" i="22"/>
  <c r="G64" i="9"/>
  <c r="N44" i="21"/>
  <c r="N42" i="21"/>
  <c r="N43" i="21"/>
  <c r="N45" i="21"/>
  <c r="G47" i="21"/>
  <c r="G23" i="20"/>
  <c r="I23" i="20"/>
  <c r="I108" i="22"/>
  <c r="I110" i="22"/>
  <c r="O104" i="30"/>
  <c r="O64" i="9"/>
  <c r="I109" i="22"/>
  <c r="O101" i="30"/>
  <c r="O103" i="30"/>
  <c r="H64" i="9"/>
  <c r="O99" i="30"/>
  <c r="M101" i="29"/>
  <c r="M102" i="29"/>
  <c r="O102" i="30"/>
  <c r="M103" i="29"/>
  <c r="S108" i="22" l="1"/>
  <c r="S109" i="22"/>
  <c r="S110" i="22"/>
  <c r="I115" i="22"/>
  <c r="J115" i="22" s="1"/>
  <c r="S111" i="22"/>
  <c r="P108" i="22"/>
  <c r="P109" i="22" s="1"/>
  <c r="P110" i="22" s="1"/>
  <c r="P111" i="22" s="1"/>
  <c r="L99" i="22"/>
  <c r="G65" i="9"/>
  <c r="M43" i="21"/>
  <c r="M42" i="21"/>
  <c r="K45" i="21"/>
  <c r="L43" i="21"/>
  <c r="G48" i="21"/>
  <c r="G24" i="20"/>
  <c r="M104" i="29"/>
  <c r="I112" i="22"/>
  <c r="K65" i="9"/>
  <c r="L42" i="21"/>
  <c r="I114" i="22"/>
  <c r="O108" i="30" s="1"/>
  <c r="O65" i="9"/>
  <c r="I113" i="22"/>
  <c r="M105" i="29"/>
  <c r="O105" i="30"/>
  <c r="H65" i="9"/>
  <c r="M108" i="29"/>
  <c r="O107" i="30"/>
  <c r="M107" i="29"/>
  <c r="O106" i="30"/>
  <c r="S112" i="22" l="1"/>
  <c r="S114" i="22"/>
  <c r="S113" i="22"/>
  <c r="I119" i="22"/>
  <c r="J119" i="22" s="1"/>
  <c r="P112" i="22"/>
  <c r="P113" i="22" s="1"/>
  <c r="P114" i="22" s="1"/>
  <c r="P115" i="22" s="1"/>
  <c r="S115" i="22"/>
  <c r="L101" i="22"/>
  <c r="G66" i="9"/>
  <c r="M45" i="21"/>
  <c r="M44" i="21"/>
  <c r="G49" i="21"/>
  <c r="L45" i="21"/>
  <c r="G25" i="20"/>
  <c r="M106" i="29"/>
  <c r="H66" i="9"/>
  <c r="I116" i="22"/>
  <c r="I49" i="21"/>
  <c r="I117" i="22"/>
  <c r="M110" i="29"/>
  <c r="I25" i="20"/>
  <c r="L44" i="21"/>
  <c r="O109" i="30"/>
  <c r="O66" i="9"/>
  <c r="I118" i="22"/>
  <c r="M109" i="29"/>
  <c r="O111" i="30"/>
  <c r="O110" i="30"/>
  <c r="O112" i="30"/>
  <c r="M112" i="29"/>
  <c r="S117" i="22" l="1"/>
  <c r="S118" i="22"/>
  <c r="S116" i="22"/>
  <c r="I123" i="22"/>
  <c r="J123" i="22" s="1"/>
  <c r="I127" i="22" s="1"/>
  <c r="P116" i="22"/>
  <c r="P117" i="22" s="1"/>
  <c r="P118" i="22" s="1"/>
  <c r="P119" i="22" s="1"/>
  <c r="S119" i="22"/>
  <c r="L103" i="22"/>
  <c r="G67" i="9"/>
  <c r="J49" i="21"/>
  <c r="G50" i="21"/>
  <c r="G26" i="20"/>
  <c r="M111" i="29"/>
  <c r="I120" i="22"/>
  <c r="I122" i="22"/>
  <c r="I124" i="22"/>
  <c r="O116" i="30"/>
  <c r="M113" i="29"/>
  <c r="O67" i="9"/>
  <c r="J47" i="21"/>
  <c r="K67" i="9"/>
  <c r="O113" i="30"/>
  <c r="I121" i="22"/>
  <c r="J46" i="21"/>
  <c r="I125" i="22"/>
  <c r="J48" i="21"/>
  <c r="M116" i="29"/>
  <c r="O117" i="30"/>
  <c r="O115" i="30"/>
  <c r="H67" i="9"/>
  <c r="I126" i="22"/>
  <c r="M115" i="29"/>
  <c r="O114" i="30"/>
  <c r="M114" i="29"/>
  <c r="O118" i="30"/>
  <c r="M118" i="29"/>
  <c r="M119" i="29"/>
  <c r="M120" i="29"/>
  <c r="O120" i="30"/>
  <c r="J127" i="22" l="1"/>
  <c r="I131" i="22" s="1"/>
  <c r="S131" i="22" s="1"/>
  <c r="S124" i="22"/>
  <c r="S125" i="22"/>
  <c r="S126" i="22"/>
  <c r="S122" i="22"/>
  <c r="S121" i="22"/>
  <c r="S120" i="22"/>
  <c r="S123" i="22"/>
  <c r="P120" i="22"/>
  <c r="P121" i="22" s="1"/>
  <c r="P122" i="22" s="1"/>
  <c r="P123" i="22" s="1"/>
  <c r="P124" i="22" s="1"/>
  <c r="P125" i="22" s="1"/>
  <c r="P126" i="22" s="1"/>
  <c r="P127" i="22" s="1"/>
  <c r="S127" i="22"/>
  <c r="L105" i="22"/>
  <c r="G68" i="9"/>
  <c r="N47" i="21"/>
  <c r="N46" i="21"/>
  <c r="L46" i="21"/>
  <c r="M47" i="21"/>
  <c r="M46" i="21"/>
  <c r="N48" i="21"/>
  <c r="N49" i="21"/>
  <c r="K49" i="21"/>
  <c r="M49" i="21"/>
  <c r="M48" i="21"/>
  <c r="L48" i="21"/>
  <c r="G51" i="21"/>
  <c r="G27" i="20"/>
  <c r="M117" i="29"/>
  <c r="H68" i="9"/>
  <c r="L47" i="21"/>
  <c r="O119" i="30"/>
  <c r="I27" i="20"/>
  <c r="I129" i="22"/>
  <c r="I128" i="22"/>
  <c r="O68" i="9"/>
  <c r="I130" i="22"/>
  <c r="M122" i="29"/>
  <c r="O121" i="30"/>
  <c r="M121" i="29"/>
  <c r="O122" i="30"/>
  <c r="M123" i="29"/>
  <c r="O123" i="30"/>
  <c r="O124" i="30"/>
  <c r="M124" i="29"/>
  <c r="J131" i="22" l="1"/>
  <c r="I135" i="22" s="1"/>
  <c r="S128" i="22"/>
  <c r="S130" i="22"/>
  <c r="S129" i="22"/>
  <c r="P128" i="22"/>
  <c r="P129" i="22" s="1"/>
  <c r="P130" i="22" s="1"/>
  <c r="P131" i="22" s="1"/>
  <c r="L107" i="22"/>
  <c r="G69" i="9"/>
  <c r="G52" i="21"/>
  <c r="G28" i="20"/>
  <c r="I132" i="22"/>
  <c r="H69" i="9"/>
  <c r="M125" i="29"/>
  <c r="O125" i="30"/>
  <c r="O69" i="9"/>
  <c r="I133" i="22"/>
  <c r="O126" i="30" s="1"/>
  <c r="K69" i="9"/>
  <c r="M126" i="29"/>
  <c r="I134" i="22"/>
  <c r="M127" i="29"/>
  <c r="O127" i="30"/>
  <c r="O128" i="30"/>
  <c r="M128" i="29"/>
  <c r="P132" i="22" l="1"/>
  <c r="P133" i="22" s="1"/>
  <c r="P134" i="22" s="1"/>
  <c r="P135" i="22" s="1"/>
  <c r="S132" i="22"/>
  <c r="S134" i="22"/>
  <c r="S133" i="22"/>
  <c r="J135" i="22"/>
  <c r="I139" i="22" s="1"/>
  <c r="L109" i="22"/>
  <c r="S135" i="22"/>
  <c r="G70" i="9"/>
  <c r="G53" i="21"/>
  <c r="G29" i="20"/>
  <c r="H15" i="20"/>
  <c r="G15" i="20"/>
  <c r="G16" i="20" s="1"/>
  <c r="O70" i="9"/>
  <c r="I137" i="22"/>
  <c r="I29" i="20"/>
  <c r="H70" i="9"/>
  <c r="I136" i="22"/>
  <c r="I53" i="21"/>
  <c r="I138" i="22"/>
  <c r="O129" i="30"/>
  <c r="M130" i="29"/>
  <c r="O130" i="30"/>
  <c r="O132" i="30"/>
  <c r="O131" i="30"/>
  <c r="M132" i="29"/>
  <c r="M131" i="29"/>
  <c r="J15" i="20" l="1"/>
  <c r="J53" i="21"/>
  <c r="K53" i="21" s="1"/>
  <c r="P136" i="22"/>
  <c r="P137" i="22" s="1"/>
  <c r="P138" i="22" s="1"/>
  <c r="P139" i="22" s="1"/>
  <c r="S138" i="22"/>
  <c r="S137" i="22"/>
  <c r="S136" i="22"/>
  <c r="S139" i="22"/>
  <c r="L111" i="22"/>
  <c r="J139" i="22"/>
  <c r="G71" i="9"/>
  <c r="G54" i="21"/>
  <c r="G30" i="20"/>
  <c r="M129" i="29"/>
  <c r="O71" i="9"/>
  <c r="J16" i="20"/>
  <c r="H71" i="9"/>
  <c r="K71" i="9"/>
  <c r="J50" i="21"/>
  <c r="J52" i="21"/>
  <c r="J51" i="21"/>
  <c r="M17" i="20" l="1"/>
  <c r="N16" i="20"/>
  <c r="L17" i="20"/>
  <c r="K15" i="20"/>
  <c r="K17" i="20" s="1"/>
  <c r="J19" i="20" s="1"/>
  <c r="N15" i="20"/>
  <c r="M16" i="20"/>
  <c r="L15" i="20"/>
  <c r="N51" i="21"/>
  <c r="N50" i="21"/>
  <c r="M50" i="21"/>
  <c r="M51" i="21"/>
  <c r="L50" i="21"/>
  <c r="N52" i="21"/>
  <c r="N53" i="21"/>
  <c r="L113" i="22"/>
  <c r="I143" i="22"/>
  <c r="G72" i="9"/>
  <c r="M53" i="21"/>
  <c r="M52" i="21"/>
  <c r="L52" i="21"/>
  <c r="G55" i="21"/>
  <c r="G31" i="20"/>
  <c r="J18" i="20"/>
  <c r="I141" i="22"/>
  <c r="L16" i="20"/>
  <c r="I142" i="22"/>
  <c r="I31" i="20"/>
  <c r="H72" i="9"/>
  <c r="M137" i="29"/>
  <c r="I140" i="22"/>
  <c r="V11" i="20"/>
  <c r="O72" i="9"/>
  <c r="M136" i="29"/>
  <c r="O135" i="30"/>
  <c r="L51" i="21"/>
  <c r="O137" i="30"/>
  <c r="L49" i="21"/>
  <c r="O134" i="30"/>
  <c r="M134" i="29"/>
  <c r="O133" i="30"/>
  <c r="M133" i="29"/>
  <c r="P140" i="22" l="1"/>
  <c r="P141" i="22" s="1"/>
  <c r="P142" i="22" s="1"/>
  <c r="P143" i="22" s="1"/>
  <c r="S141" i="22"/>
  <c r="S142" i="22"/>
  <c r="S140" i="22"/>
  <c r="S143" i="22"/>
  <c r="J143" i="22"/>
  <c r="L115" i="22"/>
  <c r="G73" i="9"/>
  <c r="K19" i="20"/>
  <c r="J21" i="20" s="1"/>
  <c r="L19" i="20"/>
  <c r="G56" i="21"/>
  <c r="M19" i="20"/>
  <c r="N18" i="20"/>
  <c r="M18" i="20"/>
  <c r="N19" i="20"/>
  <c r="G32" i="20"/>
  <c r="O73" i="9"/>
  <c r="H73" i="9"/>
  <c r="O136" i="30"/>
  <c r="J20" i="20"/>
  <c r="M135" i="29"/>
  <c r="K73" i="9"/>
  <c r="L18" i="20"/>
  <c r="L117" i="22" l="1"/>
  <c r="G74" i="9"/>
  <c r="K21" i="20"/>
  <c r="J23" i="20" s="1"/>
  <c r="G57" i="21"/>
  <c r="M21" i="20"/>
  <c r="N20" i="20"/>
  <c r="M20" i="20"/>
  <c r="N21" i="20"/>
  <c r="G33" i="20"/>
  <c r="L21" i="20"/>
  <c r="L20" i="20"/>
  <c r="I33" i="20"/>
  <c r="H74" i="9"/>
  <c r="O74" i="9"/>
  <c r="J22" i="20"/>
  <c r="I57" i="21"/>
  <c r="J57" i="21" l="1"/>
  <c r="L119" i="22"/>
  <c r="G75" i="9"/>
  <c r="G58" i="21"/>
  <c r="M23" i="20"/>
  <c r="N22" i="20"/>
  <c r="M22" i="20"/>
  <c r="G34" i="20"/>
  <c r="N23" i="20"/>
  <c r="L23" i="20"/>
  <c r="K23" i="20"/>
  <c r="H14" i="20"/>
  <c r="G14" i="20"/>
  <c r="L22" i="20"/>
  <c r="O75" i="9"/>
  <c r="H75" i="9"/>
  <c r="K75" i="9"/>
  <c r="J56" i="21"/>
  <c r="J54" i="21"/>
  <c r="J55" i="21"/>
  <c r="N54" i="21" l="1"/>
  <c r="M54" i="21"/>
  <c r="M55" i="21"/>
  <c r="L54" i="21"/>
  <c r="N55" i="21"/>
  <c r="L55" i="21"/>
  <c r="N56" i="21"/>
  <c r="N57" i="21"/>
  <c r="K57" i="21"/>
  <c r="J14" i="20"/>
  <c r="M15" i="20" s="1"/>
  <c r="L121" i="22"/>
  <c r="G76" i="9"/>
  <c r="M57" i="21"/>
  <c r="M56" i="21"/>
  <c r="L57" i="21"/>
  <c r="G59" i="21"/>
  <c r="G35" i="20"/>
  <c r="J25" i="20"/>
  <c r="H13" i="20"/>
  <c r="G13" i="20"/>
  <c r="L53" i="21"/>
  <c r="J24" i="20"/>
  <c r="I35" i="20"/>
  <c r="O76" i="9"/>
  <c r="H76" i="9"/>
  <c r="L56" i="21"/>
  <c r="M14" i="20" l="1"/>
  <c r="J13" i="20"/>
  <c r="N13" i="20" s="1"/>
  <c r="N14" i="20"/>
  <c r="L123" i="22"/>
  <c r="G77" i="9"/>
  <c r="G60" i="21"/>
  <c r="K25" i="20"/>
  <c r="M25" i="20"/>
  <c r="N24" i="20"/>
  <c r="M24" i="20"/>
  <c r="J27" i="20"/>
  <c r="N25" i="20"/>
  <c r="L25" i="20"/>
  <c r="G36" i="20"/>
  <c r="H12" i="20"/>
  <c r="G12" i="20"/>
  <c r="H77" i="9"/>
  <c r="L24" i="20"/>
  <c r="J26" i="20"/>
  <c r="K77" i="9"/>
  <c r="O77" i="9"/>
  <c r="L125" i="22" l="1"/>
  <c r="G78" i="9"/>
  <c r="K27" i="20"/>
  <c r="G61" i="21"/>
  <c r="J12" i="20"/>
  <c r="N12" i="20" s="1"/>
  <c r="M27" i="20"/>
  <c r="N26" i="20"/>
  <c r="M26" i="20"/>
  <c r="N27" i="20"/>
  <c r="G37" i="20"/>
  <c r="L27" i="20"/>
  <c r="I61" i="21"/>
  <c r="I37" i="20"/>
  <c r="O78" i="9"/>
  <c r="H78" i="9"/>
  <c r="L26" i="20"/>
  <c r="J61" i="21" l="1"/>
  <c r="K61" i="21" s="1"/>
  <c r="L127" i="22"/>
  <c r="G79" i="9"/>
  <c r="J29" i="20"/>
  <c r="G62" i="21"/>
  <c r="G38" i="20"/>
  <c r="H11" i="20"/>
  <c r="G11" i="20"/>
  <c r="J59" i="21"/>
  <c r="J60" i="21"/>
  <c r="J58" i="21"/>
  <c r="J28" i="20"/>
  <c r="O79" i="9"/>
  <c r="H10" i="20"/>
  <c r="H79" i="9"/>
  <c r="K79" i="9"/>
  <c r="J11" i="20" l="1"/>
  <c r="N11" i="20" s="1"/>
  <c r="N10" i="20" s="1"/>
  <c r="N58" i="21"/>
  <c r="M58" i="21"/>
  <c r="M59" i="21"/>
  <c r="N59" i="21"/>
  <c r="L59" i="21"/>
  <c r="N60" i="21"/>
  <c r="N61" i="21"/>
  <c r="N29" i="20"/>
  <c r="L129" i="22"/>
  <c r="G80" i="9"/>
  <c r="K29" i="20"/>
  <c r="J31" i="20" s="1"/>
  <c r="N28" i="20"/>
  <c r="M28" i="20"/>
  <c r="L28" i="20"/>
  <c r="M29" i="20"/>
  <c r="M61" i="21"/>
  <c r="M60" i="21"/>
  <c r="G63" i="21"/>
  <c r="L61" i="21"/>
  <c r="G39" i="20"/>
  <c r="O80" i="9"/>
  <c r="L58" i="21"/>
  <c r="L60" i="21"/>
  <c r="I39" i="20"/>
  <c r="J30" i="20"/>
  <c r="H80" i="9"/>
  <c r="N31" i="20" l="1"/>
  <c r="L131" i="22"/>
  <c r="K31" i="20"/>
  <c r="J33" i="20" s="1"/>
  <c r="G81" i="9"/>
  <c r="M30" i="20"/>
  <c r="N30" i="20"/>
  <c r="L30" i="20"/>
  <c r="M31" i="20"/>
  <c r="G64" i="21"/>
  <c r="G40" i="20"/>
  <c r="T12" i="10"/>
  <c r="T13" i="10"/>
  <c r="T14" i="10"/>
  <c r="T15" i="10"/>
  <c r="T16" i="10"/>
  <c r="T17" i="10"/>
  <c r="T18" i="10"/>
  <c r="T19" i="10"/>
  <c r="T20" i="10"/>
  <c r="T21" i="10"/>
  <c r="T22" i="10"/>
  <c r="T23" i="10"/>
  <c r="T24" i="10"/>
  <c r="T25" i="10"/>
  <c r="T26" i="10"/>
  <c r="T27" i="10"/>
  <c r="T28" i="10"/>
  <c r="T29" i="10"/>
  <c r="T30" i="10"/>
  <c r="T31" i="10"/>
  <c r="T32" i="10"/>
  <c r="T33" i="10"/>
  <c r="T34" i="10"/>
  <c r="T35" i="10"/>
  <c r="T36" i="10"/>
  <c r="T37" i="10"/>
  <c r="T38" i="10"/>
  <c r="T39" i="10"/>
  <c r="T40" i="10"/>
  <c r="T41" i="10"/>
  <c r="T42" i="10"/>
  <c r="T43" i="10"/>
  <c r="T44" i="10"/>
  <c r="T45" i="10"/>
  <c r="T46" i="10"/>
  <c r="T47" i="10"/>
  <c r="T48" i="10"/>
  <c r="T49" i="10"/>
  <c r="T50" i="10"/>
  <c r="T11" i="10"/>
  <c r="K81" i="9"/>
  <c r="O81" i="9"/>
  <c r="H81" i="9"/>
  <c r="L29" i="20"/>
  <c r="J32" i="20"/>
  <c r="K33" i="20" l="1"/>
  <c r="J35" i="20" s="1"/>
  <c r="L133" i="22"/>
  <c r="G82" i="9"/>
  <c r="G65" i="21"/>
  <c r="M33" i="20"/>
  <c r="N32" i="20"/>
  <c r="M32" i="20"/>
  <c r="L32" i="20"/>
  <c r="N33" i="20"/>
  <c r="G41" i="20"/>
  <c r="O82" i="9"/>
  <c r="H82" i="9"/>
  <c r="I65" i="21"/>
  <c r="I41" i="20"/>
  <c r="L31" i="20"/>
  <c r="J34" i="20"/>
  <c r="J65" i="21" l="1"/>
  <c r="L135" i="22"/>
  <c r="G83" i="9"/>
  <c r="G66" i="21"/>
  <c r="K35" i="20"/>
  <c r="J37" i="20" s="1"/>
  <c r="M35" i="20"/>
  <c r="N34" i="20"/>
  <c r="M34" i="20"/>
  <c r="L34" i="20"/>
  <c r="G42" i="20"/>
  <c r="N35" i="20"/>
  <c r="J64" i="21"/>
  <c r="L33" i="20"/>
  <c r="J36" i="20"/>
  <c r="J63" i="21"/>
  <c r="H83" i="9"/>
  <c r="K83" i="9"/>
  <c r="O83" i="9"/>
  <c r="J62" i="21"/>
  <c r="N62" i="21" l="1"/>
  <c r="M63" i="21"/>
  <c r="M62" i="21"/>
  <c r="N63" i="21"/>
  <c r="L63" i="21"/>
  <c r="N64" i="21"/>
  <c r="N65" i="21"/>
  <c r="K65" i="21"/>
  <c r="K37" i="20"/>
  <c r="L137" i="22"/>
  <c r="G84" i="9"/>
  <c r="M65" i="21"/>
  <c r="L64" i="21"/>
  <c r="M64" i="21"/>
  <c r="G67" i="21"/>
  <c r="L37" i="20"/>
  <c r="M37" i="20"/>
  <c r="N36" i="20"/>
  <c r="L36" i="20"/>
  <c r="M36" i="20"/>
  <c r="J39" i="20"/>
  <c r="G43" i="20"/>
  <c r="N37" i="20"/>
  <c r="L62" i="21"/>
  <c r="L35" i="20"/>
  <c r="I43" i="20"/>
  <c r="O84" i="9"/>
  <c r="J38" i="20"/>
  <c r="H84" i="9"/>
  <c r="K39" i="20" l="1"/>
  <c r="J41" i="20" s="1"/>
  <c r="L139" i="22"/>
  <c r="G85" i="9"/>
  <c r="G68" i="21"/>
  <c r="M39" i="20"/>
  <c r="N38" i="20"/>
  <c r="M38" i="20"/>
  <c r="N39" i="20"/>
  <c r="G44" i="20"/>
  <c r="L39" i="20"/>
  <c r="K85" i="9"/>
  <c r="O85" i="9"/>
  <c r="H85" i="9"/>
  <c r="J40" i="20"/>
  <c r="L38" i="20"/>
  <c r="L141" i="22" l="1"/>
  <c r="G86" i="9"/>
  <c r="K41" i="20"/>
  <c r="J43" i="20" s="1"/>
  <c r="G69" i="21"/>
  <c r="L41" i="20"/>
  <c r="M41" i="20"/>
  <c r="N40" i="20"/>
  <c r="M40" i="20"/>
  <c r="N41" i="20"/>
  <c r="G45" i="20"/>
  <c r="J42" i="20"/>
  <c r="I69" i="21"/>
  <c r="I45" i="20"/>
  <c r="H86" i="9"/>
  <c r="L40" i="20"/>
  <c r="O86" i="9"/>
  <c r="J69" i="21" l="1"/>
  <c r="K69" i="21" s="1"/>
  <c r="L143" i="22"/>
  <c r="G87" i="9"/>
  <c r="L43" i="20"/>
  <c r="G70" i="21"/>
  <c r="K43" i="20"/>
  <c r="J45" i="20" s="1"/>
  <c r="M43" i="20"/>
  <c r="N42" i="20"/>
  <c r="M42" i="20"/>
  <c r="G46" i="20"/>
  <c r="N43" i="20"/>
  <c r="J66" i="21"/>
  <c r="J67" i="21"/>
  <c r="L42" i="20"/>
  <c r="J44" i="20"/>
  <c r="H87" i="9"/>
  <c r="J68" i="21"/>
  <c r="O87" i="9"/>
  <c r="K87" i="9"/>
  <c r="N66" i="21" l="1"/>
  <c r="M66" i="21"/>
  <c r="L66" i="21"/>
  <c r="M67" i="21"/>
  <c r="N67" i="21"/>
  <c r="N68" i="21"/>
  <c r="N69" i="21"/>
  <c r="G88" i="9"/>
  <c r="M69" i="21"/>
  <c r="M68" i="21"/>
  <c r="L68" i="21"/>
  <c r="G71" i="21"/>
  <c r="K45" i="20"/>
  <c r="M45" i="20"/>
  <c r="N44" i="20"/>
  <c r="M44" i="20"/>
  <c r="G47" i="20"/>
  <c r="N45" i="20"/>
  <c r="L45" i="20"/>
  <c r="O88" i="9"/>
  <c r="L65" i="21"/>
  <c r="H88" i="9"/>
  <c r="L44" i="20"/>
  <c r="L67" i="21"/>
  <c r="I47" i="20"/>
  <c r="G89" i="9" l="1"/>
  <c r="G72" i="21"/>
  <c r="J47" i="20"/>
  <c r="G48" i="20"/>
  <c r="O89" i="9"/>
  <c r="J46" i="20"/>
  <c r="H89" i="9"/>
  <c r="K89" i="9"/>
  <c r="G90" i="9" l="1"/>
  <c r="G73" i="21"/>
  <c r="M47" i="20"/>
  <c r="N46" i="20"/>
  <c r="M46" i="20"/>
  <c r="L46" i="20"/>
  <c r="N47" i="20"/>
  <c r="K47" i="20"/>
  <c r="G49" i="20"/>
  <c r="H90" i="9"/>
  <c r="O90" i="9"/>
  <c r="I73" i="21"/>
  <c r="I49" i="20"/>
  <c r="J73" i="21" l="1"/>
  <c r="K73" i="21" s="1"/>
  <c r="G91" i="9"/>
  <c r="G74" i="21"/>
  <c r="J49" i="20"/>
  <c r="G50" i="20"/>
  <c r="J48" i="20"/>
  <c r="O91" i="9"/>
  <c r="H91" i="9"/>
  <c r="J71" i="21"/>
  <c r="K91" i="9"/>
  <c r="J72" i="21"/>
  <c r="J70" i="21"/>
  <c r="N70" i="21" l="1"/>
  <c r="M70" i="21"/>
  <c r="L70" i="21"/>
  <c r="M71" i="21"/>
  <c r="N71" i="21"/>
  <c r="N72" i="21"/>
  <c r="N73" i="21"/>
  <c r="G92" i="9"/>
  <c r="M73" i="21"/>
  <c r="M72" i="21"/>
  <c r="L72" i="21"/>
  <c r="L73" i="21"/>
  <c r="G75" i="21"/>
  <c r="M49" i="20"/>
  <c r="N48" i="20"/>
  <c r="M48" i="20"/>
  <c r="L48" i="20"/>
  <c r="G51" i="20"/>
  <c r="N49" i="20"/>
  <c r="K49" i="20"/>
  <c r="L69" i="21"/>
  <c r="L47" i="20"/>
  <c r="I51" i="20"/>
  <c r="O92" i="9"/>
  <c r="H92" i="9"/>
  <c r="L71" i="21"/>
  <c r="G93" i="9" l="1"/>
  <c r="G76" i="21"/>
  <c r="J51" i="20"/>
  <c r="G52" i="20"/>
  <c r="J50" i="20"/>
  <c r="O93" i="9"/>
  <c r="K93" i="9"/>
  <c r="H93" i="9"/>
  <c r="G94" i="9" l="1"/>
  <c r="G77" i="21"/>
  <c r="K51" i="20"/>
  <c r="M51" i="20"/>
  <c r="N50" i="20"/>
  <c r="M50" i="20"/>
  <c r="L50" i="20"/>
  <c r="N51" i="20"/>
  <c r="G53" i="20"/>
  <c r="H94" i="9"/>
  <c r="I53" i="20"/>
  <c r="I77" i="21"/>
  <c r="L49" i="20"/>
  <c r="O94" i="9"/>
  <c r="J77" i="21" l="1"/>
  <c r="K77" i="21" s="1"/>
  <c r="G95" i="9"/>
  <c r="G78" i="21"/>
  <c r="J53" i="20"/>
  <c r="G54" i="20"/>
  <c r="H95" i="9"/>
  <c r="J76" i="21"/>
  <c r="K95" i="9"/>
  <c r="O95" i="9"/>
  <c r="J52" i="20"/>
  <c r="J75" i="21"/>
  <c r="J74" i="21"/>
  <c r="N74" i="21" l="1"/>
  <c r="M74" i="21"/>
  <c r="M75" i="21"/>
  <c r="N75" i="21"/>
  <c r="L75" i="21"/>
  <c r="N76" i="21"/>
  <c r="N77" i="21"/>
  <c r="G96" i="9"/>
  <c r="M77" i="21"/>
  <c r="M76" i="21"/>
  <c r="L77" i="21"/>
  <c r="G79" i="21"/>
  <c r="M53" i="20"/>
  <c r="N52" i="20"/>
  <c r="M52" i="20"/>
  <c r="L52" i="20"/>
  <c r="N53" i="20"/>
  <c r="K53" i="20"/>
  <c r="G55" i="20"/>
  <c r="L74" i="21"/>
  <c r="I55" i="20"/>
  <c r="L51" i="20"/>
  <c r="H96" i="9"/>
  <c r="L76" i="21"/>
  <c r="O96" i="9"/>
  <c r="G97" i="9" l="1"/>
  <c r="G80" i="21"/>
  <c r="J55" i="20"/>
  <c r="G56" i="20"/>
  <c r="K97" i="9"/>
  <c r="J54" i="20"/>
  <c r="O97" i="9"/>
  <c r="H97" i="9"/>
  <c r="K55" i="20" l="1"/>
  <c r="G98" i="9"/>
  <c r="G81" i="21"/>
  <c r="M55" i="20"/>
  <c r="N54" i="20"/>
  <c r="L54" i="20"/>
  <c r="M54" i="20"/>
  <c r="N55" i="20"/>
  <c r="L55" i="20"/>
  <c r="G57" i="20"/>
  <c r="I81" i="21"/>
  <c r="H98" i="9"/>
  <c r="I57" i="20"/>
  <c r="L53" i="20"/>
  <c r="O98" i="9"/>
  <c r="J81" i="21" l="1"/>
  <c r="K81" i="21" s="1"/>
  <c r="G99" i="9"/>
  <c r="G82" i="21"/>
  <c r="J57" i="20"/>
  <c r="G58" i="20"/>
  <c r="K99" i="9"/>
  <c r="O99" i="9"/>
  <c r="H99" i="9"/>
  <c r="J80" i="21"/>
  <c r="J79" i="21"/>
  <c r="J78" i="21"/>
  <c r="J56" i="20"/>
  <c r="N78" i="21" l="1"/>
  <c r="M78" i="21"/>
  <c r="M79" i="21"/>
  <c r="N79" i="21"/>
  <c r="L79" i="21"/>
  <c r="N80" i="21"/>
  <c r="N81" i="21"/>
  <c r="G100" i="9"/>
  <c r="M81" i="21"/>
  <c r="M80" i="21"/>
  <c r="L81" i="21"/>
  <c r="G83" i="21"/>
  <c r="M57" i="20"/>
  <c r="N56" i="20"/>
  <c r="M56" i="20"/>
  <c r="N57" i="20"/>
  <c r="K57" i="20"/>
  <c r="L57" i="20"/>
  <c r="G59" i="20"/>
  <c r="I59" i="20"/>
  <c r="L56" i="20"/>
  <c r="L78" i="21"/>
  <c r="H100" i="9"/>
  <c r="O100" i="9"/>
  <c r="L80" i="21"/>
  <c r="G101" i="9" l="1"/>
  <c r="G84" i="21"/>
  <c r="J59" i="20"/>
  <c r="G60" i="20"/>
  <c r="H101" i="9"/>
  <c r="J58" i="20"/>
  <c r="O101" i="9"/>
  <c r="K101" i="9"/>
  <c r="K59" i="20" l="1"/>
  <c r="G102" i="9"/>
  <c r="G85" i="21"/>
  <c r="M59" i="20"/>
  <c r="N58" i="20"/>
  <c r="M58" i="20"/>
  <c r="N59" i="20"/>
  <c r="L59" i="20"/>
  <c r="G61" i="20"/>
  <c r="I85" i="21"/>
  <c r="I61" i="20"/>
  <c r="H102" i="9"/>
  <c r="L58" i="20"/>
  <c r="O102" i="9"/>
  <c r="J85" i="21" l="1"/>
  <c r="G103" i="9"/>
  <c r="G86" i="21"/>
  <c r="J61" i="20"/>
  <c r="G62" i="20"/>
  <c r="H103" i="9"/>
  <c r="J83" i="21"/>
  <c r="K103" i="9"/>
  <c r="O103" i="9"/>
  <c r="J60" i="20"/>
  <c r="J82" i="21"/>
  <c r="J84" i="21"/>
  <c r="N82" i="21" l="1"/>
  <c r="L82" i="21"/>
  <c r="M82" i="21"/>
  <c r="M83" i="21"/>
  <c r="N83" i="21"/>
  <c r="N84" i="21"/>
  <c r="N85" i="21"/>
  <c r="K85" i="21"/>
  <c r="G104" i="9"/>
  <c r="M85" i="21"/>
  <c r="M84" i="21"/>
  <c r="L84" i="21"/>
  <c r="G87" i="21"/>
  <c r="M61" i="20"/>
  <c r="N60" i="20"/>
  <c r="M60" i="20"/>
  <c r="N61" i="20"/>
  <c r="L61" i="20"/>
  <c r="K61" i="20"/>
  <c r="G63" i="20"/>
  <c r="I63" i="20"/>
  <c r="L60" i="20"/>
  <c r="O104" i="9"/>
  <c r="H104" i="9"/>
  <c r="L83" i="21"/>
  <c r="G105" i="9" l="1"/>
  <c r="G88" i="21"/>
  <c r="J63" i="20"/>
  <c r="G64" i="20"/>
  <c r="H105" i="9"/>
  <c r="K105" i="9"/>
  <c r="J62" i="20"/>
  <c r="O105" i="9"/>
  <c r="G106" i="9" l="1"/>
  <c r="G89" i="21"/>
  <c r="M63" i="20"/>
  <c r="N62" i="20"/>
  <c r="M62" i="20"/>
  <c r="N63" i="20"/>
  <c r="L63" i="20"/>
  <c r="K63" i="20"/>
  <c r="G65" i="20"/>
  <c r="I89" i="21"/>
  <c r="O106" i="9"/>
  <c r="I65" i="20"/>
  <c r="H106" i="9"/>
  <c r="L62" i="20"/>
  <c r="J89" i="21" l="1"/>
  <c r="K89" i="21" s="1"/>
  <c r="G107" i="9"/>
  <c r="G90" i="21"/>
  <c r="J65" i="20"/>
  <c r="G66" i="20"/>
  <c r="K107" i="9"/>
  <c r="J88" i="21"/>
  <c r="H107" i="9"/>
  <c r="J87" i="21"/>
  <c r="J86" i="21"/>
  <c r="J64" i="20"/>
  <c r="O107" i="9"/>
  <c r="N86" i="21" l="1"/>
  <c r="M86" i="21"/>
  <c r="L86" i="21"/>
  <c r="M87" i="21"/>
  <c r="N87" i="21"/>
  <c r="N88" i="21"/>
  <c r="N89" i="21"/>
  <c r="K65" i="20"/>
  <c r="G108" i="9"/>
  <c r="M89" i="21"/>
  <c r="L88" i="21"/>
  <c r="M88" i="21"/>
  <c r="G91" i="21"/>
  <c r="M65" i="20"/>
  <c r="N64" i="20"/>
  <c r="L64" i="20"/>
  <c r="M64" i="20"/>
  <c r="N65" i="20"/>
  <c r="G67" i="20"/>
  <c r="L85" i="21"/>
  <c r="I67" i="20"/>
  <c r="H108" i="9"/>
  <c r="O108" i="9"/>
  <c r="L87" i="21"/>
  <c r="G109" i="9" l="1"/>
  <c r="G92" i="21"/>
  <c r="J67" i="20"/>
  <c r="G68" i="20"/>
  <c r="J66" i="20"/>
  <c r="K109" i="9"/>
  <c r="O109" i="9"/>
  <c r="H109" i="9"/>
  <c r="G110" i="9" l="1"/>
  <c r="G93" i="21"/>
  <c r="M67" i="20"/>
  <c r="N66" i="20"/>
  <c r="M66" i="20"/>
  <c r="L66" i="20"/>
  <c r="N67" i="20"/>
  <c r="K67" i="20"/>
  <c r="G69" i="20"/>
  <c r="H110" i="9"/>
  <c r="I69" i="20"/>
  <c r="I93" i="21"/>
  <c r="L65" i="20"/>
  <c r="O110" i="9"/>
  <c r="J93" i="21" l="1"/>
  <c r="K93" i="21" s="1"/>
  <c r="G111" i="9"/>
  <c r="G94" i="21"/>
  <c r="J69" i="20"/>
  <c r="G70" i="20"/>
  <c r="K111" i="9"/>
  <c r="O111" i="9"/>
  <c r="H111" i="9"/>
  <c r="J90" i="21"/>
  <c r="J68" i="20"/>
  <c r="J91" i="21"/>
  <c r="J92" i="21"/>
  <c r="N90" i="21" l="1"/>
  <c r="M90" i="21"/>
  <c r="L90" i="21"/>
  <c r="M91" i="21"/>
  <c r="N91" i="21"/>
  <c r="L91" i="21"/>
  <c r="N92" i="21"/>
  <c r="N93" i="21"/>
  <c r="K69" i="20"/>
  <c r="G112" i="9"/>
  <c r="M93" i="21"/>
  <c r="M92" i="21"/>
  <c r="L93" i="21"/>
  <c r="G95" i="21"/>
  <c r="M69" i="20"/>
  <c r="N68" i="20"/>
  <c r="L68" i="20"/>
  <c r="M68" i="20"/>
  <c r="N69" i="20"/>
  <c r="G71" i="20"/>
  <c r="L89" i="21"/>
  <c r="H112" i="9"/>
  <c r="L67" i="20"/>
  <c r="L92" i="21"/>
  <c r="O112" i="9"/>
  <c r="I71" i="20"/>
  <c r="G113" i="9" l="1"/>
  <c r="G96" i="21"/>
  <c r="J71" i="20"/>
  <c r="G72" i="20"/>
  <c r="J70" i="20"/>
  <c r="H113" i="9"/>
  <c r="O113" i="9"/>
  <c r="K113" i="9"/>
  <c r="G114" i="9" l="1"/>
  <c r="G97" i="21"/>
  <c r="M71" i="20"/>
  <c r="N70" i="20"/>
  <c r="L70" i="20"/>
  <c r="M70" i="20"/>
  <c r="G73" i="20"/>
  <c r="N71" i="20"/>
  <c r="K71" i="20"/>
  <c r="O114" i="9"/>
  <c r="H114" i="9"/>
  <c r="I97" i="21"/>
  <c r="L69" i="20"/>
  <c r="I73" i="20"/>
  <c r="J97" i="21" l="1"/>
  <c r="K97" i="21" s="1"/>
  <c r="G115" i="9"/>
  <c r="G98" i="21"/>
  <c r="J73" i="20"/>
  <c r="G74" i="20"/>
  <c r="K115" i="9"/>
  <c r="O115" i="9"/>
  <c r="H115" i="9"/>
  <c r="J94" i="21"/>
  <c r="J96" i="21"/>
  <c r="J95" i="21"/>
  <c r="J72" i="20"/>
  <c r="N94" i="21" l="1"/>
  <c r="M95" i="21"/>
  <c r="M94" i="21"/>
  <c r="N95" i="21"/>
  <c r="L95" i="21"/>
  <c r="N96" i="21"/>
  <c r="N97" i="21"/>
  <c r="G116" i="9"/>
  <c r="M97" i="21"/>
  <c r="M96" i="21"/>
  <c r="L97" i="21"/>
  <c r="G99" i="21"/>
  <c r="M73" i="20"/>
  <c r="N72" i="20"/>
  <c r="M72" i="20"/>
  <c r="L72" i="20"/>
  <c r="N73" i="20"/>
  <c r="L73" i="20"/>
  <c r="G75" i="20"/>
  <c r="K73" i="20"/>
  <c r="H116" i="9"/>
  <c r="O116" i="9"/>
  <c r="L94" i="21"/>
  <c r="L71" i="20"/>
  <c r="L96" i="21"/>
  <c r="I75" i="20"/>
  <c r="G117" i="9" l="1"/>
  <c r="G100" i="21"/>
  <c r="J75" i="20"/>
  <c r="G76" i="20"/>
  <c r="H117" i="9"/>
  <c r="J74" i="20"/>
  <c r="O117" i="9"/>
  <c r="K117" i="9"/>
  <c r="G118" i="9" l="1"/>
  <c r="G101" i="21"/>
  <c r="M75" i="20"/>
  <c r="N74" i="20"/>
  <c r="M74" i="20"/>
  <c r="N75" i="20"/>
  <c r="L75" i="20"/>
  <c r="G77" i="20"/>
  <c r="K75" i="20"/>
  <c r="H118" i="9"/>
  <c r="L74" i="20"/>
  <c r="I101" i="21"/>
  <c r="I77" i="20"/>
  <c r="O118" i="9"/>
  <c r="J101" i="21" l="1"/>
  <c r="K101" i="21" s="1"/>
  <c r="G119" i="9"/>
  <c r="G102" i="21"/>
  <c r="J77" i="20"/>
  <c r="G78" i="20"/>
  <c r="O119" i="9"/>
  <c r="J100" i="21"/>
  <c r="H119" i="9"/>
  <c r="J98" i="21"/>
  <c r="J99" i="21"/>
  <c r="J76" i="20"/>
  <c r="K119" i="9"/>
  <c r="N98" i="21" l="1"/>
  <c r="M98" i="21"/>
  <c r="M99" i="21"/>
  <c r="N99" i="21"/>
  <c r="L99" i="21"/>
  <c r="N100" i="21"/>
  <c r="N101" i="21"/>
  <c r="G120" i="9"/>
  <c r="M101" i="21"/>
  <c r="L100" i="21"/>
  <c r="M100" i="21"/>
  <c r="G103" i="21"/>
  <c r="M77" i="20"/>
  <c r="N76" i="20"/>
  <c r="M76" i="20"/>
  <c r="N77" i="20"/>
  <c r="L77" i="20"/>
  <c r="G79" i="20"/>
  <c r="K77" i="20"/>
  <c r="L76" i="20"/>
  <c r="O120" i="9"/>
  <c r="I79" i="20"/>
  <c r="L98" i="21"/>
  <c r="H120" i="9"/>
  <c r="G121" i="9" l="1"/>
  <c r="G104" i="21"/>
  <c r="J79" i="20"/>
  <c r="G80" i="20"/>
  <c r="K121" i="9"/>
  <c r="J78" i="20"/>
  <c r="O121" i="9"/>
  <c r="H121" i="9"/>
  <c r="K79" i="20" l="1"/>
  <c r="G122" i="9"/>
  <c r="G105" i="21"/>
  <c r="M79" i="20"/>
  <c r="N78" i="20"/>
  <c r="M78" i="20"/>
  <c r="N79" i="20"/>
  <c r="L79" i="20"/>
  <c r="G81" i="20"/>
  <c r="I105" i="21"/>
  <c r="O122" i="9"/>
  <c r="H122" i="9"/>
  <c r="I81" i="20"/>
  <c r="L78" i="20"/>
  <c r="J105" i="21" l="1"/>
  <c r="K105" i="21" s="1"/>
  <c r="G123" i="9"/>
  <c r="G106" i="21"/>
  <c r="J81" i="20"/>
  <c r="G82" i="20"/>
  <c r="H123" i="9"/>
  <c r="J103" i="21"/>
  <c r="K123" i="9"/>
  <c r="O123" i="9"/>
  <c r="J102" i="21"/>
  <c r="J104" i="21"/>
  <c r="J80" i="20"/>
  <c r="N102" i="21" l="1"/>
  <c r="L102" i="21"/>
  <c r="M102" i="21"/>
  <c r="M103" i="21"/>
  <c r="N103" i="21"/>
  <c r="N104" i="21"/>
  <c r="N105" i="21"/>
  <c r="G124" i="9"/>
  <c r="M105" i="21"/>
  <c r="M104" i="21"/>
  <c r="L104" i="21"/>
  <c r="G107" i="21"/>
  <c r="M81" i="20"/>
  <c r="N80" i="20"/>
  <c r="M80" i="20"/>
  <c r="N81" i="20"/>
  <c r="L81" i="20"/>
  <c r="K81" i="20"/>
  <c r="G83" i="20"/>
  <c r="I83" i="20"/>
  <c r="L80" i="20"/>
  <c r="L101" i="21"/>
  <c r="H124" i="9"/>
  <c r="O124" i="9"/>
  <c r="L103" i="21"/>
  <c r="G125" i="9" l="1"/>
  <c r="G108" i="21"/>
  <c r="J83" i="20"/>
  <c r="G84" i="20"/>
  <c r="J82" i="20"/>
  <c r="O125" i="9"/>
  <c r="K125" i="9"/>
  <c r="H125" i="9"/>
  <c r="G126" i="9" l="1"/>
  <c r="G109" i="21"/>
  <c r="M83" i="20"/>
  <c r="N82" i="20"/>
  <c r="L82" i="20"/>
  <c r="M82" i="20"/>
  <c r="N83" i="20"/>
  <c r="G85" i="20"/>
  <c r="K83" i="20"/>
  <c r="O126" i="9"/>
  <c r="H126" i="9"/>
  <c r="I109" i="21"/>
  <c r="I85" i="20"/>
  <c r="J109" i="21" l="1"/>
  <c r="K109" i="21" s="1"/>
  <c r="G127" i="9"/>
  <c r="G110" i="21"/>
  <c r="J85" i="20"/>
  <c r="G86" i="20"/>
  <c r="H14" i="10"/>
  <c r="H15" i="10"/>
  <c r="H17" i="10"/>
  <c r="G13" i="10"/>
  <c r="G15" i="10"/>
  <c r="G16" i="10" s="1"/>
  <c r="G17" i="10"/>
  <c r="G18" i="10" s="1"/>
  <c r="G19" i="10" s="1"/>
  <c r="G20" i="10" s="1"/>
  <c r="G21" i="10" s="1"/>
  <c r="G14" i="10"/>
  <c r="G12" i="10"/>
  <c r="G11" i="10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11" i="6"/>
  <c r="I19" i="10"/>
  <c r="J84" i="20"/>
  <c r="I11" i="6"/>
  <c r="K127" i="9"/>
  <c r="H127" i="9"/>
  <c r="J106" i="21"/>
  <c r="I21" i="10"/>
  <c r="J108" i="21"/>
  <c r="O127" i="9"/>
  <c r="J107" i="21"/>
  <c r="J17" i="10" l="1"/>
  <c r="N106" i="21"/>
  <c r="L106" i="21"/>
  <c r="M106" i="21"/>
  <c r="M107" i="21"/>
  <c r="N107" i="21"/>
  <c r="N108" i="21"/>
  <c r="N109" i="21"/>
  <c r="G128" i="9"/>
  <c r="M109" i="21"/>
  <c r="M108" i="21"/>
  <c r="L108" i="21"/>
  <c r="L109" i="21"/>
  <c r="G111" i="21"/>
  <c r="M85" i="20"/>
  <c r="N84" i="20"/>
  <c r="M84" i="20"/>
  <c r="L84" i="20"/>
  <c r="N85" i="20"/>
  <c r="G87" i="20"/>
  <c r="K85" i="20"/>
  <c r="G22" i="10"/>
  <c r="G23" i="10" s="1"/>
  <c r="J15" i="10"/>
  <c r="J14" i="10"/>
  <c r="V50" i="2"/>
  <c r="H128" i="9"/>
  <c r="O128" i="9"/>
  <c r="L105" i="21"/>
  <c r="L107" i="21"/>
  <c r="I87" i="20"/>
  <c r="L83" i="20"/>
  <c r="J16" i="10"/>
  <c r="I23" i="10"/>
  <c r="N16" i="10" l="1"/>
  <c r="M16" i="10"/>
  <c r="M17" i="10"/>
  <c r="G129" i="9"/>
  <c r="M14" i="10"/>
  <c r="M15" i="10"/>
  <c r="L17" i="10"/>
  <c r="L15" i="10"/>
  <c r="G112" i="21"/>
  <c r="J87" i="20"/>
  <c r="G88" i="20"/>
  <c r="G24" i="10"/>
  <c r="G25" i="10" s="1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11" i="4"/>
  <c r="J86" i="20"/>
  <c r="K129" i="9"/>
  <c r="I25" i="10"/>
  <c r="L16" i="10"/>
  <c r="V11" i="10"/>
  <c r="H129" i="9"/>
  <c r="O129" i="9"/>
  <c r="K87" i="20" l="1"/>
  <c r="G130" i="9"/>
  <c r="G113" i="21"/>
  <c r="M87" i="20"/>
  <c r="N86" i="20"/>
  <c r="M86" i="20"/>
  <c r="L86" i="20"/>
  <c r="N87" i="20"/>
  <c r="G89" i="20"/>
  <c r="G26" i="10"/>
  <c r="G27" i="10" s="1"/>
  <c r="I11" i="4"/>
  <c r="I89" i="20"/>
  <c r="I27" i="10"/>
  <c r="L85" i="20"/>
  <c r="O130" i="9"/>
  <c r="H130" i="9"/>
  <c r="I113" i="21"/>
  <c r="J113" i="21" l="1"/>
  <c r="K113" i="21" s="1"/>
  <c r="G131" i="9"/>
  <c r="G114" i="21"/>
  <c r="J89" i="20"/>
  <c r="G90" i="20"/>
  <c r="G28" i="10"/>
  <c r="G29" i="10" s="1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11" i="2"/>
  <c r="I29" i="10"/>
  <c r="J88" i="20"/>
  <c r="J112" i="21"/>
  <c r="O131" i="9"/>
  <c r="K131" i="9"/>
  <c r="I11" i="2"/>
  <c r="J111" i="21"/>
  <c r="J110" i="21"/>
  <c r="H131" i="9"/>
  <c r="N110" i="21" l="1"/>
  <c r="M110" i="21"/>
  <c r="M111" i="21"/>
  <c r="N111" i="21"/>
  <c r="L111" i="21"/>
  <c r="N112" i="21"/>
  <c r="N113" i="21"/>
  <c r="G132" i="9"/>
  <c r="M113" i="21"/>
  <c r="M112" i="21"/>
  <c r="L113" i="21"/>
  <c r="G115" i="21"/>
  <c r="M89" i="20"/>
  <c r="N88" i="20"/>
  <c r="L88" i="20"/>
  <c r="M88" i="20"/>
  <c r="N89" i="20"/>
  <c r="K89" i="20"/>
  <c r="G91" i="20"/>
  <c r="G30" i="10"/>
  <c r="G31" i="10" s="1"/>
  <c r="H132" i="9"/>
  <c r="L112" i="21"/>
  <c r="L110" i="21"/>
  <c r="L87" i="20"/>
  <c r="I91" i="20"/>
  <c r="I31" i="10"/>
  <c r="O132" i="9"/>
  <c r="G133" i="9" l="1"/>
  <c r="G116" i="21"/>
  <c r="J91" i="20"/>
  <c r="G92" i="20"/>
  <c r="G32" i="10"/>
  <c r="G33" i="10" s="1"/>
  <c r="J90" i="20"/>
  <c r="K133" i="9"/>
  <c r="O133" i="9"/>
  <c r="H133" i="9"/>
  <c r="I33" i="10"/>
  <c r="K91" i="20" l="1"/>
  <c r="G134" i="9"/>
  <c r="G117" i="21"/>
  <c r="M91" i="20"/>
  <c r="N90" i="20"/>
  <c r="L90" i="20"/>
  <c r="M90" i="20"/>
  <c r="N91" i="20"/>
  <c r="L91" i="20"/>
  <c r="G93" i="20"/>
  <c r="G34" i="10"/>
  <c r="G35" i="10" s="1"/>
  <c r="I117" i="21"/>
  <c r="I93" i="20"/>
  <c r="L89" i="20"/>
  <c r="H134" i="9"/>
  <c r="O134" i="9"/>
  <c r="I35" i="10"/>
  <c r="J117" i="21" l="1"/>
  <c r="K117" i="21" s="1"/>
  <c r="G135" i="9"/>
  <c r="G118" i="21"/>
  <c r="J93" i="20"/>
  <c r="G94" i="20"/>
  <c r="G36" i="10"/>
  <c r="G37" i="10" s="1"/>
  <c r="I37" i="10"/>
  <c r="J92" i="20"/>
  <c r="H135" i="9"/>
  <c r="O135" i="9"/>
  <c r="K135" i="9"/>
  <c r="J115" i="21"/>
  <c r="J116" i="21"/>
  <c r="J114" i="21"/>
  <c r="N114" i="21" l="1"/>
  <c r="M114" i="21"/>
  <c r="M115" i="21"/>
  <c r="N115" i="21"/>
  <c r="L115" i="21"/>
  <c r="N116" i="21"/>
  <c r="N117" i="21"/>
  <c r="G136" i="9"/>
  <c r="M117" i="21"/>
  <c r="M116" i="21"/>
  <c r="L117" i="21"/>
  <c r="G119" i="21"/>
  <c r="M93" i="20"/>
  <c r="N92" i="20"/>
  <c r="M92" i="20"/>
  <c r="G95" i="20"/>
  <c r="N93" i="20"/>
  <c r="L93" i="20"/>
  <c r="K93" i="20"/>
  <c r="G38" i="10"/>
  <c r="G39" i="10" s="1"/>
  <c r="L114" i="21"/>
  <c r="O136" i="9"/>
  <c r="L92" i="20"/>
  <c r="I95" i="20"/>
  <c r="L116" i="21"/>
  <c r="H136" i="9"/>
  <c r="I39" i="10"/>
  <c r="G137" i="9" l="1"/>
  <c r="G120" i="21"/>
  <c r="J95" i="20"/>
  <c r="G96" i="20"/>
  <c r="G40" i="10"/>
  <c r="G41" i="10" s="1"/>
  <c r="K137" i="9"/>
  <c r="O137" i="9"/>
  <c r="H137" i="9"/>
  <c r="I41" i="10"/>
  <c r="J94" i="20"/>
  <c r="G138" i="9" l="1"/>
  <c r="G121" i="21"/>
  <c r="M95" i="20"/>
  <c r="N94" i="20"/>
  <c r="M94" i="20"/>
  <c r="N95" i="20"/>
  <c r="L95" i="20"/>
  <c r="G97" i="20"/>
  <c r="K95" i="20"/>
  <c r="G42" i="10"/>
  <c r="G43" i="10" s="1"/>
  <c r="H138" i="9"/>
  <c r="O138" i="9"/>
  <c r="L94" i="20"/>
  <c r="I121" i="21"/>
  <c r="I43" i="10"/>
  <c r="I97" i="20"/>
  <c r="J121" i="21" l="1"/>
  <c r="K121" i="21" s="1"/>
  <c r="G139" i="9"/>
  <c r="G122" i="21"/>
  <c r="J97" i="20"/>
  <c r="G98" i="20"/>
  <c r="G44" i="10"/>
  <c r="G45" i="10" s="1"/>
  <c r="I45" i="10"/>
  <c r="J96" i="20"/>
  <c r="H139" i="9"/>
  <c r="O139" i="9"/>
  <c r="J118" i="21"/>
  <c r="J120" i="21"/>
  <c r="K139" i="9"/>
  <c r="J119" i="21"/>
  <c r="N118" i="21" l="1"/>
  <c r="L118" i="21"/>
  <c r="M118" i="21"/>
  <c r="M119" i="21"/>
  <c r="N119" i="21"/>
  <c r="N120" i="21"/>
  <c r="N121" i="21"/>
  <c r="K97" i="20"/>
  <c r="G140" i="9"/>
  <c r="M121" i="21"/>
  <c r="M120" i="21"/>
  <c r="L120" i="21"/>
  <c r="G123" i="21"/>
  <c r="M97" i="20"/>
  <c r="N96" i="20"/>
  <c r="M96" i="20"/>
  <c r="G99" i="20"/>
  <c r="N97" i="20"/>
  <c r="L97" i="20"/>
  <c r="G46" i="10"/>
  <c r="G47" i="10" s="1"/>
  <c r="L96" i="20"/>
  <c r="I99" i="20"/>
  <c r="I47" i="10"/>
  <c r="O140" i="9"/>
  <c r="H140" i="9"/>
  <c r="L119" i="21"/>
  <c r="G141" i="9" l="1"/>
  <c r="G124" i="21"/>
  <c r="J99" i="20"/>
  <c r="G100" i="20"/>
  <c r="G48" i="10"/>
  <c r="G49" i="10" s="1"/>
  <c r="K141" i="9"/>
  <c r="J98" i="20"/>
  <c r="I49" i="10"/>
  <c r="O141" i="9"/>
  <c r="H141" i="9"/>
  <c r="G142" i="9" l="1"/>
  <c r="G125" i="21"/>
  <c r="M99" i="20"/>
  <c r="N98" i="20"/>
  <c r="M98" i="20"/>
  <c r="G101" i="20"/>
  <c r="N99" i="20"/>
  <c r="L99" i="20"/>
  <c r="K99" i="20"/>
  <c r="G50" i="10"/>
  <c r="G51" i="10" s="1"/>
  <c r="I51" i="10"/>
  <c r="O142" i="9"/>
  <c r="H142" i="9"/>
  <c r="I125" i="21"/>
  <c r="I101" i="20"/>
  <c r="L98" i="20"/>
  <c r="J125" i="21" l="1"/>
  <c r="K125" i="21" s="1"/>
  <c r="G143" i="9"/>
  <c r="G126" i="21"/>
  <c r="J101" i="20"/>
  <c r="G102" i="20"/>
  <c r="G52" i="10"/>
  <c r="G53" i="10" s="1"/>
  <c r="I53" i="10"/>
  <c r="J100" i="20"/>
  <c r="K143" i="9"/>
  <c r="O143" i="9"/>
  <c r="J123" i="21"/>
  <c r="J122" i="21"/>
  <c r="H143" i="9"/>
  <c r="J124" i="21"/>
  <c r="N122" i="21" l="1"/>
  <c r="L122" i="21"/>
  <c r="M122" i="21"/>
  <c r="M123" i="21"/>
  <c r="N123" i="21"/>
  <c r="N124" i="21"/>
  <c r="N125" i="21"/>
  <c r="M125" i="21"/>
  <c r="M124" i="21"/>
  <c r="L124" i="21"/>
  <c r="G127" i="21"/>
  <c r="M101" i="20"/>
  <c r="N100" i="20"/>
  <c r="M100" i="20"/>
  <c r="L100" i="20"/>
  <c r="N101" i="20"/>
  <c r="G103" i="20"/>
  <c r="K101" i="20"/>
  <c r="G54" i="10"/>
  <c r="G55" i="10" s="1"/>
  <c r="I55" i="10"/>
  <c r="I103" i="20"/>
  <c r="L121" i="21"/>
  <c r="L123" i="21"/>
  <c r="G128" i="21" l="1"/>
  <c r="J103" i="20"/>
  <c r="G104" i="20"/>
  <c r="G56" i="10"/>
  <c r="G57" i="10" s="1"/>
  <c r="J102" i="20"/>
  <c r="I57" i="10"/>
  <c r="G129" i="21" l="1"/>
  <c r="M103" i="20"/>
  <c r="N102" i="20"/>
  <c r="M102" i="20"/>
  <c r="L102" i="20"/>
  <c r="N103" i="20"/>
  <c r="G105" i="20"/>
  <c r="K103" i="20"/>
  <c r="G58" i="10"/>
  <c r="G59" i="10" s="1"/>
  <c r="I105" i="20"/>
  <c r="I59" i="10"/>
  <c r="L101" i="20"/>
  <c r="I129" i="21"/>
  <c r="J129" i="21" l="1"/>
  <c r="K129" i="21" s="1"/>
  <c r="G130" i="21"/>
  <c r="J105" i="20"/>
  <c r="G106" i="20"/>
  <c r="G60" i="10"/>
  <c r="G61" i="10" s="1"/>
  <c r="J127" i="21"/>
  <c r="J126" i="21"/>
  <c r="J128" i="21"/>
  <c r="J104" i="20"/>
  <c r="I61" i="10"/>
  <c r="N126" i="21" l="1"/>
  <c r="M126" i="21"/>
  <c r="M127" i="21"/>
  <c r="L126" i="21"/>
  <c r="N127" i="21"/>
  <c r="L127" i="21"/>
  <c r="N128" i="21"/>
  <c r="N129" i="21"/>
  <c r="M129" i="21"/>
  <c r="M128" i="21"/>
  <c r="L129" i="21"/>
  <c r="G131" i="21"/>
  <c r="M105" i="20"/>
  <c r="N104" i="20"/>
  <c r="L104" i="20"/>
  <c r="M104" i="20"/>
  <c r="N105" i="20"/>
  <c r="G107" i="20"/>
  <c r="K105" i="20"/>
  <c r="G62" i="10"/>
  <c r="G63" i="10" s="1"/>
  <c r="I107" i="20"/>
  <c r="I63" i="10"/>
  <c r="L128" i="21"/>
  <c r="L125" i="21"/>
  <c r="L103" i="20"/>
  <c r="G132" i="21" l="1"/>
  <c r="J107" i="20"/>
  <c r="G108" i="20"/>
  <c r="G64" i="10"/>
  <c r="G65" i="10" s="1"/>
  <c r="J106" i="20"/>
  <c r="I65" i="10"/>
  <c r="G133" i="21" l="1"/>
  <c r="M107" i="20"/>
  <c r="N106" i="20"/>
  <c r="M106" i="20"/>
  <c r="L106" i="20"/>
  <c r="N107" i="20"/>
  <c r="G109" i="20"/>
  <c r="K107" i="20"/>
  <c r="G66" i="10"/>
  <c r="G67" i="10" s="1"/>
  <c r="L105" i="20"/>
  <c r="I67" i="10"/>
  <c r="I109" i="20"/>
  <c r="I133" i="21"/>
  <c r="J133" i="21" l="1"/>
  <c r="K133" i="21" s="1"/>
  <c r="J109" i="20"/>
  <c r="G110" i="20"/>
  <c r="G68" i="10"/>
  <c r="G69" i="10" s="1"/>
  <c r="U29" i="21"/>
  <c r="U13" i="21"/>
  <c r="U37" i="21"/>
  <c r="U49" i="21"/>
  <c r="U17" i="21"/>
  <c r="J108" i="20"/>
  <c r="U21" i="21"/>
  <c r="U25" i="21"/>
  <c r="U40" i="21"/>
  <c r="U16" i="21"/>
  <c r="U35" i="21"/>
  <c r="U15" i="21"/>
  <c r="U48" i="21"/>
  <c r="U30" i="21"/>
  <c r="U45" i="21"/>
  <c r="U32" i="21"/>
  <c r="U20" i="21"/>
  <c r="U22" i="21"/>
  <c r="U12" i="21"/>
  <c r="U11" i="21"/>
  <c r="U41" i="21"/>
  <c r="I69" i="10"/>
  <c r="U28" i="21"/>
  <c r="U14" i="21"/>
  <c r="U27" i="21"/>
  <c r="U26" i="21"/>
  <c r="U31" i="21"/>
  <c r="U34" i="21"/>
  <c r="U43" i="21"/>
  <c r="U42" i="21"/>
  <c r="J132" i="21"/>
  <c r="U44" i="21"/>
  <c r="U18" i="21"/>
  <c r="U36" i="21"/>
  <c r="U38" i="21"/>
  <c r="J130" i="21"/>
  <c r="U23" i="21"/>
  <c r="U39" i="21"/>
  <c r="U46" i="21"/>
  <c r="U33" i="21"/>
  <c r="U50" i="21"/>
  <c r="U24" i="21"/>
  <c r="J131" i="21"/>
  <c r="U47" i="21"/>
  <c r="U19" i="21"/>
  <c r="N130" i="21" l="1"/>
  <c r="M131" i="21"/>
  <c r="M130" i="21"/>
  <c r="N131" i="21"/>
  <c r="L131" i="21"/>
  <c r="N132" i="21"/>
  <c r="N133" i="21"/>
  <c r="Q18" i="21"/>
  <c r="M133" i="21"/>
  <c r="M132" i="21"/>
  <c r="L133" i="21"/>
  <c r="M109" i="20"/>
  <c r="N108" i="20"/>
  <c r="M108" i="20"/>
  <c r="L108" i="20"/>
  <c r="G111" i="20"/>
  <c r="N109" i="20"/>
  <c r="L109" i="20"/>
  <c r="K109" i="20"/>
  <c r="G70" i="10"/>
  <c r="G71" i="10" s="1"/>
  <c r="V33" i="21"/>
  <c r="V48" i="21"/>
  <c r="V21" i="21"/>
  <c r="V36" i="21"/>
  <c r="V13" i="21"/>
  <c r="L132" i="21"/>
  <c r="V46" i="21"/>
  <c r="V26" i="21"/>
  <c r="V45" i="21"/>
  <c r="V23" i="21"/>
  <c r="V49" i="21"/>
  <c r="V19" i="21"/>
  <c r="V27" i="21"/>
  <c r="V39" i="21"/>
  <c r="V41" i="21"/>
  <c r="V50" i="21"/>
  <c r="V40" i="21"/>
  <c r="V12" i="21"/>
  <c r="I111" i="20"/>
  <c r="V43" i="21"/>
  <c r="V42" i="21"/>
  <c r="V37" i="21"/>
  <c r="V44" i="21"/>
  <c r="L107" i="20"/>
  <c r="V28" i="21"/>
  <c r="V38" i="21"/>
  <c r="V25" i="21"/>
  <c r="V17" i="21"/>
  <c r="V30" i="21"/>
  <c r="V20" i="21"/>
  <c r="I71" i="10"/>
  <c r="V35" i="21"/>
  <c r="V22" i="21"/>
  <c r="V16" i="21"/>
  <c r="V15" i="21"/>
  <c r="L130" i="21"/>
  <c r="V24" i="21"/>
  <c r="V32" i="21"/>
  <c r="V47" i="21"/>
  <c r="V11" i="21"/>
  <c r="V29" i="21"/>
  <c r="V14" i="21"/>
  <c r="V34" i="21"/>
  <c r="V31" i="21"/>
  <c r="V18" i="21"/>
  <c r="J111" i="20" l="1"/>
  <c r="G112" i="20"/>
  <c r="G72" i="10"/>
  <c r="G73" i="10" s="1"/>
  <c r="W42" i="21"/>
  <c r="W49" i="21"/>
  <c r="W25" i="21"/>
  <c r="W28" i="21"/>
  <c r="W45" i="21"/>
  <c r="W50" i="21"/>
  <c r="W32" i="21"/>
  <c r="W29" i="21"/>
  <c r="W23" i="21"/>
  <c r="W34" i="21"/>
  <c r="W48" i="21"/>
  <c r="W33" i="21"/>
  <c r="W16" i="21"/>
  <c r="W31" i="21"/>
  <c r="W37" i="21"/>
  <c r="W21" i="21"/>
  <c r="W15" i="21"/>
  <c r="W11" i="21"/>
  <c r="W26" i="21"/>
  <c r="W20" i="21"/>
  <c r="W13" i="21"/>
  <c r="W17" i="21"/>
  <c r="W46" i="21"/>
  <c r="W38" i="21"/>
  <c r="W30" i="21"/>
  <c r="W47" i="21"/>
  <c r="W22" i="21"/>
  <c r="W18" i="21"/>
  <c r="W27" i="21"/>
  <c r="J110" i="20"/>
  <c r="W36" i="21"/>
  <c r="W39" i="21"/>
  <c r="W19" i="21"/>
  <c r="W40" i="21"/>
  <c r="W44" i="21"/>
  <c r="W14" i="21"/>
  <c r="W43" i="21"/>
  <c r="W24" i="21"/>
  <c r="W41" i="21"/>
  <c r="I73" i="10"/>
  <c r="W12" i="21"/>
  <c r="W35" i="21"/>
  <c r="Q19" i="21" l="1"/>
  <c r="Q20" i="21" s="1"/>
  <c r="M111" i="20"/>
  <c r="N110" i="20"/>
  <c r="M110" i="20"/>
  <c r="G113" i="20"/>
  <c r="N111" i="20"/>
  <c r="L111" i="20"/>
  <c r="K111" i="20"/>
  <c r="G74" i="10"/>
  <c r="G75" i="10" s="1"/>
  <c r="I75" i="10"/>
  <c r="L110" i="20"/>
  <c r="I113" i="20"/>
  <c r="J113" i="20" l="1"/>
  <c r="G114" i="20"/>
  <c r="G76" i="10"/>
  <c r="G77" i="10" s="1"/>
  <c r="J112" i="20"/>
  <c r="I77" i="10"/>
  <c r="M113" i="20" l="1"/>
  <c r="N112" i="20"/>
  <c r="M112" i="20"/>
  <c r="N113" i="20"/>
  <c r="L113" i="20"/>
  <c r="K113" i="20"/>
  <c r="G115" i="20"/>
  <c r="G78" i="10"/>
  <c r="L112" i="20"/>
  <c r="I115" i="20"/>
  <c r="J115" i="20" l="1"/>
  <c r="G116" i="20"/>
  <c r="G79" i="10"/>
  <c r="G80" i="10" s="1"/>
  <c r="I79" i="10"/>
  <c r="J114" i="20"/>
  <c r="M115" i="20" l="1"/>
  <c r="N114" i="20"/>
  <c r="M114" i="20"/>
  <c r="G117" i="20"/>
  <c r="G81" i="10"/>
  <c r="N115" i="20"/>
  <c r="L115" i="20"/>
  <c r="K115" i="20"/>
  <c r="I117" i="20"/>
  <c r="I81" i="10"/>
  <c r="L114" i="20"/>
  <c r="J117" i="20" l="1"/>
  <c r="G118" i="20"/>
  <c r="G82" i="10"/>
  <c r="J116" i="20"/>
  <c r="M117" i="20" l="1"/>
  <c r="N116" i="20"/>
  <c r="M116" i="20"/>
  <c r="G83" i="10"/>
  <c r="N117" i="20"/>
  <c r="L117" i="20"/>
  <c r="K117" i="20"/>
  <c r="G119" i="20"/>
  <c r="I83" i="10"/>
  <c r="L116" i="20"/>
  <c r="I119" i="20"/>
  <c r="J119" i="20" l="1"/>
  <c r="G84" i="10"/>
  <c r="G120" i="20"/>
  <c r="J118" i="20"/>
  <c r="M119" i="20" l="1"/>
  <c r="N118" i="20"/>
  <c r="M118" i="20"/>
  <c r="L118" i="20"/>
  <c r="N119" i="20"/>
  <c r="G121" i="20"/>
  <c r="G85" i="10"/>
  <c r="K119" i="20"/>
  <c r="H13" i="10"/>
  <c r="J13" i="10" s="1"/>
  <c r="N13" i="10" s="1"/>
  <c r="H12" i="10"/>
  <c r="J12" i="10" s="1"/>
  <c r="N12" i="10" s="1"/>
  <c r="N15" i="10"/>
  <c r="N14" i="10"/>
  <c r="N17" i="10"/>
  <c r="I121" i="20"/>
  <c r="H10" i="10"/>
  <c r="I85" i="10"/>
  <c r="J121" i="20" l="1"/>
  <c r="G86" i="10"/>
  <c r="G122" i="20"/>
  <c r="H11" i="10"/>
  <c r="J11" i="10" s="1"/>
  <c r="N11" i="10" s="1"/>
  <c r="N10" i="10" s="1"/>
  <c r="K15" i="10"/>
  <c r="K17" i="10" s="1"/>
  <c r="J120" i="20"/>
  <c r="M121" i="20" l="1"/>
  <c r="N120" i="20"/>
  <c r="L120" i="20"/>
  <c r="M120" i="20"/>
  <c r="N121" i="20"/>
  <c r="G123" i="20"/>
  <c r="G87" i="10"/>
  <c r="K121" i="20"/>
  <c r="L119" i="20"/>
  <c r="I87" i="10"/>
  <c r="I123" i="20"/>
  <c r="J123" i="20" l="1"/>
  <c r="G88" i="10"/>
  <c r="G124" i="20"/>
  <c r="J19" i="10"/>
  <c r="J18" i="10"/>
  <c r="J122" i="20"/>
  <c r="M18" i="10" l="1"/>
  <c r="M19" i="10"/>
  <c r="N18" i="10"/>
  <c r="M123" i="20"/>
  <c r="N122" i="20"/>
  <c r="M122" i="20"/>
  <c r="L122" i="20"/>
  <c r="N19" i="10"/>
  <c r="L19" i="10"/>
  <c r="G125" i="20"/>
  <c r="N123" i="20"/>
  <c r="G89" i="10"/>
  <c r="K123" i="20"/>
  <c r="K19" i="10"/>
  <c r="I125" i="20"/>
  <c r="I89" i="10"/>
  <c r="L18" i="10"/>
  <c r="L121" i="20"/>
  <c r="J125" i="20" l="1"/>
  <c r="G126" i="20"/>
  <c r="J21" i="10"/>
  <c r="G90" i="10"/>
  <c r="J124" i="20"/>
  <c r="J20" i="10"/>
  <c r="K21" i="10" l="1"/>
  <c r="J23" i="10" s="1"/>
  <c r="N23" i="10" s="1"/>
  <c r="M125" i="20"/>
  <c r="N124" i="20"/>
  <c r="L124" i="20"/>
  <c r="M124" i="20"/>
  <c r="M21" i="10"/>
  <c r="N20" i="10"/>
  <c r="M20" i="10"/>
  <c r="N125" i="20"/>
  <c r="N21" i="10"/>
  <c r="L21" i="10"/>
  <c r="G91" i="10"/>
  <c r="G127" i="20"/>
  <c r="K125" i="20"/>
  <c r="L123" i="20"/>
  <c r="J22" i="10"/>
  <c r="I127" i="20"/>
  <c r="L20" i="10"/>
  <c r="I91" i="10"/>
  <c r="K23" i="10" l="1"/>
  <c r="L23" i="10"/>
  <c r="N22" i="10"/>
  <c r="M23" i="10"/>
  <c r="M22" i="10"/>
  <c r="J127" i="20"/>
  <c r="G92" i="10"/>
  <c r="G128" i="20"/>
  <c r="J25" i="10"/>
  <c r="J126" i="20"/>
  <c r="L22" i="10"/>
  <c r="J24" i="10"/>
  <c r="M25" i="10" l="1"/>
  <c r="N24" i="10"/>
  <c r="M24" i="10"/>
  <c r="M127" i="20"/>
  <c r="N126" i="20"/>
  <c r="M126" i="20"/>
  <c r="L126" i="20"/>
  <c r="N25" i="10"/>
  <c r="L25" i="10"/>
  <c r="K25" i="10"/>
  <c r="J27" i="10" s="1"/>
  <c r="N127" i="20"/>
  <c r="L127" i="20"/>
  <c r="G93" i="10"/>
  <c r="K127" i="20"/>
  <c r="G129" i="20"/>
  <c r="G20" i="8"/>
  <c r="J26" i="10"/>
  <c r="L125" i="20"/>
  <c r="L20" i="8"/>
  <c r="I129" i="20"/>
  <c r="I93" i="10"/>
  <c r="L24" i="10"/>
  <c r="L27" i="10" l="1"/>
  <c r="J129" i="20"/>
  <c r="M27" i="10"/>
  <c r="N26" i="10"/>
  <c r="M26" i="10"/>
  <c r="G94" i="10"/>
  <c r="G130" i="20"/>
  <c r="K27" i="10"/>
  <c r="J29" i="10" s="1"/>
  <c r="N27" i="10"/>
  <c r="I20" i="9"/>
  <c r="I13" i="9"/>
  <c r="I14" i="9"/>
  <c r="I15" i="9"/>
  <c r="I16" i="9"/>
  <c r="I17" i="9"/>
  <c r="I18" i="9"/>
  <c r="I19" i="9"/>
  <c r="I21" i="9"/>
  <c r="I22" i="9"/>
  <c r="S22" i="9" s="1"/>
  <c r="I23" i="9"/>
  <c r="S23" i="9" s="1"/>
  <c r="I24" i="9"/>
  <c r="I25" i="9"/>
  <c r="S25" i="9" s="1"/>
  <c r="I26" i="9"/>
  <c r="S26" i="9" s="1"/>
  <c r="I27" i="9"/>
  <c r="G21" i="8"/>
  <c r="AB11" i="9"/>
  <c r="G19" i="31"/>
  <c r="J17" i="29"/>
  <c r="G11" i="31"/>
  <c r="J13" i="29"/>
  <c r="Z12" i="9"/>
  <c r="G17" i="31"/>
  <c r="G18" i="27"/>
  <c r="G13" i="31"/>
  <c r="G11" i="27"/>
  <c r="G20" i="31"/>
  <c r="J11" i="29"/>
  <c r="G18" i="31"/>
  <c r="G20" i="27"/>
  <c r="Z11" i="9"/>
  <c r="G12" i="31"/>
  <c r="G19" i="27"/>
  <c r="G14" i="31"/>
  <c r="J18" i="29"/>
  <c r="L21" i="8"/>
  <c r="G12" i="27"/>
  <c r="Z13" i="9"/>
  <c r="G15" i="31"/>
  <c r="G16" i="31"/>
  <c r="J20" i="29"/>
  <c r="J12" i="29"/>
  <c r="Q20" i="8"/>
  <c r="J16" i="29"/>
  <c r="G16" i="27"/>
  <c r="J14" i="29"/>
  <c r="L26" i="10"/>
  <c r="J128" i="20"/>
  <c r="G14" i="27"/>
  <c r="J19" i="29"/>
  <c r="G15" i="27"/>
  <c r="J28" i="10"/>
  <c r="J15" i="29"/>
  <c r="G13" i="27"/>
  <c r="G17" i="27"/>
  <c r="P12" i="29" l="1"/>
  <c r="R12" i="29" s="1"/>
  <c r="S12" i="29" s="1"/>
  <c r="P13" i="29"/>
  <c r="P14" i="29"/>
  <c r="R14" i="29" s="1"/>
  <c r="S14" i="29" s="1"/>
  <c r="P18" i="29"/>
  <c r="P11" i="29"/>
  <c r="P20" i="29"/>
  <c r="P15" i="29"/>
  <c r="P19" i="29"/>
  <c r="P17" i="29"/>
  <c r="P16" i="29"/>
  <c r="S19" i="9"/>
  <c r="S17" i="9"/>
  <c r="S15" i="9"/>
  <c r="S13" i="9"/>
  <c r="S16" i="9"/>
  <c r="S14" i="9"/>
  <c r="S20" i="9"/>
  <c r="S21" i="9"/>
  <c r="S18" i="9"/>
  <c r="S24" i="9"/>
  <c r="J27" i="9"/>
  <c r="I31" i="9" s="1"/>
  <c r="S27" i="9"/>
  <c r="L21" i="9"/>
  <c r="L27" i="9" s="1"/>
  <c r="M21" i="9"/>
  <c r="Q18" i="9"/>
  <c r="Q21" i="9" s="1"/>
  <c r="Q24" i="9" s="1"/>
  <c r="Q27" i="9" s="1"/>
  <c r="R18" i="9"/>
  <c r="M29" i="10"/>
  <c r="N28" i="10"/>
  <c r="L28" i="10"/>
  <c r="M28" i="10"/>
  <c r="M129" i="20"/>
  <c r="N128" i="20"/>
  <c r="M128" i="20"/>
  <c r="K29" i="10"/>
  <c r="J31" i="10" s="1"/>
  <c r="N29" i="10"/>
  <c r="N129" i="20"/>
  <c r="L129" i="20"/>
  <c r="K129" i="20"/>
  <c r="G95" i="10"/>
  <c r="G131" i="20"/>
  <c r="I30" i="9"/>
  <c r="I28" i="9"/>
  <c r="I29" i="9"/>
  <c r="G22" i="8"/>
  <c r="Z14" i="9"/>
  <c r="H12" i="31"/>
  <c r="J22" i="29"/>
  <c r="H13" i="27"/>
  <c r="H17" i="27"/>
  <c r="V11" i="31"/>
  <c r="G23" i="31"/>
  <c r="G21" i="27"/>
  <c r="Z17" i="9"/>
  <c r="H16" i="27"/>
  <c r="H18" i="27"/>
  <c r="G24" i="27"/>
  <c r="J23" i="29"/>
  <c r="G21" i="31"/>
  <c r="Q21" i="8"/>
  <c r="H14" i="31"/>
  <c r="H17" i="31"/>
  <c r="H19" i="31"/>
  <c r="J21" i="29"/>
  <c r="H12" i="27"/>
  <c r="H19" i="27"/>
  <c r="L22" i="8"/>
  <c r="H18" i="31"/>
  <c r="H13" i="31"/>
  <c r="H11" i="31"/>
  <c r="H15" i="31"/>
  <c r="J30" i="10"/>
  <c r="L128" i="20"/>
  <c r="G22" i="31"/>
  <c r="I131" i="20"/>
  <c r="H16" i="31"/>
  <c r="J24" i="29"/>
  <c r="H11" i="27"/>
  <c r="I95" i="10"/>
  <c r="Z16" i="9"/>
  <c r="G22" i="27"/>
  <c r="H14" i="27"/>
  <c r="G24" i="31"/>
  <c r="H15" i="27"/>
  <c r="Z15" i="9"/>
  <c r="G23" i="27"/>
  <c r="M12" i="27" l="1"/>
  <c r="M14" i="27"/>
  <c r="N14" i="27" s="1"/>
  <c r="O14" i="27" s="1"/>
  <c r="M11" i="27"/>
  <c r="M15" i="27"/>
  <c r="M19" i="27"/>
  <c r="N19" i="27" s="1"/>
  <c r="M16" i="27"/>
  <c r="N16" i="27" s="1"/>
  <c r="M18" i="27"/>
  <c r="M17" i="27"/>
  <c r="M13" i="27"/>
  <c r="N13" i="27" s="1"/>
  <c r="O13" i="27" s="1"/>
  <c r="M16" i="31"/>
  <c r="M11" i="31"/>
  <c r="N11" i="31" s="1"/>
  <c r="O11" i="31" s="1"/>
  <c r="O10" i="31" s="1"/>
  <c r="M13" i="31"/>
  <c r="N13" i="31" s="1"/>
  <c r="O13" i="31" s="1"/>
  <c r="M14" i="31"/>
  <c r="N14" i="31" s="1"/>
  <c r="O14" i="31" s="1"/>
  <c r="M19" i="31"/>
  <c r="N19" i="31" s="1"/>
  <c r="M17" i="31"/>
  <c r="N17" i="31" s="1"/>
  <c r="O17" i="31" s="1"/>
  <c r="M18" i="31"/>
  <c r="N18" i="31" s="1"/>
  <c r="O18" i="31" s="1"/>
  <c r="M15" i="31"/>
  <c r="N15" i="31" s="1"/>
  <c r="O15" i="31" s="1"/>
  <c r="M12" i="31"/>
  <c r="N12" i="31" s="1"/>
  <c r="O12" i="31" s="1"/>
  <c r="K16" i="29"/>
  <c r="R20" i="29"/>
  <c r="S20" i="29" s="1"/>
  <c r="R11" i="29"/>
  <c r="S11" i="29" s="1"/>
  <c r="S10" i="29" s="1"/>
  <c r="R13" i="29"/>
  <c r="S13" i="29" s="1"/>
  <c r="R17" i="29"/>
  <c r="S17" i="29" s="1"/>
  <c r="R18" i="29"/>
  <c r="S18" i="29" s="1"/>
  <c r="R15" i="29"/>
  <c r="S15" i="29" s="1"/>
  <c r="R16" i="29"/>
  <c r="Q16" i="29"/>
  <c r="Q19" i="29" s="1"/>
  <c r="Q20" i="29" s="1"/>
  <c r="R19" i="29"/>
  <c r="S19" i="29" s="1"/>
  <c r="Q28" i="9"/>
  <c r="Q29" i="9" s="1"/>
  <c r="Q30" i="9" s="1"/>
  <c r="Q31" i="9" s="1"/>
  <c r="N27" i="9"/>
  <c r="M27" i="9" s="1"/>
  <c r="S31" i="9"/>
  <c r="S29" i="9"/>
  <c r="S30" i="9"/>
  <c r="S28" i="9"/>
  <c r="P21" i="9"/>
  <c r="L29" i="9"/>
  <c r="L31" i="9" s="1"/>
  <c r="M31" i="10"/>
  <c r="N30" i="10"/>
  <c r="M30" i="10"/>
  <c r="L30" i="10"/>
  <c r="J131" i="20"/>
  <c r="G96" i="10"/>
  <c r="K31" i="10"/>
  <c r="N31" i="10"/>
  <c r="G132" i="20"/>
  <c r="G23" i="8"/>
  <c r="G19" i="8"/>
  <c r="Q22" i="8"/>
  <c r="L29" i="10"/>
  <c r="Z11" i="29"/>
  <c r="J130" i="20"/>
  <c r="L23" i="8"/>
  <c r="L19" i="8"/>
  <c r="O19" i="31" l="1"/>
  <c r="N12" i="27"/>
  <c r="O12" i="27" s="1"/>
  <c r="N18" i="27"/>
  <c r="O18" i="27" s="1"/>
  <c r="N15" i="27"/>
  <c r="O15" i="27" s="1"/>
  <c r="N17" i="27"/>
  <c r="N11" i="27"/>
  <c r="O11" i="27" s="1"/>
  <c r="O10" i="27" s="1"/>
  <c r="N16" i="31"/>
  <c r="I19" i="29"/>
  <c r="K19" i="29" s="1"/>
  <c r="I19" i="31"/>
  <c r="S16" i="29"/>
  <c r="I19" i="27"/>
  <c r="O16" i="27"/>
  <c r="K131" i="20"/>
  <c r="AA12" i="9"/>
  <c r="R21" i="9"/>
  <c r="P27" i="9" s="1"/>
  <c r="N29" i="9"/>
  <c r="M131" i="20"/>
  <c r="N130" i="20"/>
  <c r="M130" i="20"/>
  <c r="J33" i="10"/>
  <c r="N131" i="20"/>
  <c r="L131" i="20"/>
  <c r="G133" i="20"/>
  <c r="G97" i="10"/>
  <c r="G24" i="8"/>
  <c r="G18" i="8"/>
  <c r="U12" i="31"/>
  <c r="I21" i="29"/>
  <c r="Q23" i="8"/>
  <c r="U12" i="27"/>
  <c r="X11" i="31"/>
  <c r="L24" i="8"/>
  <c r="Y12" i="29"/>
  <c r="I21" i="31"/>
  <c r="V11" i="27"/>
  <c r="Q19" i="8"/>
  <c r="AB12" i="9"/>
  <c r="I21" i="27"/>
  <c r="I133" i="20"/>
  <c r="J32" i="10"/>
  <c r="L130" i="20"/>
  <c r="AA14" i="9"/>
  <c r="I97" i="10"/>
  <c r="O17" i="27" l="1"/>
  <c r="O16" i="31"/>
  <c r="J133" i="20"/>
  <c r="P24" i="9"/>
  <c r="M29" i="9"/>
  <c r="M33" i="10"/>
  <c r="N32" i="10"/>
  <c r="L32" i="10"/>
  <c r="M32" i="10"/>
  <c r="N33" i="10"/>
  <c r="G98" i="10"/>
  <c r="K33" i="10"/>
  <c r="J35" i="10" s="1"/>
  <c r="G25" i="8"/>
  <c r="G17" i="8"/>
  <c r="U12" i="20"/>
  <c r="U25" i="20"/>
  <c r="U21" i="20"/>
  <c r="U11" i="20"/>
  <c r="Q24" i="8"/>
  <c r="U14" i="20"/>
  <c r="U22" i="20"/>
  <c r="Z12" i="29"/>
  <c r="AB14" i="9"/>
  <c r="W11" i="20"/>
  <c r="V12" i="31"/>
  <c r="U20" i="20"/>
  <c r="U19" i="20"/>
  <c r="U24" i="20"/>
  <c r="J34" i="10"/>
  <c r="U15" i="20"/>
  <c r="J132" i="20"/>
  <c r="U23" i="20"/>
  <c r="U29" i="20"/>
  <c r="L31" i="10"/>
  <c r="U26" i="20"/>
  <c r="U18" i="20"/>
  <c r="U17" i="20"/>
  <c r="U27" i="20"/>
  <c r="U30" i="20"/>
  <c r="L25" i="8"/>
  <c r="U13" i="20"/>
  <c r="U16" i="20"/>
  <c r="U28" i="20"/>
  <c r="Q17" i="20" l="1"/>
  <c r="I20" i="29"/>
  <c r="I20" i="31"/>
  <c r="I20" i="27"/>
  <c r="R24" i="9"/>
  <c r="R27" i="9" s="1"/>
  <c r="P29" i="9" s="1"/>
  <c r="AA13" i="9"/>
  <c r="N31" i="9"/>
  <c r="M31" i="9" s="1"/>
  <c r="M133" i="20"/>
  <c r="N132" i="20"/>
  <c r="M132" i="20"/>
  <c r="M35" i="10"/>
  <c r="N34" i="10"/>
  <c r="M34" i="10"/>
  <c r="L34" i="10"/>
  <c r="N133" i="20"/>
  <c r="K133" i="20"/>
  <c r="L133" i="20"/>
  <c r="K35" i="10"/>
  <c r="N35" i="10"/>
  <c r="G99" i="10"/>
  <c r="G26" i="8"/>
  <c r="V27" i="20"/>
  <c r="V20" i="20"/>
  <c r="AB13" i="9"/>
  <c r="V25" i="20"/>
  <c r="V28" i="20"/>
  <c r="U13" i="31"/>
  <c r="V26" i="20"/>
  <c r="V16" i="20"/>
  <c r="V18" i="20"/>
  <c r="V24" i="20"/>
  <c r="V23" i="20"/>
  <c r="L33" i="10"/>
  <c r="V21" i="20"/>
  <c r="V29" i="20"/>
  <c r="U13" i="27"/>
  <c r="L26" i="8"/>
  <c r="I99" i="10"/>
  <c r="V15" i="20"/>
  <c r="V13" i="20"/>
  <c r="V12" i="20"/>
  <c r="Q25" i="8"/>
  <c r="V14" i="20"/>
  <c r="V17" i="20"/>
  <c r="Y13" i="29"/>
  <c r="V19" i="20"/>
  <c r="L132" i="20"/>
  <c r="V30" i="20"/>
  <c r="V22" i="20"/>
  <c r="K20" i="29" l="1"/>
  <c r="P21" i="29" s="1"/>
  <c r="P28" i="9"/>
  <c r="G100" i="10"/>
  <c r="J37" i="10"/>
  <c r="G27" i="8"/>
  <c r="W16" i="20"/>
  <c r="W29" i="20"/>
  <c r="I22" i="31"/>
  <c r="J36" i="10"/>
  <c r="W26" i="20"/>
  <c r="W14" i="20"/>
  <c r="V13" i="31"/>
  <c r="W19" i="20"/>
  <c r="I22" i="29"/>
  <c r="W13" i="20"/>
  <c r="W17" i="20"/>
  <c r="L27" i="8"/>
  <c r="W24" i="20"/>
  <c r="W21" i="20"/>
  <c r="I22" i="27"/>
  <c r="AA15" i="9"/>
  <c r="W18" i="20"/>
  <c r="W15" i="20"/>
  <c r="W20" i="20"/>
  <c r="W28" i="20"/>
  <c r="Q26" i="8"/>
  <c r="W12" i="20"/>
  <c r="W23" i="20"/>
  <c r="H20" i="27"/>
  <c r="W30" i="20"/>
  <c r="W22" i="20"/>
  <c r="W25" i="20"/>
  <c r="H20" i="31"/>
  <c r="W27" i="20"/>
  <c r="U14" i="27"/>
  <c r="U14" i="31"/>
  <c r="Q18" i="20" l="1"/>
  <c r="Q19" i="20" s="1"/>
  <c r="M20" i="27"/>
  <c r="N20" i="27" s="1"/>
  <c r="M20" i="31"/>
  <c r="K21" i="29"/>
  <c r="R21" i="29"/>
  <c r="S21" i="29" s="1"/>
  <c r="Q21" i="29"/>
  <c r="O19" i="27"/>
  <c r="R28" i="9"/>
  <c r="R29" i="9" s="1"/>
  <c r="M37" i="10"/>
  <c r="N36" i="10"/>
  <c r="L36" i="10"/>
  <c r="M36" i="10"/>
  <c r="N37" i="10"/>
  <c r="L37" i="10"/>
  <c r="G101" i="10"/>
  <c r="K37" i="10"/>
  <c r="G28" i="8"/>
  <c r="G16" i="8"/>
  <c r="Y14" i="29"/>
  <c r="V14" i="31"/>
  <c r="Z13" i="29"/>
  <c r="I101" i="10"/>
  <c r="Q27" i="8"/>
  <c r="AB15" i="9"/>
  <c r="L28" i="8"/>
  <c r="L35" i="10"/>
  <c r="V12" i="27"/>
  <c r="L16" i="8"/>
  <c r="N20" i="31" l="1"/>
  <c r="G102" i="10"/>
  <c r="J39" i="10"/>
  <c r="G29" i="8"/>
  <c r="G15" i="8"/>
  <c r="L29" i="8"/>
  <c r="X12" i="31"/>
  <c r="Q28" i="8"/>
  <c r="Q16" i="8"/>
  <c r="J38" i="10"/>
  <c r="O20" i="31" l="1"/>
  <c r="O20" i="27"/>
  <c r="K39" i="10"/>
  <c r="J41" i="10" s="1"/>
  <c r="N41" i="10" s="1"/>
  <c r="M39" i="10"/>
  <c r="N38" i="10"/>
  <c r="M38" i="10"/>
  <c r="G103" i="10"/>
  <c r="N39" i="10"/>
  <c r="L39" i="10"/>
  <c r="G30" i="8"/>
  <c r="G14" i="8"/>
  <c r="I103" i="10"/>
  <c r="Q29" i="8"/>
  <c r="J40" i="10"/>
  <c r="L38" i="10"/>
  <c r="L30" i="8"/>
  <c r="L41" i="10" l="1"/>
  <c r="K41" i="10"/>
  <c r="J43" i="10" s="1"/>
  <c r="N43" i="10" s="1"/>
  <c r="M41" i="10"/>
  <c r="M40" i="10"/>
  <c r="N40" i="10"/>
  <c r="G104" i="10"/>
  <c r="G31" i="8"/>
  <c r="G13" i="8"/>
  <c r="J42" i="10"/>
  <c r="Q30" i="8"/>
  <c r="L40" i="10"/>
  <c r="L31" i="8"/>
  <c r="L43" i="10" l="1"/>
  <c r="K43" i="10"/>
  <c r="J45" i="10" s="1"/>
  <c r="N45" i="10" s="1"/>
  <c r="M43" i="10"/>
  <c r="N42" i="10"/>
  <c r="M42" i="10"/>
  <c r="G105" i="10"/>
  <c r="G32" i="8"/>
  <c r="G12" i="8"/>
  <c r="L32" i="8"/>
  <c r="J44" i="10"/>
  <c r="I105" i="10"/>
  <c r="L42" i="10"/>
  <c r="Q31" i="8"/>
  <c r="L45" i="10" l="1"/>
  <c r="K45" i="10"/>
  <c r="J47" i="10" s="1"/>
  <c r="N44" i="10"/>
  <c r="M45" i="10"/>
  <c r="M44" i="10"/>
  <c r="G106" i="10"/>
  <c r="G33" i="8"/>
  <c r="G11" i="8"/>
  <c r="L33" i="8"/>
  <c r="L44" i="10"/>
  <c r="J46" i="10"/>
  <c r="Q32" i="8"/>
  <c r="L46" i="10" l="1"/>
  <c r="M46" i="10"/>
  <c r="N46" i="10"/>
  <c r="M47" i="10"/>
  <c r="K47" i="10"/>
  <c r="J49" i="10" s="1"/>
  <c r="N47" i="10"/>
  <c r="G107" i="10"/>
  <c r="G34" i="8"/>
  <c r="L34" i="8"/>
  <c r="J48" i="10"/>
  <c r="Q33" i="8"/>
  <c r="I107" i="10"/>
  <c r="M49" i="10" l="1"/>
  <c r="N48" i="10"/>
  <c r="M48" i="10"/>
  <c r="L48" i="10"/>
  <c r="K49" i="10"/>
  <c r="J51" i="10" s="1"/>
  <c r="N49" i="10"/>
  <c r="G108" i="10"/>
  <c r="G35" i="8"/>
  <c r="L47" i="10"/>
  <c r="Q34" i="8"/>
  <c r="J50" i="10"/>
  <c r="L35" i="8"/>
  <c r="M51" i="10" l="1"/>
  <c r="M50" i="10"/>
  <c r="N50" i="10"/>
  <c r="L50" i="10"/>
  <c r="N51" i="10"/>
  <c r="K51" i="10"/>
  <c r="J53" i="10" s="1"/>
  <c r="N53" i="10" s="1"/>
  <c r="G109" i="10"/>
  <c r="G36" i="8"/>
  <c r="H20" i="7"/>
  <c r="H19" i="7"/>
  <c r="H18" i="7"/>
  <c r="H17" i="7"/>
  <c r="H16" i="7"/>
  <c r="H15" i="7"/>
  <c r="H14" i="7"/>
  <c r="H13" i="7"/>
  <c r="H12" i="7"/>
  <c r="H11" i="7"/>
  <c r="J52" i="10"/>
  <c r="L36" i="8"/>
  <c r="M20" i="7"/>
  <c r="Q35" i="8"/>
  <c r="M19" i="7"/>
  <c r="L49" i="10"/>
  <c r="I109" i="10"/>
  <c r="M16" i="7"/>
  <c r="N52" i="10" l="1"/>
  <c r="L52" i="10"/>
  <c r="M53" i="10"/>
  <c r="M52" i="10"/>
  <c r="K53" i="10"/>
  <c r="J55" i="10" s="1"/>
  <c r="G110" i="10"/>
  <c r="G37" i="8"/>
  <c r="H21" i="7"/>
  <c r="Q36" i="8"/>
  <c r="J54" i="10"/>
  <c r="L51" i="10"/>
  <c r="M21" i="7"/>
  <c r="L37" i="8"/>
  <c r="N54" i="10" l="1"/>
  <c r="L54" i="10"/>
  <c r="M54" i="10"/>
  <c r="M55" i="10"/>
  <c r="L55" i="10"/>
  <c r="K55" i="10"/>
  <c r="J57" i="10" s="1"/>
  <c r="N57" i="10" s="1"/>
  <c r="N55" i="10"/>
  <c r="G111" i="10"/>
  <c r="G38" i="8"/>
  <c r="H22" i="7"/>
  <c r="Q37" i="8"/>
  <c r="I111" i="10"/>
  <c r="L53" i="10"/>
  <c r="J56" i="10"/>
  <c r="M22" i="7"/>
  <c r="L38" i="8"/>
  <c r="L57" i="10" l="1"/>
  <c r="M56" i="10"/>
  <c r="N56" i="10"/>
  <c r="M57" i="10"/>
  <c r="K57" i="10"/>
  <c r="J59" i="10" s="1"/>
  <c r="G112" i="10"/>
  <c r="G39" i="8"/>
  <c r="H23" i="7"/>
  <c r="Q38" i="8"/>
  <c r="J58" i="10"/>
  <c r="M23" i="7"/>
  <c r="L39" i="8"/>
  <c r="L56" i="10"/>
  <c r="K59" i="10" l="1"/>
  <c r="J61" i="10" s="1"/>
  <c r="N61" i="10" s="1"/>
  <c r="M59" i="10"/>
  <c r="N58" i="10"/>
  <c r="M58" i="10"/>
  <c r="G113" i="10"/>
  <c r="N59" i="10"/>
  <c r="L59" i="10"/>
  <c r="G40" i="8"/>
  <c r="H24" i="7"/>
  <c r="G12" i="6"/>
  <c r="I113" i="10"/>
  <c r="L12" i="6"/>
  <c r="J60" i="10"/>
  <c r="L58" i="10"/>
  <c r="L40" i="8"/>
  <c r="M24" i="7"/>
  <c r="Q39" i="8"/>
  <c r="K61" i="10" l="1"/>
  <c r="J63" i="10" s="1"/>
  <c r="L63" i="10" s="1"/>
  <c r="L61" i="10"/>
  <c r="M61" i="10"/>
  <c r="N60" i="10"/>
  <c r="M60" i="10"/>
  <c r="G114" i="10"/>
  <c r="I12" i="6"/>
  <c r="G41" i="8"/>
  <c r="H25" i="7"/>
  <c r="G13" i="6"/>
  <c r="M25" i="7"/>
  <c r="L41" i="8"/>
  <c r="L62" i="10"/>
  <c r="L13" i="6"/>
  <c r="Q40" i="8"/>
  <c r="J62" i="10"/>
  <c r="L60" i="10"/>
  <c r="M62" i="10" l="1"/>
  <c r="N62" i="10"/>
  <c r="M63" i="10"/>
  <c r="K63" i="10"/>
  <c r="J65" i="10" s="1"/>
  <c r="N65" i="10" s="1"/>
  <c r="N63" i="10"/>
  <c r="G115" i="10"/>
  <c r="G42" i="8"/>
  <c r="H26" i="7"/>
  <c r="G14" i="6"/>
  <c r="J64" i="10"/>
  <c r="M26" i="7"/>
  <c r="Q41" i="8"/>
  <c r="L14" i="6"/>
  <c r="L42" i="8"/>
  <c r="H14" i="6"/>
  <c r="I115" i="10"/>
  <c r="L64" i="10" l="1"/>
  <c r="N64" i="10"/>
  <c r="M65" i="10"/>
  <c r="M64" i="10"/>
  <c r="K65" i="10"/>
  <c r="J67" i="10" s="1"/>
  <c r="G116" i="10"/>
  <c r="G43" i="8"/>
  <c r="H27" i="7"/>
  <c r="G15" i="6"/>
  <c r="L15" i="6"/>
  <c r="J66" i="10"/>
  <c r="M27" i="7"/>
  <c r="Q42" i="8"/>
  <c r="L43" i="8"/>
  <c r="M66" i="10" l="1"/>
  <c r="L66" i="10"/>
  <c r="N66" i="10"/>
  <c r="M67" i="10"/>
  <c r="K67" i="10"/>
  <c r="J69" i="10" s="1"/>
  <c r="N69" i="10" s="1"/>
  <c r="N67" i="10"/>
  <c r="G117" i="10"/>
  <c r="G44" i="8"/>
  <c r="H28" i="7"/>
  <c r="I14" i="6"/>
  <c r="G16" i="6"/>
  <c r="G12" i="4"/>
  <c r="M28" i="7"/>
  <c r="L44" i="8"/>
  <c r="L65" i="10"/>
  <c r="Q43" i="8"/>
  <c r="L12" i="4"/>
  <c r="L16" i="6"/>
  <c r="I13" i="6"/>
  <c r="I117" i="10"/>
  <c r="J68" i="10"/>
  <c r="N68" i="10" l="1"/>
  <c r="L68" i="10"/>
  <c r="M69" i="10"/>
  <c r="M68" i="10"/>
  <c r="K69" i="10"/>
  <c r="J71" i="10" s="1"/>
  <c r="P13" i="6"/>
  <c r="P14" i="6"/>
  <c r="G118" i="10"/>
  <c r="J14" i="6"/>
  <c r="G45" i="8"/>
  <c r="H29" i="7"/>
  <c r="M11" i="6"/>
  <c r="P11" i="6"/>
  <c r="P10" i="6" s="1"/>
  <c r="G17" i="6"/>
  <c r="P12" i="6"/>
  <c r="K12" i="6"/>
  <c r="G13" i="4"/>
  <c r="L13" i="4"/>
  <c r="M29" i="7"/>
  <c r="L67" i="10"/>
  <c r="J70" i="10"/>
  <c r="L17" i="6"/>
  <c r="Q44" i="8"/>
  <c r="I12" i="4"/>
  <c r="L45" i="8"/>
  <c r="P12" i="4" l="1"/>
  <c r="M12" i="4"/>
  <c r="K71" i="10"/>
  <c r="J73" i="10" s="1"/>
  <c r="M71" i="10"/>
  <c r="N70" i="10"/>
  <c r="L70" i="10"/>
  <c r="M70" i="10"/>
  <c r="N71" i="10"/>
  <c r="G119" i="10"/>
  <c r="M12" i="6"/>
  <c r="N11" i="6"/>
  <c r="G46" i="8"/>
  <c r="H30" i="7"/>
  <c r="G18" i="6"/>
  <c r="G14" i="4"/>
  <c r="H18" i="6"/>
  <c r="I119" i="10"/>
  <c r="M30" i="7"/>
  <c r="L18" i="6"/>
  <c r="L14" i="4"/>
  <c r="J72" i="10"/>
  <c r="L69" i="10"/>
  <c r="O16" i="8"/>
  <c r="Q45" i="8"/>
  <c r="X11" i="6"/>
  <c r="L46" i="8"/>
  <c r="H14" i="4"/>
  <c r="L73" i="10" l="1"/>
  <c r="K73" i="10"/>
  <c r="J75" i="10" s="1"/>
  <c r="M73" i="10"/>
  <c r="N72" i="10"/>
  <c r="M72" i="10"/>
  <c r="L72" i="10"/>
  <c r="G120" i="10"/>
  <c r="N73" i="10"/>
  <c r="I18" i="6"/>
  <c r="O11" i="6"/>
  <c r="G47" i="8"/>
  <c r="H31" i="7"/>
  <c r="K14" i="6"/>
  <c r="G19" i="6"/>
  <c r="G15" i="4"/>
  <c r="L15" i="4"/>
  <c r="M31" i="7"/>
  <c r="L71" i="10"/>
  <c r="J74" i="10"/>
  <c r="L19" i="6"/>
  <c r="L47" i="8"/>
  <c r="I17" i="6"/>
  <c r="I16" i="6"/>
  <c r="Q46" i="8"/>
  <c r="K13" i="6"/>
  <c r="I15" i="6"/>
  <c r="L75" i="10" l="1"/>
  <c r="P15" i="6"/>
  <c r="P16" i="6"/>
  <c r="P17" i="6"/>
  <c r="N75" i="10"/>
  <c r="P18" i="6"/>
  <c r="M74" i="10"/>
  <c r="N74" i="10"/>
  <c r="M75" i="10"/>
  <c r="K75" i="10"/>
  <c r="J77" i="10" s="1"/>
  <c r="G121" i="10"/>
  <c r="J18" i="6"/>
  <c r="N12" i="6"/>
  <c r="G48" i="8"/>
  <c r="H32" i="7"/>
  <c r="G20" i="6"/>
  <c r="G16" i="4"/>
  <c r="M32" i="7"/>
  <c r="I121" i="10"/>
  <c r="L74" i="10"/>
  <c r="L16" i="4"/>
  <c r="Q47" i="8"/>
  <c r="L20" i="6"/>
  <c r="H16" i="4"/>
  <c r="L48" i="8"/>
  <c r="J76" i="10"/>
  <c r="O12" i="6" l="1"/>
  <c r="N77" i="10"/>
  <c r="K77" i="10"/>
  <c r="J79" i="10" s="1"/>
  <c r="N76" i="10"/>
  <c r="M76" i="10"/>
  <c r="M77" i="10"/>
  <c r="L77" i="10"/>
  <c r="G122" i="10"/>
  <c r="G49" i="8"/>
  <c r="H33" i="7"/>
  <c r="M13" i="6"/>
  <c r="G21" i="6"/>
  <c r="K11" i="4"/>
  <c r="K12" i="4"/>
  <c r="P11" i="4"/>
  <c r="P10" i="4" s="1"/>
  <c r="G17" i="4"/>
  <c r="J12" i="4"/>
  <c r="G12" i="2"/>
  <c r="Q48" i="8"/>
  <c r="L21" i="6"/>
  <c r="L17" i="4"/>
  <c r="M33" i="7"/>
  <c r="L76" i="10"/>
  <c r="L12" i="2"/>
  <c r="J78" i="10"/>
  <c r="L49" i="8"/>
  <c r="P16" i="7"/>
  <c r="I12" i="2" l="1"/>
  <c r="AA11" i="8"/>
  <c r="K79" i="10"/>
  <c r="J81" i="10" s="1"/>
  <c r="Z11" i="7"/>
  <c r="M79" i="10"/>
  <c r="N78" i="10"/>
  <c r="M78" i="10"/>
  <c r="N79" i="10"/>
  <c r="L79" i="10"/>
  <c r="G123" i="10"/>
  <c r="M14" i="6"/>
  <c r="N13" i="6"/>
  <c r="N12" i="4"/>
  <c r="O12" i="4" s="1"/>
  <c r="G50" i="8"/>
  <c r="H34" i="7"/>
  <c r="G22" i="6"/>
  <c r="G18" i="4"/>
  <c r="I14" i="4"/>
  <c r="G13" i="2"/>
  <c r="H22" i="6"/>
  <c r="I123" i="10"/>
  <c r="L50" i="8"/>
  <c r="I13" i="4"/>
  <c r="L13" i="2"/>
  <c r="Q49" i="8"/>
  <c r="J80" i="10"/>
  <c r="L18" i="4"/>
  <c r="L22" i="6"/>
  <c r="M34" i="7"/>
  <c r="L78" i="10"/>
  <c r="H18" i="4"/>
  <c r="P13" i="4" l="1"/>
  <c r="M14" i="4"/>
  <c r="P14" i="4"/>
  <c r="M81" i="10"/>
  <c r="N80" i="10"/>
  <c r="M80" i="10"/>
  <c r="N81" i="10"/>
  <c r="L81" i="10"/>
  <c r="G124" i="10"/>
  <c r="K81" i="10"/>
  <c r="I22" i="6"/>
  <c r="P11" i="2"/>
  <c r="O13" i="6"/>
  <c r="N14" i="6" s="1"/>
  <c r="G51" i="8"/>
  <c r="H35" i="7"/>
  <c r="G23" i="6"/>
  <c r="G19" i="4"/>
  <c r="J14" i="4"/>
  <c r="G14" i="2"/>
  <c r="K12" i="2"/>
  <c r="J12" i="2"/>
  <c r="P12" i="2"/>
  <c r="L51" i="8"/>
  <c r="L80" i="10"/>
  <c r="L19" i="4"/>
  <c r="I20" i="6"/>
  <c r="H14" i="2"/>
  <c r="M35" i="7"/>
  <c r="L14" i="2"/>
  <c r="I21" i="6"/>
  <c r="L23" i="6"/>
  <c r="I19" i="6"/>
  <c r="Q50" i="8"/>
  <c r="P19" i="6" l="1"/>
  <c r="P21" i="6"/>
  <c r="P20" i="6"/>
  <c r="P22" i="6"/>
  <c r="G125" i="10"/>
  <c r="J83" i="10"/>
  <c r="J22" i="6"/>
  <c r="M11" i="2"/>
  <c r="O14" i="6"/>
  <c r="G52" i="8"/>
  <c r="P10" i="2"/>
  <c r="H36" i="7"/>
  <c r="G24" i="6"/>
  <c r="I16" i="4"/>
  <c r="G20" i="4"/>
  <c r="G15" i="2"/>
  <c r="I14" i="2"/>
  <c r="I15" i="4"/>
  <c r="L24" i="6"/>
  <c r="J82" i="10"/>
  <c r="L15" i="2"/>
  <c r="Q51" i="8"/>
  <c r="I13" i="2"/>
  <c r="H20" i="4"/>
  <c r="M36" i="7"/>
  <c r="I125" i="10"/>
  <c r="L52" i="8"/>
  <c r="L20" i="4"/>
  <c r="K83" i="10" l="1"/>
  <c r="J85" i="10" s="1"/>
  <c r="N85" i="10" s="1"/>
  <c r="P13" i="2"/>
  <c r="P15" i="4"/>
  <c r="P14" i="2"/>
  <c r="M16" i="4"/>
  <c r="P16" i="4"/>
  <c r="M83" i="10"/>
  <c r="N82" i="10"/>
  <c r="M82" i="10"/>
  <c r="L82" i="10"/>
  <c r="G126" i="10"/>
  <c r="N83" i="10"/>
  <c r="M15" i="6"/>
  <c r="N15" i="6" s="1"/>
  <c r="M12" i="2"/>
  <c r="N11" i="2"/>
  <c r="G53" i="8"/>
  <c r="H37" i="7"/>
  <c r="K16" i="6"/>
  <c r="K18" i="6"/>
  <c r="G25" i="6"/>
  <c r="J14" i="2"/>
  <c r="K14" i="4"/>
  <c r="K13" i="4"/>
  <c r="G21" i="4"/>
  <c r="J16" i="4"/>
  <c r="G16" i="2"/>
  <c r="K14" i="2"/>
  <c r="H16" i="2"/>
  <c r="K17" i="6"/>
  <c r="K13" i="2"/>
  <c r="I16" i="8"/>
  <c r="K15" i="6"/>
  <c r="J84" i="10"/>
  <c r="X11" i="2"/>
  <c r="Q52" i="8"/>
  <c r="L53" i="8"/>
  <c r="L16" i="2"/>
  <c r="L25" i="6"/>
  <c r="L21" i="4"/>
  <c r="M37" i="7"/>
  <c r="J16" i="7"/>
  <c r="Y11" i="8" l="1"/>
  <c r="K85" i="10"/>
  <c r="J87" i="10" s="1"/>
  <c r="N87" i="10" s="1"/>
  <c r="N84" i="10"/>
  <c r="L84" i="10"/>
  <c r="M85" i="10"/>
  <c r="M84" i="10"/>
  <c r="X11" i="7"/>
  <c r="G127" i="10"/>
  <c r="M16" i="6"/>
  <c r="M17" i="6" s="1"/>
  <c r="M18" i="6" s="1"/>
  <c r="M19" i="6" s="1"/>
  <c r="M20" i="6" s="1"/>
  <c r="K20" i="6"/>
  <c r="K22" i="6"/>
  <c r="N14" i="4"/>
  <c r="O14" i="4" s="1"/>
  <c r="O11" i="2"/>
  <c r="O15" i="6"/>
  <c r="G54" i="8"/>
  <c r="H38" i="7"/>
  <c r="G26" i="6"/>
  <c r="I18" i="4"/>
  <c r="G22" i="4"/>
  <c r="I16" i="2"/>
  <c r="G17" i="2"/>
  <c r="L83" i="10"/>
  <c r="M38" i="7"/>
  <c r="Q53" i="8"/>
  <c r="K19" i="6"/>
  <c r="I17" i="4"/>
  <c r="I15" i="2"/>
  <c r="H22" i="4"/>
  <c r="K21" i="6"/>
  <c r="L54" i="8"/>
  <c r="J86" i="10"/>
  <c r="L17" i="2"/>
  <c r="L26" i="6"/>
  <c r="I127" i="10"/>
  <c r="N13" i="4"/>
  <c r="L22" i="4"/>
  <c r="H26" i="6"/>
  <c r="L86" i="10" l="1"/>
  <c r="M87" i="10"/>
  <c r="N86" i="10"/>
  <c r="M86" i="10"/>
  <c r="K87" i="10"/>
  <c r="J89" i="10" s="1"/>
  <c r="P17" i="4"/>
  <c r="P15" i="2"/>
  <c r="M18" i="4"/>
  <c r="P18" i="4"/>
  <c r="P16" i="2"/>
  <c r="G128" i="10"/>
  <c r="M13" i="2"/>
  <c r="M14" i="2" s="1"/>
  <c r="N16" i="6"/>
  <c r="I26" i="6"/>
  <c r="N12" i="2"/>
  <c r="G55" i="8"/>
  <c r="H39" i="7"/>
  <c r="K16" i="2"/>
  <c r="G27" i="6"/>
  <c r="M21" i="6"/>
  <c r="M22" i="6" s="1"/>
  <c r="K16" i="4"/>
  <c r="K15" i="4"/>
  <c r="G23" i="4"/>
  <c r="J18" i="4"/>
  <c r="J16" i="2"/>
  <c r="G18" i="2"/>
  <c r="Q54" i="8"/>
  <c r="L55" i="8"/>
  <c r="L18" i="2"/>
  <c r="I25" i="6"/>
  <c r="H18" i="2"/>
  <c r="J88" i="10"/>
  <c r="I23" i="6"/>
  <c r="L85" i="10"/>
  <c r="I24" i="6"/>
  <c r="L27" i="6"/>
  <c r="M39" i="7"/>
  <c r="L23" i="4"/>
  <c r="K15" i="2"/>
  <c r="O16" i="6" l="1"/>
  <c r="N17" i="6" s="1"/>
  <c r="L88" i="10"/>
  <c r="N88" i="10"/>
  <c r="M88" i="10"/>
  <c r="M89" i="10"/>
  <c r="N89" i="10"/>
  <c r="K89" i="10"/>
  <c r="J91" i="10" s="1"/>
  <c r="N91" i="10" s="1"/>
  <c r="O12" i="2"/>
  <c r="N13" i="2" s="1"/>
  <c r="P24" i="6"/>
  <c r="P23" i="6"/>
  <c r="P25" i="6"/>
  <c r="P26" i="6"/>
  <c r="G129" i="10"/>
  <c r="G56" i="8"/>
  <c r="H40" i="7"/>
  <c r="J26" i="6"/>
  <c r="G28" i="6"/>
  <c r="I20" i="4"/>
  <c r="G24" i="4"/>
  <c r="I18" i="2"/>
  <c r="G19" i="2"/>
  <c r="I19" i="4"/>
  <c r="L24" i="4"/>
  <c r="J90" i="10"/>
  <c r="L56" i="8"/>
  <c r="L87" i="10"/>
  <c r="M40" i="7"/>
  <c r="Q55" i="8"/>
  <c r="H24" i="4"/>
  <c r="I17" i="2"/>
  <c r="I129" i="10"/>
  <c r="L19" i="2"/>
  <c r="L28" i="6"/>
  <c r="O17" i="6" l="1"/>
  <c r="N18" i="6" s="1"/>
  <c r="K91" i="10"/>
  <c r="J93" i="10" s="1"/>
  <c r="M90" i="10"/>
  <c r="N90" i="10"/>
  <c r="M91" i="10"/>
  <c r="L90" i="10"/>
  <c r="L91" i="10"/>
  <c r="P17" i="2"/>
  <c r="P19" i="4"/>
  <c r="P18" i="2"/>
  <c r="M20" i="4"/>
  <c r="P20" i="4"/>
  <c r="O13" i="2"/>
  <c r="N14" i="2" s="1"/>
  <c r="G130" i="10"/>
  <c r="J18" i="2"/>
  <c r="N16" i="4"/>
  <c r="G57" i="8"/>
  <c r="H41" i="7"/>
  <c r="K18" i="2"/>
  <c r="G29" i="6"/>
  <c r="J20" i="4"/>
  <c r="I22" i="4" s="1"/>
  <c r="K18" i="4"/>
  <c r="K17" i="4"/>
  <c r="M15" i="2"/>
  <c r="M16" i="2" s="1"/>
  <c r="G25" i="4"/>
  <c r="G20" i="2"/>
  <c r="I21" i="4"/>
  <c r="L29" i="6"/>
  <c r="N15" i="4"/>
  <c r="L89" i="10"/>
  <c r="L25" i="4"/>
  <c r="H20" i="2"/>
  <c r="J92" i="10"/>
  <c r="L20" i="2"/>
  <c r="L57" i="8"/>
  <c r="Q56" i="8"/>
  <c r="K17" i="2"/>
  <c r="M41" i="7"/>
  <c r="O18" i="6" l="1"/>
  <c r="N19" i="6" s="1"/>
  <c r="K93" i="10"/>
  <c r="J95" i="10" s="1"/>
  <c r="M92" i="10"/>
  <c r="N92" i="10"/>
  <c r="M93" i="10"/>
  <c r="N93" i="10"/>
  <c r="L93" i="10"/>
  <c r="O14" i="2"/>
  <c r="N15" i="2" s="1"/>
  <c r="P21" i="4"/>
  <c r="M22" i="4"/>
  <c r="P22" i="4"/>
  <c r="G131" i="10"/>
  <c r="K24" i="6"/>
  <c r="M23" i="6"/>
  <c r="M24" i="6" s="1"/>
  <c r="M25" i="6" s="1"/>
  <c r="M26" i="6" s="1"/>
  <c r="K26" i="6"/>
  <c r="O16" i="4"/>
  <c r="G58" i="8"/>
  <c r="H42" i="7"/>
  <c r="G30" i="6"/>
  <c r="J22" i="4"/>
  <c r="I24" i="4" s="1"/>
  <c r="G26" i="4"/>
  <c r="I20" i="2"/>
  <c r="G21" i="2"/>
  <c r="I131" i="10"/>
  <c r="L92" i="10"/>
  <c r="M42" i="7"/>
  <c r="J94" i="10"/>
  <c r="L21" i="2"/>
  <c r="L30" i="6"/>
  <c r="H26" i="4"/>
  <c r="Q57" i="8"/>
  <c r="I19" i="2"/>
  <c r="L26" i="4"/>
  <c r="K23" i="6"/>
  <c r="K25" i="6"/>
  <c r="L58" i="8"/>
  <c r="H30" i="6"/>
  <c r="I23" i="4"/>
  <c r="O19" i="6" l="1"/>
  <c r="N20" i="6" s="1"/>
  <c r="K95" i="10"/>
  <c r="J97" i="10" s="1"/>
  <c r="L97" i="10" s="1"/>
  <c r="P19" i="2"/>
  <c r="P23" i="4"/>
  <c r="P20" i="2"/>
  <c r="M24" i="4"/>
  <c r="P24" i="4"/>
  <c r="M95" i="10"/>
  <c r="N94" i="10"/>
  <c r="M94" i="10"/>
  <c r="G132" i="10"/>
  <c r="N95" i="10"/>
  <c r="L95" i="10"/>
  <c r="I30" i="6"/>
  <c r="N18" i="4"/>
  <c r="G59" i="8"/>
  <c r="O15" i="2"/>
  <c r="N16" i="2" s="1"/>
  <c r="H43" i="7"/>
  <c r="K20" i="2"/>
  <c r="G31" i="6"/>
  <c r="K20" i="4"/>
  <c r="K19" i="4"/>
  <c r="G27" i="4"/>
  <c r="M17" i="2"/>
  <c r="M18" i="2" s="1"/>
  <c r="J24" i="4"/>
  <c r="G22" i="2"/>
  <c r="J20" i="2"/>
  <c r="I29" i="6"/>
  <c r="K19" i="2"/>
  <c r="J96" i="10"/>
  <c r="I27" i="6"/>
  <c r="L94" i="10"/>
  <c r="I28" i="6"/>
  <c r="L96" i="10"/>
  <c r="L59" i="8"/>
  <c r="L27" i="4"/>
  <c r="M43" i="7"/>
  <c r="N17" i="4"/>
  <c r="L31" i="6"/>
  <c r="H22" i="2"/>
  <c r="Q58" i="8"/>
  <c r="L22" i="2"/>
  <c r="O20" i="6" l="1"/>
  <c r="N21" i="6" s="1"/>
  <c r="N97" i="10"/>
  <c r="K97" i="10"/>
  <c r="J99" i="10" s="1"/>
  <c r="N96" i="10"/>
  <c r="M97" i="10"/>
  <c r="M96" i="10"/>
  <c r="P29" i="6"/>
  <c r="P27" i="6"/>
  <c r="P28" i="6"/>
  <c r="P30" i="6"/>
  <c r="G133" i="10"/>
  <c r="J30" i="6"/>
  <c r="O18" i="4"/>
  <c r="G60" i="8"/>
  <c r="O16" i="2"/>
  <c r="N17" i="2" s="1"/>
  <c r="H44" i="7"/>
  <c r="I22" i="2"/>
  <c r="G32" i="6"/>
  <c r="K22" i="4"/>
  <c r="K21" i="4"/>
  <c r="G28" i="4"/>
  <c r="I26" i="4"/>
  <c r="G23" i="2"/>
  <c r="L28" i="4"/>
  <c r="J98" i="10"/>
  <c r="I25" i="4"/>
  <c r="I133" i="10"/>
  <c r="L32" i="6"/>
  <c r="Q59" i="8"/>
  <c r="I21" i="2"/>
  <c r="L60" i="8"/>
  <c r="L23" i="2"/>
  <c r="H28" i="4"/>
  <c r="M44" i="7"/>
  <c r="O21" i="6" l="1"/>
  <c r="N22" i="6" s="1"/>
  <c r="K99" i="10"/>
  <c r="J101" i="10" s="1"/>
  <c r="N101" i="10" s="1"/>
  <c r="P25" i="4"/>
  <c r="P21" i="2"/>
  <c r="M26" i="4"/>
  <c r="P26" i="4"/>
  <c r="P22" i="2"/>
  <c r="M99" i="10"/>
  <c r="N98" i="10"/>
  <c r="M98" i="10"/>
  <c r="N99" i="10"/>
  <c r="L99" i="10"/>
  <c r="J22" i="2"/>
  <c r="N20" i="4"/>
  <c r="G61" i="8"/>
  <c r="O17" i="2"/>
  <c r="N18" i="2" s="1"/>
  <c r="H45" i="7"/>
  <c r="K22" i="2"/>
  <c r="G33" i="6"/>
  <c r="K24" i="4"/>
  <c r="K23" i="4"/>
  <c r="G29" i="4"/>
  <c r="J26" i="4"/>
  <c r="G24" i="2"/>
  <c r="M19" i="2"/>
  <c r="M20" i="2" s="1"/>
  <c r="N19" i="4"/>
  <c r="M45" i="7"/>
  <c r="L24" i="2"/>
  <c r="L61" i="8"/>
  <c r="L29" i="4"/>
  <c r="L33" i="6"/>
  <c r="H24" i="2"/>
  <c r="L98" i="10"/>
  <c r="K21" i="2"/>
  <c r="Q60" i="8"/>
  <c r="J100" i="10"/>
  <c r="O22" i="6" l="1"/>
  <c r="N23" i="6" s="1"/>
  <c r="O23" i="6" s="1"/>
  <c r="N24" i="6" s="1"/>
  <c r="L100" i="10"/>
  <c r="N100" i="10"/>
  <c r="M101" i="10"/>
  <c r="M100" i="10"/>
  <c r="K101" i="10"/>
  <c r="J103" i="10" s="1"/>
  <c r="M27" i="6"/>
  <c r="M28" i="6" s="1"/>
  <c r="M29" i="6" s="1"/>
  <c r="M30" i="6" s="1"/>
  <c r="K28" i="6"/>
  <c r="K30" i="6"/>
  <c r="O20" i="4"/>
  <c r="G62" i="8"/>
  <c r="O18" i="2"/>
  <c r="N19" i="2" s="1"/>
  <c r="H46" i="7"/>
  <c r="I24" i="2"/>
  <c r="G34" i="6"/>
  <c r="G30" i="4"/>
  <c r="I28" i="4"/>
  <c r="G25" i="2"/>
  <c r="Q61" i="8"/>
  <c r="L62" i="8"/>
  <c r="I27" i="4"/>
  <c r="L34" i="6"/>
  <c r="L30" i="4"/>
  <c r="H30" i="4"/>
  <c r="K27" i="6"/>
  <c r="M46" i="7"/>
  <c r="J102" i="10"/>
  <c r="I23" i="2"/>
  <c r="L25" i="2"/>
  <c r="H34" i="6"/>
  <c r="K29" i="6"/>
  <c r="P27" i="4" l="1"/>
  <c r="P23" i="2"/>
  <c r="M28" i="4"/>
  <c r="P28" i="4"/>
  <c r="P24" i="2"/>
  <c r="M103" i="10"/>
  <c r="N102" i="10"/>
  <c r="L102" i="10"/>
  <c r="M102" i="10"/>
  <c r="N103" i="10"/>
  <c r="K103" i="10"/>
  <c r="I34" i="6"/>
  <c r="N22" i="4"/>
  <c r="O22" i="4" s="1"/>
  <c r="O24" i="6"/>
  <c r="N25" i="6" s="1"/>
  <c r="G63" i="8"/>
  <c r="O19" i="2"/>
  <c r="N20" i="2" s="1"/>
  <c r="H47" i="7"/>
  <c r="K24" i="2"/>
  <c r="G35" i="6"/>
  <c r="K26" i="4"/>
  <c r="K25" i="4"/>
  <c r="G31" i="4"/>
  <c r="J28" i="4"/>
  <c r="G26" i="2"/>
  <c r="J24" i="2"/>
  <c r="M21" i="2"/>
  <c r="M22" i="2" s="1"/>
  <c r="I31" i="6"/>
  <c r="M47" i="7"/>
  <c r="L101" i="10"/>
  <c r="K23" i="2"/>
  <c r="N21" i="4"/>
  <c r="I32" i="6"/>
  <c r="H26" i="2"/>
  <c r="L35" i="6"/>
  <c r="L26" i="2"/>
  <c r="Q62" i="8"/>
  <c r="L31" i="4"/>
  <c r="L63" i="8"/>
  <c r="I33" i="6"/>
  <c r="P33" i="6" l="1"/>
  <c r="P31" i="6"/>
  <c r="P32" i="6"/>
  <c r="P34" i="6"/>
  <c r="J105" i="10"/>
  <c r="J34" i="6"/>
  <c r="O25" i="6"/>
  <c r="N26" i="6" s="1"/>
  <c r="G64" i="8"/>
  <c r="O20" i="2"/>
  <c r="N21" i="2" s="1"/>
  <c r="H48" i="7"/>
  <c r="I26" i="2"/>
  <c r="G36" i="6"/>
  <c r="G32" i="4"/>
  <c r="I30" i="4"/>
  <c r="G27" i="2"/>
  <c r="J104" i="10"/>
  <c r="L36" i="6"/>
  <c r="L64" i="8"/>
  <c r="H32" i="4"/>
  <c r="L32" i="4"/>
  <c r="I25" i="2"/>
  <c r="I29" i="4"/>
  <c r="Q63" i="8"/>
  <c r="M48" i="7"/>
  <c r="L27" i="2"/>
  <c r="K105" i="10" l="1"/>
  <c r="J107" i="10" s="1"/>
  <c r="P25" i="2"/>
  <c r="P29" i="4"/>
  <c r="P26" i="2"/>
  <c r="M30" i="4"/>
  <c r="P30" i="4"/>
  <c r="M105" i="10"/>
  <c r="N104" i="10"/>
  <c r="L104" i="10"/>
  <c r="M104" i="10"/>
  <c r="N105" i="10"/>
  <c r="N24" i="4"/>
  <c r="O26" i="6"/>
  <c r="N27" i="6" s="1"/>
  <c r="G65" i="8"/>
  <c r="O21" i="2"/>
  <c r="N22" i="2" s="1"/>
  <c r="H49" i="7"/>
  <c r="K26" i="2"/>
  <c r="G37" i="6"/>
  <c r="K28" i="4"/>
  <c r="K27" i="4"/>
  <c r="J26" i="2"/>
  <c r="G33" i="4"/>
  <c r="J30" i="4"/>
  <c r="G28" i="2"/>
  <c r="M23" i="2"/>
  <c r="M24" i="2" s="1"/>
  <c r="J106" i="10"/>
  <c r="L65" i="8"/>
  <c r="H28" i="2"/>
  <c r="L33" i="4"/>
  <c r="M49" i="7"/>
  <c r="N23" i="4"/>
  <c r="L103" i="10"/>
  <c r="L37" i="6"/>
  <c r="L28" i="2"/>
  <c r="Q64" i="8"/>
  <c r="K25" i="2"/>
  <c r="M107" i="10" l="1"/>
  <c r="N106" i="10"/>
  <c r="L106" i="10"/>
  <c r="M106" i="10"/>
  <c r="N107" i="10"/>
  <c r="K107" i="10"/>
  <c r="J109" i="10" s="1"/>
  <c r="K32" i="6"/>
  <c r="M31" i="6"/>
  <c r="M32" i="6" s="1"/>
  <c r="M33" i="6" s="1"/>
  <c r="M34" i="6" s="1"/>
  <c r="K34" i="6"/>
  <c r="O24" i="4"/>
  <c r="O27" i="6"/>
  <c r="N28" i="6" s="1"/>
  <c r="G66" i="8"/>
  <c r="O22" i="2"/>
  <c r="N23" i="2" s="1"/>
  <c r="H50" i="7"/>
  <c r="I28" i="2"/>
  <c r="G38" i="6"/>
  <c r="G34" i="4"/>
  <c r="I32" i="4"/>
  <c r="G29" i="2"/>
  <c r="K33" i="6"/>
  <c r="I27" i="2"/>
  <c r="L105" i="10"/>
  <c r="H38" i="6"/>
  <c r="J108" i="10"/>
  <c r="Q65" i="8"/>
  <c r="L66" i="8"/>
  <c r="L29" i="2"/>
  <c r="K31" i="6"/>
  <c r="L38" i="6"/>
  <c r="H34" i="4"/>
  <c r="L34" i="4"/>
  <c r="I31" i="4"/>
  <c r="M50" i="7"/>
  <c r="L109" i="10" l="1"/>
  <c r="P27" i="2"/>
  <c r="P31" i="4"/>
  <c r="P28" i="2"/>
  <c r="M32" i="4"/>
  <c r="P32" i="4"/>
  <c r="M109" i="10"/>
  <c r="N108" i="10"/>
  <c r="L108" i="10"/>
  <c r="M108" i="10"/>
  <c r="M25" i="2"/>
  <c r="M26" i="2" s="1"/>
  <c r="K109" i="10"/>
  <c r="J111" i="10" s="1"/>
  <c r="N109" i="10"/>
  <c r="I38" i="6"/>
  <c r="N26" i="4"/>
  <c r="O26" i="4" s="1"/>
  <c r="O28" i="6"/>
  <c r="N29" i="6" s="1"/>
  <c r="G67" i="8"/>
  <c r="O23" i="2"/>
  <c r="N24" i="2" s="1"/>
  <c r="H51" i="7"/>
  <c r="K28" i="2"/>
  <c r="G39" i="6"/>
  <c r="K30" i="4"/>
  <c r="K29" i="4"/>
  <c r="G35" i="4"/>
  <c r="J32" i="4"/>
  <c r="J28" i="2"/>
  <c r="G30" i="2"/>
  <c r="K27" i="2"/>
  <c r="I36" i="6"/>
  <c r="I37" i="6"/>
  <c r="I35" i="6"/>
  <c r="H30" i="2"/>
  <c r="L35" i="4"/>
  <c r="N25" i="4"/>
  <c r="L67" i="8"/>
  <c r="Q66" i="8"/>
  <c r="L30" i="2"/>
  <c r="M51" i="7"/>
  <c r="L39" i="6"/>
  <c r="L107" i="10"/>
  <c r="J110" i="10"/>
  <c r="P35" i="6" l="1"/>
  <c r="P36" i="6"/>
  <c r="P37" i="6"/>
  <c r="P38" i="6"/>
  <c r="M111" i="10"/>
  <c r="N110" i="10"/>
  <c r="M110" i="10"/>
  <c r="K111" i="10"/>
  <c r="J113" i="10" s="1"/>
  <c r="N111" i="10"/>
  <c r="L111" i="10"/>
  <c r="J38" i="6"/>
  <c r="O29" i="6"/>
  <c r="N30" i="6" s="1"/>
  <c r="G68" i="8"/>
  <c r="O24" i="2"/>
  <c r="N25" i="2" s="1"/>
  <c r="H52" i="7"/>
  <c r="I30" i="2"/>
  <c r="G40" i="6"/>
  <c r="G36" i="4"/>
  <c r="I34" i="4"/>
  <c r="G31" i="2"/>
  <c r="L110" i="10"/>
  <c r="H36" i="4"/>
  <c r="L40" i="6"/>
  <c r="Q67" i="8"/>
  <c r="L31" i="2"/>
  <c r="I33" i="4"/>
  <c r="M52" i="7"/>
  <c r="J112" i="10"/>
  <c r="L68" i="8"/>
  <c r="I29" i="2"/>
  <c r="L36" i="4"/>
  <c r="L113" i="10" l="1"/>
  <c r="P29" i="2"/>
  <c r="P33" i="4"/>
  <c r="P30" i="2"/>
  <c r="M34" i="4"/>
  <c r="P34" i="4"/>
  <c r="M113" i="10"/>
  <c r="N112" i="10"/>
  <c r="M112" i="10"/>
  <c r="K113" i="10"/>
  <c r="J115" i="10" s="1"/>
  <c r="N113" i="10"/>
  <c r="N28" i="4"/>
  <c r="O30" i="6"/>
  <c r="N31" i="6" s="1"/>
  <c r="G69" i="8"/>
  <c r="O25" i="2"/>
  <c r="N26" i="2" s="1"/>
  <c r="H53" i="7"/>
  <c r="J30" i="2"/>
  <c r="K30" i="2"/>
  <c r="G41" i="6"/>
  <c r="K32" i="4"/>
  <c r="K31" i="4"/>
  <c r="G37" i="4"/>
  <c r="J34" i="4"/>
  <c r="I36" i="4" s="1"/>
  <c r="G32" i="2"/>
  <c r="M27" i="2"/>
  <c r="M28" i="2" s="1"/>
  <c r="J114" i="10"/>
  <c r="L37" i="4"/>
  <c r="L41" i="6"/>
  <c r="M53" i="7"/>
  <c r="K29" i="2"/>
  <c r="N27" i="4"/>
  <c r="H32" i="2"/>
  <c r="Q68" i="8"/>
  <c r="L32" i="2"/>
  <c r="L69" i="8"/>
  <c r="I35" i="4"/>
  <c r="L112" i="10"/>
  <c r="P35" i="4" l="1"/>
  <c r="M36" i="4"/>
  <c r="P36" i="4"/>
  <c r="M115" i="10"/>
  <c r="N114" i="10"/>
  <c r="M114" i="10"/>
  <c r="K115" i="10"/>
  <c r="N115" i="10"/>
  <c r="L115" i="10"/>
  <c r="M35" i="6"/>
  <c r="M36" i="6" s="1"/>
  <c r="M37" i="6" s="1"/>
  <c r="M38" i="6" s="1"/>
  <c r="K36" i="6"/>
  <c r="K38" i="6"/>
  <c r="O28" i="4"/>
  <c r="O31" i="6"/>
  <c r="N32" i="6" s="1"/>
  <c r="G70" i="8"/>
  <c r="O26" i="2"/>
  <c r="N27" i="2" s="1"/>
  <c r="H54" i="7"/>
  <c r="I32" i="2"/>
  <c r="G42" i="6"/>
  <c r="G38" i="4"/>
  <c r="J36" i="4"/>
  <c r="G33" i="2"/>
  <c r="L38" i="4"/>
  <c r="I31" i="2"/>
  <c r="K37" i="6"/>
  <c r="L42" i="6"/>
  <c r="L70" i="8"/>
  <c r="L33" i="2"/>
  <c r="Q69" i="8"/>
  <c r="H38" i="4"/>
  <c r="M54" i="7"/>
  <c r="L114" i="10"/>
  <c r="H42" i="6"/>
  <c r="K35" i="6"/>
  <c r="P31" i="2" l="1"/>
  <c r="P32" i="2"/>
  <c r="J117" i="10"/>
  <c r="I42" i="6"/>
  <c r="N30" i="4"/>
  <c r="O30" i="4" s="1"/>
  <c r="O32" i="6"/>
  <c r="N33" i="6" s="1"/>
  <c r="G71" i="8"/>
  <c r="O27" i="2"/>
  <c r="N28" i="2" s="1"/>
  <c r="H55" i="7"/>
  <c r="K32" i="2"/>
  <c r="G43" i="6"/>
  <c r="K34" i="4"/>
  <c r="K33" i="4"/>
  <c r="I38" i="4"/>
  <c r="G39" i="4"/>
  <c r="G34" i="2"/>
  <c r="J32" i="2"/>
  <c r="M29" i="2"/>
  <c r="M30" i="2" s="1"/>
  <c r="L71" i="8"/>
  <c r="N29" i="4"/>
  <c r="I40" i="6"/>
  <c r="H34" i="2"/>
  <c r="I37" i="4"/>
  <c r="Q70" i="8"/>
  <c r="M55" i="7"/>
  <c r="L34" i="2"/>
  <c r="I39" i="6"/>
  <c r="K31" i="2"/>
  <c r="L43" i="6"/>
  <c r="J116" i="10"/>
  <c r="L39" i="4"/>
  <c r="I41" i="6"/>
  <c r="P37" i="4" l="1"/>
  <c r="P40" i="6"/>
  <c r="P41" i="6"/>
  <c r="P39" i="6"/>
  <c r="M38" i="4"/>
  <c r="P38" i="4"/>
  <c r="P42" i="6"/>
  <c r="M117" i="10"/>
  <c r="N116" i="10"/>
  <c r="M116" i="10"/>
  <c r="N117" i="10"/>
  <c r="L117" i="10"/>
  <c r="K117" i="10"/>
  <c r="J42" i="6"/>
  <c r="O33" i="6"/>
  <c r="N34" i="6" s="1"/>
  <c r="G72" i="8"/>
  <c r="O28" i="2"/>
  <c r="N29" i="2" s="1"/>
  <c r="H56" i="7"/>
  <c r="I34" i="2"/>
  <c r="G44" i="6"/>
  <c r="K36" i="4"/>
  <c r="K35" i="4"/>
  <c r="J38" i="4"/>
  <c r="G40" i="4"/>
  <c r="G35" i="2"/>
  <c r="M56" i="7"/>
  <c r="I33" i="2"/>
  <c r="H40" i="4"/>
  <c r="L72" i="8"/>
  <c r="L35" i="2"/>
  <c r="L116" i="10"/>
  <c r="Q71" i="8"/>
  <c r="L44" i="6"/>
  <c r="L40" i="4"/>
  <c r="P33" i="2" l="1"/>
  <c r="P34" i="2"/>
  <c r="J119" i="10"/>
  <c r="N32" i="4"/>
  <c r="O34" i="6"/>
  <c r="N35" i="6" s="1"/>
  <c r="G73" i="8"/>
  <c r="O29" i="2"/>
  <c r="N30" i="2" s="1"/>
  <c r="H57" i="7"/>
  <c r="K34" i="2"/>
  <c r="J34" i="2"/>
  <c r="G45" i="6"/>
  <c r="I40" i="4"/>
  <c r="G41" i="4"/>
  <c r="G36" i="2"/>
  <c r="M31" i="2"/>
  <c r="M32" i="2" s="1"/>
  <c r="J118" i="10"/>
  <c r="Q72" i="8"/>
  <c r="L45" i="6"/>
  <c r="N31" i="4"/>
  <c r="M57" i="7"/>
  <c r="L36" i="2"/>
  <c r="L41" i="4"/>
  <c r="H36" i="2"/>
  <c r="L73" i="8"/>
  <c r="K33" i="2"/>
  <c r="I39" i="4"/>
  <c r="K119" i="10" l="1"/>
  <c r="J121" i="10" s="1"/>
  <c r="N121" i="10" s="1"/>
  <c r="P39" i="4"/>
  <c r="M40" i="4"/>
  <c r="P40" i="4"/>
  <c r="M119" i="10"/>
  <c r="N118" i="10"/>
  <c r="L118" i="10"/>
  <c r="M118" i="10"/>
  <c r="N119" i="10"/>
  <c r="K40" i="6"/>
  <c r="M39" i="6"/>
  <c r="M40" i="6" s="1"/>
  <c r="M41" i="6" s="1"/>
  <c r="M42" i="6" s="1"/>
  <c r="K42" i="6"/>
  <c r="O32" i="4"/>
  <c r="O35" i="6"/>
  <c r="N36" i="6" s="1"/>
  <c r="G74" i="8"/>
  <c r="O30" i="2"/>
  <c r="N31" i="2" s="1"/>
  <c r="H58" i="7"/>
  <c r="I36" i="2"/>
  <c r="G46" i="6"/>
  <c r="K38" i="4"/>
  <c r="K37" i="4"/>
  <c r="G42" i="4"/>
  <c r="J40" i="4"/>
  <c r="G37" i="2"/>
  <c r="H42" i="4"/>
  <c r="Q73" i="8"/>
  <c r="K39" i="6"/>
  <c r="L42" i="4"/>
  <c r="K41" i="6"/>
  <c r="L74" i="8"/>
  <c r="L37" i="2"/>
  <c r="J120" i="10"/>
  <c r="M58" i="7"/>
  <c r="L46" i="6"/>
  <c r="H46" i="6"/>
  <c r="I35" i="2"/>
  <c r="K121" i="10" l="1"/>
  <c r="J123" i="10" s="1"/>
  <c r="M121" i="10"/>
  <c r="N120" i="10"/>
  <c r="L120" i="10"/>
  <c r="M120" i="10"/>
  <c r="P35" i="2"/>
  <c r="P36" i="2"/>
  <c r="I46" i="6"/>
  <c r="N34" i="4"/>
  <c r="O36" i="6"/>
  <c r="N37" i="6" s="1"/>
  <c r="G75" i="8"/>
  <c r="O31" i="2"/>
  <c r="N32" i="2" s="1"/>
  <c r="H59" i="7"/>
  <c r="K36" i="2"/>
  <c r="G47" i="6"/>
  <c r="I42" i="4"/>
  <c r="G43" i="4"/>
  <c r="G38" i="2"/>
  <c r="J36" i="2"/>
  <c r="M33" i="2"/>
  <c r="M34" i="2" s="1"/>
  <c r="L75" i="8"/>
  <c r="Q74" i="8"/>
  <c r="L43" i="4"/>
  <c r="L38" i="2"/>
  <c r="I44" i="6"/>
  <c r="L47" i="6"/>
  <c r="I43" i="6"/>
  <c r="I45" i="6"/>
  <c r="J122" i="10"/>
  <c r="K35" i="2"/>
  <c r="L119" i="10"/>
  <c r="I41" i="4"/>
  <c r="M59" i="7"/>
  <c r="H38" i="2"/>
  <c r="N33" i="4"/>
  <c r="K123" i="10" l="1"/>
  <c r="J125" i="10" s="1"/>
  <c r="P41" i="4"/>
  <c r="P45" i="6"/>
  <c r="P44" i="6"/>
  <c r="P43" i="6"/>
  <c r="M42" i="4"/>
  <c r="P42" i="4"/>
  <c r="P46" i="6"/>
  <c r="M123" i="10"/>
  <c r="N122" i="10"/>
  <c r="M122" i="10"/>
  <c r="L122" i="10"/>
  <c r="N123" i="10"/>
  <c r="J46" i="6"/>
  <c r="O34" i="4"/>
  <c r="O37" i="6"/>
  <c r="N38" i="6" s="1"/>
  <c r="O32" i="2"/>
  <c r="N33" i="2" s="1"/>
  <c r="G76" i="8"/>
  <c r="H60" i="7"/>
  <c r="I38" i="2"/>
  <c r="G48" i="6"/>
  <c r="J42" i="4"/>
  <c r="K40" i="4"/>
  <c r="K39" i="4"/>
  <c r="G44" i="4"/>
  <c r="G39" i="2"/>
  <c r="L48" i="6"/>
  <c r="M60" i="7"/>
  <c r="L44" i="4"/>
  <c r="H44" i="4"/>
  <c r="L76" i="8"/>
  <c r="L39" i="2"/>
  <c r="I37" i="2"/>
  <c r="J124" i="10"/>
  <c r="Q75" i="8"/>
  <c r="L121" i="10"/>
  <c r="P37" i="2" l="1"/>
  <c r="P38" i="2"/>
  <c r="M125" i="10"/>
  <c r="N124" i="10"/>
  <c r="L124" i="10"/>
  <c r="M124" i="10"/>
  <c r="N125" i="10"/>
  <c r="K125" i="10"/>
  <c r="J127" i="10" s="1"/>
  <c r="N36" i="4"/>
  <c r="J38" i="2"/>
  <c r="O38" i="6"/>
  <c r="N39" i="6" s="1"/>
  <c r="G77" i="8"/>
  <c r="O33" i="2"/>
  <c r="N34" i="2" s="1"/>
  <c r="H61" i="7"/>
  <c r="K38" i="2"/>
  <c r="G49" i="6"/>
  <c r="I44" i="4"/>
  <c r="G45" i="4"/>
  <c r="G40" i="2"/>
  <c r="M35" i="2"/>
  <c r="M36" i="2" s="1"/>
  <c r="Q76" i="8"/>
  <c r="I43" i="4"/>
  <c r="L77" i="8"/>
  <c r="J126" i="10"/>
  <c r="N35" i="4"/>
  <c r="L45" i="4"/>
  <c r="L40" i="2"/>
  <c r="H40" i="2"/>
  <c r="K37" i="2"/>
  <c r="M61" i="7"/>
  <c r="L123" i="10"/>
  <c r="L49" i="6"/>
  <c r="L127" i="10" l="1"/>
  <c r="P43" i="4"/>
  <c r="M44" i="4"/>
  <c r="P44" i="4"/>
  <c r="M127" i="10"/>
  <c r="N126" i="10"/>
  <c r="L126" i="10"/>
  <c r="M126" i="10"/>
  <c r="K127" i="10"/>
  <c r="N127" i="10"/>
  <c r="M43" i="6"/>
  <c r="M44" i="6" s="1"/>
  <c r="M45" i="6" s="1"/>
  <c r="M46" i="6" s="1"/>
  <c r="K44" i="6"/>
  <c r="K46" i="6"/>
  <c r="O36" i="4"/>
  <c r="O39" i="6"/>
  <c r="N40" i="6" s="1"/>
  <c r="G78" i="8"/>
  <c r="O34" i="2"/>
  <c r="N35" i="2" s="1"/>
  <c r="H62" i="7"/>
  <c r="I40" i="2"/>
  <c r="G50" i="6"/>
  <c r="K42" i="4"/>
  <c r="K41" i="4"/>
  <c r="G46" i="4"/>
  <c r="J44" i="4"/>
  <c r="M37" i="2"/>
  <c r="M38" i="2" s="1"/>
  <c r="G41" i="2"/>
  <c r="L41" i="2"/>
  <c r="K45" i="6"/>
  <c r="L50" i="6"/>
  <c r="H46" i="4"/>
  <c r="Q77" i="8"/>
  <c r="H50" i="6"/>
  <c r="M62" i="7"/>
  <c r="L125" i="10"/>
  <c r="K43" i="6"/>
  <c r="I39" i="2"/>
  <c r="L46" i="4"/>
  <c r="L78" i="8"/>
  <c r="P39" i="2" l="1"/>
  <c r="P40" i="2"/>
  <c r="J129" i="10"/>
  <c r="I50" i="6"/>
  <c r="N38" i="4"/>
  <c r="O40" i="6"/>
  <c r="N41" i="6" s="1"/>
  <c r="G79" i="8"/>
  <c r="O35" i="2"/>
  <c r="N36" i="2" s="1"/>
  <c r="H63" i="7"/>
  <c r="K40" i="2"/>
  <c r="G51" i="6"/>
  <c r="I46" i="4"/>
  <c r="G47" i="4"/>
  <c r="J40" i="2"/>
  <c r="G42" i="2"/>
  <c r="L47" i="4"/>
  <c r="I47" i="6"/>
  <c r="I49" i="6"/>
  <c r="J128" i="10"/>
  <c r="K39" i="2"/>
  <c r="N37" i="4"/>
  <c r="L42" i="2"/>
  <c r="Q78" i="8"/>
  <c r="L79" i="8"/>
  <c r="I45" i="4"/>
  <c r="H42" i="2"/>
  <c r="I48" i="6"/>
  <c r="M63" i="7"/>
  <c r="L51" i="6"/>
  <c r="K129" i="10" l="1"/>
  <c r="J131" i="10" s="1"/>
  <c r="L131" i="10" s="1"/>
  <c r="P47" i="6"/>
  <c r="P48" i="6"/>
  <c r="P49" i="6"/>
  <c r="P45" i="4"/>
  <c r="P50" i="6"/>
  <c r="P46" i="4"/>
  <c r="M129" i="10"/>
  <c r="N128" i="10"/>
  <c r="M128" i="10"/>
  <c r="N129" i="10"/>
  <c r="L129" i="10"/>
  <c r="J50" i="6"/>
  <c r="J46" i="4"/>
  <c r="M46" i="4"/>
  <c r="O38" i="4"/>
  <c r="O41" i="6"/>
  <c r="N42" i="6" s="1"/>
  <c r="G80" i="8"/>
  <c r="O36" i="2"/>
  <c r="N37" i="2" s="1"/>
  <c r="H64" i="7"/>
  <c r="I42" i="2"/>
  <c r="G52" i="6"/>
  <c r="K44" i="4"/>
  <c r="K43" i="4"/>
  <c r="G48" i="4"/>
  <c r="G43" i="2"/>
  <c r="I41" i="2"/>
  <c r="L52" i="6"/>
  <c r="L130" i="10"/>
  <c r="L128" i="10"/>
  <c r="L43" i="2"/>
  <c r="L48" i="4"/>
  <c r="L80" i="8"/>
  <c r="Q79" i="8"/>
  <c r="J130" i="10"/>
  <c r="H48" i="4"/>
  <c r="M64" i="7"/>
  <c r="K131" i="10" l="1"/>
  <c r="J133" i="10" s="1"/>
  <c r="N131" i="10"/>
  <c r="M131" i="10"/>
  <c r="M130" i="10"/>
  <c r="N130" i="10"/>
  <c r="P41" i="2"/>
  <c r="P42" i="2"/>
  <c r="N40" i="4"/>
  <c r="O40" i="4" s="1"/>
  <c r="O42" i="6"/>
  <c r="N43" i="6" s="1"/>
  <c r="G81" i="8"/>
  <c r="J42" i="2"/>
  <c r="O37" i="2"/>
  <c r="N38" i="2" s="1"/>
  <c r="H65" i="7"/>
  <c r="K42" i="2"/>
  <c r="G53" i="6"/>
  <c r="I48" i="4"/>
  <c r="G49" i="4"/>
  <c r="G44" i="2"/>
  <c r="M39" i="2"/>
  <c r="M40" i="2" s="1"/>
  <c r="N39" i="4"/>
  <c r="U23" i="10"/>
  <c r="U12" i="10"/>
  <c r="U25" i="10"/>
  <c r="L81" i="8"/>
  <c r="U30" i="10"/>
  <c r="U31" i="10"/>
  <c r="U37" i="10"/>
  <c r="U24" i="10"/>
  <c r="U27" i="10"/>
  <c r="I47" i="4"/>
  <c r="L44" i="2"/>
  <c r="U11" i="10"/>
  <c r="U33" i="10"/>
  <c r="W11" i="10"/>
  <c r="U15" i="10"/>
  <c r="U13" i="10"/>
  <c r="U17" i="10"/>
  <c r="U48" i="10"/>
  <c r="U20" i="10"/>
  <c r="J132" i="10"/>
  <c r="L53" i="6"/>
  <c r="U16" i="10"/>
  <c r="U40" i="10"/>
  <c r="U29" i="10"/>
  <c r="U21" i="10"/>
  <c r="L49" i="4"/>
  <c r="U47" i="10"/>
  <c r="U49" i="10"/>
  <c r="U32" i="10"/>
  <c r="Q80" i="8"/>
  <c r="K41" i="2"/>
  <c r="U34" i="10"/>
  <c r="U19" i="10"/>
  <c r="U18" i="10"/>
  <c r="U43" i="10"/>
  <c r="U38" i="10"/>
  <c r="M65" i="7"/>
  <c r="U46" i="10"/>
  <c r="U45" i="10"/>
  <c r="U36" i="10"/>
  <c r="U28" i="10"/>
  <c r="U41" i="10"/>
  <c r="U14" i="10"/>
  <c r="U22" i="10"/>
  <c r="U44" i="10"/>
  <c r="U35" i="10"/>
  <c r="U42" i="10"/>
  <c r="H44" i="2"/>
  <c r="U50" i="10"/>
  <c r="U39" i="10"/>
  <c r="U26" i="10"/>
  <c r="K133" i="10" l="1"/>
  <c r="P47" i="4"/>
  <c r="M48" i="4"/>
  <c r="P48" i="4"/>
  <c r="Q17" i="10"/>
  <c r="M133" i="10"/>
  <c r="N132" i="10"/>
  <c r="M132" i="10"/>
  <c r="N133" i="10"/>
  <c r="L133" i="10"/>
  <c r="K48" i="6"/>
  <c r="M47" i="6"/>
  <c r="M48" i="6" s="1"/>
  <c r="M49" i="6" s="1"/>
  <c r="M50" i="6" s="1"/>
  <c r="K50" i="6"/>
  <c r="N42" i="4"/>
  <c r="O43" i="6"/>
  <c r="N44" i="6" s="1"/>
  <c r="G82" i="8"/>
  <c r="O38" i="2"/>
  <c r="N39" i="2" s="1"/>
  <c r="H66" i="7"/>
  <c r="I44" i="2"/>
  <c r="G54" i="6"/>
  <c r="K46" i="4"/>
  <c r="K45" i="4"/>
  <c r="G50" i="4"/>
  <c r="J48" i="4"/>
  <c r="G45" i="2"/>
  <c r="V49" i="10"/>
  <c r="V20" i="10"/>
  <c r="V42" i="10"/>
  <c r="V12" i="10"/>
  <c r="V27" i="10"/>
  <c r="L82" i="8"/>
  <c r="I43" i="2"/>
  <c r="V23" i="10"/>
  <c r="V31" i="10"/>
  <c r="V19" i="10"/>
  <c r="V25" i="10"/>
  <c r="V39" i="10"/>
  <c r="N41" i="4"/>
  <c r="V33" i="10"/>
  <c r="V14" i="10"/>
  <c r="V38" i="10"/>
  <c r="V34" i="10"/>
  <c r="V15" i="10"/>
  <c r="K49" i="6"/>
  <c r="V18" i="10"/>
  <c r="V48" i="10"/>
  <c r="V50" i="10"/>
  <c r="V47" i="10"/>
  <c r="K47" i="6"/>
  <c r="V43" i="10"/>
  <c r="L132" i="10"/>
  <c r="V16" i="10"/>
  <c r="L50" i="4"/>
  <c r="M66" i="7"/>
  <c r="V35" i="10"/>
  <c r="V24" i="10"/>
  <c r="H54" i="6"/>
  <c r="V46" i="10"/>
  <c r="V17" i="10"/>
  <c r="V28" i="10"/>
  <c r="V37" i="10"/>
  <c r="V32" i="10"/>
  <c r="L54" i="6"/>
  <c r="L45" i="2"/>
  <c r="V29" i="10"/>
  <c r="V30" i="10"/>
  <c r="V13" i="10"/>
  <c r="V21" i="10"/>
  <c r="V40" i="10"/>
  <c r="H50" i="4"/>
  <c r="V41" i="10"/>
  <c r="V26" i="10"/>
  <c r="V36" i="10"/>
  <c r="Q81" i="8"/>
  <c r="V45" i="10"/>
  <c r="V22" i="10"/>
  <c r="V44" i="10"/>
  <c r="P43" i="2" l="1"/>
  <c r="P44" i="2"/>
  <c r="I54" i="6"/>
  <c r="O42" i="4"/>
  <c r="O44" i="6"/>
  <c r="N45" i="6" s="1"/>
  <c r="G83" i="8"/>
  <c r="O39" i="2"/>
  <c r="N40" i="2" s="1"/>
  <c r="H67" i="7"/>
  <c r="K44" i="2"/>
  <c r="G55" i="6"/>
  <c r="I50" i="4"/>
  <c r="G51" i="4"/>
  <c r="G46" i="2"/>
  <c r="J44" i="2"/>
  <c r="M41" i="2"/>
  <c r="M42" i="2" s="1"/>
  <c r="K43" i="2"/>
  <c r="L83" i="8"/>
  <c r="W35" i="10"/>
  <c r="W34" i="10"/>
  <c r="I53" i="6"/>
  <c r="W18" i="10"/>
  <c r="W48" i="10"/>
  <c r="W27" i="10"/>
  <c r="W47" i="10"/>
  <c r="W41" i="10"/>
  <c r="L51" i="4"/>
  <c r="W40" i="10"/>
  <c r="W13" i="10"/>
  <c r="W50" i="10"/>
  <c r="W21" i="10"/>
  <c r="W25" i="10"/>
  <c r="W36" i="10"/>
  <c r="M67" i="7"/>
  <c r="W49" i="10"/>
  <c r="W43" i="10"/>
  <c r="W38" i="10"/>
  <c r="I49" i="4"/>
  <c r="W42" i="10"/>
  <c r="W22" i="10"/>
  <c r="W24" i="10"/>
  <c r="W17" i="10"/>
  <c r="L55" i="6"/>
  <c r="W45" i="10"/>
  <c r="W37" i="10"/>
  <c r="Q82" i="8"/>
  <c r="H46" i="2"/>
  <c r="W32" i="10"/>
  <c r="W26" i="10"/>
  <c r="W44" i="10"/>
  <c r="W46" i="10"/>
  <c r="I51" i="6"/>
  <c r="L46" i="2"/>
  <c r="W33" i="10"/>
  <c r="W20" i="10"/>
  <c r="W31" i="10"/>
  <c r="W12" i="10"/>
  <c r="W15" i="10"/>
  <c r="I52" i="6"/>
  <c r="W39" i="10"/>
  <c r="W19" i="10"/>
  <c r="W30" i="10"/>
  <c r="W29" i="10"/>
  <c r="W23" i="10"/>
  <c r="W14" i="10"/>
  <c r="W16" i="10"/>
  <c r="W28" i="10"/>
  <c r="Q18" i="10" l="1"/>
  <c r="Q19" i="10" s="1"/>
  <c r="P49" i="4"/>
  <c r="P51" i="6"/>
  <c r="P52" i="6"/>
  <c r="P53" i="6"/>
  <c r="M50" i="4"/>
  <c r="P50" i="4"/>
  <c r="J54" i="6"/>
  <c r="P54" i="6"/>
  <c r="N44" i="4"/>
  <c r="O45" i="6"/>
  <c r="N46" i="6" s="1"/>
  <c r="G84" i="8"/>
  <c r="O40" i="2"/>
  <c r="N41" i="2" s="1"/>
  <c r="H68" i="7"/>
  <c r="I46" i="2"/>
  <c r="G56" i="6"/>
  <c r="K48" i="4"/>
  <c r="K47" i="4"/>
  <c r="J50" i="4"/>
  <c r="G52" i="4"/>
  <c r="G47" i="2"/>
  <c r="I45" i="2"/>
  <c r="N43" i="4"/>
  <c r="H52" i="4"/>
  <c r="L84" i="8"/>
  <c r="L47" i="2"/>
  <c r="Q83" i="8"/>
  <c r="M68" i="7"/>
  <c r="L56" i="6"/>
  <c r="L52" i="4"/>
  <c r="P45" i="2" l="1"/>
  <c r="P46" i="2"/>
  <c r="M43" i="2"/>
  <c r="M44" i="2" s="1"/>
  <c r="O44" i="4"/>
  <c r="O46" i="6"/>
  <c r="N47" i="6" s="1"/>
  <c r="G85" i="8"/>
  <c r="O41" i="2"/>
  <c r="N42" i="2" s="1"/>
  <c r="H69" i="7"/>
  <c r="K46" i="2"/>
  <c r="G57" i="6"/>
  <c r="I52" i="4"/>
  <c r="G53" i="4"/>
  <c r="G48" i="2"/>
  <c r="J46" i="2"/>
  <c r="L57" i="6"/>
  <c r="K45" i="2"/>
  <c r="L53" i="4"/>
  <c r="L85" i="8"/>
  <c r="L48" i="2"/>
  <c r="Q84" i="8"/>
  <c r="I51" i="4"/>
  <c r="M69" i="7"/>
  <c r="H48" i="2"/>
  <c r="P51" i="4" l="1"/>
  <c r="M52" i="4"/>
  <c r="P52" i="4"/>
  <c r="M51" i="6"/>
  <c r="M52" i="6" s="1"/>
  <c r="M53" i="6" s="1"/>
  <c r="M54" i="6" s="1"/>
  <c r="K52" i="6"/>
  <c r="K54" i="6"/>
  <c r="N46" i="4"/>
  <c r="O47" i="6"/>
  <c r="N48" i="6" s="1"/>
  <c r="G86" i="8"/>
  <c r="O42" i="2"/>
  <c r="N43" i="2" s="1"/>
  <c r="H70" i="7"/>
  <c r="I48" i="2"/>
  <c r="G58" i="6"/>
  <c r="K50" i="4"/>
  <c r="K49" i="4"/>
  <c r="G54" i="4"/>
  <c r="J52" i="4"/>
  <c r="G49" i="2"/>
  <c r="I47" i="2"/>
  <c r="Q85" i="8"/>
  <c r="L54" i="4"/>
  <c r="H58" i="6"/>
  <c r="L86" i="8"/>
  <c r="L58" i="6"/>
  <c r="K53" i="6"/>
  <c r="K51" i="6"/>
  <c r="N45" i="4"/>
  <c r="H54" i="4"/>
  <c r="M70" i="7"/>
  <c r="L49" i="2"/>
  <c r="P47" i="2" l="1"/>
  <c r="P48" i="2"/>
  <c r="I58" i="6"/>
  <c r="O46" i="4"/>
  <c r="O43" i="2"/>
  <c r="N44" i="2" s="1"/>
  <c r="O48" i="6"/>
  <c r="N49" i="6" s="1"/>
  <c r="G87" i="8"/>
  <c r="H71" i="7"/>
  <c r="K48" i="2"/>
  <c r="G59" i="6"/>
  <c r="I54" i="4"/>
  <c r="G55" i="4"/>
  <c r="G50" i="2"/>
  <c r="M45" i="2"/>
  <c r="M46" i="2" s="1"/>
  <c r="J48" i="2"/>
  <c r="I53" i="4"/>
  <c r="I56" i="6"/>
  <c r="Q86" i="8"/>
  <c r="L50" i="2"/>
  <c r="I57" i="6"/>
  <c r="M71" i="7"/>
  <c r="K47" i="2"/>
  <c r="H50" i="2"/>
  <c r="L59" i="6"/>
  <c r="L87" i="8"/>
  <c r="L55" i="4"/>
  <c r="I55" i="6"/>
  <c r="P53" i="4" l="1"/>
  <c r="P56" i="6"/>
  <c r="P55" i="6"/>
  <c r="P57" i="6"/>
  <c r="M54" i="4"/>
  <c r="P54" i="4"/>
  <c r="P58" i="6"/>
  <c r="J58" i="6"/>
  <c r="K56" i="6"/>
  <c r="M55" i="6"/>
  <c r="N48" i="4"/>
  <c r="O49" i="6"/>
  <c r="N50" i="6" s="1"/>
  <c r="G88" i="8"/>
  <c r="O44" i="2"/>
  <c r="N45" i="2" s="1"/>
  <c r="H72" i="7"/>
  <c r="I50" i="2"/>
  <c r="G60" i="6"/>
  <c r="J54" i="4"/>
  <c r="K52" i="4"/>
  <c r="K51" i="4"/>
  <c r="G56" i="4"/>
  <c r="G51" i="2"/>
  <c r="H56" i="4"/>
  <c r="L60" i="6"/>
  <c r="N47" i="4"/>
  <c r="L88" i="8"/>
  <c r="M72" i="7"/>
  <c r="L51" i="2"/>
  <c r="L56" i="4"/>
  <c r="I49" i="2"/>
  <c r="Q87" i="8"/>
  <c r="K55" i="6"/>
  <c r="P49" i="2" l="1"/>
  <c r="P50" i="2"/>
  <c r="M56" i="6"/>
  <c r="K58" i="6"/>
  <c r="O48" i="4"/>
  <c r="O50" i="6"/>
  <c r="N51" i="6" s="1"/>
  <c r="G89" i="8"/>
  <c r="O45" i="2"/>
  <c r="N46" i="2" s="1"/>
  <c r="H73" i="7"/>
  <c r="K50" i="2"/>
  <c r="G61" i="6"/>
  <c r="I56" i="4"/>
  <c r="G57" i="4"/>
  <c r="M47" i="2"/>
  <c r="M48" i="2" s="1"/>
  <c r="G52" i="2"/>
  <c r="J50" i="2"/>
  <c r="K57" i="6"/>
  <c r="I55" i="4"/>
  <c r="L61" i="6"/>
  <c r="K49" i="2"/>
  <c r="L52" i="2"/>
  <c r="Q88" i="8"/>
  <c r="H52" i="2"/>
  <c r="L57" i="4"/>
  <c r="M73" i="7"/>
  <c r="L89" i="8"/>
  <c r="P55" i="4" l="1"/>
  <c r="M56" i="4"/>
  <c r="P56" i="4"/>
  <c r="N50" i="4"/>
  <c r="O51" i="6"/>
  <c r="N52" i="6" s="1"/>
  <c r="G90" i="8"/>
  <c r="O46" i="2"/>
  <c r="N47" i="2" s="1"/>
  <c r="H74" i="7"/>
  <c r="I52" i="2"/>
  <c r="G62" i="6"/>
  <c r="M57" i="6"/>
  <c r="M58" i="6" s="1"/>
  <c r="K54" i="4"/>
  <c r="K53" i="4"/>
  <c r="G58" i="4"/>
  <c r="J56" i="4"/>
  <c r="G53" i="2"/>
  <c r="I51" i="2"/>
  <c r="L58" i="4"/>
  <c r="L62" i="6"/>
  <c r="M74" i="7"/>
  <c r="L53" i="2"/>
  <c r="H58" i="4"/>
  <c r="N49" i="4"/>
  <c r="Q89" i="8"/>
  <c r="H62" i="6"/>
  <c r="L90" i="8"/>
  <c r="P51" i="2" l="1"/>
  <c r="P52" i="2"/>
  <c r="I62" i="6"/>
  <c r="O50" i="4"/>
  <c r="O52" i="6"/>
  <c r="N53" i="6" s="1"/>
  <c r="G91" i="8"/>
  <c r="O47" i="2"/>
  <c r="N48" i="2" s="1"/>
  <c r="H75" i="7"/>
  <c r="K52" i="2"/>
  <c r="J52" i="2"/>
  <c r="G63" i="6"/>
  <c r="I58" i="4"/>
  <c r="G59" i="4"/>
  <c r="M49" i="2"/>
  <c r="M50" i="2" s="1"/>
  <c r="G54" i="2"/>
  <c r="L63" i="6"/>
  <c r="I59" i="6"/>
  <c r="H54" i="2"/>
  <c r="I60" i="6"/>
  <c r="L59" i="4"/>
  <c r="M75" i="7"/>
  <c r="L91" i="8"/>
  <c r="I57" i="4"/>
  <c r="L54" i="2"/>
  <c r="I61" i="6"/>
  <c r="K51" i="2"/>
  <c r="Q90" i="8"/>
  <c r="P57" i="4" l="1"/>
  <c r="P61" i="6"/>
  <c r="P59" i="6"/>
  <c r="P60" i="6"/>
  <c r="P58" i="4"/>
  <c r="J62" i="6"/>
  <c r="P62" i="6"/>
  <c r="J58" i="4"/>
  <c r="M58" i="4"/>
  <c r="O53" i="6"/>
  <c r="N54" i="6" s="1"/>
  <c r="G92" i="8"/>
  <c r="O48" i="2"/>
  <c r="N49" i="2" s="1"/>
  <c r="H76" i="7"/>
  <c r="I54" i="2"/>
  <c r="G64" i="6"/>
  <c r="K56" i="4"/>
  <c r="K55" i="4"/>
  <c r="G60" i="4"/>
  <c r="G55" i="2"/>
  <c r="I53" i="2"/>
  <c r="L64" i="6"/>
  <c r="M76" i="7"/>
  <c r="H60" i="4"/>
  <c r="L60" i="4"/>
  <c r="L55" i="2"/>
  <c r="Q91" i="8"/>
  <c r="L92" i="8"/>
  <c r="P53" i="2" l="1"/>
  <c r="P54" i="2"/>
  <c r="M59" i="6"/>
  <c r="N52" i="4"/>
  <c r="O54" i="6"/>
  <c r="N55" i="6" s="1"/>
  <c r="G93" i="8"/>
  <c r="O49" i="2"/>
  <c r="N50" i="2" s="1"/>
  <c r="H77" i="7"/>
  <c r="K54" i="2"/>
  <c r="G65" i="6"/>
  <c r="I60" i="4"/>
  <c r="M51" i="2"/>
  <c r="M52" i="2" s="1"/>
  <c r="G61" i="4"/>
  <c r="G56" i="2"/>
  <c r="J54" i="2"/>
  <c r="H56" i="2"/>
  <c r="L93" i="8"/>
  <c r="L65" i="6"/>
  <c r="K53" i="2"/>
  <c r="N51" i="4"/>
  <c r="L61" i="4"/>
  <c r="I59" i="4"/>
  <c r="Q92" i="8"/>
  <c r="M77" i="7"/>
  <c r="L56" i="2"/>
  <c r="P59" i="4" l="1"/>
  <c r="M60" i="4"/>
  <c r="P60" i="4"/>
  <c r="M60" i="6"/>
  <c r="M61" i="6" s="1"/>
  <c r="M62" i="6" s="1"/>
  <c r="K60" i="6"/>
  <c r="K62" i="6"/>
  <c r="O52" i="4"/>
  <c r="O55" i="6"/>
  <c r="N56" i="6" s="1"/>
  <c r="G94" i="8"/>
  <c r="O50" i="2"/>
  <c r="N51" i="2" s="1"/>
  <c r="H78" i="7"/>
  <c r="I56" i="2"/>
  <c r="G66" i="6"/>
  <c r="K58" i="4"/>
  <c r="K57" i="4"/>
  <c r="G62" i="4"/>
  <c r="J60" i="4"/>
  <c r="G57" i="2"/>
  <c r="L94" i="8"/>
  <c r="L57" i="2"/>
  <c r="K61" i="6"/>
  <c r="H62" i="4"/>
  <c r="M78" i="7"/>
  <c r="K59" i="6"/>
  <c r="L66" i="6"/>
  <c r="I55" i="2"/>
  <c r="Q93" i="8"/>
  <c r="L62" i="4"/>
  <c r="H66" i="6"/>
  <c r="P55" i="2" l="1"/>
  <c r="P56" i="2"/>
  <c r="I66" i="6"/>
  <c r="N54" i="4"/>
  <c r="O54" i="4" s="1"/>
  <c r="O56" i="6"/>
  <c r="N57" i="6" s="1"/>
  <c r="G95" i="8"/>
  <c r="O51" i="2"/>
  <c r="N52" i="2" s="1"/>
  <c r="H79" i="7"/>
  <c r="K56" i="2"/>
  <c r="G67" i="6"/>
  <c r="I62" i="4"/>
  <c r="G63" i="4"/>
  <c r="G58" i="2"/>
  <c r="M53" i="2"/>
  <c r="M54" i="2" s="1"/>
  <c r="J56" i="2"/>
  <c r="I61" i="4"/>
  <c r="K55" i="2"/>
  <c r="M79" i="7"/>
  <c r="L67" i="6"/>
  <c r="I64" i="6"/>
  <c r="H58" i="2"/>
  <c r="I63" i="6"/>
  <c r="L95" i="8"/>
  <c r="Q94" i="8"/>
  <c r="I65" i="6"/>
  <c r="L58" i="2"/>
  <c r="L63" i="4"/>
  <c r="N53" i="4"/>
  <c r="P61" i="4" l="1"/>
  <c r="P65" i="6"/>
  <c r="P63" i="6"/>
  <c r="P64" i="6"/>
  <c r="M62" i="4"/>
  <c r="P62" i="4"/>
  <c r="J66" i="6"/>
  <c r="P66" i="6"/>
  <c r="N56" i="4"/>
  <c r="O57" i="6"/>
  <c r="N58" i="6" s="1"/>
  <c r="G96" i="8"/>
  <c r="O52" i="2"/>
  <c r="N53" i="2" s="1"/>
  <c r="H80" i="7"/>
  <c r="I58" i="2"/>
  <c r="G68" i="6"/>
  <c r="J62" i="4"/>
  <c r="K60" i="4"/>
  <c r="K59" i="4"/>
  <c r="G64" i="4"/>
  <c r="G59" i="2"/>
  <c r="L68" i="6"/>
  <c r="Q95" i="8"/>
  <c r="N55" i="4"/>
  <c r="H64" i="4"/>
  <c r="L59" i="2"/>
  <c r="M80" i="7"/>
  <c r="L96" i="8"/>
  <c r="I57" i="2"/>
  <c r="L64" i="4"/>
  <c r="P57" i="2" l="1"/>
  <c r="J58" i="2"/>
  <c r="P58" i="2"/>
  <c r="M63" i="6"/>
  <c r="O56" i="4"/>
  <c r="N58" i="4" s="1"/>
  <c r="O58" i="6"/>
  <c r="N59" i="6" s="1"/>
  <c r="G97" i="8"/>
  <c r="O53" i="2"/>
  <c r="N54" i="2" s="1"/>
  <c r="H81" i="7"/>
  <c r="K58" i="2"/>
  <c r="G69" i="6"/>
  <c r="I64" i="4"/>
  <c r="M55" i="2"/>
  <c r="M56" i="2" s="1"/>
  <c r="G65" i="4"/>
  <c r="G60" i="2"/>
  <c r="L69" i="6"/>
  <c r="N57" i="4"/>
  <c r="I63" i="4"/>
  <c r="K57" i="2"/>
  <c r="L97" i="8"/>
  <c r="L65" i="4"/>
  <c r="M81" i="7"/>
  <c r="L60" i="2"/>
  <c r="Q96" i="8"/>
  <c r="H60" i="2"/>
  <c r="P63" i="4" l="1"/>
  <c r="M64" i="4"/>
  <c r="P64" i="4"/>
  <c r="K64" i="6"/>
  <c r="K66" i="6"/>
  <c r="M64" i="6"/>
  <c r="M65" i="6" s="1"/>
  <c r="M66" i="6" s="1"/>
  <c r="O58" i="4"/>
  <c r="N60" i="4" s="1"/>
  <c r="O59" i="6"/>
  <c r="N60" i="6" s="1"/>
  <c r="G98" i="8"/>
  <c r="O54" i="2"/>
  <c r="N55" i="2" s="1"/>
  <c r="H82" i="7"/>
  <c r="I60" i="2"/>
  <c r="G70" i="6"/>
  <c r="K62" i="4"/>
  <c r="K61" i="4"/>
  <c r="G66" i="4"/>
  <c r="J64" i="4"/>
  <c r="G61" i="2"/>
  <c r="L98" i="8"/>
  <c r="H66" i="4"/>
  <c r="K65" i="6"/>
  <c r="M82" i="7"/>
  <c r="L61" i="2"/>
  <c r="Q97" i="8"/>
  <c r="L66" i="4"/>
  <c r="I59" i="2"/>
  <c r="K63" i="6"/>
  <c r="N59" i="4"/>
  <c r="L70" i="6"/>
  <c r="H70" i="6"/>
  <c r="P59" i="2" l="1"/>
  <c r="P60" i="2"/>
  <c r="I70" i="6"/>
  <c r="O60" i="6"/>
  <c r="N61" i="6" s="1"/>
  <c r="G99" i="8"/>
  <c r="O55" i="2"/>
  <c r="N56" i="2" s="1"/>
  <c r="H83" i="7"/>
  <c r="K60" i="2"/>
  <c r="G71" i="6"/>
  <c r="I66" i="4"/>
  <c r="G67" i="4"/>
  <c r="O60" i="4"/>
  <c r="N62" i="4" s="1"/>
  <c r="G62" i="2"/>
  <c r="M57" i="2"/>
  <c r="M58" i="2" s="1"/>
  <c r="J60" i="2"/>
  <c r="L67" i="4"/>
  <c r="I65" i="4"/>
  <c r="I67" i="6"/>
  <c r="N61" i="4"/>
  <c r="K59" i="2"/>
  <c r="M83" i="7"/>
  <c r="I68" i="6"/>
  <c r="L99" i="8"/>
  <c r="Q98" i="8"/>
  <c r="L71" i="6"/>
  <c r="L62" i="2"/>
  <c r="H62" i="2"/>
  <c r="I69" i="6"/>
  <c r="P65" i="4" l="1"/>
  <c r="P67" i="6"/>
  <c r="P68" i="6"/>
  <c r="P69" i="6"/>
  <c r="M66" i="4"/>
  <c r="P66" i="4"/>
  <c r="P70" i="6"/>
  <c r="J70" i="6"/>
  <c r="K68" i="6"/>
  <c r="M67" i="6"/>
  <c r="O61" i="6"/>
  <c r="N62" i="6" s="1"/>
  <c r="G100" i="8"/>
  <c r="O56" i="2"/>
  <c r="N57" i="2" s="1"/>
  <c r="H84" i="7"/>
  <c r="I62" i="2"/>
  <c r="G72" i="6"/>
  <c r="K64" i="4"/>
  <c r="K63" i="4"/>
  <c r="J66" i="4"/>
  <c r="G68" i="4"/>
  <c r="G63" i="2"/>
  <c r="M59" i="2"/>
  <c r="M60" i="2" s="1"/>
  <c r="Q99" i="8"/>
  <c r="L72" i="6"/>
  <c r="M84" i="7"/>
  <c r="H68" i="4"/>
  <c r="L68" i="4"/>
  <c r="K67" i="6"/>
  <c r="L100" i="8"/>
  <c r="L63" i="2"/>
  <c r="I61" i="2"/>
  <c r="P61" i="2" l="1"/>
  <c r="P62" i="2"/>
  <c r="K70" i="6"/>
  <c r="M68" i="6"/>
  <c r="J62" i="2"/>
  <c r="O62" i="6"/>
  <c r="N63" i="6" s="1"/>
  <c r="G101" i="8"/>
  <c r="O57" i="2"/>
  <c r="N58" i="2" s="1"/>
  <c r="H85" i="7"/>
  <c r="K62" i="2"/>
  <c r="G73" i="6"/>
  <c r="I68" i="4"/>
  <c r="G69" i="4"/>
  <c r="O62" i="4"/>
  <c r="N64" i="4" s="1"/>
  <c r="G64" i="2"/>
  <c r="M85" i="7"/>
  <c r="I67" i="4"/>
  <c r="L73" i="6"/>
  <c r="H64" i="2"/>
  <c r="L64" i="2"/>
  <c r="L69" i="4"/>
  <c r="L101" i="8"/>
  <c r="K61" i="2"/>
  <c r="K69" i="6"/>
  <c r="Q100" i="8"/>
  <c r="N63" i="4"/>
  <c r="P67" i="4" l="1"/>
  <c r="M68" i="4"/>
  <c r="P68" i="4"/>
  <c r="O58" i="2"/>
  <c r="N59" i="2" s="1"/>
  <c r="O63" i="6"/>
  <c r="N64" i="6" s="1"/>
  <c r="G102" i="8"/>
  <c r="H86" i="7"/>
  <c r="I64" i="2"/>
  <c r="G74" i="6"/>
  <c r="M69" i="6"/>
  <c r="M70" i="6" s="1"/>
  <c r="K66" i="4"/>
  <c r="K65" i="4"/>
  <c r="G70" i="4"/>
  <c r="J68" i="4"/>
  <c r="G65" i="2"/>
  <c r="H70" i="4"/>
  <c r="Q101" i="8"/>
  <c r="L70" i="4"/>
  <c r="L74" i="6"/>
  <c r="I63" i="2"/>
  <c r="L102" i="8"/>
  <c r="L65" i="2"/>
  <c r="H74" i="6"/>
  <c r="M86" i="7"/>
  <c r="P63" i="2" l="1"/>
  <c r="P64" i="2"/>
  <c r="I74" i="6"/>
  <c r="O59" i="2"/>
  <c r="N60" i="2" s="1"/>
  <c r="O64" i="6"/>
  <c r="N65" i="6" s="1"/>
  <c r="G103" i="8"/>
  <c r="H87" i="7"/>
  <c r="K64" i="2"/>
  <c r="G75" i="6"/>
  <c r="I70" i="4"/>
  <c r="G71" i="4"/>
  <c r="O64" i="4"/>
  <c r="N66" i="4" s="1"/>
  <c r="G66" i="2"/>
  <c r="M61" i="2"/>
  <c r="M62" i="2" s="1"/>
  <c r="J64" i="2"/>
  <c r="L71" i="4"/>
  <c r="I72" i="6"/>
  <c r="I69" i="4"/>
  <c r="K63" i="2"/>
  <c r="H66" i="2"/>
  <c r="I73" i="6"/>
  <c r="M87" i="7"/>
  <c r="L75" i="6"/>
  <c r="I71" i="6"/>
  <c r="L103" i="8"/>
  <c r="L66" i="2"/>
  <c r="N65" i="4"/>
  <c r="Q102" i="8"/>
  <c r="P69" i="4" l="1"/>
  <c r="P72" i="6"/>
  <c r="P73" i="6"/>
  <c r="P71" i="6"/>
  <c r="M70" i="4"/>
  <c r="P70" i="4"/>
  <c r="J74" i="6"/>
  <c r="P74" i="6"/>
  <c r="O65" i="6"/>
  <c r="N66" i="6" s="1"/>
  <c r="G104" i="8"/>
  <c r="O60" i="2"/>
  <c r="N61" i="2" s="1"/>
  <c r="H88" i="7"/>
  <c r="I66" i="2"/>
  <c r="G76" i="6"/>
  <c r="J70" i="4"/>
  <c r="K68" i="4"/>
  <c r="K67" i="4"/>
  <c r="G72" i="4"/>
  <c r="G67" i="2"/>
  <c r="I65" i="2"/>
  <c r="L76" i="6"/>
  <c r="M88" i="7"/>
  <c r="L72" i="4"/>
  <c r="H72" i="4"/>
  <c r="L67" i="2"/>
  <c r="Q103" i="8"/>
  <c r="L104" i="8"/>
  <c r="P65" i="2" l="1"/>
  <c r="P66" i="2"/>
  <c r="K72" i="6"/>
  <c r="M71" i="6"/>
  <c r="O66" i="6"/>
  <c r="N67" i="6" s="1"/>
  <c r="G105" i="8"/>
  <c r="O61" i="2"/>
  <c r="N62" i="2" s="1"/>
  <c r="H89" i="7"/>
  <c r="K66" i="2"/>
  <c r="G77" i="6"/>
  <c r="J66" i="2"/>
  <c r="I72" i="4"/>
  <c r="G73" i="4"/>
  <c r="O66" i="4"/>
  <c r="N68" i="4" s="1"/>
  <c r="G68" i="2"/>
  <c r="M63" i="2"/>
  <c r="M64" i="2" s="1"/>
  <c r="L73" i="4"/>
  <c r="Q104" i="8"/>
  <c r="K65" i="2"/>
  <c r="H68" i="2"/>
  <c r="L105" i="8"/>
  <c r="K71" i="6"/>
  <c r="M89" i="7"/>
  <c r="I71" i="4"/>
  <c r="L68" i="2"/>
  <c r="L77" i="6"/>
  <c r="N67" i="4"/>
  <c r="P71" i="4" l="1"/>
  <c r="M72" i="4"/>
  <c r="P72" i="4"/>
  <c r="M72" i="6"/>
  <c r="M73" i="6" s="1"/>
  <c r="M74" i="6" s="1"/>
  <c r="K74" i="6"/>
  <c r="O67" i="6"/>
  <c r="N68" i="6" s="1"/>
  <c r="G106" i="8"/>
  <c r="O62" i="2"/>
  <c r="N63" i="2" s="1"/>
  <c r="H90" i="7"/>
  <c r="I68" i="2"/>
  <c r="G78" i="6"/>
  <c r="K70" i="4"/>
  <c r="K69" i="4"/>
  <c r="G74" i="4"/>
  <c r="J72" i="4"/>
  <c r="G69" i="2"/>
  <c r="H78" i="6"/>
  <c r="L106" i="8"/>
  <c r="M90" i="7"/>
  <c r="L69" i="2"/>
  <c r="I67" i="2"/>
  <c r="Q105" i="8"/>
  <c r="K73" i="6"/>
  <c r="L78" i="6"/>
  <c r="H74" i="4"/>
  <c r="L74" i="4"/>
  <c r="P67" i="2" l="1"/>
  <c r="P68" i="2"/>
  <c r="I78" i="6"/>
  <c r="O68" i="6"/>
  <c r="N69" i="6" s="1"/>
  <c r="O63" i="2"/>
  <c r="N64" i="2" s="1"/>
  <c r="G107" i="8"/>
  <c r="H91" i="7"/>
  <c r="K68" i="2"/>
  <c r="G79" i="6"/>
  <c r="I74" i="4"/>
  <c r="G75" i="4"/>
  <c r="O68" i="4"/>
  <c r="N70" i="4" s="1"/>
  <c r="G70" i="2"/>
  <c r="J68" i="2"/>
  <c r="M65" i="2"/>
  <c r="M66" i="2" s="1"/>
  <c r="L75" i="4"/>
  <c r="I73" i="4"/>
  <c r="K67" i="2"/>
  <c r="Q106" i="8"/>
  <c r="M91" i="7"/>
  <c r="H70" i="2"/>
  <c r="I75" i="6"/>
  <c r="N69" i="4"/>
  <c r="I76" i="6"/>
  <c r="L107" i="8"/>
  <c r="L79" i="6"/>
  <c r="I77" i="6"/>
  <c r="L70" i="2"/>
  <c r="P77" i="6" l="1"/>
  <c r="P76" i="6"/>
  <c r="P75" i="6"/>
  <c r="P73" i="4"/>
  <c r="P78" i="6"/>
  <c r="P74" i="4"/>
  <c r="K76" i="6"/>
  <c r="M75" i="6"/>
  <c r="J78" i="6"/>
  <c r="J74" i="4"/>
  <c r="M74" i="4"/>
  <c r="O64" i="2"/>
  <c r="N65" i="2" s="1"/>
  <c r="O69" i="6"/>
  <c r="N70" i="6" s="1"/>
  <c r="G108" i="8"/>
  <c r="H92" i="7"/>
  <c r="I70" i="2"/>
  <c r="G80" i="6"/>
  <c r="K72" i="4"/>
  <c r="K71" i="4"/>
  <c r="G76" i="4"/>
  <c r="G71" i="2"/>
  <c r="L76" i="4"/>
  <c r="Q107" i="8"/>
  <c r="K75" i="6"/>
  <c r="L108" i="8"/>
  <c r="L71" i="2"/>
  <c r="L80" i="6"/>
  <c r="H76" i="4"/>
  <c r="M92" i="7"/>
  <c r="I69" i="2"/>
  <c r="P69" i="2" l="1"/>
  <c r="P70" i="2"/>
  <c r="K78" i="6"/>
  <c r="M76" i="6"/>
  <c r="O70" i="6"/>
  <c r="N71" i="6" s="1"/>
  <c r="G109" i="8"/>
  <c r="O65" i="2"/>
  <c r="N66" i="2" s="1"/>
  <c r="H93" i="7"/>
  <c r="K70" i="2"/>
  <c r="J70" i="2"/>
  <c r="G81" i="6"/>
  <c r="I76" i="4"/>
  <c r="G77" i="4"/>
  <c r="O70" i="4"/>
  <c r="N72" i="4" s="1"/>
  <c r="G72" i="2"/>
  <c r="M67" i="2"/>
  <c r="M68" i="2" s="1"/>
  <c r="M93" i="7"/>
  <c r="K69" i="2"/>
  <c r="L77" i="4"/>
  <c r="H72" i="2"/>
  <c r="L72" i="2"/>
  <c r="Q108" i="8"/>
  <c r="K77" i="6"/>
  <c r="I75" i="4"/>
  <c r="L81" i="6"/>
  <c r="N71" i="4"/>
  <c r="L109" i="8"/>
  <c r="P75" i="4" l="1"/>
  <c r="P76" i="4"/>
  <c r="M76" i="4"/>
  <c r="O71" i="6"/>
  <c r="N72" i="6" s="1"/>
  <c r="G110" i="8"/>
  <c r="O66" i="2"/>
  <c r="N67" i="2" s="1"/>
  <c r="H94" i="7"/>
  <c r="I72" i="2"/>
  <c r="G82" i="6"/>
  <c r="M77" i="6"/>
  <c r="M78" i="6" s="1"/>
  <c r="K74" i="4"/>
  <c r="K73" i="4"/>
  <c r="G78" i="4"/>
  <c r="J76" i="4"/>
  <c r="G73" i="2"/>
  <c r="H78" i="4"/>
  <c r="I71" i="2"/>
  <c r="L110" i="8"/>
  <c r="L82" i="6"/>
  <c r="M94" i="7"/>
  <c r="H82" i="6"/>
  <c r="L73" i="2"/>
  <c r="L78" i="4"/>
  <c r="Q109" i="8"/>
  <c r="P71" i="2" l="1"/>
  <c r="P72" i="2"/>
  <c r="I82" i="6"/>
  <c r="O72" i="6"/>
  <c r="N73" i="6" s="1"/>
  <c r="G111" i="8"/>
  <c r="O67" i="2"/>
  <c r="N68" i="2" s="1"/>
  <c r="H95" i="7"/>
  <c r="K72" i="2"/>
  <c r="G83" i="6"/>
  <c r="I78" i="4"/>
  <c r="O72" i="4"/>
  <c r="N74" i="4" s="1"/>
  <c r="G79" i="4"/>
  <c r="G74" i="2"/>
  <c r="J72" i="2"/>
  <c r="M69" i="2"/>
  <c r="M70" i="2" s="1"/>
  <c r="I79" i="6"/>
  <c r="H74" i="2"/>
  <c r="N73" i="4"/>
  <c r="L79" i="4"/>
  <c r="I80" i="6"/>
  <c r="I77" i="4"/>
  <c r="L74" i="2"/>
  <c r="M95" i="7"/>
  <c r="L111" i="8"/>
  <c r="Q110" i="8"/>
  <c r="L83" i="6"/>
  <c r="I81" i="6"/>
  <c r="K71" i="2"/>
  <c r="P79" i="6" l="1"/>
  <c r="P80" i="6"/>
  <c r="P81" i="6"/>
  <c r="P77" i="4"/>
  <c r="P82" i="6"/>
  <c r="J78" i="4"/>
  <c r="P78" i="4"/>
  <c r="M78" i="4"/>
  <c r="J82" i="6"/>
  <c r="K80" i="6"/>
  <c r="M79" i="6"/>
  <c r="O73" i="6"/>
  <c r="N74" i="6" s="1"/>
  <c r="G112" i="8"/>
  <c r="O68" i="2"/>
  <c r="N69" i="2" s="1"/>
  <c r="H96" i="7"/>
  <c r="I74" i="2"/>
  <c r="G84" i="6"/>
  <c r="G80" i="4"/>
  <c r="G75" i="2"/>
  <c r="H80" i="4"/>
  <c r="I73" i="2"/>
  <c r="K79" i="6"/>
  <c r="Q111" i="8"/>
  <c r="L75" i="2"/>
  <c r="L80" i="4"/>
  <c r="L84" i="6"/>
  <c r="M96" i="7"/>
  <c r="L112" i="8"/>
  <c r="P73" i="2" l="1"/>
  <c r="P74" i="2"/>
  <c r="K82" i="6"/>
  <c r="M80" i="6"/>
  <c r="J74" i="2"/>
  <c r="O74" i="6"/>
  <c r="N75" i="6" s="1"/>
  <c r="G113" i="8"/>
  <c r="O69" i="2"/>
  <c r="N70" i="2" s="1"/>
  <c r="H97" i="7"/>
  <c r="K74" i="2"/>
  <c r="G85" i="6"/>
  <c r="I80" i="4"/>
  <c r="O74" i="4"/>
  <c r="G81" i="4"/>
  <c r="G76" i="2"/>
  <c r="M71" i="2"/>
  <c r="M72" i="2" s="1"/>
  <c r="K73" i="2"/>
  <c r="L76" i="2"/>
  <c r="I79" i="4"/>
  <c r="H76" i="2"/>
  <c r="K81" i="6"/>
  <c r="L85" i="6"/>
  <c r="Q112" i="8"/>
  <c r="L113" i="8"/>
  <c r="M97" i="7"/>
  <c r="L81" i="4"/>
  <c r="P79" i="4" l="1"/>
  <c r="M80" i="4"/>
  <c r="P80" i="4"/>
  <c r="O75" i="6"/>
  <c r="N76" i="6" s="1"/>
  <c r="G114" i="8"/>
  <c r="O70" i="2"/>
  <c r="N71" i="2" s="1"/>
  <c r="H98" i="7"/>
  <c r="I76" i="2"/>
  <c r="G86" i="6"/>
  <c r="M81" i="6"/>
  <c r="M82" i="6" s="1"/>
  <c r="G82" i="4"/>
  <c r="J80" i="4"/>
  <c r="G77" i="2"/>
  <c r="I75" i="2"/>
  <c r="L86" i="6"/>
  <c r="H82" i="4"/>
  <c r="L114" i="8"/>
  <c r="L77" i="2"/>
  <c r="M98" i="7"/>
  <c r="Q113" i="8"/>
  <c r="L82" i="4"/>
  <c r="H86" i="6"/>
  <c r="P75" i="2" l="1"/>
  <c r="P76" i="2"/>
  <c r="I86" i="6"/>
  <c r="O76" i="6"/>
  <c r="N77" i="6" s="1"/>
  <c r="G115" i="8"/>
  <c r="O71" i="2"/>
  <c r="N72" i="2" s="1"/>
  <c r="H99" i="7"/>
  <c r="K76" i="2"/>
  <c r="G87" i="6"/>
  <c r="I82" i="4"/>
  <c r="G83" i="4"/>
  <c r="G78" i="2"/>
  <c r="J76" i="2"/>
  <c r="M73" i="2"/>
  <c r="M74" i="2" s="1"/>
  <c r="Q114" i="8"/>
  <c r="L83" i="4"/>
  <c r="H78" i="2"/>
  <c r="K75" i="2"/>
  <c r="I84" i="6"/>
  <c r="I83" i="6"/>
  <c r="L87" i="6"/>
  <c r="I85" i="6"/>
  <c r="M99" i="7"/>
  <c r="L115" i="8"/>
  <c r="L78" i="2"/>
  <c r="I81" i="4"/>
  <c r="P81" i="4" l="1"/>
  <c r="P83" i="6"/>
  <c r="P84" i="6"/>
  <c r="P85" i="6"/>
  <c r="M82" i="4"/>
  <c r="P82" i="4"/>
  <c r="J86" i="6"/>
  <c r="P86" i="6"/>
  <c r="O77" i="6"/>
  <c r="N78" i="6" s="1"/>
  <c r="G116" i="8"/>
  <c r="O72" i="2"/>
  <c r="N73" i="2" s="1"/>
  <c r="H100" i="7"/>
  <c r="I78" i="2"/>
  <c r="G88" i="6"/>
  <c r="K80" i="4"/>
  <c r="K79" i="4"/>
  <c r="J82" i="4"/>
  <c r="G84" i="4"/>
  <c r="M75" i="2"/>
  <c r="M76" i="2" s="1"/>
  <c r="G79" i="2"/>
  <c r="I77" i="2"/>
  <c r="L88" i="6"/>
  <c r="M100" i="7"/>
  <c r="L84" i="4"/>
  <c r="L116" i="8"/>
  <c r="H84" i="4"/>
  <c r="Q115" i="8"/>
  <c r="L79" i="2"/>
  <c r="P77" i="2" l="1"/>
  <c r="P78" i="2"/>
  <c r="M83" i="6"/>
  <c r="O78" i="6"/>
  <c r="N79" i="6" s="1"/>
  <c r="G117" i="8"/>
  <c r="O73" i="2"/>
  <c r="N74" i="2" s="1"/>
  <c r="H101" i="7"/>
  <c r="K78" i="2"/>
  <c r="G89" i="6"/>
  <c r="I84" i="4"/>
  <c r="G85" i="4"/>
  <c r="G80" i="2"/>
  <c r="J78" i="2"/>
  <c r="H80" i="2"/>
  <c r="I83" i="4"/>
  <c r="L80" i="2"/>
  <c r="L89" i="6"/>
  <c r="M101" i="7"/>
  <c r="L85" i="4"/>
  <c r="Q116" i="8"/>
  <c r="K77" i="2"/>
  <c r="L117" i="8"/>
  <c r="P83" i="4" l="1"/>
  <c r="M84" i="4"/>
  <c r="P84" i="4"/>
  <c r="M84" i="6"/>
  <c r="M85" i="6" s="1"/>
  <c r="M86" i="6" s="1"/>
  <c r="K84" i="6"/>
  <c r="K86" i="6"/>
  <c r="O79" i="6"/>
  <c r="N80" i="6" s="1"/>
  <c r="G118" i="8"/>
  <c r="O74" i="2"/>
  <c r="N75" i="2" s="1"/>
  <c r="H102" i="7"/>
  <c r="I80" i="2"/>
  <c r="G90" i="6"/>
  <c r="K82" i="4"/>
  <c r="K81" i="4"/>
  <c r="G86" i="4"/>
  <c r="J84" i="4"/>
  <c r="G81" i="2"/>
  <c r="L86" i="4"/>
  <c r="M102" i="7"/>
  <c r="L90" i="6"/>
  <c r="I79" i="2"/>
  <c r="K85" i="6"/>
  <c r="Q117" i="8"/>
  <c r="K83" i="6"/>
  <c r="H86" i="4"/>
  <c r="L118" i="8"/>
  <c r="H90" i="6"/>
  <c r="L81" i="2"/>
  <c r="P79" i="2" l="1"/>
  <c r="P80" i="2"/>
  <c r="I90" i="6"/>
  <c r="O75" i="2"/>
  <c r="N76" i="2" s="1"/>
  <c r="O80" i="6"/>
  <c r="N81" i="6" s="1"/>
  <c r="G119" i="8"/>
  <c r="H103" i="7"/>
  <c r="K80" i="2"/>
  <c r="G91" i="6"/>
  <c r="I86" i="4"/>
  <c r="G87" i="4"/>
  <c r="G82" i="2"/>
  <c r="M77" i="2"/>
  <c r="M78" i="2" s="1"/>
  <c r="J80" i="2"/>
  <c r="I85" i="4"/>
  <c r="Q118" i="8"/>
  <c r="I89" i="6"/>
  <c r="L91" i="6"/>
  <c r="K79" i="2"/>
  <c r="L119" i="8"/>
  <c r="H82" i="2"/>
  <c r="L87" i="4"/>
  <c r="I88" i="6"/>
  <c r="L82" i="2"/>
  <c r="I87" i="6"/>
  <c r="M103" i="7"/>
  <c r="P85" i="4" l="1"/>
  <c r="P88" i="6"/>
  <c r="P87" i="6"/>
  <c r="P89" i="6"/>
  <c r="M86" i="4"/>
  <c r="P86" i="4"/>
  <c r="P90" i="6"/>
  <c r="J90" i="6"/>
  <c r="M87" i="6"/>
  <c r="K88" i="6"/>
  <c r="O81" i="6"/>
  <c r="N82" i="6" s="1"/>
  <c r="G120" i="8"/>
  <c r="O76" i="2"/>
  <c r="N77" i="2" s="1"/>
  <c r="H104" i="7"/>
  <c r="I82" i="2"/>
  <c r="G92" i="6"/>
  <c r="K84" i="4"/>
  <c r="K83" i="4"/>
  <c r="J86" i="4"/>
  <c r="G88" i="4"/>
  <c r="G83" i="2"/>
  <c r="M79" i="2"/>
  <c r="M80" i="2" s="1"/>
  <c r="H88" i="4"/>
  <c r="K87" i="6"/>
  <c r="Q119" i="8"/>
  <c r="I81" i="2"/>
  <c r="L88" i="4"/>
  <c r="L120" i="8"/>
  <c r="L83" i="2"/>
  <c r="M104" i="7"/>
  <c r="L92" i="6"/>
  <c r="P81" i="2" l="1"/>
  <c r="P82" i="2"/>
  <c r="K90" i="6"/>
  <c r="M88" i="6"/>
  <c r="O82" i="6"/>
  <c r="N83" i="6" s="1"/>
  <c r="G121" i="8"/>
  <c r="O77" i="2"/>
  <c r="N78" i="2" s="1"/>
  <c r="H105" i="7"/>
  <c r="K82" i="2"/>
  <c r="J82" i="2"/>
  <c r="G93" i="6"/>
  <c r="I88" i="4"/>
  <c r="G89" i="4"/>
  <c r="G84" i="2"/>
  <c r="H84" i="2"/>
  <c r="K81" i="2"/>
  <c r="L89" i="4"/>
  <c r="K89" i="6"/>
  <c r="L93" i="6"/>
  <c r="I87" i="4"/>
  <c r="M105" i="7"/>
  <c r="L121" i="8"/>
  <c r="L84" i="2"/>
  <c r="Q120" i="8"/>
  <c r="P87" i="4" l="1"/>
  <c r="M88" i="4"/>
  <c r="P88" i="4"/>
  <c r="O78" i="2"/>
  <c r="N79" i="2" s="1"/>
  <c r="O83" i="6"/>
  <c r="N84" i="6" s="1"/>
  <c r="G122" i="8"/>
  <c r="H106" i="7"/>
  <c r="I84" i="2"/>
  <c r="G94" i="6"/>
  <c r="M89" i="6"/>
  <c r="M90" i="6" s="1"/>
  <c r="K86" i="4"/>
  <c r="K85" i="4"/>
  <c r="G90" i="4"/>
  <c r="J88" i="4"/>
  <c r="G85" i="2"/>
  <c r="L94" i="6"/>
  <c r="M106" i="7"/>
  <c r="L122" i="8"/>
  <c r="I83" i="2"/>
  <c r="H90" i="4"/>
  <c r="L90" i="4"/>
  <c r="L85" i="2"/>
  <c r="Q121" i="8"/>
  <c r="H94" i="6"/>
  <c r="P83" i="2" l="1"/>
  <c r="P84" i="2"/>
  <c r="I94" i="6"/>
  <c r="O79" i="2"/>
  <c r="N80" i="2" s="1"/>
  <c r="O84" i="6"/>
  <c r="N85" i="6" s="1"/>
  <c r="G123" i="8"/>
  <c r="H107" i="7"/>
  <c r="K84" i="2"/>
  <c r="G95" i="6"/>
  <c r="I90" i="4"/>
  <c r="G91" i="4"/>
  <c r="J84" i="2"/>
  <c r="G86" i="2"/>
  <c r="M81" i="2"/>
  <c r="M82" i="2" s="1"/>
  <c r="I91" i="6"/>
  <c r="M107" i="7"/>
  <c r="K83" i="2"/>
  <c r="H86" i="2"/>
  <c r="I92" i="6"/>
  <c r="I93" i="6"/>
  <c r="L86" i="2"/>
  <c r="L123" i="8"/>
  <c r="Q122" i="8"/>
  <c r="I89" i="4"/>
  <c r="L91" i="4"/>
  <c r="L95" i="6"/>
  <c r="P93" i="6" l="1"/>
  <c r="P91" i="6"/>
  <c r="P92" i="6"/>
  <c r="P89" i="4"/>
  <c r="P94" i="6"/>
  <c r="M90" i="4"/>
  <c r="P90" i="4"/>
  <c r="J94" i="6"/>
  <c r="K92" i="6"/>
  <c r="M91" i="6"/>
  <c r="O85" i="6"/>
  <c r="N86" i="6" s="1"/>
  <c r="G124" i="8"/>
  <c r="O80" i="2"/>
  <c r="N81" i="2" s="1"/>
  <c r="H108" i="7"/>
  <c r="I86" i="2"/>
  <c r="G96" i="6"/>
  <c r="K88" i="4"/>
  <c r="K87" i="4"/>
  <c r="J90" i="4"/>
  <c r="G92" i="4"/>
  <c r="M83" i="2"/>
  <c r="M84" i="2" s="1"/>
  <c r="G87" i="2"/>
  <c r="M108" i="7"/>
  <c r="L87" i="2"/>
  <c r="L92" i="4"/>
  <c r="Q123" i="8"/>
  <c r="L124" i="8"/>
  <c r="L96" i="6"/>
  <c r="I85" i="2"/>
  <c r="H92" i="4"/>
  <c r="K91" i="6"/>
  <c r="P85" i="2" l="1"/>
  <c r="P86" i="2"/>
  <c r="M92" i="6"/>
  <c r="K94" i="6"/>
  <c r="O86" i="6"/>
  <c r="N87" i="6" s="1"/>
  <c r="G125" i="8"/>
  <c r="O81" i="2"/>
  <c r="N82" i="2" s="1"/>
  <c r="H109" i="7"/>
  <c r="K86" i="2"/>
  <c r="G97" i="6"/>
  <c r="I92" i="4"/>
  <c r="G93" i="4"/>
  <c r="G88" i="2"/>
  <c r="J86" i="2"/>
  <c r="M109" i="7"/>
  <c r="L93" i="4"/>
  <c r="L88" i="2"/>
  <c r="K93" i="6"/>
  <c r="I91" i="4"/>
  <c r="L97" i="6"/>
  <c r="Q124" i="8"/>
  <c r="H88" i="2"/>
  <c r="K85" i="2"/>
  <c r="L125" i="8"/>
  <c r="P91" i="4" l="1"/>
  <c r="M92" i="4"/>
  <c r="P92" i="4"/>
  <c r="O82" i="2"/>
  <c r="N83" i="2" s="1"/>
  <c r="O87" i="6"/>
  <c r="N88" i="6" s="1"/>
  <c r="G126" i="8"/>
  <c r="H110" i="7"/>
  <c r="I88" i="2"/>
  <c r="G98" i="6"/>
  <c r="M93" i="6"/>
  <c r="M94" i="6" s="1"/>
  <c r="K90" i="4"/>
  <c r="K89" i="4"/>
  <c r="G94" i="4"/>
  <c r="J92" i="4"/>
  <c r="G89" i="2"/>
  <c r="M110" i="7"/>
  <c r="I87" i="2"/>
  <c r="H94" i="4"/>
  <c r="L94" i="4"/>
  <c r="Q125" i="8"/>
  <c r="H98" i="6"/>
  <c r="L98" i="6"/>
  <c r="L89" i="2"/>
  <c r="L126" i="8"/>
  <c r="P87" i="2" l="1"/>
  <c r="P88" i="2"/>
  <c r="I98" i="6"/>
  <c r="O88" i="6"/>
  <c r="N89" i="6" s="1"/>
  <c r="G127" i="8"/>
  <c r="O83" i="2"/>
  <c r="N84" i="2" s="1"/>
  <c r="H111" i="7"/>
  <c r="K88" i="2"/>
  <c r="J88" i="2"/>
  <c r="G99" i="6"/>
  <c r="I94" i="4"/>
  <c r="G95" i="4"/>
  <c r="M85" i="2"/>
  <c r="M86" i="2" s="1"/>
  <c r="G90" i="2"/>
  <c r="K87" i="2"/>
  <c r="L99" i="6"/>
  <c r="L95" i="4"/>
  <c r="L90" i="2"/>
  <c r="I97" i="6"/>
  <c r="I95" i="6"/>
  <c r="L127" i="8"/>
  <c r="Q126" i="8"/>
  <c r="I93" i="4"/>
  <c r="M111" i="7"/>
  <c r="I96" i="6"/>
  <c r="H90" i="2"/>
  <c r="P93" i="4" l="1"/>
  <c r="P97" i="6"/>
  <c r="P95" i="6"/>
  <c r="P96" i="6"/>
  <c r="M94" i="4"/>
  <c r="P94" i="4"/>
  <c r="P98" i="6"/>
  <c r="J98" i="6"/>
  <c r="M95" i="6"/>
  <c r="K96" i="6"/>
  <c r="O89" i="6"/>
  <c r="N90" i="6" s="1"/>
  <c r="G128" i="8"/>
  <c r="O84" i="2"/>
  <c r="N85" i="2" s="1"/>
  <c r="H112" i="7"/>
  <c r="I90" i="2"/>
  <c r="G100" i="6"/>
  <c r="K92" i="4"/>
  <c r="K91" i="4"/>
  <c r="J94" i="4"/>
  <c r="G96" i="4"/>
  <c r="G91" i="2"/>
  <c r="L100" i="6"/>
  <c r="K95" i="6"/>
  <c r="L91" i="2"/>
  <c r="I89" i="2"/>
  <c r="L128" i="8"/>
  <c r="L96" i="4"/>
  <c r="Q127" i="8"/>
  <c r="M112" i="7"/>
  <c r="H96" i="4"/>
  <c r="P89" i="2" l="1"/>
  <c r="P90" i="2"/>
  <c r="K98" i="6"/>
  <c r="M96" i="6"/>
  <c r="O90" i="6"/>
  <c r="N91" i="6" s="1"/>
  <c r="G129" i="8"/>
  <c r="O85" i="2"/>
  <c r="N86" i="2" s="1"/>
  <c r="H113" i="7"/>
  <c r="K90" i="2"/>
  <c r="G101" i="6"/>
  <c r="I96" i="4"/>
  <c r="G97" i="4"/>
  <c r="G92" i="2"/>
  <c r="J90" i="2"/>
  <c r="M87" i="2"/>
  <c r="M88" i="2" s="1"/>
  <c r="M113" i="7"/>
  <c r="L92" i="2"/>
  <c r="H92" i="2"/>
  <c r="L129" i="8"/>
  <c r="I95" i="4"/>
  <c r="L97" i="4"/>
  <c r="K97" i="6"/>
  <c r="Q128" i="8"/>
  <c r="L101" i="6"/>
  <c r="K89" i="2"/>
  <c r="P95" i="4" l="1"/>
  <c r="M96" i="4"/>
  <c r="P96" i="4"/>
  <c r="O91" i="6"/>
  <c r="N92" i="6" s="1"/>
  <c r="G130" i="8"/>
  <c r="O86" i="2"/>
  <c r="N87" i="2" s="1"/>
  <c r="H114" i="7"/>
  <c r="M89" i="2"/>
  <c r="M90" i="2" s="1"/>
  <c r="I92" i="2"/>
  <c r="G102" i="6"/>
  <c r="M97" i="6"/>
  <c r="M98" i="6" s="1"/>
  <c r="K94" i="4"/>
  <c r="K93" i="4"/>
  <c r="G98" i="4"/>
  <c r="J96" i="4"/>
  <c r="G93" i="2"/>
  <c r="H102" i="6"/>
  <c r="Q129" i="8"/>
  <c r="L93" i="2"/>
  <c r="L102" i="6"/>
  <c r="H98" i="4"/>
  <c r="L130" i="8"/>
  <c r="M114" i="7"/>
  <c r="I91" i="2"/>
  <c r="L98" i="4"/>
  <c r="P91" i="2" l="1"/>
  <c r="P92" i="2"/>
  <c r="I102" i="6"/>
  <c r="O92" i="6"/>
  <c r="N93" i="6" s="1"/>
  <c r="G131" i="8"/>
  <c r="O87" i="2"/>
  <c r="N88" i="2" s="1"/>
  <c r="H115" i="7"/>
  <c r="K92" i="2"/>
  <c r="J92" i="2"/>
  <c r="G103" i="6"/>
  <c r="I98" i="4"/>
  <c r="G99" i="4"/>
  <c r="G94" i="2"/>
  <c r="L131" i="8"/>
  <c r="L99" i="4"/>
  <c r="K91" i="2"/>
  <c r="M115" i="7"/>
  <c r="I101" i="6"/>
  <c r="I100" i="6"/>
  <c r="L103" i="6"/>
  <c r="H94" i="2"/>
  <c r="I97" i="4"/>
  <c r="I99" i="6"/>
  <c r="Q130" i="8"/>
  <c r="L94" i="2"/>
  <c r="P99" i="6" l="1"/>
  <c r="P100" i="6"/>
  <c r="P101" i="6"/>
  <c r="P97" i="4"/>
  <c r="P102" i="6"/>
  <c r="P98" i="4"/>
  <c r="M99" i="6"/>
  <c r="K100" i="6"/>
  <c r="J102" i="6"/>
  <c r="J98" i="4"/>
  <c r="M98" i="4"/>
  <c r="O93" i="6"/>
  <c r="N94" i="6" s="1"/>
  <c r="G132" i="8"/>
  <c r="O88" i="2"/>
  <c r="N89" i="2" s="1"/>
  <c r="H116" i="7"/>
  <c r="I94" i="2"/>
  <c r="G104" i="6"/>
  <c r="K96" i="4"/>
  <c r="K95" i="4"/>
  <c r="G100" i="4"/>
  <c r="G95" i="2"/>
  <c r="K99" i="6"/>
  <c r="Q131" i="8"/>
  <c r="L132" i="8"/>
  <c r="H100" i="4"/>
  <c r="L104" i="6"/>
  <c r="L95" i="2"/>
  <c r="I93" i="2"/>
  <c r="M116" i="7"/>
  <c r="L100" i="4"/>
  <c r="P93" i="2" l="1"/>
  <c r="P94" i="2"/>
  <c r="K102" i="6"/>
  <c r="M100" i="6"/>
  <c r="O94" i="6"/>
  <c r="N95" i="6" s="1"/>
  <c r="G133" i="8"/>
  <c r="O89" i="2"/>
  <c r="N90" i="2" s="1"/>
  <c r="H117" i="7"/>
  <c r="K94" i="2"/>
  <c r="G105" i="6"/>
  <c r="I100" i="4"/>
  <c r="G101" i="4"/>
  <c r="G96" i="2"/>
  <c r="M91" i="2"/>
  <c r="M92" i="2" s="1"/>
  <c r="J94" i="2"/>
  <c r="L101" i="4"/>
  <c r="Q132" i="8"/>
  <c r="L105" i="6"/>
  <c r="M117" i="7"/>
  <c r="L96" i="2"/>
  <c r="L133" i="8"/>
  <c r="H96" i="2"/>
  <c r="I99" i="4"/>
  <c r="K101" i="6"/>
  <c r="K93" i="2"/>
  <c r="P99" i="4" l="1"/>
  <c r="M100" i="4"/>
  <c r="P100" i="4"/>
  <c r="O95" i="6"/>
  <c r="N96" i="6" s="1"/>
  <c r="G134" i="8"/>
  <c r="O90" i="2"/>
  <c r="N91" i="2" s="1"/>
  <c r="H118" i="7"/>
  <c r="I96" i="2"/>
  <c r="G106" i="6"/>
  <c r="M101" i="6"/>
  <c r="M102" i="6" s="1"/>
  <c r="K98" i="4"/>
  <c r="K97" i="4"/>
  <c r="G102" i="4"/>
  <c r="J100" i="4"/>
  <c r="M93" i="2"/>
  <c r="M94" i="2" s="1"/>
  <c r="G97" i="2"/>
  <c r="L102" i="4"/>
  <c r="H106" i="6"/>
  <c r="I95" i="2"/>
  <c r="Q133" i="8"/>
  <c r="L97" i="2"/>
  <c r="L106" i="6"/>
  <c r="L134" i="8"/>
  <c r="H102" i="4"/>
  <c r="M118" i="7"/>
  <c r="P95" i="2" l="1"/>
  <c r="P96" i="2"/>
  <c r="I106" i="6"/>
  <c r="O96" i="6"/>
  <c r="N97" i="6" s="1"/>
  <c r="G135" i="8"/>
  <c r="O91" i="2"/>
  <c r="N92" i="2" s="1"/>
  <c r="H119" i="7"/>
  <c r="K96" i="2"/>
  <c r="G107" i="6"/>
  <c r="I102" i="4"/>
  <c r="G103" i="4"/>
  <c r="G98" i="2"/>
  <c r="J96" i="2"/>
  <c r="M119" i="7"/>
  <c r="H98" i="2"/>
  <c r="K95" i="2"/>
  <c r="L135" i="8"/>
  <c r="I105" i="6"/>
  <c r="L107" i="6"/>
  <c r="Q134" i="8"/>
  <c r="I103" i="6"/>
  <c r="I101" i="4"/>
  <c r="I104" i="6"/>
  <c r="L103" i="4"/>
  <c r="L98" i="2"/>
  <c r="P104" i="6" l="1"/>
  <c r="P105" i="6"/>
  <c r="P103" i="6"/>
  <c r="P101" i="4"/>
  <c r="P106" i="6"/>
  <c r="M102" i="4"/>
  <c r="P102" i="4"/>
  <c r="J106" i="6"/>
  <c r="M103" i="6"/>
  <c r="K104" i="6"/>
  <c r="O97" i="6"/>
  <c r="N98" i="6" s="1"/>
  <c r="G136" i="8"/>
  <c r="O92" i="2"/>
  <c r="N93" i="2" s="1"/>
  <c r="H120" i="7"/>
  <c r="I98" i="2"/>
  <c r="G108" i="6"/>
  <c r="J102" i="4"/>
  <c r="K100" i="4"/>
  <c r="K99" i="4"/>
  <c r="G104" i="4"/>
  <c r="G99" i="2"/>
  <c r="L104" i="4"/>
  <c r="M120" i="7"/>
  <c r="L99" i="2"/>
  <c r="H104" i="4"/>
  <c r="I97" i="2"/>
  <c r="L108" i="6"/>
  <c r="Q135" i="8"/>
  <c r="K103" i="6"/>
  <c r="L136" i="8"/>
  <c r="P97" i="2" l="1"/>
  <c r="P98" i="2"/>
  <c r="M104" i="6"/>
  <c r="K106" i="6"/>
  <c r="O93" i="2"/>
  <c r="N94" i="2" s="1"/>
  <c r="O98" i="6"/>
  <c r="N99" i="6" s="1"/>
  <c r="G137" i="8"/>
  <c r="H121" i="7"/>
  <c r="K98" i="2"/>
  <c r="J98" i="2"/>
  <c r="G109" i="6"/>
  <c r="I104" i="4"/>
  <c r="G105" i="4"/>
  <c r="G100" i="2"/>
  <c r="M95" i="2"/>
  <c r="M96" i="2" s="1"/>
  <c r="Q136" i="8"/>
  <c r="L137" i="8"/>
  <c r="L100" i="2"/>
  <c r="L109" i="6"/>
  <c r="M121" i="7"/>
  <c r="K97" i="2"/>
  <c r="H100" i="2"/>
  <c r="K105" i="6"/>
  <c r="I103" i="4"/>
  <c r="L105" i="4"/>
  <c r="P103" i="4" l="1"/>
  <c r="M104" i="4"/>
  <c r="P104" i="4"/>
  <c r="O99" i="6"/>
  <c r="N100" i="6" s="1"/>
  <c r="O94" i="2"/>
  <c r="N95" i="2" s="1"/>
  <c r="H122" i="7"/>
  <c r="I100" i="2"/>
  <c r="G110" i="6"/>
  <c r="M105" i="6"/>
  <c r="M106" i="6" s="1"/>
  <c r="K102" i="4"/>
  <c r="K101" i="4"/>
  <c r="G106" i="4"/>
  <c r="J104" i="4"/>
  <c r="G101" i="2"/>
  <c r="Q137" i="8"/>
  <c r="H106" i="4"/>
  <c r="H110" i="6"/>
  <c r="L110" i="6"/>
  <c r="L106" i="4"/>
  <c r="L101" i="2"/>
  <c r="I99" i="2"/>
  <c r="M122" i="7"/>
  <c r="P99" i="2" l="1"/>
  <c r="P100" i="2"/>
  <c r="I110" i="6"/>
  <c r="O100" i="6"/>
  <c r="N101" i="6" s="1"/>
  <c r="O95" i="2"/>
  <c r="N96" i="2" s="1"/>
  <c r="H123" i="7"/>
  <c r="K100" i="2"/>
  <c r="G111" i="6"/>
  <c r="I106" i="4"/>
  <c r="M97" i="2"/>
  <c r="M98" i="2" s="1"/>
  <c r="G107" i="4"/>
  <c r="G102" i="2"/>
  <c r="J100" i="2"/>
  <c r="H102" i="2"/>
  <c r="I105" i="4"/>
  <c r="I107" i="6"/>
  <c r="K99" i="2"/>
  <c r="L111" i="6"/>
  <c r="M123" i="7"/>
  <c r="I109" i="6"/>
  <c r="I108" i="6"/>
  <c r="L102" i="2"/>
  <c r="L107" i="4"/>
  <c r="P109" i="6" l="1"/>
  <c r="P107" i="6"/>
  <c r="P108" i="6"/>
  <c r="P105" i="4"/>
  <c r="J110" i="6"/>
  <c r="P110" i="6"/>
  <c r="M106" i="4"/>
  <c r="P106" i="4"/>
  <c r="O101" i="6"/>
  <c r="N102" i="6" s="1"/>
  <c r="O96" i="2"/>
  <c r="N97" i="2" s="1"/>
  <c r="H124" i="7"/>
  <c r="I102" i="2"/>
  <c r="G112" i="6"/>
  <c r="J106" i="4"/>
  <c r="K104" i="4"/>
  <c r="K103" i="4"/>
  <c r="G108" i="4"/>
  <c r="G103" i="2"/>
  <c r="L112" i="6"/>
  <c r="L108" i="4"/>
  <c r="M124" i="7"/>
  <c r="I101" i="2"/>
  <c r="H108" i="4"/>
  <c r="L103" i="2"/>
  <c r="P101" i="2" l="1"/>
  <c r="P102" i="2"/>
  <c r="M107" i="6"/>
  <c r="O102" i="6"/>
  <c r="N103" i="6" s="1"/>
  <c r="O97" i="2"/>
  <c r="N98" i="2" s="1"/>
  <c r="H125" i="7"/>
  <c r="K102" i="2"/>
  <c r="J102" i="2"/>
  <c r="G113" i="6"/>
  <c r="I108" i="4"/>
  <c r="G109" i="4"/>
  <c r="G104" i="2"/>
  <c r="M99" i="2"/>
  <c r="M100" i="2" s="1"/>
  <c r="L109" i="4"/>
  <c r="I107" i="4"/>
  <c r="H104" i="2"/>
  <c r="K101" i="2"/>
  <c r="L104" i="2"/>
  <c r="M125" i="7"/>
  <c r="L113" i="6"/>
  <c r="P107" i="4" l="1"/>
  <c r="M108" i="4"/>
  <c r="P108" i="4"/>
  <c r="M108" i="6"/>
  <c r="M109" i="6" s="1"/>
  <c r="M110" i="6" s="1"/>
  <c r="K108" i="6"/>
  <c r="K110" i="6"/>
  <c r="O103" i="6"/>
  <c r="N104" i="6" s="1"/>
  <c r="O98" i="2"/>
  <c r="N99" i="2" s="1"/>
  <c r="H126" i="7"/>
  <c r="I104" i="2"/>
  <c r="G114" i="6"/>
  <c r="K106" i="4"/>
  <c r="K105" i="4"/>
  <c r="J108" i="4"/>
  <c r="G110" i="4"/>
  <c r="G105" i="2"/>
  <c r="H114" i="6"/>
  <c r="K109" i="6"/>
  <c r="L114" i="6"/>
  <c r="M126" i="7"/>
  <c r="L105" i="2"/>
  <c r="I103" i="2"/>
  <c r="K107" i="6"/>
  <c r="H110" i="4"/>
  <c r="L110" i="4"/>
  <c r="P103" i="2" l="1"/>
  <c r="P104" i="2"/>
  <c r="I114" i="6"/>
  <c r="O104" i="6"/>
  <c r="N105" i="6" s="1"/>
  <c r="O99" i="2"/>
  <c r="N100" i="2" s="1"/>
  <c r="H127" i="7"/>
  <c r="K104" i="2"/>
  <c r="G115" i="6"/>
  <c r="I110" i="4"/>
  <c r="G111" i="4"/>
  <c r="G106" i="2"/>
  <c r="J104" i="2"/>
  <c r="M101" i="2"/>
  <c r="M102" i="2" s="1"/>
  <c r="L115" i="6"/>
  <c r="H106" i="2"/>
  <c r="I109" i="4"/>
  <c r="M127" i="7"/>
  <c r="K103" i="2"/>
  <c r="I111" i="6"/>
  <c r="L111" i="4"/>
  <c r="L106" i="2"/>
  <c r="I112" i="6"/>
  <c r="I113" i="6"/>
  <c r="P113" i="6" l="1"/>
  <c r="P111" i="6"/>
  <c r="P112" i="6"/>
  <c r="P109" i="4"/>
  <c r="J114" i="6"/>
  <c r="P114" i="6"/>
  <c r="M110" i="4"/>
  <c r="P110" i="4"/>
  <c r="O105" i="6"/>
  <c r="N106" i="6" s="1"/>
  <c r="O100" i="2"/>
  <c r="N101" i="2" s="1"/>
  <c r="H128" i="7"/>
  <c r="I106" i="2"/>
  <c r="G116" i="6"/>
  <c r="K108" i="4"/>
  <c r="K107" i="4"/>
  <c r="G112" i="4"/>
  <c r="J110" i="4"/>
  <c r="G107" i="2"/>
  <c r="M128" i="7"/>
  <c r="I105" i="2"/>
  <c r="H112" i="4"/>
  <c r="L112" i="4"/>
  <c r="L116" i="6"/>
  <c r="L107" i="2"/>
  <c r="P105" i="2" l="1"/>
  <c r="P106" i="2"/>
  <c r="M111" i="6"/>
  <c r="O106" i="6"/>
  <c r="N107" i="6" s="1"/>
  <c r="O101" i="2"/>
  <c r="N102" i="2" s="1"/>
  <c r="H129" i="7"/>
  <c r="K106" i="2"/>
  <c r="G117" i="6"/>
  <c r="J106" i="2"/>
  <c r="I112" i="4"/>
  <c r="G113" i="4"/>
  <c r="G108" i="2"/>
  <c r="M103" i="2"/>
  <c r="M104" i="2" s="1"/>
  <c r="I111" i="4"/>
  <c r="H108" i="2"/>
  <c r="M129" i="7"/>
  <c r="L113" i="4"/>
  <c r="L108" i="2"/>
  <c r="K105" i="2"/>
  <c r="L117" i="6"/>
  <c r="P111" i="4" l="1"/>
  <c r="M112" i="4"/>
  <c r="P112" i="4"/>
  <c r="M112" i="6"/>
  <c r="M113" i="6" s="1"/>
  <c r="M114" i="6" s="1"/>
  <c r="K112" i="6"/>
  <c r="K114" i="6"/>
  <c r="O107" i="6"/>
  <c r="N108" i="6" s="1"/>
  <c r="O102" i="2"/>
  <c r="N103" i="2" s="1"/>
  <c r="H130" i="7"/>
  <c r="I108" i="2"/>
  <c r="G118" i="6"/>
  <c r="K110" i="4"/>
  <c r="K109" i="4"/>
  <c r="G114" i="4"/>
  <c r="J112" i="4"/>
  <c r="G109" i="2"/>
  <c r="L118" i="6"/>
  <c r="K111" i="6"/>
  <c r="I107" i="2"/>
  <c r="H114" i="4"/>
  <c r="L114" i="4"/>
  <c r="K113" i="6"/>
  <c r="H118" i="6"/>
  <c r="M130" i="7"/>
  <c r="L109" i="2"/>
  <c r="P107" i="2" l="1"/>
  <c r="P108" i="2"/>
  <c r="I118" i="6"/>
  <c r="O108" i="6"/>
  <c r="N109" i="6" s="1"/>
  <c r="O103" i="2"/>
  <c r="N104" i="2" s="1"/>
  <c r="H131" i="7"/>
  <c r="K108" i="2"/>
  <c r="G119" i="6"/>
  <c r="I114" i="4"/>
  <c r="G115" i="4"/>
  <c r="M105" i="2"/>
  <c r="M106" i="2" s="1"/>
  <c r="J108" i="2"/>
  <c r="G110" i="2"/>
  <c r="M131" i="7"/>
  <c r="I117" i="6"/>
  <c r="I115" i="6"/>
  <c r="H110" i="2"/>
  <c r="L110" i="2"/>
  <c r="L119" i="6"/>
  <c r="K107" i="2"/>
  <c r="I116" i="6"/>
  <c r="I113" i="4"/>
  <c r="L115" i="4"/>
  <c r="P113" i="4" l="1"/>
  <c r="P115" i="6"/>
  <c r="P116" i="6"/>
  <c r="P117" i="6"/>
  <c r="M114" i="4"/>
  <c r="P114" i="4"/>
  <c r="P118" i="6"/>
  <c r="J118" i="6"/>
  <c r="M115" i="6"/>
  <c r="K116" i="6"/>
  <c r="O109" i="6"/>
  <c r="N110" i="6" s="1"/>
  <c r="O104" i="2"/>
  <c r="N105" i="2" s="1"/>
  <c r="H132" i="7"/>
  <c r="I110" i="2"/>
  <c r="G120" i="6"/>
  <c r="J114" i="4"/>
  <c r="K112" i="4"/>
  <c r="K111" i="4"/>
  <c r="G116" i="4"/>
  <c r="G111" i="2"/>
  <c r="M132" i="7"/>
  <c r="L116" i="4"/>
  <c r="K115" i="6"/>
  <c r="H116" i="4"/>
  <c r="I109" i="2"/>
  <c r="L120" i="6"/>
  <c r="L111" i="2"/>
  <c r="P109" i="2" l="1"/>
  <c r="P110" i="2"/>
  <c r="M116" i="6"/>
  <c r="K118" i="6"/>
  <c r="J110" i="2"/>
  <c r="O110" i="6"/>
  <c r="N111" i="6" s="1"/>
  <c r="O105" i="2"/>
  <c r="N106" i="2" s="1"/>
  <c r="H133" i="7"/>
  <c r="K110" i="2"/>
  <c r="G121" i="6"/>
  <c r="I116" i="4"/>
  <c r="G117" i="4"/>
  <c r="G112" i="2"/>
  <c r="M107" i="2"/>
  <c r="M108" i="2" s="1"/>
  <c r="H112" i="2"/>
  <c r="K117" i="6"/>
  <c r="L112" i="2"/>
  <c r="L117" i="4"/>
  <c r="I115" i="4"/>
  <c r="K109" i="2"/>
  <c r="L121" i="6"/>
  <c r="M133" i="7"/>
  <c r="P115" i="4" l="1"/>
  <c r="M116" i="4"/>
  <c r="P116" i="4"/>
  <c r="O111" i="6"/>
  <c r="N112" i="6" s="1"/>
  <c r="O106" i="2"/>
  <c r="N107" i="2" s="1"/>
  <c r="H134" i="7"/>
  <c r="I112" i="2"/>
  <c r="G122" i="6"/>
  <c r="M117" i="6"/>
  <c r="M118" i="6" s="1"/>
  <c r="K114" i="4"/>
  <c r="K113" i="4"/>
  <c r="J116" i="4"/>
  <c r="G118" i="4"/>
  <c r="M109" i="2"/>
  <c r="M110" i="2" s="1"/>
  <c r="G113" i="2"/>
  <c r="H122" i="6"/>
  <c r="L122" i="6"/>
  <c r="L118" i="4"/>
  <c r="H118" i="4"/>
  <c r="L113" i="2"/>
  <c r="I111" i="2"/>
  <c r="M134" i="7"/>
  <c r="P111" i="2" l="1"/>
  <c r="P112" i="2"/>
  <c r="I122" i="6"/>
  <c r="O112" i="6"/>
  <c r="N113" i="6" s="1"/>
  <c r="O107" i="2"/>
  <c r="N108" i="2" s="1"/>
  <c r="H135" i="7"/>
  <c r="K112" i="2"/>
  <c r="G123" i="6"/>
  <c r="I118" i="4"/>
  <c r="G119" i="4"/>
  <c r="J112" i="2"/>
  <c r="G114" i="2"/>
  <c r="K111" i="2"/>
  <c r="I119" i="6"/>
  <c r="I120" i="6"/>
  <c r="I117" i="4"/>
  <c r="L123" i="6"/>
  <c r="M135" i="7"/>
  <c r="H114" i="2"/>
  <c r="I121" i="6"/>
  <c r="L114" i="2"/>
  <c r="L119" i="4"/>
  <c r="P120" i="6" l="1"/>
  <c r="P121" i="6"/>
  <c r="P119" i="6"/>
  <c r="P117" i="4"/>
  <c r="P122" i="6"/>
  <c r="P118" i="4"/>
  <c r="J122" i="6"/>
  <c r="K120" i="6"/>
  <c r="M119" i="6"/>
  <c r="J118" i="4"/>
  <c r="M118" i="4"/>
  <c r="O113" i="6"/>
  <c r="N114" i="6" s="1"/>
  <c r="O108" i="2"/>
  <c r="N109" i="2" s="1"/>
  <c r="H136" i="7"/>
  <c r="I114" i="2"/>
  <c r="G124" i="6"/>
  <c r="K116" i="4"/>
  <c r="K115" i="4"/>
  <c r="G120" i="4"/>
  <c r="G115" i="2"/>
  <c r="M136" i="7"/>
  <c r="L124" i="6"/>
  <c r="K119" i="6"/>
  <c r="I113" i="2"/>
  <c r="L115" i="2"/>
  <c r="L120" i="4"/>
  <c r="H120" i="4"/>
  <c r="P113" i="2" l="1"/>
  <c r="P114" i="2"/>
  <c r="K122" i="6"/>
  <c r="M120" i="6"/>
  <c r="J114" i="2"/>
  <c r="O114" i="6"/>
  <c r="N115" i="6" s="1"/>
  <c r="O109" i="2"/>
  <c r="N110" i="2" s="1"/>
  <c r="H137" i="7"/>
  <c r="K114" i="2"/>
  <c r="G125" i="6"/>
  <c r="I120" i="4"/>
  <c r="G121" i="4"/>
  <c r="G116" i="2"/>
  <c r="M111" i="2"/>
  <c r="M112" i="2" s="1"/>
  <c r="M137" i="7"/>
  <c r="I119" i="4"/>
  <c r="L125" i="6"/>
  <c r="L116" i="2"/>
  <c r="H116" i="2"/>
  <c r="K113" i="2"/>
  <c r="L121" i="4"/>
  <c r="K121" i="6"/>
  <c r="P119" i="4" l="1"/>
  <c r="M120" i="4"/>
  <c r="P120" i="4"/>
  <c r="O115" i="6"/>
  <c r="N116" i="6" s="1"/>
  <c r="O110" i="2"/>
  <c r="N111" i="2" s="1"/>
  <c r="I116" i="2"/>
  <c r="G126" i="6"/>
  <c r="M121" i="6"/>
  <c r="M122" i="6" s="1"/>
  <c r="K118" i="4"/>
  <c r="K117" i="4"/>
  <c r="G122" i="4"/>
  <c r="J120" i="4"/>
  <c r="M113" i="2"/>
  <c r="M114" i="2" s="1"/>
  <c r="G117" i="2"/>
  <c r="H126" i="6"/>
  <c r="L122" i="4"/>
  <c r="H122" i="4"/>
  <c r="I115" i="2"/>
  <c r="L117" i="2"/>
  <c r="L126" i="6"/>
  <c r="P115" i="2" l="1"/>
  <c r="P116" i="2"/>
  <c r="I126" i="6"/>
  <c r="O116" i="6"/>
  <c r="N117" i="6" s="1"/>
  <c r="O111" i="2"/>
  <c r="N112" i="2" s="1"/>
  <c r="K116" i="2"/>
  <c r="G127" i="6"/>
  <c r="I122" i="4"/>
  <c r="G123" i="4"/>
  <c r="G118" i="2"/>
  <c r="J116" i="2"/>
  <c r="L127" i="6"/>
  <c r="I121" i="4"/>
  <c r="L123" i="4"/>
  <c r="K115" i="2"/>
  <c r="I124" i="6"/>
  <c r="I123" i="6"/>
  <c r="I125" i="6"/>
  <c r="L118" i="2"/>
  <c r="H118" i="2"/>
  <c r="P125" i="6" l="1"/>
  <c r="P123" i="6"/>
  <c r="P124" i="6"/>
  <c r="P121" i="4"/>
  <c r="P126" i="6"/>
  <c r="P122" i="4"/>
  <c r="J126" i="6"/>
  <c r="K124" i="6"/>
  <c r="M123" i="6"/>
  <c r="J122" i="4"/>
  <c r="M122" i="4"/>
  <c r="O117" i="6"/>
  <c r="N118" i="6" s="1"/>
  <c r="O112" i="2"/>
  <c r="N113" i="2" s="1"/>
  <c r="I118" i="2"/>
  <c r="G128" i="6"/>
  <c r="K120" i="4"/>
  <c r="K119" i="4"/>
  <c r="G124" i="4"/>
  <c r="G119" i="2"/>
  <c r="I117" i="2"/>
  <c r="L128" i="6"/>
  <c r="H124" i="4"/>
  <c r="L124" i="4"/>
  <c r="L119" i="2"/>
  <c r="K123" i="6"/>
  <c r="P117" i="2" l="1"/>
  <c r="P118" i="2"/>
  <c r="K126" i="6"/>
  <c r="M124" i="6"/>
  <c r="O118" i="6"/>
  <c r="N119" i="6" s="1"/>
  <c r="O113" i="2"/>
  <c r="N114" i="2" s="1"/>
  <c r="K118" i="2"/>
  <c r="G129" i="6"/>
  <c r="J118" i="2"/>
  <c r="I124" i="4"/>
  <c r="G125" i="4"/>
  <c r="G120" i="2"/>
  <c r="M115" i="2"/>
  <c r="M116" i="2" s="1"/>
  <c r="K117" i="2"/>
  <c r="I123" i="4"/>
  <c r="H120" i="2"/>
  <c r="K125" i="6"/>
  <c r="L129" i="6"/>
  <c r="L125" i="4"/>
  <c r="L120" i="2"/>
  <c r="P123" i="4" l="1"/>
  <c r="M124" i="4"/>
  <c r="P124" i="4"/>
  <c r="O119" i="6"/>
  <c r="N120" i="6" s="1"/>
  <c r="O114" i="2"/>
  <c r="N115" i="2" s="1"/>
  <c r="I120" i="2"/>
  <c r="G130" i="6"/>
  <c r="M125" i="6"/>
  <c r="M126" i="6" s="1"/>
  <c r="K122" i="4"/>
  <c r="K121" i="4"/>
  <c r="G126" i="4"/>
  <c r="J124" i="4"/>
  <c r="G121" i="2"/>
  <c r="I119" i="2"/>
  <c r="L130" i="6"/>
  <c r="H126" i="4"/>
  <c r="H130" i="6"/>
  <c r="L126" i="4"/>
  <c r="O126" i="8"/>
  <c r="L121" i="2"/>
  <c r="P119" i="2" l="1"/>
  <c r="P120" i="2"/>
  <c r="I130" i="6"/>
  <c r="O120" i="6"/>
  <c r="N121" i="6" s="1"/>
  <c r="O115" i="2"/>
  <c r="N116" i="2" s="1"/>
  <c r="K120" i="2"/>
  <c r="I126" i="4"/>
  <c r="G127" i="4"/>
  <c r="M117" i="2"/>
  <c r="M118" i="2" s="1"/>
  <c r="J120" i="2"/>
  <c r="G122" i="2"/>
  <c r="K119" i="2"/>
  <c r="W44" i="6"/>
  <c r="W49" i="6"/>
  <c r="L122" i="2"/>
  <c r="W19" i="6"/>
  <c r="W22" i="6"/>
  <c r="W41" i="6"/>
  <c r="W13" i="6"/>
  <c r="W34" i="6"/>
  <c r="W24" i="6"/>
  <c r="W50" i="6"/>
  <c r="W26" i="6"/>
  <c r="W14" i="6"/>
  <c r="W35" i="6"/>
  <c r="W18" i="6"/>
  <c r="W16" i="6"/>
  <c r="W11" i="6"/>
  <c r="W23" i="6"/>
  <c r="W33" i="6"/>
  <c r="W15" i="6"/>
  <c r="W37" i="6"/>
  <c r="I125" i="4"/>
  <c r="W47" i="6"/>
  <c r="I128" i="6"/>
  <c r="W48" i="6"/>
  <c r="W25" i="6"/>
  <c r="W20" i="6"/>
  <c r="W38" i="6"/>
  <c r="W42" i="6"/>
  <c r="Y11" i="6"/>
  <c r="W21" i="6"/>
  <c r="L127" i="4"/>
  <c r="I129" i="6"/>
  <c r="W28" i="6"/>
  <c r="W46" i="6"/>
  <c r="I127" i="6"/>
  <c r="W29" i="6"/>
  <c r="H122" i="2"/>
  <c r="W45" i="6"/>
  <c r="W39" i="6"/>
  <c r="W36" i="6"/>
  <c r="W40" i="6"/>
  <c r="W12" i="6"/>
  <c r="O127" i="8"/>
  <c r="W32" i="6"/>
  <c r="W30" i="6"/>
  <c r="W17" i="6"/>
  <c r="W27" i="6"/>
  <c r="W31" i="6"/>
  <c r="W43" i="6"/>
  <c r="P125" i="4" l="1"/>
  <c r="P129" i="6"/>
  <c r="P127" i="6"/>
  <c r="P128" i="6"/>
  <c r="M126" i="4"/>
  <c r="P126" i="4"/>
  <c r="P130" i="6"/>
  <c r="S18" i="6"/>
  <c r="J130" i="6"/>
  <c r="O121" i="6"/>
  <c r="N122" i="6" s="1"/>
  <c r="O116" i="2"/>
  <c r="N117" i="2" s="1"/>
  <c r="I122" i="2"/>
  <c r="J126" i="4"/>
  <c r="K124" i="4"/>
  <c r="K123" i="4"/>
  <c r="G128" i="4"/>
  <c r="G123" i="2"/>
  <c r="I121" i="2"/>
  <c r="O128" i="8"/>
  <c r="L128" i="4"/>
  <c r="L123" i="2"/>
  <c r="H128" i="4"/>
  <c r="P121" i="2" l="1"/>
  <c r="P122" i="2"/>
  <c r="M127" i="6"/>
  <c r="O122" i="6"/>
  <c r="N123" i="6" s="1"/>
  <c r="J122" i="2"/>
  <c r="O117" i="2"/>
  <c r="N118" i="2" s="1"/>
  <c r="K122" i="2"/>
  <c r="I128" i="4"/>
  <c r="G129" i="4"/>
  <c r="G124" i="2"/>
  <c r="M119" i="2"/>
  <c r="M120" i="2" s="1"/>
  <c r="H124" i="2"/>
  <c r="O129" i="8"/>
  <c r="L124" i="2"/>
  <c r="L129" i="4"/>
  <c r="I127" i="4"/>
  <c r="K121" i="2"/>
  <c r="P127" i="4" l="1"/>
  <c r="M128" i="4"/>
  <c r="P128" i="4"/>
  <c r="M128" i="6"/>
  <c r="M129" i="6" s="1"/>
  <c r="M130" i="6" s="1"/>
  <c r="K128" i="6"/>
  <c r="K130" i="6"/>
  <c r="O123" i="6"/>
  <c r="N124" i="6" s="1"/>
  <c r="O118" i="2"/>
  <c r="N119" i="2" s="1"/>
  <c r="I124" i="2"/>
  <c r="K126" i="4"/>
  <c r="K125" i="4"/>
  <c r="J128" i="4"/>
  <c r="G130" i="4"/>
  <c r="M121" i="2"/>
  <c r="M122" i="2" s="1"/>
  <c r="G125" i="2"/>
  <c r="L130" i="4"/>
  <c r="O130" i="8"/>
  <c r="L125" i="2"/>
  <c r="K127" i="6"/>
  <c r="K129" i="6"/>
  <c r="I123" i="2"/>
  <c r="P132" i="7"/>
  <c r="P131" i="7"/>
  <c r="H130" i="4"/>
  <c r="P123" i="2" l="1"/>
  <c r="P124" i="2"/>
  <c r="O124" i="6"/>
  <c r="N125" i="6" s="1"/>
  <c r="O119" i="2"/>
  <c r="N120" i="2" s="1"/>
  <c r="K124" i="2"/>
  <c r="I130" i="4"/>
  <c r="J124" i="2"/>
  <c r="G126" i="2"/>
  <c r="W27" i="4"/>
  <c r="L126" i="2"/>
  <c r="W30" i="4"/>
  <c r="I129" i="4"/>
  <c r="K123" i="2"/>
  <c r="W12" i="4"/>
  <c r="W25" i="4"/>
  <c r="W15" i="4"/>
  <c r="H126" i="2"/>
  <c r="W24" i="4"/>
  <c r="W26" i="4"/>
  <c r="W28" i="4"/>
  <c r="W14" i="4"/>
  <c r="W16" i="4"/>
  <c r="O131" i="8"/>
  <c r="W21" i="4"/>
  <c r="W23" i="4"/>
  <c r="W22" i="4"/>
  <c r="W11" i="4"/>
  <c r="W20" i="4"/>
  <c r="W17" i="4"/>
  <c r="W18" i="4"/>
  <c r="W19" i="4"/>
  <c r="W29" i="4"/>
  <c r="W13" i="4"/>
  <c r="P129" i="4" l="1"/>
  <c r="P130" i="4"/>
  <c r="S18" i="4"/>
  <c r="J130" i="4"/>
  <c r="M130" i="4"/>
  <c r="O125" i="6"/>
  <c r="N126" i="6" s="1"/>
  <c r="O120" i="2"/>
  <c r="N121" i="2" s="1"/>
  <c r="I126" i="2"/>
  <c r="K128" i="4"/>
  <c r="K127" i="4"/>
  <c r="G127" i="2"/>
  <c r="O132" i="8"/>
  <c r="L127" i="2"/>
  <c r="I125" i="2"/>
  <c r="P133" i="7"/>
  <c r="P134" i="7"/>
  <c r="P125" i="2" l="1"/>
  <c r="P126" i="2"/>
  <c r="O126" i="6"/>
  <c r="N127" i="6" s="1"/>
  <c r="O121" i="2"/>
  <c r="N122" i="2" s="1"/>
  <c r="K126" i="2"/>
  <c r="J126" i="2"/>
  <c r="G128" i="2"/>
  <c r="M123" i="2"/>
  <c r="M124" i="2" s="1"/>
  <c r="O133" i="8"/>
  <c r="K125" i="2"/>
  <c r="L128" i="2"/>
  <c r="H128" i="2"/>
  <c r="O127" i="6" l="1"/>
  <c r="N128" i="6" s="1"/>
  <c r="O122" i="2"/>
  <c r="N123" i="2" s="1"/>
  <c r="I128" i="2"/>
  <c r="K130" i="4"/>
  <c r="K129" i="4"/>
  <c r="G129" i="2"/>
  <c r="P96" i="7"/>
  <c r="P26" i="7"/>
  <c r="P75" i="7"/>
  <c r="P124" i="7"/>
  <c r="P21" i="7"/>
  <c r="P117" i="7"/>
  <c r="P101" i="7"/>
  <c r="P113" i="7"/>
  <c r="P44" i="7"/>
  <c r="P98" i="7"/>
  <c r="P30" i="7"/>
  <c r="P116" i="7"/>
  <c r="P110" i="7"/>
  <c r="P93" i="7"/>
  <c r="P119" i="7"/>
  <c r="P49" i="7"/>
  <c r="P104" i="7"/>
  <c r="P35" i="7"/>
  <c r="P70" i="7"/>
  <c r="P55" i="7"/>
  <c r="P31" i="7"/>
  <c r="P25" i="7"/>
  <c r="P67" i="7"/>
  <c r="P121" i="7"/>
  <c r="P54" i="7"/>
  <c r="P92" i="7"/>
  <c r="P63" i="7"/>
  <c r="P56" i="7"/>
  <c r="P33" i="7"/>
  <c r="P74" i="7"/>
  <c r="P128" i="7"/>
  <c r="P60" i="7"/>
  <c r="P107" i="7"/>
  <c r="P108" i="7"/>
  <c r="P80" i="7"/>
  <c r="P65" i="7"/>
  <c r="P97" i="7"/>
  <c r="P27" i="7"/>
  <c r="P78" i="7"/>
  <c r="O134" i="8"/>
  <c r="P79" i="7"/>
  <c r="P71" i="7"/>
  <c r="P50" i="7"/>
  <c r="P103" i="7"/>
  <c r="P34" i="7"/>
  <c r="P87" i="7"/>
  <c r="P19" i="7"/>
  <c r="P37" i="7"/>
  <c r="P24" i="7"/>
  <c r="P118" i="7"/>
  <c r="P122" i="7"/>
  <c r="P52" i="7"/>
  <c r="P106" i="7"/>
  <c r="P38" i="7"/>
  <c r="P46" i="7"/>
  <c r="P32" i="7"/>
  <c r="P23" i="7"/>
  <c r="Z23" i="7"/>
  <c r="P127" i="7"/>
  <c r="P57" i="7"/>
  <c r="P111" i="7"/>
  <c r="P43" i="7"/>
  <c r="P77" i="7"/>
  <c r="P72" i="7"/>
  <c r="P48" i="7"/>
  <c r="P42" i="7"/>
  <c r="P76" i="7"/>
  <c r="P129" i="7"/>
  <c r="P61" i="7"/>
  <c r="P62" i="7"/>
  <c r="P47" i="7"/>
  <c r="P40" i="7"/>
  <c r="P136" i="7"/>
  <c r="P88" i="7"/>
  <c r="P135" i="7"/>
  <c r="P68" i="7"/>
  <c r="P115" i="7"/>
  <c r="P123" i="7"/>
  <c r="P102" i="7"/>
  <c r="P86" i="7"/>
  <c r="P105" i="7"/>
  <c r="P36" i="7"/>
  <c r="P89" i="7"/>
  <c r="P22" i="7"/>
  <c r="L129" i="2"/>
  <c r="P126" i="7"/>
  <c r="P109" i="7"/>
  <c r="Z15" i="7"/>
  <c r="P112" i="7"/>
  <c r="P41" i="7"/>
  <c r="P95" i="7"/>
  <c r="P28" i="7"/>
  <c r="P53" i="7"/>
  <c r="P39" i="7"/>
  <c r="P137" i="7"/>
  <c r="P130" i="7"/>
  <c r="P59" i="7"/>
  <c r="P114" i="7"/>
  <c r="P45" i="7"/>
  <c r="P29" i="7"/>
  <c r="Z35" i="7"/>
  <c r="P125" i="7"/>
  <c r="I127" i="2"/>
  <c r="P66" i="7"/>
  <c r="P120" i="7"/>
  <c r="P51" i="7"/>
  <c r="P100" i="7"/>
  <c r="P91" i="7"/>
  <c r="P64" i="7"/>
  <c r="P58" i="7"/>
  <c r="P90" i="7"/>
  <c r="P20" i="7"/>
  <c r="P69" i="7"/>
  <c r="Z31" i="7"/>
  <c r="P99" i="7"/>
  <c r="P94" i="7"/>
  <c r="P73" i="7"/>
  <c r="Z43" i="7"/>
  <c r="P127" i="2" l="1"/>
  <c r="P128" i="2"/>
  <c r="O128" i="6"/>
  <c r="N129" i="6" s="1"/>
  <c r="O123" i="2"/>
  <c r="N124" i="2" s="1"/>
  <c r="K128" i="2"/>
  <c r="M125" i="2"/>
  <c r="M126" i="2" s="1"/>
  <c r="J128" i="2"/>
  <c r="G130" i="2"/>
  <c r="Z25" i="7"/>
  <c r="Z14" i="7"/>
  <c r="Z50" i="7"/>
  <c r="Z34" i="7"/>
  <c r="Z42" i="7"/>
  <c r="Z47" i="7"/>
  <c r="Z28" i="7"/>
  <c r="Z20" i="7"/>
  <c r="Z18" i="7"/>
  <c r="Z46" i="7"/>
  <c r="Z16" i="7"/>
  <c r="Z19" i="7"/>
  <c r="L130" i="2"/>
  <c r="Z48" i="7"/>
  <c r="Z40" i="7"/>
  <c r="Z29" i="7"/>
  <c r="Z49" i="7"/>
  <c r="Z30" i="7"/>
  <c r="Z41" i="7"/>
  <c r="Z37" i="7"/>
  <c r="Z26" i="7"/>
  <c r="Z36" i="7"/>
  <c r="H133" i="8"/>
  <c r="Z17" i="7"/>
  <c r="Z21" i="7"/>
  <c r="Z12" i="7"/>
  <c r="Z32" i="7"/>
  <c r="K127" i="2"/>
  <c r="Z13" i="7"/>
  <c r="Z27" i="7"/>
  <c r="Z44" i="7"/>
  <c r="Z38" i="7"/>
  <c r="H130" i="2"/>
  <c r="Z45" i="7"/>
  <c r="O135" i="8"/>
  <c r="Z39" i="7"/>
  <c r="Z33" i="7"/>
  <c r="Z22" i="7"/>
  <c r="J130" i="7"/>
  <c r="I134" i="7"/>
  <c r="I130" i="8"/>
  <c r="Z24" i="7"/>
  <c r="I133" i="7"/>
  <c r="I130" i="2" l="1"/>
  <c r="P130" i="2" s="1"/>
  <c r="O129" i="6"/>
  <c r="N130" i="6" s="1"/>
  <c r="O124" i="2"/>
  <c r="N125" i="2" s="1"/>
  <c r="W44" i="2"/>
  <c r="W35" i="2"/>
  <c r="W18" i="2"/>
  <c r="X49" i="6"/>
  <c r="X43" i="6"/>
  <c r="X36" i="6"/>
  <c r="W37" i="2"/>
  <c r="W21" i="2"/>
  <c r="X39" i="6"/>
  <c r="X29" i="6"/>
  <c r="I125" i="7"/>
  <c r="H93" i="8"/>
  <c r="H61" i="8"/>
  <c r="H32" i="8"/>
  <c r="O94" i="8"/>
  <c r="O30" i="8"/>
  <c r="I109" i="7"/>
  <c r="H78" i="8"/>
  <c r="H46" i="8"/>
  <c r="H12" i="8"/>
  <c r="O71" i="8"/>
  <c r="H131" i="8"/>
  <c r="I91" i="7"/>
  <c r="H20" i="8"/>
  <c r="O32" i="8"/>
  <c r="H80" i="8"/>
  <c r="O121" i="8"/>
  <c r="I132" i="7"/>
  <c r="H63" i="8"/>
  <c r="O98" i="8"/>
  <c r="H108" i="8"/>
  <c r="H45" i="8"/>
  <c r="O83" i="8"/>
  <c r="I121" i="7"/>
  <c r="H90" i="8"/>
  <c r="I58" i="7"/>
  <c r="H30" i="8"/>
  <c r="O108" i="8"/>
  <c r="O44" i="8"/>
  <c r="H121" i="8"/>
  <c r="I90" i="7"/>
  <c r="H57" i="8"/>
  <c r="H33" i="8"/>
  <c r="O109" i="8"/>
  <c r="O45" i="8"/>
  <c r="H64" i="8"/>
  <c r="O72" i="8"/>
  <c r="I99" i="7"/>
  <c r="I32" i="7"/>
  <c r="O33" i="8"/>
  <c r="I83" i="7"/>
  <c r="I17" i="7"/>
  <c r="I128" i="7"/>
  <c r="I63" i="7"/>
  <c r="O123" i="8"/>
  <c r="W46" i="2"/>
  <c r="W36" i="2"/>
  <c r="W22" i="2"/>
  <c r="X15" i="6"/>
  <c r="X14" i="6"/>
  <c r="X31" i="6"/>
  <c r="W45" i="2"/>
  <c r="W20" i="2"/>
  <c r="X19" i="6"/>
  <c r="X38" i="6"/>
  <c r="I129" i="7"/>
  <c r="I98" i="7"/>
  <c r="H66" i="8"/>
  <c r="I36" i="7"/>
  <c r="O102" i="8"/>
  <c r="O38" i="8"/>
  <c r="H114" i="8"/>
  <c r="H81" i="8"/>
  <c r="I48" i="7"/>
  <c r="I15" i="7"/>
  <c r="O79" i="8"/>
  <c r="H100" i="8"/>
  <c r="H27" i="8"/>
  <c r="O48" i="8"/>
  <c r="H87" i="8"/>
  <c r="I18" i="7"/>
  <c r="I71" i="7"/>
  <c r="O114" i="8"/>
  <c r="I115" i="7"/>
  <c r="I51" i="7"/>
  <c r="O99" i="8"/>
  <c r="I126" i="7"/>
  <c r="I94" i="7"/>
  <c r="I61" i="7"/>
  <c r="I31" i="7"/>
  <c r="O116" i="8"/>
  <c r="O52" i="8"/>
  <c r="H125" i="8"/>
  <c r="H94" i="8"/>
  <c r="I62" i="7"/>
  <c r="O117" i="8"/>
  <c r="I87" i="7"/>
  <c r="H56" i="8"/>
  <c r="H107" i="8"/>
  <c r="O58" i="8"/>
  <c r="I30" i="7"/>
  <c r="W42" i="2"/>
  <c r="W32" i="2"/>
  <c r="W15" i="2"/>
  <c r="X40" i="6"/>
  <c r="X18" i="6"/>
  <c r="X22" i="6"/>
  <c r="W31" i="2"/>
  <c r="W16" i="2"/>
  <c r="X16" i="6"/>
  <c r="X32" i="6"/>
  <c r="H118" i="8"/>
  <c r="H86" i="8"/>
  <c r="I55" i="7"/>
  <c r="H22" i="8"/>
  <c r="O78" i="8"/>
  <c r="O137" i="8"/>
  <c r="I101" i="7"/>
  <c r="H69" i="8"/>
  <c r="I40" i="7"/>
  <c r="O119" i="8"/>
  <c r="O55" i="8"/>
  <c r="I124" i="7"/>
  <c r="H76" i="8"/>
  <c r="O120" i="8"/>
  <c r="I127" i="7"/>
  <c r="I64" i="7"/>
  <c r="O89" i="8"/>
  <c r="H112" i="8"/>
  <c r="H51" i="8"/>
  <c r="O66" i="8"/>
  <c r="H92" i="8"/>
  <c r="I35" i="7"/>
  <c r="O51" i="8"/>
  <c r="I113" i="7"/>
  <c r="I81" i="7"/>
  <c r="I47" i="7"/>
  <c r="I23" i="7"/>
  <c r="O92" i="8"/>
  <c r="O28" i="8"/>
  <c r="I114" i="7"/>
  <c r="I82" i="7"/>
  <c r="H52" i="8"/>
  <c r="H26" i="8"/>
  <c r="O93" i="8"/>
  <c r="O29" i="8"/>
  <c r="I42" i="7"/>
  <c r="O40" i="8"/>
  <c r="H84" i="8"/>
  <c r="H18" i="8"/>
  <c r="H128" i="8"/>
  <c r="I68" i="7"/>
  <c r="O106" i="8"/>
  <c r="I111" i="7"/>
  <c r="H50" i="8"/>
  <c r="O91" i="8"/>
  <c r="W43" i="2"/>
  <c r="W34" i="2"/>
  <c r="W17" i="2"/>
  <c r="X41" i="6"/>
  <c r="X21" i="6"/>
  <c r="X37" i="6"/>
  <c r="W33" i="2"/>
  <c r="W19" i="2"/>
  <c r="X20" i="6"/>
  <c r="X44" i="6"/>
  <c r="H122" i="8"/>
  <c r="H89" i="8"/>
  <c r="H59" i="8"/>
  <c r="H29" i="8"/>
  <c r="O86" i="8"/>
  <c r="O22" i="8"/>
  <c r="H105" i="8"/>
  <c r="I73" i="7"/>
  <c r="H42" i="8"/>
  <c r="I131" i="8"/>
  <c r="O63" i="8"/>
  <c r="H127" i="8"/>
  <c r="I84" i="7"/>
  <c r="I11" i="7"/>
  <c r="I131" i="7"/>
  <c r="H72" i="8"/>
  <c r="O105" i="8"/>
  <c r="I120" i="7"/>
  <c r="I57" i="7"/>
  <c r="O82" i="8"/>
  <c r="I100" i="7"/>
  <c r="H41" i="8"/>
  <c r="O67" i="8"/>
  <c r="H117" i="8"/>
  <c r="I85" i="7"/>
  <c r="I50" i="7"/>
  <c r="I26" i="7"/>
  <c r="O100" i="8"/>
  <c r="O36" i="8"/>
  <c r="I118" i="7"/>
  <c r="I86" i="7"/>
  <c r="H55" i="8"/>
  <c r="I27" i="7"/>
  <c r="O101" i="8"/>
  <c r="O37" i="8"/>
  <c r="I72" i="7"/>
  <c r="O88" i="8"/>
  <c r="I107" i="7"/>
  <c r="H44" i="8"/>
  <c r="O49" i="8"/>
  <c r="I92" i="7"/>
  <c r="H23" i="8"/>
  <c r="O26" i="8"/>
  <c r="H71" i="8"/>
  <c r="I16" i="7"/>
  <c r="I24" i="7"/>
  <c r="O21" i="8"/>
  <c r="O56" i="8"/>
  <c r="I22" i="7"/>
  <c r="H75" i="8"/>
  <c r="H120" i="8"/>
  <c r="O107" i="8"/>
  <c r="W40" i="2"/>
  <c r="W29" i="2"/>
  <c r="X30" i="6"/>
  <c r="X45" i="6"/>
  <c r="X35" i="6"/>
  <c r="W50" i="2"/>
  <c r="W26" i="2"/>
  <c r="W12" i="2"/>
  <c r="X12" i="6"/>
  <c r="X33" i="6"/>
  <c r="H110" i="8"/>
  <c r="I78" i="7"/>
  <c r="I46" i="7"/>
  <c r="H11" i="8"/>
  <c r="O62" i="8"/>
  <c r="H126" i="8"/>
  <c r="I93" i="7"/>
  <c r="H62" i="8"/>
  <c r="H34" i="8"/>
  <c r="O103" i="8"/>
  <c r="O39" i="8"/>
  <c r="H115" i="8"/>
  <c r="I60" i="7"/>
  <c r="O96" i="8"/>
  <c r="I112" i="7"/>
  <c r="H48" i="8"/>
  <c r="O57" i="8"/>
  <c r="H96" i="8"/>
  <c r="I25" i="7"/>
  <c r="O34" i="8"/>
  <c r="I75" i="7"/>
  <c r="I20" i="7"/>
  <c r="O19" i="8"/>
  <c r="I106" i="7"/>
  <c r="H74" i="8"/>
  <c r="H40" i="8"/>
  <c r="I14" i="7"/>
  <c r="O76" i="8"/>
  <c r="O136" i="8"/>
  <c r="I105" i="7"/>
  <c r="H73" i="8"/>
  <c r="H47" i="8"/>
  <c r="I12" i="7"/>
  <c r="O77" i="8"/>
  <c r="I95" i="7"/>
  <c r="Y11" i="2"/>
  <c r="J131" i="7"/>
  <c r="H68" i="8"/>
  <c r="O97" i="8"/>
  <c r="H116" i="8"/>
  <c r="I56" i="7"/>
  <c r="O74" i="8"/>
  <c r="H95" i="8"/>
  <c r="I38" i="7"/>
  <c r="O59" i="8"/>
  <c r="W41" i="2"/>
  <c r="W30" i="2"/>
  <c r="W11" i="2"/>
  <c r="X24" i="6"/>
  <c r="X25" i="6"/>
  <c r="I129" i="2"/>
  <c r="W28" i="2"/>
  <c r="W14" i="2"/>
  <c r="X27" i="6"/>
  <c r="X26" i="6"/>
  <c r="H113" i="8"/>
  <c r="H82" i="8"/>
  <c r="H53" i="8"/>
  <c r="I13" i="7"/>
  <c r="O70" i="8"/>
  <c r="I130" i="7"/>
  <c r="H97" i="8"/>
  <c r="I65" i="7"/>
  <c r="H38" i="8"/>
  <c r="O111" i="8"/>
  <c r="O47" i="8"/>
  <c r="I119" i="7"/>
  <c r="I67" i="7"/>
  <c r="O112" i="8"/>
  <c r="H119" i="8"/>
  <c r="I53" i="7"/>
  <c r="O73" i="8"/>
  <c r="H103" i="8"/>
  <c r="I34" i="7"/>
  <c r="O50" i="8"/>
  <c r="H83" i="8"/>
  <c r="I28" i="7"/>
  <c r="O35" i="8"/>
  <c r="I110" i="7"/>
  <c r="H77" i="8"/>
  <c r="I41" i="7"/>
  <c r="I21" i="7"/>
  <c r="O84" i="8"/>
  <c r="O20" i="8"/>
  <c r="H109" i="8"/>
  <c r="I77" i="7"/>
  <c r="H49" i="8"/>
  <c r="O85" i="8"/>
  <c r="I54" i="7"/>
  <c r="H91" i="8"/>
  <c r="AA49" i="8"/>
  <c r="O122" i="8"/>
  <c r="H54" i="8"/>
  <c r="W49" i="2"/>
  <c r="W39" i="2"/>
  <c r="W25" i="2"/>
  <c r="X23" i="6"/>
  <c r="X17" i="6"/>
  <c r="X34" i="6"/>
  <c r="W47" i="2"/>
  <c r="W23" i="2"/>
  <c r="X48" i="6"/>
  <c r="X46" i="6"/>
  <c r="H137" i="8"/>
  <c r="H102" i="8"/>
  <c r="H70" i="8"/>
  <c r="H39" i="8"/>
  <c r="O110" i="8"/>
  <c r="O46" i="8"/>
  <c r="I117" i="7"/>
  <c r="H85" i="8"/>
  <c r="I49" i="7"/>
  <c r="H25" i="8"/>
  <c r="O87" i="8"/>
  <c r="O23" i="8"/>
  <c r="I104" i="7"/>
  <c r="H37" i="8"/>
  <c r="O64" i="8"/>
  <c r="I96" i="7"/>
  <c r="H19" i="8"/>
  <c r="O25" i="8"/>
  <c r="I79" i="7"/>
  <c r="H15" i="8"/>
  <c r="H123" i="8"/>
  <c r="H60" i="8"/>
  <c r="O115" i="8"/>
  <c r="H130" i="8"/>
  <c r="H98" i="8"/>
  <c r="H65" i="8"/>
  <c r="I33" i="7"/>
  <c r="O124" i="8"/>
  <c r="O60" i="8"/>
  <c r="H129" i="8"/>
  <c r="I97" i="7"/>
  <c r="I66" i="7"/>
  <c r="I39" i="7"/>
  <c r="O125" i="8"/>
  <c r="O61" i="8"/>
  <c r="I80" i="7"/>
  <c r="O104" i="8"/>
  <c r="I116" i="7"/>
  <c r="I52" i="7"/>
  <c r="O65" i="8"/>
  <c r="H99" i="8"/>
  <c r="H28" i="8"/>
  <c r="O42" i="8"/>
  <c r="H79" i="8"/>
  <c r="H21" i="8"/>
  <c r="O27" i="8"/>
  <c r="W38" i="2"/>
  <c r="W27" i="2"/>
  <c r="X13" i="6"/>
  <c r="X28" i="6"/>
  <c r="X42" i="6"/>
  <c r="W48" i="2"/>
  <c r="W24" i="2"/>
  <c r="W13" i="2"/>
  <c r="X47" i="6"/>
  <c r="X50" i="6"/>
  <c r="H106" i="8"/>
  <c r="I74" i="7"/>
  <c r="H43" i="8"/>
  <c r="O118" i="8"/>
  <c r="O54" i="8"/>
  <c r="I122" i="7"/>
  <c r="I89" i="7"/>
  <c r="H58" i="8"/>
  <c r="H31" i="8"/>
  <c r="O95" i="8"/>
  <c r="O31" i="8"/>
  <c r="H111" i="8"/>
  <c r="I45" i="7"/>
  <c r="O80" i="8"/>
  <c r="I103" i="7"/>
  <c r="H24" i="8"/>
  <c r="O41" i="8"/>
  <c r="H88" i="8"/>
  <c r="I19" i="7"/>
  <c r="H132" i="8"/>
  <c r="H67" i="8"/>
  <c r="H16" i="8"/>
  <c r="I137" i="7"/>
  <c r="I102" i="7"/>
  <c r="I69" i="7"/>
  <c r="I37" i="7"/>
  <c r="H13" i="8"/>
  <c r="O68" i="8"/>
  <c r="H134" i="8"/>
  <c r="H101" i="8"/>
  <c r="I70" i="7"/>
  <c r="I43" i="7"/>
  <c r="H14" i="8"/>
  <c r="O69" i="8"/>
  <c r="I108" i="7"/>
  <c r="I29" i="7"/>
  <c r="O24" i="8"/>
  <c r="I76" i="7"/>
  <c r="O113" i="8"/>
  <c r="H124" i="8"/>
  <c r="I59" i="7"/>
  <c r="O90" i="8"/>
  <c r="H104" i="8"/>
  <c r="I44" i="7"/>
  <c r="O75" i="8"/>
  <c r="H35" i="8"/>
  <c r="O53" i="8"/>
  <c r="H17" i="8"/>
  <c r="I123" i="7"/>
  <c r="O81" i="8"/>
  <c r="H36" i="8"/>
  <c r="I88" i="7"/>
  <c r="O43" i="8"/>
  <c r="I135" i="7"/>
  <c r="H135" i="8"/>
  <c r="I136" i="7"/>
  <c r="S17" i="2" l="1"/>
  <c r="J16" i="8"/>
  <c r="K16" i="8"/>
  <c r="K16" i="7"/>
  <c r="L16" i="7"/>
  <c r="P129" i="2"/>
  <c r="O130" i="6"/>
  <c r="O125" i="2"/>
  <c r="N126" i="2" s="1"/>
  <c r="M127" i="2"/>
  <c r="M128" i="2" s="1"/>
  <c r="H136" i="8"/>
  <c r="Y31" i="6"/>
  <c r="Y50" i="6"/>
  <c r="Y20" i="6"/>
  <c r="Y14" i="6"/>
  <c r="Y21" i="6"/>
  <c r="N11" i="8"/>
  <c r="AA37" i="8"/>
  <c r="AA24" i="8"/>
  <c r="N19" i="8"/>
  <c r="N20" i="8"/>
  <c r="J132" i="7"/>
  <c r="O11" i="7"/>
  <c r="AA41" i="8"/>
  <c r="Y39" i="6"/>
  <c r="Y23" i="6"/>
  <c r="Y41" i="6"/>
  <c r="Y26" i="6"/>
  <c r="Y30" i="6"/>
  <c r="I132" i="8"/>
  <c r="AA28" i="8"/>
  <c r="AA19" i="8"/>
  <c r="AA35" i="8"/>
  <c r="AA42" i="8"/>
  <c r="O16" i="7"/>
  <c r="AA34" i="8"/>
  <c r="Y11" i="7"/>
  <c r="Y46" i="6"/>
  <c r="Y38" i="6"/>
  <c r="Y19" i="6"/>
  <c r="Y45" i="6"/>
  <c r="AA45" i="8"/>
  <c r="AA26" i="8"/>
  <c r="O15" i="7"/>
  <c r="N14" i="8"/>
  <c r="AA12" i="8"/>
  <c r="AA40" i="8"/>
  <c r="AA36" i="8"/>
  <c r="AA38" i="8"/>
  <c r="Y35" i="6"/>
  <c r="Y48" i="6"/>
  <c r="Y34" i="6"/>
  <c r="Y49" i="6"/>
  <c r="Y37" i="6"/>
  <c r="AA50" i="8"/>
  <c r="AA21" i="8"/>
  <c r="O12" i="7"/>
  <c r="O19" i="7"/>
  <c r="AA39" i="8"/>
  <c r="AA46" i="8"/>
  <c r="Z11" i="8"/>
  <c r="Y22" i="6"/>
  <c r="Y33" i="6"/>
  <c r="Y44" i="6"/>
  <c r="Y47" i="6"/>
  <c r="Y16" i="6"/>
  <c r="AA16" i="8"/>
  <c r="N16" i="8"/>
  <c r="AA33" i="8"/>
  <c r="AA44" i="8"/>
  <c r="AA20" i="8"/>
  <c r="AA14" i="8"/>
  <c r="AA23" i="8"/>
  <c r="N12" i="8"/>
  <c r="Y17" i="6"/>
  <c r="Y27" i="6"/>
  <c r="Y43" i="6"/>
  <c r="Y24" i="6"/>
  <c r="Y40" i="6"/>
  <c r="AA32" i="8"/>
  <c r="O13" i="7"/>
  <c r="O14" i="7"/>
  <c r="AA18" i="8"/>
  <c r="AA15" i="8"/>
  <c r="AA30" i="8"/>
  <c r="N17" i="8"/>
  <c r="Y25" i="6"/>
  <c r="Y13" i="6"/>
  <c r="Y12" i="6"/>
  <c r="Y42" i="6"/>
  <c r="Y18" i="6"/>
  <c r="AA27" i="8"/>
  <c r="N18" i="8"/>
  <c r="AA43" i="8"/>
  <c r="AA13" i="8"/>
  <c r="AA31" i="8"/>
  <c r="AA25" i="8"/>
  <c r="AA22" i="8"/>
  <c r="N15" i="8"/>
  <c r="Y29" i="6"/>
  <c r="Y15" i="6"/>
  <c r="Y28" i="6"/>
  <c r="Y32" i="6"/>
  <c r="Y36" i="6"/>
  <c r="N13" i="8"/>
  <c r="AA48" i="8"/>
  <c r="AA47" i="8"/>
  <c r="O20" i="7"/>
  <c r="O17" i="7"/>
  <c r="O18" i="7"/>
  <c r="AA17" i="8"/>
  <c r="AA29" i="8"/>
  <c r="S19" i="8" l="1"/>
  <c r="R12" i="7"/>
  <c r="R16" i="7"/>
  <c r="Q16" i="7"/>
  <c r="Q19" i="7" s="1"/>
  <c r="Q20" i="7" s="1"/>
  <c r="S12" i="8"/>
  <c r="S18" i="8"/>
  <c r="S20" i="8"/>
  <c r="R14" i="7"/>
  <c r="S11" i="8"/>
  <c r="S10" i="8" s="1"/>
  <c r="S15" i="8"/>
  <c r="S17" i="8"/>
  <c r="R19" i="7"/>
  <c r="R13" i="7"/>
  <c r="R17" i="7"/>
  <c r="R11" i="7"/>
  <c r="R10" i="7" s="1"/>
  <c r="S13" i="8"/>
  <c r="R20" i="7"/>
  <c r="R15" i="7"/>
  <c r="R18" i="7"/>
  <c r="S14" i="8"/>
  <c r="S16" i="8"/>
  <c r="P16" i="8"/>
  <c r="P19" i="8" s="1"/>
  <c r="P20" i="8" s="1"/>
  <c r="R16" i="8"/>
  <c r="R19" i="8" s="1"/>
  <c r="R20" i="8" s="1"/>
  <c r="N16" i="7"/>
  <c r="K19" i="7"/>
  <c r="M16" i="8"/>
  <c r="J19" i="8"/>
  <c r="S19" i="6"/>
  <c r="S20" i="6" s="1"/>
  <c r="O126" i="2"/>
  <c r="N127" i="2" s="1"/>
  <c r="J133" i="7"/>
  <c r="AB12" i="8"/>
  <c r="AA12" i="7"/>
  <c r="AB11" i="8"/>
  <c r="I133" i="8"/>
  <c r="N19" i="7" l="1"/>
  <c r="K20" i="7"/>
  <c r="M19" i="8"/>
  <c r="J20" i="8"/>
  <c r="O127" i="2"/>
  <c r="N128" i="2" s="1"/>
  <c r="I134" i="8"/>
  <c r="J134" i="7"/>
  <c r="N20" i="7" l="1"/>
  <c r="K21" i="7"/>
  <c r="M20" i="8"/>
  <c r="J21" i="8"/>
  <c r="O128" i="2"/>
  <c r="K22" i="7" l="1"/>
  <c r="N21" i="7"/>
  <c r="M21" i="8"/>
  <c r="J22" i="8"/>
  <c r="N22" i="7" l="1"/>
  <c r="K23" i="7"/>
  <c r="M22" i="8"/>
  <c r="J23" i="8"/>
  <c r="N23" i="7" l="1"/>
  <c r="K24" i="7"/>
  <c r="J24" i="8"/>
  <c r="M23" i="8"/>
  <c r="N24" i="7" l="1"/>
  <c r="K25" i="7"/>
  <c r="M24" i="8"/>
  <c r="J25" i="8"/>
  <c r="J26" i="8" l="1"/>
  <c r="M25" i="8"/>
  <c r="N25" i="7"/>
  <c r="K26" i="7"/>
  <c r="M26" i="8" l="1"/>
  <c r="J27" i="8"/>
  <c r="N26" i="7"/>
  <c r="K27" i="7"/>
  <c r="M27" i="8" l="1"/>
  <c r="J28" i="8"/>
  <c r="N27" i="7"/>
  <c r="K28" i="7"/>
  <c r="M28" i="8" l="1"/>
  <c r="J29" i="8"/>
  <c r="N28" i="7"/>
  <c r="K29" i="7"/>
  <c r="J30" i="8" l="1"/>
  <c r="M29" i="8"/>
  <c r="N29" i="7"/>
  <c r="K30" i="7"/>
  <c r="M30" i="8" l="1"/>
  <c r="J31" i="8"/>
  <c r="N30" i="7"/>
  <c r="K31" i="7"/>
  <c r="J32" i="8" l="1"/>
  <c r="M31" i="8"/>
  <c r="K32" i="7"/>
  <c r="N31" i="7"/>
  <c r="N32" i="7" l="1"/>
  <c r="K33" i="7"/>
  <c r="M32" i="8"/>
  <c r="J33" i="8"/>
  <c r="N33" i="7" l="1"/>
  <c r="K34" i="7"/>
  <c r="M33" i="8"/>
  <c r="J34" i="8"/>
  <c r="N34" i="7" l="1"/>
  <c r="K35" i="7"/>
  <c r="M34" i="8"/>
  <c r="J35" i="8"/>
  <c r="K36" i="7" l="1"/>
  <c r="N35" i="7"/>
  <c r="M35" i="8"/>
  <c r="J36" i="8"/>
  <c r="N36" i="7" l="1"/>
  <c r="K37" i="7"/>
  <c r="M36" i="8"/>
  <c r="J37" i="8"/>
  <c r="N37" i="7" l="1"/>
  <c r="K38" i="7"/>
  <c r="M37" i="8"/>
  <c r="J38" i="8"/>
  <c r="N38" i="7" l="1"/>
  <c r="K39" i="7"/>
  <c r="M38" i="8"/>
  <c r="J39" i="8"/>
  <c r="K40" i="7" l="1"/>
  <c r="N39" i="7"/>
  <c r="J40" i="8"/>
  <c r="M39" i="8"/>
  <c r="N40" i="7" l="1"/>
  <c r="K41" i="7"/>
  <c r="M40" i="8"/>
  <c r="J41" i="8"/>
  <c r="K42" i="7" l="1"/>
  <c r="N41" i="7"/>
  <c r="M41" i="8"/>
  <c r="J42" i="8"/>
  <c r="N42" i="7" l="1"/>
  <c r="K43" i="7"/>
  <c r="M42" i="8"/>
  <c r="J43" i="8"/>
  <c r="K44" i="7" l="1"/>
  <c r="N43" i="7"/>
  <c r="M43" i="8"/>
  <c r="J44" i="8"/>
  <c r="N44" i="7" l="1"/>
  <c r="K45" i="7"/>
  <c r="M44" i="8"/>
  <c r="J45" i="8"/>
  <c r="N45" i="7" l="1"/>
  <c r="K46" i="7"/>
  <c r="M45" i="8"/>
  <c r="J46" i="8"/>
  <c r="M46" i="8" l="1"/>
  <c r="J47" i="8"/>
  <c r="N46" i="7"/>
  <c r="K47" i="7"/>
  <c r="M47" i="8" l="1"/>
  <c r="J48" i="8"/>
  <c r="K48" i="7"/>
  <c r="N47" i="7"/>
  <c r="M48" i="8" l="1"/>
  <c r="J49" i="8"/>
  <c r="N48" i="7"/>
  <c r="K49" i="7"/>
  <c r="M49" i="8" l="1"/>
  <c r="J50" i="8"/>
  <c r="K50" i="7"/>
  <c r="N49" i="7"/>
  <c r="M50" i="8" l="1"/>
  <c r="J51" i="8"/>
  <c r="N50" i="7"/>
  <c r="K51" i="7"/>
  <c r="M51" i="8" l="1"/>
  <c r="J52" i="8"/>
  <c r="N51" i="7"/>
  <c r="K52" i="7"/>
  <c r="M52" i="8" l="1"/>
  <c r="J53" i="8"/>
  <c r="N52" i="7"/>
  <c r="K53" i="7"/>
  <c r="M53" i="8" l="1"/>
  <c r="J54" i="8"/>
  <c r="K54" i="7"/>
  <c r="N53" i="7"/>
  <c r="M54" i="8" l="1"/>
  <c r="J55" i="8"/>
  <c r="N54" i="7"/>
  <c r="K55" i="7"/>
  <c r="M55" i="8" l="1"/>
  <c r="J56" i="8"/>
  <c r="K56" i="7"/>
  <c r="N55" i="7"/>
  <c r="M56" i="8" l="1"/>
  <c r="J57" i="8"/>
  <c r="N56" i="7"/>
  <c r="K57" i="7"/>
  <c r="M57" i="8" l="1"/>
  <c r="J58" i="8"/>
  <c r="N57" i="7"/>
  <c r="K58" i="7"/>
  <c r="M58" i="8" l="1"/>
  <c r="J59" i="8"/>
  <c r="N58" i="7"/>
  <c r="K59" i="7"/>
  <c r="M59" i="8" l="1"/>
  <c r="J60" i="8"/>
  <c r="K60" i="7"/>
  <c r="N59" i="7"/>
  <c r="M60" i="8" l="1"/>
  <c r="J61" i="8"/>
  <c r="N60" i="7"/>
  <c r="K61" i="7"/>
  <c r="M61" i="8" l="1"/>
  <c r="J62" i="8"/>
  <c r="K62" i="7"/>
  <c r="N61" i="7"/>
  <c r="M62" i="8" l="1"/>
  <c r="J63" i="8"/>
  <c r="N62" i="7"/>
  <c r="K63" i="7"/>
  <c r="M63" i="8" l="1"/>
  <c r="J64" i="8"/>
  <c r="K64" i="7"/>
  <c r="N63" i="7"/>
  <c r="M64" i="8" l="1"/>
  <c r="J65" i="8"/>
  <c r="N64" i="7"/>
  <c r="K65" i="7"/>
  <c r="M65" i="8" l="1"/>
  <c r="J66" i="8"/>
  <c r="K66" i="7"/>
  <c r="N65" i="7"/>
  <c r="M66" i="8" l="1"/>
  <c r="J67" i="8"/>
  <c r="N66" i="7"/>
  <c r="K67" i="7"/>
  <c r="M67" i="8" l="1"/>
  <c r="J68" i="8"/>
  <c r="K68" i="7"/>
  <c r="N67" i="7"/>
  <c r="M68" i="8" l="1"/>
  <c r="J69" i="8"/>
  <c r="N68" i="7"/>
  <c r="K69" i="7"/>
  <c r="M69" i="8" l="1"/>
  <c r="J70" i="8"/>
  <c r="K70" i="7"/>
  <c r="N69" i="7"/>
  <c r="M70" i="8" l="1"/>
  <c r="J71" i="8"/>
  <c r="N70" i="7"/>
  <c r="K71" i="7"/>
  <c r="M71" i="8" l="1"/>
  <c r="J72" i="8"/>
  <c r="K72" i="7"/>
  <c r="N71" i="7"/>
  <c r="M72" i="8" l="1"/>
  <c r="J73" i="8"/>
  <c r="N72" i="7"/>
  <c r="K73" i="7"/>
  <c r="M73" i="8" l="1"/>
  <c r="J74" i="8"/>
  <c r="K74" i="7"/>
  <c r="N73" i="7"/>
  <c r="M74" i="8" l="1"/>
  <c r="J75" i="8"/>
  <c r="N74" i="7"/>
  <c r="K75" i="7"/>
  <c r="M75" i="8" l="1"/>
  <c r="J76" i="8"/>
  <c r="K76" i="7"/>
  <c r="N75" i="7"/>
  <c r="M76" i="8" l="1"/>
  <c r="J77" i="8"/>
  <c r="N76" i="7"/>
  <c r="K77" i="7"/>
  <c r="M77" i="8" l="1"/>
  <c r="J78" i="8"/>
  <c r="N77" i="7"/>
  <c r="K78" i="7"/>
  <c r="M78" i="8" l="1"/>
  <c r="J79" i="8"/>
  <c r="N78" i="7"/>
  <c r="K79" i="7"/>
  <c r="J80" i="8" l="1"/>
  <c r="M79" i="8"/>
  <c r="N79" i="7"/>
  <c r="K80" i="7"/>
  <c r="M80" i="8" l="1"/>
  <c r="J81" i="8"/>
  <c r="N80" i="7"/>
  <c r="K81" i="7"/>
  <c r="M81" i="8" l="1"/>
  <c r="J82" i="8"/>
  <c r="N81" i="7"/>
  <c r="K82" i="7"/>
  <c r="M82" i="8" l="1"/>
  <c r="J83" i="8"/>
  <c r="N82" i="7"/>
  <c r="K83" i="7"/>
  <c r="M83" i="8" l="1"/>
  <c r="J84" i="8"/>
  <c r="N83" i="7"/>
  <c r="K84" i="7"/>
  <c r="M84" i="8" l="1"/>
  <c r="J85" i="8"/>
  <c r="N84" i="7"/>
  <c r="K85" i="7"/>
  <c r="M85" i="8" l="1"/>
  <c r="J86" i="8"/>
  <c r="N85" i="7"/>
  <c r="K86" i="7"/>
  <c r="M86" i="8" l="1"/>
  <c r="J87" i="8"/>
  <c r="N86" i="7"/>
  <c r="K87" i="7"/>
  <c r="M87" i="8" l="1"/>
  <c r="J88" i="8"/>
  <c r="N87" i="7"/>
  <c r="K88" i="7"/>
  <c r="M88" i="8" l="1"/>
  <c r="J89" i="8"/>
  <c r="N88" i="7"/>
  <c r="K89" i="7"/>
  <c r="J90" i="8" l="1"/>
  <c r="M89" i="8"/>
  <c r="N89" i="7"/>
  <c r="K90" i="7"/>
  <c r="M90" i="8" l="1"/>
  <c r="J91" i="8"/>
  <c r="N90" i="7"/>
  <c r="K91" i="7"/>
  <c r="M91" i="8" l="1"/>
  <c r="J92" i="8"/>
  <c r="N91" i="7"/>
  <c r="K92" i="7"/>
  <c r="M92" i="8" l="1"/>
  <c r="J93" i="8"/>
  <c r="N92" i="7"/>
  <c r="K93" i="7"/>
  <c r="M93" i="8" l="1"/>
  <c r="J94" i="8"/>
  <c r="N93" i="7"/>
  <c r="K94" i="7"/>
  <c r="M94" i="8" l="1"/>
  <c r="J95" i="8"/>
  <c r="N94" i="7"/>
  <c r="K95" i="7"/>
  <c r="M95" i="8" l="1"/>
  <c r="J96" i="8"/>
  <c r="N95" i="7"/>
  <c r="K96" i="7"/>
  <c r="M96" i="8" l="1"/>
  <c r="J97" i="8"/>
  <c r="N96" i="7"/>
  <c r="K97" i="7"/>
  <c r="M97" i="8" l="1"/>
  <c r="J98" i="8"/>
  <c r="K98" i="7"/>
  <c r="N97" i="7"/>
  <c r="M98" i="8" l="1"/>
  <c r="J99" i="8"/>
  <c r="N98" i="7"/>
  <c r="K99" i="7"/>
  <c r="M99" i="8" l="1"/>
  <c r="J100" i="8"/>
  <c r="K100" i="7"/>
  <c r="N99" i="7"/>
  <c r="M100" i="8" l="1"/>
  <c r="J101" i="8"/>
  <c r="N100" i="7"/>
  <c r="K101" i="7"/>
  <c r="M101" i="8" l="1"/>
  <c r="J102" i="8"/>
  <c r="K102" i="7"/>
  <c r="N101" i="7"/>
  <c r="M102" i="8" l="1"/>
  <c r="J103" i="8"/>
  <c r="N102" i="7"/>
  <c r="K103" i="7"/>
  <c r="M103" i="8" l="1"/>
  <c r="J104" i="8"/>
  <c r="K104" i="7"/>
  <c r="N103" i="7"/>
  <c r="M104" i="8" l="1"/>
  <c r="J105" i="8"/>
  <c r="N104" i="7"/>
  <c r="K105" i="7"/>
  <c r="M105" i="8" l="1"/>
  <c r="J106" i="8"/>
  <c r="K106" i="7"/>
  <c r="N105" i="7"/>
  <c r="M106" i="8" l="1"/>
  <c r="J107" i="8"/>
  <c r="N106" i="7"/>
  <c r="K107" i="7"/>
  <c r="M107" i="8" l="1"/>
  <c r="J108" i="8"/>
  <c r="N107" i="7"/>
  <c r="K108" i="7"/>
  <c r="M108" i="8" l="1"/>
  <c r="J109" i="8"/>
  <c r="N108" i="7"/>
  <c r="K109" i="7"/>
  <c r="M109" i="8" l="1"/>
  <c r="J110" i="8"/>
  <c r="N109" i="7"/>
  <c r="K110" i="7"/>
  <c r="M110" i="8" l="1"/>
  <c r="J111" i="8"/>
  <c r="N110" i="7"/>
  <c r="K111" i="7"/>
  <c r="N111" i="7" l="1"/>
  <c r="K112" i="7"/>
  <c r="M111" i="8"/>
  <c r="J112" i="8"/>
  <c r="N112" i="7" l="1"/>
  <c r="K113" i="7"/>
  <c r="M112" i="8"/>
  <c r="J113" i="8"/>
  <c r="K114" i="7" l="1"/>
  <c r="N113" i="7"/>
  <c r="M113" i="8"/>
  <c r="J114" i="8"/>
  <c r="M114" i="8" l="1"/>
  <c r="J115" i="8"/>
  <c r="N114" i="7"/>
  <c r="K115" i="7"/>
  <c r="M115" i="8" l="1"/>
  <c r="J116" i="8"/>
  <c r="K116" i="7"/>
  <c r="N115" i="7"/>
  <c r="M116" i="8" l="1"/>
  <c r="J117" i="8"/>
  <c r="N116" i="7"/>
  <c r="K117" i="7"/>
  <c r="M117" i="8" l="1"/>
  <c r="J118" i="8"/>
  <c r="K118" i="7"/>
  <c r="N117" i="7"/>
  <c r="M118" i="8" l="1"/>
  <c r="J119" i="8"/>
  <c r="N118" i="7"/>
  <c r="K119" i="7"/>
  <c r="M119" i="8" l="1"/>
  <c r="J120" i="8"/>
  <c r="K120" i="7"/>
  <c r="N119" i="7"/>
  <c r="M120" i="8" l="1"/>
  <c r="J121" i="8"/>
  <c r="N120" i="7"/>
  <c r="K121" i="7"/>
  <c r="M121" i="8" l="1"/>
  <c r="J122" i="8"/>
  <c r="K122" i="7"/>
  <c r="N121" i="7"/>
  <c r="K77" i="4"/>
  <c r="K78" i="4"/>
  <c r="K76" i="4"/>
  <c r="K75" i="4"/>
  <c r="N76" i="4"/>
  <c r="P85" i="7"/>
  <c r="P81" i="7"/>
  <c r="P82" i="7"/>
  <c r="P83" i="7"/>
  <c r="P84" i="7"/>
  <c r="M122" i="8" l="1"/>
  <c r="J123" i="8"/>
  <c r="N122" i="7"/>
  <c r="K123" i="7"/>
  <c r="N75" i="4"/>
  <c r="M123" i="8" l="1"/>
  <c r="J124" i="8"/>
  <c r="K124" i="7"/>
  <c r="N123" i="7"/>
  <c r="O76" i="4"/>
  <c r="N78" i="4" s="1"/>
  <c r="M124" i="8" l="1"/>
  <c r="J125" i="8"/>
  <c r="N124" i="7"/>
  <c r="K125" i="7"/>
  <c r="N77" i="4"/>
  <c r="M125" i="8" l="1"/>
  <c r="J126" i="8"/>
  <c r="N125" i="7"/>
  <c r="K126" i="7"/>
  <c r="O78" i="4"/>
  <c r="N80" i="4" s="1"/>
  <c r="N79" i="4"/>
  <c r="M126" i="8" l="1"/>
  <c r="J127" i="8"/>
  <c r="N126" i="7"/>
  <c r="K127" i="7"/>
  <c r="O80" i="4"/>
  <c r="N82" i="4" s="1"/>
  <c r="N81" i="4"/>
  <c r="M127" i="8" l="1"/>
  <c r="J128" i="8"/>
  <c r="K128" i="7"/>
  <c r="N127" i="7"/>
  <c r="O82" i="4"/>
  <c r="N84" i="4" s="1"/>
  <c r="N83" i="4"/>
  <c r="M128" i="8" l="1"/>
  <c r="J129" i="8"/>
  <c r="N128" i="7"/>
  <c r="K129" i="7"/>
  <c r="O84" i="4"/>
  <c r="N86" i="4" s="1"/>
  <c r="N85" i="4"/>
  <c r="M129" i="8" l="1"/>
  <c r="J130" i="8"/>
  <c r="N129" i="7"/>
  <c r="K130" i="7"/>
  <c r="O86" i="4"/>
  <c r="N88" i="4" s="1"/>
  <c r="N87" i="4"/>
  <c r="M130" i="8" l="1"/>
  <c r="J131" i="8"/>
  <c r="N130" i="7"/>
  <c r="K131" i="7"/>
  <c r="O88" i="4"/>
  <c r="N90" i="4" s="1"/>
  <c r="N89" i="4"/>
  <c r="M131" i="8" l="1"/>
  <c r="J132" i="8"/>
  <c r="N131" i="7"/>
  <c r="K132" i="7"/>
  <c r="O90" i="4"/>
  <c r="N92" i="4" s="1"/>
  <c r="N91" i="4"/>
  <c r="M132" i="8" l="1"/>
  <c r="J133" i="8"/>
  <c r="N132" i="7"/>
  <c r="K133" i="7"/>
  <c r="O92" i="4"/>
  <c r="N94" i="4" s="1"/>
  <c r="N93" i="4"/>
  <c r="M133" i="8" l="1"/>
  <c r="J134" i="8"/>
  <c r="M134" i="8" s="1"/>
  <c r="N133" i="7"/>
  <c r="K134" i="7"/>
  <c r="N134" i="7" s="1"/>
  <c r="O94" i="4"/>
  <c r="N96" i="4" s="1"/>
  <c r="N95" i="4"/>
  <c r="O96" i="4" l="1"/>
  <c r="N98" i="4" s="1"/>
  <c r="N97" i="4"/>
  <c r="O98" i="4" l="1"/>
  <c r="N100" i="4" s="1"/>
  <c r="N99" i="4"/>
  <c r="O100" i="4" l="1"/>
  <c r="N102" i="4" s="1"/>
  <c r="N101" i="4"/>
  <c r="O102" i="4" l="1"/>
  <c r="N104" i="4" s="1"/>
  <c r="N103" i="4"/>
  <c r="O104" i="4" l="1"/>
  <c r="N106" i="4" s="1"/>
  <c r="N105" i="4"/>
  <c r="O106" i="4" l="1"/>
  <c r="N108" i="4" s="1"/>
  <c r="O108" i="4" l="1"/>
  <c r="N110" i="4" s="1"/>
  <c r="N109" i="4"/>
  <c r="N107" i="4"/>
  <c r="O110" i="4" l="1"/>
  <c r="N112" i="4" s="1"/>
  <c r="N111" i="4"/>
  <c r="O112" i="4" l="1"/>
  <c r="N114" i="4" s="1"/>
  <c r="N113" i="4"/>
  <c r="O114" i="4" l="1"/>
  <c r="N116" i="4" s="1"/>
  <c r="N115" i="4"/>
  <c r="O116" i="4" l="1"/>
  <c r="N118" i="4" s="1"/>
  <c r="N117" i="4"/>
  <c r="O118" i="4" l="1"/>
  <c r="N120" i="4" s="1"/>
  <c r="N119" i="4"/>
  <c r="O120" i="4" l="1"/>
  <c r="N122" i="4" s="1"/>
  <c r="N121" i="4"/>
  <c r="O122" i="4" l="1"/>
  <c r="N124" i="4" s="1"/>
  <c r="N123" i="4"/>
  <c r="O124" i="4" l="1"/>
  <c r="N126" i="4" s="1"/>
  <c r="N125" i="4"/>
  <c r="O126" i="4" l="1"/>
  <c r="N128" i="4" s="1"/>
  <c r="N127" i="4"/>
  <c r="O128" i="4" l="1"/>
  <c r="N130" i="4" s="1"/>
  <c r="X13" i="4"/>
  <c r="X25" i="4"/>
  <c r="X30" i="4"/>
  <c r="X28" i="4"/>
  <c r="X15" i="4"/>
  <c r="X26" i="4"/>
  <c r="X29" i="4"/>
  <c r="X11" i="4"/>
  <c r="X12" i="4"/>
  <c r="X14" i="4"/>
  <c r="X23" i="4"/>
  <c r="X17" i="4"/>
  <c r="X20" i="4"/>
  <c r="X21" i="4"/>
  <c r="X24" i="4"/>
  <c r="X27" i="4"/>
  <c r="X22" i="4"/>
  <c r="X18" i="4"/>
  <c r="X19" i="4"/>
  <c r="N129" i="4"/>
  <c r="X16" i="4"/>
  <c r="O130" i="4" l="1"/>
  <c r="Y19" i="4"/>
  <c r="Y22" i="4"/>
  <c r="Y28" i="4"/>
  <c r="Y20" i="4"/>
  <c r="Y11" i="4"/>
  <c r="Y25" i="4"/>
  <c r="Y29" i="4"/>
  <c r="Y23" i="4"/>
  <c r="Y12" i="4"/>
  <c r="Y17" i="4"/>
  <c r="Y27" i="4"/>
  <c r="Y21" i="4"/>
  <c r="Y24" i="4"/>
  <c r="Y14" i="4"/>
  <c r="Y16" i="4"/>
  <c r="Y18" i="4"/>
  <c r="Y13" i="4"/>
  <c r="Y15" i="4"/>
  <c r="Y30" i="4"/>
  <c r="Y26" i="4"/>
  <c r="S19" i="4" l="1"/>
  <c r="S20" i="4" s="1"/>
  <c r="J130" i="2" l="1"/>
  <c r="K130" i="2"/>
  <c r="K129" i="2"/>
  <c r="K135" i="7" l="1"/>
  <c r="J135" i="8"/>
  <c r="J136" i="8" l="1"/>
  <c r="M135" i="8"/>
  <c r="K136" i="7"/>
  <c r="N135" i="7"/>
  <c r="M129" i="2"/>
  <c r="M130" i="2" s="1"/>
  <c r="J137" i="8" l="1"/>
  <c r="M137" i="8" s="1"/>
  <c r="M136" i="8"/>
  <c r="K137" i="7"/>
  <c r="N137" i="7" s="1"/>
  <c r="N136" i="7"/>
  <c r="N129" i="2"/>
  <c r="I135" i="8"/>
  <c r="J135" i="7"/>
  <c r="O129" i="2" l="1"/>
  <c r="N130" i="2" l="1"/>
  <c r="O130" i="2" l="1"/>
  <c r="J103" i="7"/>
  <c r="I71" i="8"/>
  <c r="I45" i="8"/>
  <c r="X17" i="2"/>
  <c r="J106" i="7"/>
  <c r="I74" i="8"/>
  <c r="X40" i="2"/>
  <c r="X19" i="2"/>
  <c r="I57" i="8"/>
  <c r="J128" i="7"/>
  <c r="J64" i="7"/>
  <c r="I126" i="8"/>
  <c r="I62" i="8"/>
  <c r="I129" i="8"/>
  <c r="J65" i="7"/>
  <c r="I128" i="8"/>
  <c r="J96" i="7"/>
  <c r="I64" i="8"/>
  <c r="I41" i="8"/>
  <c r="J19" i="7"/>
  <c r="I103" i="8"/>
  <c r="J71" i="7"/>
  <c r="X38" i="2"/>
  <c r="I24" i="8"/>
  <c r="I105" i="8"/>
  <c r="J55" i="7"/>
  <c r="J124" i="7"/>
  <c r="I60" i="8"/>
  <c r="I19" i="8"/>
  <c r="J66" i="7"/>
  <c r="J23" i="7"/>
  <c r="J77" i="7"/>
  <c r="I30" i="8"/>
  <c r="I107" i="8"/>
  <c r="I75" i="8"/>
  <c r="X41" i="2"/>
  <c r="X20" i="2"/>
  <c r="I110" i="8"/>
  <c r="I78" i="8"/>
  <c r="J50" i="7"/>
  <c r="I28" i="8"/>
  <c r="I65" i="8"/>
  <c r="X13" i="2"/>
  <c r="J72" i="7"/>
  <c r="I22" i="8"/>
  <c r="I70" i="8"/>
  <c r="J21" i="7"/>
  <c r="I73" i="8"/>
  <c r="X15" i="2"/>
  <c r="J100" i="7"/>
  <c r="I68" i="8"/>
  <c r="I43" i="8"/>
  <c r="J22" i="7"/>
  <c r="J107" i="7"/>
  <c r="J75" i="7"/>
  <c r="J48" i="7"/>
  <c r="I26" i="8"/>
  <c r="I109" i="8"/>
  <c r="J61" i="7"/>
  <c r="I137" i="8"/>
  <c r="J68" i="7"/>
  <c r="J24" i="7"/>
  <c r="J74" i="7"/>
  <c r="I29" i="8"/>
  <c r="I69" i="8"/>
  <c r="I54" i="8"/>
  <c r="Y22" i="8"/>
  <c r="X15" i="7"/>
  <c r="I127" i="8"/>
  <c r="J95" i="7"/>
  <c r="J63" i="7"/>
  <c r="X33" i="2"/>
  <c r="X12" i="2"/>
  <c r="I98" i="8"/>
  <c r="I66" i="8"/>
  <c r="X35" i="2"/>
  <c r="J20" i="7"/>
  <c r="I47" i="8"/>
  <c r="J112" i="7"/>
  <c r="I51" i="8"/>
  <c r="J110" i="7"/>
  <c r="J47" i="7"/>
  <c r="J113" i="7"/>
  <c r="I52" i="8"/>
  <c r="I120" i="8"/>
  <c r="I88" i="8"/>
  <c r="J57" i="7"/>
  <c r="J35" i="7"/>
  <c r="J127" i="7"/>
  <c r="I95" i="8"/>
  <c r="I63" i="8"/>
  <c r="I40" i="8"/>
  <c r="J136" i="7"/>
  <c r="J97" i="7"/>
  <c r="I44" i="8"/>
  <c r="I108" i="8"/>
  <c r="I48" i="8"/>
  <c r="J114" i="7"/>
  <c r="X46" i="2"/>
  <c r="J125" i="7"/>
  <c r="I61" i="8"/>
  <c r="I20" i="8"/>
  <c r="I99" i="8"/>
  <c r="J67" i="7"/>
  <c r="J43" i="7"/>
  <c r="I21" i="8"/>
  <c r="J102" i="7"/>
  <c r="J70" i="7"/>
  <c r="J44" i="7"/>
  <c r="X16" i="2"/>
  <c r="J52" i="7"/>
  <c r="J120" i="7"/>
  <c r="X49" i="2"/>
  <c r="J118" i="7"/>
  <c r="I55" i="8"/>
  <c r="J121" i="7"/>
  <c r="X50" i="2"/>
  <c r="I124" i="8"/>
  <c r="I92" i="8"/>
  <c r="J60" i="7"/>
  <c r="X31" i="2"/>
  <c r="I136" i="8"/>
  <c r="J99" i="7"/>
  <c r="I67" i="8"/>
  <c r="J42" i="7"/>
  <c r="X14" i="2"/>
  <c r="I101" i="8"/>
  <c r="I49" i="8"/>
  <c r="Y41" i="8" s="1"/>
  <c r="J116" i="7"/>
  <c r="J54" i="7"/>
  <c r="I122" i="8"/>
  <c r="J58" i="7"/>
  <c r="I117" i="8"/>
  <c r="X37" i="2"/>
  <c r="J33" i="7"/>
  <c r="Y47" i="8"/>
  <c r="Y21" i="8"/>
  <c r="Y33" i="8"/>
  <c r="Y40" i="8"/>
  <c r="X47" i="7"/>
  <c r="I119" i="8"/>
  <c r="J87" i="7"/>
  <c r="J56" i="7"/>
  <c r="X48" i="7" s="1"/>
  <c r="X28" i="2"/>
  <c r="J122" i="7"/>
  <c r="I90" i="8"/>
  <c r="I58" i="8"/>
  <c r="Y50" i="8" s="1"/>
  <c r="I36" i="8"/>
  <c r="J89" i="7"/>
  <c r="X29" i="2"/>
  <c r="I96" i="8"/>
  <c r="J38" i="7"/>
  <c r="J94" i="7"/>
  <c r="I37" i="8"/>
  <c r="I97" i="8"/>
  <c r="J41" i="7"/>
  <c r="I112" i="8"/>
  <c r="J80" i="7"/>
  <c r="J51" i="7"/>
  <c r="X43" i="7" s="1"/>
  <c r="X23" i="2"/>
  <c r="J119" i="7"/>
  <c r="I87" i="8"/>
  <c r="I56" i="8"/>
  <c r="J34" i="7"/>
  <c r="I121" i="8"/>
  <c r="I85" i="8"/>
  <c r="I33" i="8"/>
  <c r="J92" i="7"/>
  <c r="J40" i="7"/>
  <c r="X33" i="7" s="1"/>
  <c r="J98" i="7"/>
  <c r="J45" i="7"/>
  <c r="X37" i="7" s="1"/>
  <c r="J109" i="7"/>
  <c r="X42" i="2"/>
  <c r="J123" i="7"/>
  <c r="I91" i="8"/>
  <c r="J59" i="7"/>
  <c r="X30" i="2"/>
  <c r="J126" i="7"/>
  <c r="I94" i="8"/>
  <c r="J62" i="7"/>
  <c r="X32" i="2"/>
  <c r="J129" i="7"/>
  <c r="X34" i="2"/>
  <c r="J104" i="7"/>
  <c r="X36" i="2"/>
  <c r="I102" i="8"/>
  <c r="I42" i="8"/>
  <c r="J105" i="7"/>
  <c r="X39" i="2"/>
  <c r="I116" i="8"/>
  <c r="J84" i="7"/>
  <c r="X47" i="2"/>
  <c r="X26" i="2"/>
  <c r="I123" i="8"/>
  <c r="J91" i="7"/>
  <c r="I59" i="8"/>
  <c r="J37" i="7"/>
  <c r="X30" i="7" s="1"/>
  <c r="I125" i="8"/>
  <c r="I93" i="8"/>
  <c r="J39" i="7"/>
  <c r="X31" i="7" s="1"/>
  <c r="I100" i="8"/>
  <c r="J46" i="7"/>
  <c r="X39" i="7" s="1"/>
  <c r="I106" i="8"/>
  <c r="X43" i="2"/>
  <c r="J137" i="7"/>
  <c r="X18" i="2"/>
  <c r="X49" i="7"/>
  <c r="Y37" i="8"/>
  <c r="Y14" i="8"/>
  <c r="X16" i="7"/>
  <c r="Y49" i="8"/>
  <c r="Y12" i="8"/>
  <c r="X38" i="7"/>
  <c r="X13" i="7"/>
  <c r="X40" i="7"/>
  <c r="J111" i="7"/>
  <c r="J79" i="7"/>
  <c r="X44" i="2"/>
  <c r="J29" i="7"/>
  <c r="I114" i="8"/>
  <c r="I82" i="8"/>
  <c r="X45" i="2"/>
  <c r="I31" i="8"/>
  <c r="J73" i="7"/>
  <c r="J25" i="7"/>
  <c r="I80" i="8"/>
  <c r="J27" i="7"/>
  <c r="J78" i="7"/>
  <c r="J26" i="7"/>
  <c r="I81" i="8"/>
  <c r="J28" i="7"/>
  <c r="I104" i="8"/>
  <c r="I72" i="8"/>
  <c r="I46" i="8"/>
  <c r="I25" i="8"/>
  <c r="I111" i="8"/>
  <c r="I79" i="8"/>
  <c r="I50" i="8"/>
  <c r="X22" i="2"/>
  <c r="I113" i="8"/>
  <c r="J69" i="7"/>
  <c r="I23" i="8"/>
  <c r="J76" i="7"/>
  <c r="J30" i="7"/>
  <c r="J82" i="7"/>
  <c r="X27" i="2"/>
  <c r="J93" i="7"/>
  <c r="I38" i="8"/>
  <c r="J115" i="7"/>
  <c r="J83" i="7"/>
  <c r="J53" i="7"/>
  <c r="X25" i="2"/>
  <c r="I118" i="8"/>
  <c r="I86" i="8"/>
  <c r="X48" i="2"/>
  <c r="I34" i="8"/>
  <c r="J81" i="7"/>
  <c r="J31" i="7"/>
  <c r="J88" i="7"/>
  <c r="I32" i="8"/>
  <c r="J86" i="7"/>
  <c r="X24" i="2"/>
  <c r="I89" i="8"/>
  <c r="J36" i="7"/>
  <c r="J108" i="7"/>
  <c r="I76" i="8"/>
  <c r="J49" i="7"/>
  <c r="I27" i="8"/>
  <c r="Y20" i="8" s="1"/>
  <c r="I115" i="8"/>
  <c r="I83" i="8"/>
  <c r="I53" i="8"/>
  <c r="Y46" i="8" s="1"/>
  <c r="J32" i="7"/>
  <c r="X24" i="7" s="1"/>
  <c r="J117" i="7"/>
  <c r="I77" i="8"/>
  <c r="X21" i="2"/>
  <c r="I84" i="8"/>
  <c r="I35" i="8"/>
  <c r="J90" i="7"/>
  <c r="I39" i="8"/>
  <c r="Y32" i="8" s="1"/>
  <c r="J101" i="7"/>
  <c r="J85" i="7"/>
  <c r="Y29" i="8"/>
  <c r="X26" i="7"/>
  <c r="X14" i="7"/>
  <c r="Y19" i="8"/>
  <c r="X27" i="7"/>
  <c r="X34" i="7"/>
  <c r="X25" i="7"/>
  <c r="X50" i="7"/>
  <c r="Y16" i="8"/>
  <c r="Y48" i="8"/>
  <c r="Y36" i="8"/>
  <c r="X32" i="7"/>
  <c r="Y15" i="8"/>
  <c r="Y25" i="8"/>
  <c r="Y13" i="8"/>
  <c r="Y28" i="8"/>
  <c r="X17" i="7"/>
  <c r="X44" i="7"/>
  <c r="X35" i="7"/>
  <c r="X36" i="7"/>
  <c r="Y44" i="8"/>
  <c r="Y45" i="8"/>
  <c r="Y34" i="8"/>
  <c r="Y35" i="8"/>
  <c r="Y23" i="8"/>
  <c r="Y24" i="8"/>
  <c r="X18" i="7"/>
  <c r="X19" i="7"/>
  <c r="X20" i="7"/>
  <c r="X21" i="7"/>
  <c r="Y39" i="8"/>
  <c r="Y38" i="8"/>
  <c r="Y17" i="8"/>
  <c r="Y18" i="8"/>
  <c r="Y42" i="8"/>
  <c r="Y43" i="8"/>
  <c r="X22" i="7"/>
  <c r="X23" i="7"/>
  <c r="Y30" i="8"/>
  <c r="Y31" i="8"/>
  <c r="X45" i="7"/>
  <c r="X46" i="7"/>
  <c r="Y26" i="8"/>
  <c r="Y27" i="8"/>
  <c r="X28" i="7"/>
  <c r="X29" i="7"/>
  <c r="X42" i="7"/>
  <c r="X41" i="7"/>
  <c r="K19" i="8" l="1"/>
  <c r="K20" i="8" s="1"/>
  <c r="K21" i="8" s="1"/>
  <c r="K22" i="8" s="1"/>
  <c r="L19" i="7"/>
  <c r="L20" i="7" s="1"/>
  <c r="L21" i="7" s="1"/>
  <c r="L22" i="7" s="1"/>
  <c r="L23" i="7" s="1"/>
  <c r="Y37" i="2"/>
  <c r="Y21" i="2"/>
  <c r="Y24" i="2"/>
  <c r="Y20" i="2"/>
  <c r="Y22" i="2"/>
  <c r="Y40" i="2"/>
  <c r="Y46" i="7"/>
  <c r="Z28" i="8"/>
  <c r="Z20" i="8"/>
  <c r="Y45" i="7"/>
  <c r="Z29" i="8"/>
  <c r="Y25" i="7"/>
  <c r="Z15" i="8"/>
  <c r="Z43" i="8"/>
  <c r="Z19" i="8"/>
  <c r="Y15" i="7"/>
  <c r="Y34" i="7"/>
  <c r="Z38" i="8"/>
  <c r="Y43" i="2"/>
  <c r="Y50" i="2"/>
  <c r="Y48" i="2"/>
  <c r="Y38" i="2"/>
  <c r="Y17" i="2"/>
  <c r="Y40" i="7"/>
  <c r="Y30" i="7"/>
  <c r="Z16" i="8"/>
  <c r="Y33" i="7"/>
  <c r="Z18" i="8"/>
  <c r="Z22" i="8"/>
  <c r="Y49" i="7"/>
  <c r="Y35" i="2"/>
  <c r="Y13" i="7"/>
  <c r="Z12" i="8"/>
  <c r="Y39" i="2"/>
  <c r="Y19" i="2"/>
  <c r="Y35" i="7"/>
  <c r="Y50" i="7"/>
  <c r="Z24" i="8"/>
  <c r="Y38" i="7"/>
  <c r="Y16" i="2"/>
  <c r="Y28" i="7"/>
  <c r="Y26" i="7"/>
  <c r="Y26" i="2"/>
  <c r="Y49" i="2"/>
  <c r="Y30" i="2"/>
  <c r="X12" i="7"/>
  <c r="Y12" i="2"/>
  <c r="Z49" i="8"/>
  <c r="Y44" i="7"/>
  <c r="Z27" i="8"/>
  <c r="Y31" i="7"/>
  <c r="Y19" i="7"/>
  <c r="Y21" i="7"/>
  <c r="Y18" i="7"/>
  <c r="Z13" i="8"/>
  <c r="Z21" i="8"/>
  <c r="Z37" i="8"/>
  <c r="Y14" i="7"/>
  <c r="Y27" i="7"/>
  <c r="Y23" i="7"/>
  <c r="Y14" i="2"/>
  <c r="Y36" i="2"/>
  <c r="Y25" i="2"/>
  <c r="Y29" i="2"/>
  <c r="Y33" i="2"/>
  <c r="Z44" i="8"/>
  <c r="Z39" i="8"/>
  <c r="Z23" i="8"/>
  <c r="Z26" i="8"/>
  <c r="Z50" i="8"/>
  <c r="Z36" i="8"/>
  <c r="Z32" i="8"/>
  <c r="Y41" i="2"/>
  <c r="Y43" i="7"/>
  <c r="Y29" i="7"/>
  <c r="Z30" i="8"/>
  <c r="Y46" i="2"/>
  <c r="Y44" i="2"/>
  <c r="Y17" i="7"/>
  <c r="Z45" i="8"/>
  <c r="Z41" i="8"/>
  <c r="Z34" i="8"/>
  <c r="Y15" i="2"/>
  <c r="Z31" i="8"/>
  <c r="Z48" i="8"/>
  <c r="Z46" i="8"/>
  <c r="Y47" i="2"/>
  <c r="Y34" i="2"/>
  <c r="Y42" i="2"/>
  <c r="Y23" i="2"/>
  <c r="Y28" i="2"/>
  <c r="Y20" i="7"/>
  <c r="Y47" i="7"/>
  <c r="Y36" i="7"/>
  <c r="Z14" i="8"/>
  <c r="Z35" i="8"/>
  <c r="Y42" i="7"/>
  <c r="Z25" i="8"/>
  <c r="Y16" i="7"/>
  <c r="Z17" i="8"/>
  <c r="Y48" i="7"/>
  <c r="Y24" i="7"/>
  <c r="Y37" i="7"/>
  <c r="Y39" i="7"/>
  <c r="Y31" i="2"/>
  <c r="Y13" i="2"/>
  <c r="Y32" i="7"/>
  <c r="Z47" i="8"/>
  <c r="Y32" i="2"/>
  <c r="Y22" i="7"/>
  <c r="Z42" i="8"/>
  <c r="Z40" i="8"/>
  <c r="Z33" i="8"/>
  <c r="Y18" i="2"/>
  <c r="Y27" i="2"/>
  <c r="Y45" i="2"/>
  <c r="Y41" i="7"/>
  <c r="N21" i="8" l="1"/>
  <c r="O21" i="7"/>
  <c r="S18" i="2"/>
  <c r="S19" i="2" s="1"/>
  <c r="V19" i="8"/>
  <c r="K23" i="8"/>
  <c r="S21" i="8"/>
  <c r="P21" i="8"/>
  <c r="R21" i="8"/>
  <c r="L24" i="7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127" i="7" s="1"/>
  <c r="L128" i="7" s="1"/>
  <c r="L129" i="7" s="1"/>
  <c r="L130" i="7" s="1"/>
  <c r="L131" i="7" s="1"/>
  <c r="L132" i="7" s="1"/>
  <c r="L133" i="7" s="1"/>
  <c r="L134" i="7" s="1"/>
  <c r="L135" i="7" s="1"/>
  <c r="R21" i="7"/>
  <c r="Q21" i="7"/>
  <c r="AB13" i="8"/>
  <c r="AA13" i="7"/>
  <c r="Y12" i="7"/>
  <c r="AA11" i="7"/>
  <c r="U19" i="7" l="1"/>
  <c r="O22" i="7"/>
  <c r="K24" i="8"/>
  <c r="L136" i="7"/>
  <c r="N22" i="8"/>
  <c r="AB14" i="8"/>
  <c r="AA14" i="7"/>
  <c r="S22" i="8" l="1"/>
  <c r="R22" i="7"/>
  <c r="K25" i="8"/>
  <c r="P22" i="8"/>
  <c r="R22" i="8"/>
  <c r="Q22" i="7"/>
  <c r="L137" i="7"/>
  <c r="O23" i="7" l="1"/>
  <c r="Q23" i="7" s="1"/>
  <c r="N23" i="8"/>
  <c r="R23" i="8" s="1"/>
  <c r="K26" i="8"/>
  <c r="AA15" i="7"/>
  <c r="AB15" i="8"/>
  <c r="P23" i="8" l="1"/>
  <c r="N24" i="8" s="1"/>
  <c r="R24" i="8" s="1"/>
  <c r="O24" i="7"/>
  <c r="Q24" i="7" s="1"/>
  <c r="K27" i="8"/>
  <c r="R23" i="7"/>
  <c r="S23" i="8"/>
  <c r="AB16" i="8"/>
  <c r="AA16" i="7"/>
  <c r="K28" i="8" l="1"/>
  <c r="R24" i="7"/>
  <c r="S24" i="8"/>
  <c r="O25" i="7"/>
  <c r="Q25" i="7" s="1"/>
  <c r="P24" i="8"/>
  <c r="AA17" i="7"/>
  <c r="O26" i="7" l="1"/>
  <c r="N25" i="8"/>
  <c r="R25" i="7"/>
  <c r="K29" i="8"/>
  <c r="AB17" i="8"/>
  <c r="AA18" i="7"/>
  <c r="S25" i="8" l="1"/>
  <c r="R25" i="8"/>
  <c r="R26" i="7"/>
  <c r="K30" i="8"/>
  <c r="Q26" i="7"/>
  <c r="P25" i="8"/>
  <c r="J31" i="9"/>
  <c r="I35" i="9" s="1"/>
  <c r="I33" i="9"/>
  <c r="I32" i="9"/>
  <c r="I34" i="9"/>
  <c r="G27" i="27"/>
  <c r="G26" i="31"/>
  <c r="J27" i="29"/>
  <c r="G25" i="31"/>
  <c r="G25" i="27"/>
  <c r="J25" i="29"/>
  <c r="J26" i="29"/>
  <c r="G27" i="31"/>
  <c r="J28" i="29"/>
  <c r="N26" i="8" l="1"/>
  <c r="P26" i="8" s="1"/>
  <c r="K31" i="8"/>
  <c r="O27" i="7"/>
  <c r="Q32" i="9"/>
  <c r="Q33" i="9" s="1"/>
  <c r="Q34" i="9" s="1"/>
  <c r="Q35" i="9" s="1"/>
  <c r="S34" i="9"/>
  <c r="S33" i="9"/>
  <c r="S32" i="9"/>
  <c r="S35" i="9"/>
  <c r="P31" i="9"/>
  <c r="L33" i="9"/>
  <c r="J35" i="9"/>
  <c r="I39" i="9" s="1"/>
  <c r="G28" i="31"/>
  <c r="Z20" i="9"/>
  <c r="G28" i="27"/>
  <c r="Z19" i="9"/>
  <c r="AA19" i="7"/>
  <c r="AB18" i="8"/>
  <c r="I36" i="9"/>
  <c r="G26" i="27"/>
  <c r="Z18" i="9"/>
  <c r="Z21" i="9"/>
  <c r="G29" i="31"/>
  <c r="I37" i="9"/>
  <c r="J30" i="29"/>
  <c r="I38" i="9"/>
  <c r="J32" i="29"/>
  <c r="Z22" i="9"/>
  <c r="G29" i="27"/>
  <c r="G32" i="31"/>
  <c r="G30" i="31"/>
  <c r="G31" i="27"/>
  <c r="G30" i="27"/>
  <c r="J29" i="29"/>
  <c r="G32" i="27"/>
  <c r="J31" i="29"/>
  <c r="R27" i="7" l="1"/>
  <c r="S26" i="8"/>
  <c r="K32" i="8"/>
  <c r="R26" i="8"/>
  <c r="N27" i="8" s="1"/>
  <c r="Q27" i="7"/>
  <c r="Q36" i="9"/>
  <c r="Q37" i="9" s="1"/>
  <c r="Q38" i="9" s="1"/>
  <c r="Q39" i="9" s="1"/>
  <c r="S37" i="9"/>
  <c r="S36" i="9"/>
  <c r="S38" i="9"/>
  <c r="P30" i="9"/>
  <c r="S39" i="9"/>
  <c r="L35" i="9"/>
  <c r="L37" i="9" s="1"/>
  <c r="N33" i="9"/>
  <c r="J39" i="9"/>
  <c r="I43" i="9" s="1"/>
  <c r="I41" i="9"/>
  <c r="AB19" i="8"/>
  <c r="I23" i="29"/>
  <c r="I40" i="9"/>
  <c r="I23" i="27"/>
  <c r="J34" i="29"/>
  <c r="G33" i="27"/>
  <c r="G34" i="31"/>
  <c r="Z23" i="9"/>
  <c r="Z24" i="9"/>
  <c r="G31" i="31"/>
  <c r="J33" i="29"/>
  <c r="I24" i="29"/>
  <c r="I42" i="9"/>
  <c r="J35" i="29" s="1"/>
  <c r="G36" i="31"/>
  <c r="G35" i="27"/>
  <c r="AA16" i="9"/>
  <c r="G34" i="27"/>
  <c r="G36" i="27"/>
  <c r="I24" i="27"/>
  <c r="Z25" i="9"/>
  <c r="I24" i="31"/>
  <c r="I23" i="31"/>
  <c r="AA17" i="9"/>
  <c r="G35" i="31"/>
  <c r="J36" i="29"/>
  <c r="U15" i="27"/>
  <c r="G33" i="31"/>
  <c r="S27" i="8" l="1"/>
  <c r="P27" i="8"/>
  <c r="K33" i="8"/>
  <c r="O28" i="7"/>
  <c r="R27" i="8"/>
  <c r="Q40" i="9"/>
  <c r="Q41" i="9" s="1"/>
  <c r="Q42" i="9" s="1"/>
  <c r="Q43" i="9" s="1"/>
  <c r="S42" i="9"/>
  <c r="S41" i="9"/>
  <c r="S40" i="9"/>
  <c r="S43" i="9"/>
  <c r="R30" i="9"/>
  <c r="R31" i="9" s="1"/>
  <c r="M33" i="9"/>
  <c r="L39" i="9"/>
  <c r="L41" i="9" s="1"/>
  <c r="J43" i="9"/>
  <c r="I47" i="9" s="1"/>
  <c r="Z26" i="9"/>
  <c r="I44" i="9"/>
  <c r="AA20" i="7"/>
  <c r="AB16" i="9"/>
  <c r="I45" i="9"/>
  <c r="U16" i="27"/>
  <c r="G38" i="31"/>
  <c r="U15" i="31"/>
  <c r="AB17" i="9"/>
  <c r="Z29" i="9"/>
  <c r="G37" i="31"/>
  <c r="G37" i="27"/>
  <c r="Z28" i="9"/>
  <c r="Z30" i="9"/>
  <c r="Y16" i="29"/>
  <c r="Z27" i="9"/>
  <c r="U16" i="31"/>
  <c r="G38" i="27"/>
  <c r="J37" i="29"/>
  <c r="Y15" i="29"/>
  <c r="I46" i="9"/>
  <c r="J38" i="29"/>
  <c r="G39" i="27"/>
  <c r="G40" i="27"/>
  <c r="J40" i="29"/>
  <c r="J39" i="29"/>
  <c r="G40" i="31"/>
  <c r="N28" i="8" l="1"/>
  <c r="P28" i="8" s="1"/>
  <c r="K34" i="8"/>
  <c r="R28" i="7"/>
  <c r="Q28" i="7"/>
  <c r="Q44" i="9"/>
  <c r="Q45" i="9" s="1"/>
  <c r="Q46" i="9" s="1"/>
  <c r="Q47" i="9" s="1"/>
  <c r="P33" i="9"/>
  <c r="N35" i="9"/>
  <c r="M35" i="9" s="1"/>
  <c r="N37" i="9" s="1"/>
  <c r="S46" i="9"/>
  <c r="S45" i="9"/>
  <c r="S44" i="9"/>
  <c r="S47" i="9"/>
  <c r="L43" i="9"/>
  <c r="L45" i="9" s="1"/>
  <c r="J47" i="9"/>
  <c r="I51" i="9" s="1"/>
  <c r="G39" i="31"/>
  <c r="V15" i="31"/>
  <c r="I50" i="9"/>
  <c r="AB20" i="8"/>
  <c r="Z33" i="9"/>
  <c r="G44" i="31"/>
  <c r="J44" i="29"/>
  <c r="I48" i="9"/>
  <c r="Z34" i="9"/>
  <c r="G44" i="27"/>
  <c r="I49" i="9"/>
  <c r="G43" i="31" s="1"/>
  <c r="J41" i="29"/>
  <c r="J43" i="29"/>
  <c r="Z31" i="9"/>
  <c r="Z32" i="9"/>
  <c r="V16" i="31"/>
  <c r="G41" i="27"/>
  <c r="G43" i="27"/>
  <c r="J42" i="29"/>
  <c r="G41" i="31"/>
  <c r="G42" i="31"/>
  <c r="G42" i="27"/>
  <c r="R28" i="8" l="1"/>
  <c r="N29" i="8" s="1"/>
  <c r="P29" i="8" s="1"/>
  <c r="S28" i="8"/>
  <c r="O29" i="7"/>
  <c r="Q29" i="7" s="1"/>
  <c r="K35" i="8"/>
  <c r="P32" i="9"/>
  <c r="R32" i="9" s="1"/>
  <c r="R33" i="9" s="1"/>
  <c r="P35" i="9" s="1"/>
  <c r="Q48" i="9"/>
  <c r="Q49" i="9" s="1"/>
  <c r="Q50" i="9" s="1"/>
  <c r="Q51" i="9" s="1"/>
  <c r="S48" i="9"/>
  <c r="S50" i="9"/>
  <c r="S49" i="9"/>
  <c r="S51" i="9"/>
  <c r="M37" i="9"/>
  <c r="N39" i="9" s="1"/>
  <c r="L47" i="9"/>
  <c r="L49" i="9" s="1"/>
  <c r="J51" i="9"/>
  <c r="Z37" i="9"/>
  <c r="AA19" i="9"/>
  <c r="I26" i="29"/>
  <c r="AB21" i="8"/>
  <c r="AA18" i="9"/>
  <c r="Z35" i="9"/>
  <c r="AA21" i="7"/>
  <c r="I26" i="27"/>
  <c r="Z36" i="9"/>
  <c r="I25" i="27"/>
  <c r="I25" i="31"/>
  <c r="U17" i="31"/>
  <c r="I25" i="29"/>
  <c r="I26" i="31"/>
  <c r="U18" i="31"/>
  <c r="O30" i="7" l="1"/>
  <c r="S29" i="8"/>
  <c r="K36" i="8"/>
  <c r="R29" i="7"/>
  <c r="R29" i="8"/>
  <c r="P34" i="9"/>
  <c r="M39" i="9"/>
  <c r="N41" i="9" s="1"/>
  <c r="L51" i="9"/>
  <c r="I55" i="9"/>
  <c r="I27" i="27"/>
  <c r="AB19" i="9"/>
  <c r="AA22" i="7"/>
  <c r="AA20" i="9"/>
  <c r="Y18" i="29"/>
  <c r="U18" i="27"/>
  <c r="I28" i="31"/>
  <c r="I54" i="9"/>
  <c r="G48" i="31"/>
  <c r="G48" i="27"/>
  <c r="I27" i="31"/>
  <c r="I52" i="9"/>
  <c r="AA21" i="9"/>
  <c r="Y17" i="29"/>
  <c r="I28" i="27"/>
  <c r="AB18" i="9"/>
  <c r="J48" i="29"/>
  <c r="V18" i="31"/>
  <c r="U20" i="31"/>
  <c r="U17" i="27"/>
  <c r="I53" i="9"/>
  <c r="J47" i="29"/>
  <c r="V17" i="31"/>
  <c r="I28" i="29"/>
  <c r="I27" i="29"/>
  <c r="G46" i="27"/>
  <c r="J46" i="29"/>
  <c r="G45" i="31"/>
  <c r="G45" i="27"/>
  <c r="J45" i="29"/>
  <c r="G46" i="31"/>
  <c r="G47" i="27"/>
  <c r="G47" i="31"/>
  <c r="R30" i="7" l="1"/>
  <c r="Q30" i="7"/>
  <c r="K37" i="8"/>
  <c r="N30" i="8"/>
  <c r="R30" i="8" s="1"/>
  <c r="Q52" i="9"/>
  <c r="Q53" i="9" s="1"/>
  <c r="Q54" i="9" s="1"/>
  <c r="Q55" i="9" s="1"/>
  <c r="S54" i="9"/>
  <c r="S53" i="9"/>
  <c r="S52" i="9"/>
  <c r="S55" i="9"/>
  <c r="R34" i="9"/>
  <c r="R35" i="9" s="1"/>
  <c r="P37" i="9" s="1"/>
  <c r="M41" i="9"/>
  <c r="L53" i="9"/>
  <c r="J55" i="9"/>
  <c r="I59" i="9" s="1"/>
  <c r="U19" i="27"/>
  <c r="I58" i="9"/>
  <c r="G52" i="31"/>
  <c r="Z38" i="9"/>
  <c r="I57" i="9"/>
  <c r="Y20" i="29"/>
  <c r="G51" i="27"/>
  <c r="G52" i="27"/>
  <c r="U20" i="27"/>
  <c r="Y19" i="29"/>
  <c r="G51" i="31"/>
  <c r="Z40" i="9"/>
  <c r="AB20" i="9"/>
  <c r="V20" i="31"/>
  <c r="AB21" i="9"/>
  <c r="U19" i="31"/>
  <c r="Z41" i="9"/>
  <c r="AB22" i="8"/>
  <c r="J52" i="29"/>
  <c r="J51" i="29"/>
  <c r="Z39" i="9"/>
  <c r="I56" i="9"/>
  <c r="J49" i="29"/>
  <c r="G50" i="27"/>
  <c r="G50" i="31"/>
  <c r="Z42" i="9"/>
  <c r="J50" i="29"/>
  <c r="G49" i="27"/>
  <c r="O31" i="7" l="1"/>
  <c r="K38" i="8"/>
  <c r="S30" i="8"/>
  <c r="P30" i="8"/>
  <c r="Q56" i="9"/>
  <c r="Q57" i="9" s="1"/>
  <c r="Q58" i="9" s="1"/>
  <c r="Q59" i="9" s="1"/>
  <c r="S57" i="9"/>
  <c r="S56" i="9"/>
  <c r="S58" i="9"/>
  <c r="S59" i="9"/>
  <c r="P36" i="9"/>
  <c r="N43" i="9"/>
  <c r="M43" i="9" s="1"/>
  <c r="L55" i="9"/>
  <c r="L57" i="9" s="1"/>
  <c r="J59" i="9"/>
  <c r="I63" i="9" s="1"/>
  <c r="I60" i="9"/>
  <c r="Z44" i="9"/>
  <c r="I61" i="9"/>
  <c r="G54" i="31"/>
  <c r="I30" i="27"/>
  <c r="I30" i="29"/>
  <c r="J54" i="29"/>
  <c r="I29" i="29"/>
  <c r="G54" i="27"/>
  <c r="Z43" i="9"/>
  <c r="G49" i="31"/>
  <c r="J53" i="29"/>
  <c r="Z45" i="9"/>
  <c r="V19" i="31"/>
  <c r="AA22" i="9"/>
  <c r="AA23" i="7"/>
  <c r="AA23" i="9"/>
  <c r="I30" i="31"/>
  <c r="G53" i="31"/>
  <c r="I29" i="31"/>
  <c r="I29" i="27"/>
  <c r="I62" i="9"/>
  <c r="G53" i="27"/>
  <c r="J55" i="29"/>
  <c r="J56" i="29"/>
  <c r="G56" i="31"/>
  <c r="G55" i="31"/>
  <c r="G55" i="27"/>
  <c r="R31" i="7" l="1"/>
  <c r="K39" i="8"/>
  <c r="Q31" i="7"/>
  <c r="N31" i="8"/>
  <c r="P31" i="8" s="1"/>
  <c r="Q60" i="9"/>
  <c r="Q61" i="9" s="1"/>
  <c r="Q62" i="9" s="1"/>
  <c r="Q63" i="9" s="1"/>
  <c r="S62" i="9"/>
  <c r="S61" i="9"/>
  <c r="S60" i="9"/>
  <c r="S63" i="9"/>
  <c r="R36" i="9"/>
  <c r="R37" i="9" s="1"/>
  <c r="P39" i="9" s="1"/>
  <c r="N45" i="9"/>
  <c r="L59" i="9"/>
  <c r="L61" i="9" s="1"/>
  <c r="J63" i="9"/>
  <c r="I67" i="9" s="1"/>
  <c r="U22" i="31"/>
  <c r="Z48" i="9"/>
  <c r="AB23" i="8"/>
  <c r="I66" i="9"/>
  <c r="J60" i="29" s="1"/>
  <c r="Y22" i="29"/>
  <c r="U21" i="27"/>
  <c r="Z46" i="9"/>
  <c r="U21" i="31"/>
  <c r="I65" i="9"/>
  <c r="I64" i="9"/>
  <c r="G60" i="31"/>
  <c r="G57" i="31"/>
  <c r="Z49" i="9"/>
  <c r="G59" i="27"/>
  <c r="AB23" i="9"/>
  <c r="Y21" i="29"/>
  <c r="AB22" i="9"/>
  <c r="Z47" i="9"/>
  <c r="U22" i="27"/>
  <c r="J57" i="29"/>
  <c r="J59" i="29"/>
  <c r="G56" i="27"/>
  <c r="G58" i="27"/>
  <c r="G60" i="27"/>
  <c r="J58" i="29"/>
  <c r="G58" i="31"/>
  <c r="K40" i="8" l="1"/>
  <c r="K41" i="8" s="1"/>
  <c r="K42" i="8" s="1"/>
  <c r="S31" i="8"/>
  <c r="R31" i="8"/>
  <c r="N32" i="8" s="1"/>
  <c r="P32" i="8" s="1"/>
  <c r="O32" i="7"/>
  <c r="S67" i="9"/>
  <c r="Q64" i="9"/>
  <c r="Q65" i="9" s="1"/>
  <c r="Q66" i="9" s="1"/>
  <c r="Q67" i="9" s="1"/>
  <c r="S65" i="9"/>
  <c r="S64" i="9"/>
  <c r="S66" i="9"/>
  <c r="P38" i="9"/>
  <c r="M45" i="9"/>
  <c r="N47" i="9" s="1"/>
  <c r="L63" i="9"/>
  <c r="L65" i="9" s="1"/>
  <c r="J67" i="9"/>
  <c r="I71" i="9" s="1"/>
  <c r="G57" i="27"/>
  <c r="AA24" i="7"/>
  <c r="V22" i="31"/>
  <c r="AA24" i="9"/>
  <c r="I31" i="29"/>
  <c r="V21" i="31"/>
  <c r="I70" i="9"/>
  <c r="J64" i="29" s="1"/>
  <c r="G59" i="31"/>
  <c r="I69" i="9"/>
  <c r="G63" i="31" s="1"/>
  <c r="I31" i="27"/>
  <c r="AB24" i="8"/>
  <c r="J63" i="29"/>
  <c r="Z50" i="9"/>
  <c r="G64" i="31"/>
  <c r="I68" i="9"/>
  <c r="I32" i="31"/>
  <c r="J62" i="29"/>
  <c r="AA25" i="9"/>
  <c r="G63" i="27"/>
  <c r="I32" i="29"/>
  <c r="I31" i="31"/>
  <c r="G62" i="31"/>
  <c r="G64" i="27"/>
  <c r="G62" i="27"/>
  <c r="I32" i="27"/>
  <c r="G61" i="31"/>
  <c r="G61" i="27"/>
  <c r="J61" i="29"/>
  <c r="S32" i="8" l="1"/>
  <c r="R32" i="7"/>
  <c r="K43" i="8"/>
  <c r="R32" i="8"/>
  <c r="N33" i="8" s="1"/>
  <c r="P33" i="8" s="1"/>
  <c r="Q32" i="7"/>
  <c r="S71" i="9"/>
  <c r="Q68" i="9"/>
  <c r="Q69" i="9" s="1"/>
  <c r="Q70" i="9" s="1"/>
  <c r="Q71" i="9" s="1"/>
  <c r="V17" i="9"/>
  <c r="S70" i="9"/>
  <c r="S69" i="9"/>
  <c r="S68" i="9"/>
  <c r="R38" i="9"/>
  <c r="R39" i="9" s="1"/>
  <c r="P41" i="9" s="1"/>
  <c r="M47" i="9"/>
  <c r="L67" i="9"/>
  <c r="L69" i="9" s="1"/>
  <c r="J71" i="9"/>
  <c r="I75" i="9" s="1"/>
  <c r="U24" i="27"/>
  <c r="AB24" i="9"/>
  <c r="AB25" i="8"/>
  <c r="U23" i="31"/>
  <c r="U24" i="31"/>
  <c r="I72" i="9"/>
  <c r="U23" i="27"/>
  <c r="J65" i="29"/>
  <c r="I73" i="9"/>
  <c r="AB25" i="9"/>
  <c r="G66" i="27"/>
  <c r="I74" i="9"/>
  <c r="Y23" i="29"/>
  <c r="Y24" i="29"/>
  <c r="G65" i="27"/>
  <c r="G65" i="31"/>
  <c r="J66" i="29"/>
  <c r="G66" i="31"/>
  <c r="J67" i="29"/>
  <c r="G67" i="27"/>
  <c r="J68" i="29"/>
  <c r="G68" i="31"/>
  <c r="G68" i="27"/>
  <c r="K44" i="8" l="1"/>
  <c r="R33" i="8"/>
  <c r="S33" i="8"/>
  <c r="O33" i="7"/>
  <c r="Q33" i="7" s="1"/>
  <c r="S75" i="9"/>
  <c r="Q72" i="9"/>
  <c r="Q73" i="9" s="1"/>
  <c r="Q74" i="9" s="1"/>
  <c r="Q75" i="9" s="1"/>
  <c r="S74" i="9"/>
  <c r="S72" i="9"/>
  <c r="S73" i="9"/>
  <c r="P40" i="9"/>
  <c r="N49" i="9"/>
  <c r="L71" i="9"/>
  <c r="L73" i="9" s="1"/>
  <c r="J75" i="9"/>
  <c r="I79" i="9" s="1"/>
  <c r="G67" i="31"/>
  <c r="AA25" i="7"/>
  <c r="V23" i="31"/>
  <c r="I78" i="9"/>
  <c r="I34" i="31"/>
  <c r="I33" i="31"/>
  <c r="G72" i="27"/>
  <c r="I33" i="27"/>
  <c r="I33" i="29"/>
  <c r="V24" i="31"/>
  <c r="G72" i="31"/>
  <c r="AA27" i="9"/>
  <c r="I76" i="9"/>
  <c r="U25" i="31"/>
  <c r="G69" i="31"/>
  <c r="I77" i="9"/>
  <c r="J72" i="29"/>
  <c r="AA26" i="9"/>
  <c r="I34" i="27"/>
  <c r="U25" i="27"/>
  <c r="U26" i="31"/>
  <c r="I34" i="29"/>
  <c r="J70" i="29"/>
  <c r="G69" i="27"/>
  <c r="J69" i="29"/>
  <c r="G70" i="27"/>
  <c r="G70" i="31"/>
  <c r="G71" i="31"/>
  <c r="G71" i="27"/>
  <c r="J71" i="29"/>
  <c r="R33" i="7" l="1"/>
  <c r="K45" i="8"/>
  <c r="N34" i="8"/>
  <c r="O34" i="7"/>
  <c r="Q34" i="7" s="1"/>
  <c r="S79" i="9"/>
  <c r="Q76" i="9"/>
  <c r="Q77" i="9" s="1"/>
  <c r="Q78" i="9" s="1"/>
  <c r="Q79" i="9" s="1"/>
  <c r="S77" i="9"/>
  <c r="S76" i="9"/>
  <c r="S78" i="9"/>
  <c r="R40" i="9"/>
  <c r="R41" i="9" s="1"/>
  <c r="P43" i="9" s="1"/>
  <c r="M49" i="9"/>
  <c r="N51" i="9" s="1"/>
  <c r="L75" i="9"/>
  <c r="L77" i="9" s="1"/>
  <c r="J79" i="9"/>
  <c r="I83" i="9" s="1"/>
  <c r="V25" i="31"/>
  <c r="AB27" i="9"/>
  <c r="Y25" i="29"/>
  <c r="I80" i="9"/>
  <c r="G73" i="31"/>
  <c r="G73" i="27"/>
  <c r="U26" i="27"/>
  <c r="I82" i="9"/>
  <c r="J73" i="29"/>
  <c r="AB26" i="9"/>
  <c r="Y26" i="29"/>
  <c r="AB26" i="8"/>
  <c r="V26" i="31"/>
  <c r="I81" i="9"/>
  <c r="AA26" i="7"/>
  <c r="G74" i="27"/>
  <c r="G75" i="31"/>
  <c r="G76" i="31"/>
  <c r="G76" i="27"/>
  <c r="J76" i="29"/>
  <c r="J74" i="29"/>
  <c r="J75" i="29"/>
  <c r="G75" i="27"/>
  <c r="G74" i="31"/>
  <c r="O35" i="7" l="1"/>
  <c r="K46" i="8"/>
  <c r="K47" i="8" s="1"/>
  <c r="K48" i="8" s="1"/>
  <c r="S34" i="8"/>
  <c r="P34" i="8"/>
  <c r="R34" i="7"/>
  <c r="R34" i="8"/>
  <c r="S83" i="9"/>
  <c r="Q80" i="9"/>
  <c r="Q81" i="9" s="1"/>
  <c r="Q82" i="9" s="1"/>
  <c r="Q83" i="9" s="1"/>
  <c r="S81" i="9"/>
  <c r="S80" i="9"/>
  <c r="S82" i="9"/>
  <c r="P42" i="9"/>
  <c r="M51" i="9"/>
  <c r="N53" i="9" s="1"/>
  <c r="L79" i="9"/>
  <c r="L81" i="9" s="1"/>
  <c r="J83" i="9"/>
  <c r="I87" i="9" s="1"/>
  <c r="AA28" i="9"/>
  <c r="I36" i="31"/>
  <c r="I35" i="31"/>
  <c r="I85" i="9"/>
  <c r="I35" i="29"/>
  <c r="AA27" i="7"/>
  <c r="I84" i="9"/>
  <c r="J77" i="29"/>
  <c r="I86" i="9"/>
  <c r="G77" i="27"/>
  <c r="J80" i="29"/>
  <c r="J79" i="29"/>
  <c r="AA29" i="9"/>
  <c r="I35" i="27"/>
  <c r="I36" i="27"/>
  <c r="U28" i="27" s="1"/>
  <c r="I36" i="29"/>
  <c r="G78" i="31"/>
  <c r="G78" i="27"/>
  <c r="J78" i="29"/>
  <c r="G77" i="31"/>
  <c r="G80" i="31"/>
  <c r="G79" i="31"/>
  <c r="G80" i="27"/>
  <c r="R35" i="7" l="1"/>
  <c r="K49" i="8"/>
  <c r="Q35" i="7"/>
  <c r="N35" i="8"/>
  <c r="P35" i="8" s="1"/>
  <c r="S87" i="9"/>
  <c r="Q84" i="9"/>
  <c r="Q85" i="9" s="1"/>
  <c r="Q86" i="9" s="1"/>
  <c r="Q87" i="9" s="1"/>
  <c r="S86" i="9"/>
  <c r="S85" i="9"/>
  <c r="S84" i="9"/>
  <c r="R42" i="9"/>
  <c r="R43" i="9" s="1"/>
  <c r="P45" i="9" s="1"/>
  <c r="M53" i="9"/>
  <c r="N55" i="9" s="1"/>
  <c r="M55" i="9" s="1"/>
  <c r="L83" i="9"/>
  <c r="L85" i="9" s="1"/>
  <c r="J87" i="9"/>
  <c r="I91" i="9" s="1"/>
  <c r="I90" i="9"/>
  <c r="G84" i="27" s="1"/>
  <c r="U27" i="27"/>
  <c r="AB29" i="9"/>
  <c r="Y28" i="29"/>
  <c r="I89" i="9"/>
  <c r="J83" i="29" s="1"/>
  <c r="I88" i="9"/>
  <c r="U27" i="31"/>
  <c r="G81" i="31"/>
  <c r="G84" i="31"/>
  <c r="AB28" i="9"/>
  <c r="Y27" i="29"/>
  <c r="G79" i="27"/>
  <c r="G83" i="31"/>
  <c r="U28" i="31"/>
  <c r="J84" i="29"/>
  <c r="AB27" i="8"/>
  <c r="J81" i="29"/>
  <c r="G82" i="27"/>
  <c r="J82" i="29"/>
  <c r="G81" i="27"/>
  <c r="G82" i="31"/>
  <c r="K50" i="8" l="1"/>
  <c r="R35" i="8"/>
  <c r="N36" i="8" s="1"/>
  <c r="S35" i="8"/>
  <c r="O36" i="7"/>
  <c r="Q36" i="7" s="1"/>
  <c r="S91" i="9"/>
  <c r="Q88" i="9"/>
  <c r="Q89" i="9" s="1"/>
  <c r="Q90" i="9" s="1"/>
  <c r="Q91" i="9" s="1"/>
  <c r="S89" i="9"/>
  <c r="S90" i="9"/>
  <c r="S88" i="9"/>
  <c r="P44" i="9"/>
  <c r="N57" i="9"/>
  <c r="L87" i="9"/>
  <c r="L89" i="9" s="1"/>
  <c r="J91" i="9"/>
  <c r="I95" i="9" s="1"/>
  <c r="I38" i="31"/>
  <c r="AA30" i="9"/>
  <c r="G83" i="27"/>
  <c r="AA31" i="9"/>
  <c r="I93" i="9"/>
  <c r="I94" i="9"/>
  <c r="J87" i="29" s="1"/>
  <c r="AB28" i="8"/>
  <c r="G87" i="31"/>
  <c r="V27" i="31"/>
  <c r="AA28" i="7"/>
  <c r="I38" i="29"/>
  <c r="V28" i="31"/>
  <c r="I37" i="27"/>
  <c r="U29" i="27" s="1"/>
  <c r="I37" i="29"/>
  <c r="I37" i="31"/>
  <c r="G87" i="27"/>
  <c r="I92" i="9"/>
  <c r="I38" i="27"/>
  <c r="G85" i="27"/>
  <c r="J88" i="29"/>
  <c r="G88" i="27"/>
  <c r="G86" i="31"/>
  <c r="G86" i="27"/>
  <c r="G85" i="31"/>
  <c r="J85" i="29"/>
  <c r="J86" i="29"/>
  <c r="S36" i="8" l="1"/>
  <c r="P36" i="8"/>
  <c r="R36" i="7"/>
  <c r="K51" i="8"/>
  <c r="O37" i="7"/>
  <c r="Q37" i="7" s="1"/>
  <c r="R36" i="8"/>
  <c r="S95" i="9"/>
  <c r="Q92" i="9"/>
  <c r="Q93" i="9" s="1"/>
  <c r="Q94" i="9" s="1"/>
  <c r="Q95" i="9" s="1"/>
  <c r="S93" i="9"/>
  <c r="S92" i="9"/>
  <c r="S94" i="9"/>
  <c r="R44" i="9"/>
  <c r="R45" i="9" s="1"/>
  <c r="P47" i="9" s="1"/>
  <c r="M57" i="9"/>
  <c r="N59" i="9" s="1"/>
  <c r="M59" i="9" s="1"/>
  <c r="L91" i="9"/>
  <c r="L93" i="9" s="1"/>
  <c r="J95" i="9"/>
  <c r="I99" i="9" s="1"/>
  <c r="AB31" i="9"/>
  <c r="I97" i="9"/>
  <c r="U30" i="27"/>
  <c r="I96" i="9"/>
  <c r="J89" i="29"/>
  <c r="U30" i="31"/>
  <c r="G89" i="31"/>
  <c r="G88" i="31"/>
  <c r="G90" i="27"/>
  <c r="AB30" i="9"/>
  <c r="Y30" i="29"/>
  <c r="G90" i="31"/>
  <c r="I98" i="9"/>
  <c r="U29" i="31"/>
  <c r="AA29" i="7"/>
  <c r="Y29" i="29"/>
  <c r="G91" i="31"/>
  <c r="J90" i="29"/>
  <c r="J91" i="29"/>
  <c r="G92" i="27"/>
  <c r="J92" i="29"/>
  <c r="G91" i="27"/>
  <c r="O38" i="7" l="1"/>
  <c r="N37" i="8"/>
  <c r="P37" i="8" s="1"/>
  <c r="R37" i="7"/>
  <c r="K52" i="8"/>
  <c r="S99" i="9"/>
  <c r="Q96" i="9"/>
  <c r="Q97" i="9" s="1"/>
  <c r="Q98" i="9" s="1"/>
  <c r="Q99" i="9" s="1"/>
  <c r="S96" i="9"/>
  <c r="S98" i="9"/>
  <c r="S97" i="9"/>
  <c r="P46" i="9"/>
  <c r="N61" i="9"/>
  <c r="L95" i="9"/>
  <c r="L97" i="9" s="1"/>
  <c r="J99" i="9"/>
  <c r="I103" i="9" s="1"/>
  <c r="AA33" i="9"/>
  <c r="I40" i="27"/>
  <c r="I102" i="9"/>
  <c r="I39" i="31"/>
  <c r="U31" i="31"/>
  <c r="I39" i="27"/>
  <c r="J96" i="29"/>
  <c r="V29" i="31"/>
  <c r="G89" i="27"/>
  <c r="I101" i="9"/>
  <c r="G95" i="31" s="1"/>
  <c r="I39" i="29"/>
  <c r="AB29" i="8"/>
  <c r="AA32" i="9"/>
  <c r="V30" i="31"/>
  <c r="I100" i="9"/>
  <c r="G92" i="31"/>
  <c r="G93" i="27"/>
  <c r="AA30" i="7"/>
  <c r="G96" i="31"/>
  <c r="I40" i="31"/>
  <c r="G95" i="27"/>
  <c r="J95" i="29"/>
  <c r="I40" i="29"/>
  <c r="G94" i="31"/>
  <c r="J93" i="29"/>
  <c r="J94" i="29"/>
  <c r="G93" i="31"/>
  <c r="R37" i="8" l="1"/>
  <c r="N38" i="8" s="1"/>
  <c r="P38" i="8" s="1"/>
  <c r="R38" i="7"/>
  <c r="Q38" i="7"/>
  <c r="K53" i="8"/>
  <c r="S37" i="8"/>
  <c r="S103" i="9"/>
  <c r="Q100" i="9"/>
  <c r="Q101" i="9" s="1"/>
  <c r="Q102" i="9" s="1"/>
  <c r="Q103" i="9" s="1"/>
  <c r="S102" i="9"/>
  <c r="S101" i="9"/>
  <c r="S100" i="9"/>
  <c r="R46" i="9"/>
  <c r="R47" i="9" s="1"/>
  <c r="P49" i="9" s="1"/>
  <c r="M61" i="9"/>
  <c r="N63" i="9" s="1"/>
  <c r="L99" i="9"/>
  <c r="L101" i="9" s="1"/>
  <c r="J103" i="9"/>
  <c r="I107" i="9" s="1"/>
  <c r="U31" i="27"/>
  <c r="AB32" i="9"/>
  <c r="AB30" i="8"/>
  <c r="U32" i="31"/>
  <c r="I106" i="9"/>
  <c r="J100" i="29"/>
  <c r="I104" i="9"/>
  <c r="G97" i="31"/>
  <c r="J97" i="29"/>
  <c r="AB33" i="9"/>
  <c r="G94" i="27"/>
  <c r="I105" i="9"/>
  <c r="G98" i="27" s="1"/>
  <c r="G100" i="31"/>
  <c r="J98" i="29"/>
  <c r="G98" i="31"/>
  <c r="G96" i="27"/>
  <c r="G100" i="27"/>
  <c r="V31" i="31"/>
  <c r="Y32" i="29"/>
  <c r="J99" i="29"/>
  <c r="Y31" i="29"/>
  <c r="G99" i="31"/>
  <c r="U32" i="27"/>
  <c r="G97" i="27"/>
  <c r="G99" i="27"/>
  <c r="K54" i="8" l="1"/>
  <c r="K55" i="8" s="1"/>
  <c r="S38" i="8"/>
  <c r="O39" i="7"/>
  <c r="Q39" i="7" s="1"/>
  <c r="R38" i="8"/>
  <c r="N39" i="8" s="1"/>
  <c r="S107" i="9"/>
  <c r="Q104" i="9"/>
  <c r="Q105" i="9" s="1"/>
  <c r="Q106" i="9" s="1"/>
  <c r="Q107" i="9" s="1"/>
  <c r="S104" i="9"/>
  <c r="S106" i="9"/>
  <c r="S105" i="9"/>
  <c r="P48" i="9"/>
  <c r="M63" i="9"/>
  <c r="N65" i="9" s="1"/>
  <c r="L103" i="9"/>
  <c r="L105" i="9" s="1"/>
  <c r="J107" i="9"/>
  <c r="I111" i="9" s="1"/>
  <c r="V32" i="31"/>
  <c r="AA34" i="9"/>
  <c r="AA35" i="9"/>
  <c r="I41" i="29"/>
  <c r="I42" i="31"/>
  <c r="I41" i="31"/>
  <c r="I110" i="9"/>
  <c r="J104" i="29"/>
  <c r="I109" i="9"/>
  <c r="J103" i="29" s="1"/>
  <c r="I41" i="27"/>
  <c r="U33" i="27" s="1"/>
  <c r="G103" i="31"/>
  <c r="U33" i="31"/>
  <c r="AA31" i="7"/>
  <c r="G103" i="27"/>
  <c r="I108" i="9"/>
  <c r="I42" i="29"/>
  <c r="U34" i="31"/>
  <c r="G102" i="27"/>
  <c r="AB31" i="8"/>
  <c r="G101" i="31"/>
  <c r="G104" i="27"/>
  <c r="G101" i="27"/>
  <c r="I42" i="27"/>
  <c r="G104" i="31"/>
  <c r="G102" i="31"/>
  <c r="J101" i="29"/>
  <c r="J102" i="29"/>
  <c r="O40" i="7" l="1"/>
  <c r="Q40" i="7" s="1"/>
  <c r="R39" i="8"/>
  <c r="K56" i="8"/>
  <c r="P39" i="8"/>
  <c r="S39" i="8"/>
  <c r="R39" i="7"/>
  <c r="S111" i="9"/>
  <c r="Q108" i="9"/>
  <c r="Q109" i="9" s="1"/>
  <c r="Q110" i="9" s="1"/>
  <c r="Q111" i="9" s="1"/>
  <c r="S108" i="9"/>
  <c r="S110" i="9"/>
  <c r="S109" i="9"/>
  <c r="R48" i="9"/>
  <c r="R49" i="9" s="1"/>
  <c r="P51" i="9" s="1"/>
  <c r="M65" i="9"/>
  <c r="N67" i="9" s="1"/>
  <c r="M67" i="9" s="1"/>
  <c r="L107" i="9"/>
  <c r="L109" i="9" s="1"/>
  <c r="J111" i="9"/>
  <c r="I115" i="9" s="1"/>
  <c r="AB35" i="9"/>
  <c r="I113" i="9"/>
  <c r="I114" i="9"/>
  <c r="Y33" i="29"/>
  <c r="J107" i="29"/>
  <c r="Y34" i="29"/>
  <c r="U34" i="27"/>
  <c r="AA32" i="7"/>
  <c r="G107" i="27"/>
  <c r="V33" i="31"/>
  <c r="AB34" i="9"/>
  <c r="V34" i="31"/>
  <c r="G108" i="31"/>
  <c r="G108" i="27"/>
  <c r="I112" i="9"/>
  <c r="J105" i="29"/>
  <c r="G107" i="31"/>
  <c r="G105" i="31"/>
  <c r="J106" i="29"/>
  <c r="G105" i="27"/>
  <c r="G106" i="31"/>
  <c r="G106" i="27"/>
  <c r="O41" i="7" l="1"/>
  <c r="Q41" i="7" s="1"/>
  <c r="N40" i="8"/>
  <c r="R40" i="8" s="1"/>
  <c r="R40" i="7"/>
  <c r="K57" i="8"/>
  <c r="K58" i="8" s="1"/>
  <c r="S115" i="9"/>
  <c r="Q112" i="9"/>
  <c r="Q113" i="9" s="1"/>
  <c r="Q114" i="9" s="1"/>
  <c r="Q115" i="9" s="1"/>
  <c r="S113" i="9"/>
  <c r="S112" i="9"/>
  <c r="S114" i="9"/>
  <c r="P50" i="9"/>
  <c r="N69" i="9"/>
  <c r="M69" i="9" s="1"/>
  <c r="L111" i="9"/>
  <c r="L113" i="9" s="1"/>
  <c r="J115" i="9"/>
  <c r="I43" i="27"/>
  <c r="U35" i="27"/>
  <c r="AA36" i="9"/>
  <c r="J108" i="29"/>
  <c r="AA33" i="7"/>
  <c r="I44" i="31"/>
  <c r="AB32" i="8"/>
  <c r="I44" i="27"/>
  <c r="U36" i="27" s="1"/>
  <c r="I44" i="29"/>
  <c r="I43" i="31"/>
  <c r="I43" i="29"/>
  <c r="AA37" i="9"/>
  <c r="P40" i="8" l="1"/>
  <c r="O42" i="7"/>
  <c r="Q42" i="7" s="1"/>
  <c r="S40" i="8"/>
  <c r="R41" i="7"/>
  <c r="K59" i="8"/>
  <c r="K60" i="8" s="1"/>
  <c r="N41" i="8"/>
  <c r="P41" i="8" s="1"/>
  <c r="R50" i="9"/>
  <c r="R51" i="9" s="1"/>
  <c r="P53" i="9" s="1"/>
  <c r="N71" i="9"/>
  <c r="M71" i="9" s="1"/>
  <c r="L115" i="9"/>
  <c r="I119" i="9"/>
  <c r="AA34" i="7"/>
  <c r="Y35" i="29"/>
  <c r="Y36" i="29"/>
  <c r="I117" i="9"/>
  <c r="I116" i="9"/>
  <c r="U35" i="31"/>
  <c r="AB36" i="9"/>
  <c r="G109" i="27"/>
  <c r="G110" i="27"/>
  <c r="G110" i="31"/>
  <c r="U36" i="31"/>
  <c r="I118" i="9"/>
  <c r="G112" i="31"/>
  <c r="AB37" i="9"/>
  <c r="AB33" i="8"/>
  <c r="J111" i="29"/>
  <c r="J110" i="29"/>
  <c r="J109" i="29"/>
  <c r="G109" i="31"/>
  <c r="G111" i="27"/>
  <c r="G111" i="31"/>
  <c r="G112" i="27"/>
  <c r="J112" i="29"/>
  <c r="R41" i="8" l="1"/>
  <c r="N42" i="8" s="1"/>
  <c r="P42" i="8" s="1"/>
  <c r="O43" i="7"/>
  <c r="K61" i="8"/>
  <c r="S41" i="8"/>
  <c r="R42" i="7"/>
  <c r="Q116" i="9"/>
  <c r="Q117" i="9" s="1"/>
  <c r="Q118" i="9" s="1"/>
  <c r="Q119" i="9" s="1"/>
  <c r="S118" i="9"/>
  <c r="S117" i="9"/>
  <c r="S116" i="9"/>
  <c r="J119" i="9"/>
  <c r="I123" i="9" s="1"/>
  <c r="S119" i="9"/>
  <c r="P52" i="9"/>
  <c r="N73" i="9"/>
  <c r="M73" i="9" s="1"/>
  <c r="L117" i="9"/>
  <c r="V36" i="31"/>
  <c r="I45" i="29"/>
  <c r="AA38" i="9"/>
  <c r="I46" i="27"/>
  <c r="I45" i="31"/>
  <c r="AA39" i="9"/>
  <c r="I46" i="31"/>
  <c r="U38" i="31" s="1"/>
  <c r="I45" i="27"/>
  <c r="I122" i="9"/>
  <c r="AA35" i="7"/>
  <c r="U37" i="31"/>
  <c r="AB34" i="8"/>
  <c r="I46" i="29"/>
  <c r="V35" i="31"/>
  <c r="I120" i="9"/>
  <c r="I121" i="9"/>
  <c r="G114" i="27"/>
  <c r="J116" i="29"/>
  <c r="G116" i="31"/>
  <c r="G116" i="27"/>
  <c r="G114" i="31"/>
  <c r="G113" i="31"/>
  <c r="J114" i="29"/>
  <c r="J113" i="29"/>
  <c r="G113" i="27"/>
  <c r="G115" i="27"/>
  <c r="G115" i="31"/>
  <c r="J115" i="29"/>
  <c r="R42" i="8" l="1"/>
  <c r="N43" i="8" s="1"/>
  <c r="P43" i="8" s="1"/>
  <c r="R43" i="7"/>
  <c r="K62" i="8"/>
  <c r="Q43" i="7"/>
  <c r="S42" i="8"/>
  <c r="Q120" i="9"/>
  <c r="Q121" i="9" s="1"/>
  <c r="Q122" i="9" s="1"/>
  <c r="Q123" i="9" s="1"/>
  <c r="S120" i="9"/>
  <c r="S121" i="9"/>
  <c r="S122" i="9"/>
  <c r="R52" i="9"/>
  <c r="R53" i="9" s="1"/>
  <c r="S123" i="9"/>
  <c r="J123" i="9"/>
  <c r="I127" i="9" s="1"/>
  <c r="N75" i="9"/>
  <c r="M75" i="9" s="1"/>
  <c r="L119" i="9"/>
  <c r="U38" i="27"/>
  <c r="I124" i="9"/>
  <c r="AB39" i="9"/>
  <c r="J117" i="29"/>
  <c r="Y37" i="29"/>
  <c r="I125" i="9"/>
  <c r="U37" i="27"/>
  <c r="G118" i="27"/>
  <c r="AB35" i="8"/>
  <c r="V38" i="31"/>
  <c r="J118" i="29"/>
  <c r="G117" i="31"/>
  <c r="I126" i="9"/>
  <c r="G117" i="27"/>
  <c r="AB38" i="9"/>
  <c r="Y38" i="29"/>
  <c r="V37" i="31"/>
  <c r="G118" i="31"/>
  <c r="G119" i="31"/>
  <c r="J119" i="29"/>
  <c r="J120" i="29"/>
  <c r="G120" i="31"/>
  <c r="S43" i="8" l="1"/>
  <c r="O44" i="7"/>
  <c r="Q44" i="7" s="1"/>
  <c r="K63" i="8"/>
  <c r="R43" i="8"/>
  <c r="N44" i="8" s="1"/>
  <c r="Q124" i="9"/>
  <c r="Q125" i="9" s="1"/>
  <c r="Q126" i="9" s="1"/>
  <c r="Q127" i="9" s="1"/>
  <c r="S124" i="9"/>
  <c r="S125" i="9"/>
  <c r="S126" i="9"/>
  <c r="S127" i="9"/>
  <c r="P55" i="9"/>
  <c r="J127" i="9"/>
  <c r="I131" i="9" s="1"/>
  <c r="N77" i="9"/>
  <c r="L121" i="9"/>
  <c r="AB36" i="8"/>
  <c r="I129" i="9"/>
  <c r="I128" i="9"/>
  <c r="G122" i="27"/>
  <c r="G120" i="27"/>
  <c r="AA36" i="7"/>
  <c r="I130" i="9"/>
  <c r="G119" i="27"/>
  <c r="G122" i="31"/>
  <c r="G123" i="31"/>
  <c r="G121" i="27"/>
  <c r="G121" i="31"/>
  <c r="J121" i="29"/>
  <c r="J122" i="29"/>
  <c r="J124" i="29"/>
  <c r="G124" i="27"/>
  <c r="G124" i="31"/>
  <c r="S44" i="8" l="1"/>
  <c r="P44" i="8"/>
  <c r="O45" i="7"/>
  <c r="K64" i="8"/>
  <c r="R44" i="7"/>
  <c r="R44" i="8"/>
  <c r="Q128" i="9"/>
  <c r="Q129" i="9" s="1"/>
  <c r="Q130" i="9" s="1"/>
  <c r="Q131" i="9" s="1"/>
  <c r="S130" i="9"/>
  <c r="S128" i="9"/>
  <c r="S129" i="9"/>
  <c r="S131" i="9"/>
  <c r="P54" i="9"/>
  <c r="J131" i="9"/>
  <c r="I135" i="9" s="1"/>
  <c r="M77" i="9"/>
  <c r="L123" i="9"/>
  <c r="J123" i="29"/>
  <c r="I133" i="9"/>
  <c r="I47" i="27"/>
  <c r="I134" i="9"/>
  <c r="AA37" i="7"/>
  <c r="I47" i="31"/>
  <c r="G127" i="27"/>
  <c r="I132" i="9"/>
  <c r="G125" i="27" s="1"/>
  <c r="I48" i="27"/>
  <c r="G123" i="27"/>
  <c r="J126" i="29"/>
  <c r="J128" i="29"/>
  <c r="J127" i="29"/>
  <c r="G128" i="27"/>
  <c r="AA40" i="9"/>
  <c r="G125" i="31"/>
  <c r="U40" i="27"/>
  <c r="G126" i="27"/>
  <c r="I47" i="29"/>
  <c r="J125" i="29"/>
  <c r="G127" i="31"/>
  <c r="I48" i="29"/>
  <c r="G126" i="31"/>
  <c r="AA41" i="9"/>
  <c r="G128" i="31"/>
  <c r="I48" i="31"/>
  <c r="U40" i="31"/>
  <c r="K65" i="8" l="1"/>
  <c r="K66" i="8" s="1"/>
  <c r="N45" i="8"/>
  <c r="P45" i="8" s="1"/>
  <c r="R45" i="7"/>
  <c r="Q45" i="7"/>
  <c r="Q132" i="9"/>
  <c r="Q133" i="9" s="1"/>
  <c r="Q134" i="9" s="1"/>
  <c r="Q135" i="9" s="1"/>
  <c r="J135" i="9"/>
  <c r="S133" i="9"/>
  <c r="S134" i="9"/>
  <c r="S132" i="9"/>
  <c r="R54" i="9"/>
  <c r="R55" i="9" s="1"/>
  <c r="S135" i="9"/>
  <c r="N79" i="9"/>
  <c r="L125" i="9"/>
  <c r="I139" i="9"/>
  <c r="U39" i="31"/>
  <c r="I138" i="9"/>
  <c r="U39" i="27"/>
  <c r="I137" i="9"/>
  <c r="J132" i="29"/>
  <c r="Y39" i="29"/>
  <c r="Y40" i="29"/>
  <c r="G131" i="27"/>
  <c r="I136" i="9"/>
  <c r="G132" i="27"/>
  <c r="AB37" i="8"/>
  <c r="G131" i="31"/>
  <c r="V40" i="31"/>
  <c r="J130" i="29"/>
  <c r="AB41" i="9"/>
  <c r="J131" i="29"/>
  <c r="AB40" i="9"/>
  <c r="G129" i="27"/>
  <c r="J129" i="29"/>
  <c r="G129" i="31"/>
  <c r="G130" i="27"/>
  <c r="G130" i="31"/>
  <c r="R45" i="8" l="1"/>
  <c r="N46" i="8" s="1"/>
  <c r="K67" i="8"/>
  <c r="O46" i="7"/>
  <c r="S45" i="8"/>
  <c r="Q136" i="9"/>
  <c r="Q137" i="9" s="1"/>
  <c r="Q138" i="9" s="1"/>
  <c r="Q139" i="9" s="1"/>
  <c r="S136" i="9"/>
  <c r="S138" i="9"/>
  <c r="S137" i="9"/>
  <c r="J139" i="9"/>
  <c r="I143" i="9" s="1"/>
  <c r="S139" i="9"/>
  <c r="P57" i="9"/>
  <c r="M79" i="9"/>
  <c r="L127" i="9"/>
  <c r="V39" i="31"/>
  <c r="G137" i="31"/>
  <c r="AA38" i="7"/>
  <c r="I140" i="9"/>
  <c r="J137" i="29"/>
  <c r="I141" i="9"/>
  <c r="G137" i="27"/>
  <c r="G132" i="31"/>
  <c r="AB38" i="8"/>
  <c r="I142" i="9"/>
  <c r="J135" i="29"/>
  <c r="G134" i="27"/>
  <c r="J134" i="29"/>
  <c r="G133" i="31"/>
  <c r="G134" i="31"/>
  <c r="J133" i="29"/>
  <c r="G133" i="27"/>
  <c r="G135" i="31"/>
  <c r="G136" i="27"/>
  <c r="G136" i="31"/>
  <c r="J136" i="29"/>
  <c r="S46" i="8" l="1"/>
  <c r="K68" i="8"/>
  <c r="P46" i="8"/>
  <c r="R46" i="7"/>
  <c r="Q46" i="7"/>
  <c r="R46" i="8"/>
  <c r="Q140" i="9"/>
  <c r="Q141" i="9" s="1"/>
  <c r="Q142" i="9" s="1"/>
  <c r="Q143" i="9" s="1"/>
  <c r="S142" i="9"/>
  <c r="S141" i="9"/>
  <c r="S140" i="9"/>
  <c r="J143" i="9"/>
  <c r="S143" i="9"/>
  <c r="P56" i="9"/>
  <c r="N81" i="9"/>
  <c r="M81" i="9" s="1"/>
  <c r="L129" i="9"/>
  <c r="I50" i="27"/>
  <c r="I49" i="31"/>
  <c r="I50" i="31"/>
  <c r="AA43" i="9"/>
  <c r="I50" i="29"/>
  <c r="G135" i="27"/>
  <c r="I49" i="27"/>
  <c r="U42" i="31"/>
  <c r="AA42" i="9"/>
  <c r="U42" i="27"/>
  <c r="I49" i="29"/>
  <c r="U41" i="27"/>
  <c r="K69" i="8" l="1"/>
  <c r="K70" i="8" s="1"/>
  <c r="N47" i="8"/>
  <c r="R47" i="8" s="1"/>
  <c r="O47" i="7"/>
  <c r="Q47" i="7" s="1"/>
  <c r="R56" i="9"/>
  <c r="R57" i="9" s="1"/>
  <c r="P59" i="9" s="1"/>
  <c r="N83" i="9"/>
  <c r="L131" i="9"/>
  <c r="AB43" i="9"/>
  <c r="AA39" i="7"/>
  <c r="AB42" i="9"/>
  <c r="V42" i="31"/>
  <c r="Y41" i="29"/>
  <c r="U41" i="31"/>
  <c r="AB39" i="8"/>
  <c r="Y42" i="29"/>
  <c r="P47" i="8" l="1"/>
  <c r="N48" i="8" s="1"/>
  <c r="P48" i="8" s="1"/>
  <c r="O48" i="7"/>
  <c r="Q48" i="7" s="1"/>
  <c r="K71" i="8"/>
  <c r="S47" i="8"/>
  <c r="R47" i="7"/>
  <c r="P58" i="9"/>
  <c r="M83" i="9"/>
  <c r="L133" i="9"/>
  <c r="I52" i="29"/>
  <c r="AB40" i="8"/>
  <c r="I52" i="31"/>
  <c r="I51" i="27"/>
  <c r="I51" i="29"/>
  <c r="AA44" i="9"/>
  <c r="AA40" i="7"/>
  <c r="AA45" i="9"/>
  <c r="I51" i="31"/>
  <c r="V41" i="31"/>
  <c r="I52" i="27"/>
  <c r="R48" i="8" l="1"/>
  <c r="N49" i="8" s="1"/>
  <c r="P49" i="8" s="1"/>
  <c r="O49" i="7"/>
  <c r="K72" i="8"/>
  <c r="R48" i="7"/>
  <c r="S48" i="8"/>
  <c r="R58" i="9"/>
  <c r="R59" i="9" s="1"/>
  <c r="P61" i="9" s="1"/>
  <c r="N85" i="9"/>
  <c r="L135" i="9"/>
  <c r="AB45" i="9"/>
  <c r="U44" i="27"/>
  <c r="AA41" i="7"/>
  <c r="U44" i="31"/>
  <c r="AB41" i="8"/>
  <c r="Y44" i="29"/>
  <c r="U43" i="27"/>
  <c r="U43" i="31"/>
  <c r="AB44" i="9"/>
  <c r="Y43" i="29"/>
  <c r="R49" i="8" l="1"/>
  <c r="N50" i="8" s="1"/>
  <c r="P50" i="8" s="1"/>
  <c r="R49" i="7"/>
  <c r="Q49" i="7"/>
  <c r="K73" i="8"/>
  <c r="S49" i="8"/>
  <c r="P60" i="9"/>
  <c r="M85" i="9"/>
  <c r="L137" i="9"/>
  <c r="AA46" i="9"/>
  <c r="I53" i="27"/>
  <c r="I53" i="29"/>
  <c r="I54" i="29"/>
  <c r="I54" i="31"/>
  <c r="I53" i="31"/>
  <c r="I54" i="27"/>
  <c r="U46" i="27" s="1"/>
  <c r="AA47" i="9"/>
  <c r="V44" i="31"/>
  <c r="V43" i="31"/>
  <c r="AB42" i="8"/>
  <c r="K74" i="8" l="1"/>
  <c r="S50" i="8"/>
  <c r="O50" i="7"/>
  <c r="Q50" i="7" s="1"/>
  <c r="R50" i="8"/>
  <c r="N51" i="8" s="1"/>
  <c r="R60" i="9"/>
  <c r="R61" i="9" s="1"/>
  <c r="N87" i="9"/>
  <c r="M87" i="9" s="1"/>
  <c r="L139" i="9"/>
  <c r="AB47" i="9"/>
  <c r="AA42" i="7"/>
  <c r="Y45" i="29"/>
  <c r="AB46" i="9"/>
  <c r="U45" i="27"/>
  <c r="U45" i="31"/>
  <c r="AB43" i="8"/>
  <c r="Y46" i="29"/>
  <c r="U46" i="31"/>
  <c r="O51" i="7" l="1"/>
  <c r="S51" i="8"/>
  <c r="K75" i="8"/>
  <c r="R50" i="7"/>
  <c r="R51" i="8"/>
  <c r="P51" i="8"/>
  <c r="P63" i="9"/>
  <c r="N89" i="9"/>
  <c r="M89" i="9" s="1"/>
  <c r="L141" i="9"/>
  <c r="AA43" i="7"/>
  <c r="V46" i="31"/>
  <c r="V45" i="31"/>
  <c r="R51" i="7" l="1"/>
  <c r="Q51" i="7"/>
  <c r="N52" i="8"/>
  <c r="R52" i="8" s="1"/>
  <c r="K76" i="8"/>
  <c r="P62" i="9"/>
  <c r="N91" i="9"/>
  <c r="M91" i="9" s="1"/>
  <c r="L143" i="9"/>
  <c r="AA48" i="9"/>
  <c r="I55" i="29"/>
  <c r="AB44" i="8"/>
  <c r="I56" i="29"/>
  <c r="I56" i="27"/>
  <c r="AA49" i="9"/>
  <c r="I56" i="31"/>
  <c r="I55" i="31"/>
  <c r="I55" i="27"/>
  <c r="U48" i="27" s="1"/>
  <c r="U47" i="31"/>
  <c r="O52" i="7" l="1"/>
  <c r="S52" i="8"/>
  <c r="K77" i="8"/>
  <c r="P52" i="8"/>
  <c r="N53" i="8" s="1"/>
  <c r="R53" i="8" s="1"/>
  <c r="R62" i="9"/>
  <c r="R63" i="9" s="1"/>
  <c r="P65" i="9" s="1"/>
  <c r="N93" i="9"/>
  <c r="M93" i="9" s="1"/>
  <c r="AB48" i="9"/>
  <c r="Y48" i="29"/>
  <c r="AB45" i="8"/>
  <c r="U47" i="27"/>
  <c r="V47" i="31"/>
  <c r="Y47" i="29"/>
  <c r="AB49" i="9"/>
  <c r="U48" i="31"/>
  <c r="AA44" i="7"/>
  <c r="K78" i="8" l="1"/>
  <c r="R52" i="7"/>
  <c r="P53" i="8"/>
  <c r="N54" i="8" s="1"/>
  <c r="R54" i="8" s="1"/>
  <c r="S53" i="8"/>
  <c r="Q52" i="7"/>
  <c r="P64" i="9"/>
  <c r="N95" i="9"/>
  <c r="M95" i="9" s="1"/>
  <c r="V48" i="31"/>
  <c r="I58" i="29"/>
  <c r="I57" i="29"/>
  <c r="AB46" i="8"/>
  <c r="I58" i="27"/>
  <c r="AA50" i="9"/>
  <c r="I57" i="27"/>
  <c r="I57" i="31"/>
  <c r="U49" i="31" s="1"/>
  <c r="I58" i="31"/>
  <c r="U50" i="31"/>
  <c r="K79" i="8" l="1"/>
  <c r="S54" i="8"/>
  <c r="O53" i="7"/>
  <c r="Q53" i="7" s="1"/>
  <c r="P54" i="8"/>
  <c r="R64" i="9"/>
  <c r="R65" i="9" s="1"/>
  <c r="P67" i="9" s="1"/>
  <c r="N97" i="9"/>
  <c r="M97" i="9" s="1"/>
  <c r="V50" i="31"/>
  <c r="Y50" i="29"/>
  <c r="Y49" i="29"/>
  <c r="AA45" i="7"/>
  <c r="U49" i="27"/>
  <c r="AB50" i="9"/>
  <c r="V49" i="31"/>
  <c r="U50" i="27"/>
  <c r="R19" i="31" l="1"/>
  <c r="K80" i="8"/>
  <c r="N55" i="8"/>
  <c r="P55" i="8" s="1"/>
  <c r="O54" i="7"/>
  <c r="R53" i="7"/>
  <c r="P66" i="9"/>
  <c r="V18" i="9"/>
  <c r="V19" i="9" s="1"/>
  <c r="N99" i="9"/>
  <c r="M99" i="9" s="1"/>
  <c r="AB47" i="8"/>
  <c r="I59" i="29"/>
  <c r="I59" i="31"/>
  <c r="I60" i="29"/>
  <c r="I60" i="27"/>
  <c r="AA46" i="7"/>
  <c r="I59" i="27"/>
  <c r="I60" i="31"/>
  <c r="R54" i="7" l="1"/>
  <c r="K81" i="8"/>
  <c r="S55" i="8"/>
  <c r="R55" i="8"/>
  <c r="N56" i="8" s="1"/>
  <c r="P56" i="8" s="1"/>
  <c r="Q54" i="7"/>
  <c r="R66" i="9"/>
  <c r="R67" i="9" s="1"/>
  <c r="P69" i="9" s="1"/>
  <c r="N101" i="9"/>
  <c r="M101" i="9" s="1"/>
  <c r="AB48" i="8"/>
  <c r="S56" i="8" l="1"/>
  <c r="R56" i="8"/>
  <c r="N57" i="8" s="1"/>
  <c r="P57" i="8" s="1"/>
  <c r="O55" i="7"/>
  <c r="K82" i="8"/>
  <c r="P68" i="9"/>
  <c r="R68" i="9" s="1"/>
  <c r="R69" i="9" s="1"/>
  <c r="P71" i="9" s="1"/>
  <c r="N103" i="9"/>
  <c r="I62" i="29"/>
  <c r="I61" i="27"/>
  <c r="AA47" i="7"/>
  <c r="I61" i="29"/>
  <c r="I61" i="31"/>
  <c r="I62" i="31"/>
  <c r="AB49" i="8"/>
  <c r="I62" i="27"/>
  <c r="R55" i="7" l="1"/>
  <c r="K83" i="8"/>
  <c r="S57" i="8"/>
  <c r="Q55" i="7"/>
  <c r="R57" i="8"/>
  <c r="N58" i="8" s="1"/>
  <c r="P70" i="9"/>
  <c r="M103" i="9"/>
  <c r="N105" i="9" s="1"/>
  <c r="AB50" i="8"/>
  <c r="I63" i="29"/>
  <c r="I64" i="27"/>
  <c r="I63" i="27"/>
  <c r="I64" i="29"/>
  <c r="I64" i="31"/>
  <c r="I63" i="31"/>
  <c r="V20" i="8" l="1"/>
  <c r="V21" i="8" s="1"/>
  <c r="K84" i="8"/>
  <c r="R58" i="8"/>
  <c r="P58" i="8"/>
  <c r="S58" i="8"/>
  <c r="O56" i="7"/>
  <c r="Q56" i="7" s="1"/>
  <c r="R70" i="9"/>
  <c r="R71" i="9" s="1"/>
  <c r="P73" i="9" s="1"/>
  <c r="M105" i="9"/>
  <c r="N107" i="9" s="1"/>
  <c r="AA48" i="7"/>
  <c r="K85" i="8" l="1"/>
  <c r="R56" i="7"/>
  <c r="O57" i="7"/>
  <c r="Q57" i="7" s="1"/>
  <c r="N59" i="8"/>
  <c r="S59" i="8" s="1"/>
  <c r="P72" i="9"/>
  <c r="M107" i="9"/>
  <c r="I65" i="27"/>
  <c r="I66" i="31"/>
  <c r="I66" i="29"/>
  <c r="AA49" i="7"/>
  <c r="I65" i="29"/>
  <c r="I65" i="31"/>
  <c r="I66" i="27"/>
  <c r="O58" i="7" l="1"/>
  <c r="R59" i="8"/>
  <c r="K86" i="8"/>
  <c r="R57" i="7"/>
  <c r="P59" i="8"/>
  <c r="R72" i="9"/>
  <c r="R73" i="9" s="1"/>
  <c r="P75" i="9" s="1"/>
  <c r="N109" i="9"/>
  <c r="M109" i="9" s="1"/>
  <c r="AA50" i="7"/>
  <c r="U20" i="7" l="1"/>
  <c r="U21" i="7" s="1"/>
  <c r="R58" i="7"/>
  <c r="N60" i="8"/>
  <c r="S60" i="8" s="1"/>
  <c r="Q58" i="7"/>
  <c r="K87" i="8"/>
  <c r="P74" i="9"/>
  <c r="N111" i="9"/>
  <c r="M111" i="9" s="1"/>
  <c r="I67" i="29"/>
  <c r="I67" i="27"/>
  <c r="I68" i="29"/>
  <c r="I67" i="31"/>
  <c r="I68" i="31"/>
  <c r="I68" i="27"/>
  <c r="R60" i="8" l="1"/>
  <c r="O59" i="7"/>
  <c r="R59" i="7" s="1"/>
  <c r="K88" i="8"/>
  <c r="P60" i="8"/>
  <c r="R74" i="9"/>
  <c r="R75" i="9" s="1"/>
  <c r="P77" i="9" s="1"/>
  <c r="N113" i="9"/>
  <c r="M113" i="9" s="1"/>
  <c r="N61" i="8" l="1"/>
  <c r="P61" i="8" s="1"/>
  <c r="K89" i="8"/>
  <c r="Q59" i="7"/>
  <c r="P76" i="9"/>
  <c r="N115" i="9"/>
  <c r="M115" i="9" s="1"/>
  <c r="I70" i="31"/>
  <c r="I70" i="29"/>
  <c r="I69" i="27"/>
  <c r="I69" i="29"/>
  <c r="I69" i="31"/>
  <c r="I70" i="27"/>
  <c r="O60" i="7" l="1"/>
  <c r="R60" i="7" s="1"/>
  <c r="S61" i="8"/>
  <c r="R61" i="8"/>
  <c r="K90" i="8"/>
  <c r="R76" i="9"/>
  <c r="R77" i="9" s="1"/>
  <c r="P79" i="9" s="1"/>
  <c r="N117" i="9"/>
  <c r="M117" i="9" s="1"/>
  <c r="Q60" i="7" l="1"/>
  <c r="O61" i="7" s="1"/>
  <c r="R61" i="7" s="1"/>
  <c r="K91" i="8"/>
  <c r="N62" i="8"/>
  <c r="R62" i="8" s="1"/>
  <c r="P78" i="9"/>
  <c r="N119" i="9"/>
  <c r="M119" i="9" s="1"/>
  <c r="I71" i="29"/>
  <c r="I71" i="31"/>
  <c r="I72" i="27"/>
  <c r="I72" i="29"/>
  <c r="I72" i="31"/>
  <c r="I71" i="27"/>
  <c r="S62" i="8" l="1"/>
  <c r="P62" i="8"/>
  <c r="K92" i="8"/>
  <c r="Q61" i="7"/>
  <c r="R78" i="9"/>
  <c r="R79" i="9" s="1"/>
  <c r="P81" i="9" s="1"/>
  <c r="N121" i="9"/>
  <c r="M121" i="9" s="1"/>
  <c r="O62" i="7" l="1"/>
  <c r="R62" i="7" s="1"/>
  <c r="N63" i="8"/>
  <c r="P63" i="8" s="1"/>
  <c r="K93" i="8"/>
  <c r="P80" i="9"/>
  <c r="N123" i="9"/>
  <c r="M123" i="9" s="1"/>
  <c r="I74" i="31"/>
  <c r="I73" i="27"/>
  <c r="I74" i="29"/>
  <c r="I73" i="29"/>
  <c r="I73" i="31"/>
  <c r="I74" i="27"/>
  <c r="K94" i="8" l="1"/>
  <c r="Q62" i="7"/>
  <c r="S63" i="8"/>
  <c r="R63" i="8"/>
  <c r="N64" i="8" s="1"/>
  <c r="R80" i="9"/>
  <c r="R81" i="9" s="1"/>
  <c r="P83" i="9" s="1"/>
  <c r="N125" i="9"/>
  <c r="M125" i="9" s="1"/>
  <c r="P64" i="8" l="1"/>
  <c r="S64" i="8"/>
  <c r="K95" i="8"/>
  <c r="O63" i="7"/>
  <c r="R63" i="7" s="1"/>
  <c r="R64" i="8"/>
  <c r="P82" i="9"/>
  <c r="N127" i="9"/>
  <c r="M127" i="9" s="1"/>
  <c r="I76" i="29"/>
  <c r="I76" i="27"/>
  <c r="I75" i="27"/>
  <c r="I76" i="31"/>
  <c r="I75" i="29"/>
  <c r="I75" i="31"/>
  <c r="Q63" i="7" l="1"/>
  <c r="O64" i="7" s="1"/>
  <c r="R64" i="7" s="1"/>
  <c r="N65" i="8"/>
  <c r="S65" i="8" s="1"/>
  <c r="K96" i="8"/>
  <c r="R82" i="9"/>
  <c r="R83" i="9" s="1"/>
  <c r="P85" i="9" s="1"/>
  <c r="N129" i="9"/>
  <c r="M129" i="9" s="1"/>
  <c r="R65" i="8" l="1"/>
  <c r="K97" i="8"/>
  <c r="P65" i="8"/>
  <c r="Q64" i="7"/>
  <c r="P84" i="9"/>
  <c r="N131" i="9"/>
  <c r="M131" i="9" s="1"/>
  <c r="I77" i="27"/>
  <c r="I77" i="31"/>
  <c r="I78" i="27"/>
  <c r="I77" i="29"/>
  <c r="I78" i="31"/>
  <c r="I78" i="29"/>
  <c r="O65" i="7" l="1"/>
  <c r="R65" i="7" s="1"/>
  <c r="K98" i="8"/>
  <c r="N66" i="8"/>
  <c r="P66" i="8" s="1"/>
  <c r="R84" i="9"/>
  <c r="R85" i="9" s="1"/>
  <c r="P87" i="9" s="1"/>
  <c r="N133" i="9"/>
  <c r="M133" i="9" s="1"/>
  <c r="Q65" i="7" l="1"/>
  <c r="O66" i="7" s="1"/>
  <c r="R66" i="7" s="1"/>
  <c r="S66" i="8"/>
  <c r="R66" i="8"/>
  <c r="N67" i="8" s="1"/>
  <c r="K99" i="8"/>
  <c r="K100" i="8" s="1"/>
  <c r="P86" i="9"/>
  <c r="N135" i="9"/>
  <c r="M135" i="9" s="1"/>
  <c r="I80" i="27"/>
  <c r="I79" i="27"/>
  <c r="I79" i="29"/>
  <c r="I80" i="29"/>
  <c r="I79" i="31"/>
  <c r="I80" i="31"/>
  <c r="S67" i="8" l="1"/>
  <c r="P67" i="8"/>
  <c r="K101" i="8"/>
  <c r="Q66" i="7"/>
  <c r="R67" i="8"/>
  <c r="R86" i="9"/>
  <c r="R87" i="9" s="1"/>
  <c r="P89" i="9" s="1"/>
  <c r="N137" i="9"/>
  <c r="M137" i="9" s="1"/>
  <c r="K102" i="8" l="1"/>
  <c r="O67" i="7"/>
  <c r="R67" i="7" s="1"/>
  <c r="N68" i="8"/>
  <c r="P88" i="9"/>
  <c r="N139" i="9"/>
  <c r="M139" i="9" s="1"/>
  <c r="I82" i="27"/>
  <c r="I81" i="27"/>
  <c r="I81" i="31"/>
  <c r="I81" i="29"/>
  <c r="I82" i="31"/>
  <c r="I82" i="29"/>
  <c r="K103" i="8" l="1"/>
  <c r="P68" i="8"/>
  <c r="S68" i="8"/>
  <c r="Q67" i="7"/>
  <c r="R68" i="8"/>
  <c r="R88" i="9"/>
  <c r="R89" i="9" s="1"/>
  <c r="P91" i="9" s="1"/>
  <c r="N141" i="9"/>
  <c r="M141" i="9" s="1"/>
  <c r="O68" i="7" l="1"/>
  <c r="R68" i="7" s="1"/>
  <c r="K104" i="8"/>
  <c r="N69" i="8"/>
  <c r="S69" i="8" s="1"/>
  <c r="P90" i="9"/>
  <c r="N143" i="9"/>
  <c r="M143" i="9" s="1"/>
  <c r="I84" i="31"/>
  <c r="I83" i="27"/>
  <c r="I84" i="29"/>
  <c r="I83" i="31"/>
  <c r="I83" i="29"/>
  <c r="I84" i="27"/>
  <c r="K105" i="8" l="1"/>
  <c r="R69" i="8"/>
  <c r="Q68" i="7"/>
  <c r="P69" i="8"/>
  <c r="R90" i="9"/>
  <c r="R91" i="9" s="1"/>
  <c r="P93" i="9" s="1"/>
  <c r="M27" i="22"/>
  <c r="N70" i="8" l="1"/>
  <c r="P70" i="8" s="1"/>
  <c r="K106" i="8"/>
  <c r="O69" i="7"/>
  <c r="R69" i="7" s="1"/>
  <c r="P92" i="9"/>
  <c r="N29" i="22"/>
  <c r="Q27" i="22"/>
  <c r="R27" i="22" s="1"/>
  <c r="I86" i="27"/>
  <c r="I86" i="29"/>
  <c r="I85" i="27"/>
  <c r="I86" i="31"/>
  <c r="I85" i="29"/>
  <c r="AA12" i="22"/>
  <c r="Q24" i="22"/>
  <c r="I85" i="31"/>
  <c r="Q69" i="7" l="1"/>
  <c r="R70" i="8"/>
  <c r="S70" i="8"/>
  <c r="K107" i="8"/>
  <c r="R92" i="9"/>
  <c r="R93" i="9" s="1"/>
  <c r="P95" i="9" s="1"/>
  <c r="N28" i="22"/>
  <c r="N22" i="30"/>
  <c r="L22" i="29"/>
  <c r="AB12" i="22"/>
  <c r="O70" i="7" l="1"/>
  <c r="R70" i="7" s="1"/>
  <c r="K108" i="8"/>
  <c r="N71" i="8"/>
  <c r="R71" i="8" s="1"/>
  <c r="P22" i="30"/>
  <c r="N22" i="29"/>
  <c r="M28" i="22"/>
  <c r="M29" i="22" s="1"/>
  <c r="P94" i="9"/>
  <c r="I87" i="29"/>
  <c r="I88" i="31"/>
  <c r="AA14" i="29"/>
  <c r="I88" i="29"/>
  <c r="I87" i="31"/>
  <c r="I87" i="27"/>
  <c r="I88" i="27"/>
  <c r="AC14" i="30"/>
  <c r="Q70" i="7" l="1"/>
  <c r="K109" i="8"/>
  <c r="S71" i="8"/>
  <c r="P71" i="8"/>
  <c r="R22" i="30"/>
  <c r="P22" i="29"/>
  <c r="N31" i="22"/>
  <c r="Q29" i="22"/>
  <c r="R29" i="22" s="1"/>
  <c r="R94" i="9"/>
  <c r="R95" i="9" s="1"/>
  <c r="P97" i="9" s="1"/>
  <c r="H21" i="27"/>
  <c r="Q28" i="22"/>
  <c r="AD14" i="30"/>
  <c r="AB14" i="29"/>
  <c r="K21" i="27"/>
  <c r="H21" i="31"/>
  <c r="K21" i="31"/>
  <c r="O71" i="7" l="1"/>
  <c r="R71" i="7" s="1"/>
  <c r="K110" i="8"/>
  <c r="K111" i="8" s="1"/>
  <c r="N72" i="8"/>
  <c r="P72" i="8" s="1"/>
  <c r="M21" i="27"/>
  <c r="N21" i="27" s="1"/>
  <c r="M21" i="31"/>
  <c r="T22" i="30"/>
  <c r="S22" i="30"/>
  <c r="M22" i="30"/>
  <c r="K22" i="29"/>
  <c r="R22" i="29"/>
  <c r="Q22" i="29"/>
  <c r="P96" i="9"/>
  <c r="N30" i="22"/>
  <c r="L24" i="29"/>
  <c r="Z14" i="29"/>
  <c r="I89" i="29"/>
  <c r="V13" i="27"/>
  <c r="I90" i="27"/>
  <c r="I90" i="29"/>
  <c r="N23" i="30"/>
  <c r="L23" i="29"/>
  <c r="I89" i="31"/>
  <c r="N24" i="30"/>
  <c r="I89" i="27"/>
  <c r="I90" i="31"/>
  <c r="AB14" i="30"/>
  <c r="Q71" i="7" l="1"/>
  <c r="O72" i="7" s="1"/>
  <c r="R72" i="7" s="1"/>
  <c r="K112" i="8"/>
  <c r="K113" i="8" s="1"/>
  <c r="S72" i="8"/>
  <c r="R72" i="8"/>
  <c r="N73" i="8" s="1"/>
  <c r="O21" i="27"/>
  <c r="N21" i="31"/>
  <c r="P23" i="30"/>
  <c r="U22" i="30"/>
  <c r="N23" i="29"/>
  <c r="N24" i="29" s="1"/>
  <c r="S22" i="29"/>
  <c r="M30" i="22"/>
  <c r="M31" i="22" s="1"/>
  <c r="R96" i="9"/>
  <c r="R97" i="9" s="1"/>
  <c r="P99" i="9" s="1"/>
  <c r="AA16" i="29"/>
  <c r="X13" i="31"/>
  <c r="AA15" i="29"/>
  <c r="AC16" i="30"/>
  <c r="AC15" i="30"/>
  <c r="Q72" i="7" l="1"/>
  <c r="R73" i="8"/>
  <c r="S73" i="8"/>
  <c r="P73" i="8"/>
  <c r="K114" i="8"/>
  <c r="O21" i="31"/>
  <c r="P24" i="30"/>
  <c r="R23" i="30"/>
  <c r="P23" i="29"/>
  <c r="P98" i="9"/>
  <c r="N33" i="22"/>
  <c r="Q31" i="22"/>
  <c r="R31" i="22" s="1"/>
  <c r="H22" i="27"/>
  <c r="I92" i="27"/>
  <c r="I92" i="29"/>
  <c r="AD15" i="30"/>
  <c r="Q30" i="22"/>
  <c r="AB16" i="29"/>
  <c r="I92" i="31"/>
  <c r="K22" i="31"/>
  <c r="AD16" i="30"/>
  <c r="I91" i="31"/>
  <c r="H22" i="31"/>
  <c r="I91" i="27"/>
  <c r="K22" i="27"/>
  <c r="I91" i="29"/>
  <c r="AB15" i="29"/>
  <c r="O73" i="7" l="1"/>
  <c r="R73" i="7" s="1"/>
  <c r="K115" i="8"/>
  <c r="N74" i="8"/>
  <c r="S74" i="8" s="1"/>
  <c r="M22" i="31"/>
  <c r="Q23" i="29"/>
  <c r="R23" i="29"/>
  <c r="S23" i="29" s="1"/>
  <c r="K23" i="29"/>
  <c r="T23" i="30"/>
  <c r="M23" i="30"/>
  <c r="S23" i="30"/>
  <c r="M22" i="27"/>
  <c r="N32" i="22"/>
  <c r="R98" i="9"/>
  <c r="R99" i="9" s="1"/>
  <c r="P101" i="9" s="1"/>
  <c r="AA13" i="22"/>
  <c r="N25" i="30"/>
  <c r="N26" i="30"/>
  <c r="L25" i="29"/>
  <c r="Z15" i="29"/>
  <c r="AB15" i="30"/>
  <c r="L26" i="29"/>
  <c r="P74" i="8" l="1"/>
  <c r="N75" i="8" s="1"/>
  <c r="S75" i="8" s="1"/>
  <c r="R74" i="8"/>
  <c r="Q73" i="7"/>
  <c r="K116" i="8"/>
  <c r="N22" i="31"/>
  <c r="P24" i="29"/>
  <c r="Q24" i="29" s="1"/>
  <c r="R24" i="30"/>
  <c r="P25" i="30"/>
  <c r="U23" i="30"/>
  <c r="N25" i="29"/>
  <c r="N22" i="27"/>
  <c r="M32" i="22"/>
  <c r="M33" i="22" s="1"/>
  <c r="P100" i="9"/>
  <c r="AB13" i="22"/>
  <c r="I93" i="31"/>
  <c r="AA17" i="29"/>
  <c r="H23" i="31"/>
  <c r="H23" i="27"/>
  <c r="AC17" i="30"/>
  <c r="X14" i="31"/>
  <c r="I93" i="27"/>
  <c r="AA18" i="29"/>
  <c r="K23" i="27"/>
  <c r="I94" i="29"/>
  <c r="I94" i="31"/>
  <c r="I94" i="27"/>
  <c r="K23" i="31"/>
  <c r="V14" i="27"/>
  <c r="I93" i="29"/>
  <c r="AC18" i="30"/>
  <c r="P75" i="8" l="1"/>
  <c r="O74" i="7"/>
  <c r="R74" i="7" s="1"/>
  <c r="K117" i="8"/>
  <c r="R75" i="8"/>
  <c r="O22" i="31"/>
  <c r="O22" i="27"/>
  <c r="M23" i="31"/>
  <c r="T24" i="30"/>
  <c r="R24" i="29"/>
  <c r="S24" i="29" s="1"/>
  <c r="K24" i="29"/>
  <c r="P25" i="29" s="1"/>
  <c r="S24" i="30"/>
  <c r="M24" i="30"/>
  <c r="P26" i="30"/>
  <c r="N26" i="29"/>
  <c r="M23" i="27"/>
  <c r="N35" i="22"/>
  <c r="Q33" i="22"/>
  <c r="R33" i="22" s="1"/>
  <c r="R100" i="9"/>
  <c r="R101" i="9" s="1"/>
  <c r="P103" i="9" s="1"/>
  <c r="AB17" i="29"/>
  <c r="Q32" i="22"/>
  <c r="H24" i="27"/>
  <c r="Z16" i="29"/>
  <c r="AB16" i="30"/>
  <c r="AB18" i="29"/>
  <c r="H24" i="31"/>
  <c r="AD17" i="30"/>
  <c r="AD18" i="30"/>
  <c r="N76" i="8" l="1"/>
  <c r="S76" i="8" s="1"/>
  <c r="Q74" i="7"/>
  <c r="O75" i="7" s="1"/>
  <c r="R75" i="7" s="1"/>
  <c r="P76" i="8"/>
  <c r="K118" i="8"/>
  <c r="R76" i="8"/>
  <c r="R25" i="30"/>
  <c r="S25" i="30" s="1"/>
  <c r="N23" i="31"/>
  <c r="Q25" i="29"/>
  <c r="U24" i="30"/>
  <c r="K25" i="29"/>
  <c r="R25" i="29"/>
  <c r="N23" i="27"/>
  <c r="P102" i="9"/>
  <c r="N34" i="22"/>
  <c r="Z17" i="29"/>
  <c r="L27" i="29"/>
  <c r="X15" i="31"/>
  <c r="I96" i="29"/>
  <c r="I96" i="27"/>
  <c r="N27" i="30"/>
  <c r="K24" i="31"/>
  <c r="I96" i="31"/>
  <c r="I95" i="29"/>
  <c r="L28" i="29"/>
  <c r="K24" i="27"/>
  <c r="I95" i="27"/>
  <c r="AA14" i="22"/>
  <c r="I95" i="31"/>
  <c r="V15" i="27"/>
  <c r="N28" i="30"/>
  <c r="Q75" i="7" l="1"/>
  <c r="O76" i="7" s="1"/>
  <c r="R76" i="7" s="1"/>
  <c r="N77" i="8"/>
  <c r="S77" i="8" s="1"/>
  <c r="K119" i="8"/>
  <c r="O23" i="27"/>
  <c r="O23" i="31"/>
  <c r="P26" i="29"/>
  <c r="R26" i="29" s="1"/>
  <c r="T25" i="30"/>
  <c r="M25" i="30"/>
  <c r="R26" i="30" s="1"/>
  <c r="M24" i="31"/>
  <c r="P27" i="30"/>
  <c r="N27" i="29"/>
  <c r="S25" i="29"/>
  <c r="M24" i="27"/>
  <c r="N24" i="27" s="1"/>
  <c r="R102" i="9"/>
  <c r="R103" i="9" s="1"/>
  <c r="P105" i="9" s="1"/>
  <c r="M34" i="22"/>
  <c r="M35" i="22" s="1"/>
  <c r="AB14" i="22"/>
  <c r="AA19" i="29"/>
  <c r="AB17" i="30"/>
  <c r="AA20" i="29"/>
  <c r="AC19" i="30"/>
  <c r="Z18" i="29"/>
  <c r="H25" i="31"/>
  <c r="H25" i="27"/>
  <c r="AC20" i="30"/>
  <c r="V16" i="27"/>
  <c r="K25" i="31"/>
  <c r="K25" i="27"/>
  <c r="R77" i="8" l="1"/>
  <c r="P77" i="8"/>
  <c r="N78" i="8" s="1"/>
  <c r="S78" i="8" s="1"/>
  <c r="Q76" i="7"/>
  <c r="K120" i="8"/>
  <c r="O24" i="27"/>
  <c r="K26" i="29"/>
  <c r="Q26" i="29"/>
  <c r="U25" i="30"/>
  <c r="N24" i="31"/>
  <c r="M25" i="31"/>
  <c r="T26" i="30"/>
  <c r="S26" i="30"/>
  <c r="M26" i="30"/>
  <c r="P28" i="30"/>
  <c r="N28" i="29"/>
  <c r="S26" i="29"/>
  <c r="M25" i="27"/>
  <c r="N37" i="22"/>
  <c r="Q35" i="22"/>
  <c r="P104" i="9"/>
  <c r="I98" i="29"/>
  <c r="Q34" i="22"/>
  <c r="I98" i="27"/>
  <c r="X16" i="31"/>
  <c r="AD19" i="30"/>
  <c r="I97" i="29"/>
  <c r="AD20" i="30"/>
  <c r="I97" i="31"/>
  <c r="AB20" i="29"/>
  <c r="AB19" i="29"/>
  <c r="I97" i="27"/>
  <c r="AB18" i="30"/>
  <c r="I98" i="31"/>
  <c r="P78" i="8" l="1"/>
  <c r="R78" i="8"/>
  <c r="O77" i="7"/>
  <c r="R77" i="7" s="1"/>
  <c r="K121" i="8"/>
  <c r="O24" i="31"/>
  <c r="P27" i="29"/>
  <c r="N25" i="31"/>
  <c r="U26" i="30"/>
  <c r="R27" i="30"/>
  <c r="N25" i="27"/>
  <c r="R104" i="9"/>
  <c r="R105" i="9" s="1"/>
  <c r="P107" i="9" s="1"/>
  <c r="N36" i="22"/>
  <c r="R35" i="22"/>
  <c r="L29" i="29"/>
  <c r="K26" i="31"/>
  <c r="AA15" i="22"/>
  <c r="H26" i="31"/>
  <c r="X17" i="31"/>
  <c r="H26" i="27"/>
  <c r="N29" i="30"/>
  <c r="L30" i="29"/>
  <c r="N30" i="30"/>
  <c r="K26" i="27"/>
  <c r="V17" i="27"/>
  <c r="N79" i="8" l="1"/>
  <c r="S79" i="8" s="1"/>
  <c r="Q77" i="7"/>
  <c r="O78" i="7" s="1"/>
  <c r="R78" i="7" s="1"/>
  <c r="P79" i="8"/>
  <c r="K122" i="8"/>
  <c r="R79" i="8"/>
  <c r="O25" i="27"/>
  <c r="O25" i="31"/>
  <c r="K27" i="29"/>
  <c r="R27" i="29"/>
  <c r="Q27" i="29"/>
  <c r="M26" i="31"/>
  <c r="T27" i="30"/>
  <c r="M27" i="30"/>
  <c r="S27" i="30"/>
  <c r="M26" i="27"/>
  <c r="P29" i="30"/>
  <c r="N29" i="29"/>
  <c r="N30" i="29" s="1"/>
  <c r="M36" i="22"/>
  <c r="M37" i="22" s="1"/>
  <c r="N39" i="22" s="1"/>
  <c r="P106" i="9"/>
  <c r="I100" i="27"/>
  <c r="I99" i="27"/>
  <c r="I99" i="29"/>
  <c r="I100" i="29"/>
  <c r="Z19" i="29"/>
  <c r="AC21" i="30"/>
  <c r="AA22" i="29"/>
  <c r="AB19" i="30"/>
  <c r="I100" i="31"/>
  <c r="I99" i="31"/>
  <c r="AC22" i="30"/>
  <c r="AB15" i="22"/>
  <c r="AA21" i="29"/>
  <c r="Q78" i="7" l="1"/>
  <c r="K123" i="8"/>
  <c r="K124" i="8" s="1"/>
  <c r="N80" i="8"/>
  <c r="R80" i="8" s="1"/>
  <c r="P28" i="29"/>
  <c r="Q28" i="29" s="1"/>
  <c r="S27" i="29"/>
  <c r="N26" i="31"/>
  <c r="U27" i="30"/>
  <c r="R28" i="30"/>
  <c r="M28" i="30" s="1"/>
  <c r="N26" i="27"/>
  <c r="P30" i="30"/>
  <c r="Q37" i="22"/>
  <c r="R37" i="22" s="1"/>
  <c r="N38" i="22"/>
  <c r="R106" i="9"/>
  <c r="R107" i="9" s="1"/>
  <c r="P109" i="9" s="1"/>
  <c r="L32" i="29"/>
  <c r="AD21" i="30"/>
  <c r="K27" i="31"/>
  <c r="Q36" i="22"/>
  <c r="X18" i="31"/>
  <c r="K27" i="27"/>
  <c r="AB21" i="29"/>
  <c r="N32" i="30"/>
  <c r="H27" i="27"/>
  <c r="L31" i="29"/>
  <c r="AB22" i="29"/>
  <c r="N31" i="30"/>
  <c r="V18" i="27"/>
  <c r="AD22" i="30"/>
  <c r="H27" i="31"/>
  <c r="O79" i="7" l="1"/>
  <c r="R79" i="7" s="1"/>
  <c r="S80" i="8"/>
  <c r="P80" i="8"/>
  <c r="K125" i="8"/>
  <c r="O26" i="27"/>
  <c r="O26" i="31"/>
  <c r="R28" i="29"/>
  <c r="K28" i="29"/>
  <c r="P29" i="29" s="1"/>
  <c r="M27" i="31"/>
  <c r="S28" i="30"/>
  <c r="R29" i="30" s="1"/>
  <c r="T28" i="30"/>
  <c r="P31" i="30"/>
  <c r="M27" i="27"/>
  <c r="N27" i="27" s="1"/>
  <c r="N31" i="29"/>
  <c r="N32" i="29" s="1"/>
  <c r="M38" i="22"/>
  <c r="M39" i="22" s="1"/>
  <c r="N41" i="22" s="1"/>
  <c r="P108" i="9"/>
  <c r="AA24" i="29"/>
  <c r="H28" i="31"/>
  <c r="Z20" i="29"/>
  <c r="AB20" i="30"/>
  <c r="V19" i="27"/>
  <c r="I102" i="27"/>
  <c r="I102" i="31"/>
  <c r="AC24" i="30"/>
  <c r="K28" i="31"/>
  <c r="I101" i="29"/>
  <c r="I102" i="29"/>
  <c r="AA23" i="29"/>
  <c r="AA16" i="22"/>
  <c r="I101" i="31"/>
  <c r="H28" i="27"/>
  <c r="AC23" i="30"/>
  <c r="I101" i="27"/>
  <c r="K28" i="27"/>
  <c r="Q79" i="7" l="1"/>
  <c r="N81" i="8"/>
  <c r="K126" i="8"/>
  <c r="O27" i="27"/>
  <c r="Q39" i="22"/>
  <c r="S28" i="29"/>
  <c r="K29" i="29"/>
  <c r="Q29" i="29"/>
  <c r="R29" i="29"/>
  <c r="M28" i="31"/>
  <c r="N27" i="31"/>
  <c r="T29" i="30"/>
  <c r="S29" i="30"/>
  <c r="M29" i="30"/>
  <c r="U28" i="30"/>
  <c r="P32" i="30"/>
  <c r="N40" i="22"/>
  <c r="R108" i="9"/>
  <c r="R109" i="9" s="1"/>
  <c r="P111" i="9" s="1"/>
  <c r="AB21" i="30"/>
  <c r="AB23" i="29"/>
  <c r="Q38" i="22"/>
  <c r="AA17" i="22"/>
  <c r="N34" i="30"/>
  <c r="N33" i="30"/>
  <c r="L33" i="29"/>
  <c r="AB16" i="22"/>
  <c r="AD24" i="30"/>
  <c r="Z21" i="29"/>
  <c r="L34" i="29"/>
  <c r="AD23" i="30"/>
  <c r="X19" i="31"/>
  <c r="AB24" i="29"/>
  <c r="O80" i="7" l="1"/>
  <c r="R80" i="7" s="1"/>
  <c r="S81" i="8"/>
  <c r="R81" i="8"/>
  <c r="K127" i="8"/>
  <c r="P81" i="8"/>
  <c r="O27" i="31"/>
  <c r="P30" i="29"/>
  <c r="Q30" i="29" s="1"/>
  <c r="S29" i="29"/>
  <c r="N28" i="31"/>
  <c r="R30" i="30"/>
  <c r="U29" i="30"/>
  <c r="P33" i="30"/>
  <c r="N33" i="29"/>
  <c r="N34" i="29" s="1"/>
  <c r="M28" i="27"/>
  <c r="M40" i="22"/>
  <c r="M41" i="22" s="1"/>
  <c r="N43" i="22" s="1"/>
  <c r="P110" i="9"/>
  <c r="R39" i="22"/>
  <c r="I104" i="31"/>
  <c r="H29" i="31"/>
  <c r="AC25" i="30"/>
  <c r="K29" i="27"/>
  <c r="AC26" i="30"/>
  <c r="AB17" i="22"/>
  <c r="I103" i="31"/>
  <c r="H29" i="27"/>
  <c r="AA25" i="29"/>
  <c r="X20" i="31"/>
  <c r="I103" i="29"/>
  <c r="I104" i="27"/>
  <c r="AA26" i="29"/>
  <c r="K29" i="31"/>
  <c r="I103" i="27"/>
  <c r="I104" i="29"/>
  <c r="Q80" i="7" l="1"/>
  <c r="N82" i="8"/>
  <c r="S82" i="8" s="1"/>
  <c r="K128" i="8"/>
  <c r="O28" i="31"/>
  <c r="K30" i="29"/>
  <c r="P31" i="29" s="1"/>
  <c r="R31" i="29" s="1"/>
  <c r="S31" i="29" s="1"/>
  <c r="R30" i="29"/>
  <c r="S30" i="29" s="1"/>
  <c r="M29" i="31"/>
  <c r="M30" i="30"/>
  <c r="S30" i="30"/>
  <c r="T30" i="30"/>
  <c r="Q41" i="22"/>
  <c r="P34" i="30"/>
  <c r="N28" i="27"/>
  <c r="R110" i="9"/>
  <c r="R111" i="9" s="1"/>
  <c r="P113" i="9" s="1"/>
  <c r="N42" i="22"/>
  <c r="Z23" i="29"/>
  <c r="H30" i="31"/>
  <c r="AD26" i="30"/>
  <c r="N35" i="30"/>
  <c r="N36" i="30"/>
  <c r="L35" i="29"/>
  <c r="AB25" i="29"/>
  <c r="AB22" i="30"/>
  <c r="AD25" i="30"/>
  <c r="L36" i="29"/>
  <c r="AB26" i="29"/>
  <c r="V20" i="27"/>
  <c r="Q40" i="22"/>
  <c r="Z22" i="29"/>
  <c r="H30" i="27"/>
  <c r="O81" i="7" l="1"/>
  <c r="R81" i="7" s="1"/>
  <c r="K129" i="8"/>
  <c r="P82" i="8"/>
  <c r="R82" i="8"/>
  <c r="O28" i="27"/>
  <c r="R31" i="30"/>
  <c r="T31" i="30" s="1"/>
  <c r="Q31" i="29"/>
  <c r="U30" i="30"/>
  <c r="N29" i="31"/>
  <c r="K31" i="29"/>
  <c r="P35" i="30"/>
  <c r="N35" i="29"/>
  <c r="N36" i="29" s="1"/>
  <c r="M29" i="27"/>
  <c r="M42" i="22"/>
  <c r="M43" i="22" s="1"/>
  <c r="N45" i="22" s="1"/>
  <c r="P112" i="9"/>
  <c r="I105" i="29"/>
  <c r="AA18" i="22"/>
  <c r="AC27" i="30"/>
  <c r="AA28" i="29"/>
  <c r="I105" i="31"/>
  <c r="AC28" i="30"/>
  <c r="X21" i="31"/>
  <c r="I106" i="29"/>
  <c r="I106" i="27"/>
  <c r="AB23" i="30"/>
  <c r="AA27" i="29"/>
  <c r="I106" i="31"/>
  <c r="I105" i="27"/>
  <c r="K30" i="27"/>
  <c r="K30" i="31"/>
  <c r="Q81" i="7" l="1"/>
  <c r="K130" i="8"/>
  <c r="N83" i="8"/>
  <c r="S83" i="8" s="1"/>
  <c r="O29" i="31"/>
  <c r="P32" i="29"/>
  <c r="R32" i="29" s="1"/>
  <c r="S32" i="29" s="1"/>
  <c r="M31" i="30"/>
  <c r="M30" i="31"/>
  <c r="S31" i="30"/>
  <c r="U31" i="30"/>
  <c r="P36" i="30"/>
  <c r="M30" i="27"/>
  <c r="N29" i="27"/>
  <c r="N44" i="22"/>
  <c r="R112" i="9"/>
  <c r="R113" i="9" s="1"/>
  <c r="P115" i="9" s="1"/>
  <c r="R41" i="22"/>
  <c r="Q43" i="22" s="1"/>
  <c r="L38" i="29"/>
  <c r="Q42" i="22"/>
  <c r="Z24" i="29"/>
  <c r="AD27" i="30"/>
  <c r="L37" i="29"/>
  <c r="N37" i="30"/>
  <c r="V21" i="27"/>
  <c r="AB27" i="29"/>
  <c r="AB18" i="22"/>
  <c r="H31" i="31"/>
  <c r="H31" i="27"/>
  <c r="N38" i="30"/>
  <c r="AB28" i="29"/>
  <c r="AD28" i="30"/>
  <c r="O82" i="7" l="1"/>
  <c r="R82" i="7" s="1"/>
  <c r="K131" i="8"/>
  <c r="R83" i="8"/>
  <c r="P83" i="8"/>
  <c r="O29" i="27"/>
  <c r="K32" i="29"/>
  <c r="Q32" i="29"/>
  <c r="R32" i="30"/>
  <c r="T32" i="30" s="1"/>
  <c r="N30" i="31"/>
  <c r="P37" i="30"/>
  <c r="N37" i="29"/>
  <c r="N38" i="29" s="1"/>
  <c r="N30" i="27"/>
  <c r="P114" i="9"/>
  <c r="M44" i="22"/>
  <c r="M45" i="22" s="1"/>
  <c r="AA30" i="29"/>
  <c r="I108" i="27"/>
  <c r="AC29" i="30"/>
  <c r="K31" i="27"/>
  <c r="V22" i="27"/>
  <c r="I107" i="29"/>
  <c r="I107" i="31"/>
  <c r="AB24" i="30"/>
  <c r="I108" i="29"/>
  <c r="AA19" i="22"/>
  <c r="I108" i="31"/>
  <c r="K31" i="31"/>
  <c r="I107" i="27"/>
  <c r="AA29" i="29"/>
  <c r="AC30" i="30"/>
  <c r="X22" i="31"/>
  <c r="Q82" i="7" l="1"/>
  <c r="N84" i="8"/>
  <c r="S84" i="8" s="1"/>
  <c r="K132" i="8"/>
  <c r="O30" i="31"/>
  <c r="O30" i="27"/>
  <c r="P33" i="29"/>
  <c r="Q33" i="29" s="1"/>
  <c r="M32" i="30"/>
  <c r="M31" i="31"/>
  <c r="N31" i="31" s="1"/>
  <c r="S32" i="30"/>
  <c r="U32" i="30"/>
  <c r="P38" i="30"/>
  <c r="M31" i="27"/>
  <c r="N47" i="22"/>
  <c r="R114" i="9"/>
  <c r="R115" i="9" s="1"/>
  <c r="P117" i="9" s="1"/>
  <c r="H32" i="31"/>
  <c r="AB19" i="22"/>
  <c r="AB29" i="29"/>
  <c r="AB30" i="29"/>
  <c r="AD29" i="30"/>
  <c r="H32" i="27"/>
  <c r="AD30" i="30"/>
  <c r="X23" i="31"/>
  <c r="O83" i="7" l="1"/>
  <c r="R83" i="7" s="1"/>
  <c r="P84" i="8"/>
  <c r="K133" i="8"/>
  <c r="R84" i="8"/>
  <c r="O31" i="31"/>
  <c r="K33" i="29"/>
  <c r="P34" i="29" s="1"/>
  <c r="K34" i="29" s="1"/>
  <c r="R33" i="29"/>
  <c r="R33" i="30"/>
  <c r="N31" i="27"/>
  <c r="P116" i="9"/>
  <c r="N46" i="22"/>
  <c r="R43" i="22"/>
  <c r="Q45" i="22" s="1"/>
  <c r="I110" i="29"/>
  <c r="L40" i="29"/>
  <c r="H33" i="31"/>
  <c r="N40" i="30"/>
  <c r="K32" i="27"/>
  <c r="I110" i="27"/>
  <c r="I110" i="31"/>
  <c r="L39" i="29"/>
  <c r="N39" i="30"/>
  <c r="H33" i="27"/>
  <c r="Q44" i="22"/>
  <c r="V23" i="27"/>
  <c r="I109" i="31"/>
  <c r="I109" i="27"/>
  <c r="K32" i="31"/>
  <c r="I109" i="29"/>
  <c r="Z25" i="29"/>
  <c r="Q83" i="7" l="1"/>
  <c r="O84" i="7" s="1"/>
  <c r="N85" i="8"/>
  <c r="S85" i="8" s="1"/>
  <c r="K134" i="8"/>
  <c r="O31" i="27"/>
  <c r="R34" i="29"/>
  <c r="Q34" i="29"/>
  <c r="P35" i="29" s="1"/>
  <c r="K35" i="29" s="1"/>
  <c r="S33" i="29"/>
  <c r="M32" i="31"/>
  <c r="M32" i="27"/>
  <c r="T33" i="30"/>
  <c r="M33" i="30"/>
  <c r="S33" i="30"/>
  <c r="P39" i="30"/>
  <c r="N39" i="29"/>
  <c r="N40" i="29" s="1"/>
  <c r="M46" i="22"/>
  <c r="M47" i="22" s="1"/>
  <c r="R116" i="9"/>
  <c r="R117" i="9" s="1"/>
  <c r="P119" i="9" s="1"/>
  <c r="H34" i="31"/>
  <c r="Z26" i="29"/>
  <c r="AC31" i="30"/>
  <c r="AA32" i="29"/>
  <c r="AA20" i="22"/>
  <c r="AA31" i="29"/>
  <c r="AB25" i="30"/>
  <c r="H34" i="27"/>
  <c r="AC32" i="30"/>
  <c r="R85" i="8" l="1"/>
  <c r="R84" i="7"/>
  <c r="Q84" i="7"/>
  <c r="O85" i="7" s="1"/>
  <c r="R85" i="7" s="1"/>
  <c r="P85" i="8"/>
  <c r="K135" i="8"/>
  <c r="S34" i="29"/>
  <c r="R35" i="29"/>
  <c r="Q35" i="29"/>
  <c r="P36" i="29" s="1"/>
  <c r="R34" i="30"/>
  <c r="T34" i="30" s="1"/>
  <c r="U33" i="30"/>
  <c r="N32" i="31"/>
  <c r="N32" i="27"/>
  <c r="P40" i="30"/>
  <c r="P118" i="9"/>
  <c r="N49" i="22"/>
  <c r="I112" i="27"/>
  <c r="I112" i="29"/>
  <c r="I111" i="27"/>
  <c r="AD31" i="30"/>
  <c r="K33" i="31"/>
  <c r="X24" i="31"/>
  <c r="I111" i="29"/>
  <c r="AB31" i="29"/>
  <c r="H35" i="31"/>
  <c r="AD32" i="30"/>
  <c r="I112" i="31"/>
  <c r="H35" i="27"/>
  <c r="AB20" i="22"/>
  <c r="AB32" i="29"/>
  <c r="I111" i="31"/>
  <c r="AB26" i="30"/>
  <c r="K33" i="27"/>
  <c r="Z27" i="29"/>
  <c r="V24" i="27"/>
  <c r="N86" i="8" l="1"/>
  <c r="S86" i="8" s="1"/>
  <c r="Q85" i="7"/>
  <c r="O86" i="7" s="1"/>
  <c r="R86" i="7" s="1"/>
  <c r="K136" i="8"/>
  <c r="R86" i="8"/>
  <c r="P86" i="8"/>
  <c r="O32" i="31"/>
  <c r="O32" i="27"/>
  <c r="S35" i="29"/>
  <c r="M33" i="27"/>
  <c r="N33" i="27" s="1"/>
  <c r="M33" i="31"/>
  <c r="S34" i="30"/>
  <c r="M34" i="30"/>
  <c r="U34" i="30"/>
  <c r="Q36" i="29"/>
  <c r="K36" i="29"/>
  <c r="R36" i="29"/>
  <c r="R118" i="9"/>
  <c r="R119" i="9" s="1"/>
  <c r="P121" i="9" s="1"/>
  <c r="N48" i="22"/>
  <c r="R45" i="22"/>
  <c r="Q47" i="22" s="1"/>
  <c r="Z28" i="29"/>
  <c r="N42" i="30"/>
  <c r="V25" i="27"/>
  <c r="L41" i="29"/>
  <c r="L42" i="29"/>
  <c r="Q46" i="22"/>
  <c r="N41" i="30"/>
  <c r="Q86" i="7" l="1"/>
  <c r="K137" i="8"/>
  <c r="N87" i="8"/>
  <c r="S87" i="8" s="1"/>
  <c r="O33" i="27"/>
  <c r="P37" i="29"/>
  <c r="N33" i="31"/>
  <c r="R35" i="30"/>
  <c r="P41" i="30"/>
  <c r="N41" i="29"/>
  <c r="N42" i="29" s="1"/>
  <c r="S36" i="29"/>
  <c r="M48" i="22"/>
  <c r="M49" i="22" s="1"/>
  <c r="P120" i="9"/>
  <c r="AA34" i="29"/>
  <c r="AA21" i="22"/>
  <c r="I113" i="27"/>
  <c r="AC33" i="30"/>
  <c r="K34" i="31"/>
  <c r="AA33" i="29"/>
  <c r="I113" i="29"/>
  <c r="I114" i="27"/>
  <c r="X25" i="31"/>
  <c r="K34" i="27"/>
  <c r="H36" i="31"/>
  <c r="I114" i="29"/>
  <c r="I113" i="31"/>
  <c r="H36" i="27"/>
  <c r="AC34" i="30"/>
  <c r="I114" i="31"/>
  <c r="P87" i="8" l="1"/>
  <c r="O87" i="7"/>
  <c r="R87" i="7" s="1"/>
  <c r="R87" i="8"/>
  <c r="O33" i="31"/>
  <c r="K37" i="29"/>
  <c r="R37" i="29"/>
  <c r="S37" i="29" s="1"/>
  <c r="Q37" i="29"/>
  <c r="M34" i="31"/>
  <c r="M34" i="27"/>
  <c r="N34" i="27" s="1"/>
  <c r="T35" i="30"/>
  <c r="M35" i="30"/>
  <c r="S35" i="30"/>
  <c r="P42" i="30"/>
  <c r="R120" i="9"/>
  <c r="R121" i="9" s="1"/>
  <c r="P123" i="9" s="1"/>
  <c r="N51" i="22"/>
  <c r="AB34" i="29"/>
  <c r="AD34" i="30"/>
  <c r="Z29" i="29"/>
  <c r="V26" i="27"/>
  <c r="AB33" i="29"/>
  <c r="AB21" i="22"/>
  <c r="AB27" i="30"/>
  <c r="AD33" i="30"/>
  <c r="N88" i="8" l="1"/>
  <c r="S88" i="8" s="1"/>
  <c r="Q87" i="7"/>
  <c r="O34" i="27"/>
  <c r="P38" i="29"/>
  <c r="R38" i="29" s="1"/>
  <c r="N34" i="31"/>
  <c r="U35" i="30"/>
  <c r="R36" i="30"/>
  <c r="S36" i="30" s="1"/>
  <c r="P122" i="9"/>
  <c r="N50" i="22"/>
  <c r="R47" i="22"/>
  <c r="Q49" i="22" s="1"/>
  <c r="Q48" i="22"/>
  <c r="I115" i="29"/>
  <c r="N44" i="30"/>
  <c r="I115" i="31"/>
  <c r="X26" i="31"/>
  <c r="I116" i="27"/>
  <c r="Z30" i="29"/>
  <c r="I116" i="29"/>
  <c r="I116" i="31"/>
  <c r="I115" i="27"/>
  <c r="N43" i="30"/>
  <c r="H37" i="31"/>
  <c r="L44" i="29"/>
  <c r="K35" i="31"/>
  <c r="L43" i="29"/>
  <c r="H37" i="27"/>
  <c r="K35" i="27"/>
  <c r="P88" i="8" l="1"/>
  <c r="R88" i="8"/>
  <c r="O88" i="7"/>
  <c r="R88" i="7" s="1"/>
  <c r="N89" i="8"/>
  <c r="S89" i="8" s="1"/>
  <c r="O34" i="31"/>
  <c r="K38" i="29"/>
  <c r="Q38" i="29"/>
  <c r="M35" i="31"/>
  <c r="M35" i="27"/>
  <c r="T36" i="30"/>
  <c r="M36" i="30"/>
  <c r="R37" i="30" s="1"/>
  <c r="S37" i="30" s="1"/>
  <c r="P43" i="30"/>
  <c r="N43" i="29"/>
  <c r="S38" i="29"/>
  <c r="M50" i="22"/>
  <c r="M51" i="22" s="1"/>
  <c r="N53" i="22" s="1"/>
  <c r="R122" i="9"/>
  <c r="R123" i="9" s="1"/>
  <c r="P125" i="9" s="1"/>
  <c r="AA36" i="29"/>
  <c r="AC36" i="30"/>
  <c r="K36" i="31"/>
  <c r="AA22" i="22"/>
  <c r="AC35" i="30"/>
  <c r="AA35" i="29"/>
  <c r="AB28" i="30"/>
  <c r="K36" i="27"/>
  <c r="P89" i="8" l="1"/>
  <c r="Q88" i="7"/>
  <c r="R89" i="8"/>
  <c r="P39" i="29"/>
  <c r="R39" i="29" s="1"/>
  <c r="M37" i="30"/>
  <c r="R38" i="30" s="1"/>
  <c r="M36" i="31"/>
  <c r="N36" i="31" s="1"/>
  <c r="U36" i="30"/>
  <c r="N35" i="31"/>
  <c r="N35" i="27"/>
  <c r="T37" i="30"/>
  <c r="U37" i="30" s="1"/>
  <c r="P44" i="30"/>
  <c r="N44" i="29"/>
  <c r="M36" i="27"/>
  <c r="P124" i="9"/>
  <c r="N52" i="22"/>
  <c r="H38" i="31"/>
  <c r="H38" i="27"/>
  <c r="I117" i="29"/>
  <c r="I118" i="27"/>
  <c r="AB29" i="30"/>
  <c r="X27" i="31"/>
  <c r="AB36" i="29"/>
  <c r="L46" i="29"/>
  <c r="X28" i="31"/>
  <c r="I118" i="29"/>
  <c r="AB35" i="29"/>
  <c r="I118" i="31"/>
  <c r="AD36" i="30"/>
  <c r="K37" i="31"/>
  <c r="K37" i="27"/>
  <c r="N46" i="30"/>
  <c r="AB22" i="22"/>
  <c r="I117" i="27"/>
  <c r="I117" i="31"/>
  <c r="L45" i="29"/>
  <c r="N45" i="30"/>
  <c r="V27" i="27"/>
  <c r="Z31" i="29"/>
  <c r="AD35" i="30"/>
  <c r="O89" i="7" l="1"/>
  <c r="R89" i="7" s="1"/>
  <c r="N90" i="8"/>
  <c r="R90" i="8" s="1"/>
  <c r="O35" i="31"/>
  <c r="O35" i="27"/>
  <c r="O36" i="31"/>
  <c r="Q39" i="29"/>
  <c r="K39" i="29"/>
  <c r="S39" i="29"/>
  <c r="M37" i="31"/>
  <c r="S38" i="30"/>
  <c r="T38" i="30"/>
  <c r="M38" i="30"/>
  <c r="P45" i="30"/>
  <c r="N45" i="29"/>
  <c r="N36" i="27"/>
  <c r="M52" i="22"/>
  <c r="M53" i="22" s="1"/>
  <c r="R124" i="9"/>
  <c r="R125" i="9" s="1"/>
  <c r="P127" i="9" s="1"/>
  <c r="R49" i="22"/>
  <c r="Q51" i="22" s="1"/>
  <c r="AA37" i="29"/>
  <c r="AC37" i="30"/>
  <c r="AA38" i="29"/>
  <c r="AC38" i="30"/>
  <c r="Q50" i="22"/>
  <c r="AB30" i="30"/>
  <c r="V28" i="27"/>
  <c r="Q89" i="7" l="1"/>
  <c r="S90" i="8"/>
  <c r="P90" i="8"/>
  <c r="O36" i="27"/>
  <c r="P40" i="29"/>
  <c r="N37" i="31"/>
  <c r="P46" i="30"/>
  <c r="U38" i="30"/>
  <c r="R39" i="30"/>
  <c r="N46" i="29"/>
  <c r="M37" i="27"/>
  <c r="P126" i="9"/>
  <c r="N55" i="22"/>
  <c r="I120" i="27"/>
  <c r="I120" i="31"/>
  <c r="AD38" i="30"/>
  <c r="X29" i="31"/>
  <c r="I119" i="29"/>
  <c r="I120" i="29"/>
  <c r="AA23" i="22"/>
  <c r="H39" i="27"/>
  <c r="I119" i="27"/>
  <c r="AD37" i="30"/>
  <c r="H39" i="31"/>
  <c r="AB38" i="29"/>
  <c r="AB37" i="29"/>
  <c r="I119" i="31"/>
  <c r="K38" i="31"/>
  <c r="K38" i="27"/>
  <c r="O90" i="7" l="1"/>
  <c r="R90" i="7" s="1"/>
  <c r="N91" i="8"/>
  <c r="P91" i="8" s="1"/>
  <c r="O37" i="31"/>
  <c r="R40" i="29"/>
  <c r="Q40" i="29"/>
  <c r="K40" i="29"/>
  <c r="M38" i="31"/>
  <c r="M39" i="30"/>
  <c r="T39" i="30"/>
  <c r="S39" i="30"/>
  <c r="M38" i="27"/>
  <c r="N37" i="27"/>
  <c r="R126" i="9"/>
  <c r="R127" i="9" s="1"/>
  <c r="P129" i="9" s="1"/>
  <c r="N54" i="22"/>
  <c r="L48" i="29"/>
  <c r="AB31" i="30"/>
  <c r="L47" i="29"/>
  <c r="N47" i="30"/>
  <c r="Z32" i="29"/>
  <c r="V29" i="27"/>
  <c r="AB23" i="22"/>
  <c r="N48" i="30"/>
  <c r="Q90" i="7" l="1"/>
  <c r="S91" i="8"/>
  <c r="R91" i="8"/>
  <c r="N92" i="8" s="1"/>
  <c r="O37" i="27"/>
  <c r="P41" i="29"/>
  <c r="K41" i="29" s="1"/>
  <c r="S40" i="29"/>
  <c r="N38" i="31"/>
  <c r="P47" i="30"/>
  <c r="U39" i="30"/>
  <c r="R40" i="30"/>
  <c r="N47" i="29"/>
  <c r="N48" i="29" s="1"/>
  <c r="N38" i="27"/>
  <c r="M54" i="22"/>
  <c r="M55" i="22" s="1"/>
  <c r="N57" i="22" s="1"/>
  <c r="P128" i="9"/>
  <c r="R51" i="22"/>
  <c r="Q53" i="22" s="1"/>
  <c r="I121" i="29"/>
  <c r="I122" i="27"/>
  <c r="I122" i="31"/>
  <c r="K39" i="31"/>
  <c r="X30" i="31"/>
  <c r="AA40" i="29"/>
  <c r="H40" i="27"/>
  <c r="I122" i="29"/>
  <c r="I121" i="27"/>
  <c r="AA39" i="29"/>
  <c r="AC39" i="30"/>
  <c r="Q52" i="22"/>
  <c r="H40" i="31"/>
  <c r="I121" i="31"/>
  <c r="AC40" i="30"/>
  <c r="K39" i="27"/>
  <c r="V30" i="27"/>
  <c r="O91" i="7" l="1"/>
  <c r="R91" i="7" s="1"/>
  <c r="S92" i="8"/>
  <c r="P92" i="8"/>
  <c r="R92" i="8"/>
  <c r="O38" i="31"/>
  <c r="O38" i="27"/>
  <c r="R41" i="29"/>
  <c r="Q41" i="29"/>
  <c r="S41" i="29"/>
  <c r="M39" i="31"/>
  <c r="M39" i="27"/>
  <c r="T40" i="30"/>
  <c r="M40" i="30"/>
  <c r="P48" i="30"/>
  <c r="S40" i="30"/>
  <c r="N56" i="22"/>
  <c r="R128" i="9"/>
  <c r="R129" i="9" s="1"/>
  <c r="P131" i="9" s="1"/>
  <c r="AA24" i="22"/>
  <c r="N50" i="30"/>
  <c r="AB40" i="29"/>
  <c r="L50" i="29"/>
  <c r="AD40" i="30"/>
  <c r="AB39" i="29"/>
  <c r="L49" i="29"/>
  <c r="AB32" i="30"/>
  <c r="Z33" i="29"/>
  <c r="N49" i="30"/>
  <c r="AD39" i="30"/>
  <c r="Q91" i="7" l="1"/>
  <c r="N93" i="8"/>
  <c r="S93" i="8" s="1"/>
  <c r="P42" i="29"/>
  <c r="Q42" i="29" s="1"/>
  <c r="N39" i="31"/>
  <c r="N39" i="27"/>
  <c r="R41" i="30"/>
  <c r="P49" i="30"/>
  <c r="U40" i="30"/>
  <c r="N49" i="29"/>
  <c r="M56" i="22"/>
  <c r="M57" i="22" s="1"/>
  <c r="N59" i="22" s="1"/>
  <c r="P130" i="9"/>
  <c r="I123" i="27"/>
  <c r="H41" i="31"/>
  <c r="I124" i="31"/>
  <c r="X31" i="31"/>
  <c r="I123" i="29"/>
  <c r="I123" i="31"/>
  <c r="I124" i="29"/>
  <c r="K40" i="31"/>
  <c r="AB24" i="22"/>
  <c r="H41" i="27"/>
  <c r="I124" i="27"/>
  <c r="AC41" i="30"/>
  <c r="K40" i="27"/>
  <c r="AA42" i="29"/>
  <c r="V31" i="27"/>
  <c r="AA41" i="29"/>
  <c r="AC42" i="30"/>
  <c r="P93" i="8" l="1"/>
  <c r="O92" i="7"/>
  <c r="R92" i="7" s="1"/>
  <c r="R93" i="8"/>
  <c r="O39" i="31"/>
  <c r="O39" i="27"/>
  <c r="K42" i="29"/>
  <c r="R42" i="29"/>
  <c r="M40" i="31"/>
  <c r="M40" i="27"/>
  <c r="T41" i="30"/>
  <c r="U41" i="30" s="1"/>
  <c r="P50" i="30"/>
  <c r="S41" i="30"/>
  <c r="M41" i="30"/>
  <c r="N50" i="29"/>
  <c r="R130" i="9"/>
  <c r="R131" i="9" s="1"/>
  <c r="P133" i="9" s="1"/>
  <c r="N58" i="22"/>
  <c r="R53" i="22"/>
  <c r="Q55" i="22" s="1"/>
  <c r="AB33" i="30"/>
  <c r="N52" i="30"/>
  <c r="N51" i="30"/>
  <c r="Q54" i="22"/>
  <c r="Z34" i="29"/>
  <c r="L51" i="29"/>
  <c r="AA43" i="29" s="1"/>
  <c r="L52" i="29"/>
  <c r="AD41" i="30"/>
  <c r="AB42" i="29"/>
  <c r="AB41" i="29"/>
  <c r="AD42" i="30"/>
  <c r="N94" i="8" l="1"/>
  <c r="S94" i="8" s="1"/>
  <c r="Q92" i="7"/>
  <c r="O93" i="7" s="1"/>
  <c r="R93" i="7" s="1"/>
  <c r="P94" i="8"/>
  <c r="R94" i="8"/>
  <c r="P43" i="29"/>
  <c r="S42" i="29"/>
  <c r="N40" i="31"/>
  <c r="N40" i="27"/>
  <c r="P51" i="30"/>
  <c r="R42" i="30"/>
  <c r="N51" i="29"/>
  <c r="M58" i="22"/>
  <c r="M59" i="22" s="1"/>
  <c r="P132" i="9"/>
  <c r="H42" i="31"/>
  <c r="I125" i="31"/>
  <c r="AC44" i="30"/>
  <c r="X32" i="31"/>
  <c r="I125" i="29"/>
  <c r="I125" i="27"/>
  <c r="H42" i="27"/>
  <c r="I126" i="29"/>
  <c r="I126" i="27"/>
  <c r="K41" i="31"/>
  <c r="AA25" i="22"/>
  <c r="I126" i="31"/>
  <c r="AA44" i="29"/>
  <c r="AB43" i="29"/>
  <c r="V32" i="27"/>
  <c r="AC43" i="30"/>
  <c r="K41" i="27"/>
  <c r="Q93" i="7" l="1"/>
  <c r="N95" i="8"/>
  <c r="S95" i="8" s="1"/>
  <c r="O40" i="31"/>
  <c r="O40" i="27"/>
  <c r="R43" i="29"/>
  <c r="Q43" i="29"/>
  <c r="K43" i="29"/>
  <c r="M41" i="31"/>
  <c r="M41" i="27"/>
  <c r="T42" i="30"/>
  <c r="U42" i="30" s="1"/>
  <c r="M42" i="30"/>
  <c r="P52" i="30"/>
  <c r="S42" i="30"/>
  <c r="N52" i="29"/>
  <c r="R132" i="9"/>
  <c r="R133" i="9" s="1"/>
  <c r="P135" i="9" s="1"/>
  <c r="N61" i="22"/>
  <c r="AB44" i="29"/>
  <c r="AD44" i="30"/>
  <c r="AB25" i="22"/>
  <c r="AD43" i="30"/>
  <c r="Z35" i="29"/>
  <c r="AB34" i="30"/>
  <c r="O94" i="7" l="1"/>
  <c r="R94" i="7" s="1"/>
  <c r="P95" i="8"/>
  <c r="R95" i="8"/>
  <c r="P44" i="29"/>
  <c r="S43" i="29"/>
  <c r="N41" i="31"/>
  <c r="N41" i="27"/>
  <c r="R43" i="30"/>
  <c r="N60" i="22"/>
  <c r="P134" i="9"/>
  <c r="R55" i="22"/>
  <c r="Q57" i="22" s="1"/>
  <c r="H43" i="27"/>
  <c r="I128" i="31"/>
  <c r="I128" i="27"/>
  <c r="K42" i="27"/>
  <c r="I128" i="29"/>
  <c r="L53" i="29"/>
  <c r="I127" i="29"/>
  <c r="V33" i="27"/>
  <c r="L54" i="29"/>
  <c r="I127" i="27"/>
  <c r="N54" i="30"/>
  <c r="Q56" i="22"/>
  <c r="H43" i="31"/>
  <c r="I127" i="31"/>
  <c r="N53" i="30"/>
  <c r="K42" i="31"/>
  <c r="X33" i="31"/>
  <c r="Q94" i="7" l="1"/>
  <c r="O95" i="7" s="1"/>
  <c r="R95" i="7" s="1"/>
  <c r="N96" i="8"/>
  <c r="S96" i="8" s="1"/>
  <c r="O41" i="31"/>
  <c r="O41" i="27"/>
  <c r="R44" i="29"/>
  <c r="Q44" i="29"/>
  <c r="K44" i="29"/>
  <c r="M42" i="31"/>
  <c r="M42" i="27"/>
  <c r="S43" i="30"/>
  <c r="P53" i="30"/>
  <c r="T43" i="30"/>
  <c r="M43" i="30"/>
  <c r="N53" i="29"/>
  <c r="N54" i="29" s="1"/>
  <c r="R134" i="9"/>
  <c r="R135" i="9" s="1"/>
  <c r="P137" i="9" s="1"/>
  <c r="M60" i="22"/>
  <c r="M61" i="22" s="1"/>
  <c r="AA45" i="29"/>
  <c r="AC46" i="30"/>
  <c r="AC45" i="30"/>
  <c r="Z36" i="29"/>
  <c r="AA26" i="22"/>
  <c r="AA46" i="29"/>
  <c r="AB35" i="30"/>
  <c r="R96" i="8" l="1"/>
  <c r="Q95" i="7"/>
  <c r="P96" i="8"/>
  <c r="P45" i="29"/>
  <c r="S44" i="29"/>
  <c r="N42" i="31"/>
  <c r="N42" i="27"/>
  <c r="U43" i="30"/>
  <c r="P54" i="30"/>
  <c r="R44" i="30"/>
  <c r="P136" i="9"/>
  <c r="N63" i="22"/>
  <c r="H44" i="27"/>
  <c r="I129" i="27"/>
  <c r="H44" i="31"/>
  <c r="AD45" i="30"/>
  <c r="K43" i="31"/>
  <c r="I130" i="27"/>
  <c r="AB26" i="22"/>
  <c r="I129" i="31"/>
  <c r="X34" i="31"/>
  <c r="I129" i="29"/>
  <c r="I130" i="31"/>
  <c r="I130" i="29"/>
  <c r="V34" i="27"/>
  <c r="AB45" i="29"/>
  <c r="AB46" i="29"/>
  <c r="AD46" i="30"/>
  <c r="K43" i="27"/>
  <c r="O96" i="7" l="1"/>
  <c r="R96" i="7" s="1"/>
  <c r="N97" i="8"/>
  <c r="O42" i="31"/>
  <c r="O42" i="27"/>
  <c r="R45" i="29"/>
  <c r="Q45" i="29"/>
  <c r="K45" i="29"/>
  <c r="M43" i="31"/>
  <c r="M43" i="27"/>
  <c r="N43" i="27" s="1"/>
  <c r="M44" i="30"/>
  <c r="T44" i="30"/>
  <c r="S44" i="30"/>
  <c r="N62" i="22"/>
  <c r="R136" i="9"/>
  <c r="R137" i="9" s="1"/>
  <c r="P139" i="9" s="1"/>
  <c r="R57" i="22"/>
  <c r="Q59" i="22" s="1"/>
  <c r="L55" i="29"/>
  <c r="N55" i="30"/>
  <c r="Z37" i="29"/>
  <c r="L56" i="29"/>
  <c r="AB36" i="30"/>
  <c r="Q58" i="22"/>
  <c r="N56" i="30"/>
  <c r="V35" i="27"/>
  <c r="Q96" i="7" l="1"/>
  <c r="O97" i="7" s="1"/>
  <c r="R97" i="7" s="1"/>
  <c r="S97" i="8"/>
  <c r="R97" i="8"/>
  <c r="P97" i="8"/>
  <c r="O43" i="27"/>
  <c r="P46" i="29"/>
  <c r="K46" i="29" s="1"/>
  <c r="S45" i="29"/>
  <c r="N43" i="31"/>
  <c r="P55" i="30"/>
  <c r="U44" i="30"/>
  <c r="R45" i="30"/>
  <c r="N55" i="29"/>
  <c r="N56" i="29" s="1"/>
  <c r="M62" i="22"/>
  <c r="M63" i="22" s="1"/>
  <c r="N65" i="22" s="1"/>
  <c r="P138" i="9"/>
  <c r="I132" i="29"/>
  <c r="AA27" i="22"/>
  <c r="H45" i="31"/>
  <c r="AA47" i="29"/>
  <c r="H45" i="27"/>
  <c r="AC48" i="30"/>
  <c r="X35" i="31"/>
  <c r="I131" i="27"/>
  <c r="AA48" i="29"/>
  <c r="I131" i="31"/>
  <c r="AC47" i="30"/>
  <c r="I132" i="27"/>
  <c r="I131" i="29"/>
  <c r="I132" i="31"/>
  <c r="K44" i="27"/>
  <c r="K44" i="31"/>
  <c r="Q97" i="7" l="1"/>
  <c r="O98" i="7" s="1"/>
  <c r="R98" i="7" s="1"/>
  <c r="N98" i="8"/>
  <c r="O43" i="31"/>
  <c r="Q46" i="29"/>
  <c r="P47" i="29" s="1"/>
  <c r="K47" i="29" s="1"/>
  <c r="R46" i="29"/>
  <c r="S46" i="29" s="1"/>
  <c r="M44" i="31"/>
  <c r="M44" i="27"/>
  <c r="N44" i="27" s="1"/>
  <c r="S45" i="30"/>
  <c r="T45" i="30"/>
  <c r="M45" i="30"/>
  <c r="P56" i="30"/>
  <c r="N64" i="22"/>
  <c r="R138" i="9"/>
  <c r="R139" i="9" s="1"/>
  <c r="P141" i="9" s="1"/>
  <c r="AB47" i="29"/>
  <c r="H46" i="27"/>
  <c r="AD47" i="30"/>
  <c r="N57" i="30"/>
  <c r="AB27" i="22"/>
  <c r="AB48" i="29"/>
  <c r="AB37" i="30"/>
  <c r="AD48" i="30"/>
  <c r="H46" i="31"/>
  <c r="N58" i="30"/>
  <c r="L57" i="29"/>
  <c r="V36" i="27"/>
  <c r="L58" i="29"/>
  <c r="Z38" i="29"/>
  <c r="Q98" i="7" l="1"/>
  <c r="P98" i="8"/>
  <c r="S98" i="8"/>
  <c r="R98" i="8"/>
  <c r="O44" i="27"/>
  <c r="Q47" i="29"/>
  <c r="R47" i="29"/>
  <c r="N44" i="31"/>
  <c r="P57" i="30"/>
  <c r="U45" i="30"/>
  <c r="R46" i="30"/>
  <c r="N57" i="29"/>
  <c r="N58" i="29" s="1"/>
  <c r="M64" i="22"/>
  <c r="M65" i="22" s="1"/>
  <c r="P140" i="9"/>
  <c r="R59" i="22"/>
  <c r="Q61" i="22" s="1"/>
  <c r="I133" i="29"/>
  <c r="I134" i="29"/>
  <c r="Z39" i="29"/>
  <c r="K45" i="31"/>
  <c r="AC50" i="30"/>
  <c r="AC49" i="30"/>
  <c r="I134" i="27"/>
  <c r="I133" i="27"/>
  <c r="AA50" i="29"/>
  <c r="I133" i="31"/>
  <c r="Q60" i="22"/>
  <c r="AA49" i="29"/>
  <c r="I134" i="31"/>
  <c r="K45" i="27"/>
  <c r="X36" i="31"/>
  <c r="O99" i="7" l="1"/>
  <c r="R99" i="7" s="1"/>
  <c r="N99" i="8"/>
  <c r="S99" i="8" s="1"/>
  <c r="O44" i="31"/>
  <c r="P48" i="29"/>
  <c r="Q48" i="29" s="1"/>
  <c r="S47" i="29"/>
  <c r="M45" i="31"/>
  <c r="M45" i="27"/>
  <c r="N45" i="27" s="1"/>
  <c r="M46" i="30"/>
  <c r="T46" i="30"/>
  <c r="S46" i="30"/>
  <c r="P58" i="30"/>
  <c r="N67" i="22"/>
  <c r="R140" i="9"/>
  <c r="R141" i="9" s="1"/>
  <c r="P143" i="9" s="1"/>
  <c r="AB49" i="29"/>
  <c r="AD49" i="30"/>
  <c r="I137" i="27"/>
  <c r="H47" i="27"/>
  <c r="AB38" i="30"/>
  <c r="V37" i="27"/>
  <c r="AA28" i="22"/>
  <c r="AB50" i="29"/>
  <c r="I137" i="29"/>
  <c r="AD50" i="30"/>
  <c r="I137" i="31"/>
  <c r="H47" i="31"/>
  <c r="V20" i="29" l="1"/>
  <c r="X21" i="30"/>
  <c r="Q99" i="7"/>
  <c r="O100" i="7" s="1"/>
  <c r="R100" i="7" s="1"/>
  <c r="R99" i="8"/>
  <c r="P99" i="8"/>
  <c r="O45" i="27"/>
  <c r="R48" i="29"/>
  <c r="K48" i="29"/>
  <c r="N45" i="31"/>
  <c r="U46" i="30"/>
  <c r="R47" i="30"/>
  <c r="P142" i="9"/>
  <c r="N66" i="22"/>
  <c r="I135" i="29"/>
  <c r="I135" i="27"/>
  <c r="N59" i="30"/>
  <c r="I136" i="29"/>
  <c r="K46" i="31"/>
  <c r="Z40" i="29"/>
  <c r="I135" i="31"/>
  <c r="L60" i="29"/>
  <c r="AB28" i="22"/>
  <c r="X37" i="31"/>
  <c r="I136" i="31"/>
  <c r="I136" i="27"/>
  <c r="N60" i="30"/>
  <c r="K46" i="27"/>
  <c r="L59" i="29"/>
  <c r="Q100" i="7" l="1"/>
  <c r="N100" i="8"/>
  <c r="S100" i="8" s="1"/>
  <c r="O45" i="31"/>
  <c r="S48" i="29"/>
  <c r="P49" i="29"/>
  <c r="K49" i="29" s="1"/>
  <c r="M46" i="31"/>
  <c r="M46" i="27"/>
  <c r="S47" i="30"/>
  <c r="P59" i="30"/>
  <c r="T47" i="30"/>
  <c r="M47" i="30"/>
  <c r="N59" i="29"/>
  <c r="M66" i="22"/>
  <c r="M67" i="22" s="1"/>
  <c r="N69" i="22" s="1"/>
  <c r="R142" i="9"/>
  <c r="R143" i="9" s="1"/>
  <c r="R61" i="22"/>
  <c r="Q63" i="22" s="1"/>
  <c r="H48" i="31"/>
  <c r="AB39" i="30"/>
  <c r="Q62" i="22"/>
  <c r="H48" i="27"/>
  <c r="R100" i="8" l="1"/>
  <c r="O101" i="7"/>
  <c r="R101" i="7" s="1"/>
  <c r="P100" i="8"/>
  <c r="Q49" i="29"/>
  <c r="R49" i="29"/>
  <c r="N46" i="31"/>
  <c r="N46" i="27"/>
  <c r="R48" i="30"/>
  <c r="P60" i="30"/>
  <c r="U47" i="30"/>
  <c r="N60" i="29"/>
  <c r="N68" i="22"/>
  <c r="Z41" i="29"/>
  <c r="AA29" i="22"/>
  <c r="K47" i="31"/>
  <c r="L61" i="29"/>
  <c r="X38" i="31"/>
  <c r="N62" i="30"/>
  <c r="L62" i="29"/>
  <c r="K47" i="27"/>
  <c r="N61" i="30"/>
  <c r="V38" i="27"/>
  <c r="Q101" i="7" l="1"/>
  <c r="N101" i="8"/>
  <c r="P101" i="8" s="1"/>
  <c r="O46" i="31"/>
  <c r="O46" i="27"/>
  <c r="P50" i="29"/>
  <c r="Q50" i="29" s="1"/>
  <c r="S49" i="29"/>
  <c r="M47" i="31"/>
  <c r="M47" i="27"/>
  <c r="M48" i="30"/>
  <c r="P61" i="30"/>
  <c r="T48" i="30"/>
  <c r="S48" i="30"/>
  <c r="N61" i="29"/>
  <c r="M68" i="22"/>
  <c r="M69" i="22" s="1"/>
  <c r="N71" i="22" s="1"/>
  <c r="H49" i="27"/>
  <c r="AB40" i="30"/>
  <c r="AB29" i="22"/>
  <c r="H49" i="31"/>
  <c r="O102" i="7" l="1"/>
  <c r="R102" i="7" s="1"/>
  <c r="S101" i="8"/>
  <c r="R101" i="8"/>
  <c r="R50" i="29"/>
  <c r="K50" i="29"/>
  <c r="N47" i="31"/>
  <c r="N47" i="27"/>
  <c r="U48" i="30"/>
  <c r="P62" i="30"/>
  <c r="R49" i="30"/>
  <c r="N62" i="29"/>
  <c r="N70" i="22"/>
  <c r="R63" i="22"/>
  <c r="Q65" i="22" s="1"/>
  <c r="X39" i="31"/>
  <c r="Q64" i="22"/>
  <c r="N63" i="30"/>
  <c r="K48" i="27"/>
  <c r="N64" i="30"/>
  <c r="V39" i="27"/>
  <c r="L63" i="29"/>
  <c r="L64" i="29"/>
  <c r="K48" i="31"/>
  <c r="Z42" i="29"/>
  <c r="Q102" i="7" l="1"/>
  <c r="O103" i="7" s="1"/>
  <c r="R103" i="7" s="1"/>
  <c r="N102" i="8"/>
  <c r="R102" i="8" s="1"/>
  <c r="O47" i="31"/>
  <c r="O47" i="27"/>
  <c r="S50" i="29"/>
  <c r="P51" i="29"/>
  <c r="K51" i="29" s="1"/>
  <c r="M48" i="31"/>
  <c r="M48" i="27"/>
  <c r="T49" i="30"/>
  <c r="M49" i="30"/>
  <c r="P63" i="30"/>
  <c r="S49" i="30"/>
  <c r="N63" i="29"/>
  <c r="M70" i="22"/>
  <c r="M71" i="22" s="1"/>
  <c r="N73" i="22" s="1"/>
  <c r="H50" i="31"/>
  <c r="AB41" i="30"/>
  <c r="AA30" i="22"/>
  <c r="H50" i="27"/>
  <c r="Q103" i="7" l="1"/>
  <c r="S102" i="8"/>
  <c r="P102" i="8"/>
  <c r="Q51" i="29"/>
  <c r="R51" i="29"/>
  <c r="N48" i="31"/>
  <c r="N48" i="27"/>
  <c r="P64" i="30"/>
  <c r="U49" i="30"/>
  <c r="R50" i="30"/>
  <c r="N64" i="29"/>
  <c r="N72" i="22"/>
  <c r="N65" i="30"/>
  <c r="L65" i="29"/>
  <c r="N66" i="30"/>
  <c r="K49" i="27"/>
  <c r="AB30" i="22"/>
  <c r="X40" i="31"/>
  <c r="L66" i="29"/>
  <c r="V40" i="27"/>
  <c r="Z43" i="29"/>
  <c r="K49" i="31"/>
  <c r="O104" i="7" l="1"/>
  <c r="R104" i="7" s="1"/>
  <c r="N103" i="8"/>
  <c r="P103" i="8" s="1"/>
  <c r="O48" i="31"/>
  <c r="O48" i="27"/>
  <c r="P52" i="29"/>
  <c r="Q52" i="29" s="1"/>
  <c r="S51" i="29"/>
  <c r="M49" i="31"/>
  <c r="M49" i="27"/>
  <c r="T50" i="30"/>
  <c r="U50" i="30" s="1"/>
  <c r="P65" i="30"/>
  <c r="S50" i="30"/>
  <c r="M50" i="30"/>
  <c r="N65" i="29"/>
  <c r="M72" i="22"/>
  <c r="M73" i="22" s="1"/>
  <c r="V19" i="22"/>
  <c r="V20" i="22" s="1"/>
  <c r="R65" i="22"/>
  <c r="Q67" i="22" s="1"/>
  <c r="H51" i="27"/>
  <c r="H51" i="31"/>
  <c r="AB42" i="30"/>
  <c r="Q66" i="22"/>
  <c r="Q104" i="7" l="1"/>
  <c r="S103" i="8"/>
  <c r="R103" i="8"/>
  <c r="R52" i="29"/>
  <c r="K52" i="29"/>
  <c r="P53" i="29" s="1"/>
  <c r="Q53" i="29" s="1"/>
  <c r="N49" i="31"/>
  <c r="N49" i="27"/>
  <c r="R51" i="30"/>
  <c r="P66" i="30"/>
  <c r="N66" i="29"/>
  <c r="N75" i="22"/>
  <c r="X41" i="31"/>
  <c r="K50" i="27"/>
  <c r="Z44" i="29"/>
  <c r="H52" i="31"/>
  <c r="V41" i="27"/>
  <c r="H52" i="27"/>
  <c r="K50" i="31"/>
  <c r="O105" i="7" l="1"/>
  <c r="R105" i="7" s="1"/>
  <c r="N104" i="8"/>
  <c r="R104" i="8" s="1"/>
  <c r="O49" i="27"/>
  <c r="O49" i="31"/>
  <c r="S52" i="29"/>
  <c r="K53" i="29"/>
  <c r="P54" i="29" s="1"/>
  <c r="R53" i="29"/>
  <c r="M50" i="31"/>
  <c r="M50" i="27"/>
  <c r="T51" i="30"/>
  <c r="U51" i="30" s="1"/>
  <c r="S51" i="30"/>
  <c r="M51" i="30"/>
  <c r="N74" i="22"/>
  <c r="R67" i="22"/>
  <c r="Q69" i="22" s="1"/>
  <c r="N68" i="30"/>
  <c r="H53" i="31"/>
  <c r="N67" i="30"/>
  <c r="H53" i="27"/>
  <c r="Q68" i="22"/>
  <c r="L67" i="29"/>
  <c r="Z45" i="29"/>
  <c r="AB43" i="30"/>
  <c r="L68" i="29"/>
  <c r="Q105" i="7" l="1"/>
  <c r="O106" i="7" s="1"/>
  <c r="R106" i="7" s="1"/>
  <c r="S104" i="8"/>
  <c r="P104" i="8"/>
  <c r="R54" i="29"/>
  <c r="Q54" i="29"/>
  <c r="S53" i="29"/>
  <c r="K54" i="29"/>
  <c r="N50" i="31"/>
  <c r="N50" i="27"/>
  <c r="R52" i="30"/>
  <c r="P67" i="30"/>
  <c r="N67" i="29"/>
  <c r="M74" i="22"/>
  <c r="M75" i="22" s="1"/>
  <c r="N77" i="22" s="1"/>
  <c r="R69" i="22"/>
  <c r="Q71" i="22" s="1"/>
  <c r="K51" i="31"/>
  <c r="Z46" i="29"/>
  <c r="V42" i="27"/>
  <c r="Q70" i="22"/>
  <c r="X42" i="31"/>
  <c r="K51" i="27"/>
  <c r="Q106" i="7" l="1"/>
  <c r="N105" i="8"/>
  <c r="O50" i="31"/>
  <c r="O50" i="27"/>
  <c r="S54" i="29"/>
  <c r="P55" i="29"/>
  <c r="K55" i="29" s="1"/>
  <c r="M51" i="31"/>
  <c r="M51" i="27"/>
  <c r="S52" i="30"/>
  <c r="M52" i="30"/>
  <c r="T52" i="30"/>
  <c r="U52" i="30" s="1"/>
  <c r="P68" i="30"/>
  <c r="N68" i="29"/>
  <c r="N76" i="22"/>
  <c r="R71" i="22"/>
  <c r="Q73" i="22" s="1"/>
  <c r="L70" i="29"/>
  <c r="H54" i="27"/>
  <c r="N70" i="30"/>
  <c r="H54" i="31"/>
  <c r="N69" i="30"/>
  <c r="Q72" i="22"/>
  <c r="L69" i="29"/>
  <c r="AB44" i="30"/>
  <c r="O107" i="7" l="1"/>
  <c r="R107" i="7" s="1"/>
  <c r="S105" i="8"/>
  <c r="R105" i="8"/>
  <c r="P105" i="8"/>
  <c r="Q55" i="29"/>
  <c r="R55" i="29"/>
  <c r="R53" i="30"/>
  <c r="T53" i="30" s="1"/>
  <c r="N51" i="31"/>
  <c r="N51" i="27"/>
  <c r="P69" i="30"/>
  <c r="N69" i="29"/>
  <c r="M76" i="22"/>
  <c r="M77" i="22" s="1"/>
  <c r="R73" i="22"/>
  <c r="Q75" i="22" s="1"/>
  <c r="Q74" i="22"/>
  <c r="K52" i="27"/>
  <c r="V43" i="27"/>
  <c r="X43" i="31"/>
  <c r="Z47" i="29"/>
  <c r="AB45" i="30"/>
  <c r="K52" i="31"/>
  <c r="Q107" i="7" l="1"/>
  <c r="N106" i="8"/>
  <c r="S106" i="8" s="1"/>
  <c r="O51" i="27"/>
  <c r="O51" i="31"/>
  <c r="S55" i="29"/>
  <c r="P56" i="29"/>
  <c r="M52" i="31"/>
  <c r="N52" i="31" s="1"/>
  <c r="M52" i="27"/>
  <c r="S53" i="30"/>
  <c r="M53" i="30"/>
  <c r="U53" i="30"/>
  <c r="P70" i="30"/>
  <c r="N70" i="29"/>
  <c r="N79" i="22"/>
  <c r="R75" i="22"/>
  <c r="Q77" i="22" s="1"/>
  <c r="H55" i="27"/>
  <c r="X44" i="31"/>
  <c r="Q76" i="22"/>
  <c r="H55" i="31"/>
  <c r="P106" i="8" l="1"/>
  <c r="R106" i="8"/>
  <c r="N107" i="8" s="1"/>
  <c r="S107" i="8" s="1"/>
  <c r="O108" i="7"/>
  <c r="R108" i="7" s="1"/>
  <c r="O52" i="31"/>
  <c r="R56" i="29"/>
  <c r="K56" i="29"/>
  <c r="Q56" i="29"/>
  <c r="R54" i="30"/>
  <c r="T54" i="30" s="1"/>
  <c r="N52" i="27"/>
  <c r="N78" i="22"/>
  <c r="R77" i="22"/>
  <c r="K53" i="31"/>
  <c r="N71" i="30"/>
  <c r="V44" i="27"/>
  <c r="AB46" i="30"/>
  <c r="L72" i="29"/>
  <c r="Z48" i="29"/>
  <c r="N72" i="30"/>
  <c r="K53" i="27"/>
  <c r="L71" i="29"/>
  <c r="Q108" i="7" l="1"/>
  <c r="O109" i="7" s="1"/>
  <c r="R109" i="7" s="1"/>
  <c r="R107" i="8"/>
  <c r="P107" i="8"/>
  <c r="O52" i="27"/>
  <c r="S56" i="29"/>
  <c r="P57" i="29"/>
  <c r="Q57" i="29" s="1"/>
  <c r="S54" i="30"/>
  <c r="M53" i="31"/>
  <c r="N53" i="31" s="1"/>
  <c r="M53" i="27"/>
  <c r="M54" i="30"/>
  <c r="P71" i="30"/>
  <c r="U54" i="30"/>
  <c r="N71" i="29"/>
  <c r="M78" i="22"/>
  <c r="M79" i="22" s="1"/>
  <c r="N81" i="22" s="1"/>
  <c r="H56" i="27"/>
  <c r="X45" i="31"/>
  <c r="H56" i="31"/>
  <c r="Q109" i="7" l="1"/>
  <c r="O110" i="7" s="1"/>
  <c r="R110" i="7" s="1"/>
  <c r="N108" i="8"/>
  <c r="S108" i="8" s="1"/>
  <c r="O53" i="31"/>
  <c r="K57" i="29"/>
  <c r="P58" i="29" s="1"/>
  <c r="Q58" i="29" s="1"/>
  <c r="R57" i="29"/>
  <c r="R55" i="30"/>
  <c r="T55" i="30" s="1"/>
  <c r="N53" i="27"/>
  <c r="P72" i="30"/>
  <c r="N72" i="29"/>
  <c r="Q79" i="22"/>
  <c r="R79" i="22" s="1"/>
  <c r="N80" i="22"/>
  <c r="K54" i="31"/>
  <c r="H57" i="31"/>
  <c r="AB47" i="30"/>
  <c r="V45" i="27"/>
  <c r="Z49" i="29"/>
  <c r="L74" i="29"/>
  <c r="N74" i="30"/>
  <c r="Q78" i="22"/>
  <c r="H57" i="27"/>
  <c r="N73" i="30"/>
  <c r="L73" i="29"/>
  <c r="K54" i="27"/>
  <c r="P108" i="8" l="1"/>
  <c r="R108" i="8"/>
  <c r="Q110" i="7"/>
  <c r="O111" i="7" s="1"/>
  <c r="R111" i="7" s="1"/>
  <c r="O53" i="27"/>
  <c r="R58" i="29"/>
  <c r="S57" i="29"/>
  <c r="K58" i="29"/>
  <c r="M54" i="31"/>
  <c r="N54" i="31" s="1"/>
  <c r="M54" i="27"/>
  <c r="N54" i="27" s="1"/>
  <c r="M55" i="30"/>
  <c r="S55" i="30"/>
  <c r="U55" i="30"/>
  <c r="P73" i="30"/>
  <c r="N73" i="29"/>
  <c r="M80" i="22"/>
  <c r="M81" i="22" s="1"/>
  <c r="X46" i="31"/>
  <c r="V46" i="27"/>
  <c r="Z50" i="29"/>
  <c r="N109" i="8" l="1"/>
  <c r="R109" i="8" s="1"/>
  <c r="V19" i="29"/>
  <c r="V21" i="29" s="1"/>
  <c r="P109" i="8"/>
  <c r="N110" i="8" s="1"/>
  <c r="S110" i="8" s="1"/>
  <c r="S109" i="8"/>
  <c r="Q111" i="7"/>
  <c r="O54" i="31"/>
  <c r="O54" i="27"/>
  <c r="P59" i="29"/>
  <c r="K59" i="29" s="1"/>
  <c r="S58" i="29"/>
  <c r="R56" i="30"/>
  <c r="P74" i="30"/>
  <c r="N74" i="29"/>
  <c r="N83" i="22"/>
  <c r="Q81" i="22"/>
  <c r="H58" i="27"/>
  <c r="K55" i="31"/>
  <c r="H58" i="31"/>
  <c r="Q80" i="22"/>
  <c r="K55" i="27"/>
  <c r="O112" i="7" l="1"/>
  <c r="R112" i="7" s="1"/>
  <c r="R110" i="8"/>
  <c r="P110" i="8"/>
  <c r="Q59" i="29"/>
  <c r="R59" i="29"/>
  <c r="S59" i="29" s="1"/>
  <c r="M55" i="31"/>
  <c r="M55" i="27"/>
  <c r="N55" i="27" s="1"/>
  <c r="M56" i="30"/>
  <c r="S56" i="30"/>
  <c r="T56" i="30"/>
  <c r="U56" i="30" s="1"/>
  <c r="R81" i="22"/>
  <c r="N82" i="22"/>
  <c r="L75" i="29"/>
  <c r="V47" i="27"/>
  <c r="AB48" i="30"/>
  <c r="N76" i="30"/>
  <c r="N75" i="30"/>
  <c r="L76" i="29"/>
  <c r="Q112" i="7" l="1"/>
  <c r="O113" i="7" s="1"/>
  <c r="R113" i="7" s="1"/>
  <c r="N111" i="8"/>
  <c r="R111" i="8" s="1"/>
  <c r="O55" i="27"/>
  <c r="P60" i="29"/>
  <c r="Q60" i="29" s="1"/>
  <c r="R57" i="30"/>
  <c r="N55" i="31"/>
  <c r="P75" i="30"/>
  <c r="N75" i="29"/>
  <c r="M82" i="22"/>
  <c r="M83" i="22" s="1"/>
  <c r="N85" i="22" s="1"/>
  <c r="X47" i="31"/>
  <c r="H59" i="31"/>
  <c r="K56" i="31"/>
  <c r="H59" i="27"/>
  <c r="K56" i="27"/>
  <c r="Q113" i="7" l="1"/>
  <c r="P111" i="8"/>
  <c r="N112" i="8" s="1"/>
  <c r="S111" i="8"/>
  <c r="O55" i="31"/>
  <c r="R60" i="29"/>
  <c r="S60" i="29" s="1"/>
  <c r="K60" i="29"/>
  <c r="M56" i="31"/>
  <c r="N56" i="31" s="1"/>
  <c r="M56" i="27"/>
  <c r="T57" i="30"/>
  <c r="S57" i="30"/>
  <c r="M57" i="30"/>
  <c r="P76" i="30"/>
  <c r="N76" i="29"/>
  <c r="N84" i="22"/>
  <c r="Q83" i="22"/>
  <c r="AB49" i="30"/>
  <c r="L78" i="29"/>
  <c r="X48" i="31"/>
  <c r="N77" i="30"/>
  <c r="Q82" i="22"/>
  <c r="N78" i="30"/>
  <c r="L77" i="29"/>
  <c r="S112" i="8" l="1"/>
  <c r="R112" i="8"/>
  <c r="O114" i="7"/>
  <c r="R114" i="7" s="1"/>
  <c r="P112" i="8"/>
  <c r="O56" i="31"/>
  <c r="P61" i="29"/>
  <c r="R58" i="30"/>
  <c r="U57" i="30"/>
  <c r="N56" i="27"/>
  <c r="P77" i="30"/>
  <c r="N77" i="29"/>
  <c r="M84" i="22"/>
  <c r="M85" i="22" s="1"/>
  <c r="R83" i="22"/>
  <c r="H60" i="31"/>
  <c r="K57" i="31"/>
  <c r="K57" i="27"/>
  <c r="V48" i="27"/>
  <c r="H60" i="27"/>
  <c r="Q114" i="7" l="1"/>
  <c r="N113" i="8"/>
  <c r="P113" i="8" s="1"/>
  <c r="O56" i="27"/>
  <c r="R61" i="29"/>
  <c r="S61" i="29" s="1"/>
  <c r="Q61" i="29"/>
  <c r="K61" i="29"/>
  <c r="M57" i="31"/>
  <c r="M57" i="27"/>
  <c r="N57" i="27" s="1"/>
  <c r="S58" i="30"/>
  <c r="T58" i="30"/>
  <c r="U58" i="30" s="1"/>
  <c r="M58" i="30"/>
  <c r="P78" i="30"/>
  <c r="N78" i="29"/>
  <c r="N87" i="22"/>
  <c r="Q85" i="22"/>
  <c r="R85" i="22" s="1"/>
  <c r="AB50" i="30"/>
  <c r="V49" i="27"/>
  <c r="Q84" i="22"/>
  <c r="X20" i="30" l="1"/>
  <c r="O115" i="7"/>
  <c r="R115" i="7" s="1"/>
  <c r="S113" i="8"/>
  <c r="R113" i="8"/>
  <c r="N114" i="8" s="1"/>
  <c r="O57" i="27"/>
  <c r="P62" i="29"/>
  <c r="K62" i="29" s="1"/>
  <c r="R59" i="30"/>
  <c r="T59" i="30" s="1"/>
  <c r="U59" i="30" s="1"/>
  <c r="N57" i="31"/>
  <c r="N86" i="22"/>
  <c r="K58" i="31"/>
  <c r="H61" i="27"/>
  <c r="N80" i="30"/>
  <c r="L80" i="29"/>
  <c r="X49" i="31"/>
  <c r="L79" i="29"/>
  <c r="K58" i="27"/>
  <c r="H61" i="31"/>
  <c r="N79" i="30"/>
  <c r="Q115" i="7" l="1"/>
  <c r="O116" i="7" s="1"/>
  <c r="R116" i="7" s="1"/>
  <c r="S114" i="8"/>
  <c r="P114" i="8"/>
  <c r="R114" i="8"/>
  <c r="O57" i="31"/>
  <c r="Q62" i="29"/>
  <c r="P63" i="29" s="1"/>
  <c r="R62" i="29"/>
  <c r="S62" i="29" s="1"/>
  <c r="S59" i="30"/>
  <c r="M59" i="30"/>
  <c r="M58" i="31"/>
  <c r="N58" i="31" s="1"/>
  <c r="M58" i="27"/>
  <c r="N58" i="27" s="1"/>
  <c r="P79" i="30"/>
  <c r="N79" i="29"/>
  <c r="M86" i="22"/>
  <c r="M87" i="22" s="1"/>
  <c r="H62" i="27"/>
  <c r="V50" i="27"/>
  <c r="H62" i="31"/>
  <c r="X50" i="31"/>
  <c r="R19" i="27" l="1"/>
  <c r="R21" i="27" s="1"/>
  <c r="R20" i="31"/>
  <c r="Q116" i="7"/>
  <c r="N115" i="8"/>
  <c r="R115" i="8" s="1"/>
  <c r="O58" i="31"/>
  <c r="O58" i="27"/>
  <c r="R63" i="29"/>
  <c r="S63" i="29" s="1"/>
  <c r="K63" i="29"/>
  <c r="Q63" i="29"/>
  <c r="R60" i="30"/>
  <c r="S60" i="30" s="1"/>
  <c r="P80" i="30"/>
  <c r="N80" i="29"/>
  <c r="N89" i="22"/>
  <c r="Q87" i="22"/>
  <c r="Q86" i="22"/>
  <c r="K59" i="27"/>
  <c r="K59" i="31"/>
  <c r="O117" i="7" l="1"/>
  <c r="R117" i="7" s="1"/>
  <c r="S115" i="8"/>
  <c r="P115" i="8"/>
  <c r="R21" i="31"/>
  <c r="P64" i="29"/>
  <c r="Q64" i="29" s="1"/>
  <c r="M59" i="31"/>
  <c r="N59" i="31" s="1"/>
  <c r="O59" i="31" s="1"/>
  <c r="M59" i="27"/>
  <c r="N59" i="27" s="1"/>
  <c r="O59" i="27" s="1"/>
  <c r="T60" i="30"/>
  <c r="U60" i="30" s="1"/>
  <c r="M60" i="30"/>
  <c r="R61" i="30" s="1"/>
  <c r="R87" i="22"/>
  <c r="N88" i="22"/>
  <c r="H63" i="27"/>
  <c r="K60" i="31"/>
  <c r="H63" i="31"/>
  <c r="L82" i="29"/>
  <c r="L81" i="29"/>
  <c r="N81" i="30"/>
  <c r="N82" i="30"/>
  <c r="K60" i="27"/>
  <c r="Q117" i="7" l="1"/>
  <c r="N116" i="8"/>
  <c r="P116" i="8" s="1"/>
  <c r="K64" i="29"/>
  <c r="R64" i="29"/>
  <c r="S64" i="29" s="1"/>
  <c r="M60" i="31"/>
  <c r="N60" i="31" s="1"/>
  <c r="O60" i="31" s="1"/>
  <c r="M60" i="27"/>
  <c r="N60" i="27" s="1"/>
  <c r="O60" i="27" s="1"/>
  <c r="T61" i="30"/>
  <c r="U61" i="30" s="1"/>
  <c r="P81" i="30"/>
  <c r="S61" i="30"/>
  <c r="M61" i="30"/>
  <c r="N81" i="29"/>
  <c r="M88" i="22"/>
  <c r="M89" i="22" s="1"/>
  <c r="Q89" i="22" s="1"/>
  <c r="Q88" i="22"/>
  <c r="O118" i="7" l="1"/>
  <c r="R118" i="7" s="1"/>
  <c r="S116" i="8"/>
  <c r="R116" i="8"/>
  <c r="N117" i="8" s="1"/>
  <c r="P117" i="8" s="1"/>
  <c r="P65" i="29"/>
  <c r="R62" i="30"/>
  <c r="P82" i="30"/>
  <c r="N82" i="29"/>
  <c r="N91" i="22"/>
  <c r="R89" i="22"/>
  <c r="H64" i="31"/>
  <c r="H64" i="27"/>
  <c r="K61" i="31"/>
  <c r="K61" i="27"/>
  <c r="Q118" i="7" l="1"/>
  <c r="R117" i="8"/>
  <c r="N118" i="8" s="1"/>
  <c r="S118" i="8" s="1"/>
  <c r="S117" i="8"/>
  <c r="R65" i="29"/>
  <c r="S65" i="29" s="1"/>
  <c r="Q65" i="29"/>
  <c r="K65" i="29"/>
  <c r="M61" i="31"/>
  <c r="N61" i="31" s="1"/>
  <c r="O61" i="31" s="1"/>
  <c r="M61" i="27"/>
  <c r="N61" i="27" s="1"/>
  <c r="O61" i="27" s="1"/>
  <c r="T62" i="30"/>
  <c r="U62" i="30" s="1"/>
  <c r="S62" i="30"/>
  <c r="M62" i="30"/>
  <c r="N90" i="22"/>
  <c r="L83" i="29"/>
  <c r="L84" i="29"/>
  <c r="N83" i="30"/>
  <c r="N84" i="30"/>
  <c r="O119" i="7" l="1"/>
  <c r="R119" i="7" s="1"/>
  <c r="R118" i="8"/>
  <c r="P118" i="8"/>
  <c r="P66" i="29"/>
  <c r="Q66" i="29" s="1"/>
  <c r="P83" i="30"/>
  <c r="R63" i="30"/>
  <c r="N83" i="29"/>
  <c r="M90" i="22"/>
  <c r="M91" i="22" s="1"/>
  <c r="H65" i="31"/>
  <c r="H65" i="27"/>
  <c r="K62" i="27"/>
  <c r="K62" i="31"/>
  <c r="Q119" i="7" l="1"/>
  <c r="N119" i="8"/>
  <c r="S119" i="8" s="1"/>
  <c r="R66" i="29"/>
  <c r="S66" i="29" s="1"/>
  <c r="K66" i="29"/>
  <c r="P67" i="29" s="1"/>
  <c r="M62" i="31"/>
  <c r="N62" i="31" s="1"/>
  <c r="O62" i="31" s="1"/>
  <c r="M62" i="27"/>
  <c r="N62" i="27" s="1"/>
  <c r="O62" i="27" s="1"/>
  <c r="T63" i="30"/>
  <c r="U63" i="30" s="1"/>
  <c r="S63" i="30"/>
  <c r="P84" i="30"/>
  <c r="M63" i="30"/>
  <c r="N84" i="29"/>
  <c r="N93" i="22"/>
  <c r="Q91" i="22"/>
  <c r="Q90" i="22"/>
  <c r="H66" i="27"/>
  <c r="H66" i="31"/>
  <c r="R119" i="8" l="1"/>
  <c r="P119" i="8"/>
  <c r="O120" i="7"/>
  <c r="R120" i="7" s="1"/>
  <c r="K67" i="29"/>
  <c r="R67" i="29"/>
  <c r="S67" i="29" s="1"/>
  <c r="Q67" i="29"/>
  <c r="R64" i="30"/>
  <c r="R91" i="22"/>
  <c r="N92" i="22"/>
  <c r="L86" i="29"/>
  <c r="K63" i="31"/>
  <c r="K63" i="27"/>
  <c r="N85" i="30"/>
  <c r="N86" i="30"/>
  <c r="L85" i="29"/>
  <c r="N120" i="8" l="1"/>
  <c r="P120" i="8" s="1"/>
  <c r="Q120" i="7"/>
  <c r="O121" i="7" s="1"/>
  <c r="R121" i="7" s="1"/>
  <c r="P68" i="29"/>
  <c r="K68" i="29" s="1"/>
  <c r="M63" i="31"/>
  <c r="N63" i="31" s="1"/>
  <c r="O63" i="31" s="1"/>
  <c r="M63" i="27"/>
  <c r="N63" i="27" s="1"/>
  <c r="O63" i="27" s="1"/>
  <c r="T64" i="30"/>
  <c r="U64" i="30" s="1"/>
  <c r="P85" i="30"/>
  <c r="S64" i="30"/>
  <c r="M64" i="30"/>
  <c r="N85" i="29"/>
  <c r="M92" i="22"/>
  <c r="M93" i="22" s="1"/>
  <c r="N95" i="22" s="1"/>
  <c r="H67" i="31"/>
  <c r="H67" i="27"/>
  <c r="S120" i="8" l="1"/>
  <c r="R120" i="8"/>
  <c r="N121" i="8" s="1"/>
  <c r="S121" i="8" s="1"/>
  <c r="Q121" i="7"/>
  <c r="R68" i="29"/>
  <c r="S68" i="29" s="1"/>
  <c r="Q68" i="29"/>
  <c r="P69" i="29" s="1"/>
  <c r="R65" i="30"/>
  <c r="P86" i="30"/>
  <c r="N86" i="29"/>
  <c r="Q93" i="22"/>
  <c r="R93" i="22" s="1"/>
  <c r="N94" i="22"/>
  <c r="Q92" i="22"/>
  <c r="L87" i="29"/>
  <c r="K64" i="31"/>
  <c r="N88" i="30"/>
  <c r="H68" i="27"/>
  <c r="H68" i="31"/>
  <c r="N87" i="30"/>
  <c r="L88" i="29"/>
  <c r="K64" i="27"/>
  <c r="P121" i="8" l="1"/>
  <c r="N122" i="8" s="1"/>
  <c r="R121" i="8"/>
  <c r="O122" i="7"/>
  <c r="R122" i="7" s="1"/>
  <c r="R69" i="29"/>
  <c r="S69" i="29" s="1"/>
  <c r="K69" i="29"/>
  <c r="Q69" i="29"/>
  <c r="M64" i="31"/>
  <c r="N64" i="31" s="1"/>
  <c r="O64" i="31" s="1"/>
  <c r="M64" i="27"/>
  <c r="N64" i="27" s="1"/>
  <c r="O64" i="27" s="1"/>
  <c r="T65" i="30"/>
  <c r="U65" i="30" s="1"/>
  <c r="S65" i="30"/>
  <c r="P87" i="30"/>
  <c r="M65" i="30"/>
  <c r="N87" i="29"/>
  <c r="M94" i="22"/>
  <c r="M95" i="22" s="1"/>
  <c r="P122" i="8" l="1"/>
  <c r="Q122" i="7"/>
  <c r="R122" i="8"/>
  <c r="S122" i="8"/>
  <c r="P70" i="29"/>
  <c r="Q70" i="29" s="1"/>
  <c r="P88" i="30"/>
  <c r="R66" i="30"/>
  <c r="N88" i="29"/>
  <c r="N97" i="22"/>
  <c r="Q95" i="22"/>
  <c r="H69" i="27"/>
  <c r="K65" i="31"/>
  <c r="H69" i="31"/>
  <c r="Q94" i="22"/>
  <c r="K65" i="27"/>
  <c r="O123" i="7" l="1"/>
  <c r="R123" i="7" s="1"/>
  <c r="N123" i="8"/>
  <c r="R123" i="8" s="1"/>
  <c r="K70" i="29"/>
  <c r="R70" i="29"/>
  <c r="S70" i="29" s="1"/>
  <c r="M65" i="31"/>
  <c r="N65" i="31" s="1"/>
  <c r="O65" i="31" s="1"/>
  <c r="M65" i="27"/>
  <c r="N65" i="27" s="1"/>
  <c r="O65" i="27" s="1"/>
  <c r="M66" i="30"/>
  <c r="T66" i="30"/>
  <c r="U66" i="30" s="1"/>
  <c r="S66" i="30"/>
  <c r="R95" i="22"/>
  <c r="N96" i="22"/>
  <c r="N90" i="30"/>
  <c r="N89" i="30"/>
  <c r="L90" i="29"/>
  <c r="L89" i="29"/>
  <c r="Q123" i="7" l="1"/>
  <c r="S123" i="8"/>
  <c r="P123" i="8"/>
  <c r="P71" i="29"/>
  <c r="P89" i="30"/>
  <c r="R67" i="30"/>
  <c r="N89" i="29"/>
  <c r="M96" i="22"/>
  <c r="M97" i="22" s="1"/>
  <c r="N99" i="22" s="1"/>
  <c r="H70" i="27"/>
  <c r="K66" i="27"/>
  <c r="H70" i="31"/>
  <c r="K66" i="31"/>
  <c r="O124" i="7" l="1"/>
  <c r="R124" i="7" s="1"/>
  <c r="N124" i="8"/>
  <c r="P124" i="8" s="1"/>
  <c r="Q71" i="29"/>
  <c r="R71" i="29"/>
  <c r="S71" i="29" s="1"/>
  <c r="K71" i="29"/>
  <c r="M66" i="31"/>
  <c r="N66" i="31" s="1"/>
  <c r="O66" i="31" s="1"/>
  <c r="M66" i="27"/>
  <c r="N66" i="27" s="1"/>
  <c r="O66" i="27" s="1"/>
  <c r="T67" i="30"/>
  <c r="U67" i="30" s="1"/>
  <c r="M67" i="30"/>
  <c r="P90" i="30"/>
  <c r="S67" i="30"/>
  <c r="N90" i="29"/>
  <c r="Q97" i="22"/>
  <c r="R97" i="22" s="1"/>
  <c r="N98" i="22"/>
  <c r="L91" i="29"/>
  <c r="N92" i="30"/>
  <c r="Q96" i="22"/>
  <c r="N91" i="30"/>
  <c r="L92" i="29"/>
  <c r="Q124" i="7" l="1"/>
  <c r="S124" i="8"/>
  <c r="R124" i="8"/>
  <c r="N125" i="8" s="1"/>
  <c r="P72" i="29"/>
  <c r="Q72" i="29" s="1"/>
  <c r="P91" i="30"/>
  <c r="R68" i="30"/>
  <c r="N91" i="29"/>
  <c r="M98" i="22"/>
  <c r="M99" i="22" s="1"/>
  <c r="N101" i="22" s="1"/>
  <c r="H71" i="27"/>
  <c r="H71" i="31"/>
  <c r="K67" i="31"/>
  <c r="K67" i="27"/>
  <c r="S125" i="8" l="1"/>
  <c r="P125" i="8"/>
  <c r="O125" i="7"/>
  <c r="R125" i="7" s="1"/>
  <c r="R125" i="8"/>
  <c r="R72" i="29"/>
  <c r="S72" i="29" s="1"/>
  <c r="K72" i="29"/>
  <c r="M67" i="31"/>
  <c r="N67" i="31" s="1"/>
  <c r="O67" i="31" s="1"/>
  <c r="M67" i="27"/>
  <c r="N67" i="27" s="1"/>
  <c r="O67" i="27" s="1"/>
  <c r="T68" i="30"/>
  <c r="U68" i="30" s="1"/>
  <c r="P92" i="30"/>
  <c r="S68" i="30"/>
  <c r="M68" i="30"/>
  <c r="N92" i="29"/>
  <c r="N100" i="22"/>
  <c r="Q99" i="22"/>
  <c r="L93" i="29"/>
  <c r="N94" i="30"/>
  <c r="Q98" i="22"/>
  <c r="N93" i="30"/>
  <c r="L94" i="29"/>
  <c r="N126" i="8" l="1"/>
  <c r="S126" i="8" s="1"/>
  <c r="Q125" i="7"/>
  <c r="P73" i="29"/>
  <c r="P93" i="30"/>
  <c r="R69" i="30"/>
  <c r="N93" i="29"/>
  <c r="M100" i="22"/>
  <c r="M101" i="22" s="1"/>
  <c r="R99" i="22"/>
  <c r="H72" i="27"/>
  <c r="K68" i="27"/>
  <c r="H72" i="31"/>
  <c r="K68" i="31"/>
  <c r="P126" i="8" l="1"/>
  <c r="N127" i="8" s="1"/>
  <c r="S127" i="8" s="1"/>
  <c r="R126" i="8"/>
  <c r="O126" i="7"/>
  <c r="R126" i="7" s="1"/>
  <c r="R73" i="29"/>
  <c r="S73" i="29" s="1"/>
  <c r="Q73" i="29"/>
  <c r="K73" i="29"/>
  <c r="M68" i="31"/>
  <c r="N68" i="31" s="1"/>
  <c r="O68" i="31" s="1"/>
  <c r="M68" i="27"/>
  <c r="N68" i="27" s="1"/>
  <c r="O68" i="27" s="1"/>
  <c r="T69" i="30"/>
  <c r="U69" i="30" s="1"/>
  <c r="P94" i="30"/>
  <c r="S69" i="30"/>
  <c r="M69" i="30"/>
  <c r="N94" i="29"/>
  <c r="Q101" i="22"/>
  <c r="R101" i="22" s="1"/>
  <c r="N103" i="22"/>
  <c r="Q100" i="22"/>
  <c r="P127" i="8" l="1"/>
  <c r="Q126" i="7"/>
  <c r="R127" i="8"/>
  <c r="P74" i="29"/>
  <c r="Q74" i="29" s="1"/>
  <c r="R70" i="30"/>
  <c r="N102" i="22"/>
  <c r="L95" i="29"/>
  <c r="K69" i="27"/>
  <c r="L96" i="29"/>
  <c r="N95" i="30"/>
  <c r="H73" i="27"/>
  <c r="K69" i="31"/>
  <c r="H73" i="31"/>
  <c r="N96" i="30"/>
  <c r="O127" i="7" l="1"/>
  <c r="R127" i="7" s="1"/>
  <c r="N128" i="8"/>
  <c r="R128" i="8" s="1"/>
  <c r="R74" i="29"/>
  <c r="S74" i="29" s="1"/>
  <c r="K74" i="29"/>
  <c r="M69" i="31"/>
  <c r="N69" i="31" s="1"/>
  <c r="O69" i="31" s="1"/>
  <c r="M69" i="27"/>
  <c r="N69" i="27" s="1"/>
  <c r="O69" i="27" s="1"/>
  <c r="T70" i="30"/>
  <c r="U70" i="30" s="1"/>
  <c r="P95" i="30"/>
  <c r="S70" i="30"/>
  <c r="M70" i="30"/>
  <c r="N95" i="29"/>
  <c r="M102" i="22"/>
  <c r="M103" i="22" s="1"/>
  <c r="Q127" i="7" l="1"/>
  <c r="S128" i="8"/>
  <c r="P128" i="8"/>
  <c r="N129" i="8" s="1"/>
  <c r="R129" i="8" s="1"/>
  <c r="P75" i="29"/>
  <c r="K75" i="29" s="1"/>
  <c r="R71" i="30"/>
  <c r="P96" i="30"/>
  <c r="N96" i="29"/>
  <c r="N105" i="22"/>
  <c r="Q103" i="22"/>
  <c r="K70" i="31"/>
  <c r="K70" i="27"/>
  <c r="Q102" i="22"/>
  <c r="H74" i="31"/>
  <c r="H74" i="27"/>
  <c r="O128" i="7" l="1"/>
  <c r="R128" i="7" s="1"/>
  <c r="P129" i="8"/>
  <c r="S129" i="8"/>
  <c r="R75" i="29"/>
  <c r="S75" i="29" s="1"/>
  <c r="Q75" i="29"/>
  <c r="P76" i="29" s="1"/>
  <c r="M70" i="31"/>
  <c r="N70" i="31" s="1"/>
  <c r="O70" i="31" s="1"/>
  <c r="M70" i="27"/>
  <c r="N70" i="27" s="1"/>
  <c r="O70" i="27" s="1"/>
  <c r="T71" i="30"/>
  <c r="U71" i="30" s="1"/>
  <c r="S71" i="30"/>
  <c r="M71" i="30"/>
  <c r="R103" i="22"/>
  <c r="N104" i="22"/>
  <c r="L97" i="29"/>
  <c r="N97" i="30"/>
  <c r="L98" i="29"/>
  <c r="H75" i="27"/>
  <c r="H75" i="31"/>
  <c r="N98" i="30"/>
  <c r="Q128" i="7" l="1"/>
  <c r="O129" i="7" s="1"/>
  <c r="R129" i="7" s="1"/>
  <c r="N130" i="8"/>
  <c r="P130" i="8" s="1"/>
  <c r="R76" i="29"/>
  <c r="S76" i="29" s="1"/>
  <c r="K76" i="29"/>
  <c r="Q76" i="29"/>
  <c r="P97" i="30"/>
  <c r="R72" i="30"/>
  <c r="N97" i="29"/>
  <c r="M104" i="22"/>
  <c r="M105" i="22" s="1"/>
  <c r="K71" i="27"/>
  <c r="K71" i="31"/>
  <c r="Q129" i="7" l="1"/>
  <c r="S130" i="8"/>
  <c r="R130" i="8"/>
  <c r="P77" i="29"/>
  <c r="K77" i="29" s="1"/>
  <c r="M71" i="31"/>
  <c r="N71" i="31" s="1"/>
  <c r="O71" i="31" s="1"/>
  <c r="M71" i="27"/>
  <c r="N71" i="27" s="1"/>
  <c r="O71" i="27" s="1"/>
  <c r="T72" i="30"/>
  <c r="U72" i="30" s="1"/>
  <c r="P98" i="30"/>
  <c r="M72" i="30"/>
  <c r="S72" i="30"/>
  <c r="N98" i="29"/>
  <c r="N107" i="22"/>
  <c r="Q105" i="22"/>
  <c r="Q104" i="22"/>
  <c r="H76" i="27"/>
  <c r="H76" i="31"/>
  <c r="O130" i="7" l="1"/>
  <c r="R130" i="7" s="1"/>
  <c r="N131" i="8"/>
  <c r="R131" i="8" s="1"/>
  <c r="Q77" i="29"/>
  <c r="P78" i="29" s="1"/>
  <c r="K78" i="29" s="1"/>
  <c r="R77" i="29"/>
  <c r="S77" i="29" s="1"/>
  <c r="R73" i="30"/>
  <c r="R105" i="22"/>
  <c r="N106" i="22"/>
  <c r="L99" i="29"/>
  <c r="H77" i="27"/>
  <c r="K72" i="27"/>
  <c r="N100" i="30"/>
  <c r="L100" i="29"/>
  <c r="N99" i="30"/>
  <c r="H77" i="31"/>
  <c r="K72" i="31"/>
  <c r="Q130" i="7" l="1"/>
  <c r="S131" i="8"/>
  <c r="P131" i="8"/>
  <c r="R78" i="29"/>
  <c r="S78" i="29" s="1"/>
  <c r="Q78" i="29"/>
  <c r="P79" i="29" s="1"/>
  <c r="M72" i="31"/>
  <c r="N72" i="31" s="1"/>
  <c r="O72" i="31" s="1"/>
  <c r="M72" i="27"/>
  <c r="N72" i="27" s="1"/>
  <c r="O72" i="27" s="1"/>
  <c r="T73" i="30"/>
  <c r="U73" i="30" s="1"/>
  <c r="S73" i="30"/>
  <c r="P99" i="30"/>
  <c r="M73" i="30"/>
  <c r="N99" i="29"/>
  <c r="M106" i="22"/>
  <c r="M107" i="22" s="1"/>
  <c r="H78" i="27"/>
  <c r="H78" i="31"/>
  <c r="O131" i="7" l="1"/>
  <c r="R131" i="7" s="1"/>
  <c r="N132" i="8"/>
  <c r="P132" i="8" s="1"/>
  <c r="Q79" i="29"/>
  <c r="R79" i="29"/>
  <c r="S79" i="29" s="1"/>
  <c r="K79" i="29"/>
  <c r="R74" i="30"/>
  <c r="P100" i="30"/>
  <c r="N100" i="29"/>
  <c r="N109" i="22"/>
  <c r="Q107" i="22"/>
  <c r="Q106" i="22"/>
  <c r="K73" i="31"/>
  <c r="K73" i="27"/>
  <c r="Q131" i="7" l="1"/>
  <c r="R132" i="8"/>
  <c r="N133" i="8" s="1"/>
  <c r="S132" i="8"/>
  <c r="P80" i="29"/>
  <c r="Q80" i="29" s="1"/>
  <c r="M73" i="31"/>
  <c r="N73" i="31" s="1"/>
  <c r="O73" i="31" s="1"/>
  <c r="M73" i="27"/>
  <c r="N73" i="27" s="1"/>
  <c r="O73" i="27" s="1"/>
  <c r="M74" i="30"/>
  <c r="T74" i="30"/>
  <c r="U74" i="30" s="1"/>
  <c r="S74" i="30"/>
  <c r="R107" i="22"/>
  <c r="N108" i="22"/>
  <c r="L102" i="29"/>
  <c r="H79" i="27"/>
  <c r="N101" i="30"/>
  <c r="H79" i="31"/>
  <c r="N102" i="30"/>
  <c r="L101" i="29"/>
  <c r="S133" i="8" l="1"/>
  <c r="P133" i="8"/>
  <c r="O132" i="7"/>
  <c r="R132" i="7" s="1"/>
  <c r="R133" i="8"/>
  <c r="R80" i="29"/>
  <c r="S80" i="29" s="1"/>
  <c r="K80" i="29"/>
  <c r="P101" i="30"/>
  <c r="R75" i="30"/>
  <c r="N101" i="29"/>
  <c r="M108" i="22"/>
  <c r="M109" i="22" s="1"/>
  <c r="K74" i="27"/>
  <c r="K74" i="31"/>
  <c r="N134" i="8" l="1"/>
  <c r="S134" i="8" s="1"/>
  <c r="Q132" i="7"/>
  <c r="O133" i="7" s="1"/>
  <c r="R133" i="7" s="1"/>
  <c r="P81" i="29"/>
  <c r="M74" i="31"/>
  <c r="N74" i="31" s="1"/>
  <c r="O74" i="31" s="1"/>
  <c r="M74" i="27"/>
  <c r="N74" i="27" s="1"/>
  <c r="O74" i="27" s="1"/>
  <c r="T75" i="30"/>
  <c r="U75" i="30" s="1"/>
  <c r="M75" i="30"/>
  <c r="P102" i="30"/>
  <c r="S75" i="30"/>
  <c r="N102" i="29"/>
  <c r="N111" i="22"/>
  <c r="Q109" i="22"/>
  <c r="Q108" i="22"/>
  <c r="H80" i="31"/>
  <c r="H80" i="27"/>
  <c r="R134" i="8" l="1"/>
  <c r="Q133" i="7"/>
  <c r="O134" i="7" s="1"/>
  <c r="R134" i="7" s="1"/>
  <c r="P134" i="8"/>
  <c r="N135" i="8" s="1"/>
  <c r="S135" i="8" s="1"/>
  <c r="R81" i="29"/>
  <c r="S81" i="29" s="1"/>
  <c r="Q81" i="29"/>
  <c r="K81" i="29"/>
  <c r="R76" i="30"/>
  <c r="R109" i="22"/>
  <c r="N110" i="22"/>
  <c r="N103" i="30"/>
  <c r="N104" i="30"/>
  <c r="L103" i="29"/>
  <c r="K75" i="27"/>
  <c r="L104" i="29"/>
  <c r="K75" i="31"/>
  <c r="P135" i="8" l="1"/>
  <c r="Q134" i="7"/>
  <c r="R135" i="8"/>
  <c r="N136" i="8" s="1"/>
  <c r="S136" i="8" s="1"/>
  <c r="P82" i="29"/>
  <c r="Q82" i="29" s="1"/>
  <c r="M75" i="31"/>
  <c r="N75" i="31" s="1"/>
  <c r="O75" i="31" s="1"/>
  <c r="M75" i="27"/>
  <c r="N75" i="27" s="1"/>
  <c r="O75" i="27" s="1"/>
  <c r="T76" i="30"/>
  <c r="U76" i="30" s="1"/>
  <c r="M76" i="30"/>
  <c r="P103" i="30"/>
  <c r="S76" i="30"/>
  <c r="N103" i="29"/>
  <c r="M110" i="22"/>
  <c r="M111" i="22" s="1"/>
  <c r="H81" i="27"/>
  <c r="H81" i="31"/>
  <c r="P136" i="8" l="1"/>
  <c r="N137" i="8" s="1"/>
  <c r="S137" i="8" s="1"/>
  <c r="O135" i="7"/>
  <c r="R135" i="7" s="1"/>
  <c r="R136" i="8"/>
  <c r="R82" i="29"/>
  <c r="S82" i="29" s="1"/>
  <c r="K82" i="29"/>
  <c r="R77" i="30"/>
  <c r="P104" i="30"/>
  <c r="N104" i="29"/>
  <c r="N113" i="22"/>
  <c r="Q111" i="22"/>
  <c r="Q110" i="22"/>
  <c r="K76" i="31"/>
  <c r="K76" i="27"/>
  <c r="Q135" i="7" l="1"/>
  <c r="O136" i="7" s="1"/>
  <c r="R136" i="7" s="1"/>
  <c r="P137" i="8"/>
  <c r="R137" i="8"/>
  <c r="P83" i="29"/>
  <c r="M76" i="31"/>
  <c r="N76" i="31" s="1"/>
  <c r="O76" i="31" s="1"/>
  <c r="M76" i="27"/>
  <c r="N76" i="27" s="1"/>
  <c r="O76" i="27" s="1"/>
  <c r="T77" i="30"/>
  <c r="U77" i="30" s="1"/>
  <c r="S77" i="30"/>
  <c r="M77" i="30"/>
  <c r="R111" i="22"/>
  <c r="N112" i="22"/>
  <c r="N106" i="30"/>
  <c r="L106" i="29"/>
  <c r="N105" i="30"/>
  <c r="H82" i="31"/>
  <c r="L105" i="29"/>
  <c r="H82" i="27"/>
  <c r="Q136" i="7" l="1"/>
  <c r="R83" i="29"/>
  <c r="S83" i="29" s="1"/>
  <c r="Q83" i="29"/>
  <c r="K83" i="29"/>
  <c r="R78" i="30"/>
  <c r="P105" i="30"/>
  <c r="N105" i="29"/>
  <c r="M112" i="22"/>
  <c r="M113" i="22" s="1"/>
  <c r="Q113" i="22" s="1"/>
  <c r="Q112" i="22"/>
  <c r="K77" i="27"/>
  <c r="K77" i="31"/>
  <c r="O137" i="7" l="1"/>
  <c r="R137" i="7" s="1"/>
  <c r="P84" i="29"/>
  <c r="K84" i="29" s="1"/>
  <c r="M77" i="31"/>
  <c r="N77" i="31" s="1"/>
  <c r="O77" i="31" s="1"/>
  <c r="M77" i="27"/>
  <c r="N77" i="27" s="1"/>
  <c r="O77" i="27" s="1"/>
  <c r="T78" i="30"/>
  <c r="U78" i="30" s="1"/>
  <c r="S78" i="30"/>
  <c r="M78" i="30"/>
  <c r="P106" i="30"/>
  <c r="N106" i="29"/>
  <c r="N115" i="22"/>
  <c r="R113" i="22"/>
  <c r="H83" i="27"/>
  <c r="H83" i="31"/>
  <c r="Q137" i="7" l="1"/>
  <c r="Q84" i="29"/>
  <c r="P85" i="29" s="1"/>
  <c r="R85" i="29" s="1"/>
  <c r="S85" i="29" s="1"/>
  <c r="R84" i="29"/>
  <c r="S84" i="29" s="1"/>
  <c r="R79" i="30"/>
  <c r="N114" i="22"/>
  <c r="K78" i="27"/>
  <c r="H84" i="27"/>
  <c r="N108" i="30"/>
  <c r="H84" i="31"/>
  <c r="N107" i="30"/>
  <c r="L108" i="29"/>
  <c r="K78" i="31"/>
  <c r="L107" i="29"/>
  <c r="Q85" i="29" l="1"/>
  <c r="K85" i="29"/>
  <c r="M78" i="31"/>
  <c r="N78" i="31" s="1"/>
  <c r="O78" i="31" s="1"/>
  <c r="M78" i="27"/>
  <c r="N78" i="27" s="1"/>
  <c r="O78" i="27" s="1"/>
  <c r="T79" i="30"/>
  <c r="U79" i="30" s="1"/>
  <c r="S79" i="30"/>
  <c r="M79" i="30"/>
  <c r="P107" i="30"/>
  <c r="N107" i="29"/>
  <c r="M114" i="22"/>
  <c r="M115" i="22" s="1"/>
  <c r="P86" i="29" l="1"/>
  <c r="R80" i="30"/>
  <c r="P108" i="30"/>
  <c r="N108" i="29"/>
  <c r="N117" i="22"/>
  <c r="Q115" i="22"/>
  <c r="H85" i="31"/>
  <c r="K79" i="27"/>
  <c r="H85" i="27"/>
  <c r="Q114" i="22"/>
  <c r="K79" i="31"/>
  <c r="K86" i="29" l="1"/>
  <c r="Q86" i="29"/>
  <c r="R86" i="29"/>
  <c r="S86" i="29" s="1"/>
  <c r="M79" i="31"/>
  <c r="N79" i="31" s="1"/>
  <c r="O79" i="31" s="1"/>
  <c r="M79" i="27"/>
  <c r="N79" i="27" s="1"/>
  <c r="O79" i="27" s="1"/>
  <c r="M80" i="30"/>
  <c r="T80" i="30"/>
  <c r="U80" i="30" s="1"/>
  <c r="S80" i="30"/>
  <c r="R115" i="22"/>
  <c r="N116" i="22"/>
  <c r="N109" i="30"/>
  <c r="L109" i="29"/>
  <c r="N110" i="30"/>
  <c r="L110" i="29"/>
  <c r="P87" i="29" l="1"/>
  <c r="K87" i="29" s="1"/>
  <c r="R81" i="30"/>
  <c r="T81" i="30" s="1"/>
  <c r="U81" i="30" s="1"/>
  <c r="P109" i="30"/>
  <c r="N109" i="29"/>
  <c r="M116" i="22"/>
  <c r="M117" i="22" s="1"/>
  <c r="Q117" i="22" s="1"/>
  <c r="K80" i="27"/>
  <c r="Q116" i="22"/>
  <c r="K80" i="31"/>
  <c r="H86" i="27"/>
  <c r="H86" i="31"/>
  <c r="Q87" i="29" l="1"/>
  <c r="P88" i="29" s="1"/>
  <c r="R87" i="29"/>
  <c r="S87" i="29" s="1"/>
  <c r="S81" i="30"/>
  <c r="M81" i="30"/>
  <c r="M80" i="31"/>
  <c r="N80" i="31" s="1"/>
  <c r="O80" i="31" s="1"/>
  <c r="M80" i="27"/>
  <c r="N80" i="27" s="1"/>
  <c r="O80" i="27" s="1"/>
  <c r="P110" i="30"/>
  <c r="N110" i="29"/>
  <c r="N119" i="22"/>
  <c r="R117" i="22"/>
  <c r="H87" i="27"/>
  <c r="H87" i="31"/>
  <c r="Q88" i="29" l="1"/>
  <c r="R88" i="29"/>
  <c r="S88" i="29" s="1"/>
  <c r="K88" i="29"/>
  <c r="R82" i="30"/>
  <c r="M82" i="30" s="1"/>
  <c r="N118" i="22"/>
  <c r="L112" i="29"/>
  <c r="K81" i="31"/>
  <c r="N112" i="30"/>
  <c r="L111" i="29"/>
  <c r="K81" i="27"/>
  <c r="N111" i="30"/>
  <c r="P89" i="29" l="1"/>
  <c r="Q89" i="29" s="1"/>
  <c r="T82" i="30"/>
  <c r="U82" i="30" s="1"/>
  <c r="S82" i="30"/>
  <c r="R83" i="30" s="1"/>
  <c r="M83" i="30" s="1"/>
  <c r="M81" i="27"/>
  <c r="N81" i="27" s="1"/>
  <c r="O81" i="27" s="1"/>
  <c r="M81" i="31"/>
  <c r="N81" i="31" s="1"/>
  <c r="O81" i="31" s="1"/>
  <c r="P111" i="30"/>
  <c r="N111" i="29"/>
  <c r="M118" i="22"/>
  <c r="M119" i="22" s="1"/>
  <c r="H88" i="27"/>
  <c r="K82" i="31"/>
  <c r="K82" i="27"/>
  <c r="H88" i="31"/>
  <c r="K89" i="29" l="1"/>
  <c r="P90" i="29" s="1"/>
  <c r="K90" i="29" s="1"/>
  <c r="R89" i="29"/>
  <c r="S89" i="29" s="1"/>
  <c r="S83" i="30"/>
  <c r="R84" i="30" s="1"/>
  <c r="T83" i="30"/>
  <c r="U83" i="30" s="1"/>
  <c r="M82" i="31"/>
  <c r="N82" i="31" s="1"/>
  <c r="O82" i="31" s="1"/>
  <c r="M82" i="27"/>
  <c r="N82" i="27" s="1"/>
  <c r="O82" i="27" s="1"/>
  <c r="P112" i="30"/>
  <c r="N112" i="29"/>
  <c r="N121" i="22"/>
  <c r="Q119" i="22"/>
  <c r="H89" i="27"/>
  <c r="K83" i="27"/>
  <c r="K83" i="31"/>
  <c r="H89" i="31"/>
  <c r="Q118" i="22"/>
  <c r="Q90" i="29" l="1"/>
  <c r="P91" i="29" s="1"/>
  <c r="R90" i="29"/>
  <c r="S90" i="29" s="1"/>
  <c r="M83" i="31"/>
  <c r="N83" i="31" s="1"/>
  <c r="O83" i="31" s="1"/>
  <c r="M83" i="27"/>
  <c r="N83" i="27" s="1"/>
  <c r="O83" i="27" s="1"/>
  <c r="M84" i="30"/>
  <c r="T84" i="30"/>
  <c r="U84" i="30" s="1"/>
  <c r="S84" i="30"/>
  <c r="R119" i="22"/>
  <c r="N120" i="22"/>
  <c r="H90" i="31"/>
  <c r="N113" i="30"/>
  <c r="H90" i="27"/>
  <c r="N114" i="30"/>
  <c r="L114" i="29"/>
  <c r="L113" i="29"/>
  <c r="Q91" i="29" l="1"/>
  <c r="R91" i="29"/>
  <c r="S91" i="29" s="1"/>
  <c r="K91" i="29"/>
  <c r="P113" i="30"/>
  <c r="R85" i="30"/>
  <c r="N113" i="29"/>
  <c r="M120" i="22"/>
  <c r="M121" i="22" s="1"/>
  <c r="K84" i="31"/>
  <c r="K84" i="27"/>
  <c r="P92" i="29" l="1"/>
  <c r="Q92" i="29" s="1"/>
  <c r="M84" i="31"/>
  <c r="N84" i="31" s="1"/>
  <c r="O84" i="31" s="1"/>
  <c r="M84" i="27"/>
  <c r="N84" i="27" s="1"/>
  <c r="O84" i="27" s="1"/>
  <c r="T85" i="30"/>
  <c r="U85" i="30" s="1"/>
  <c r="M85" i="30"/>
  <c r="P114" i="30"/>
  <c r="S85" i="30"/>
  <c r="N114" i="29"/>
  <c r="N123" i="22"/>
  <c r="Q121" i="22"/>
  <c r="H91" i="31"/>
  <c r="Q120" i="22"/>
  <c r="H91" i="27"/>
  <c r="K92" i="29" l="1"/>
  <c r="P93" i="29" s="1"/>
  <c r="R92" i="29"/>
  <c r="S92" i="29" s="1"/>
  <c r="R86" i="30"/>
  <c r="R121" i="22"/>
  <c r="N122" i="22"/>
  <c r="L116" i="29"/>
  <c r="K85" i="27"/>
  <c r="N116" i="30"/>
  <c r="H92" i="27"/>
  <c r="H92" i="31"/>
  <c r="L115" i="29"/>
  <c r="K85" i="31"/>
  <c r="N115" i="30"/>
  <c r="R93" i="29" l="1"/>
  <c r="S93" i="29" s="1"/>
  <c r="K93" i="29"/>
  <c r="Q93" i="29"/>
  <c r="M85" i="31"/>
  <c r="N85" i="31" s="1"/>
  <c r="O85" i="31" s="1"/>
  <c r="M85" i="27"/>
  <c r="N85" i="27" s="1"/>
  <c r="O85" i="27" s="1"/>
  <c r="T86" i="30"/>
  <c r="U86" i="30" s="1"/>
  <c r="P115" i="30"/>
  <c r="S86" i="30"/>
  <c r="M86" i="30"/>
  <c r="N115" i="29"/>
  <c r="M122" i="22"/>
  <c r="M123" i="22" s="1"/>
  <c r="P94" i="29" l="1"/>
  <c r="R87" i="30"/>
  <c r="P116" i="30"/>
  <c r="N116" i="29"/>
  <c r="N125" i="22"/>
  <c r="Q123" i="22"/>
  <c r="K86" i="27"/>
  <c r="H93" i="31"/>
  <c r="K86" i="31"/>
  <c r="Q122" i="22"/>
  <c r="H93" i="27"/>
  <c r="R94" i="29" l="1"/>
  <c r="S94" i="29" s="1"/>
  <c r="K94" i="29"/>
  <c r="Q94" i="29"/>
  <c r="M86" i="31"/>
  <c r="N86" i="31" s="1"/>
  <c r="O86" i="31" s="1"/>
  <c r="M86" i="27"/>
  <c r="N86" i="27" s="1"/>
  <c r="O86" i="27" s="1"/>
  <c r="T87" i="30"/>
  <c r="U87" i="30" s="1"/>
  <c r="S87" i="30"/>
  <c r="M87" i="30"/>
  <c r="R123" i="22"/>
  <c r="N124" i="22"/>
  <c r="N117" i="30"/>
  <c r="L117" i="29"/>
  <c r="N118" i="30"/>
  <c r="L118" i="29"/>
  <c r="P95" i="29" l="1"/>
  <c r="P117" i="30"/>
  <c r="R88" i="30"/>
  <c r="N117" i="29"/>
  <c r="M124" i="22"/>
  <c r="M125" i="22" s="1"/>
  <c r="Q125" i="22" s="1"/>
  <c r="Q124" i="22"/>
  <c r="K87" i="27"/>
  <c r="H94" i="27"/>
  <c r="K87" i="31"/>
  <c r="H94" i="31"/>
  <c r="R95" i="29" l="1"/>
  <c r="S95" i="29" s="1"/>
  <c r="K95" i="29"/>
  <c r="Q95" i="29"/>
  <c r="M87" i="31"/>
  <c r="N87" i="31" s="1"/>
  <c r="O87" i="31" s="1"/>
  <c r="M87" i="27"/>
  <c r="N87" i="27" s="1"/>
  <c r="O87" i="27" s="1"/>
  <c r="T88" i="30"/>
  <c r="U88" i="30" s="1"/>
  <c r="S88" i="30"/>
  <c r="P118" i="30"/>
  <c r="M88" i="30"/>
  <c r="N118" i="29"/>
  <c r="N127" i="22"/>
  <c r="R125" i="22"/>
  <c r="P96" i="29" l="1"/>
  <c r="R89" i="30"/>
  <c r="N126" i="22"/>
  <c r="L120" i="29"/>
  <c r="N119" i="30"/>
  <c r="H95" i="31"/>
  <c r="L119" i="29"/>
  <c r="K88" i="31"/>
  <c r="H95" i="27"/>
  <c r="N120" i="30"/>
  <c r="K88" i="27"/>
  <c r="R96" i="29" l="1"/>
  <c r="S96" i="29" s="1"/>
  <c r="K96" i="29"/>
  <c r="Q96" i="29"/>
  <c r="M88" i="31"/>
  <c r="N88" i="31" s="1"/>
  <c r="O88" i="31" s="1"/>
  <c r="M88" i="27"/>
  <c r="N88" i="27" s="1"/>
  <c r="O88" i="27" s="1"/>
  <c r="M89" i="30"/>
  <c r="P119" i="30"/>
  <c r="T89" i="30"/>
  <c r="U89" i="30" s="1"/>
  <c r="S89" i="30"/>
  <c r="N119" i="29"/>
  <c r="M126" i="22"/>
  <c r="M127" i="22" s="1"/>
  <c r="P97" i="29" l="1"/>
  <c r="P120" i="30"/>
  <c r="R90" i="30"/>
  <c r="N120" i="29"/>
  <c r="N129" i="22"/>
  <c r="Q127" i="22"/>
  <c r="H96" i="31"/>
  <c r="K89" i="31"/>
  <c r="H96" i="27"/>
  <c r="K89" i="27"/>
  <c r="Q126" i="22"/>
  <c r="R97" i="29" l="1"/>
  <c r="S97" i="29" s="1"/>
  <c r="K97" i="29"/>
  <c r="Q97" i="29"/>
  <c r="M89" i="31"/>
  <c r="N89" i="31" s="1"/>
  <c r="O89" i="31" s="1"/>
  <c r="M89" i="27"/>
  <c r="N89" i="27" s="1"/>
  <c r="O89" i="27" s="1"/>
  <c r="S90" i="30"/>
  <c r="T90" i="30"/>
  <c r="U90" i="30" s="1"/>
  <c r="M90" i="30"/>
  <c r="R127" i="22"/>
  <c r="N128" i="22"/>
  <c r="N122" i="30"/>
  <c r="N121" i="30"/>
  <c r="L122" i="29"/>
  <c r="L121" i="29"/>
  <c r="P98" i="29" l="1"/>
  <c r="K98" i="29" s="1"/>
  <c r="P121" i="30"/>
  <c r="R91" i="30"/>
  <c r="N121" i="29"/>
  <c r="M128" i="22"/>
  <c r="M129" i="22" s="1"/>
  <c r="H97" i="27"/>
  <c r="H97" i="31"/>
  <c r="K90" i="27"/>
  <c r="K90" i="31"/>
  <c r="Q98" i="29" l="1"/>
  <c r="R98" i="29"/>
  <c r="S98" i="29" s="1"/>
  <c r="M90" i="31"/>
  <c r="N90" i="31" s="1"/>
  <c r="O90" i="31" s="1"/>
  <c r="M90" i="27"/>
  <c r="N90" i="27" s="1"/>
  <c r="O90" i="27" s="1"/>
  <c r="T91" i="30"/>
  <c r="U91" i="30" s="1"/>
  <c r="S91" i="30"/>
  <c r="P122" i="30"/>
  <c r="M91" i="30"/>
  <c r="N122" i="29"/>
  <c r="N131" i="22"/>
  <c r="Q129" i="22"/>
  <c r="Q128" i="22"/>
  <c r="P99" i="29" l="1"/>
  <c r="Q99" i="29" s="1"/>
  <c r="R92" i="30"/>
  <c r="R129" i="22"/>
  <c r="N130" i="22"/>
  <c r="H98" i="31"/>
  <c r="K91" i="31"/>
  <c r="L124" i="29"/>
  <c r="N124" i="30"/>
  <c r="N123" i="30"/>
  <c r="H98" i="27"/>
  <c r="K91" i="27"/>
  <c r="L123" i="29"/>
  <c r="R99" i="29" l="1"/>
  <c r="S99" i="29" s="1"/>
  <c r="K99" i="29"/>
  <c r="M91" i="31"/>
  <c r="N91" i="31" s="1"/>
  <c r="O91" i="31" s="1"/>
  <c r="M91" i="27"/>
  <c r="N91" i="27" s="1"/>
  <c r="O91" i="27" s="1"/>
  <c r="T92" i="30"/>
  <c r="U92" i="30" s="1"/>
  <c r="S92" i="30"/>
  <c r="P123" i="30"/>
  <c r="M92" i="30"/>
  <c r="N123" i="29"/>
  <c r="M130" i="22"/>
  <c r="M131" i="22" s="1"/>
  <c r="P100" i="29" l="1"/>
  <c r="P124" i="30"/>
  <c r="R93" i="30"/>
  <c r="N124" i="29"/>
  <c r="N133" i="22"/>
  <c r="Q131" i="22"/>
  <c r="H99" i="27"/>
  <c r="K92" i="27"/>
  <c r="H99" i="31"/>
  <c r="K92" i="31"/>
  <c r="Q130" i="22"/>
  <c r="R100" i="29" l="1"/>
  <c r="S100" i="29" s="1"/>
  <c r="Q100" i="29"/>
  <c r="K100" i="29"/>
  <c r="M92" i="31"/>
  <c r="N92" i="31" s="1"/>
  <c r="O92" i="31" s="1"/>
  <c r="M92" i="27"/>
  <c r="N92" i="27" s="1"/>
  <c r="O92" i="27" s="1"/>
  <c r="M93" i="30"/>
  <c r="T93" i="30"/>
  <c r="U93" i="30" s="1"/>
  <c r="S93" i="30"/>
  <c r="N132" i="22"/>
  <c r="R131" i="22"/>
  <c r="N125" i="30"/>
  <c r="N126" i="30"/>
  <c r="L126" i="29"/>
  <c r="L125" i="29"/>
  <c r="P101" i="29" l="1"/>
  <c r="P125" i="30"/>
  <c r="R94" i="30"/>
  <c r="N125" i="29"/>
  <c r="M132" i="22"/>
  <c r="M133" i="22" s="1"/>
  <c r="K93" i="31"/>
  <c r="H100" i="27"/>
  <c r="H100" i="31"/>
  <c r="K93" i="27"/>
  <c r="R101" i="29" l="1"/>
  <c r="S101" i="29" s="1"/>
  <c r="K101" i="29"/>
  <c r="Q101" i="29"/>
  <c r="M93" i="31"/>
  <c r="N93" i="31" s="1"/>
  <c r="O93" i="31" s="1"/>
  <c r="M93" i="27"/>
  <c r="N93" i="27" s="1"/>
  <c r="O93" i="27" s="1"/>
  <c r="T94" i="30"/>
  <c r="U94" i="30" s="1"/>
  <c r="M94" i="30"/>
  <c r="P126" i="30"/>
  <c r="S94" i="30"/>
  <c r="N126" i="29"/>
  <c r="N135" i="22"/>
  <c r="Q133" i="22"/>
  <c r="Q132" i="22"/>
  <c r="P102" i="29" l="1"/>
  <c r="K102" i="29" s="1"/>
  <c r="R95" i="30"/>
  <c r="R133" i="22"/>
  <c r="N134" i="22"/>
  <c r="N127" i="30"/>
  <c r="H101" i="31"/>
  <c r="K94" i="31"/>
  <c r="L127" i="29"/>
  <c r="N128" i="30"/>
  <c r="L128" i="29"/>
  <c r="K94" i="27"/>
  <c r="H101" i="27"/>
  <c r="Q102" i="29" l="1"/>
  <c r="P103" i="29" s="1"/>
  <c r="R102" i="29"/>
  <c r="S102" i="29" s="1"/>
  <c r="M94" i="31"/>
  <c r="N94" i="31" s="1"/>
  <c r="O94" i="31" s="1"/>
  <c r="M94" i="27"/>
  <c r="N94" i="27" s="1"/>
  <c r="O94" i="27" s="1"/>
  <c r="T95" i="30"/>
  <c r="U95" i="30" s="1"/>
  <c r="P127" i="30"/>
  <c r="S95" i="30"/>
  <c r="M95" i="30"/>
  <c r="N127" i="29"/>
  <c r="M134" i="22"/>
  <c r="M135" i="22" s="1"/>
  <c r="H102" i="31"/>
  <c r="H102" i="27"/>
  <c r="R103" i="29" l="1"/>
  <c r="S103" i="29" s="1"/>
  <c r="Q103" i="29"/>
  <c r="K103" i="29"/>
  <c r="P128" i="30"/>
  <c r="R96" i="30"/>
  <c r="N128" i="29"/>
  <c r="N137" i="22"/>
  <c r="Q135" i="22"/>
  <c r="K95" i="31"/>
  <c r="K95" i="27"/>
  <c r="Q134" i="22"/>
  <c r="P104" i="29" l="1"/>
  <c r="M95" i="31"/>
  <c r="N95" i="31" s="1"/>
  <c r="O95" i="31" s="1"/>
  <c r="M95" i="27"/>
  <c r="N95" i="27" s="1"/>
  <c r="O95" i="27" s="1"/>
  <c r="T96" i="30"/>
  <c r="U96" i="30" s="1"/>
  <c r="S96" i="30"/>
  <c r="M96" i="30"/>
  <c r="N136" i="22"/>
  <c r="R135" i="22"/>
  <c r="N130" i="30"/>
  <c r="H103" i="27"/>
  <c r="N129" i="30"/>
  <c r="L129" i="29"/>
  <c r="L130" i="29"/>
  <c r="H103" i="31"/>
  <c r="K104" i="29" l="1"/>
  <c r="R104" i="29"/>
  <c r="S104" i="29" s="1"/>
  <c r="Q104" i="29"/>
  <c r="P129" i="30"/>
  <c r="R97" i="30"/>
  <c r="N129" i="29"/>
  <c r="M136" i="22"/>
  <c r="M137" i="22" s="1"/>
  <c r="Q137" i="22" s="1"/>
  <c r="K96" i="27"/>
  <c r="Q136" i="22"/>
  <c r="K96" i="31"/>
  <c r="P105" i="29" l="1"/>
  <c r="K105" i="29" s="1"/>
  <c r="M96" i="31"/>
  <c r="N96" i="31" s="1"/>
  <c r="O96" i="31" s="1"/>
  <c r="M96" i="27"/>
  <c r="N96" i="27" s="1"/>
  <c r="O96" i="27" s="1"/>
  <c r="M97" i="30"/>
  <c r="T97" i="30"/>
  <c r="U97" i="30" s="1"/>
  <c r="S97" i="30"/>
  <c r="P130" i="30"/>
  <c r="N130" i="29"/>
  <c r="N139" i="22"/>
  <c r="R137" i="22"/>
  <c r="H104" i="31"/>
  <c r="H104" i="27"/>
  <c r="Q105" i="29" l="1"/>
  <c r="P106" i="29" s="1"/>
  <c r="K106" i="29" s="1"/>
  <c r="R105" i="29"/>
  <c r="S105" i="29" s="1"/>
  <c r="R98" i="30"/>
  <c r="S98" i="30" s="1"/>
  <c r="N138" i="22"/>
  <c r="L132" i="29"/>
  <c r="N131" i="30"/>
  <c r="L131" i="29"/>
  <c r="K97" i="27"/>
  <c r="H105" i="31"/>
  <c r="K97" i="31"/>
  <c r="H105" i="27"/>
  <c r="N132" i="30"/>
  <c r="Q106" i="29" l="1"/>
  <c r="P107" i="29" s="1"/>
  <c r="K107" i="29" s="1"/>
  <c r="R106" i="29"/>
  <c r="S106" i="29" s="1"/>
  <c r="M97" i="31"/>
  <c r="N97" i="31" s="1"/>
  <c r="O97" i="31" s="1"/>
  <c r="M97" i="27"/>
  <c r="N97" i="27" s="1"/>
  <c r="O97" i="27" s="1"/>
  <c r="T98" i="30"/>
  <c r="U98" i="30" s="1"/>
  <c r="M98" i="30"/>
  <c r="R99" i="30" s="1"/>
  <c r="P131" i="30"/>
  <c r="N131" i="29"/>
  <c r="M138" i="22"/>
  <c r="M139" i="22" s="1"/>
  <c r="H106" i="31"/>
  <c r="H106" i="27"/>
  <c r="K98" i="31"/>
  <c r="K98" i="27"/>
  <c r="Q107" i="29" l="1"/>
  <c r="P108" i="29" s="1"/>
  <c r="Q108" i="29" s="1"/>
  <c r="R107" i="29"/>
  <c r="S107" i="29" s="1"/>
  <c r="M98" i="31"/>
  <c r="N98" i="31" s="1"/>
  <c r="O98" i="31" s="1"/>
  <c r="M98" i="27"/>
  <c r="N98" i="27" s="1"/>
  <c r="O98" i="27" s="1"/>
  <c r="T99" i="30"/>
  <c r="U99" i="30" s="1"/>
  <c r="P132" i="30"/>
  <c r="M99" i="30"/>
  <c r="S99" i="30"/>
  <c r="N132" i="29"/>
  <c r="N141" i="22"/>
  <c r="Q139" i="22"/>
  <c r="H107" i="31"/>
  <c r="Q138" i="22"/>
  <c r="H107" i="27"/>
  <c r="R108" i="29" l="1"/>
  <c r="S108" i="29" s="1"/>
  <c r="K108" i="29"/>
  <c r="R100" i="30"/>
  <c r="R139" i="22"/>
  <c r="N140" i="22"/>
  <c r="L134" i="29"/>
  <c r="K99" i="31"/>
  <c r="L133" i="29"/>
  <c r="N133" i="30"/>
  <c r="N134" i="30"/>
  <c r="K99" i="27"/>
  <c r="P109" i="29" l="1"/>
  <c r="M99" i="31"/>
  <c r="N99" i="31" s="1"/>
  <c r="O99" i="31" s="1"/>
  <c r="M99" i="27"/>
  <c r="N99" i="27" s="1"/>
  <c r="O99" i="27" s="1"/>
  <c r="T100" i="30"/>
  <c r="U100" i="30" s="1"/>
  <c r="P133" i="30"/>
  <c r="S100" i="30"/>
  <c r="M100" i="30"/>
  <c r="N133" i="29"/>
  <c r="M140" i="22"/>
  <c r="M141" i="22" s="1"/>
  <c r="H108" i="31"/>
  <c r="H108" i="27"/>
  <c r="R109" i="29" l="1"/>
  <c r="S109" i="29" s="1"/>
  <c r="Q109" i="29"/>
  <c r="K109" i="29"/>
  <c r="R101" i="30"/>
  <c r="P134" i="30"/>
  <c r="N134" i="29"/>
  <c r="N143" i="22"/>
  <c r="Q141" i="22"/>
  <c r="Q140" i="22"/>
  <c r="N137" i="30"/>
  <c r="K100" i="27"/>
  <c r="K100" i="31"/>
  <c r="L137" i="29"/>
  <c r="P110" i="29" l="1"/>
  <c r="M100" i="31"/>
  <c r="N100" i="31" s="1"/>
  <c r="O100" i="31" s="1"/>
  <c r="M100" i="27"/>
  <c r="N100" i="27" s="1"/>
  <c r="O100" i="27" s="1"/>
  <c r="T101" i="30"/>
  <c r="U101" i="30" s="1"/>
  <c r="X22" i="30"/>
  <c r="S101" i="30"/>
  <c r="M101" i="30"/>
  <c r="R141" i="22"/>
  <c r="N142" i="22"/>
  <c r="H109" i="27"/>
  <c r="N135" i="30"/>
  <c r="H109" i="31"/>
  <c r="L135" i="29"/>
  <c r="L136" i="29"/>
  <c r="N136" i="30"/>
  <c r="R110" i="29" l="1"/>
  <c r="S110" i="29" s="1"/>
  <c r="K110" i="29"/>
  <c r="Q110" i="29"/>
  <c r="P135" i="30"/>
  <c r="R102" i="30"/>
  <c r="N135" i="29"/>
  <c r="M142" i="22"/>
  <c r="M143" i="22" s="1"/>
  <c r="Q143" i="22" s="1"/>
  <c r="K101" i="27"/>
  <c r="K101" i="31"/>
  <c r="Q142" i="22"/>
  <c r="P111" i="29" l="1"/>
  <c r="M101" i="31"/>
  <c r="N101" i="31" s="1"/>
  <c r="O101" i="31" s="1"/>
  <c r="M101" i="27"/>
  <c r="N101" i="27" s="1"/>
  <c r="O101" i="27" s="1"/>
  <c r="T102" i="30"/>
  <c r="U102" i="30" s="1"/>
  <c r="M102" i="30"/>
  <c r="P136" i="30"/>
  <c r="S102" i="30"/>
  <c r="N136" i="29"/>
  <c r="N137" i="29" s="1"/>
  <c r="R143" i="22"/>
  <c r="H110" i="27"/>
  <c r="H110" i="31"/>
  <c r="R111" i="29" l="1"/>
  <c r="S111" i="29" s="1"/>
  <c r="K111" i="29"/>
  <c r="Q111" i="29"/>
  <c r="R103" i="30"/>
  <c r="M103" i="30" s="1"/>
  <c r="P137" i="30"/>
  <c r="K102" i="27"/>
  <c r="K102" i="31"/>
  <c r="P112" i="29" l="1"/>
  <c r="K112" i="29" s="1"/>
  <c r="S103" i="30"/>
  <c r="R104" i="30" s="1"/>
  <c r="M102" i="31"/>
  <c r="N102" i="31" s="1"/>
  <c r="O102" i="31" s="1"/>
  <c r="M102" i="27"/>
  <c r="N102" i="27" s="1"/>
  <c r="O102" i="27" s="1"/>
  <c r="T103" i="30"/>
  <c r="U103" i="30" s="1"/>
  <c r="H111" i="31"/>
  <c r="H111" i="27"/>
  <c r="K103" i="31"/>
  <c r="K103" i="27"/>
  <c r="R112" i="29" l="1"/>
  <c r="S112" i="29" s="1"/>
  <c r="Q112" i="29"/>
  <c r="M103" i="31"/>
  <c r="N103" i="31" s="1"/>
  <c r="O103" i="31" s="1"/>
  <c r="M103" i="27"/>
  <c r="N103" i="27" s="1"/>
  <c r="O103" i="27" s="1"/>
  <c r="T104" i="30"/>
  <c r="U104" i="30" s="1"/>
  <c r="S104" i="30"/>
  <c r="M104" i="30"/>
  <c r="P113" i="29" l="1"/>
  <c r="R105" i="30"/>
  <c r="K104" i="27"/>
  <c r="H112" i="31"/>
  <c r="H112" i="27"/>
  <c r="K104" i="31"/>
  <c r="R113" i="29" l="1"/>
  <c r="S113" i="29" s="1"/>
  <c r="K113" i="29"/>
  <c r="Q113" i="29"/>
  <c r="M104" i="31"/>
  <c r="N104" i="31" s="1"/>
  <c r="O104" i="31" s="1"/>
  <c r="M104" i="27"/>
  <c r="N104" i="27" s="1"/>
  <c r="O104" i="27" s="1"/>
  <c r="T105" i="30"/>
  <c r="U105" i="30" s="1"/>
  <c r="S105" i="30"/>
  <c r="M105" i="30"/>
  <c r="P114" i="29" l="1"/>
  <c r="R106" i="30"/>
  <c r="K105" i="27"/>
  <c r="K105" i="31"/>
  <c r="H113" i="27"/>
  <c r="H113" i="31"/>
  <c r="R114" i="29" l="1"/>
  <c r="S114" i="29" s="1"/>
  <c r="K114" i="29"/>
  <c r="Q114" i="29"/>
  <c r="M105" i="31"/>
  <c r="N105" i="31" s="1"/>
  <c r="O105" i="31" s="1"/>
  <c r="M105" i="27"/>
  <c r="N105" i="27" s="1"/>
  <c r="O105" i="27" s="1"/>
  <c r="T106" i="30"/>
  <c r="U106" i="30" s="1"/>
  <c r="S106" i="30"/>
  <c r="M106" i="30"/>
  <c r="P115" i="29" l="1"/>
  <c r="R107" i="30"/>
  <c r="K106" i="31"/>
  <c r="H114" i="27"/>
  <c r="K106" i="27"/>
  <c r="H114" i="31"/>
  <c r="R115" i="29" l="1"/>
  <c r="S115" i="29" s="1"/>
  <c r="Q115" i="29"/>
  <c r="K115" i="29"/>
  <c r="M106" i="31"/>
  <c r="N106" i="31" s="1"/>
  <c r="O106" i="31" s="1"/>
  <c r="M106" i="27"/>
  <c r="N106" i="27" s="1"/>
  <c r="O106" i="27" s="1"/>
  <c r="T107" i="30"/>
  <c r="U107" i="30" s="1"/>
  <c r="S107" i="30"/>
  <c r="M107" i="30"/>
  <c r="P116" i="29" l="1"/>
  <c r="R108" i="30"/>
  <c r="K107" i="27"/>
  <c r="K107" i="31"/>
  <c r="H115" i="31"/>
  <c r="H115" i="27"/>
  <c r="R116" i="29" l="1"/>
  <c r="S116" i="29" s="1"/>
  <c r="K116" i="29"/>
  <c r="Q116" i="29"/>
  <c r="M107" i="31"/>
  <c r="N107" i="31" s="1"/>
  <c r="O107" i="31" s="1"/>
  <c r="M107" i="27"/>
  <c r="N107" i="27" s="1"/>
  <c r="O107" i="27" s="1"/>
  <c r="T108" i="30"/>
  <c r="U108" i="30" s="1"/>
  <c r="S108" i="30"/>
  <c r="M108" i="30"/>
  <c r="P117" i="29" l="1"/>
  <c r="R109" i="30"/>
  <c r="K108" i="27"/>
  <c r="K108" i="31"/>
  <c r="H116" i="31"/>
  <c r="H116" i="27"/>
  <c r="R117" i="29" l="1"/>
  <c r="S117" i="29" s="1"/>
  <c r="K117" i="29"/>
  <c r="Q117" i="29"/>
  <c r="M108" i="31"/>
  <c r="N108" i="31" s="1"/>
  <c r="O108" i="31" s="1"/>
  <c r="M108" i="27"/>
  <c r="N108" i="27" s="1"/>
  <c r="O108" i="27" s="1"/>
  <c r="T109" i="30"/>
  <c r="U109" i="30" s="1"/>
  <c r="S109" i="30"/>
  <c r="M109" i="30"/>
  <c r="P118" i="29" l="1"/>
  <c r="Q118" i="29" s="1"/>
  <c r="R110" i="30"/>
  <c r="K109" i="27"/>
  <c r="H117" i="31"/>
  <c r="H117" i="27"/>
  <c r="K109" i="31"/>
  <c r="K118" i="29" l="1"/>
  <c r="R118" i="29"/>
  <c r="S118" i="29" s="1"/>
  <c r="M109" i="31"/>
  <c r="N109" i="31" s="1"/>
  <c r="O109" i="31" s="1"/>
  <c r="M109" i="27"/>
  <c r="N109" i="27" s="1"/>
  <c r="O109" i="27" s="1"/>
  <c r="T110" i="30"/>
  <c r="U110" i="30" s="1"/>
  <c r="S110" i="30"/>
  <c r="M110" i="30"/>
  <c r="P119" i="29" l="1"/>
  <c r="R111" i="30"/>
  <c r="K110" i="27"/>
  <c r="K110" i="31"/>
  <c r="H118" i="27"/>
  <c r="H118" i="31"/>
  <c r="R119" i="29" l="1"/>
  <c r="S119" i="29" s="1"/>
  <c r="Q119" i="29"/>
  <c r="K119" i="29"/>
  <c r="M110" i="31"/>
  <c r="N110" i="31" s="1"/>
  <c r="O110" i="31" s="1"/>
  <c r="M110" i="27"/>
  <c r="N110" i="27" s="1"/>
  <c r="O110" i="27" s="1"/>
  <c r="T111" i="30"/>
  <c r="U111" i="30" s="1"/>
  <c r="S111" i="30"/>
  <c r="M111" i="30"/>
  <c r="P120" i="29" l="1"/>
  <c r="R112" i="30"/>
  <c r="K111" i="27"/>
  <c r="K111" i="31"/>
  <c r="H119" i="31"/>
  <c r="H119" i="27"/>
  <c r="R120" i="29" l="1"/>
  <c r="S120" i="29" s="1"/>
  <c r="K120" i="29"/>
  <c r="Q120" i="29"/>
  <c r="M111" i="31"/>
  <c r="N111" i="31" s="1"/>
  <c r="O111" i="31" s="1"/>
  <c r="M111" i="27"/>
  <c r="N111" i="27" s="1"/>
  <c r="O111" i="27" s="1"/>
  <c r="T112" i="30"/>
  <c r="U112" i="30" s="1"/>
  <c r="S112" i="30"/>
  <c r="M112" i="30"/>
  <c r="P121" i="29" l="1"/>
  <c r="R113" i="30"/>
  <c r="K112" i="31"/>
  <c r="H120" i="31"/>
  <c r="K112" i="27"/>
  <c r="H120" i="27"/>
  <c r="R121" i="29" l="1"/>
  <c r="S121" i="29" s="1"/>
  <c r="K121" i="29"/>
  <c r="Q121" i="29"/>
  <c r="M112" i="31"/>
  <c r="N112" i="31" s="1"/>
  <c r="O112" i="31" s="1"/>
  <c r="M112" i="27"/>
  <c r="N112" i="27" s="1"/>
  <c r="O112" i="27" s="1"/>
  <c r="T113" i="30"/>
  <c r="U113" i="30" s="1"/>
  <c r="S113" i="30"/>
  <c r="M113" i="30"/>
  <c r="P122" i="29" l="1"/>
  <c r="R114" i="30"/>
  <c r="K113" i="27"/>
  <c r="H121" i="31"/>
  <c r="H121" i="27"/>
  <c r="K113" i="31"/>
  <c r="R122" i="29" l="1"/>
  <c r="S122" i="29" s="1"/>
  <c r="K122" i="29"/>
  <c r="Q122" i="29"/>
  <c r="M113" i="31"/>
  <c r="N113" i="31" s="1"/>
  <c r="O113" i="31" s="1"/>
  <c r="M113" i="27"/>
  <c r="N113" i="27" s="1"/>
  <c r="O113" i="27" s="1"/>
  <c r="T114" i="30"/>
  <c r="U114" i="30" s="1"/>
  <c r="S114" i="30"/>
  <c r="M114" i="30"/>
  <c r="P123" i="29" l="1"/>
  <c r="R115" i="30"/>
  <c r="H122" i="31"/>
  <c r="K114" i="27"/>
  <c r="H122" i="27"/>
  <c r="K114" i="31"/>
  <c r="R123" i="29" l="1"/>
  <c r="S123" i="29" s="1"/>
  <c r="K123" i="29"/>
  <c r="Q123" i="29"/>
  <c r="M114" i="31"/>
  <c r="N114" i="31" s="1"/>
  <c r="O114" i="31" s="1"/>
  <c r="M114" i="27"/>
  <c r="N114" i="27" s="1"/>
  <c r="O114" i="27" s="1"/>
  <c r="T115" i="30"/>
  <c r="U115" i="30" s="1"/>
  <c r="S115" i="30"/>
  <c r="M115" i="30"/>
  <c r="P124" i="29" l="1"/>
  <c r="R116" i="30"/>
  <c r="K115" i="27"/>
  <c r="K115" i="31"/>
  <c r="H123" i="27"/>
  <c r="H123" i="31"/>
  <c r="R124" i="29" l="1"/>
  <c r="S124" i="29" s="1"/>
  <c r="K124" i="29"/>
  <c r="Q124" i="29"/>
  <c r="M115" i="31"/>
  <c r="N115" i="31" s="1"/>
  <c r="O115" i="31" s="1"/>
  <c r="M115" i="27"/>
  <c r="N115" i="27" s="1"/>
  <c r="O115" i="27" s="1"/>
  <c r="T116" i="30"/>
  <c r="U116" i="30" s="1"/>
  <c r="S116" i="30"/>
  <c r="M116" i="30"/>
  <c r="P125" i="29" l="1"/>
  <c r="R117" i="30"/>
  <c r="K116" i="31"/>
  <c r="K116" i="27"/>
  <c r="H124" i="31"/>
  <c r="H124" i="27"/>
  <c r="R125" i="29" l="1"/>
  <c r="S125" i="29" s="1"/>
  <c r="K125" i="29"/>
  <c r="Q125" i="29"/>
  <c r="M116" i="31"/>
  <c r="N116" i="31" s="1"/>
  <c r="O116" i="31" s="1"/>
  <c r="M116" i="27"/>
  <c r="N116" i="27" s="1"/>
  <c r="O116" i="27" s="1"/>
  <c r="T117" i="30"/>
  <c r="U117" i="30" s="1"/>
  <c r="M117" i="30"/>
  <c r="S117" i="30"/>
  <c r="P126" i="29" l="1"/>
  <c r="Q126" i="29" s="1"/>
  <c r="R118" i="30"/>
  <c r="K117" i="31"/>
  <c r="K117" i="27"/>
  <c r="H125" i="31"/>
  <c r="H125" i="27"/>
  <c r="K126" i="29" l="1"/>
  <c r="P127" i="29" s="1"/>
  <c r="Q127" i="29" s="1"/>
  <c r="R126" i="29"/>
  <c r="S126" i="29" s="1"/>
  <c r="M117" i="31"/>
  <c r="N117" i="31" s="1"/>
  <c r="O117" i="31" s="1"/>
  <c r="M117" i="27"/>
  <c r="N117" i="27" s="1"/>
  <c r="O117" i="27" s="1"/>
  <c r="T118" i="30"/>
  <c r="U118" i="30" s="1"/>
  <c r="M118" i="30"/>
  <c r="S118" i="30"/>
  <c r="H126" i="27"/>
  <c r="H126" i="31"/>
  <c r="K127" i="29" l="1"/>
  <c r="P128" i="29" s="1"/>
  <c r="R127" i="29"/>
  <c r="S127" i="29" s="1"/>
  <c r="R119" i="30"/>
  <c r="K118" i="27"/>
  <c r="H127" i="27"/>
  <c r="K118" i="31"/>
  <c r="H127" i="31"/>
  <c r="R128" i="29" l="1"/>
  <c r="S128" i="29" s="1"/>
  <c r="Q128" i="29"/>
  <c r="K128" i="29"/>
  <c r="M118" i="31"/>
  <c r="N118" i="31" s="1"/>
  <c r="O118" i="31" s="1"/>
  <c r="M118" i="27"/>
  <c r="N118" i="27" s="1"/>
  <c r="O118" i="27" s="1"/>
  <c r="T119" i="30"/>
  <c r="U119" i="30" s="1"/>
  <c r="S119" i="30"/>
  <c r="M119" i="30"/>
  <c r="P129" i="29" l="1"/>
  <c r="R120" i="30"/>
  <c r="K119" i="27"/>
  <c r="K119" i="31"/>
  <c r="H128" i="31"/>
  <c r="H128" i="27"/>
  <c r="R129" i="29" l="1"/>
  <c r="S129" i="29" s="1"/>
  <c r="K129" i="29"/>
  <c r="Q129" i="29"/>
  <c r="M119" i="31"/>
  <c r="N119" i="31" s="1"/>
  <c r="O119" i="31" s="1"/>
  <c r="M119" i="27"/>
  <c r="N119" i="27" s="1"/>
  <c r="O119" i="27" s="1"/>
  <c r="T120" i="30"/>
  <c r="U120" i="30" s="1"/>
  <c r="M120" i="30"/>
  <c r="S120" i="30"/>
  <c r="P130" i="29" l="1"/>
  <c r="R121" i="30"/>
  <c r="K120" i="31"/>
  <c r="K120" i="27"/>
  <c r="H129" i="31"/>
  <c r="H129" i="27"/>
  <c r="R130" i="29" l="1"/>
  <c r="S130" i="29" s="1"/>
  <c r="K130" i="29"/>
  <c r="Q130" i="29"/>
  <c r="M120" i="31"/>
  <c r="N120" i="31" s="1"/>
  <c r="O120" i="31" s="1"/>
  <c r="M120" i="27"/>
  <c r="N120" i="27" s="1"/>
  <c r="O120" i="27" s="1"/>
  <c r="T121" i="30"/>
  <c r="U121" i="30" s="1"/>
  <c r="M121" i="30"/>
  <c r="S121" i="30"/>
  <c r="P131" i="29" l="1"/>
  <c r="R122" i="30"/>
  <c r="K121" i="31"/>
  <c r="K121" i="27"/>
  <c r="H130" i="27"/>
  <c r="H130" i="31"/>
  <c r="R131" i="29" l="1"/>
  <c r="S131" i="29" s="1"/>
  <c r="K131" i="29"/>
  <c r="Q131" i="29"/>
  <c r="M121" i="31"/>
  <c r="N121" i="31" s="1"/>
  <c r="O121" i="31" s="1"/>
  <c r="M121" i="27"/>
  <c r="N121" i="27" s="1"/>
  <c r="O121" i="27" s="1"/>
  <c r="T122" i="30"/>
  <c r="U122" i="30" s="1"/>
  <c r="S122" i="30"/>
  <c r="M122" i="30"/>
  <c r="P132" i="29" l="1"/>
  <c r="R123" i="30"/>
  <c r="K122" i="27"/>
  <c r="K122" i="31"/>
  <c r="H131" i="27"/>
  <c r="H131" i="31"/>
  <c r="R132" i="29" l="1"/>
  <c r="S132" i="29" s="1"/>
  <c r="K132" i="29"/>
  <c r="Q132" i="29"/>
  <c r="M122" i="31"/>
  <c r="N122" i="31" s="1"/>
  <c r="O122" i="31" s="1"/>
  <c r="M122" i="27"/>
  <c r="N122" i="27" s="1"/>
  <c r="O122" i="27" s="1"/>
  <c r="T123" i="30"/>
  <c r="U123" i="30" s="1"/>
  <c r="S123" i="30"/>
  <c r="M123" i="30"/>
  <c r="P133" i="29" l="1"/>
  <c r="R124" i="30"/>
  <c r="K123" i="31"/>
  <c r="H132" i="27"/>
  <c r="H132" i="31"/>
  <c r="K123" i="27"/>
  <c r="R133" i="29" l="1"/>
  <c r="S133" i="29" s="1"/>
  <c r="K133" i="29"/>
  <c r="Q133" i="29"/>
  <c r="M123" i="31"/>
  <c r="N123" i="31" s="1"/>
  <c r="O123" i="31" s="1"/>
  <c r="M123" i="27"/>
  <c r="N123" i="27" s="1"/>
  <c r="O123" i="27" s="1"/>
  <c r="T124" i="30"/>
  <c r="U124" i="30" s="1"/>
  <c r="M124" i="30"/>
  <c r="S124" i="30"/>
  <c r="P134" i="29" l="1"/>
  <c r="R125" i="30"/>
  <c r="K124" i="31"/>
  <c r="H133" i="31"/>
  <c r="H133" i="27"/>
  <c r="K124" i="27"/>
  <c r="R134" i="29" l="1"/>
  <c r="S134" i="29" s="1"/>
  <c r="K134" i="29"/>
  <c r="Q134" i="29"/>
  <c r="M124" i="31"/>
  <c r="N124" i="31" s="1"/>
  <c r="O124" i="31" s="1"/>
  <c r="M124" i="27"/>
  <c r="N124" i="27" s="1"/>
  <c r="O124" i="27" s="1"/>
  <c r="T125" i="30"/>
  <c r="U125" i="30" s="1"/>
  <c r="M125" i="30"/>
  <c r="S125" i="30"/>
  <c r="P135" i="29" l="1"/>
  <c r="K135" i="29" s="1"/>
  <c r="R126" i="30"/>
  <c r="K125" i="31"/>
  <c r="K125" i="27"/>
  <c r="H134" i="27"/>
  <c r="H134" i="31"/>
  <c r="R135" i="29" l="1"/>
  <c r="S135" i="29" s="1"/>
  <c r="Q135" i="29"/>
  <c r="P136" i="29" s="1"/>
  <c r="M125" i="31"/>
  <c r="N125" i="31" s="1"/>
  <c r="O125" i="31" s="1"/>
  <c r="M125" i="27"/>
  <c r="N125" i="27" s="1"/>
  <c r="O125" i="27" s="1"/>
  <c r="T126" i="30"/>
  <c r="U126" i="30" s="1"/>
  <c r="S126" i="30"/>
  <c r="M126" i="30"/>
  <c r="H135" i="31"/>
  <c r="H135" i="27"/>
  <c r="R136" i="29" l="1"/>
  <c r="S136" i="29" s="1"/>
  <c r="K136" i="29"/>
  <c r="Q136" i="29"/>
  <c r="R127" i="30"/>
  <c r="S127" i="30" s="1"/>
  <c r="K126" i="27"/>
  <c r="K126" i="31"/>
  <c r="P137" i="29" l="1"/>
  <c r="Q137" i="29" s="1"/>
  <c r="M126" i="31"/>
  <c r="N126" i="31" s="1"/>
  <c r="O126" i="31" s="1"/>
  <c r="M126" i="27"/>
  <c r="N126" i="27" s="1"/>
  <c r="O126" i="27" s="1"/>
  <c r="M127" i="30"/>
  <c r="R128" i="30" s="1"/>
  <c r="T127" i="30"/>
  <c r="U127" i="30" s="1"/>
  <c r="H136" i="31"/>
  <c r="K127" i="27"/>
  <c r="H137" i="31"/>
  <c r="H137" i="27"/>
  <c r="K127" i="31"/>
  <c r="H136" i="27"/>
  <c r="R137" i="29" l="1"/>
  <c r="S137" i="29" s="1"/>
  <c r="K137" i="29"/>
  <c r="M127" i="31"/>
  <c r="N127" i="31" s="1"/>
  <c r="O127" i="31" s="1"/>
  <c r="M127" i="27"/>
  <c r="N127" i="27" s="1"/>
  <c r="O127" i="27" s="1"/>
  <c r="T128" i="30"/>
  <c r="U128" i="30" s="1"/>
  <c r="S128" i="30"/>
  <c r="M128" i="30"/>
  <c r="R129" i="30" l="1"/>
  <c r="K128" i="31"/>
  <c r="K128" i="27"/>
  <c r="M128" i="31" l="1"/>
  <c r="N128" i="31" s="1"/>
  <c r="O128" i="31" s="1"/>
  <c r="M128" i="27"/>
  <c r="N128" i="27" s="1"/>
  <c r="O128" i="27" s="1"/>
  <c r="T129" i="30"/>
  <c r="U129" i="30" s="1"/>
  <c r="S129" i="30"/>
  <c r="M129" i="30"/>
  <c r="R130" i="30" l="1"/>
  <c r="K129" i="27"/>
  <c r="K129" i="31"/>
  <c r="M129" i="31" l="1"/>
  <c r="N129" i="31" s="1"/>
  <c r="O129" i="31" s="1"/>
  <c r="M129" i="27"/>
  <c r="N129" i="27" s="1"/>
  <c r="O129" i="27" s="1"/>
  <c r="T130" i="30"/>
  <c r="U130" i="30" s="1"/>
  <c r="S130" i="30"/>
  <c r="M130" i="30"/>
  <c r="R131" i="30" l="1"/>
  <c r="K130" i="27"/>
  <c r="K130" i="31"/>
  <c r="M130" i="31" l="1"/>
  <c r="N130" i="31" s="1"/>
  <c r="O130" i="31" s="1"/>
  <c r="M130" i="27"/>
  <c r="N130" i="27" s="1"/>
  <c r="O130" i="27" s="1"/>
  <c r="T131" i="30"/>
  <c r="U131" i="30" s="1"/>
  <c r="S131" i="30"/>
  <c r="M131" i="30"/>
  <c r="R132" i="30" l="1"/>
  <c r="K131" i="27"/>
  <c r="K131" i="31"/>
  <c r="M131" i="31" l="1"/>
  <c r="N131" i="31" s="1"/>
  <c r="O131" i="31" s="1"/>
  <c r="M131" i="27"/>
  <c r="N131" i="27" s="1"/>
  <c r="O131" i="27" s="1"/>
  <c r="T132" i="30"/>
  <c r="U132" i="30" s="1"/>
  <c r="S132" i="30"/>
  <c r="M132" i="30"/>
  <c r="R133" i="30" l="1"/>
  <c r="K132" i="27"/>
  <c r="K132" i="31"/>
  <c r="M132" i="31" l="1"/>
  <c r="N132" i="31" s="1"/>
  <c r="O132" i="31" s="1"/>
  <c r="M132" i="27"/>
  <c r="N132" i="27" s="1"/>
  <c r="O132" i="27" s="1"/>
  <c r="T133" i="30"/>
  <c r="U133" i="30" s="1"/>
  <c r="S133" i="30"/>
  <c r="M133" i="30"/>
  <c r="R134" i="30" l="1"/>
  <c r="K133" i="27"/>
  <c r="K133" i="31"/>
  <c r="M133" i="31" l="1"/>
  <c r="N133" i="31" s="1"/>
  <c r="O133" i="31" s="1"/>
  <c r="M133" i="27"/>
  <c r="N133" i="27" s="1"/>
  <c r="O133" i="27" s="1"/>
  <c r="T134" i="30"/>
  <c r="U134" i="30" s="1"/>
  <c r="S134" i="30"/>
  <c r="M134" i="30"/>
  <c r="R135" i="30" l="1"/>
  <c r="K134" i="31"/>
  <c r="K134" i="27"/>
  <c r="M134" i="31" l="1"/>
  <c r="N134" i="31" s="1"/>
  <c r="O134" i="31" s="1"/>
  <c r="M134" i="27"/>
  <c r="N134" i="27" s="1"/>
  <c r="O134" i="27" s="1"/>
  <c r="T135" i="30"/>
  <c r="U135" i="30" s="1"/>
  <c r="S135" i="30"/>
  <c r="M135" i="30"/>
  <c r="R136" i="30" l="1"/>
  <c r="K135" i="27"/>
  <c r="K135" i="31"/>
  <c r="M135" i="31" l="1"/>
  <c r="N135" i="31" s="1"/>
  <c r="O135" i="31" s="1"/>
  <c r="M135" i="27"/>
  <c r="N135" i="27" s="1"/>
  <c r="O135" i="27" s="1"/>
  <c r="T136" i="30"/>
  <c r="U136" i="30" s="1"/>
  <c r="S136" i="30"/>
  <c r="M136" i="30"/>
  <c r="R137" i="30" l="1"/>
  <c r="K137" i="31"/>
  <c r="K137" i="27"/>
  <c r="K136" i="27"/>
  <c r="K136" i="31"/>
  <c r="M137" i="31" l="1"/>
  <c r="N137" i="31" s="1"/>
  <c r="O137" i="31" s="1"/>
  <c r="M136" i="31"/>
  <c r="N136" i="31" s="1"/>
  <c r="O136" i="31" s="1"/>
  <c r="M137" i="27"/>
  <c r="N137" i="27" s="1"/>
  <c r="O137" i="27" s="1"/>
  <c r="M136" i="27"/>
  <c r="N136" i="27" s="1"/>
  <c r="O136" i="27" s="1"/>
  <c r="T137" i="30"/>
  <c r="U137" i="30" s="1"/>
  <c r="S137" i="30"/>
  <c r="M137" i="30"/>
</calcChain>
</file>

<file path=xl/sharedStrings.xml><?xml version="1.0" encoding="utf-8"?>
<sst xmlns="http://schemas.openxmlformats.org/spreadsheetml/2006/main" count="626" uniqueCount="170">
  <si>
    <t>03M</t>
    <phoneticPr fontId="2"/>
  </si>
  <si>
    <t>06M</t>
    <phoneticPr fontId="2"/>
  </si>
  <si>
    <t>DATE</t>
    <phoneticPr fontId="2"/>
  </si>
  <si>
    <t>DF</t>
    <phoneticPr fontId="2"/>
  </si>
  <si>
    <t>ZERO</t>
    <phoneticPr fontId="2"/>
  </si>
  <si>
    <t>6MLIBOR</t>
    <phoneticPr fontId="2"/>
  </si>
  <si>
    <t>3M-6M</t>
    <phoneticPr fontId="2"/>
  </si>
  <si>
    <t>3M LIBOR</t>
    <phoneticPr fontId="2"/>
  </si>
  <si>
    <t>6M LIBOR</t>
    <phoneticPr fontId="2"/>
  </si>
  <si>
    <t>3MLIBOR</t>
    <phoneticPr fontId="2"/>
  </si>
  <si>
    <t>JPY 3M LIBOR</t>
    <phoneticPr fontId="2"/>
  </si>
  <si>
    <t>JPY Currency Basis</t>
    <phoneticPr fontId="2"/>
  </si>
  <si>
    <t>US 3M</t>
    <phoneticPr fontId="2"/>
  </si>
  <si>
    <t>EUR 3M</t>
    <phoneticPr fontId="2"/>
  </si>
  <si>
    <t>EUR Currency Basis</t>
    <phoneticPr fontId="2"/>
  </si>
  <si>
    <t>OIS</t>
    <phoneticPr fontId="2"/>
  </si>
  <si>
    <t>DF(OIS)</t>
    <phoneticPr fontId="2"/>
  </si>
  <si>
    <t>時点</t>
    <rPh sb="0" eb="2">
      <t>ジテン</t>
    </rPh>
    <phoneticPr fontId="2"/>
  </si>
  <si>
    <t>LIBOR</t>
    <phoneticPr fontId="2"/>
  </si>
  <si>
    <t>DF</t>
    <phoneticPr fontId="2"/>
  </si>
  <si>
    <t>ZERO</t>
    <phoneticPr fontId="2"/>
  </si>
  <si>
    <t>SWAP</t>
    <phoneticPr fontId="2"/>
  </si>
  <si>
    <t>3MLIBOR</t>
    <phoneticPr fontId="2"/>
  </si>
  <si>
    <t>前提</t>
    <rPh sb="0" eb="2">
      <t>ゼンテイ</t>
    </rPh>
    <phoneticPr fontId="2"/>
  </si>
  <si>
    <t>円LIBOR</t>
    <rPh sb="0" eb="1">
      <t>エン</t>
    </rPh>
    <phoneticPr fontId="2"/>
  </si>
  <si>
    <t>円テナー</t>
    <rPh sb="0" eb="1">
      <t>エン</t>
    </rPh>
    <phoneticPr fontId="2"/>
  </si>
  <si>
    <t>円SWAP</t>
    <rPh sb="0" eb="1">
      <t>エン</t>
    </rPh>
    <phoneticPr fontId="2"/>
  </si>
  <si>
    <t>Sum d(6M)*DF</t>
    <phoneticPr fontId="2"/>
  </si>
  <si>
    <t>Sum d(3M)*DF</t>
    <phoneticPr fontId="2"/>
  </si>
  <si>
    <t>Sum L(3M)*d*DF</t>
    <phoneticPr fontId="2"/>
  </si>
  <si>
    <t>試算前提</t>
    <rPh sb="0" eb="2">
      <t>シサン</t>
    </rPh>
    <rPh sb="2" eb="4">
      <t>ゼンテイ</t>
    </rPh>
    <phoneticPr fontId="2"/>
  </si>
  <si>
    <t>支払い</t>
    <rPh sb="0" eb="2">
      <t>シハラ</t>
    </rPh>
    <phoneticPr fontId="2"/>
  </si>
  <si>
    <t>受取りCF</t>
    <rPh sb="0" eb="2">
      <t>ウケト</t>
    </rPh>
    <phoneticPr fontId="2"/>
  </si>
  <si>
    <t>時点</t>
    <rPh sb="0" eb="2">
      <t>ジテン</t>
    </rPh>
    <phoneticPr fontId="2"/>
  </si>
  <si>
    <t>受取り</t>
    <rPh sb="0" eb="2">
      <t>ウケト</t>
    </rPh>
    <phoneticPr fontId="2"/>
  </si>
  <si>
    <t>期間</t>
    <rPh sb="0" eb="2">
      <t>キカン</t>
    </rPh>
    <phoneticPr fontId="2"/>
  </si>
  <si>
    <t>3MLIBOR</t>
    <phoneticPr fontId="2"/>
  </si>
  <si>
    <t>3ヶ月ごと</t>
    <rPh sb="2" eb="3">
      <t>ゲツ</t>
    </rPh>
    <phoneticPr fontId="2"/>
  </si>
  <si>
    <t>利払間隔</t>
    <rPh sb="0" eb="2">
      <t>リバラ</t>
    </rPh>
    <rPh sb="2" eb="4">
      <t>カンカク</t>
    </rPh>
    <phoneticPr fontId="2"/>
  </si>
  <si>
    <t>10年</t>
    <rPh sb="2" eb="3">
      <t>ネン</t>
    </rPh>
    <phoneticPr fontId="2"/>
  </si>
  <si>
    <t>想定元本</t>
    <rPh sb="0" eb="2">
      <t>ソウテイ</t>
    </rPh>
    <rPh sb="2" eb="4">
      <t>ガンポン</t>
    </rPh>
    <phoneticPr fontId="2"/>
  </si>
  <si>
    <t>受取り現在価値</t>
    <rPh sb="0" eb="2">
      <t>ウケト</t>
    </rPh>
    <rPh sb="3" eb="5">
      <t>ゲンザイ</t>
    </rPh>
    <rPh sb="5" eb="7">
      <t>カチ</t>
    </rPh>
    <phoneticPr fontId="2"/>
  </si>
  <si>
    <t>支払いCF</t>
    <rPh sb="0" eb="2">
      <t>シハラ</t>
    </rPh>
    <phoneticPr fontId="2"/>
  </si>
  <si>
    <t>試算結果</t>
    <rPh sb="0" eb="2">
      <t>シサン</t>
    </rPh>
    <rPh sb="2" eb="4">
      <t>ケッカ</t>
    </rPh>
    <phoneticPr fontId="2"/>
  </si>
  <si>
    <t>金融商品評価</t>
    <rPh sb="0" eb="2">
      <t>キンユウ</t>
    </rPh>
    <rPh sb="2" eb="4">
      <t>ショウヒン</t>
    </rPh>
    <rPh sb="4" eb="6">
      <t>ヒョウカ</t>
    </rPh>
    <phoneticPr fontId="2"/>
  </si>
  <si>
    <t>トータル受取り現在価値</t>
    <rPh sb="4" eb="6">
      <t>ウケト</t>
    </rPh>
    <rPh sb="7" eb="9">
      <t>ゲンザイ</t>
    </rPh>
    <rPh sb="9" eb="11">
      <t>カチ</t>
    </rPh>
    <phoneticPr fontId="2"/>
  </si>
  <si>
    <t>トータル支払い現在価値</t>
    <rPh sb="4" eb="6">
      <t>シハラ</t>
    </rPh>
    <rPh sb="7" eb="9">
      <t>ゲンザイ</t>
    </rPh>
    <rPh sb="9" eb="11">
      <t>カチ</t>
    </rPh>
    <phoneticPr fontId="2"/>
  </si>
  <si>
    <t>時価</t>
    <rPh sb="0" eb="2">
      <t>ジカ</t>
    </rPh>
    <phoneticPr fontId="2"/>
  </si>
  <si>
    <t>試算番号2-1</t>
    <rPh sb="0" eb="2">
      <t>シサン</t>
    </rPh>
    <rPh sb="2" eb="4">
      <t>バンゴウ</t>
    </rPh>
    <phoneticPr fontId="2"/>
  </si>
  <si>
    <t>イールド計算</t>
    <rPh sb="4" eb="6">
      <t>ケイサン</t>
    </rPh>
    <phoneticPr fontId="2"/>
  </si>
  <si>
    <t>CF計算</t>
    <rPh sb="2" eb="4">
      <t>ケイサン</t>
    </rPh>
    <phoneticPr fontId="2"/>
  </si>
  <si>
    <t>試算番号2-2</t>
    <rPh sb="0" eb="2">
      <t>シサン</t>
    </rPh>
    <rPh sb="2" eb="4">
      <t>バンゴウ</t>
    </rPh>
    <phoneticPr fontId="2"/>
  </si>
  <si>
    <t>ドルLIBOR</t>
    <phoneticPr fontId="2"/>
  </si>
  <si>
    <t>ドルテナー</t>
    <phoneticPr fontId="2"/>
  </si>
  <si>
    <t>ドルSWAP</t>
    <phoneticPr fontId="2"/>
  </si>
  <si>
    <t>Sum L(6M)*d*DF</t>
    <phoneticPr fontId="2"/>
  </si>
  <si>
    <t>6MLIBOR</t>
    <phoneticPr fontId="2"/>
  </si>
  <si>
    <t>6ヶ月ごと</t>
    <rPh sb="2" eb="3">
      <t>ゲツ</t>
    </rPh>
    <phoneticPr fontId="2"/>
  </si>
  <si>
    <t>EURIBOR</t>
    <phoneticPr fontId="2"/>
  </si>
  <si>
    <t>ユーロテナー</t>
    <phoneticPr fontId="2"/>
  </si>
  <si>
    <t>Cum L(3M)*d*DF</t>
    <phoneticPr fontId="2"/>
  </si>
  <si>
    <t>Sum d(12M)*DF</t>
    <phoneticPr fontId="2"/>
  </si>
  <si>
    <t>試算番号2-3</t>
    <rPh sb="0" eb="2">
      <t>シサン</t>
    </rPh>
    <rPh sb="2" eb="4">
      <t>バンゴウ</t>
    </rPh>
    <phoneticPr fontId="2"/>
  </si>
  <si>
    <t>ユーロSWAP</t>
    <phoneticPr fontId="2"/>
  </si>
  <si>
    <t>試算番号1-2</t>
    <rPh sb="0" eb="2">
      <t>シサン</t>
    </rPh>
    <rPh sb="2" eb="4">
      <t>バンゴウ</t>
    </rPh>
    <phoneticPr fontId="2"/>
  </si>
  <si>
    <t>試算番号1-3</t>
    <rPh sb="0" eb="2">
      <t>シサン</t>
    </rPh>
    <rPh sb="2" eb="4">
      <t>バンゴウ</t>
    </rPh>
    <phoneticPr fontId="2"/>
  </si>
  <si>
    <t>試算番号2-4</t>
    <rPh sb="0" eb="2">
      <t>シサン</t>
    </rPh>
    <rPh sb="2" eb="4">
      <t>バンゴウ</t>
    </rPh>
    <phoneticPr fontId="2"/>
  </si>
  <si>
    <t>ドル円ベーシス</t>
    <rPh sb="2" eb="3">
      <t>エン</t>
    </rPh>
    <phoneticPr fontId="2"/>
  </si>
  <si>
    <t>ドル円フォワード為替</t>
    <rPh sb="2" eb="3">
      <t>エン</t>
    </rPh>
    <rPh sb="8" eb="10">
      <t>カワセ</t>
    </rPh>
    <phoneticPr fontId="2"/>
  </si>
  <si>
    <t>JPY DF</t>
    <phoneticPr fontId="2"/>
  </si>
  <si>
    <t>Sum L(3M)*d*DF(JPY)</t>
    <phoneticPr fontId="2"/>
  </si>
  <si>
    <t>Basis*Sum d(3M)*DF</t>
    <phoneticPr fontId="2"/>
  </si>
  <si>
    <t>円3MLIBOR</t>
    <rPh sb="0" eb="1">
      <t>エン</t>
    </rPh>
    <phoneticPr fontId="2"/>
  </si>
  <si>
    <t>ドル3MLIBOR</t>
    <phoneticPr fontId="2"/>
  </si>
  <si>
    <t>想定元本（円）</t>
    <rPh sb="0" eb="2">
      <t>ソウテイ</t>
    </rPh>
    <rPh sb="2" eb="4">
      <t>ガンポン</t>
    </rPh>
    <rPh sb="5" eb="6">
      <t>エン</t>
    </rPh>
    <phoneticPr fontId="2"/>
  </si>
  <si>
    <t>想定元本（ドル）</t>
    <rPh sb="0" eb="2">
      <t>ソウテイ</t>
    </rPh>
    <rPh sb="2" eb="4">
      <t>ガンポン</t>
    </rPh>
    <phoneticPr fontId="2"/>
  </si>
  <si>
    <t>US ModDF</t>
    <phoneticPr fontId="2"/>
  </si>
  <si>
    <t>ドル円為替レート</t>
    <rPh sb="2" eb="3">
      <t>エン</t>
    </rPh>
    <rPh sb="3" eb="5">
      <t>カワセ</t>
    </rPh>
    <phoneticPr fontId="2"/>
  </si>
  <si>
    <t>種類</t>
    <rPh sb="0" eb="2">
      <t>シュルイ</t>
    </rPh>
    <phoneticPr fontId="2"/>
  </si>
  <si>
    <t>ドル円通貨SWAP</t>
    <rPh sb="2" eb="3">
      <t>エン</t>
    </rPh>
    <rPh sb="3" eb="5">
      <t>ツウカ</t>
    </rPh>
    <phoneticPr fontId="2"/>
  </si>
  <si>
    <t>試算番号2-5</t>
    <rPh sb="0" eb="2">
      <t>シサン</t>
    </rPh>
    <rPh sb="2" eb="4">
      <t>バンゴウ</t>
    </rPh>
    <phoneticPr fontId="2"/>
  </si>
  <si>
    <t>US ZERO</t>
    <phoneticPr fontId="2"/>
  </si>
  <si>
    <t>ドルユーロベーシス</t>
    <phoneticPr fontId="2"/>
  </si>
  <si>
    <t>ユーロ円フォワード為替</t>
    <rPh sb="3" eb="4">
      <t>エン</t>
    </rPh>
    <rPh sb="9" eb="11">
      <t>カワセ</t>
    </rPh>
    <phoneticPr fontId="2"/>
  </si>
  <si>
    <t>Sum L(3M)*d*DF(USD)</t>
    <phoneticPr fontId="2"/>
  </si>
  <si>
    <t>Sum d(3M)*DF（JPY）</t>
    <phoneticPr fontId="2"/>
  </si>
  <si>
    <t>EUR ModDF</t>
    <phoneticPr fontId="2"/>
  </si>
  <si>
    <t>Sum L(3M)*d*DF(EUR)</t>
    <phoneticPr fontId="2"/>
  </si>
  <si>
    <t>EUR ZERO</t>
    <phoneticPr fontId="2"/>
  </si>
  <si>
    <t>Sum d(3M)*DF(EUR)</t>
    <phoneticPr fontId="2"/>
  </si>
  <si>
    <t>ユーロ円通貨SWAP</t>
    <rPh sb="3" eb="4">
      <t>エン</t>
    </rPh>
    <rPh sb="4" eb="6">
      <t>ツウカ</t>
    </rPh>
    <phoneticPr fontId="2"/>
  </si>
  <si>
    <t>3MEURIBOR</t>
    <phoneticPr fontId="2"/>
  </si>
  <si>
    <t>ユーロ円為替レート</t>
    <rPh sb="3" eb="4">
      <t>エン</t>
    </rPh>
    <rPh sb="4" eb="6">
      <t>カワセ</t>
    </rPh>
    <phoneticPr fontId="2"/>
  </si>
  <si>
    <t>3M EURIBOR</t>
    <phoneticPr fontId="2"/>
  </si>
  <si>
    <t>6MEURIBOR</t>
    <phoneticPr fontId="2"/>
  </si>
  <si>
    <t>試算番号4-1</t>
    <rPh sb="0" eb="2">
      <t>シサン</t>
    </rPh>
    <rPh sb="2" eb="4">
      <t>バンゴウ</t>
    </rPh>
    <phoneticPr fontId="2"/>
  </si>
  <si>
    <t>円OISイールドカーブ作成</t>
    <rPh sb="0" eb="1">
      <t>エン</t>
    </rPh>
    <rPh sb="11" eb="13">
      <t>サクセイ</t>
    </rPh>
    <phoneticPr fontId="2"/>
  </si>
  <si>
    <t>円OISレート</t>
    <rPh sb="0" eb="1">
      <t>エン</t>
    </rPh>
    <phoneticPr fontId="2"/>
  </si>
  <si>
    <t>Sum d(1Y)*DF(OIS)</t>
    <phoneticPr fontId="2"/>
  </si>
  <si>
    <t>Sum d(6M)*DF(OIS)</t>
    <phoneticPr fontId="2"/>
  </si>
  <si>
    <t>6MLIBOR(OIS)</t>
    <phoneticPr fontId="2"/>
  </si>
  <si>
    <t>Sum L(6M)*d*DF(OIS)</t>
    <phoneticPr fontId="2"/>
  </si>
  <si>
    <t>Sum L(3M)*d*DF(OIS)</t>
    <phoneticPr fontId="2"/>
  </si>
  <si>
    <t>3MLIBOR(OIS)</t>
    <phoneticPr fontId="2"/>
  </si>
  <si>
    <t>Sum d(3M)*DF(OIS)</t>
    <phoneticPr fontId="2"/>
  </si>
  <si>
    <t>試算番号4-2</t>
    <rPh sb="0" eb="2">
      <t>シサン</t>
    </rPh>
    <rPh sb="2" eb="4">
      <t>バンゴウ</t>
    </rPh>
    <phoneticPr fontId="2"/>
  </si>
  <si>
    <t>ドルOISイールドカーブ作成</t>
    <rPh sb="12" eb="14">
      <t>サクセイ</t>
    </rPh>
    <phoneticPr fontId="2"/>
  </si>
  <si>
    <t>ドルOISレート</t>
    <phoneticPr fontId="2"/>
  </si>
  <si>
    <t>試算番号4-3</t>
    <rPh sb="0" eb="2">
      <t>シサン</t>
    </rPh>
    <rPh sb="2" eb="4">
      <t>バンゴウ</t>
    </rPh>
    <phoneticPr fontId="2"/>
  </si>
  <si>
    <t>ユーロOISイールドカーブ作成</t>
    <rPh sb="13" eb="15">
      <t>サクセイ</t>
    </rPh>
    <phoneticPr fontId="2"/>
  </si>
  <si>
    <t>試算番号4-4</t>
    <rPh sb="0" eb="2">
      <t>シサン</t>
    </rPh>
    <rPh sb="2" eb="4">
      <t>バンゴウ</t>
    </rPh>
    <phoneticPr fontId="2"/>
  </si>
  <si>
    <t>ドル担保円CFの調整関数作成</t>
    <rPh sb="2" eb="4">
      <t>タンポ</t>
    </rPh>
    <rPh sb="4" eb="5">
      <t>エン</t>
    </rPh>
    <rPh sb="8" eb="10">
      <t>チョウセイ</t>
    </rPh>
    <rPh sb="10" eb="12">
      <t>カンスウ</t>
    </rPh>
    <rPh sb="12" eb="14">
      <t>サクセイ</t>
    </rPh>
    <phoneticPr fontId="2"/>
  </si>
  <si>
    <t>JPY 3M　LIBOR</t>
    <phoneticPr fontId="2"/>
  </si>
  <si>
    <t>USD 3M LIBOR</t>
    <phoneticPr fontId="2"/>
  </si>
  <si>
    <t>JPY DF(OIS)</t>
    <phoneticPr fontId="2"/>
  </si>
  <si>
    <t>USD DF(OIS)</t>
    <phoneticPr fontId="2"/>
  </si>
  <si>
    <t>AdjFunc JPYbyUSD</t>
    <phoneticPr fontId="2"/>
  </si>
  <si>
    <t>Sum L(JPY3M)*d*DF(OIS)*AdjFunc</t>
    <phoneticPr fontId="2"/>
  </si>
  <si>
    <t>Sum L(USD3M)*d*DF(OIS)</t>
    <phoneticPr fontId="2"/>
  </si>
  <si>
    <t>Sum d*DF(JPYOIS)*AdjFunc</t>
    <phoneticPr fontId="2"/>
  </si>
  <si>
    <t>JPY DF(OIS)*AdjFunc</t>
    <phoneticPr fontId="2"/>
  </si>
  <si>
    <t>ユーロOISレート</t>
    <phoneticPr fontId="2"/>
  </si>
  <si>
    <t>ドル担保ドル円通貨SWAP</t>
    <rPh sb="2" eb="4">
      <t>タンポ</t>
    </rPh>
    <rPh sb="6" eb="7">
      <t>エン</t>
    </rPh>
    <rPh sb="7" eb="9">
      <t>ツウカ</t>
    </rPh>
    <phoneticPr fontId="2"/>
  </si>
  <si>
    <t>試算番号4-5</t>
    <rPh sb="0" eb="2">
      <t>シサン</t>
    </rPh>
    <rPh sb="2" eb="4">
      <t>バンゴウ</t>
    </rPh>
    <phoneticPr fontId="2"/>
  </si>
  <si>
    <t>ドル担保ユーロCFの調整関数作成</t>
    <rPh sb="2" eb="4">
      <t>タンポ</t>
    </rPh>
    <rPh sb="10" eb="12">
      <t>チョウセイ</t>
    </rPh>
    <rPh sb="12" eb="14">
      <t>カンスウ</t>
    </rPh>
    <rPh sb="14" eb="16">
      <t>サクセイ</t>
    </rPh>
    <phoneticPr fontId="2"/>
  </si>
  <si>
    <t>3MEURIBOR(OIS)</t>
    <phoneticPr fontId="2"/>
  </si>
  <si>
    <t>6MEURIBOR(OIS)</t>
    <phoneticPr fontId="2"/>
  </si>
  <si>
    <t>Sum L(EUR3M)*d*DF(OIS)*AdjFunc</t>
    <phoneticPr fontId="2"/>
  </si>
  <si>
    <t>EUR DF(OIS)*AdjFunc</t>
    <phoneticPr fontId="2"/>
  </si>
  <si>
    <t>EUR 3M　EURIBOR</t>
    <phoneticPr fontId="2"/>
  </si>
  <si>
    <t>EUR DF(OIS)</t>
    <phoneticPr fontId="2"/>
  </si>
  <si>
    <t>AdjFunc EURbyUSD</t>
    <phoneticPr fontId="2"/>
  </si>
  <si>
    <t>ドル担保ドルユーロ通貨SWAP</t>
    <rPh sb="2" eb="4">
      <t>タンポ</t>
    </rPh>
    <rPh sb="9" eb="11">
      <t>ツウカ</t>
    </rPh>
    <phoneticPr fontId="2"/>
  </si>
  <si>
    <t>想定元本（ユーロ）</t>
    <rPh sb="0" eb="2">
      <t>ソウテイ</t>
    </rPh>
    <rPh sb="2" eb="4">
      <t>ガンポン</t>
    </rPh>
    <phoneticPr fontId="2"/>
  </si>
  <si>
    <t>円担保ユーロCFの調整関数作成</t>
    <rPh sb="0" eb="1">
      <t>エン</t>
    </rPh>
    <rPh sb="1" eb="3">
      <t>タンポ</t>
    </rPh>
    <rPh sb="9" eb="11">
      <t>チョウセイ</t>
    </rPh>
    <rPh sb="11" eb="13">
      <t>カンスウ</t>
    </rPh>
    <rPh sb="13" eb="15">
      <t>サクセイ</t>
    </rPh>
    <phoneticPr fontId="2"/>
  </si>
  <si>
    <t>ユーロ担保円CFの調整関数作成</t>
    <rPh sb="3" eb="5">
      <t>タンポ</t>
    </rPh>
    <rPh sb="5" eb="6">
      <t>エン</t>
    </rPh>
    <rPh sb="9" eb="11">
      <t>チョウセイ</t>
    </rPh>
    <rPh sb="11" eb="13">
      <t>カンスウ</t>
    </rPh>
    <rPh sb="13" eb="15">
      <t>サクセイ</t>
    </rPh>
    <phoneticPr fontId="2"/>
  </si>
  <si>
    <t>試算番号4-6その1</t>
    <rPh sb="0" eb="2">
      <t>シサン</t>
    </rPh>
    <rPh sb="2" eb="4">
      <t>バンゴウ</t>
    </rPh>
    <phoneticPr fontId="2"/>
  </si>
  <si>
    <t>AdjFunc JPYbyEUR</t>
    <phoneticPr fontId="2"/>
  </si>
  <si>
    <t>ユーロ担保ユーロ円通貨SWAP</t>
    <rPh sb="3" eb="5">
      <t>タンポ</t>
    </rPh>
    <rPh sb="8" eb="9">
      <t>エン</t>
    </rPh>
    <rPh sb="9" eb="11">
      <t>ツウカ</t>
    </rPh>
    <phoneticPr fontId="2"/>
  </si>
  <si>
    <t>試算番号4-6その2</t>
    <rPh sb="0" eb="2">
      <t>シサン</t>
    </rPh>
    <rPh sb="2" eb="4">
      <t>バンゴウ</t>
    </rPh>
    <phoneticPr fontId="2"/>
  </si>
  <si>
    <t>AdjFunc EURbyJPY</t>
    <phoneticPr fontId="2"/>
  </si>
  <si>
    <t>FX</t>
    <phoneticPr fontId="2"/>
  </si>
  <si>
    <t>FX（USD/EUR）</t>
    <phoneticPr fontId="2"/>
  </si>
  <si>
    <t>FX（EUR/USD）</t>
    <phoneticPr fontId="2"/>
  </si>
  <si>
    <t>ユーロドルフォワード為替</t>
    <rPh sb="10" eb="12">
      <t>カワセ</t>
    </rPh>
    <phoneticPr fontId="2"/>
  </si>
  <si>
    <t>ドルテナー</t>
    <phoneticPr fontId="2"/>
  </si>
  <si>
    <t>ユーロテナー</t>
    <phoneticPr fontId="2"/>
  </si>
  <si>
    <t>ドルLIBOR</t>
    <phoneticPr fontId="2"/>
  </si>
  <si>
    <t>EURIBOR</t>
    <phoneticPr fontId="2"/>
  </si>
  <si>
    <t>ユーロSWAP</t>
    <phoneticPr fontId="2"/>
  </si>
  <si>
    <t>ドルテナー</t>
    <phoneticPr fontId="2"/>
  </si>
  <si>
    <t>円イールドカーブ作成（テナー考慮）</t>
    <rPh sb="0" eb="1">
      <t>エン</t>
    </rPh>
    <rPh sb="8" eb="10">
      <t>サクセイ</t>
    </rPh>
    <rPh sb="14" eb="16">
      <t>コウリョ</t>
    </rPh>
    <phoneticPr fontId="2"/>
  </si>
  <si>
    <t>ドルイールドカーブ作成（テナー考慮）</t>
    <rPh sb="9" eb="11">
      <t>サクセイ</t>
    </rPh>
    <rPh sb="15" eb="17">
      <t>コウリョ</t>
    </rPh>
    <phoneticPr fontId="2"/>
  </si>
  <si>
    <t>ユーロイールドカーブ作成（テナー考慮）</t>
    <rPh sb="10" eb="12">
      <t>サクセイ</t>
    </rPh>
    <rPh sb="16" eb="18">
      <t>コウリョ</t>
    </rPh>
    <phoneticPr fontId="2"/>
  </si>
  <si>
    <t>ドルイールドカーブ作成（ベーシス・テナー考慮）</t>
    <rPh sb="9" eb="11">
      <t>サクセイ</t>
    </rPh>
    <rPh sb="20" eb="22">
      <t>コウリョ</t>
    </rPh>
    <phoneticPr fontId="2"/>
  </si>
  <si>
    <t>ユーロイールドカーブ作成（ベーシス・テナー考慮））</t>
    <rPh sb="10" eb="12">
      <t>サクセイ</t>
    </rPh>
    <phoneticPr fontId="2"/>
  </si>
  <si>
    <t>円イールドカーブ作成（テキストブックスタイル）</t>
    <rPh sb="0" eb="1">
      <t>エン</t>
    </rPh>
    <rPh sb="8" eb="10">
      <t>サクセイ</t>
    </rPh>
    <phoneticPr fontId="2"/>
  </si>
  <si>
    <t>ドルイールドカーブ作成（テキストブックスタイル）</t>
    <rPh sb="9" eb="11">
      <t>サクセイ</t>
    </rPh>
    <phoneticPr fontId="2"/>
  </si>
  <si>
    <t>ユーロイールドカーブ作成（テキストブックスタイル）</t>
    <rPh sb="10" eb="12">
      <t>サクセイ</t>
    </rPh>
    <phoneticPr fontId="2"/>
  </si>
  <si>
    <t>ドル円為替</t>
    <rPh sb="2" eb="3">
      <t>エン</t>
    </rPh>
    <rPh sb="3" eb="5">
      <t>カワセ</t>
    </rPh>
    <phoneticPr fontId="2"/>
  </si>
  <si>
    <t>ユーロ円為替</t>
    <rPh sb="3" eb="4">
      <t>エン</t>
    </rPh>
    <rPh sb="4" eb="6">
      <t>カワセ</t>
    </rPh>
    <phoneticPr fontId="2"/>
  </si>
  <si>
    <t>ユーロ円為替</t>
    <rPh sb="3" eb="4">
      <t>エン</t>
    </rPh>
    <rPh sb="4" eb="6">
      <t>カワセ</t>
    </rPh>
    <phoneticPr fontId="2"/>
  </si>
  <si>
    <t>Sum d*DF(EUROIS)*AdjFunc</t>
    <phoneticPr fontId="2"/>
  </si>
  <si>
    <t>l</t>
    <phoneticPr fontId="2"/>
  </si>
  <si>
    <t>←1週間</t>
    <rPh sb="2" eb="4">
      <t>シュウカン</t>
    </rPh>
    <phoneticPr fontId="2"/>
  </si>
  <si>
    <t>←1カ月</t>
    <rPh sb="3" eb="4">
      <t>ゲツ</t>
    </rPh>
    <phoneticPr fontId="2"/>
  </si>
  <si>
    <t>←2カ月</t>
    <rPh sb="3" eb="4">
      <t>ゲツ</t>
    </rPh>
    <phoneticPr fontId="2"/>
  </si>
  <si>
    <t>←3カ月</t>
    <rPh sb="3" eb="4">
      <t>ゲツ</t>
    </rPh>
    <phoneticPr fontId="2"/>
  </si>
  <si>
    <t>←6カ月</t>
    <rPh sb="3" eb="4">
      <t>ゲツ</t>
    </rPh>
    <phoneticPr fontId="2"/>
  </si>
  <si>
    <t>←1年</t>
    <rPh sb="2" eb="3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</si>
</sst>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76" formatCode="0.00_ "/>
    <numFmt numFmtId="177" formatCode="0.000_ "/>
    <numFmt numFmtId="178" formatCode="0.00_);[Red]\(0.00\)"/>
    <numFmt numFmtId="179" formatCode="0.000%"/>
    <numFmt numFmtId="180" formatCode="0_ ;[Red]\-0\ "/>
    <numFmt numFmtId="181" formatCode="0.00_ ;[Red]\-0.00\ "/>
    <numFmt numFmtId="182" formatCode="0.0000_ ;[Red]\-0.0000\ "/>
    <numFmt numFmtId="183" formatCode="0.0000_ "/>
    <numFmt numFmtId="184" formatCode="0.000_ ;[Red]\-0.000\ "/>
    <numFmt numFmtId="185" formatCode="0.00000_ "/>
    <numFmt numFmtId="186" formatCode="#,##0.0000;[Red]\-#,##0.0000"/>
    <numFmt numFmtId="187" formatCode="0.00;_ÿ"/>
    <numFmt numFmtId="188" formatCode="0.000;_ÿ"/>
    <numFmt numFmtId="189" formatCode="#,##0.000;[Red]\-#,##0.000"/>
    <numFmt numFmtId="190" formatCode="#,##0.000000;[Red]\-#,##0.000000"/>
    <numFmt numFmtId="191" formatCode="0.0000%"/>
    <numFmt numFmtId="192" formatCode="0.000000000000000%"/>
    <numFmt numFmtId="193" formatCode="0.00000"/>
  </numFmts>
  <fonts count="9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u/>
      <sz val="11"/>
      <color theme="1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"/>
      <family val="2"/>
    </font>
    <font>
      <sz val="10"/>
      <color theme="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7" fillId="0" borderId="0"/>
  </cellStyleXfs>
  <cellXfs count="51">
    <xf numFmtId="0" fontId="0" fillId="0" borderId="0" xfId="0">
      <alignment vertical="center"/>
    </xf>
    <xf numFmtId="10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178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1" fontId="0" fillId="0" borderId="0" xfId="1" applyNumberFormat="1" applyFont="1">
      <alignment vertical="center"/>
    </xf>
    <xf numFmtId="182" fontId="0" fillId="0" borderId="0" xfId="1" applyNumberFormat="1" applyFont="1">
      <alignment vertical="center"/>
    </xf>
    <xf numFmtId="179" fontId="0" fillId="0" borderId="0" xfId="1" applyNumberFormat="1" applyFo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6" fontId="0" fillId="0" borderId="0" xfId="0" applyNumberFormat="1">
      <alignment vertical="center"/>
    </xf>
    <xf numFmtId="10" fontId="0" fillId="0" borderId="0" xfId="1" applyNumberFormat="1" applyFont="1" applyFill="1">
      <alignment vertical="center"/>
    </xf>
    <xf numFmtId="183" fontId="0" fillId="0" borderId="0" xfId="0" applyNumberFormat="1">
      <alignment vertical="center"/>
    </xf>
    <xf numFmtId="179" fontId="0" fillId="0" borderId="0" xfId="0" applyNumberFormat="1">
      <alignment vertical="center"/>
    </xf>
    <xf numFmtId="10" fontId="0" fillId="0" borderId="0" xfId="0" applyNumberFormat="1">
      <alignment vertical="center"/>
    </xf>
    <xf numFmtId="184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179" fontId="0" fillId="0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0" borderId="0" xfId="0" applyFont="1">
      <alignment vertical="center"/>
    </xf>
    <xf numFmtId="0" fontId="3" fillId="0" borderId="0" xfId="0" applyFont="1" applyFill="1">
      <alignment vertical="center"/>
    </xf>
    <xf numFmtId="176" fontId="0" fillId="0" borderId="0" xfId="1" applyNumberFormat="1" applyFont="1" applyFill="1">
      <alignment vertical="center"/>
    </xf>
    <xf numFmtId="10" fontId="0" fillId="0" borderId="0" xfId="0" applyNumberFormat="1" applyAlignment="1">
      <alignment horizontal="right" vertical="center"/>
    </xf>
    <xf numFmtId="185" fontId="0" fillId="0" borderId="0" xfId="0" applyNumberFormat="1">
      <alignment vertical="center"/>
    </xf>
    <xf numFmtId="183" fontId="6" fillId="0" borderId="0" xfId="0" applyNumberFormat="1" applyFont="1">
      <alignment vertical="center"/>
    </xf>
    <xf numFmtId="0" fontId="4" fillId="0" borderId="0" xfId="0" applyFont="1" applyFill="1">
      <alignment vertical="center"/>
    </xf>
    <xf numFmtId="176" fontId="4" fillId="0" borderId="0" xfId="1" applyNumberFormat="1" applyFont="1" applyFill="1">
      <alignment vertical="center"/>
    </xf>
    <xf numFmtId="38" fontId="0" fillId="0" borderId="0" xfId="2" applyFont="1">
      <alignment vertical="center"/>
    </xf>
    <xf numFmtId="40" fontId="0" fillId="0" borderId="0" xfId="2" applyNumberFormat="1" applyFont="1">
      <alignment vertical="center"/>
    </xf>
    <xf numFmtId="186" fontId="0" fillId="0" borderId="0" xfId="2" applyNumberFormat="1" applyFont="1">
      <alignment vertical="center"/>
    </xf>
    <xf numFmtId="186" fontId="0" fillId="0" borderId="0" xfId="0" applyNumberFormat="1">
      <alignment vertical="center"/>
    </xf>
    <xf numFmtId="187" fontId="0" fillId="0" borderId="0" xfId="0" applyNumberFormat="1" applyAlignment="1">
      <alignment horizontal="right" vertical="center"/>
    </xf>
    <xf numFmtId="188" fontId="0" fillId="0" borderId="0" xfId="0" applyNumberFormat="1" applyAlignment="1">
      <alignment horizontal="right" vertical="center"/>
    </xf>
    <xf numFmtId="183" fontId="0" fillId="0" borderId="0" xfId="0" applyNumberFormat="1" applyFill="1">
      <alignment vertical="center"/>
    </xf>
    <xf numFmtId="185" fontId="0" fillId="0" borderId="0" xfId="0" applyNumberFormat="1" applyFill="1">
      <alignment vertical="center"/>
    </xf>
    <xf numFmtId="10" fontId="0" fillId="0" borderId="0" xfId="0" applyNumberFormat="1" applyFill="1">
      <alignment vertical="center"/>
    </xf>
    <xf numFmtId="189" fontId="0" fillId="0" borderId="0" xfId="2" applyNumberFormat="1" applyFont="1">
      <alignment vertical="center"/>
    </xf>
    <xf numFmtId="187" fontId="0" fillId="0" borderId="0" xfId="0" applyNumberFormat="1">
      <alignment vertical="center"/>
    </xf>
    <xf numFmtId="190" fontId="0" fillId="0" borderId="0" xfId="2" applyNumberFormat="1" applyFont="1">
      <alignment vertical="center"/>
    </xf>
    <xf numFmtId="181" fontId="0" fillId="0" borderId="0" xfId="1" applyNumberFormat="1" applyFont="1" applyFill="1">
      <alignment vertical="center"/>
    </xf>
    <xf numFmtId="191" fontId="0" fillId="0" borderId="0" xfId="0" applyNumberFormat="1">
      <alignment vertical="center"/>
    </xf>
    <xf numFmtId="179" fontId="0" fillId="0" borderId="0" xfId="1" applyNumberFormat="1" applyFont="1" applyFill="1">
      <alignment vertical="center"/>
    </xf>
    <xf numFmtId="192" fontId="0" fillId="0" borderId="0" xfId="0" applyNumberFormat="1">
      <alignment vertical="center"/>
    </xf>
    <xf numFmtId="193" fontId="7" fillId="0" borderId="0" xfId="3" applyNumberFormat="1"/>
    <xf numFmtId="14" fontId="0" fillId="2" borderId="0" xfId="0" applyNumberFormat="1" applyFill="1">
      <alignment vertical="center"/>
    </xf>
    <xf numFmtId="177" fontId="0" fillId="0" borderId="0" xfId="0" applyNumberFormat="1" applyFill="1">
      <alignment vertical="center"/>
    </xf>
    <xf numFmtId="193" fontId="8" fillId="0" borderId="0" xfId="3" applyNumberFormat="1" applyFont="1"/>
  </cellXfs>
  <cellStyles count="4">
    <cellStyle name="Normal 2" xfId="3"/>
    <cellStyle name="パーセント" xfId="1" builtinId="5"/>
    <cellStyle name="桁区切り" xfId="2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101566285754367E-2"/>
          <c:y val="6.061029903756817E-2"/>
          <c:w val="0.83737687677458283"/>
          <c:h val="0.83275619472427198"/>
        </c:manualLayout>
      </c:layout>
      <c:scatterChart>
        <c:scatterStyle val="lineMarker"/>
        <c:varyColors val="0"/>
        <c:ser>
          <c:idx val="0"/>
          <c:order val="0"/>
          <c:tx>
            <c:v>円ゼロイールド（テキストブックスタイル）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'試算番号1-1'!$G$10:$G$123</c:f>
              <c:numCache>
                <c:formatCode>0.000_ </c:formatCode>
                <c:ptCount val="114"/>
                <c:pt idx="0">
                  <c:v>0</c:v>
                </c:pt>
                <c:pt idx="1">
                  <c:v>1.9178082191780823E-2</c:v>
                </c:pt>
                <c:pt idx="2">
                  <c:v>8.3333333333333329E-2</c:v>
                </c:pt>
                <c:pt idx="3">
                  <c:v>0.16666666666666666</c:v>
                </c:pt>
                <c:pt idx="4">
                  <c:v>0.25</c:v>
                </c:pt>
                <c:pt idx="5">
                  <c:v>0.5</c:v>
                </c:pt>
                <c:pt idx="6" formatCode="0.00_ ">
                  <c:v>0.75</c:v>
                </c:pt>
                <c:pt idx="7">
                  <c:v>1</c:v>
                </c:pt>
                <c:pt idx="8" formatCode="0.00_ ">
                  <c:v>1.25</c:v>
                </c:pt>
                <c:pt idx="9" formatCode="0.00_ ">
                  <c:v>1.5</c:v>
                </c:pt>
                <c:pt idx="10" formatCode="0.00_ ">
                  <c:v>1.75</c:v>
                </c:pt>
                <c:pt idx="11" formatCode="0.00_ ">
                  <c:v>2</c:v>
                </c:pt>
                <c:pt idx="12" formatCode="0.00_ ">
                  <c:v>2.25</c:v>
                </c:pt>
                <c:pt idx="13" formatCode="0.00_ ">
                  <c:v>2.5</c:v>
                </c:pt>
                <c:pt idx="14" formatCode="0.00_ ">
                  <c:v>2.75</c:v>
                </c:pt>
                <c:pt idx="15" formatCode="0.00_ ">
                  <c:v>3</c:v>
                </c:pt>
                <c:pt idx="16" formatCode="0.00_ ">
                  <c:v>3.25</c:v>
                </c:pt>
                <c:pt idx="17" formatCode="0.00_ ">
                  <c:v>3.5</c:v>
                </c:pt>
                <c:pt idx="18" formatCode="0.00_ ">
                  <c:v>3.75</c:v>
                </c:pt>
                <c:pt idx="19" formatCode="0.00_ ">
                  <c:v>4</c:v>
                </c:pt>
                <c:pt idx="20" formatCode="0.00_ ">
                  <c:v>4.25</c:v>
                </c:pt>
                <c:pt idx="21" formatCode="0.00_ ">
                  <c:v>4.5</c:v>
                </c:pt>
                <c:pt idx="22" formatCode="0.00_ ">
                  <c:v>4.75</c:v>
                </c:pt>
                <c:pt idx="23" formatCode="0.00_ ">
                  <c:v>5</c:v>
                </c:pt>
                <c:pt idx="24" formatCode="0.00_ ">
                  <c:v>5.25</c:v>
                </c:pt>
                <c:pt idx="25" formatCode="0.00_ ">
                  <c:v>5.5</c:v>
                </c:pt>
                <c:pt idx="26" formatCode="0.00_ ">
                  <c:v>5.75</c:v>
                </c:pt>
                <c:pt idx="27" formatCode="0.00_ ">
                  <c:v>6</c:v>
                </c:pt>
                <c:pt idx="28" formatCode="0.00_ ">
                  <c:v>6.25</c:v>
                </c:pt>
                <c:pt idx="29" formatCode="0.00_ ">
                  <c:v>6.5</c:v>
                </c:pt>
                <c:pt idx="30" formatCode="0.00_ ">
                  <c:v>6.75</c:v>
                </c:pt>
                <c:pt idx="31" formatCode="0.00_ ">
                  <c:v>7</c:v>
                </c:pt>
                <c:pt idx="32" formatCode="0.00_ ">
                  <c:v>7.25</c:v>
                </c:pt>
                <c:pt idx="33" formatCode="0.00_ ">
                  <c:v>7.5</c:v>
                </c:pt>
                <c:pt idx="34" formatCode="0.00_ ">
                  <c:v>7.75</c:v>
                </c:pt>
                <c:pt idx="35" formatCode="0.00_ ">
                  <c:v>8</c:v>
                </c:pt>
                <c:pt idx="36" formatCode="0.00_ ">
                  <c:v>8.25</c:v>
                </c:pt>
                <c:pt idx="37" formatCode="0.00_ ">
                  <c:v>8.5</c:v>
                </c:pt>
                <c:pt idx="38" formatCode="0.00_ ">
                  <c:v>8.75</c:v>
                </c:pt>
                <c:pt idx="39" formatCode="0.00_ ">
                  <c:v>9</c:v>
                </c:pt>
                <c:pt idx="40" formatCode="0.00_ ">
                  <c:v>9.25</c:v>
                </c:pt>
                <c:pt idx="41" formatCode="0.00_ ">
                  <c:v>9.5</c:v>
                </c:pt>
                <c:pt idx="42" formatCode="0.00_ ">
                  <c:v>9.75</c:v>
                </c:pt>
                <c:pt idx="43" formatCode="0.00_ ">
                  <c:v>10</c:v>
                </c:pt>
                <c:pt idx="44" formatCode="0.00_ ">
                  <c:v>10.25</c:v>
                </c:pt>
                <c:pt idx="45" formatCode="0.00_ ">
                  <c:v>10.5</c:v>
                </c:pt>
                <c:pt idx="46" formatCode="0.00_ ">
                  <c:v>10.75</c:v>
                </c:pt>
                <c:pt idx="47" formatCode="0.00_ ">
                  <c:v>11</c:v>
                </c:pt>
                <c:pt idx="48" formatCode="0.00_ ">
                  <c:v>11.25</c:v>
                </c:pt>
                <c:pt idx="49" formatCode="0.00_ ">
                  <c:v>11.5</c:v>
                </c:pt>
                <c:pt idx="50" formatCode="0.00_ ">
                  <c:v>11.75</c:v>
                </c:pt>
                <c:pt idx="51" formatCode="0.00_ ">
                  <c:v>12</c:v>
                </c:pt>
                <c:pt idx="52" formatCode="0.00_ ">
                  <c:v>12.25</c:v>
                </c:pt>
                <c:pt idx="53" formatCode="0.00_ ">
                  <c:v>12.5</c:v>
                </c:pt>
                <c:pt idx="54" formatCode="0.00_ ">
                  <c:v>12.75</c:v>
                </c:pt>
                <c:pt idx="55" formatCode="0.00_ ">
                  <c:v>13</c:v>
                </c:pt>
                <c:pt idx="56" formatCode="0.00_ ">
                  <c:v>13.25</c:v>
                </c:pt>
                <c:pt idx="57" formatCode="0.00_ ">
                  <c:v>13.5</c:v>
                </c:pt>
                <c:pt idx="58" formatCode="0.00_ ">
                  <c:v>13.75</c:v>
                </c:pt>
                <c:pt idx="59" formatCode="0.00_ ">
                  <c:v>14</c:v>
                </c:pt>
                <c:pt idx="60" formatCode="0.00_ ">
                  <c:v>14.25</c:v>
                </c:pt>
                <c:pt idx="61" formatCode="0.00_ ">
                  <c:v>14.5</c:v>
                </c:pt>
                <c:pt idx="62" formatCode="0.00_ ">
                  <c:v>14.75</c:v>
                </c:pt>
                <c:pt idx="63" formatCode="0.00_ ">
                  <c:v>15</c:v>
                </c:pt>
                <c:pt idx="64" formatCode="0.00_ ">
                  <c:v>15.25</c:v>
                </c:pt>
                <c:pt idx="65" formatCode="0.00_ ">
                  <c:v>15.5</c:v>
                </c:pt>
                <c:pt idx="66" formatCode="0.00_ ">
                  <c:v>15.75</c:v>
                </c:pt>
                <c:pt idx="67" formatCode="0.00_ ">
                  <c:v>16</c:v>
                </c:pt>
                <c:pt idx="68" formatCode="0.00_ ">
                  <c:v>16.25</c:v>
                </c:pt>
                <c:pt idx="69" formatCode="0.00_ ">
                  <c:v>16.5</c:v>
                </c:pt>
                <c:pt idx="70" formatCode="0.00_ ">
                  <c:v>16.75</c:v>
                </c:pt>
                <c:pt idx="71" formatCode="0.00_ ">
                  <c:v>17</c:v>
                </c:pt>
                <c:pt idx="72" formatCode="0.00_ ">
                  <c:v>17.25</c:v>
                </c:pt>
                <c:pt idx="73" formatCode="0.00_ ">
                  <c:v>17.5</c:v>
                </c:pt>
                <c:pt idx="74" formatCode="0.00_ ">
                  <c:v>17.75</c:v>
                </c:pt>
                <c:pt idx="75" formatCode="0.00_ ">
                  <c:v>18</c:v>
                </c:pt>
                <c:pt idx="76" formatCode="0.00_ ">
                  <c:v>18.25</c:v>
                </c:pt>
                <c:pt idx="77" formatCode="0.00_ ">
                  <c:v>18.5</c:v>
                </c:pt>
                <c:pt idx="78" formatCode="0.00_ ">
                  <c:v>18.75</c:v>
                </c:pt>
                <c:pt idx="79" formatCode="0.00_ ">
                  <c:v>19</c:v>
                </c:pt>
                <c:pt idx="80" formatCode="0.00_ ">
                  <c:v>19.25</c:v>
                </c:pt>
                <c:pt idx="81" formatCode="0.00_ ">
                  <c:v>19.5</c:v>
                </c:pt>
                <c:pt idx="82" formatCode="0.00_ ">
                  <c:v>19.75</c:v>
                </c:pt>
                <c:pt idx="83" formatCode="0.00_ ">
                  <c:v>20</c:v>
                </c:pt>
                <c:pt idx="84" formatCode="0.00_ ">
                  <c:v>20.25</c:v>
                </c:pt>
                <c:pt idx="85" formatCode="0.00_ ">
                  <c:v>20.5</c:v>
                </c:pt>
                <c:pt idx="86" formatCode="0.00_ ">
                  <c:v>20.75</c:v>
                </c:pt>
                <c:pt idx="87" formatCode="0.00_ ">
                  <c:v>21</c:v>
                </c:pt>
                <c:pt idx="88" formatCode="0.00_ ">
                  <c:v>21.25</c:v>
                </c:pt>
                <c:pt idx="89" formatCode="0.00_ ">
                  <c:v>21.5</c:v>
                </c:pt>
                <c:pt idx="90" formatCode="0.00_ ">
                  <c:v>21.75</c:v>
                </c:pt>
                <c:pt idx="91" formatCode="0.00_ ">
                  <c:v>22</c:v>
                </c:pt>
                <c:pt idx="92" formatCode="0.00_ ">
                  <c:v>22.25</c:v>
                </c:pt>
                <c:pt idx="93" formatCode="0.00_ ">
                  <c:v>22.5</c:v>
                </c:pt>
                <c:pt idx="94" formatCode="0.00_ ">
                  <c:v>22.75</c:v>
                </c:pt>
                <c:pt idx="95" formatCode="0.00_ ">
                  <c:v>23</c:v>
                </c:pt>
                <c:pt idx="96" formatCode="0.00_ ">
                  <c:v>23.25</c:v>
                </c:pt>
                <c:pt idx="97" formatCode="0.00_ ">
                  <c:v>23.5</c:v>
                </c:pt>
                <c:pt idx="98" formatCode="0.00_ ">
                  <c:v>23.75</c:v>
                </c:pt>
                <c:pt idx="99" formatCode="0.00_ ">
                  <c:v>24</c:v>
                </c:pt>
                <c:pt idx="100" formatCode="0.00_ ">
                  <c:v>24.25</c:v>
                </c:pt>
                <c:pt idx="101" formatCode="0.00_ ">
                  <c:v>24.5</c:v>
                </c:pt>
                <c:pt idx="102" formatCode="0.00_ ">
                  <c:v>24.75</c:v>
                </c:pt>
                <c:pt idx="103" formatCode="0.00_ ">
                  <c:v>25</c:v>
                </c:pt>
                <c:pt idx="104" formatCode="0.00_ ">
                  <c:v>25.25</c:v>
                </c:pt>
                <c:pt idx="105" formatCode="0.00_ ">
                  <c:v>25.5</c:v>
                </c:pt>
                <c:pt idx="106" formatCode="0.00_ ">
                  <c:v>25.75</c:v>
                </c:pt>
                <c:pt idx="107" formatCode="0.00_ ">
                  <c:v>26</c:v>
                </c:pt>
                <c:pt idx="108" formatCode="0.00_ ">
                  <c:v>26.25</c:v>
                </c:pt>
                <c:pt idx="109" formatCode="0.00_ ">
                  <c:v>26.5</c:v>
                </c:pt>
                <c:pt idx="110" formatCode="0.00_ ">
                  <c:v>26.75</c:v>
                </c:pt>
                <c:pt idx="111" formatCode="0.00_ ">
                  <c:v>27</c:v>
                </c:pt>
                <c:pt idx="112" formatCode="0.00_ ">
                  <c:v>27.25</c:v>
                </c:pt>
                <c:pt idx="113" formatCode="0.00_ ">
                  <c:v>27.5</c:v>
                </c:pt>
              </c:numCache>
            </c:numRef>
          </c:xVal>
          <c:yVal>
            <c:numRef>
              <c:f>'試算番号1-1'!$N$10:$N$133</c:f>
              <c:numCache>
                <c:formatCode>0.00%</c:formatCode>
                <c:ptCount val="124"/>
                <c:pt idx="0">
                  <c:v>1.0356897142176187E-3</c:v>
                </c:pt>
                <c:pt idx="1">
                  <c:v>1.0356897142176187E-3</c:v>
                </c:pt>
                <c:pt idx="2">
                  <c:v>1.2013398639335396E-3</c:v>
                </c:pt>
                <c:pt idx="3">
                  <c:v>1.38554001092478E-3</c:v>
                </c:pt>
                <c:pt idx="4">
                  <c:v>1.5426025089458986E-3</c:v>
                </c:pt>
                <c:pt idx="5">
                  <c:v>2.4199353875282424E-3</c:v>
                </c:pt>
                <c:pt idx="6">
                  <c:v>3.7081995048784699E-3</c:v>
                </c:pt>
                <c:pt idx="7">
                  <c:v>4.3548040614796359E-3</c:v>
                </c:pt>
                <c:pt idx="8">
                  <c:v>3.2437889627492042E-3</c:v>
                </c:pt>
                <c:pt idx="9">
                  <c:v>2.5031722394022468E-3</c:v>
                </c:pt>
                <c:pt idx="10">
                  <c:v>2.5711022156106223E-3</c:v>
                </c:pt>
                <c:pt idx="11">
                  <c:v>2.6223271714965915E-3</c:v>
                </c:pt>
                <c:pt idx="12">
                  <c:v>2.7334919318080871E-3</c:v>
                </c:pt>
                <c:pt idx="13">
                  <c:v>2.8227521563371936E-3</c:v>
                </c:pt>
                <c:pt idx="14">
                  <c:v>2.9319272839465312E-3</c:v>
                </c:pt>
                <c:pt idx="15">
                  <c:v>3.0232441880532475E-3</c:v>
                </c:pt>
                <c:pt idx="16">
                  <c:v>3.1783155963468657E-3</c:v>
                </c:pt>
                <c:pt idx="17">
                  <c:v>3.3116879694096079E-3</c:v>
                </c:pt>
                <c:pt idx="18">
                  <c:v>3.4654121445861692E-3</c:v>
                </c:pt>
                <c:pt idx="19">
                  <c:v>3.6004145675583108E-3</c:v>
                </c:pt>
                <c:pt idx="20">
                  <c:v>3.8347221258368683E-3</c:v>
                </c:pt>
                <c:pt idx="21">
                  <c:v>4.0437958012986301E-3</c:v>
                </c:pt>
                <c:pt idx="22">
                  <c:v>4.2770997812327906E-3</c:v>
                </c:pt>
                <c:pt idx="23">
                  <c:v>4.4879734241568721E-3</c:v>
                </c:pt>
                <c:pt idx="24">
                  <c:v>4.7635944885173233E-3</c:v>
                </c:pt>
                <c:pt idx="25">
                  <c:v>5.0153621440186804E-3</c:v>
                </c:pt>
                <c:pt idx="26">
                  <c:v>5.2905307100097523E-3</c:v>
                </c:pt>
                <c:pt idx="27">
                  <c:v>5.5441129149258264E-3</c:v>
                </c:pt>
                <c:pt idx="28">
                  <c:v>5.847222820872475E-3</c:v>
                </c:pt>
                <c:pt idx="29">
                  <c:v>6.1286776386760772E-3</c:v>
                </c:pt>
                <c:pt idx="30">
                  <c:v>6.4318610609834133E-3</c:v>
                </c:pt>
                <c:pt idx="31">
                  <c:v>6.7152246387127777E-3</c:v>
                </c:pt>
                <c:pt idx="32">
                  <c:v>6.9987577359565054E-3</c:v>
                </c:pt>
                <c:pt idx="33">
                  <c:v>7.2652550523888684E-3</c:v>
                </c:pt>
                <c:pt idx="34">
                  <c:v>7.5491792217304652E-3</c:v>
                </c:pt>
                <c:pt idx="35">
                  <c:v>7.8173830277249046E-3</c:v>
                </c:pt>
                <c:pt idx="36">
                  <c:v>8.1018587592588051E-3</c:v>
                </c:pt>
                <c:pt idx="37">
                  <c:v>8.3717866099297638E-3</c:v>
                </c:pt>
                <c:pt idx="38">
                  <c:v>8.6569648314347037E-3</c:v>
                </c:pt>
                <c:pt idx="39">
                  <c:v>8.9286497260816743E-3</c:v>
                </c:pt>
                <c:pt idx="40">
                  <c:v>9.2011905559655563E-3</c:v>
                </c:pt>
                <c:pt idx="41">
                  <c:v>9.4617766601512755E-3</c:v>
                </c:pt>
                <c:pt idx="42">
                  <c:v>9.7352138882429076E-3</c:v>
                </c:pt>
                <c:pt idx="43">
                  <c:v>9.9975236182739628E-3</c:v>
                </c:pt>
                <c:pt idx="44">
                  <c:v>1.0254955859603846E-2</c:v>
                </c:pt>
                <c:pt idx="45">
                  <c:v>1.0502656668241891E-2</c:v>
                </c:pt>
                <c:pt idx="46">
                  <c:v>1.0761108442684275E-2</c:v>
                </c:pt>
                <c:pt idx="47">
                  <c:v>1.1010481698823781E-2</c:v>
                </c:pt>
                <c:pt idx="48">
                  <c:v>1.1270063222967834E-2</c:v>
                </c:pt>
                <c:pt idx="49">
                  <c:v>1.1521172996647813E-2</c:v>
                </c:pt>
                <c:pt idx="50">
                  <c:v>1.1781994719061176E-2</c:v>
                </c:pt>
                <c:pt idx="51">
                  <c:v>1.203491169336289E-2</c:v>
                </c:pt>
                <c:pt idx="52">
                  <c:v>1.2279624864885255E-2</c:v>
                </c:pt>
                <c:pt idx="53">
                  <c:v>1.2517453168097024E-2</c:v>
                </c:pt>
                <c:pt idx="54">
                  <c:v>1.276346844923844E-2</c:v>
                </c:pt>
                <c:pt idx="55">
                  <c:v>1.3003060926795772E-2</c:v>
                </c:pt>
                <c:pt idx="56">
                  <c:v>1.3250478787749953E-2</c:v>
                </c:pt>
                <c:pt idx="57">
                  <c:v>1.3491911455776542E-2</c:v>
                </c:pt>
                <c:pt idx="58">
                  <c:v>1.3740834705410978E-2</c:v>
                </c:pt>
                <c:pt idx="59">
                  <c:v>1.3984189076567502E-2</c:v>
                </c:pt>
                <c:pt idx="60">
                  <c:v>1.423472336046221E-2</c:v>
                </c:pt>
                <c:pt idx="61">
                  <c:v>1.4480086542811767E-2</c:v>
                </c:pt>
                <c:pt idx="62">
                  <c:v>1.4732340833009555E-2</c:v>
                </c:pt>
                <c:pt idx="63">
                  <c:v>1.4979805692473662E-2</c:v>
                </c:pt>
                <c:pt idx="64">
                  <c:v>1.5147372465236154E-2</c:v>
                </c:pt>
                <c:pt idx="65">
                  <c:v>1.5312111029259915E-2</c:v>
                </c:pt>
                <c:pt idx="66">
                  <c:v>1.5480739596345451E-2</c:v>
                </c:pt>
                <c:pt idx="67">
                  <c:v>1.5646743260730955E-2</c:v>
                </c:pt>
                <c:pt idx="68">
                  <c:v>1.581647958618174E-2</c:v>
                </c:pt>
                <c:pt idx="69">
                  <c:v>1.5983786718085882E-2</c:v>
                </c:pt>
                <c:pt idx="70">
                  <c:v>1.6154679084051844E-2</c:v>
                </c:pt>
                <c:pt idx="71">
                  <c:v>1.6323331238302957E-2</c:v>
                </c:pt>
                <c:pt idx="72">
                  <c:v>1.6495430306399023E-2</c:v>
                </c:pt>
                <c:pt idx="73">
                  <c:v>1.6665472205144596E-2</c:v>
                </c:pt>
                <c:pt idx="74">
                  <c:v>1.6838831099718524E-2</c:v>
                </c:pt>
                <c:pt idx="75">
                  <c:v>1.701031064635132E-2</c:v>
                </c:pt>
                <c:pt idx="76">
                  <c:v>1.7184985058009025E-2</c:v>
                </c:pt>
                <c:pt idx="77">
                  <c:v>1.735795338192573E-2</c:v>
                </c:pt>
                <c:pt idx="78">
                  <c:v>1.7534001690326768E-2</c:v>
                </c:pt>
                <c:pt idx="79">
                  <c:v>1.7708513220071487E-2</c:v>
                </c:pt>
                <c:pt idx="80">
                  <c:v>1.7885996635547404E-2</c:v>
                </c:pt>
                <c:pt idx="81">
                  <c:v>1.8062109198702991E-2</c:v>
                </c:pt>
                <c:pt idx="82">
                  <c:v>1.8241091922705142E-2</c:v>
                </c:pt>
                <c:pt idx="83">
                  <c:v>1.8418866871570617E-2</c:v>
                </c:pt>
                <c:pt idx="84">
                  <c:v>1.8495489684608252E-2</c:v>
                </c:pt>
                <c:pt idx="85">
                  <c:v>1.8572103905978254E-2</c:v>
                </c:pt>
                <c:pt idx="86">
                  <c:v>1.864944224268995E-2</c:v>
                </c:pt>
                <c:pt idx="87">
                  <c:v>1.8726809690709993E-2</c:v>
                </c:pt>
                <c:pt idx="88">
                  <c:v>1.8804861812495653E-2</c:v>
                </c:pt>
                <c:pt idx="89">
                  <c:v>1.8882980451081412E-2</c:v>
                </c:pt>
                <c:pt idx="90">
                  <c:v>1.8961746570778003E-2</c:v>
                </c:pt>
                <c:pt idx="91">
                  <c:v>1.9040616341296765E-2</c:v>
                </c:pt>
                <c:pt idx="92">
                  <c:v>1.9120098477520144E-2</c:v>
                </c:pt>
                <c:pt idx="93">
                  <c:v>1.9199721156667772E-2</c:v>
                </c:pt>
                <c:pt idx="94">
                  <c:v>1.9279923011388391E-2</c:v>
                </c:pt>
                <c:pt idx="95">
                  <c:v>1.9360302091573967E-2</c:v>
                </c:pt>
                <c:pt idx="96">
                  <c:v>1.9441228947701363E-2</c:v>
                </c:pt>
                <c:pt idx="97">
                  <c:v>1.9522369536888112E-2</c:v>
                </c:pt>
                <c:pt idx="98">
                  <c:v>1.9604028173201185E-2</c:v>
                </c:pt>
                <c:pt idx="99">
                  <c:v>1.9685936911678189E-2</c:v>
                </c:pt>
                <c:pt idx="100">
                  <c:v>1.9768335532897956E-2</c:v>
                </c:pt>
                <c:pt idx="101">
                  <c:v>1.9851020524889101E-2</c:v>
                </c:pt>
                <c:pt idx="102">
                  <c:v>1.9934168705069016E-2</c:v>
                </c:pt>
                <c:pt idx="103">
                  <c:v>2.0017639463442441E-2</c:v>
                </c:pt>
                <c:pt idx="104">
                  <c:v>2.0052088866262304E-2</c:v>
                </c:pt>
                <c:pt idx="105">
                  <c:v>2.0087224002353708E-2</c:v>
                </c:pt>
                <c:pt idx="106">
                  <c:v>2.0122176269410701E-2</c:v>
                </c:pt>
                <c:pt idx="107">
                  <c:v>2.0157813186786E-2</c:v>
                </c:pt>
                <c:pt idx="108">
                  <c:v>2.0193257880562109E-2</c:v>
                </c:pt>
                <c:pt idx="109">
                  <c:v>2.022938677158987E-2</c:v>
                </c:pt>
                <c:pt idx="110">
                  <c:v>2.0265314714975693E-2</c:v>
                </c:pt>
                <c:pt idx="111">
                  <c:v>2.0301926985189692E-2</c:v>
                </c:pt>
                <c:pt idx="112">
                  <c:v>2.0338330161962553E-2</c:v>
                </c:pt>
                <c:pt idx="113">
                  <c:v>2.0375418336217078E-2</c:v>
                </c:pt>
                <c:pt idx="114">
                  <c:v>2.0412289802875148E-2</c:v>
                </c:pt>
                <c:pt idx="115">
                  <c:v>2.0449847442166953E-2</c:v>
                </c:pt>
                <c:pt idx="116">
                  <c:v>2.0487181249750543E-2</c:v>
                </c:pt>
                <c:pt idx="117">
                  <c:v>2.0525202877436602E-2</c:v>
                </c:pt>
                <c:pt idx="118">
                  <c:v>2.0562994002159329E-2</c:v>
                </c:pt>
                <c:pt idx="119">
                  <c:v>2.0601475038475682E-2</c:v>
                </c:pt>
                <c:pt idx="120">
                  <c:v>2.0639719320150664E-2</c:v>
                </c:pt>
                <c:pt idx="121">
                  <c:v>2.0678656024087666E-2</c:v>
                </c:pt>
                <c:pt idx="122">
                  <c:v>2.0717350111471602E-2</c:v>
                </c:pt>
                <c:pt idx="123">
                  <c:v>2.0756739529188231E-2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80288"/>
        <c:axId val="233780864"/>
      </c:scatterChart>
      <c:valAx>
        <c:axId val="233780288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33780864"/>
        <c:crosses val="autoZero"/>
        <c:crossBetween val="midCat"/>
      </c:valAx>
      <c:valAx>
        <c:axId val="23378086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3780288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16745315200254859"/>
          <c:y val="0.10682728202864318"/>
          <c:w val="0.50910783219641764"/>
          <c:h val="8.3648856413232192E-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ドルゼロイールド（テキストブックスタイル）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'試算番号1-2'!$G$10:$G$123</c:f>
              <c:numCache>
                <c:formatCode>0.000_ </c:formatCode>
                <c:ptCount val="114"/>
                <c:pt idx="0">
                  <c:v>0</c:v>
                </c:pt>
                <c:pt idx="1">
                  <c:v>1.9178082191780823E-2</c:v>
                </c:pt>
                <c:pt idx="2">
                  <c:v>8.3333333333333329E-2</c:v>
                </c:pt>
                <c:pt idx="3">
                  <c:v>0.16666666666666666</c:v>
                </c:pt>
                <c:pt idx="4">
                  <c:v>0.25</c:v>
                </c:pt>
                <c:pt idx="5">
                  <c:v>0.5</c:v>
                </c:pt>
                <c:pt idx="6" formatCode="0.00_ ">
                  <c:v>0.75</c:v>
                </c:pt>
                <c:pt idx="7">
                  <c:v>1</c:v>
                </c:pt>
                <c:pt idx="8" formatCode="0.00_ ">
                  <c:v>1.25</c:v>
                </c:pt>
                <c:pt idx="9" formatCode="0.00_ ">
                  <c:v>1.5</c:v>
                </c:pt>
                <c:pt idx="10" formatCode="0.00_ ">
                  <c:v>1.75</c:v>
                </c:pt>
                <c:pt idx="11" formatCode="0.00_ ">
                  <c:v>2</c:v>
                </c:pt>
                <c:pt idx="12" formatCode="0.00_ ">
                  <c:v>2.25</c:v>
                </c:pt>
                <c:pt idx="13" formatCode="0.00_ ">
                  <c:v>2.5</c:v>
                </c:pt>
                <c:pt idx="14" formatCode="0.00_ ">
                  <c:v>2.75</c:v>
                </c:pt>
                <c:pt idx="15" formatCode="0.00_ ">
                  <c:v>3</c:v>
                </c:pt>
                <c:pt idx="16" formatCode="0.00_ ">
                  <c:v>3.25</c:v>
                </c:pt>
                <c:pt idx="17" formatCode="0.00_ ">
                  <c:v>3.5</c:v>
                </c:pt>
                <c:pt idx="18" formatCode="0.00_ ">
                  <c:v>3.75</c:v>
                </c:pt>
                <c:pt idx="19" formatCode="0.00_ ">
                  <c:v>4</c:v>
                </c:pt>
                <c:pt idx="20" formatCode="0.00_ ">
                  <c:v>4.25</c:v>
                </c:pt>
                <c:pt idx="21" formatCode="0.00_ ">
                  <c:v>4.5</c:v>
                </c:pt>
                <c:pt idx="22" formatCode="0.00_ ">
                  <c:v>4.75</c:v>
                </c:pt>
                <c:pt idx="23" formatCode="0.00_ ">
                  <c:v>5</c:v>
                </c:pt>
                <c:pt idx="24" formatCode="0.00_ ">
                  <c:v>5.25</c:v>
                </c:pt>
                <c:pt idx="25" formatCode="0.00_ ">
                  <c:v>5.5</c:v>
                </c:pt>
                <c:pt idx="26" formatCode="0.00_ ">
                  <c:v>5.75</c:v>
                </c:pt>
                <c:pt idx="27" formatCode="0.00_ ">
                  <c:v>6</c:v>
                </c:pt>
                <c:pt idx="28" formatCode="0.00_ ">
                  <c:v>6.25</c:v>
                </c:pt>
                <c:pt idx="29" formatCode="0.00_ ">
                  <c:v>6.5</c:v>
                </c:pt>
                <c:pt idx="30" formatCode="0.00_ ">
                  <c:v>6.75</c:v>
                </c:pt>
                <c:pt idx="31" formatCode="0.00_ ">
                  <c:v>7</c:v>
                </c:pt>
                <c:pt idx="32" formatCode="0.00_ ">
                  <c:v>7.25</c:v>
                </c:pt>
                <c:pt idx="33" formatCode="0.00_ ">
                  <c:v>7.5</c:v>
                </c:pt>
                <c:pt idx="34" formatCode="0.00_ ">
                  <c:v>7.75</c:v>
                </c:pt>
                <c:pt idx="35" formatCode="0.00_ ">
                  <c:v>8</c:v>
                </c:pt>
                <c:pt idx="36" formatCode="0.00_ ">
                  <c:v>8.25</c:v>
                </c:pt>
                <c:pt idx="37" formatCode="0.00_ ">
                  <c:v>8.5</c:v>
                </c:pt>
                <c:pt idx="38" formatCode="0.00_ ">
                  <c:v>8.75</c:v>
                </c:pt>
                <c:pt idx="39" formatCode="0.00_ ">
                  <c:v>9</c:v>
                </c:pt>
                <c:pt idx="40" formatCode="0.00_ ">
                  <c:v>9.25</c:v>
                </c:pt>
                <c:pt idx="41" formatCode="0.00_ ">
                  <c:v>9.5</c:v>
                </c:pt>
                <c:pt idx="42" formatCode="0.00_ ">
                  <c:v>9.75</c:v>
                </c:pt>
                <c:pt idx="43" formatCode="0.00_ ">
                  <c:v>10</c:v>
                </c:pt>
                <c:pt idx="44" formatCode="0.00_ ">
                  <c:v>10.25</c:v>
                </c:pt>
                <c:pt idx="45" formatCode="0.00_ ">
                  <c:v>10.5</c:v>
                </c:pt>
                <c:pt idx="46" formatCode="0.00_ ">
                  <c:v>10.75</c:v>
                </c:pt>
                <c:pt idx="47" formatCode="0.00_ ">
                  <c:v>11</c:v>
                </c:pt>
                <c:pt idx="48" formatCode="0.00_ ">
                  <c:v>11.25</c:v>
                </c:pt>
                <c:pt idx="49" formatCode="0.00_ ">
                  <c:v>11.5</c:v>
                </c:pt>
                <c:pt idx="50" formatCode="0.00_ ">
                  <c:v>11.75</c:v>
                </c:pt>
                <c:pt idx="51" formatCode="0.00_ ">
                  <c:v>12</c:v>
                </c:pt>
                <c:pt idx="52" formatCode="0.00_ ">
                  <c:v>12.25</c:v>
                </c:pt>
                <c:pt idx="53" formatCode="0.00_ ">
                  <c:v>12.5</c:v>
                </c:pt>
                <c:pt idx="54" formatCode="0.00_ ">
                  <c:v>12.75</c:v>
                </c:pt>
                <c:pt idx="55" formatCode="0.00_ ">
                  <c:v>13</c:v>
                </c:pt>
                <c:pt idx="56" formatCode="0.00_ ">
                  <c:v>13.25</c:v>
                </c:pt>
                <c:pt idx="57" formatCode="0.00_ ">
                  <c:v>13.5</c:v>
                </c:pt>
                <c:pt idx="58" formatCode="0.00_ ">
                  <c:v>13.75</c:v>
                </c:pt>
                <c:pt idx="59" formatCode="0.00_ ">
                  <c:v>14</c:v>
                </c:pt>
                <c:pt idx="60" formatCode="0.00_ ">
                  <c:v>14.25</c:v>
                </c:pt>
                <c:pt idx="61" formatCode="0.00_ ">
                  <c:v>14.5</c:v>
                </c:pt>
                <c:pt idx="62" formatCode="0.00_ ">
                  <c:v>14.75</c:v>
                </c:pt>
                <c:pt idx="63" formatCode="0.00_ ">
                  <c:v>15</c:v>
                </c:pt>
                <c:pt idx="64" formatCode="0.00_ ">
                  <c:v>15.25</c:v>
                </c:pt>
                <c:pt idx="65" formatCode="0.00_ ">
                  <c:v>15.5</c:v>
                </c:pt>
                <c:pt idx="66" formatCode="0.00_ ">
                  <c:v>15.75</c:v>
                </c:pt>
                <c:pt idx="67" formatCode="0.00_ ">
                  <c:v>16</c:v>
                </c:pt>
                <c:pt idx="68" formatCode="0.00_ ">
                  <c:v>16.25</c:v>
                </c:pt>
                <c:pt idx="69" formatCode="0.00_ ">
                  <c:v>16.5</c:v>
                </c:pt>
                <c:pt idx="70" formatCode="0.00_ ">
                  <c:v>16.75</c:v>
                </c:pt>
                <c:pt idx="71" formatCode="0.00_ ">
                  <c:v>17</c:v>
                </c:pt>
                <c:pt idx="72" formatCode="0.00_ ">
                  <c:v>17.25</c:v>
                </c:pt>
                <c:pt idx="73" formatCode="0.00_ ">
                  <c:v>17.5</c:v>
                </c:pt>
                <c:pt idx="74" formatCode="0.00_ ">
                  <c:v>17.75</c:v>
                </c:pt>
                <c:pt idx="75" formatCode="0.00_ ">
                  <c:v>18</c:v>
                </c:pt>
                <c:pt idx="76" formatCode="0.00_ ">
                  <c:v>18.25</c:v>
                </c:pt>
                <c:pt idx="77" formatCode="0.00_ ">
                  <c:v>18.5</c:v>
                </c:pt>
                <c:pt idx="78" formatCode="0.00_ ">
                  <c:v>18.75</c:v>
                </c:pt>
                <c:pt idx="79" formatCode="0.00_ ">
                  <c:v>19</c:v>
                </c:pt>
                <c:pt idx="80" formatCode="0.00_ ">
                  <c:v>19.25</c:v>
                </c:pt>
                <c:pt idx="81" formatCode="0.00_ ">
                  <c:v>19.5</c:v>
                </c:pt>
                <c:pt idx="82" formatCode="0.00_ ">
                  <c:v>19.75</c:v>
                </c:pt>
                <c:pt idx="83" formatCode="0.00_ ">
                  <c:v>20</c:v>
                </c:pt>
                <c:pt idx="84" formatCode="0.00_ ">
                  <c:v>20.25</c:v>
                </c:pt>
                <c:pt idx="85" formatCode="0.00_ ">
                  <c:v>20.5</c:v>
                </c:pt>
                <c:pt idx="86" formatCode="0.00_ ">
                  <c:v>20.75</c:v>
                </c:pt>
                <c:pt idx="87" formatCode="0.00_ ">
                  <c:v>21</c:v>
                </c:pt>
                <c:pt idx="88" formatCode="0.00_ ">
                  <c:v>21.25</c:v>
                </c:pt>
                <c:pt idx="89" formatCode="0.00_ ">
                  <c:v>21.5</c:v>
                </c:pt>
                <c:pt idx="90" formatCode="0.00_ ">
                  <c:v>21.75</c:v>
                </c:pt>
                <c:pt idx="91" formatCode="0.00_ ">
                  <c:v>22</c:v>
                </c:pt>
                <c:pt idx="92" formatCode="0.00_ ">
                  <c:v>22.25</c:v>
                </c:pt>
                <c:pt idx="93" formatCode="0.00_ ">
                  <c:v>22.5</c:v>
                </c:pt>
                <c:pt idx="94" formatCode="0.00_ ">
                  <c:v>22.75</c:v>
                </c:pt>
                <c:pt idx="95" formatCode="0.00_ ">
                  <c:v>23</c:v>
                </c:pt>
                <c:pt idx="96" formatCode="0.00_ ">
                  <c:v>23.25</c:v>
                </c:pt>
                <c:pt idx="97" formatCode="0.00_ ">
                  <c:v>23.5</c:v>
                </c:pt>
                <c:pt idx="98" formatCode="0.00_ ">
                  <c:v>23.75</c:v>
                </c:pt>
                <c:pt idx="99" formatCode="0.00_ ">
                  <c:v>24</c:v>
                </c:pt>
                <c:pt idx="100" formatCode="0.00_ ">
                  <c:v>24.25</c:v>
                </c:pt>
                <c:pt idx="101" formatCode="0.00_ ">
                  <c:v>24.5</c:v>
                </c:pt>
                <c:pt idx="102" formatCode="0.00_ ">
                  <c:v>24.75</c:v>
                </c:pt>
                <c:pt idx="103" formatCode="0.00_ ">
                  <c:v>25</c:v>
                </c:pt>
                <c:pt idx="104" formatCode="0.00_ ">
                  <c:v>25.25</c:v>
                </c:pt>
                <c:pt idx="105" formatCode="0.00_ ">
                  <c:v>25.5</c:v>
                </c:pt>
                <c:pt idx="106" formatCode="0.00_ ">
                  <c:v>25.75</c:v>
                </c:pt>
                <c:pt idx="107" formatCode="0.00_ ">
                  <c:v>26</c:v>
                </c:pt>
                <c:pt idx="108" formatCode="0.00_ ">
                  <c:v>26.25</c:v>
                </c:pt>
                <c:pt idx="109" formatCode="0.00_ ">
                  <c:v>26.5</c:v>
                </c:pt>
                <c:pt idx="110" formatCode="0.00_ ">
                  <c:v>26.75</c:v>
                </c:pt>
                <c:pt idx="111" formatCode="0.00_ ">
                  <c:v>27</c:v>
                </c:pt>
                <c:pt idx="112" formatCode="0.00_ ">
                  <c:v>27.25</c:v>
                </c:pt>
                <c:pt idx="113" formatCode="0.00_ ">
                  <c:v>27.5</c:v>
                </c:pt>
              </c:numCache>
            </c:numRef>
          </c:xVal>
          <c:yVal>
            <c:numRef>
              <c:f>'試算番号1-2'!$N$10:$N$133</c:f>
              <c:numCache>
                <c:formatCode>0.00%</c:formatCode>
                <c:ptCount val="124"/>
                <c:pt idx="0">
                  <c:v>1.590075755386107E-3</c:v>
                </c:pt>
                <c:pt idx="1">
                  <c:v>1.590075755386107E-3</c:v>
                </c:pt>
                <c:pt idx="2">
                  <c:v>1.9426427473114988E-3</c:v>
                </c:pt>
                <c:pt idx="3">
                  <c:v>2.2831655411528341E-3</c:v>
                </c:pt>
                <c:pt idx="4">
                  <c:v>2.7515534021951187E-3</c:v>
                </c:pt>
                <c:pt idx="5">
                  <c:v>4.1383156314320109E-3</c:v>
                </c:pt>
                <c:pt idx="6">
                  <c:v>5.9545056456587414E-3</c:v>
                </c:pt>
                <c:pt idx="7">
                  <c:v>6.8683587295990389E-3</c:v>
                </c:pt>
                <c:pt idx="8">
                  <c:v>5.1766987879339563E-3</c:v>
                </c:pt>
                <c:pt idx="9">
                  <c:v>4.049030781321422E-3</c:v>
                </c:pt>
                <c:pt idx="10">
                  <c:v>4.4735569096359647E-3</c:v>
                </c:pt>
                <c:pt idx="11">
                  <c:v>4.7934945402120805E-3</c:v>
                </c:pt>
                <c:pt idx="12">
                  <c:v>5.6131839462522726E-3</c:v>
                </c:pt>
                <c:pt idx="13">
                  <c:v>6.2726499238026732E-3</c:v>
                </c:pt>
                <c:pt idx="14">
                  <c:v>7.0791877564807095E-3</c:v>
                </c:pt>
                <c:pt idx="15">
                  <c:v>7.7560990720598822E-3</c:v>
                </c:pt>
                <c:pt idx="16">
                  <c:v>8.8283745762760338E-3</c:v>
                </c:pt>
                <c:pt idx="17">
                  <c:v>9.7559191282287506E-3</c:v>
                </c:pt>
                <c:pt idx="18">
                  <c:v>1.0822931698071771E-2</c:v>
                </c:pt>
                <c:pt idx="19">
                  <c:v>1.1767004238911619E-2</c:v>
                </c:pt>
                <c:pt idx="20">
                  <c:v>1.2836794283679571E-2</c:v>
                </c:pt>
                <c:pt idx="21">
                  <c:v>1.3800274071597417E-2</c:v>
                </c:pt>
                <c:pt idx="22">
                  <c:v>1.4871018358014016E-2</c:v>
                </c:pt>
                <c:pt idx="23">
                  <c:v>1.5849386788233829E-2</c:v>
                </c:pt>
                <c:pt idx="24">
                  <c:v>1.6788645285472931E-2</c:v>
                </c:pt>
                <c:pt idx="25">
                  <c:v>1.7657026425253224E-2</c:v>
                </c:pt>
                <c:pt idx="26">
                  <c:v>1.8600305507495096E-2</c:v>
                </c:pt>
                <c:pt idx="27">
                  <c:v>1.94812698187454E-2</c:v>
                </c:pt>
                <c:pt idx="28">
                  <c:v>2.0270079326780596E-2</c:v>
                </c:pt>
                <c:pt idx="29">
                  <c:v>2.1013134072012718E-2</c:v>
                </c:pt>
                <c:pt idx="30">
                  <c:v>2.1807083723878504E-2</c:v>
                </c:pt>
                <c:pt idx="31">
                  <c:v>2.2560584555990082E-2</c:v>
                </c:pt>
                <c:pt idx="32">
                  <c:v>2.3198882391285026E-2</c:v>
                </c:pt>
                <c:pt idx="33">
                  <c:v>2.380883004113481E-2</c:v>
                </c:pt>
                <c:pt idx="34">
                  <c:v>2.4452285829922538E-2</c:v>
                </c:pt>
                <c:pt idx="35">
                  <c:v>2.5070648905148225E-2</c:v>
                </c:pt>
                <c:pt idx="36">
                  <c:v>2.5609686596535015E-2</c:v>
                </c:pt>
                <c:pt idx="37">
                  <c:v>2.6130669112805417E-2</c:v>
                </c:pt>
                <c:pt idx="38">
                  <c:v>2.6674817390086664E-2</c:v>
                </c:pt>
                <c:pt idx="39">
                  <c:v>2.7203069883480008E-2</c:v>
                </c:pt>
                <c:pt idx="40">
                  <c:v>2.7665187793518842E-2</c:v>
                </c:pt>
                <c:pt idx="41">
                  <c:v>2.8116040404299093E-2</c:v>
                </c:pt>
                <c:pt idx="42">
                  <c:v>2.8583104566723944E-2</c:v>
                </c:pt>
                <c:pt idx="43">
                  <c:v>2.9040389221259177E-2</c:v>
                </c:pt>
                <c:pt idx="44">
                  <c:v>2.9411522058378159E-2</c:v>
                </c:pt>
                <c:pt idx="45">
                  <c:v>2.9776771199171256E-2</c:v>
                </c:pt>
                <c:pt idx="46">
                  <c:v>3.0152278644439857E-2</c:v>
                </c:pt>
                <c:pt idx="47">
                  <c:v>3.0522839696627849E-2</c:v>
                </c:pt>
                <c:pt idx="48">
                  <c:v>3.0902943551421966E-2</c:v>
                </c:pt>
                <c:pt idx="49">
                  <c:v>3.1278998013547075E-2</c:v>
                </c:pt>
                <c:pt idx="50">
                  <c:v>3.1663948020487928E-2</c:v>
                </c:pt>
                <c:pt idx="51">
                  <c:v>3.2045712893611626E-2</c:v>
                </c:pt>
                <c:pt idx="52">
                  <c:v>3.2274652099692949E-2</c:v>
                </c:pt>
                <c:pt idx="53">
                  <c:v>3.2503894915640902E-2</c:v>
                </c:pt>
                <c:pt idx="54">
                  <c:v>3.2736222849209948E-2</c:v>
                </c:pt>
                <c:pt idx="55">
                  <c:v>3.296917871026199E-2</c:v>
                </c:pt>
                <c:pt idx="56">
                  <c:v>3.3204928656082718E-2</c:v>
                </c:pt>
                <c:pt idx="57">
                  <c:v>3.3441626542796754E-2</c:v>
                </c:pt>
                <c:pt idx="58">
                  <c:v>3.3680853726833139E-2</c:v>
                </c:pt>
                <c:pt idx="59">
                  <c:v>3.3921345560557044E-2</c:v>
                </c:pt>
                <c:pt idx="60">
                  <c:v>3.4164125245298264E-2</c:v>
                </c:pt>
                <c:pt idx="61">
                  <c:v>3.440848403360245E-2</c:v>
                </c:pt>
                <c:pt idx="62">
                  <c:v>3.4654910192022013E-2</c:v>
                </c:pt>
                <c:pt idx="63">
                  <c:v>3.4903228738892421E-2</c:v>
                </c:pt>
                <c:pt idx="64">
                  <c:v>3.5003455305405023E-2</c:v>
                </c:pt>
                <c:pt idx="65">
                  <c:v>3.5107302966661771E-2</c:v>
                </c:pt>
                <c:pt idx="66">
                  <c:v>3.5209915569216363E-2</c:v>
                </c:pt>
                <c:pt idx="67">
                  <c:v>3.5316143358687768E-2</c:v>
                </c:pt>
                <c:pt idx="68">
                  <c:v>3.542107522082584E-2</c:v>
                </c:pt>
                <c:pt idx="69">
                  <c:v>3.5529624383485725E-2</c:v>
                </c:pt>
                <c:pt idx="70">
                  <c:v>3.5636823599926273E-2</c:v>
                </c:pt>
                <c:pt idx="71">
                  <c:v>3.574764938607633E-2</c:v>
                </c:pt>
                <c:pt idx="72">
                  <c:v>3.5857077175639955E-2</c:v>
                </c:pt>
                <c:pt idx="73">
                  <c:v>3.5970147261719251E-2</c:v>
                </c:pt>
                <c:pt idx="74">
                  <c:v>3.6081776541827371E-2</c:v>
                </c:pt>
                <c:pt idx="75">
                  <c:v>3.6197069742136948E-2</c:v>
                </c:pt>
                <c:pt idx="76">
                  <c:v>3.6310883966146477E-2</c:v>
                </c:pt>
                <c:pt idx="77">
                  <c:v>3.6428389183468142E-2</c:v>
                </c:pt>
                <c:pt idx="78">
                  <c:v>3.6544381394804176E-2</c:v>
                </c:pt>
                <c:pt idx="79">
                  <c:v>3.6664096769041907E-2</c:v>
                </c:pt>
                <c:pt idx="80">
                  <c:v>3.6782268835876888E-2</c:v>
                </c:pt>
                <c:pt idx="81">
                  <c:v>3.6904201058477706E-2</c:v>
                </c:pt>
                <c:pt idx="82">
                  <c:v>3.7024563060310912E-2</c:v>
                </c:pt>
                <c:pt idx="83">
                  <c:v>3.7148726828958659E-2</c:v>
                </c:pt>
                <c:pt idx="84">
                  <c:v>3.7227047341661629E-2</c:v>
                </c:pt>
                <c:pt idx="85">
                  <c:v>3.730928816850148E-2</c:v>
                </c:pt>
                <c:pt idx="86">
                  <c:v>3.7389418045343549E-2</c:v>
                </c:pt>
                <c:pt idx="87">
                  <c:v>3.7473455489855513E-2</c:v>
                </c:pt>
                <c:pt idx="88">
                  <c:v>3.7555379005183749E-2</c:v>
                </c:pt>
                <c:pt idx="89">
                  <c:v>3.7641202110635992E-2</c:v>
                </c:pt>
                <c:pt idx="90">
                  <c:v>3.7724909798951115E-2</c:v>
                </c:pt>
                <c:pt idx="91">
                  <c:v>3.7812513591696732E-2</c:v>
                </c:pt>
                <c:pt idx="92">
                  <c:v>3.7898001818755807E-2</c:v>
                </c:pt>
                <c:pt idx="93">
                  <c:v>3.7987386926147358E-2</c:v>
                </c:pt>
                <c:pt idx="94">
                  <c:v>3.8074657535300968E-2</c:v>
                </c:pt>
                <c:pt idx="95">
                  <c:v>3.816582987315334E-2</c:v>
                </c:pt>
                <c:pt idx="96">
                  <c:v>3.8254889897301685E-2</c:v>
                </c:pt>
                <c:pt idx="97">
                  <c:v>3.8347860418320411E-2</c:v>
                </c:pt>
                <c:pt idx="98">
                  <c:v>3.8438721849649686E-2</c:v>
                </c:pt>
                <c:pt idx="99">
                  <c:v>3.8533506345842315E-2</c:v>
                </c:pt>
                <c:pt idx="100">
                  <c:v>3.8626185956971378E-2</c:v>
                </c:pt>
                <c:pt idx="101">
                  <c:v>3.8722804910389215E-2</c:v>
                </c:pt>
                <c:pt idx="102">
                  <c:v>3.8817324121780857E-2</c:v>
                </c:pt>
                <c:pt idx="103">
                  <c:v>3.8915802599052404E-2</c:v>
                </c:pt>
                <c:pt idx="104">
                  <c:v>3.8887781096119838E-2</c:v>
                </c:pt>
                <c:pt idx="105">
                  <c:v>3.8863529711381579E-2</c:v>
                </c:pt>
                <c:pt idx="106">
                  <c:v>3.8836589514754279E-2</c:v>
                </c:pt>
                <c:pt idx="107">
                  <c:v>3.8813326677636879E-2</c:v>
                </c:pt>
                <c:pt idx="108">
                  <c:v>3.8787407271670127E-2</c:v>
                </c:pt>
                <c:pt idx="109">
                  <c:v>3.8765077115771304E-2</c:v>
                </c:pt>
                <c:pt idx="110">
                  <c:v>3.8740122472984279E-2</c:v>
                </c:pt>
                <c:pt idx="111">
                  <c:v>3.8718673278790403E-2</c:v>
                </c:pt>
                <c:pt idx="112">
                  <c:v>3.8694631451369491E-2</c:v>
                </c:pt>
                <c:pt idx="113">
                  <c:v>3.8674015270008584E-2</c:v>
                </c:pt>
                <c:pt idx="114">
                  <c:v>3.8650838025184583E-2</c:v>
                </c:pt>
                <c:pt idx="115">
                  <c:v>3.8631010342390311E-2</c:v>
                </c:pt>
                <c:pt idx="116">
                  <c:v>3.8608652836286096E-2</c:v>
                </c:pt>
                <c:pt idx="117">
                  <c:v>3.8589572271649733E-2</c:v>
                </c:pt>
                <c:pt idx="118">
                  <c:v>3.8567992756942684E-2</c:v>
                </c:pt>
                <c:pt idx="119">
                  <c:v>3.8549620794206964E-2</c:v>
                </c:pt>
                <c:pt idx="120">
                  <c:v>3.8528780357583933E-2</c:v>
                </c:pt>
                <c:pt idx="121">
                  <c:v>3.8511081102306458E-2</c:v>
                </c:pt>
                <c:pt idx="122">
                  <c:v>3.8490943428226468E-2</c:v>
                </c:pt>
                <c:pt idx="123">
                  <c:v>3.8473883389628497E-2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04480"/>
        <c:axId val="234005056"/>
      </c:scatterChart>
      <c:valAx>
        <c:axId val="234004480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34005056"/>
        <c:crosses val="autoZero"/>
        <c:crossBetween val="midCat"/>
      </c:valAx>
      <c:valAx>
        <c:axId val="2340050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004480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3029647626527074"/>
          <c:y val="7.422996888295906E-2"/>
          <c:w val="0.58120842577427256"/>
          <c:h val="6.5528998802013974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ユーロゼロイールド（テキストブックスタイル）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'試算番号1-3'!$G$10:$G$123</c:f>
              <c:numCache>
                <c:formatCode>0.000_ </c:formatCode>
                <c:ptCount val="114"/>
                <c:pt idx="0">
                  <c:v>0</c:v>
                </c:pt>
                <c:pt idx="1">
                  <c:v>1.9178082191780823E-2</c:v>
                </c:pt>
                <c:pt idx="2">
                  <c:v>8.3333333333333329E-2</c:v>
                </c:pt>
                <c:pt idx="3">
                  <c:v>0.16666666666666666</c:v>
                </c:pt>
                <c:pt idx="4">
                  <c:v>0.25</c:v>
                </c:pt>
                <c:pt idx="5">
                  <c:v>0.5</c:v>
                </c:pt>
                <c:pt idx="6" formatCode="0.00_ ">
                  <c:v>0.75</c:v>
                </c:pt>
                <c:pt idx="7">
                  <c:v>1</c:v>
                </c:pt>
                <c:pt idx="8" formatCode="0.00_ ">
                  <c:v>1.25</c:v>
                </c:pt>
                <c:pt idx="9" formatCode="0.00_ ">
                  <c:v>1.5</c:v>
                </c:pt>
                <c:pt idx="10" formatCode="0.00_ ">
                  <c:v>1.75</c:v>
                </c:pt>
                <c:pt idx="11" formatCode="0.00_ ">
                  <c:v>2</c:v>
                </c:pt>
                <c:pt idx="12" formatCode="0.00_ ">
                  <c:v>2.25</c:v>
                </c:pt>
                <c:pt idx="13" formatCode="0.00_ ">
                  <c:v>2.5</c:v>
                </c:pt>
                <c:pt idx="14" formatCode="0.00_ ">
                  <c:v>2.75</c:v>
                </c:pt>
                <c:pt idx="15" formatCode="0.00_ ">
                  <c:v>3</c:v>
                </c:pt>
                <c:pt idx="16" formatCode="0.00_ ">
                  <c:v>3.25</c:v>
                </c:pt>
                <c:pt idx="17" formatCode="0.00_ ">
                  <c:v>3.5</c:v>
                </c:pt>
                <c:pt idx="18" formatCode="0.00_ ">
                  <c:v>3.75</c:v>
                </c:pt>
                <c:pt idx="19" formatCode="0.00_ ">
                  <c:v>4</c:v>
                </c:pt>
                <c:pt idx="20" formatCode="0.00_ ">
                  <c:v>4.25</c:v>
                </c:pt>
                <c:pt idx="21" formatCode="0.00_ ">
                  <c:v>4.5</c:v>
                </c:pt>
                <c:pt idx="22" formatCode="0.00_ ">
                  <c:v>4.75</c:v>
                </c:pt>
                <c:pt idx="23" formatCode="0.00_ ">
                  <c:v>5</c:v>
                </c:pt>
                <c:pt idx="24" formatCode="0.00_ ">
                  <c:v>5.25</c:v>
                </c:pt>
                <c:pt idx="25" formatCode="0.00_ ">
                  <c:v>5.5</c:v>
                </c:pt>
                <c:pt idx="26" formatCode="0.00_ ">
                  <c:v>5.75</c:v>
                </c:pt>
                <c:pt idx="27" formatCode="0.00_ ">
                  <c:v>6</c:v>
                </c:pt>
                <c:pt idx="28" formatCode="0.00_ ">
                  <c:v>6.25</c:v>
                </c:pt>
                <c:pt idx="29" formatCode="0.00_ ">
                  <c:v>6.5</c:v>
                </c:pt>
                <c:pt idx="30" formatCode="0.00_ ">
                  <c:v>6.75</c:v>
                </c:pt>
                <c:pt idx="31" formatCode="0.00_ ">
                  <c:v>7</c:v>
                </c:pt>
                <c:pt idx="32" formatCode="0.00_ ">
                  <c:v>7.25</c:v>
                </c:pt>
                <c:pt idx="33" formatCode="0.00_ ">
                  <c:v>7.5</c:v>
                </c:pt>
                <c:pt idx="34" formatCode="0.00_ ">
                  <c:v>7.75</c:v>
                </c:pt>
                <c:pt idx="35" formatCode="0.00_ ">
                  <c:v>8</c:v>
                </c:pt>
                <c:pt idx="36" formatCode="0.00_ ">
                  <c:v>8.25</c:v>
                </c:pt>
                <c:pt idx="37" formatCode="0.00_ ">
                  <c:v>8.5</c:v>
                </c:pt>
                <c:pt idx="38" formatCode="0.00_ ">
                  <c:v>8.75</c:v>
                </c:pt>
                <c:pt idx="39" formatCode="0.00_ ">
                  <c:v>9</c:v>
                </c:pt>
                <c:pt idx="40" formatCode="0.00_ ">
                  <c:v>9.25</c:v>
                </c:pt>
                <c:pt idx="41" formatCode="0.00_ ">
                  <c:v>9.5</c:v>
                </c:pt>
                <c:pt idx="42" formatCode="0.00_ ">
                  <c:v>9.75</c:v>
                </c:pt>
                <c:pt idx="43" formatCode="0.00_ ">
                  <c:v>10</c:v>
                </c:pt>
                <c:pt idx="44" formatCode="0.00_ ">
                  <c:v>10.25</c:v>
                </c:pt>
                <c:pt idx="45" formatCode="0.00_ ">
                  <c:v>10.5</c:v>
                </c:pt>
                <c:pt idx="46" formatCode="0.00_ ">
                  <c:v>10.75</c:v>
                </c:pt>
                <c:pt idx="47" formatCode="0.00_ ">
                  <c:v>11</c:v>
                </c:pt>
                <c:pt idx="48" formatCode="0.00_ ">
                  <c:v>11.25</c:v>
                </c:pt>
                <c:pt idx="49" formatCode="0.00_ ">
                  <c:v>11.5</c:v>
                </c:pt>
                <c:pt idx="50" formatCode="0.00_ ">
                  <c:v>11.75</c:v>
                </c:pt>
                <c:pt idx="51" formatCode="0.00_ ">
                  <c:v>12</c:v>
                </c:pt>
                <c:pt idx="52" formatCode="0.00_ ">
                  <c:v>12.25</c:v>
                </c:pt>
                <c:pt idx="53" formatCode="0.00_ ">
                  <c:v>12.5</c:v>
                </c:pt>
                <c:pt idx="54" formatCode="0.00_ ">
                  <c:v>12.75</c:v>
                </c:pt>
                <c:pt idx="55" formatCode="0.00_ ">
                  <c:v>13</c:v>
                </c:pt>
                <c:pt idx="56" formatCode="0.00_ ">
                  <c:v>13.25</c:v>
                </c:pt>
                <c:pt idx="57" formatCode="0.00_ ">
                  <c:v>13.5</c:v>
                </c:pt>
                <c:pt idx="58" formatCode="0.00_ ">
                  <c:v>13.75</c:v>
                </c:pt>
                <c:pt idx="59" formatCode="0.00_ ">
                  <c:v>14</c:v>
                </c:pt>
                <c:pt idx="60" formatCode="0.00_ ">
                  <c:v>14.25</c:v>
                </c:pt>
                <c:pt idx="61" formatCode="0.00_ ">
                  <c:v>14.5</c:v>
                </c:pt>
                <c:pt idx="62" formatCode="0.00_ ">
                  <c:v>14.75</c:v>
                </c:pt>
                <c:pt idx="63" formatCode="0.00_ ">
                  <c:v>15</c:v>
                </c:pt>
                <c:pt idx="64" formatCode="0.00_ ">
                  <c:v>15.25</c:v>
                </c:pt>
                <c:pt idx="65" formatCode="0.00_ ">
                  <c:v>15.5</c:v>
                </c:pt>
                <c:pt idx="66" formatCode="0.00_ ">
                  <c:v>15.75</c:v>
                </c:pt>
                <c:pt idx="67" formatCode="0.00_ ">
                  <c:v>16</c:v>
                </c:pt>
                <c:pt idx="68" formatCode="0.00_ ">
                  <c:v>16.25</c:v>
                </c:pt>
                <c:pt idx="69" formatCode="0.00_ ">
                  <c:v>16.5</c:v>
                </c:pt>
                <c:pt idx="70" formatCode="0.00_ ">
                  <c:v>16.75</c:v>
                </c:pt>
                <c:pt idx="71" formatCode="0.00_ ">
                  <c:v>17</c:v>
                </c:pt>
                <c:pt idx="72" formatCode="0.00_ ">
                  <c:v>17.25</c:v>
                </c:pt>
                <c:pt idx="73" formatCode="0.00_ ">
                  <c:v>17.5</c:v>
                </c:pt>
                <c:pt idx="74" formatCode="0.00_ ">
                  <c:v>17.75</c:v>
                </c:pt>
                <c:pt idx="75" formatCode="0.00_ ">
                  <c:v>18</c:v>
                </c:pt>
                <c:pt idx="76" formatCode="0.00_ ">
                  <c:v>18.25</c:v>
                </c:pt>
                <c:pt idx="77" formatCode="0.00_ ">
                  <c:v>18.5</c:v>
                </c:pt>
                <c:pt idx="78" formatCode="0.00_ ">
                  <c:v>18.75</c:v>
                </c:pt>
                <c:pt idx="79" formatCode="0.00_ ">
                  <c:v>19</c:v>
                </c:pt>
                <c:pt idx="80" formatCode="0.00_ ">
                  <c:v>19.25</c:v>
                </c:pt>
                <c:pt idx="81" formatCode="0.00_ ">
                  <c:v>19.5</c:v>
                </c:pt>
                <c:pt idx="82" formatCode="0.00_ ">
                  <c:v>19.75</c:v>
                </c:pt>
                <c:pt idx="83" formatCode="0.00_ ">
                  <c:v>20</c:v>
                </c:pt>
                <c:pt idx="84" formatCode="0.00_ ">
                  <c:v>20.25</c:v>
                </c:pt>
                <c:pt idx="85" formatCode="0.00_ ">
                  <c:v>20.5</c:v>
                </c:pt>
                <c:pt idx="86" formatCode="0.00_ ">
                  <c:v>20.75</c:v>
                </c:pt>
                <c:pt idx="87" formatCode="0.00_ ">
                  <c:v>21</c:v>
                </c:pt>
                <c:pt idx="88" formatCode="0.00_ ">
                  <c:v>21.25</c:v>
                </c:pt>
                <c:pt idx="89" formatCode="0.00_ ">
                  <c:v>21.5</c:v>
                </c:pt>
                <c:pt idx="90" formatCode="0.00_ ">
                  <c:v>21.75</c:v>
                </c:pt>
                <c:pt idx="91" formatCode="0.00_ ">
                  <c:v>22</c:v>
                </c:pt>
                <c:pt idx="92" formatCode="0.00_ ">
                  <c:v>22.25</c:v>
                </c:pt>
                <c:pt idx="93" formatCode="0.00_ ">
                  <c:v>22.5</c:v>
                </c:pt>
                <c:pt idx="94" formatCode="0.00_ ">
                  <c:v>22.75</c:v>
                </c:pt>
                <c:pt idx="95" formatCode="0.00_ ">
                  <c:v>23</c:v>
                </c:pt>
                <c:pt idx="96" formatCode="0.00_ ">
                  <c:v>23.25</c:v>
                </c:pt>
                <c:pt idx="97" formatCode="0.00_ ">
                  <c:v>23.5</c:v>
                </c:pt>
                <c:pt idx="98" formatCode="0.00_ ">
                  <c:v>23.75</c:v>
                </c:pt>
                <c:pt idx="99" formatCode="0.00_ ">
                  <c:v>24</c:v>
                </c:pt>
                <c:pt idx="100" formatCode="0.00_ ">
                  <c:v>24.25</c:v>
                </c:pt>
                <c:pt idx="101" formatCode="0.00_ ">
                  <c:v>24.5</c:v>
                </c:pt>
                <c:pt idx="102" formatCode="0.00_ ">
                  <c:v>24.75</c:v>
                </c:pt>
                <c:pt idx="103" formatCode="0.00_ ">
                  <c:v>25</c:v>
                </c:pt>
                <c:pt idx="104" formatCode="0.00_ ">
                  <c:v>25.25</c:v>
                </c:pt>
                <c:pt idx="105" formatCode="0.00_ ">
                  <c:v>25.5</c:v>
                </c:pt>
                <c:pt idx="106" formatCode="0.00_ ">
                  <c:v>25.75</c:v>
                </c:pt>
                <c:pt idx="107" formatCode="0.00_ ">
                  <c:v>26</c:v>
                </c:pt>
                <c:pt idx="108" formatCode="0.00_ ">
                  <c:v>26.25</c:v>
                </c:pt>
                <c:pt idx="109" formatCode="0.00_ ">
                  <c:v>26.5</c:v>
                </c:pt>
                <c:pt idx="110" formatCode="0.00_ ">
                  <c:v>26.75</c:v>
                </c:pt>
                <c:pt idx="111" formatCode="0.00_ ">
                  <c:v>27</c:v>
                </c:pt>
                <c:pt idx="112" formatCode="0.00_ ">
                  <c:v>27.25</c:v>
                </c:pt>
                <c:pt idx="113" formatCode="0.00_ ">
                  <c:v>27.5</c:v>
                </c:pt>
              </c:numCache>
            </c:numRef>
          </c:xVal>
          <c:yVal>
            <c:numRef>
              <c:f>'試算番号1-3'!$N$10:$N$133</c:f>
              <c:numCache>
                <c:formatCode>0.00%</c:formatCode>
                <c:ptCount val="124"/>
                <c:pt idx="0">
                  <c:v>7.0859518525864221E-4</c:v>
                </c:pt>
                <c:pt idx="1">
                  <c:v>7.0859518525864221E-4</c:v>
                </c:pt>
                <c:pt idx="2">
                  <c:v>1.1571442072599661E-3</c:v>
                </c:pt>
                <c:pt idx="3">
                  <c:v>1.7283510429844373E-3</c:v>
                </c:pt>
                <c:pt idx="4">
                  <c:v>2.2993390033697017E-3</c:v>
                </c:pt>
                <c:pt idx="5">
                  <c:v>3.9389186822893652E-3</c:v>
                </c:pt>
                <c:pt idx="6">
                  <c:v>6.4965565978713806E-3</c:v>
                </c:pt>
                <c:pt idx="7">
                  <c:v>7.7838272623377948E-3</c:v>
                </c:pt>
                <c:pt idx="8">
                  <c:v>6.864167650429802E-3</c:v>
                </c:pt>
                <c:pt idx="9">
                  <c:v>6.2514843960181548E-3</c:v>
                </c:pt>
                <c:pt idx="10">
                  <c:v>5.8142167816550693E-3</c:v>
                </c:pt>
                <c:pt idx="11">
                  <c:v>5.4865844498293292E-3</c:v>
                </c:pt>
                <c:pt idx="12">
                  <c:v>6.0682064729996729E-3</c:v>
                </c:pt>
                <c:pt idx="13">
                  <c:v>6.5363854099907415E-3</c:v>
                </c:pt>
                <c:pt idx="14">
                  <c:v>6.9220744014269918E-3</c:v>
                </c:pt>
                <c:pt idx="15">
                  <c:v>7.2459089792897237E-3</c:v>
                </c:pt>
                <c:pt idx="16">
                  <c:v>7.9193421828184889E-3</c:v>
                </c:pt>
                <c:pt idx="17">
                  <c:v>8.5011607476755836E-3</c:v>
                </c:pt>
                <c:pt idx="18">
                  <c:v>9.0097221520406383E-3</c:v>
                </c:pt>
                <c:pt idx="19">
                  <c:v>9.4587948979769961E-3</c:v>
                </c:pt>
                <c:pt idx="20">
                  <c:v>1.0112250123427181E-2</c:v>
                </c:pt>
                <c:pt idx="21">
                  <c:v>1.0699004917850368E-2</c:v>
                </c:pt>
                <c:pt idx="22">
                  <c:v>1.1229649062777529E-2</c:v>
                </c:pt>
                <c:pt idx="23">
                  <c:v>1.1712655248711436E-2</c:v>
                </c:pt>
                <c:pt idx="24">
                  <c:v>1.2286087561705702E-2</c:v>
                </c:pt>
                <c:pt idx="25">
                  <c:v>1.2813840348649998E-2</c:v>
                </c:pt>
                <c:pt idx="26">
                  <c:v>1.3301945975909805E-2</c:v>
                </c:pt>
                <c:pt idx="27">
                  <c:v>1.3755432704749574E-2</c:v>
                </c:pt>
                <c:pt idx="28">
                  <c:v>1.4247173090945316E-2</c:v>
                </c:pt>
                <c:pt idx="29">
                  <c:v>1.4707654578870098E-2</c:v>
                </c:pt>
                <c:pt idx="30">
                  <c:v>1.514043383443521E-2</c:v>
                </c:pt>
                <c:pt idx="31">
                  <c:v>1.5548561031972958E-2</c:v>
                </c:pt>
                <c:pt idx="32">
                  <c:v>1.5988375600005333E-2</c:v>
                </c:pt>
                <c:pt idx="33">
                  <c:v>1.6405592381942502E-2</c:v>
                </c:pt>
                <c:pt idx="34">
                  <c:v>1.680249165743251E-2</c:v>
                </c:pt>
                <c:pt idx="35">
                  <c:v>1.7181070633468194E-2</c:v>
                </c:pt>
                <c:pt idx="36">
                  <c:v>1.7578754484039401E-2</c:v>
                </c:pt>
                <c:pt idx="37">
                  <c:v>1.7959849478703809E-2</c:v>
                </c:pt>
                <c:pt idx="38">
                  <c:v>1.8325879216685909E-2</c:v>
                </c:pt>
                <c:pt idx="39">
                  <c:v>1.867820030792388E-2</c:v>
                </c:pt>
                <c:pt idx="40">
                  <c:v>1.9030297630706548E-2</c:v>
                </c:pt>
                <c:pt idx="41">
                  <c:v>1.9370529930008769E-2</c:v>
                </c:pt>
                <c:pt idx="42">
                  <c:v>1.9699914531987116E-2</c:v>
                </c:pt>
                <c:pt idx="43">
                  <c:v>2.0019369515194195E-2</c:v>
                </c:pt>
                <c:pt idx="44">
                  <c:v>2.0309169257075963E-2</c:v>
                </c:pt>
                <c:pt idx="45">
                  <c:v>2.0591275386494742E-2</c:v>
                </c:pt>
                <c:pt idx="46">
                  <c:v>2.086632134532368E-2</c:v>
                </c:pt>
                <c:pt idx="47">
                  <c:v>2.1134885305800155E-2</c:v>
                </c:pt>
                <c:pt idx="48">
                  <c:v>2.1427454118484058E-2</c:v>
                </c:pt>
                <c:pt idx="49">
                  <c:v>2.1713752040090489E-2</c:v>
                </c:pt>
                <c:pt idx="50">
                  <c:v>2.1994289487615424E-2</c:v>
                </c:pt>
                <c:pt idx="51">
                  <c:v>2.2269537191168268E-2</c:v>
                </c:pt>
                <c:pt idx="52">
                  <c:v>2.2448493015798873E-2</c:v>
                </c:pt>
                <c:pt idx="53">
                  <c:v>2.2625145204559341E-2</c:v>
                </c:pt>
                <c:pt idx="54">
                  <c:v>2.2799704292720074E-2</c:v>
                </c:pt>
                <c:pt idx="55">
                  <c:v>2.2972366374340119E-2</c:v>
                </c:pt>
                <c:pt idx="56">
                  <c:v>2.3153925623361857E-2</c:v>
                </c:pt>
                <c:pt idx="57">
                  <c:v>2.3333719572052228E-2</c:v>
                </c:pt>
                <c:pt idx="58">
                  <c:v>2.3511925176837433E-2</c:v>
                </c:pt>
                <c:pt idx="59">
                  <c:v>2.3688708739766549E-2</c:v>
                </c:pt>
                <c:pt idx="60">
                  <c:v>2.3873055611634168E-2</c:v>
                </c:pt>
                <c:pt idx="61">
                  <c:v>2.4056129703966259E-2</c:v>
                </c:pt>
                <c:pt idx="62">
                  <c:v>2.4238082676252794E-2</c:v>
                </c:pt>
                <c:pt idx="63">
                  <c:v>2.4419058327776466E-2</c:v>
                </c:pt>
                <c:pt idx="64">
                  <c:v>2.4471349034580526E-2</c:v>
                </c:pt>
                <c:pt idx="65">
                  <c:v>2.4525047888701183E-2</c:v>
                </c:pt>
                <c:pt idx="66">
                  <c:v>2.4580130470070669E-2</c:v>
                </c:pt>
                <c:pt idx="67">
                  <c:v>2.4636574772283999E-2</c:v>
                </c:pt>
                <c:pt idx="68">
                  <c:v>2.4690870815924606E-2</c:v>
                </c:pt>
                <c:pt idx="69">
                  <c:v>2.4746547821583739E-2</c:v>
                </c:pt>
                <c:pt idx="70">
                  <c:v>2.4803586538144053E-2</c:v>
                </c:pt>
                <c:pt idx="71">
                  <c:v>2.4861969752355599E-2</c:v>
                </c:pt>
                <c:pt idx="72">
                  <c:v>2.4918099684259735E-2</c:v>
                </c:pt>
                <c:pt idx="73">
                  <c:v>2.4975596170338427E-2</c:v>
                </c:pt>
                <c:pt idx="74">
                  <c:v>2.5034444156701679E-2</c:v>
                </c:pt>
                <c:pt idx="75">
                  <c:v>2.5094630352977647E-2</c:v>
                </c:pt>
                <c:pt idx="76">
                  <c:v>2.5152470553600537E-2</c:v>
                </c:pt>
                <c:pt idx="77">
                  <c:v>2.5211672621265075E-2</c:v>
                </c:pt>
                <c:pt idx="78">
                  <c:v>2.5272225017106166E-2</c:v>
                </c:pt>
                <c:pt idx="79">
                  <c:v>2.5334117762164859E-2</c:v>
                </c:pt>
                <c:pt idx="80">
                  <c:v>2.5393581091675312E-2</c:v>
                </c:pt>
                <c:pt idx="81">
                  <c:v>2.5454409211585323E-2</c:v>
                </c:pt>
                <c:pt idx="82">
                  <c:v>2.5516593612029487E-2</c:v>
                </c:pt>
                <c:pt idx="83">
                  <c:v>2.5580127190339318E-2</c:v>
                </c:pt>
                <c:pt idx="84">
                  <c:v>2.5575896395210209E-2</c:v>
                </c:pt>
                <c:pt idx="85">
                  <c:v>2.5573722980114059E-2</c:v>
                </c:pt>
                <c:pt idx="86">
                  <c:v>2.5573557255701325E-2</c:v>
                </c:pt>
                <c:pt idx="87">
                  <c:v>2.5575352369157353E-2</c:v>
                </c:pt>
                <c:pt idx="88">
                  <c:v>2.5572406381071406E-2</c:v>
                </c:pt>
                <c:pt idx="89">
                  <c:v>2.5571405187384467E-2</c:v>
                </c:pt>
                <c:pt idx="90">
                  <c:v>2.5572305512875135E-2</c:v>
                </c:pt>
                <c:pt idx="91">
                  <c:v>2.5575066504692979E-2</c:v>
                </c:pt>
                <c:pt idx="92">
                  <c:v>2.5573256423701601E-2</c:v>
                </c:pt>
                <c:pt idx="93">
                  <c:v>2.5573292127336368E-2</c:v>
                </c:pt>
                <c:pt idx="94">
                  <c:v>2.5575135748866829E-2</c:v>
                </c:pt>
                <c:pt idx="95">
                  <c:v>2.5578751509677561E-2</c:v>
                </c:pt>
                <c:pt idx="96">
                  <c:v>2.5577953769989403E-2</c:v>
                </c:pt>
                <c:pt idx="97">
                  <c:v>2.5578914118111046E-2</c:v>
                </c:pt>
                <c:pt idx="98">
                  <c:v>2.558159928887889E-2</c:v>
                </c:pt>
                <c:pt idx="99">
                  <c:v>2.5585977832635415E-2</c:v>
                </c:pt>
                <c:pt idx="100">
                  <c:v>2.5586089132609419E-2</c:v>
                </c:pt>
                <c:pt idx="101">
                  <c:v>2.5587880346962213E-2</c:v>
                </c:pt>
                <c:pt idx="102">
                  <c:v>2.5591322157438496E-2</c:v>
                </c:pt>
                <c:pt idx="103">
                  <c:v>2.5596386836846046E-2</c:v>
                </c:pt>
                <c:pt idx="104">
                  <c:v>2.5579866374227735E-2</c:v>
                </c:pt>
                <c:pt idx="105">
                  <c:v>2.5565081577142601E-2</c:v>
                </c:pt>
                <c:pt idx="106">
                  <c:v>2.5551998820748767E-2</c:v>
                </c:pt>
                <c:pt idx="107">
                  <c:v>2.5540586079844354E-2</c:v>
                </c:pt>
                <c:pt idx="108">
                  <c:v>2.5524815911947135E-2</c:v>
                </c:pt>
                <c:pt idx="109">
                  <c:v>2.5510696851937305E-2</c:v>
                </c:pt>
                <c:pt idx="110">
                  <c:v>2.5498198814319136E-2</c:v>
                </c:pt>
                <c:pt idx="111">
                  <c:v>2.5487293120764795E-2</c:v>
                </c:pt>
                <c:pt idx="112">
                  <c:v>2.5472189044236201E-2</c:v>
                </c:pt>
                <c:pt idx="113">
                  <c:v>2.5458659134119113E-2</c:v>
                </c:pt>
                <c:pt idx="114">
                  <c:v>2.5446676382330388E-2</c:v>
                </c:pt>
                <c:pt idx="115">
                  <c:v>2.5436215025707944E-2</c:v>
                </c:pt>
                <c:pt idx="116">
                  <c:v>2.5421704253874605E-2</c:v>
                </c:pt>
                <c:pt idx="117">
                  <c:v>2.5408697320143978E-2</c:v>
                </c:pt>
                <c:pt idx="118">
                  <c:v>2.5397169906267451E-2</c:v>
                </c:pt>
                <c:pt idx="119">
                  <c:v>2.5387098801204992E-2</c:v>
                </c:pt>
                <c:pt idx="120">
                  <c:v>2.5373118060059065E-2</c:v>
                </c:pt>
                <c:pt idx="121">
                  <c:v>2.5360576607142752E-2</c:v>
                </c:pt>
                <c:pt idx="122">
                  <c:v>2.5349452486580111E-2</c:v>
                </c:pt>
                <c:pt idx="123">
                  <c:v>2.5339724732068237E-2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07360"/>
        <c:axId val="234007936"/>
      </c:scatterChart>
      <c:valAx>
        <c:axId val="234007360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34007936"/>
        <c:crosses val="autoZero"/>
        <c:crossBetween val="midCat"/>
      </c:valAx>
      <c:valAx>
        <c:axId val="2340079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007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418825340841223"/>
          <c:y val="7.4229968882959005E-2"/>
          <c:w val="0.59966601421833066"/>
          <c:h val="6.5528998802013974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円イールドカーブ（テナー考慮）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'試算番号2-1'!$G$10:$G$130</c:f>
              <c:numCache>
                <c:formatCode>General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'試算番号2-1'!$P$10:$P$130</c:f>
              <c:numCache>
                <c:formatCode>0.00%</c:formatCode>
                <c:ptCount val="121"/>
                <c:pt idx="0">
                  <c:v>2.1673127383762549E-3</c:v>
                </c:pt>
                <c:pt idx="1">
                  <c:v>2.1673127383762549E-3</c:v>
                </c:pt>
                <c:pt idx="2">
                  <c:v>2.4199353875282424E-3</c:v>
                </c:pt>
                <c:pt idx="3">
                  <c:v>2.3971185215655526E-3</c:v>
                </c:pt>
                <c:pt idx="4">
                  <c:v>2.3860558844222188E-3</c:v>
                </c:pt>
                <c:pt idx="5">
                  <c:v>2.4571236675992379E-3</c:v>
                </c:pt>
                <c:pt idx="6">
                  <c:v>2.5048155397107406E-3</c:v>
                </c:pt>
                <c:pt idx="7">
                  <c:v>2.5725442347944542E-3</c:v>
                </c:pt>
                <c:pt idx="8">
                  <c:v>2.6236182735125428E-3</c:v>
                </c:pt>
                <c:pt idx="9">
                  <c:v>2.734683505633698E-3</c:v>
                </c:pt>
                <c:pt idx="10">
                  <c:v>2.8238641793254127E-3</c:v>
                </c:pt>
                <c:pt idx="11">
                  <c:v>2.9329742343339239E-3</c:v>
                </c:pt>
                <c:pt idx="12">
                  <c:v>3.0242369778052934E-3</c:v>
                </c:pt>
                <c:pt idx="13">
                  <c:v>3.1792759460864918E-3</c:v>
                </c:pt>
                <c:pt idx="14">
                  <c:v>3.3126206164003332E-3</c:v>
                </c:pt>
                <c:pt idx="15">
                  <c:v>3.4663208156536719E-3</c:v>
                </c:pt>
                <c:pt idx="16">
                  <c:v>3.6013023605011743E-3</c:v>
                </c:pt>
                <c:pt idx="17">
                  <c:v>3.8356095692500748E-3</c:v>
                </c:pt>
                <c:pt idx="18">
                  <c:v>4.0446831203272745E-3</c:v>
                </c:pt>
                <c:pt idx="19">
                  <c:v>4.2779870720077474E-3</c:v>
                </c:pt>
                <c:pt idx="20">
                  <c:v>4.4888608780343829E-3</c:v>
                </c:pt>
                <c:pt idx="21">
                  <c:v>4.7644900148196096E-3</c:v>
                </c:pt>
                <c:pt idx="22">
                  <c:v>5.0162652567085882E-3</c:v>
                </c:pt>
                <c:pt idx="23">
                  <c:v>5.2914408721245346E-3</c:v>
                </c:pt>
                <c:pt idx="24">
                  <c:v>5.545029791860028E-3</c:v>
                </c:pt>
                <c:pt idx="25">
                  <c:v>5.8481503855847394E-3</c:v>
                </c:pt>
                <c:pt idx="26">
                  <c:v>6.1296153693132151E-3</c:v>
                </c:pt>
                <c:pt idx="27">
                  <c:v>6.4328083609830073E-3</c:v>
                </c:pt>
                <c:pt idx="28">
                  <c:v>6.716181131957653E-3</c:v>
                </c:pt>
                <c:pt idx="29">
                  <c:v>6.9997202241626503E-3</c:v>
                </c:pt>
                <c:pt idx="30">
                  <c:v>7.2662234189007123E-3</c:v>
                </c:pt>
                <c:pt idx="31">
                  <c:v>7.5501532307785677E-3</c:v>
                </c:pt>
                <c:pt idx="32">
                  <c:v>7.8183626154169419E-3</c:v>
                </c:pt>
                <c:pt idx="33">
                  <c:v>8.1028437344640072E-3</c:v>
                </c:pt>
                <c:pt idx="34">
                  <c:v>8.3727769504811748E-3</c:v>
                </c:pt>
                <c:pt idx="35">
                  <c:v>8.657960381361067E-3</c:v>
                </c:pt>
                <c:pt idx="36">
                  <c:v>8.9296504969708663E-3</c:v>
                </c:pt>
                <c:pt idx="37">
                  <c:v>9.202194921688495E-3</c:v>
                </c:pt>
                <c:pt idx="38">
                  <c:v>9.4627847171848117E-3</c:v>
                </c:pt>
                <c:pt idx="39">
                  <c:v>9.7362255912987541E-3</c:v>
                </c:pt>
                <c:pt idx="40">
                  <c:v>9.9985390766314901E-3</c:v>
                </c:pt>
                <c:pt idx="41">
                  <c:v>1.0255973296603729E-2</c:v>
                </c:pt>
                <c:pt idx="42">
                  <c:v>1.0503676260054039E-2</c:v>
                </c:pt>
                <c:pt idx="43">
                  <c:v>1.0762130222826833E-2</c:v>
                </c:pt>
                <c:pt idx="44">
                  <c:v>1.1011505843633125E-2</c:v>
                </c:pt>
                <c:pt idx="45">
                  <c:v>1.1271089764713508E-2</c:v>
                </c:pt>
                <c:pt idx="46">
                  <c:v>1.1522202112725448E-2</c:v>
                </c:pt>
                <c:pt idx="47">
                  <c:v>1.17830264411451E-2</c:v>
                </c:pt>
                <c:pt idx="48">
                  <c:v>1.2035946200700372E-2</c:v>
                </c:pt>
                <c:pt idx="49">
                  <c:v>1.2280660630831736E-2</c:v>
                </c:pt>
                <c:pt idx="50">
                  <c:v>1.2518490408074323E-2</c:v>
                </c:pt>
                <c:pt idx="51">
                  <c:v>1.2764507236175416E-2</c:v>
                </c:pt>
                <c:pt idx="52">
                  <c:v>1.3004101472742448E-2</c:v>
                </c:pt>
                <c:pt idx="53">
                  <c:v>1.3251521160971717E-2</c:v>
                </c:pt>
                <c:pt idx="54">
                  <c:v>1.3492955866362233E-2</c:v>
                </c:pt>
                <c:pt idx="55">
                  <c:v>1.3741881218089617E-2</c:v>
                </c:pt>
                <c:pt idx="56">
                  <c:v>1.3985237900710046E-2</c:v>
                </c:pt>
                <c:pt idx="57">
                  <c:v>1.4235774558237244E-2</c:v>
                </c:pt>
                <c:pt idx="58">
                  <c:v>1.4481140323989564E-2</c:v>
                </c:pt>
                <c:pt idx="59">
                  <c:v>1.473339725805798E-2</c:v>
                </c:pt>
                <c:pt idx="60">
                  <c:v>1.498086497258585E-2</c:v>
                </c:pt>
                <c:pt idx="61">
                  <c:v>1.5148427995687079E-2</c:v>
                </c:pt>
                <c:pt idx="62">
                  <c:v>1.5313163101417695E-2</c:v>
                </c:pt>
                <c:pt idx="63">
                  <c:v>1.5481788391116229E-2</c:v>
                </c:pt>
                <c:pt idx="64">
                  <c:v>1.5647789053555228E-2</c:v>
                </c:pt>
                <c:pt idx="65">
                  <c:v>1.581752254257196E-2</c:v>
                </c:pt>
                <c:pt idx="66">
                  <c:v>1.5984827099865952E-2</c:v>
                </c:pt>
                <c:pt idx="67">
                  <c:v>1.6155717043365325E-2</c:v>
                </c:pt>
                <c:pt idx="68">
                  <c:v>1.6324367025365546E-2</c:v>
                </c:pt>
                <c:pt idx="69">
                  <c:v>1.6496464061736247E-2</c:v>
                </c:pt>
                <c:pt idx="70">
                  <c:v>1.6666504169123072E-2</c:v>
                </c:pt>
                <c:pt idx="71">
                  <c:v>1.6839861402769975E-2</c:v>
                </c:pt>
                <c:pt idx="72">
                  <c:v>1.7011339520546748E-2</c:v>
                </c:pt>
                <c:pt idx="73">
                  <c:v>1.7186012625022579E-2</c:v>
                </c:pt>
                <c:pt idx="74">
                  <c:v>1.7358979866916199E-2</c:v>
                </c:pt>
                <c:pt idx="75">
                  <c:v>1.753502720739045E-2</c:v>
                </c:pt>
                <c:pt idx="76">
                  <c:v>1.7709537988697871E-2</c:v>
                </c:pt>
                <c:pt idx="77">
                  <c:v>1.7887020763304423E-2</c:v>
                </c:pt>
                <c:pt idx="78">
                  <c:v>1.806313290053781E-2</c:v>
                </c:pt>
                <c:pt idx="79">
                  <c:v>1.824211530059832E-2</c:v>
                </c:pt>
                <c:pt idx="80">
                  <c:v>1.84198901369588E-2</c:v>
                </c:pt>
                <c:pt idx="81">
                  <c:v>1.8496506144854121E-2</c:v>
                </c:pt>
                <c:pt idx="82">
                  <c:v>1.8573113798602187E-2</c:v>
                </c:pt>
                <c:pt idx="83">
                  <c:v>1.8650445746665929E-2</c:v>
                </c:pt>
                <c:pt idx="84">
                  <c:v>1.8727807030173189E-2</c:v>
                </c:pt>
                <c:pt idx="85">
                  <c:v>1.8805853153716683E-2</c:v>
                </c:pt>
                <c:pt idx="86">
                  <c:v>1.8883966006124693E-2</c:v>
                </c:pt>
                <c:pt idx="87">
                  <c:v>1.8962726494409617E-2</c:v>
                </c:pt>
                <c:pt idx="88">
                  <c:v>1.904159083468249E-2</c:v>
                </c:pt>
                <c:pt idx="89">
                  <c:v>1.9121067684989015E-2</c:v>
                </c:pt>
                <c:pt idx="90">
                  <c:v>1.9200685269535729E-2</c:v>
                </c:pt>
                <c:pt idx="91">
                  <c:v>1.9280882164500714E-2</c:v>
                </c:pt>
                <c:pt idx="92">
                  <c:v>1.936125646733847E-2</c:v>
                </c:pt>
                <c:pt idx="93">
                  <c:v>1.9442178672333606E-2</c:v>
                </c:pt>
                <c:pt idx="94">
                  <c:v>1.9523314784736175E-2</c:v>
                </c:pt>
                <c:pt idx="95">
                  <c:v>1.9604969062618192E-2</c:v>
                </c:pt>
                <c:pt idx="96">
                  <c:v>1.9686873609719376E-2</c:v>
                </c:pt>
                <c:pt idx="97">
                  <c:v>1.9769268150745464E-2</c:v>
                </c:pt>
                <c:pt idx="98">
                  <c:v>1.9851949223001014E-2</c:v>
                </c:pt>
                <c:pt idx="99">
                  <c:v>1.9935093588081362E-2</c:v>
                </c:pt>
                <c:pt idx="100">
                  <c:v>2.0018560685849379E-2</c:v>
                </c:pt>
                <c:pt idx="101">
                  <c:v>2.0053003669654231E-2</c:v>
                </c:pt>
                <c:pt idx="102">
                  <c:v>2.0088132544306456E-2</c:v>
                </c:pt>
                <c:pt idx="103">
                  <c:v>2.0123078677834035E-2</c:v>
                </c:pt>
                <c:pt idx="104">
                  <c:v>2.0158709611436031E-2</c:v>
                </c:pt>
                <c:pt idx="105">
                  <c:v>2.0194148441879348E-2</c:v>
                </c:pt>
                <c:pt idx="106">
                  <c:v>2.0230271612115318E-2</c:v>
                </c:pt>
                <c:pt idx="107">
                  <c:v>2.0266193948243923E-2</c:v>
                </c:pt>
                <c:pt idx="108">
                  <c:v>2.0302800747076858E-2</c:v>
                </c:pt>
                <c:pt idx="109">
                  <c:v>2.0339198559609601E-2</c:v>
                </c:pt>
                <c:pt idx="110">
                  <c:v>2.0376281499336998E-2</c:v>
                </c:pt>
                <c:pt idx="111">
                  <c:v>2.0413147832682135E-2</c:v>
                </c:pt>
                <c:pt idx="112">
                  <c:v>2.0450700462669273E-2</c:v>
                </c:pt>
                <c:pt idx="113">
                  <c:v>2.0488029356661715E-2</c:v>
                </c:pt>
                <c:pt idx="114">
                  <c:v>2.0526046189479855E-2</c:v>
                </c:pt>
                <c:pt idx="115">
                  <c:v>2.0563832609937202E-2</c:v>
                </c:pt>
                <c:pt idx="116">
                  <c:v>2.060230905581131E-2</c:v>
                </c:pt>
                <c:pt idx="117">
                  <c:v>2.0640548832892548E-2</c:v>
                </c:pt>
                <c:pt idx="118">
                  <c:v>2.0679481141512562E-2</c:v>
                </c:pt>
                <c:pt idx="119">
                  <c:v>2.071817091500151E-2</c:v>
                </c:pt>
                <c:pt idx="120">
                  <c:v>2.0757556123879226E-2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10240"/>
        <c:axId val="234010816"/>
      </c:scatterChart>
      <c:valAx>
        <c:axId val="234010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010816"/>
        <c:crosses val="autoZero"/>
        <c:crossBetween val="midCat"/>
      </c:valAx>
      <c:valAx>
        <c:axId val="2340108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01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1175110758672"/>
          <c:y val="8.3481670157909055E-2"/>
          <c:w val="0.4563600946929145"/>
          <c:h val="9.3284102626864027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ドルゼロイールド（テナー考慮）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'試算番号2-2'!$G$10:$G$130</c:f>
              <c:numCache>
                <c:formatCode>General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'試算番号2-2'!$P$10:$P$130</c:f>
              <c:numCache>
                <c:formatCode>0.00%</c:formatCode>
                <c:ptCount val="121"/>
                <c:pt idx="0">
                  <c:v>2.7515534021951187E-3</c:v>
                </c:pt>
                <c:pt idx="1">
                  <c:v>2.7515534021951187E-3</c:v>
                </c:pt>
                <c:pt idx="2">
                  <c:v>3.065249860349349E-3</c:v>
                </c:pt>
                <c:pt idx="3">
                  <c:v>3.2288633838003962E-3</c:v>
                </c:pt>
                <c:pt idx="4">
                  <c:v>3.3114612100492726E-3</c:v>
                </c:pt>
                <c:pt idx="5">
                  <c:v>3.7565548462621078E-3</c:v>
                </c:pt>
                <c:pt idx="6">
                  <c:v>4.0545631074059875E-3</c:v>
                </c:pt>
                <c:pt idx="7">
                  <c:v>4.4787354953214507E-3</c:v>
                </c:pt>
                <c:pt idx="8">
                  <c:v>4.7984091654504285E-3</c:v>
                </c:pt>
                <c:pt idx="9">
                  <c:v>5.61822966209383E-3</c:v>
                </c:pt>
                <c:pt idx="10">
                  <c:v>6.2778042387452281E-3</c:v>
                </c:pt>
                <c:pt idx="11">
                  <c:v>7.084432585000547E-3</c:v>
                </c:pt>
                <c:pt idx="12">
                  <c:v>7.7614232322912253E-3</c:v>
                </c:pt>
                <c:pt idx="13">
                  <c:v>8.8339314946227869E-3</c:v>
                </c:pt>
                <c:pt idx="14">
                  <c:v>9.7616820778257691E-3</c:v>
                </c:pt>
                <c:pt idx="15">
                  <c:v>1.082887662956673E-2</c:v>
                </c:pt>
                <c:pt idx="16">
                  <c:v>1.1773115309283575E-2</c:v>
                </c:pt>
                <c:pt idx="17">
                  <c:v>1.2843057770096315E-2</c:v>
                </c:pt>
                <c:pt idx="18">
                  <c:v>1.380668036276742E-2</c:v>
                </c:pt>
                <c:pt idx="19">
                  <c:v>1.4877556285825967E-2</c:v>
                </c:pt>
                <c:pt idx="20">
                  <c:v>1.5856050892050531E-2</c:v>
                </c:pt>
                <c:pt idx="21">
                  <c:v>1.6795373455205077E-2</c:v>
                </c:pt>
                <c:pt idx="22">
                  <c:v>1.7663819400623285E-2</c:v>
                </c:pt>
                <c:pt idx="23">
                  <c:v>1.8607160958994954E-2</c:v>
                </c:pt>
                <c:pt idx="24">
                  <c:v>1.9488189389007544E-2</c:v>
                </c:pt>
                <c:pt idx="25">
                  <c:v>2.0277005078552533E-2</c:v>
                </c:pt>
                <c:pt idx="26">
                  <c:v>2.1020070942807261E-2</c:v>
                </c:pt>
                <c:pt idx="27">
                  <c:v>2.1814033452053311E-2</c:v>
                </c:pt>
                <c:pt idx="28">
                  <c:v>2.2567551834431543E-2</c:v>
                </c:pt>
                <c:pt idx="29">
                  <c:v>2.3205817621079625E-2</c:v>
                </c:pt>
                <c:pt idx="30">
                  <c:v>2.3815739556829994E-2</c:v>
                </c:pt>
                <c:pt idx="31">
                  <c:v>2.4459173126416968E-2</c:v>
                </c:pt>
                <c:pt idx="32">
                  <c:v>2.5077519695385374E-2</c:v>
                </c:pt>
                <c:pt idx="33">
                  <c:v>2.5616512006983956E-2</c:v>
                </c:pt>
                <c:pt idx="34">
                  <c:v>2.6137455255015721E-2</c:v>
                </c:pt>
                <c:pt idx="35">
                  <c:v>2.6681567931999425E-2</c:v>
                </c:pt>
                <c:pt idx="36">
                  <c:v>2.7209790339089403E-2</c:v>
                </c:pt>
                <c:pt idx="37">
                  <c:v>2.7671857851894337E-2</c:v>
                </c:pt>
                <c:pt idx="38">
                  <c:v>2.8122665596361861E-2</c:v>
                </c:pt>
                <c:pt idx="39">
                  <c:v>2.8589688328315564E-2</c:v>
                </c:pt>
                <c:pt idx="40">
                  <c:v>2.9046936576496662E-2</c:v>
                </c:pt>
                <c:pt idx="41">
                  <c:v>2.9418010591933681E-2</c:v>
                </c:pt>
                <c:pt idx="42">
                  <c:v>2.9783205927878802E-2</c:v>
                </c:pt>
                <c:pt idx="43">
                  <c:v>3.0158662871428554E-2</c:v>
                </c:pt>
                <c:pt idx="44">
                  <c:v>3.0529177981262475E-2</c:v>
                </c:pt>
                <c:pt idx="45">
                  <c:v>3.0909238776178745E-2</c:v>
                </c:pt>
                <c:pt idx="46">
                  <c:v>3.1285254370247179E-2</c:v>
                </c:pt>
                <c:pt idx="47">
                  <c:v>3.1670168047337043E-2</c:v>
                </c:pt>
                <c:pt idx="48">
                  <c:v>3.2051900487985417E-2</c:v>
                </c:pt>
                <c:pt idx="49">
                  <c:v>3.2280773053904172E-2</c:v>
                </c:pt>
                <c:pt idx="50">
                  <c:v>3.2509953180441274E-2</c:v>
                </c:pt>
                <c:pt idx="51">
                  <c:v>3.2742221259019613E-2</c:v>
                </c:pt>
                <c:pt idx="52">
                  <c:v>3.2975120870723802E-2</c:v>
                </c:pt>
                <c:pt idx="53">
                  <c:v>3.3210817082778253E-2</c:v>
                </c:pt>
                <c:pt idx="54">
                  <c:v>3.3447464551060839E-2</c:v>
                </c:pt>
                <c:pt idx="55">
                  <c:v>3.3686643561272607E-2</c:v>
                </c:pt>
                <c:pt idx="56">
                  <c:v>3.3927090291888298E-2</c:v>
                </c:pt>
                <c:pt idx="57">
                  <c:v>3.4169826886960519E-2</c:v>
                </c:pt>
                <c:pt idx="58">
                  <c:v>3.4414145450168528E-2</c:v>
                </c:pt>
                <c:pt idx="59">
                  <c:v>3.4660533199156754E-2</c:v>
                </c:pt>
                <c:pt idx="60">
                  <c:v>3.4908816027754128E-2</c:v>
                </c:pt>
                <c:pt idx="61">
                  <c:v>3.500897830257408E-2</c:v>
                </c:pt>
                <c:pt idx="62">
                  <c:v>3.5112764305593618E-2</c:v>
                </c:pt>
                <c:pt idx="63">
                  <c:v>3.5215317318897169E-2</c:v>
                </c:pt>
                <c:pt idx="64">
                  <c:v>3.5321487944539438E-2</c:v>
                </c:pt>
                <c:pt idx="65">
                  <c:v>3.5426364517642008E-2</c:v>
                </c:pt>
                <c:pt idx="66">
                  <c:v>3.5534860634556818E-2</c:v>
                </c:pt>
                <c:pt idx="67">
                  <c:v>3.5642008509191817E-2</c:v>
                </c:pt>
                <c:pt idx="68">
                  <c:v>3.5752785036938579E-2</c:v>
                </c:pt>
                <c:pt idx="69">
                  <c:v>3.5862165121212902E-2</c:v>
                </c:pt>
                <c:pt idx="70">
                  <c:v>3.5975189444724887E-2</c:v>
                </c:pt>
                <c:pt idx="71">
                  <c:v>3.6086774381828488E-2</c:v>
                </c:pt>
                <c:pt idx="72">
                  <c:v>3.6202025057852631E-2</c:v>
                </c:pt>
                <c:pt idx="73">
                  <c:v>3.6315798058558987E-2</c:v>
                </c:pt>
                <c:pt idx="74">
                  <c:v>3.6433263761851839E-2</c:v>
                </c:pt>
                <c:pt idx="75">
                  <c:v>3.6549217654596081E-2</c:v>
                </c:pt>
                <c:pt idx="76">
                  <c:v>3.6668896322848192E-2</c:v>
                </c:pt>
                <c:pt idx="77">
                  <c:v>3.6787032784991694E-2</c:v>
                </c:pt>
                <c:pt idx="78">
                  <c:v>3.6908930930112549E-2</c:v>
                </c:pt>
                <c:pt idx="79">
                  <c:v>3.7029259871636348E-2</c:v>
                </c:pt>
                <c:pt idx="80">
                  <c:v>3.7153392031793617E-2</c:v>
                </c:pt>
                <c:pt idx="81">
                  <c:v>3.7231674103710435E-2</c:v>
                </c:pt>
                <c:pt idx="82">
                  <c:v>3.7313877845626224E-2</c:v>
                </c:pt>
                <c:pt idx="83">
                  <c:v>3.7393971616292043E-2</c:v>
                </c:pt>
                <c:pt idx="84">
                  <c:v>3.7477974238088393E-2</c:v>
                </c:pt>
                <c:pt idx="85">
                  <c:v>3.7559863838699678E-2</c:v>
                </c:pt>
                <c:pt idx="86">
                  <c:v>3.7645654247982552E-2</c:v>
                </c:pt>
                <c:pt idx="87">
                  <c:v>3.7729330084114145E-2</c:v>
                </c:pt>
                <c:pt idx="88">
                  <c:v>3.7816903185017715E-2</c:v>
                </c:pt>
                <c:pt idx="89">
                  <c:v>3.7902361506216516E-2</c:v>
                </c:pt>
                <c:pt idx="90">
                  <c:v>3.7991717815915933E-2</c:v>
                </c:pt>
                <c:pt idx="91">
                  <c:v>3.807896036073357E-2</c:v>
                </c:pt>
                <c:pt idx="92">
                  <c:v>3.8170105695695004E-2</c:v>
                </c:pt>
                <c:pt idx="93">
                  <c:v>3.8259139402514304E-2</c:v>
                </c:pt>
                <c:pt idx="94">
                  <c:v>3.8352084625872113E-2</c:v>
                </c:pt>
                <c:pt idx="95">
                  <c:v>3.8442921401663672E-2</c:v>
                </c:pt>
                <c:pt idx="96">
                  <c:v>3.8537682224719781E-2</c:v>
                </c:pt>
                <c:pt idx="97">
                  <c:v>3.8630338765337981E-2</c:v>
                </c:pt>
                <c:pt idx="98">
                  <c:v>3.8726935597511808E-2</c:v>
                </c:pt>
                <c:pt idx="99">
                  <c:v>3.8821433254367446E-2</c:v>
                </c:pt>
                <c:pt idx="100">
                  <c:v>3.8919891097041866E-2</c:v>
                </c:pt>
                <c:pt idx="101">
                  <c:v>3.8891829237505671E-2</c:v>
                </c:pt>
                <c:pt idx="102">
                  <c:v>3.8867538289707779E-2</c:v>
                </c:pt>
                <c:pt idx="103">
                  <c:v>3.8840559298240374E-2</c:v>
                </c:pt>
                <c:pt idx="104">
                  <c:v>3.8817258414572918E-2</c:v>
                </c:pt>
                <c:pt idx="105">
                  <c:v>3.8791301686757214E-2</c:v>
                </c:pt>
                <c:pt idx="106">
                  <c:v>3.8768934915428911E-2</c:v>
                </c:pt>
                <c:pt idx="107">
                  <c:v>3.8743944341618E-2</c:v>
                </c:pt>
                <c:pt idx="108">
                  <c:v>3.8722459884022259E-2</c:v>
                </c:pt>
                <c:pt idx="109">
                  <c:v>3.8698383440239556E-2</c:v>
                </c:pt>
                <c:pt idx="110">
                  <c:v>3.8677733274137753E-2</c:v>
                </c:pt>
                <c:pt idx="111">
                  <c:v>3.8654522656915866E-2</c:v>
                </c:pt>
                <c:pt idx="112">
                  <c:v>3.8634662199892415E-2</c:v>
                </c:pt>
                <c:pt idx="113">
                  <c:v>3.8612272499639354E-2</c:v>
                </c:pt>
                <c:pt idx="114">
                  <c:v>3.8593160307898097E-2</c:v>
                </c:pt>
                <c:pt idx="115">
                  <c:v>3.8571549716128403E-2</c:v>
                </c:pt>
                <c:pt idx="116">
                  <c:v>3.8553147214377741E-2</c:v>
                </c:pt>
                <c:pt idx="117">
                  <c:v>3.8532276760780027E-2</c:v>
                </c:pt>
                <c:pt idx="118">
                  <c:v>3.8514547999529074E-2</c:v>
                </c:pt>
                <c:pt idx="119">
                  <c:v>3.8494381315380292E-2</c:v>
                </c:pt>
                <c:pt idx="120">
                  <c:v>3.8477292752456906E-2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4048"/>
        <c:axId val="234194624"/>
      </c:scatterChart>
      <c:valAx>
        <c:axId val="23419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194624"/>
        <c:crosses val="autoZero"/>
        <c:crossBetween val="midCat"/>
      </c:valAx>
      <c:valAx>
        <c:axId val="23419462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194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16148572277097"/>
          <c:y val="6.4978267608009038E-2"/>
          <c:w val="0.457279590324843"/>
          <c:h val="8.4032401351914005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ユーロゼロイールド（テナー考慮）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'試算番号2-3'!$G$10:$G$130</c:f>
              <c:numCache>
                <c:formatCode>General</c:formatCode>
                <c:ptCount val="1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</c:numCache>
            </c:numRef>
          </c:xVal>
          <c:yVal>
            <c:numRef>
              <c:f>'試算番号2-3'!$P$10:$P$130</c:f>
              <c:numCache>
                <c:formatCode>0.00%</c:formatCode>
                <c:ptCount val="121"/>
                <c:pt idx="0">
                  <c:v>3.3785727539587698E-3</c:v>
                </c:pt>
                <c:pt idx="1">
                  <c:v>3.3785727539587698E-3</c:v>
                </c:pt>
                <c:pt idx="2">
                  <c:v>3.9389186822893652E-3</c:v>
                </c:pt>
                <c:pt idx="3">
                  <c:v>4.079760186067591E-3</c:v>
                </c:pt>
                <c:pt idx="4">
                  <c:v>4.1513711224759921E-3</c:v>
                </c:pt>
                <c:pt idx="5">
                  <c:v>4.6859493020408654E-3</c:v>
                </c:pt>
                <c:pt idx="6">
                  <c:v>5.0442785114037337E-3</c:v>
                </c:pt>
                <c:pt idx="7">
                  <c:v>5.3018997278475727E-3</c:v>
                </c:pt>
                <c:pt idx="8">
                  <c:v>5.4965834656915853E-3</c:v>
                </c:pt>
                <c:pt idx="9">
                  <c:v>6.0778078543131265E-3</c:v>
                </c:pt>
                <c:pt idx="10">
                  <c:v>6.5456721402579214E-3</c:v>
                </c:pt>
                <c:pt idx="11">
                  <c:v>6.9311068577315059E-3</c:v>
                </c:pt>
                <c:pt idx="12">
                  <c:v>7.2547324680217427E-3</c:v>
                </c:pt>
                <c:pt idx="13">
                  <c:v>7.9281136969782257E-3</c:v>
                </c:pt>
                <c:pt idx="14">
                  <c:v>8.5098923975554207E-3</c:v>
                </c:pt>
                <c:pt idx="15">
                  <c:v>9.0184236788959631E-3</c:v>
                </c:pt>
                <c:pt idx="16">
                  <c:v>9.4674742670921262E-3</c:v>
                </c:pt>
                <c:pt idx="17">
                  <c:v>1.0120914316167032E-2</c:v>
                </c:pt>
                <c:pt idx="18">
                  <c:v>1.0707660470166329E-2</c:v>
                </c:pt>
                <c:pt idx="19">
                  <c:v>1.123830155043856E-2</c:v>
                </c:pt>
                <c:pt idx="20">
                  <c:v>1.1721309480769668E-2</c:v>
                </c:pt>
                <c:pt idx="21">
                  <c:v>1.2294700634790994E-2</c:v>
                </c:pt>
                <c:pt idx="22">
                  <c:v>1.2822420248587251E-2</c:v>
                </c:pt>
                <c:pt idx="23">
                  <c:v>1.3310499720322113E-2</c:v>
                </c:pt>
                <c:pt idx="24">
                  <c:v>1.3763966506132536E-2</c:v>
                </c:pt>
                <c:pt idx="25">
                  <c:v>1.4255645781974094E-2</c:v>
                </c:pt>
                <c:pt idx="26">
                  <c:v>1.4716074405046541E-2</c:v>
                </c:pt>
                <c:pt idx="27">
                  <c:v>1.5148808192893978E-2</c:v>
                </c:pt>
                <c:pt idx="28">
                  <c:v>1.5556896594419821E-2</c:v>
                </c:pt>
                <c:pt idx="29">
                  <c:v>1.5996649490602036E-2</c:v>
                </c:pt>
                <c:pt idx="30">
                  <c:v>1.6413811834014511E-2</c:v>
                </c:pt>
                <c:pt idx="31">
                  <c:v>1.6810663269599718E-2</c:v>
                </c:pt>
                <c:pt idx="32">
                  <c:v>1.7189200450819103E-2</c:v>
                </c:pt>
                <c:pt idx="33">
                  <c:v>1.7586825110419899E-2</c:v>
                </c:pt>
                <c:pt idx="34">
                  <c:v>1.7967867180453834E-2</c:v>
                </c:pt>
                <c:pt idx="35">
                  <c:v>1.8333849785703325E-2</c:v>
                </c:pt>
                <c:pt idx="36">
                  <c:v>1.8686129116277261E-2</c:v>
                </c:pt>
                <c:pt idx="37">
                  <c:v>1.9038166434355294E-2</c:v>
                </c:pt>
                <c:pt idx="38">
                  <c:v>1.9378344297495621E-2</c:v>
                </c:pt>
                <c:pt idx="39">
                  <c:v>1.9707679660487455E-2</c:v>
                </c:pt>
                <c:pt idx="40">
                  <c:v>2.0027090269464649E-2</c:v>
                </c:pt>
                <c:pt idx="41">
                  <c:v>2.0316821761048872E-2</c:v>
                </c:pt>
                <c:pt idx="42">
                  <c:v>2.0598864782399553E-2</c:v>
                </c:pt>
                <c:pt idx="43">
                  <c:v>2.0873852461752603E-2</c:v>
                </c:pt>
                <c:pt idx="44">
                  <c:v>2.1142362687667872E-2</c:v>
                </c:pt>
                <c:pt idx="45">
                  <c:v>2.1434879606538646E-2</c:v>
                </c:pt>
                <c:pt idx="46">
                  <c:v>2.1721129832859658E-2</c:v>
                </c:pt>
                <c:pt idx="47">
                  <c:v>2.2001623565613224E-2</c:v>
                </c:pt>
                <c:pt idx="48">
                  <c:v>2.2276831336793493E-2</c:v>
                </c:pt>
                <c:pt idx="49">
                  <c:v>2.2455707366084307E-2</c:v>
                </c:pt>
                <c:pt idx="50">
                  <c:v>2.2632284014134231E-2</c:v>
                </c:pt>
                <c:pt idx="51">
                  <c:v>2.2806771590678378E-2</c:v>
                </c:pt>
                <c:pt idx="52">
                  <c:v>2.2979365982363501E-2</c:v>
                </c:pt>
                <c:pt idx="53">
                  <c:v>2.3160859648141807E-2</c:v>
                </c:pt>
                <c:pt idx="54">
                  <c:v>2.3340591519281702E-2</c:v>
                </c:pt>
                <c:pt idx="55">
                  <c:v>2.3518738387370848E-2</c:v>
                </c:pt>
                <c:pt idx="56">
                  <c:v>2.3695466402263287E-2</c:v>
                </c:pt>
                <c:pt idx="57">
                  <c:v>2.3879759251715024E-2</c:v>
                </c:pt>
                <c:pt idx="58">
                  <c:v>2.4062782282990289E-2</c:v>
                </c:pt>
                <c:pt idx="59">
                  <c:v>2.4244687033304273E-2</c:v>
                </c:pt>
                <c:pt idx="60">
                  <c:v>2.4425617188797651E-2</c:v>
                </c:pt>
                <c:pt idx="61">
                  <c:v>2.4477822228386063E-2</c:v>
                </c:pt>
                <c:pt idx="62">
                  <c:v>2.4531438478691402E-2</c:v>
                </c:pt>
                <c:pt idx="63">
                  <c:v>2.4586441379989339E-2</c:v>
                </c:pt>
                <c:pt idx="64">
                  <c:v>2.4642808795120066E-2</c:v>
                </c:pt>
                <c:pt idx="65">
                  <c:v>2.4697030108959097E-2</c:v>
                </c:pt>
                <c:pt idx="66">
                  <c:v>2.4752634946230052E-2</c:v>
                </c:pt>
                <c:pt idx="67">
                  <c:v>2.4809603947413938E-2</c:v>
                </c:pt>
                <c:pt idx="68">
                  <c:v>2.486791979741465E-2</c:v>
                </c:pt>
                <c:pt idx="69">
                  <c:v>2.4923984116101531E-2</c:v>
                </c:pt>
                <c:pt idx="70">
                  <c:v>2.498141715882863E-2</c:v>
                </c:pt>
                <c:pt idx="71">
                  <c:v>2.5040203786408703E-2</c:v>
                </c:pt>
                <c:pt idx="72">
                  <c:v>2.5100330628097037E-2</c:v>
                </c:pt>
                <c:pt idx="73">
                  <c:v>2.5158112904649328E-2</c:v>
                </c:pt>
                <c:pt idx="74">
                  <c:v>2.5217258908554623E-2</c:v>
                </c:pt>
                <c:pt idx="75">
                  <c:v>2.5277757033050331E-2</c:v>
                </c:pt>
                <c:pt idx="76">
                  <c:v>2.5339597235047005E-2</c:v>
                </c:pt>
                <c:pt idx="77">
                  <c:v>2.5399009195788302E-2</c:v>
                </c:pt>
                <c:pt idx="78">
                  <c:v>2.5459787559638507E-2</c:v>
                </c:pt>
                <c:pt idx="79">
                  <c:v>2.5521923762161832E-2</c:v>
                </c:pt>
                <c:pt idx="80">
                  <c:v>2.5585410649050306E-2</c:v>
                </c:pt>
                <c:pt idx="81">
                  <c:v>2.558111749750698E-2</c:v>
                </c:pt>
                <c:pt idx="82">
                  <c:v>2.5578883283019202E-2</c:v>
                </c:pt>
                <c:pt idx="83">
                  <c:v>2.5578658260646019E-2</c:v>
                </c:pt>
                <c:pt idx="84">
                  <c:v>2.5580395524646134E-2</c:v>
                </c:pt>
                <c:pt idx="85">
                  <c:v>2.5577393014772246E-2</c:v>
                </c:pt>
                <c:pt idx="86">
                  <c:v>2.5576336649255689E-2</c:v>
                </c:pt>
                <c:pt idx="87">
                  <c:v>2.557718310700198E-2</c:v>
                </c:pt>
                <c:pt idx="88">
                  <c:v>2.5579891491390085E-2</c:v>
                </c:pt>
                <c:pt idx="89">
                  <c:v>2.5578029952343196E-2</c:v>
                </c:pt>
                <c:pt idx="90">
                  <c:v>2.5578015376390227E-2</c:v>
                </c:pt>
                <c:pt idx="91">
                  <c:v>2.5579809858619743E-2</c:v>
                </c:pt>
                <c:pt idx="92">
                  <c:v>2.5583377583912582E-2</c:v>
                </c:pt>
                <c:pt idx="93">
                  <c:v>2.5582532809512185E-2</c:v>
                </c:pt>
                <c:pt idx="94">
                  <c:v>2.5583447158156181E-2</c:v>
                </c:pt>
                <c:pt idx="95">
                  <c:v>2.5586087332652871E-2</c:v>
                </c:pt>
                <c:pt idx="96">
                  <c:v>2.5590421852668219E-2</c:v>
                </c:pt>
                <c:pt idx="97">
                  <c:v>2.559049000491764E-2</c:v>
                </c:pt>
                <c:pt idx="98">
                  <c:v>2.5592238986223079E-2</c:v>
                </c:pt>
                <c:pt idx="99">
                  <c:v>2.55956394512705E-2</c:v>
                </c:pt>
                <c:pt idx="100">
                  <c:v>2.5600663646908401E-2</c:v>
                </c:pt>
                <c:pt idx="101">
                  <c:v>2.5584099626871224E-2</c:v>
                </c:pt>
                <c:pt idx="102">
                  <c:v>2.5569272111937085E-2</c:v>
                </c:pt>
                <c:pt idx="103">
                  <c:v>2.5556147452549086E-2</c:v>
                </c:pt>
                <c:pt idx="104">
                  <c:v>2.5544693599734561E-2</c:v>
                </c:pt>
                <c:pt idx="105">
                  <c:v>2.5528883118179909E-2</c:v>
                </c:pt>
                <c:pt idx="106">
                  <c:v>2.5514724490890452E-2</c:v>
                </c:pt>
                <c:pt idx="107">
                  <c:v>2.5502187611187128E-2</c:v>
                </c:pt>
                <c:pt idx="108">
                  <c:v>2.5491243780337135E-2</c:v>
                </c:pt>
                <c:pt idx="109">
                  <c:v>2.5476102281248112E-2</c:v>
                </c:pt>
                <c:pt idx="110">
                  <c:v>2.5462535614940957E-2</c:v>
                </c:pt>
                <c:pt idx="111">
                  <c:v>2.5450516755069964E-2</c:v>
                </c:pt>
                <c:pt idx="112">
                  <c:v>2.5440019920856646E-2</c:v>
                </c:pt>
                <c:pt idx="113">
                  <c:v>2.5425474314144225E-2</c:v>
                </c:pt>
                <c:pt idx="114">
                  <c:v>2.5412433142830176E-2</c:v>
                </c:pt>
                <c:pt idx="115">
                  <c:v>2.5400872072835666E-2</c:v>
                </c:pt>
                <c:pt idx="116">
                  <c:v>2.539076787783031E-2</c:v>
                </c:pt>
                <c:pt idx="117">
                  <c:v>2.5376754627012627E-2</c:v>
                </c:pt>
                <c:pt idx="118">
                  <c:v>2.5364181201772536E-2</c:v>
                </c:pt>
                <c:pt idx="119">
                  <c:v>2.5353025632442513E-2</c:v>
                </c:pt>
                <c:pt idx="120">
                  <c:v>2.5343266939381926E-2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6928"/>
        <c:axId val="234197504"/>
      </c:scatterChart>
      <c:valAx>
        <c:axId val="234196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4197504"/>
        <c:crosses val="autoZero"/>
        <c:crossBetween val="midCat"/>
      </c:valAx>
      <c:valAx>
        <c:axId val="23419750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196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30518775667421"/>
          <c:y val="7.8855819520434037E-2"/>
          <c:w val="0.53383541840700788"/>
          <c:h val="8.4032401351914005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ドルゼロイールド（ベーシス・テナー考慮）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'試算番号2-4'!$H$10:$H$137</c:f>
              <c:numCache>
                <c:formatCode>0.000_ </c:formatCode>
                <c:ptCount val="128"/>
                <c:pt idx="0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 formatCode="0.00_ 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'試算番号2-4'!$R$10:$R$137</c:f>
              <c:numCache>
                <c:formatCode>0.00%</c:formatCode>
                <c:ptCount val="128"/>
                <c:pt idx="0">
                  <c:v>3.8758752600459726E-3</c:v>
                </c:pt>
                <c:pt idx="1">
                  <c:v>3.8758752600459726E-3</c:v>
                </c:pt>
                <c:pt idx="2">
                  <c:v>3.9026543776734361E-3</c:v>
                </c:pt>
                <c:pt idx="3">
                  <c:v>3.9294353045881397E-3</c:v>
                </c:pt>
                <c:pt idx="4">
                  <c:v>4.1213978025207371E-3</c:v>
                </c:pt>
                <c:pt idx="5">
                  <c:v>4.0295385705690009E-3</c:v>
                </c:pt>
                <c:pt idx="6">
                  <c:v>4.1999913689153507E-3</c:v>
                </c:pt>
                <c:pt idx="7">
                  <c:v>4.4113997925522303E-3</c:v>
                </c:pt>
                <c:pt idx="8">
                  <c:v>4.8952544295984149E-3</c:v>
                </c:pt>
                <c:pt idx="9">
                  <c:v>5.0130322718854913E-3</c:v>
                </c:pt>
                <c:pt idx="10">
                  <c:v>5.4570646338126831E-3</c:v>
                </c:pt>
                <c:pt idx="11">
                  <c:v>5.9064109334765981E-3</c:v>
                </c:pt>
                <c:pt idx="12">
                  <c:v>6.4263255448220712E-3</c:v>
                </c:pt>
                <c:pt idx="13">
                  <c:v>7.5903130449288094E-3</c:v>
                </c:pt>
                <c:pt idx="14">
                  <c:v>8.2774322628834784E-3</c:v>
                </c:pt>
                <c:pt idx="15">
                  <c:v>9.2824660422026525E-3</c:v>
                </c:pt>
                <c:pt idx="16">
                  <c:v>9.8704947109292483E-3</c:v>
                </c:pt>
                <c:pt idx="17">
                  <c:v>1.1439698313795169E-2</c:v>
                </c:pt>
                <c:pt idx="18">
                  <c:v>1.2326168126005822E-2</c:v>
                </c:pt>
                <c:pt idx="19">
                  <c:v>1.3612606137717269E-2</c:v>
                </c:pt>
                <c:pt idx="20">
                  <c:v>1.4490242388614388E-2</c:v>
                </c:pt>
                <c:pt idx="21">
                  <c:v>1.6215653188895073E-2</c:v>
                </c:pt>
                <c:pt idx="22">
                  <c:v>1.7335765320816075E-2</c:v>
                </c:pt>
                <c:pt idx="23">
                  <c:v>1.8846384162087764E-2</c:v>
                </c:pt>
                <c:pt idx="24">
                  <c:v>1.9933017345134949E-2</c:v>
                </c:pt>
                <c:pt idx="25">
                  <c:v>2.1369610285991554E-2</c:v>
                </c:pt>
                <c:pt idx="26">
                  <c:v>2.2495379154714529E-2</c:v>
                </c:pt>
                <c:pt idx="27">
                  <c:v>2.3925054003625764E-2</c:v>
                </c:pt>
                <c:pt idx="28">
                  <c:v>2.4996319527446822E-2</c:v>
                </c:pt>
                <c:pt idx="29">
                  <c:v>2.6079156213012211E-2</c:v>
                </c:pt>
                <c:pt idx="30">
                  <c:v>2.70643115804989E-2</c:v>
                </c:pt>
                <c:pt idx="31">
                  <c:v>2.8262068324223937E-2</c:v>
                </c:pt>
                <c:pt idx="32">
                  <c:v>2.9206636134545116E-2</c:v>
                </c:pt>
                <c:pt idx="33">
                  <c:v>3.0032763072454852E-2</c:v>
                </c:pt>
                <c:pt idx="34">
                  <c:v>3.0858049704122162E-2</c:v>
                </c:pt>
                <c:pt idx="35">
                  <c:v>3.1827064223460558E-2</c:v>
                </c:pt>
                <c:pt idx="36">
                  <c:v>3.2616756904398574E-2</c:v>
                </c:pt>
                <c:pt idx="37">
                  <c:v>3.3221723813264603E-2</c:v>
                </c:pt>
                <c:pt idx="38">
                  <c:v>3.3881220924816401E-2</c:v>
                </c:pt>
                <c:pt idx="39">
                  <c:v>3.4634210960366146E-2</c:v>
                </c:pt>
                <c:pt idx="40">
                  <c:v>3.5271424576375783E-2</c:v>
                </c:pt>
                <c:pt idx="41">
                  <c:v>3.577825302814349E-2</c:v>
                </c:pt>
                <c:pt idx="42">
                  <c:v>3.6325836287394907E-2</c:v>
                </c:pt>
                <c:pt idx="43">
                  <c:v>3.6936699841279591E-2</c:v>
                </c:pt>
                <c:pt idx="44">
                  <c:v>3.7450033699618114E-2</c:v>
                </c:pt>
                <c:pt idx="45">
                  <c:v>3.7849005552910063E-2</c:v>
                </c:pt>
                <c:pt idx="46">
                  <c:v>3.8289143143581623E-2</c:v>
                </c:pt>
                <c:pt idx="47">
                  <c:v>3.8771899101779826E-2</c:v>
                </c:pt>
                <c:pt idx="48">
                  <c:v>3.9187998371781718E-2</c:v>
                </c:pt>
                <c:pt idx="49">
                  <c:v>3.9443716339544965E-2</c:v>
                </c:pt>
                <c:pt idx="50">
                  <c:v>3.9770137729764767E-2</c:v>
                </c:pt>
                <c:pt idx="51">
                  <c:v>4.0121796116536837E-2</c:v>
                </c:pt>
                <c:pt idx="52">
                  <c:v>4.0453177812336191E-2</c:v>
                </c:pt>
                <c:pt idx="53">
                  <c:v>4.080748916150706E-2</c:v>
                </c:pt>
                <c:pt idx="54">
                  <c:v>4.1143913618284872E-2</c:v>
                </c:pt>
                <c:pt idx="55">
                  <c:v>4.1501121138962115E-2</c:v>
                </c:pt>
                <c:pt idx="56">
                  <c:v>4.1823186903485798E-2</c:v>
                </c:pt>
                <c:pt idx="57">
                  <c:v>4.1845913006848992E-2</c:v>
                </c:pt>
                <c:pt idx="58">
                  <c:v>4.2016267238027073E-2</c:v>
                </c:pt>
                <c:pt idx="59">
                  <c:v>4.2191232074719351E-2</c:v>
                </c:pt>
                <c:pt idx="60">
                  <c:v>4.2363225258940471E-2</c:v>
                </c:pt>
                <c:pt idx="61">
                  <c:v>4.2538914835820708E-2</c:v>
                </c:pt>
                <c:pt idx="62">
                  <c:v>4.271251535726802E-2</c:v>
                </c:pt>
                <c:pt idx="63">
                  <c:v>4.288894972879792E-2</c:v>
                </c:pt>
                <c:pt idx="64">
                  <c:v>4.3064145604555536E-2</c:v>
                </c:pt>
                <c:pt idx="65">
                  <c:v>4.3241358156695102E-2</c:v>
                </c:pt>
                <c:pt idx="66">
                  <c:v>4.3418155391841698E-2</c:v>
                </c:pt>
                <c:pt idx="67">
                  <c:v>4.3596192091097247E-2</c:v>
                </c:pt>
                <c:pt idx="68">
                  <c:v>4.3764898362083721E-2</c:v>
                </c:pt>
                <c:pt idx="69">
                  <c:v>4.3637425866518198E-2</c:v>
                </c:pt>
                <c:pt idx="70">
                  <c:v>4.3660510571564053E-2</c:v>
                </c:pt>
                <c:pt idx="71">
                  <c:v>4.3676259894681484E-2</c:v>
                </c:pt>
                <c:pt idx="72">
                  <c:v>4.3699011501659016E-2</c:v>
                </c:pt>
                <c:pt idx="73">
                  <c:v>4.371429312326891E-2</c:v>
                </c:pt>
                <c:pt idx="74">
                  <c:v>4.3736632141793082E-2</c:v>
                </c:pt>
                <c:pt idx="75">
                  <c:v>4.375137271187849E-2</c:v>
                </c:pt>
                <c:pt idx="76">
                  <c:v>4.3773233399587927E-2</c:v>
                </c:pt>
                <c:pt idx="77">
                  <c:v>4.3787372473219538E-2</c:v>
                </c:pt>
                <c:pt idx="78">
                  <c:v>4.3808701561437173E-2</c:v>
                </c:pt>
                <c:pt idx="79">
                  <c:v>4.3822190457969687E-2</c:v>
                </c:pt>
                <c:pt idx="80">
                  <c:v>4.3842946123042875E-2</c:v>
                </c:pt>
                <c:pt idx="81">
                  <c:v>4.3855747005797155E-2</c:v>
                </c:pt>
                <c:pt idx="82">
                  <c:v>4.3875898041733474E-2</c:v>
                </c:pt>
                <c:pt idx="83">
                  <c:v>4.3887983178857455E-2</c:v>
                </c:pt>
                <c:pt idx="84">
                  <c:v>4.3907508336088093E-2</c:v>
                </c:pt>
                <c:pt idx="85">
                  <c:v>4.391885951135608E-2</c:v>
                </c:pt>
                <c:pt idx="86">
                  <c:v>4.3937746973609873E-2</c:v>
                </c:pt>
                <c:pt idx="87">
                  <c:v>4.3948355022209146E-2</c:v>
                </c:pt>
                <c:pt idx="88">
                  <c:v>4.4014627388114055E-2</c:v>
                </c:pt>
                <c:pt idx="89">
                  <c:v>4.3985128480922356E-2</c:v>
                </c:pt>
                <c:pt idx="90">
                  <c:v>4.400768282314254E-2</c:v>
                </c:pt>
                <c:pt idx="91">
                  <c:v>4.4021223795286973E-2</c:v>
                </c:pt>
                <c:pt idx="92">
                  <c:v>4.4043656843589074E-2</c:v>
                </c:pt>
                <c:pt idx="93">
                  <c:v>4.4057065369681916E-2</c:v>
                </c:pt>
                <c:pt idx="94">
                  <c:v>4.4079343121850863E-2</c:v>
                </c:pt>
                <c:pt idx="95">
                  <c:v>4.4092583323066752E-2</c:v>
                </c:pt>
                <c:pt idx="96">
                  <c:v>4.4114676933759513E-2</c:v>
                </c:pt>
                <c:pt idx="97">
                  <c:v>4.4127718075166508E-2</c:v>
                </c:pt>
                <c:pt idx="98">
                  <c:v>4.4149603582818858E-2</c:v>
                </c:pt>
                <c:pt idx="99">
                  <c:v>4.4162419808255013E-2</c:v>
                </c:pt>
                <c:pt idx="100">
                  <c:v>4.4184077918451484E-2</c:v>
                </c:pt>
                <c:pt idx="101">
                  <c:v>4.4196648039755405E-2</c:v>
                </c:pt>
                <c:pt idx="102">
                  <c:v>4.4218063958052646E-2</c:v>
                </c:pt>
                <c:pt idx="103">
                  <c:v>4.4230371292035164E-2</c:v>
                </c:pt>
                <c:pt idx="104">
                  <c:v>4.4251534600479488E-2</c:v>
                </c:pt>
                <c:pt idx="105">
                  <c:v>4.4263566848192451E-2</c:v>
                </c:pt>
                <c:pt idx="106">
                  <c:v>4.4284471420810469E-2</c:v>
                </c:pt>
                <c:pt idx="107">
                  <c:v>4.4296220584640833E-2</c:v>
                </c:pt>
                <c:pt idx="108">
                  <c:v>4.4370493243114886E-2</c:v>
                </c:pt>
                <c:pt idx="109">
                  <c:v>4.418844419495116E-2</c:v>
                </c:pt>
                <c:pt idx="110">
                  <c:v>4.4138346444411787E-2</c:v>
                </c:pt>
                <c:pt idx="111">
                  <c:v>4.4078481149776229E-2</c:v>
                </c:pt>
                <c:pt idx="112">
                  <c:v>4.4027911824865935E-2</c:v>
                </c:pt>
                <c:pt idx="113">
                  <c:v>4.3967733124667271E-2</c:v>
                </c:pt>
                <c:pt idx="114">
                  <c:v>4.391664962495305E-2</c:v>
                </c:pt>
                <c:pt idx="115">
                  <c:v>4.3856109817022745E-2</c:v>
                </c:pt>
                <c:pt idx="116">
                  <c:v>4.3804472686299285E-2</c:v>
                </c:pt>
                <c:pt idx="117">
                  <c:v>4.3743527473488489E-2</c:v>
                </c:pt>
                <c:pt idx="118">
                  <c:v>4.3691300193920528E-2</c:v>
                </c:pt>
                <c:pt idx="119">
                  <c:v>4.3629908464756277E-2</c:v>
                </c:pt>
                <c:pt idx="120">
                  <c:v>4.3577057275892297E-2</c:v>
                </c:pt>
                <c:pt idx="121">
                  <c:v>4.3515180910794149E-2</c:v>
                </c:pt>
                <c:pt idx="122">
                  <c:v>4.346167465030043E-2</c:v>
                </c:pt>
                <c:pt idx="123">
                  <c:v>4.3399278350182424E-2</c:v>
                </c:pt>
                <c:pt idx="124">
                  <c:v>4.3345088313561549E-2</c:v>
                </c:pt>
                <c:pt idx="125">
                  <c:v>4.3282139448052523E-2</c:v>
                </c:pt>
                <c:pt idx="126">
                  <c:v>4.3227239264960145E-2</c:v>
                </c:pt>
                <c:pt idx="127">
                  <c:v>4.3163707737824124E-2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99808"/>
        <c:axId val="234200384"/>
      </c:scatterChart>
      <c:valAx>
        <c:axId val="234199808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34200384"/>
        <c:crosses val="autoZero"/>
        <c:crossBetween val="midCat"/>
      </c:valAx>
      <c:valAx>
        <c:axId val="2342003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34199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611497314845953"/>
          <c:y val="6.4978267608009038E-2"/>
          <c:w val="0.50806988064206748"/>
          <c:h val="7.015484943948895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ユーロゼロイールド（ベーシス・テナー考慮）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'試算番号2-5'!$G$10:$G$137</c:f>
              <c:numCache>
                <c:formatCode>0.000_ </c:formatCode>
                <c:ptCount val="128"/>
                <c:pt idx="0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 formatCode="0.00_ 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'試算番号2-5'!$S$10:$S$137</c:f>
              <c:numCache>
                <c:formatCode>0.000%</c:formatCode>
                <c:ptCount val="128"/>
                <c:pt idx="0">
                  <c:v>2.8518579592384389E-3</c:v>
                </c:pt>
                <c:pt idx="1">
                  <c:v>2.8518579592384389E-3</c:v>
                </c:pt>
                <c:pt idx="2">
                  <c:v>2.8116074681008465E-3</c:v>
                </c:pt>
                <c:pt idx="3">
                  <c:v>2.8116564787865096E-3</c:v>
                </c:pt>
                <c:pt idx="4">
                  <c:v>2.8996123687164733E-3</c:v>
                </c:pt>
                <c:pt idx="5">
                  <c:v>2.7792511772854354E-3</c:v>
                </c:pt>
                <c:pt idx="6">
                  <c:v>2.8413010425645201E-3</c:v>
                </c:pt>
                <c:pt idx="7">
                  <c:v>3.0401482895779952E-3</c:v>
                </c:pt>
                <c:pt idx="8">
                  <c:v>3.3785464134706202E-3</c:v>
                </c:pt>
                <c:pt idx="9">
                  <c:v>3.4728440720198333E-3</c:v>
                </c:pt>
                <c:pt idx="10">
                  <c:v>3.7394742060711927E-3</c:v>
                </c:pt>
                <c:pt idx="11">
                  <c:v>4.056645672432962E-3</c:v>
                </c:pt>
                <c:pt idx="12" formatCode="0.00%">
                  <c:v>5.0222262668258907E-3</c:v>
                </c:pt>
                <c:pt idx="13" formatCode="0.00%">
                  <c:v>5.8128895981839901E-3</c:v>
                </c:pt>
                <c:pt idx="14" formatCode="0.00%">
                  <c:v>6.5042693466495537E-3</c:v>
                </c:pt>
                <c:pt idx="15" formatCode="0.00%">
                  <c:v>7.1342825539921165E-3</c:v>
                </c:pt>
                <c:pt idx="16" formatCode="0.00%">
                  <c:v>8.0463476178676465E-3</c:v>
                </c:pt>
                <c:pt idx="17" formatCode="0.00%">
                  <c:v>8.846993492904116E-3</c:v>
                </c:pt>
                <c:pt idx="18" formatCode="0.00%">
                  <c:v>9.5671150755085015E-3</c:v>
                </c:pt>
                <c:pt idx="19" formatCode="0.00%">
                  <c:v>1.0227379967346385E-2</c:v>
                </c:pt>
                <c:pt idx="20" formatCode="0.00%">
                  <c:v>1.1200793957070968E-2</c:v>
                </c:pt>
                <c:pt idx="21" formatCode="0.00%">
                  <c:v>1.2085213870106234E-2</c:v>
                </c:pt>
                <c:pt idx="22" formatCode="0.00%">
                  <c:v>1.2898928952138686E-2</c:v>
                </c:pt>
                <c:pt idx="23" formatCode="0.00%">
                  <c:v>1.365573348124023E-2</c:v>
                </c:pt>
                <c:pt idx="24" formatCode="0.00%">
                  <c:v>1.4543884645740959E-2</c:v>
                </c:pt>
                <c:pt idx="25" formatCode="0.00%">
                  <c:v>1.5367862292047514E-2</c:v>
                </c:pt>
                <c:pt idx="26" formatCode="0.00%">
                  <c:v>1.6138160567566791E-2</c:v>
                </c:pt>
                <c:pt idx="27" formatCode="0.00%">
                  <c:v>1.686326843528517E-2</c:v>
                </c:pt>
                <c:pt idx="28" formatCode="0.00%">
                  <c:v>1.7603333526855929E-2</c:v>
                </c:pt>
                <c:pt idx="29" formatCode="0.00%">
                  <c:v>1.8299652054260734E-2</c:v>
                </c:pt>
                <c:pt idx="30" formatCode="0.00%">
                  <c:v>1.8958150844768634E-2</c:v>
                </c:pt>
                <c:pt idx="31" formatCode="0.00%">
                  <c:v>1.9583864808265475E-2</c:v>
                </c:pt>
                <c:pt idx="32" formatCode="0.00%">
                  <c:v>2.0187246636005497E-2</c:v>
                </c:pt>
                <c:pt idx="33" formatCode="0.00%">
                  <c:v>2.0760663787999643E-2</c:v>
                </c:pt>
                <c:pt idx="34" formatCode="0.00%">
                  <c:v>2.1307572412936036E-2</c:v>
                </c:pt>
                <c:pt idx="35" formatCode="0.00%">
                  <c:v>2.1831028616870123E-2</c:v>
                </c:pt>
                <c:pt idx="36" formatCode="0.00%">
                  <c:v>2.2335611756929778E-2</c:v>
                </c:pt>
                <c:pt idx="37" formatCode="0.00%">
                  <c:v>2.2818420230808181E-2</c:v>
                </c:pt>
                <c:pt idx="38" formatCode="0.00%">
                  <c:v>2.3281645672291761E-2</c:v>
                </c:pt>
                <c:pt idx="39" formatCode="0.00%">
                  <c:v>2.3727284501022634E-2</c:v>
                </c:pt>
                <c:pt idx="40" formatCode="0.00%">
                  <c:v>2.4160572392087271E-2</c:v>
                </c:pt>
                <c:pt idx="41" formatCode="0.00%">
                  <c:v>2.4577717097818936E-2</c:v>
                </c:pt>
                <c:pt idx="42" formatCode="0.00%">
                  <c:v>2.4980165091725164E-2</c:v>
                </c:pt>
                <c:pt idx="43" formatCode="0.00%">
                  <c:v>2.5369272944284243E-2</c:v>
                </c:pt>
                <c:pt idx="44" formatCode="0.00%">
                  <c:v>2.5716467884224735E-2</c:v>
                </c:pt>
                <c:pt idx="45" formatCode="0.00%">
                  <c:v>2.6051788972429393E-2</c:v>
                </c:pt>
                <c:pt idx="46" formatCode="0.00%">
                  <c:v>2.6376186639482577E-2</c:v>
                </c:pt>
                <c:pt idx="47" formatCode="0.00%">
                  <c:v>2.6690576685324579E-2</c:v>
                </c:pt>
                <c:pt idx="48" formatCode="0.00%">
                  <c:v>2.694407569380362E-2</c:v>
                </c:pt>
                <c:pt idx="49" formatCode="0.00%">
                  <c:v>2.7189500703048614E-2</c:v>
                </c:pt>
                <c:pt idx="50" formatCode="0.00%">
                  <c:v>2.7427432954782664E-2</c:v>
                </c:pt>
                <c:pt idx="51" formatCode="0.00%">
                  <c:v>2.765845118905871E-2</c:v>
                </c:pt>
                <c:pt idx="52" formatCode="0.00%">
                  <c:v>2.7913012594283658E-2</c:v>
                </c:pt>
                <c:pt idx="53" formatCode="0.00%">
                  <c:v>2.816088013372018E-2</c:v>
                </c:pt>
                <c:pt idx="54" formatCode="0.00%">
                  <c:v>2.8402518438937714E-2</c:v>
                </c:pt>
                <c:pt idx="55" formatCode="0.00%">
                  <c:v>2.8638398603892962E-2</c:v>
                </c:pt>
                <c:pt idx="56" formatCode="0.00%">
                  <c:v>2.8762128387142292E-2</c:v>
                </c:pt>
                <c:pt idx="57" formatCode="0.00%">
                  <c:v>2.88828342080647E-2</c:v>
                </c:pt>
                <c:pt idx="58" formatCode="0.00%">
                  <c:v>2.9000700849580594E-2</c:v>
                </c:pt>
                <c:pt idx="59" formatCode="0.00%">
                  <c:v>2.9115935630660481E-2</c:v>
                </c:pt>
                <c:pt idx="60" formatCode="0.00%">
                  <c:v>2.9239314534688435E-2</c:v>
                </c:pt>
                <c:pt idx="61" formatCode="0.00%">
                  <c:v>2.936019506369927E-2</c:v>
                </c:pt>
                <c:pt idx="62" formatCode="0.00%">
                  <c:v>2.947873159603024E-2</c:v>
                </c:pt>
                <c:pt idx="63" formatCode="0.00%">
                  <c:v>2.9595100099335931E-2</c:v>
                </c:pt>
                <c:pt idx="64" formatCode="0.00%">
                  <c:v>2.9718269345799037E-2</c:v>
                </c:pt>
                <c:pt idx="65" formatCode="0.00%">
                  <c:v>2.983941899860865E-2</c:v>
                </c:pt>
                <c:pt idx="66" formatCode="0.00%">
                  <c:v>2.9958680926144732E-2</c:v>
                </c:pt>
                <c:pt idx="67" formatCode="0.00%">
                  <c:v>3.0076207205651628E-2</c:v>
                </c:pt>
                <c:pt idx="68" formatCode="0.00%">
                  <c:v>3.0053407183024076E-2</c:v>
                </c:pt>
                <c:pt idx="69" formatCode="0.00%">
                  <c:v>3.003128138615475E-2</c:v>
                </c:pt>
                <c:pt idx="70" formatCode="0.00%">
                  <c:v>3.0009802948623085E-2</c:v>
                </c:pt>
                <c:pt idx="71" formatCode="0.00%">
                  <c:v>2.9988962382243339E-2</c:v>
                </c:pt>
                <c:pt idx="72" formatCode="0.00%">
                  <c:v>2.996524519557775E-2</c:v>
                </c:pt>
                <c:pt idx="73" formatCode="0.00%">
                  <c:v>2.9942193165446225E-2</c:v>
                </c:pt>
                <c:pt idx="74" formatCode="0.00%">
                  <c:v>2.9919786130835534E-2</c:v>
                </c:pt>
                <c:pt idx="75" formatCode="0.00%">
                  <c:v>2.989801886146657E-2</c:v>
                </c:pt>
                <c:pt idx="76" formatCode="0.00%">
                  <c:v>2.9873290521445196E-2</c:v>
                </c:pt>
                <c:pt idx="77" formatCode="0.00%">
                  <c:v>2.9849233743223888E-2</c:v>
                </c:pt>
                <c:pt idx="78" formatCode="0.00%">
                  <c:v>2.9825833981408159E-2</c:v>
                </c:pt>
                <c:pt idx="79" formatCode="0.00%">
                  <c:v>2.9803089495917826E-2</c:v>
                </c:pt>
                <c:pt idx="80" formatCode="0.00%">
                  <c:v>2.9777314362838786E-2</c:v>
                </c:pt>
                <c:pt idx="81" formatCode="0.00%">
                  <c:v>2.975222963275001E-2</c:v>
                </c:pt>
                <c:pt idx="82" formatCode="0.00%">
                  <c:v>2.9727825575825158E-2</c:v>
                </c:pt>
                <c:pt idx="83" formatCode="0.00%">
                  <c:v>2.970410340492485E-2</c:v>
                </c:pt>
                <c:pt idx="84" formatCode="0.00%">
                  <c:v>2.9677292855432223E-2</c:v>
                </c:pt>
                <c:pt idx="85" formatCode="0.00%">
                  <c:v>2.9651201837906586E-2</c:v>
                </c:pt>
                <c:pt idx="86" formatCode="0.00%">
                  <c:v>2.9625824833050176E-2</c:v>
                </c:pt>
                <c:pt idx="87" formatCode="0.00%">
                  <c:v>2.9601165622057907E-2</c:v>
                </c:pt>
                <c:pt idx="88" formatCode="0.00%">
                  <c:v>2.954206856803333E-2</c:v>
                </c:pt>
                <c:pt idx="89" formatCode="0.00%">
                  <c:v>2.9484624058917233E-2</c:v>
                </c:pt>
                <c:pt idx="90" formatCode="0.00%">
                  <c:v>2.9428786073163474E-2</c:v>
                </c:pt>
                <c:pt idx="91" formatCode="0.00%">
                  <c:v>2.9374512567417948E-2</c:v>
                </c:pt>
                <c:pt idx="92" formatCode="0.00%">
                  <c:v>2.9315101166190547E-2</c:v>
                </c:pt>
                <c:pt idx="93" formatCode="0.00%">
                  <c:v>2.9257244292707842E-2</c:v>
                </c:pt>
                <c:pt idx="94" formatCode="0.00%">
                  <c:v>2.920090250185314E-2</c:v>
                </c:pt>
                <c:pt idx="95" formatCode="0.00%">
                  <c:v>2.9146039615972261E-2</c:v>
                </c:pt>
                <c:pt idx="96" formatCode="0.00%">
                  <c:v>2.9086223827954547E-2</c:v>
                </c:pt>
                <c:pt idx="97" formatCode="0.00%">
                  <c:v>2.9027879276892751E-2</c:v>
                </c:pt>
                <c:pt idx="98" formatCode="0.00%">
                  <c:v>2.8970972091256975E-2</c:v>
                </c:pt>
                <c:pt idx="99" formatCode="0.00%">
                  <c:v>2.8915471066468187E-2</c:v>
                </c:pt>
                <c:pt idx="100" formatCode="0.00%">
                  <c:v>2.8855190844423378E-2</c:v>
                </c:pt>
                <c:pt idx="101" formatCode="0.00%">
                  <c:v>2.8796311032350523E-2</c:v>
                </c:pt>
                <c:pt idx="102" formatCode="0.00%">
                  <c:v>2.8738802522320857E-2</c:v>
                </c:pt>
                <c:pt idx="103" formatCode="0.00%">
                  <c:v>2.8682638362193726E-2</c:v>
                </c:pt>
                <c:pt idx="104" formatCode="0.00%">
                  <c:v>2.8621858545064223E-2</c:v>
                </c:pt>
                <c:pt idx="105" formatCode="0.00%">
                  <c:v>2.8562418964350793E-2</c:v>
                </c:pt>
                <c:pt idx="106" formatCode="0.00%">
                  <c:v>2.8504294612976402E-2</c:v>
                </c:pt>
                <c:pt idx="107" formatCode="0.00%">
                  <c:v>2.8447462202134014E-2</c:v>
                </c:pt>
                <c:pt idx="108" formatCode="0.00%">
                  <c:v>2.8400091496700992E-2</c:v>
                </c:pt>
                <c:pt idx="109" formatCode="0.00%">
                  <c:v>2.8354214137045416E-2</c:v>
                </c:pt>
                <c:pt idx="110" formatCode="0.00%">
                  <c:v>2.8309799897718382E-2</c:v>
                </c:pt>
                <c:pt idx="111" formatCode="0.00%">
                  <c:v>2.8266818675757539E-2</c:v>
                </c:pt>
                <c:pt idx="112" formatCode="0.00%">
                  <c:v>2.821924287497023E-2</c:v>
                </c:pt>
                <c:pt idx="113" formatCode="0.00%">
                  <c:v>2.8173083779914371E-2</c:v>
                </c:pt>
                <c:pt idx="114" formatCode="0.00%">
                  <c:v>2.8128314514631405E-2</c:v>
                </c:pt>
                <c:pt idx="115" formatCode="0.00%">
                  <c:v>2.8084908149669373E-2</c:v>
                </c:pt>
                <c:pt idx="116" formatCode="0.00%">
                  <c:v>2.803707377909426E-2</c:v>
                </c:pt>
                <c:pt idx="117" formatCode="0.00%">
                  <c:v>2.7990587020528968E-2</c:v>
                </c:pt>
                <c:pt idx="118" formatCode="0.00%">
                  <c:v>2.7945423917822239E-2</c:v>
                </c:pt>
                <c:pt idx="119" formatCode="0.00%">
                  <c:v>2.7901560315638622E-2</c:v>
                </c:pt>
                <c:pt idx="120" formatCode="0.00%">
                  <c:v>2.7853425217779237E-2</c:v>
                </c:pt>
                <c:pt idx="121" formatCode="0.00%">
                  <c:v>2.7806575268069674E-2</c:v>
                </c:pt>
                <c:pt idx="122" formatCode="0.00%">
                  <c:v>2.7760989068622548E-2</c:v>
                </c:pt>
                <c:pt idx="123" formatCode="0.00%">
                  <c:v>2.7716644901602635E-2</c:v>
                </c:pt>
                <c:pt idx="124" formatCode="0.00%">
                  <c:v>2.7668176643206536E-2</c:v>
                </c:pt>
                <c:pt idx="125" formatCode="0.00%">
                  <c:v>2.7620936930771025E-2</c:v>
                </c:pt>
                <c:pt idx="126" formatCode="0.00%">
                  <c:v>2.7574906618225908E-2</c:v>
                </c:pt>
                <c:pt idx="127" formatCode="0.00%">
                  <c:v>2.7530066139499265E-2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29920"/>
        <c:axId val="235530496"/>
      </c:scatterChart>
      <c:valAx>
        <c:axId val="235529920"/>
        <c:scaling>
          <c:orientation val="minMax"/>
        </c:scaling>
        <c:delete val="0"/>
        <c:axPos val="b"/>
        <c:numFmt formatCode="0.000_ " sourceLinked="1"/>
        <c:majorTickMark val="out"/>
        <c:minorTickMark val="none"/>
        <c:tickLblPos val="nextTo"/>
        <c:crossAx val="235530496"/>
        <c:crosses val="autoZero"/>
        <c:crossBetween val="midCat"/>
      </c:valAx>
      <c:valAx>
        <c:axId val="2355304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3552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102499338629373"/>
          <c:y val="7.4038014293514309E-2"/>
          <c:w val="0.51919858245782768"/>
          <c:h val="7.015484943948895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円OISゼロレート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'試算番号4-1'!$G$10:$G$143</c:f>
              <c:numCache>
                <c:formatCode>0.000_ </c:formatCode>
                <c:ptCount val="134"/>
                <c:pt idx="0" formatCode="General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1.9178082191780823E-2</c:v>
                </c:pt>
                <c:pt idx="4">
                  <c:v>3.8356164383561646E-2</c:v>
                </c:pt>
                <c:pt idx="5">
                  <c:v>5.7534246575342465E-2</c:v>
                </c:pt>
                <c:pt idx="6">
                  <c:v>8.3333333333333329E-2</c:v>
                </c:pt>
                <c:pt idx="7">
                  <c:v>0.16666666666666666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0.41666666666666669</c:v>
                </c:pt>
                <c:pt idx="11">
                  <c:v>0.5</c:v>
                </c:pt>
                <c:pt idx="12">
                  <c:v>0.58333333333333337</c:v>
                </c:pt>
                <c:pt idx="13">
                  <c:v>0.66666666666666663</c:v>
                </c:pt>
                <c:pt idx="14">
                  <c:v>0.75</c:v>
                </c:pt>
                <c:pt idx="15">
                  <c:v>0.83333333333333337</c:v>
                </c:pt>
                <c:pt idx="16">
                  <c:v>0.91666666666666663</c:v>
                </c:pt>
                <c:pt idx="17">
                  <c:v>1</c:v>
                </c:pt>
                <c:pt idx="18" formatCode="0.00_ ">
                  <c:v>1.25</c:v>
                </c:pt>
                <c:pt idx="19" formatCode="0.00_ ">
                  <c:v>1.5</c:v>
                </c:pt>
                <c:pt idx="20" formatCode="0.00_ ">
                  <c:v>1.75</c:v>
                </c:pt>
                <c:pt idx="21" formatCode="0.00_ ">
                  <c:v>2</c:v>
                </c:pt>
                <c:pt idx="22" formatCode="0.00_ ">
                  <c:v>2.25</c:v>
                </c:pt>
                <c:pt idx="23" formatCode="0.00_ ">
                  <c:v>2.5</c:v>
                </c:pt>
                <c:pt idx="24" formatCode="0.00_ ">
                  <c:v>2.75</c:v>
                </c:pt>
                <c:pt idx="25" formatCode="0.00_ ">
                  <c:v>3</c:v>
                </c:pt>
                <c:pt idx="26" formatCode="0.00_ ">
                  <c:v>3.25</c:v>
                </c:pt>
                <c:pt idx="27" formatCode="0.00_ ">
                  <c:v>3.5</c:v>
                </c:pt>
                <c:pt idx="28" formatCode="0.00_ ">
                  <c:v>3.75</c:v>
                </c:pt>
                <c:pt idx="29" formatCode="0.00_ ">
                  <c:v>4</c:v>
                </c:pt>
                <c:pt idx="30" formatCode="0.00_ ">
                  <c:v>4.25</c:v>
                </c:pt>
                <c:pt idx="31" formatCode="0.00_ ">
                  <c:v>4.5</c:v>
                </c:pt>
                <c:pt idx="32" formatCode="0.00_ ">
                  <c:v>4.75</c:v>
                </c:pt>
                <c:pt idx="33" formatCode="0.00_ ">
                  <c:v>5</c:v>
                </c:pt>
                <c:pt idx="34" formatCode="0.00_ ">
                  <c:v>5.25</c:v>
                </c:pt>
                <c:pt idx="35" formatCode="0.00_ ">
                  <c:v>5.5</c:v>
                </c:pt>
                <c:pt idx="36" formatCode="0.00_ ">
                  <c:v>5.75</c:v>
                </c:pt>
                <c:pt idx="37" formatCode="0.00_ ">
                  <c:v>6</c:v>
                </c:pt>
                <c:pt idx="38" formatCode="0.00_ ">
                  <c:v>6.25</c:v>
                </c:pt>
                <c:pt idx="39" formatCode="0.00_ ">
                  <c:v>6.5</c:v>
                </c:pt>
                <c:pt idx="40" formatCode="0.00_ ">
                  <c:v>6.75</c:v>
                </c:pt>
                <c:pt idx="41" formatCode="0.00_ ">
                  <c:v>7</c:v>
                </c:pt>
                <c:pt idx="42" formatCode="0.00_ ">
                  <c:v>7.25</c:v>
                </c:pt>
                <c:pt idx="43" formatCode="0.00_ ">
                  <c:v>7.5</c:v>
                </c:pt>
                <c:pt idx="44" formatCode="0.00_ ">
                  <c:v>7.75</c:v>
                </c:pt>
                <c:pt idx="45" formatCode="0.00_ ">
                  <c:v>8</c:v>
                </c:pt>
                <c:pt idx="46" formatCode="0.00_ ">
                  <c:v>8.25</c:v>
                </c:pt>
                <c:pt idx="47" formatCode="0.00_ ">
                  <c:v>8.5</c:v>
                </c:pt>
                <c:pt idx="48" formatCode="0.00_ ">
                  <c:v>8.75</c:v>
                </c:pt>
                <c:pt idx="49" formatCode="0.00_ ">
                  <c:v>9</c:v>
                </c:pt>
                <c:pt idx="50" formatCode="0.00_ ">
                  <c:v>9.25</c:v>
                </c:pt>
                <c:pt idx="51" formatCode="0.00_ ">
                  <c:v>9.5</c:v>
                </c:pt>
                <c:pt idx="52" formatCode="0.00_ ">
                  <c:v>9.75</c:v>
                </c:pt>
                <c:pt idx="53" formatCode="0.00_ ">
                  <c:v>10</c:v>
                </c:pt>
                <c:pt idx="54" formatCode="0.00_ ">
                  <c:v>10.25</c:v>
                </c:pt>
                <c:pt idx="55" formatCode="0.00_ ">
                  <c:v>10.5</c:v>
                </c:pt>
                <c:pt idx="56" formatCode="0.00_ ">
                  <c:v>10.75</c:v>
                </c:pt>
                <c:pt idx="57" formatCode="0.00_ ">
                  <c:v>11</c:v>
                </c:pt>
                <c:pt idx="58" formatCode="0.00_ ">
                  <c:v>11.25</c:v>
                </c:pt>
                <c:pt idx="59" formatCode="0.00_ ">
                  <c:v>11.5</c:v>
                </c:pt>
                <c:pt idx="60" formatCode="0.00_ ">
                  <c:v>11.75</c:v>
                </c:pt>
                <c:pt idx="61" formatCode="0.00_ ">
                  <c:v>12</c:v>
                </c:pt>
                <c:pt idx="62" formatCode="0.00_ ">
                  <c:v>12.25</c:v>
                </c:pt>
                <c:pt idx="63" formatCode="0.00_ ">
                  <c:v>12.5</c:v>
                </c:pt>
                <c:pt idx="64" formatCode="0.00_ ">
                  <c:v>12.75</c:v>
                </c:pt>
                <c:pt idx="65" formatCode="0.00_ ">
                  <c:v>13</c:v>
                </c:pt>
                <c:pt idx="66" formatCode="0.00_ ">
                  <c:v>13.25</c:v>
                </c:pt>
                <c:pt idx="67" formatCode="0.00_ ">
                  <c:v>13.5</c:v>
                </c:pt>
                <c:pt idx="68" formatCode="0.00_ ">
                  <c:v>13.75</c:v>
                </c:pt>
                <c:pt idx="69" formatCode="0.00_ ">
                  <c:v>14</c:v>
                </c:pt>
                <c:pt idx="70" formatCode="0.00_ ">
                  <c:v>14.25</c:v>
                </c:pt>
                <c:pt idx="71" formatCode="0.00_ ">
                  <c:v>14.5</c:v>
                </c:pt>
                <c:pt idx="72" formatCode="0.00_ ">
                  <c:v>14.75</c:v>
                </c:pt>
                <c:pt idx="73" formatCode="0.00_ ">
                  <c:v>15</c:v>
                </c:pt>
                <c:pt idx="74" formatCode="0.00_ ">
                  <c:v>15.25</c:v>
                </c:pt>
                <c:pt idx="75" formatCode="0.00_ ">
                  <c:v>15.5</c:v>
                </c:pt>
                <c:pt idx="76" formatCode="0.00_ ">
                  <c:v>15.75</c:v>
                </c:pt>
                <c:pt idx="77" formatCode="0.00_ ">
                  <c:v>16</c:v>
                </c:pt>
                <c:pt idx="78" formatCode="0.00_ ">
                  <c:v>16.25</c:v>
                </c:pt>
                <c:pt idx="79" formatCode="0.00_ ">
                  <c:v>16.5</c:v>
                </c:pt>
                <c:pt idx="80" formatCode="0.00_ ">
                  <c:v>16.75</c:v>
                </c:pt>
                <c:pt idx="81" formatCode="0.00_ ">
                  <c:v>17</c:v>
                </c:pt>
                <c:pt idx="82" formatCode="0.00_ ">
                  <c:v>17.25</c:v>
                </c:pt>
                <c:pt idx="83" formatCode="0.00_ ">
                  <c:v>17.5</c:v>
                </c:pt>
                <c:pt idx="84" formatCode="0.00_ ">
                  <c:v>17.75</c:v>
                </c:pt>
                <c:pt idx="85" formatCode="0.00_ ">
                  <c:v>18</c:v>
                </c:pt>
                <c:pt idx="86" formatCode="0.00_ ">
                  <c:v>18.25</c:v>
                </c:pt>
                <c:pt idx="87" formatCode="0.00_ ">
                  <c:v>18.5</c:v>
                </c:pt>
                <c:pt idx="88" formatCode="0.00_ ">
                  <c:v>18.75</c:v>
                </c:pt>
                <c:pt idx="89" formatCode="0.00_ ">
                  <c:v>19</c:v>
                </c:pt>
                <c:pt idx="90" formatCode="0.00_ ">
                  <c:v>19.25</c:v>
                </c:pt>
                <c:pt idx="91" formatCode="0.00_ ">
                  <c:v>19.5</c:v>
                </c:pt>
                <c:pt idx="92" formatCode="0.00_ ">
                  <c:v>19.75</c:v>
                </c:pt>
                <c:pt idx="93" formatCode="0.00_ ">
                  <c:v>20</c:v>
                </c:pt>
                <c:pt idx="94" formatCode="0.00_ ">
                  <c:v>20.25</c:v>
                </c:pt>
                <c:pt idx="95" formatCode="0.00_ ">
                  <c:v>20.5</c:v>
                </c:pt>
                <c:pt idx="96" formatCode="0.00_ ">
                  <c:v>20.75</c:v>
                </c:pt>
                <c:pt idx="97" formatCode="0.00_ ">
                  <c:v>21</c:v>
                </c:pt>
                <c:pt idx="98" formatCode="0.00_ ">
                  <c:v>21.25</c:v>
                </c:pt>
                <c:pt idx="99" formatCode="0.00_ ">
                  <c:v>21.5</c:v>
                </c:pt>
                <c:pt idx="100" formatCode="0.00_ ">
                  <c:v>21.75</c:v>
                </c:pt>
                <c:pt idx="101" formatCode="0.00_ ">
                  <c:v>22</c:v>
                </c:pt>
                <c:pt idx="102" formatCode="0.00_ ">
                  <c:v>22.25</c:v>
                </c:pt>
                <c:pt idx="103" formatCode="0.00_ ">
                  <c:v>22.5</c:v>
                </c:pt>
                <c:pt idx="104" formatCode="0.00_ ">
                  <c:v>22.75</c:v>
                </c:pt>
                <c:pt idx="105" formatCode="0.00_ ">
                  <c:v>23</c:v>
                </c:pt>
                <c:pt idx="106" formatCode="0.00_ ">
                  <c:v>23.25</c:v>
                </c:pt>
                <c:pt idx="107" formatCode="0.00_ ">
                  <c:v>23.5</c:v>
                </c:pt>
                <c:pt idx="108" formatCode="0.00_ ">
                  <c:v>23.75</c:v>
                </c:pt>
                <c:pt idx="109" formatCode="0.00_ ">
                  <c:v>24</c:v>
                </c:pt>
                <c:pt idx="110" formatCode="0.00_ ">
                  <c:v>24.25</c:v>
                </c:pt>
                <c:pt idx="111" formatCode="0.00_ ">
                  <c:v>24.5</c:v>
                </c:pt>
                <c:pt idx="112" formatCode="0.00_ ">
                  <c:v>24.75</c:v>
                </c:pt>
                <c:pt idx="113" formatCode="0.00_ ">
                  <c:v>25</c:v>
                </c:pt>
                <c:pt idx="114" formatCode="0.00_ ">
                  <c:v>25.25</c:v>
                </c:pt>
                <c:pt idx="115" formatCode="0.00_ ">
                  <c:v>25.5</c:v>
                </c:pt>
                <c:pt idx="116" formatCode="0.00_ ">
                  <c:v>25.75</c:v>
                </c:pt>
                <c:pt idx="117" formatCode="0.00_ ">
                  <c:v>26</c:v>
                </c:pt>
                <c:pt idx="118" formatCode="0.00_ ">
                  <c:v>26.25</c:v>
                </c:pt>
                <c:pt idx="119" formatCode="0.00_ ">
                  <c:v>26.5</c:v>
                </c:pt>
                <c:pt idx="120" formatCode="0.00_ ">
                  <c:v>26.75</c:v>
                </c:pt>
                <c:pt idx="121" formatCode="0.00_ ">
                  <c:v>27</c:v>
                </c:pt>
                <c:pt idx="122" formatCode="0.00_ ">
                  <c:v>27.25</c:v>
                </c:pt>
                <c:pt idx="123" formatCode="0.00_ ">
                  <c:v>27.5</c:v>
                </c:pt>
                <c:pt idx="124" formatCode="0.00_ ">
                  <c:v>27.75</c:v>
                </c:pt>
                <c:pt idx="125" formatCode="0.00_ ">
                  <c:v>28</c:v>
                </c:pt>
                <c:pt idx="126" formatCode="0.00_ ">
                  <c:v>28.25</c:v>
                </c:pt>
                <c:pt idx="127" formatCode="0.00_ ">
                  <c:v>28.5</c:v>
                </c:pt>
                <c:pt idx="128" formatCode="0.00_ ">
                  <c:v>28.75</c:v>
                </c:pt>
                <c:pt idx="129" formatCode="0.00_ ">
                  <c:v>29</c:v>
                </c:pt>
                <c:pt idx="130" formatCode="0.00_ ">
                  <c:v>29.25</c:v>
                </c:pt>
                <c:pt idx="131" formatCode="0.00_ ">
                  <c:v>29.5</c:v>
                </c:pt>
                <c:pt idx="132" formatCode="0.00_ ">
                  <c:v>29.75</c:v>
                </c:pt>
                <c:pt idx="133" formatCode="0.00_ ">
                  <c:v>30</c:v>
                </c:pt>
              </c:numCache>
            </c:numRef>
          </c:xVal>
          <c:yVal>
            <c:numRef>
              <c:f>'試算番号4-1'!$S$10:$S$143</c:f>
              <c:numCache>
                <c:formatCode>0.000%</c:formatCode>
                <c:ptCount val="134"/>
                <c:pt idx="0">
                  <c:v>7.2999927001081953E-4</c:v>
                </c:pt>
                <c:pt idx="1">
                  <c:v>7.2999927001081953E-4</c:v>
                </c:pt>
                <c:pt idx="2">
                  <c:v>7.2999853997649238E-4</c:v>
                </c:pt>
                <c:pt idx="3">
                  <c:v>7.2999489004748805E-4</c:v>
                </c:pt>
                <c:pt idx="4">
                  <c:v>7.2998978019003823E-4</c:v>
                </c:pt>
                <c:pt idx="5">
                  <c:v>7.2998467043128431E-4</c:v>
                </c:pt>
                <c:pt idx="6">
                  <c:v>7.3997718427091554E-4</c:v>
                </c:pt>
                <c:pt idx="7">
                  <c:v>7.4995312890571329E-4</c:v>
                </c:pt>
                <c:pt idx="8">
                  <c:v>7.5992780914388111E-4</c:v>
                </c:pt>
                <c:pt idx="9">
                  <c:v>7.6990120023828681E-4</c:v>
                </c:pt>
                <c:pt idx="10">
                  <c:v>7.7987327745571589E-4</c:v>
                </c:pt>
                <c:pt idx="11">
                  <c:v>7.8984401607433701E-4</c:v>
                </c:pt>
                <c:pt idx="12">
                  <c:v>7.998133913870698E-4</c:v>
                </c:pt>
                <c:pt idx="13">
                  <c:v>7.9978674248808602E-4</c:v>
                </c:pt>
                <c:pt idx="14">
                  <c:v>8.0975406209991699E-4</c:v>
                </c:pt>
                <c:pt idx="15">
                  <c:v>8.0972674795648785E-4</c:v>
                </c:pt>
                <c:pt idx="16">
                  <c:v>8.1969197101377394E-4</c:v>
                </c:pt>
                <c:pt idx="17">
                  <c:v>8.2965574047723823E-4</c:v>
                </c:pt>
                <c:pt idx="18">
                  <c:v>8.6968327982063238E-4</c:v>
                </c:pt>
                <c:pt idx="19">
                  <c:v>9.1966745334167517E-4</c:v>
                </c:pt>
                <c:pt idx="20">
                  <c:v>9.6463256626131495E-4</c:v>
                </c:pt>
                <c:pt idx="21">
                  <c:v>1.009581117797529E-3</c:v>
                </c:pt>
                <c:pt idx="22">
                  <c:v>1.1302504199778443E-3</c:v>
                </c:pt>
                <c:pt idx="23">
                  <c:v>1.2268957082641678E-3</c:v>
                </c:pt>
                <c:pt idx="24">
                  <c:v>1.3060690911896719E-3</c:v>
                </c:pt>
                <c:pt idx="25">
                  <c:v>1.3721386412608024E-3</c:v>
                </c:pt>
                <c:pt idx="26">
                  <c:v>1.5035470601614622E-3</c:v>
                </c:pt>
                <c:pt idx="27">
                  <c:v>1.6163524276876242E-3</c:v>
                </c:pt>
                <c:pt idx="28">
                  <c:v>1.7142755982685932E-3</c:v>
                </c:pt>
                <c:pt idx="29">
                  <c:v>1.8001072132563969E-3</c:v>
                </c:pt>
                <c:pt idx="30">
                  <c:v>1.9545049396526748E-3</c:v>
                </c:pt>
                <c:pt idx="31">
                  <c:v>2.0920196012676534E-3</c:v>
                </c:pt>
                <c:pt idx="32">
                  <c:v>2.2153175170459356E-3</c:v>
                </c:pt>
                <c:pt idx="33">
                  <c:v>2.3265317439522316E-3</c:v>
                </c:pt>
                <c:pt idx="34">
                  <c:v>2.5716426240346333E-3</c:v>
                </c:pt>
                <c:pt idx="35">
                  <c:v>2.7951066419301222E-3</c:v>
                </c:pt>
                <c:pt idx="36">
                  <c:v>2.9997495830870473E-3</c:v>
                </c:pt>
                <c:pt idx="37">
                  <c:v>3.1879262810383634E-3</c:v>
                </c:pt>
                <c:pt idx="38">
                  <c:v>3.5239029896891112E-3</c:v>
                </c:pt>
                <c:pt idx="39">
                  <c:v>3.8353301122298561E-3</c:v>
                </c:pt>
                <c:pt idx="40">
                  <c:v>4.1249426462307568E-3</c:v>
                </c:pt>
                <c:pt idx="41">
                  <c:v>4.3950849367454473E-3</c:v>
                </c:pt>
                <c:pt idx="42">
                  <c:v>4.6874773257094184E-3</c:v>
                </c:pt>
                <c:pt idx="43">
                  <c:v>4.9617626153049266E-3</c:v>
                </c:pt>
                <c:pt idx="44">
                  <c:v>5.2197017939091513E-3</c:v>
                </c:pt>
                <c:pt idx="45">
                  <c:v>5.4628358084172967E-3</c:v>
                </c:pt>
                <c:pt idx="46">
                  <c:v>5.7464553147286183E-3</c:v>
                </c:pt>
                <c:pt idx="47">
                  <c:v>6.0150127718881551E-3</c:v>
                </c:pt>
                <c:pt idx="48">
                  <c:v>6.2698109733316625E-3</c:v>
                </c:pt>
                <c:pt idx="49">
                  <c:v>6.5120080862061495E-3</c:v>
                </c:pt>
                <c:pt idx="50">
                  <c:v>6.7739344163153543E-3</c:v>
                </c:pt>
                <c:pt idx="51">
                  <c:v>7.0238094565147728E-3</c:v>
                </c:pt>
                <c:pt idx="52">
                  <c:v>7.262574031417615E-3</c:v>
                </c:pt>
                <c:pt idx="53">
                  <c:v>7.491075048727089E-3</c:v>
                </c:pt>
                <c:pt idx="54">
                  <c:v>7.7494093115606675E-3</c:v>
                </c:pt>
                <c:pt idx="55">
                  <c:v>7.9973971357576463E-3</c:v>
                </c:pt>
                <c:pt idx="56">
                  <c:v>8.2357777900255429E-3</c:v>
                </c:pt>
                <c:pt idx="57">
                  <c:v>8.4652235709392325E-3</c:v>
                </c:pt>
                <c:pt idx="58">
                  <c:v>8.7240600260322532E-3</c:v>
                </c:pt>
                <c:pt idx="59">
                  <c:v>8.9738523553363064E-3</c:v>
                </c:pt>
                <c:pt idx="60">
                  <c:v>9.2151998127394594E-3</c:v>
                </c:pt>
                <c:pt idx="61">
                  <c:v>9.4486520437722706E-3</c:v>
                </c:pt>
                <c:pt idx="62">
                  <c:v>9.68851653297499E-3</c:v>
                </c:pt>
                <c:pt idx="63">
                  <c:v>9.921046051559539E-3</c:v>
                </c:pt>
                <c:pt idx="64">
                  <c:v>1.0146695804564501E-2</c:v>
                </c:pt>
                <c:pt idx="65">
                  <c:v>1.0365886357423094E-2</c:v>
                </c:pt>
                <c:pt idx="66">
                  <c:v>1.0607073858396968E-2</c:v>
                </c:pt>
                <c:pt idx="67">
                  <c:v>1.0841823807485891E-2</c:v>
                </c:pt>
                <c:pt idx="68">
                  <c:v>1.1070516032822806E-2</c:v>
                </c:pt>
                <c:pt idx="69">
                  <c:v>1.1293503729799261E-2</c:v>
                </c:pt>
                <c:pt idx="70">
                  <c:v>1.1536457937984582E-2</c:v>
                </c:pt>
                <c:pt idx="71">
                  <c:v>1.1773776290742477E-2</c:v>
                </c:pt>
                <c:pt idx="72">
                  <c:v>1.2005779672370827E-2</c:v>
                </c:pt>
                <c:pt idx="73">
                  <c:v>1.2232768223396943E-2</c:v>
                </c:pt>
                <c:pt idx="74">
                  <c:v>1.2395635998358806E-2</c:v>
                </c:pt>
                <c:pt idx="75">
                  <c:v>1.2555242501671521E-2</c:v>
                </c:pt>
                <c:pt idx="76">
                  <c:v>1.2711765010025104E-2</c:v>
                </c:pt>
                <c:pt idx="77">
                  <c:v>1.2865370086093154E-2</c:v>
                </c:pt>
                <c:pt idx="78">
                  <c:v>1.30295811555573E-2</c:v>
                </c:pt>
                <c:pt idx="79">
                  <c:v>1.3190927383351928E-2</c:v>
                </c:pt>
                <c:pt idx="80">
                  <c:v>1.3349561815231521E-2</c:v>
                </c:pt>
                <c:pt idx="81">
                  <c:v>1.350562893285989E-2</c:v>
                </c:pt>
                <c:pt idx="82">
                  <c:v>1.3671384117516649E-2</c:v>
                </c:pt>
                <c:pt idx="83">
                  <c:v>1.3834639318251456E-2</c:v>
                </c:pt>
                <c:pt idx="84">
                  <c:v>1.3995528007286913E-2</c:v>
                </c:pt>
                <c:pt idx="85">
                  <c:v>1.4154176765071949E-2</c:v>
                </c:pt>
                <c:pt idx="86">
                  <c:v>1.4321683843141742E-2</c:v>
                </c:pt>
                <c:pt idx="87">
                  <c:v>1.4487030742814181E-2</c:v>
                </c:pt>
                <c:pt idx="88">
                  <c:v>1.4650335090808951E-2</c:v>
                </c:pt>
                <c:pt idx="89">
                  <c:v>1.4811708944881012E-2</c:v>
                </c:pt>
                <c:pt idx="90">
                  <c:v>1.4981185364825334E-2</c:v>
                </c:pt>
                <c:pt idx="91">
                  <c:v>1.5148821701141619E-2</c:v>
                </c:pt>
                <c:pt idx="92">
                  <c:v>1.5314722778634458E-2</c:v>
                </c:pt>
                <c:pt idx="93">
                  <c:v>1.5478988917419164E-2</c:v>
                </c:pt>
                <c:pt idx="94">
                  <c:v>1.5550836090434124E-2</c:v>
                </c:pt>
                <c:pt idx="95">
                  <c:v>1.5622321320907689E-2</c:v>
                </c:pt>
                <c:pt idx="96">
                  <c:v>1.5693472477321981E-2</c:v>
                </c:pt>
                <c:pt idx="97">
                  <c:v>1.5764316338261492E-2</c:v>
                </c:pt>
                <c:pt idx="98">
                  <c:v>1.5837177234083757E-2</c:v>
                </c:pt>
                <c:pt idx="99">
                  <c:v>1.5909752975104684E-2</c:v>
                </c:pt>
                <c:pt idx="100">
                  <c:v>1.5982068858441497E-2</c:v>
                </c:pt>
                <c:pt idx="101">
                  <c:v>1.6054149287332297E-2</c:v>
                </c:pt>
                <c:pt idx="102">
                  <c:v>1.6128030130476426E-2</c:v>
                </c:pt>
                <c:pt idx="103">
                  <c:v>1.6201699763982665E-2</c:v>
                </c:pt>
                <c:pt idx="104">
                  <c:v>1.6275181342992148E-2</c:v>
                </c:pt>
                <c:pt idx="105">
                  <c:v>1.6348497292425414E-2</c:v>
                </c:pt>
                <c:pt idx="106">
                  <c:v>1.6423413737629077E-2</c:v>
                </c:pt>
                <c:pt idx="107">
                  <c:v>1.6498190503143467E-2</c:v>
                </c:pt>
                <c:pt idx="108">
                  <c:v>1.6572848973296431E-2</c:v>
                </c:pt>
                <c:pt idx="109">
                  <c:v>1.664740994035083E-2</c:v>
                </c:pt>
                <c:pt idx="110">
                  <c:v>1.6723385898299272E-2</c:v>
                </c:pt>
                <c:pt idx="111">
                  <c:v>1.6799291699190356E-2</c:v>
                </c:pt>
                <c:pt idx="112">
                  <c:v>1.6875147280540497E-2</c:v>
                </c:pt>
                <c:pt idx="113">
                  <c:v>1.695097210582237E-2</c:v>
                </c:pt>
                <c:pt idx="114">
                  <c:v>1.6973561743701907E-2</c:v>
                </c:pt>
                <c:pt idx="115">
                  <c:v>1.6996619422587931E-2</c:v>
                </c:pt>
                <c:pt idx="116">
                  <c:v>1.7020140269610216E-2</c:v>
                </c:pt>
                <c:pt idx="117">
                  <c:v>1.7044119726282884E-2</c:v>
                </c:pt>
                <c:pt idx="118">
                  <c:v>1.7067429699929308E-2</c:v>
                </c:pt>
                <c:pt idx="119">
                  <c:v>1.7091200302027303E-2</c:v>
                </c:pt>
                <c:pt idx="120">
                  <c:v>1.7115427396872156E-2</c:v>
                </c:pt>
                <c:pt idx="121">
                  <c:v>1.7140107130971825E-2</c:v>
                </c:pt>
                <c:pt idx="122">
                  <c:v>1.7164095667208227E-2</c:v>
                </c:pt>
                <c:pt idx="123">
                  <c:v>1.7188539393976788E-2</c:v>
                </c:pt>
                <c:pt idx="124">
                  <c:v>1.7213434820793187E-2</c:v>
                </c:pt>
                <c:pt idx="125">
                  <c:v>1.7238778713173645E-2</c:v>
                </c:pt>
                <c:pt idx="126">
                  <c:v>1.7263411480503692E-2</c:v>
                </c:pt>
                <c:pt idx="127">
                  <c:v>1.7288495667244906E-2</c:v>
                </c:pt>
                <c:pt idx="128">
                  <c:v>1.7314028354606135E-2</c:v>
                </c:pt>
                <c:pt idx="129">
                  <c:v>1.7340006858317328E-2</c:v>
                </c:pt>
                <c:pt idx="130">
                  <c:v>1.7365255795248096E-2</c:v>
                </c:pt>
                <c:pt idx="131">
                  <c:v>1.7390953802971027E-2</c:v>
                </c:pt>
                <c:pt idx="132">
                  <c:v>1.7417098475257926E-2</c:v>
                </c:pt>
                <c:pt idx="133">
                  <c:v>1.7443687622727876E-2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3952"/>
        <c:axId val="235534528"/>
      </c:scatterChart>
      <c:valAx>
        <c:axId val="23553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5534528"/>
        <c:crosses val="autoZero"/>
        <c:crossBetween val="midCat"/>
      </c:valAx>
      <c:valAx>
        <c:axId val="23553452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235533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46365319998187"/>
          <c:y val="6.0352416970534138E-2"/>
          <c:w val="0.34837631118242518"/>
          <c:h val="8.3648856413232192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ドルOISゼロレート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'試算番号4-2'!$G$10:$G$143</c:f>
              <c:numCache>
                <c:formatCode>0.000_ </c:formatCode>
                <c:ptCount val="134"/>
                <c:pt idx="0" formatCode="General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1.9178082191780823E-2</c:v>
                </c:pt>
                <c:pt idx="4">
                  <c:v>3.8356164383561646E-2</c:v>
                </c:pt>
                <c:pt idx="5">
                  <c:v>5.7534246575342465E-2</c:v>
                </c:pt>
                <c:pt idx="6">
                  <c:v>8.3333333333333329E-2</c:v>
                </c:pt>
                <c:pt idx="7">
                  <c:v>0.16666666666666666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0.41666666666666669</c:v>
                </c:pt>
                <c:pt idx="11">
                  <c:v>0.5</c:v>
                </c:pt>
                <c:pt idx="12">
                  <c:v>0.58333333333333337</c:v>
                </c:pt>
                <c:pt idx="13">
                  <c:v>0.66666666666666663</c:v>
                </c:pt>
                <c:pt idx="14">
                  <c:v>0.75</c:v>
                </c:pt>
                <c:pt idx="15">
                  <c:v>0.83333333333333337</c:v>
                </c:pt>
                <c:pt idx="16">
                  <c:v>0.91666666666666663</c:v>
                </c:pt>
                <c:pt idx="17">
                  <c:v>1</c:v>
                </c:pt>
                <c:pt idx="18" formatCode="0.00_ ">
                  <c:v>1.25</c:v>
                </c:pt>
                <c:pt idx="19" formatCode="0.00_ ">
                  <c:v>1.5</c:v>
                </c:pt>
                <c:pt idx="20" formatCode="0.00_ ">
                  <c:v>1.75</c:v>
                </c:pt>
                <c:pt idx="21" formatCode="0.00_ ">
                  <c:v>2</c:v>
                </c:pt>
                <c:pt idx="22" formatCode="0.00_ ">
                  <c:v>2.25</c:v>
                </c:pt>
                <c:pt idx="23" formatCode="0.00_ ">
                  <c:v>2.5</c:v>
                </c:pt>
                <c:pt idx="24" formatCode="0.00_ ">
                  <c:v>2.75</c:v>
                </c:pt>
                <c:pt idx="25" formatCode="0.00_ ">
                  <c:v>3</c:v>
                </c:pt>
                <c:pt idx="26" formatCode="0.00_ ">
                  <c:v>3.25</c:v>
                </c:pt>
                <c:pt idx="27" formatCode="0.00_ ">
                  <c:v>3.5</c:v>
                </c:pt>
                <c:pt idx="28" formatCode="0.00_ ">
                  <c:v>3.75</c:v>
                </c:pt>
                <c:pt idx="29" formatCode="0.00_ ">
                  <c:v>4</c:v>
                </c:pt>
                <c:pt idx="30" formatCode="0.00_ ">
                  <c:v>4.25</c:v>
                </c:pt>
                <c:pt idx="31" formatCode="0.00_ ">
                  <c:v>4.5</c:v>
                </c:pt>
                <c:pt idx="32" formatCode="0.00_ ">
                  <c:v>4.75</c:v>
                </c:pt>
                <c:pt idx="33" formatCode="0.00_ ">
                  <c:v>5</c:v>
                </c:pt>
                <c:pt idx="34" formatCode="0.00_ ">
                  <c:v>5.25</c:v>
                </c:pt>
                <c:pt idx="35" formatCode="0.00_ ">
                  <c:v>5.5</c:v>
                </c:pt>
                <c:pt idx="36" formatCode="0.00_ ">
                  <c:v>5.75</c:v>
                </c:pt>
                <c:pt idx="37" formatCode="0.00_ ">
                  <c:v>6</c:v>
                </c:pt>
                <c:pt idx="38" formatCode="0.00_ ">
                  <c:v>6.25</c:v>
                </c:pt>
                <c:pt idx="39" formatCode="0.00_ ">
                  <c:v>6.5</c:v>
                </c:pt>
                <c:pt idx="40" formatCode="0.00_ ">
                  <c:v>6.75</c:v>
                </c:pt>
                <c:pt idx="41" formatCode="0.00_ ">
                  <c:v>7</c:v>
                </c:pt>
                <c:pt idx="42" formatCode="0.00_ ">
                  <c:v>7.25</c:v>
                </c:pt>
                <c:pt idx="43" formatCode="0.00_ ">
                  <c:v>7.5</c:v>
                </c:pt>
                <c:pt idx="44" formatCode="0.00_ ">
                  <c:v>7.75</c:v>
                </c:pt>
                <c:pt idx="45" formatCode="0.00_ ">
                  <c:v>8</c:v>
                </c:pt>
                <c:pt idx="46" formatCode="0.00_ ">
                  <c:v>8.25</c:v>
                </c:pt>
                <c:pt idx="47" formatCode="0.00_ ">
                  <c:v>8.5</c:v>
                </c:pt>
                <c:pt idx="48" formatCode="0.00_ ">
                  <c:v>8.75</c:v>
                </c:pt>
                <c:pt idx="49" formatCode="0.00_ ">
                  <c:v>9</c:v>
                </c:pt>
                <c:pt idx="50" formatCode="0.00_ ">
                  <c:v>9.25</c:v>
                </c:pt>
                <c:pt idx="51" formatCode="0.00_ ">
                  <c:v>9.5</c:v>
                </c:pt>
                <c:pt idx="52" formatCode="0.00_ ">
                  <c:v>9.75</c:v>
                </c:pt>
                <c:pt idx="53" formatCode="0.00_ ">
                  <c:v>10</c:v>
                </c:pt>
                <c:pt idx="54" formatCode="0.00_ ">
                  <c:v>10.25</c:v>
                </c:pt>
                <c:pt idx="55" formatCode="0.00_ ">
                  <c:v>10.5</c:v>
                </c:pt>
                <c:pt idx="56" formatCode="0.00_ ">
                  <c:v>10.75</c:v>
                </c:pt>
                <c:pt idx="57" formatCode="0.00_ ">
                  <c:v>11</c:v>
                </c:pt>
                <c:pt idx="58" formatCode="0.00_ ">
                  <c:v>11.25</c:v>
                </c:pt>
                <c:pt idx="59" formatCode="0.00_ ">
                  <c:v>11.5</c:v>
                </c:pt>
                <c:pt idx="60" formatCode="0.00_ ">
                  <c:v>11.75</c:v>
                </c:pt>
                <c:pt idx="61" formatCode="0.00_ ">
                  <c:v>12</c:v>
                </c:pt>
                <c:pt idx="62" formatCode="0.00_ ">
                  <c:v>12.25</c:v>
                </c:pt>
                <c:pt idx="63" formatCode="0.00_ ">
                  <c:v>12.5</c:v>
                </c:pt>
                <c:pt idx="64" formatCode="0.00_ ">
                  <c:v>12.75</c:v>
                </c:pt>
                <c:pt idx="65" formatCode="0.00_ ">
                  <c:v>13</c:v>
                </c:pt>
                <c:pt idx="66" formatCode="0.00_ ">
                  <c:v>13.25</c:v>
                </c:pt>
                <c:pt idx="67" formatCode="0.00_ ">
                  <c:v>13.5</c:v>
                </c:pt>
                <c:pt idx="68" formatCode="0.00_ ">
                  <c:v>13.75</c:v>
                </c:pt>
                <c:pt idx="69" formatCode="0.00_ ">
                  <c:v>14</c:v>
                </c:pt>
                <c:pt idx="70" formatCode="0.00_ ">
                  <c:v>14.25</c:v>
                </c:pt>
                <c:pt idx="71" formatCode="0.00_ ">
                  <c:v>14.5</c:v>
                </c:pt>
                <c:pt idx="72" formatCode="0.00_ ">
                  <c:v>14.75</c:v>
                </c:pt>
                <c:pt idx="73" formatCode="0.00_ ">
                  <c:v>15</c:v>
                </c:pt>
                <c:pt idx="74" formatCode="0.00_ ">
                  <c:v>15.25</c:v>
                </c:pt>
                <c:pt idx="75" formatCode="0.00_ ">
                  <c:v>15.5</c:v>
                </c:pt>
                <c:pt idx="76" formatCode="0.00_ ">
                  <c:v>15.75</c:v>
                </c:pt>
                <c:pt idx="77" formatCode="0.00_ ">
                  <c:v>16</c:v>
                </c:pt>
                <c:pt idx="78" formatCode="0.00_ ">
                  <c:v>16.25</c:v>
                </c:pt>
                <c:pt idx="79" formatCode="0.00_ ">
                  <c:v>16.5</c:v>
                </c:pt>
                <c:pt idx="80" formatCode="0.00_ ">
                  <c:v>16.75</c:v>
                </c:pt>
                <c:pt idx="81" formatCode="0.00_ ">
                  <c:v>17</c:v>
                </c:pt>
                <c:pt idx="82" formatCode="0.00_ ">
                  <c:v>17.25</c:v>
                </c:pt>
                <c:pt idx="83" formatCode="0.00_ ">
                  <c:v>17.5</c:v>
                </c:pt>
                <c:pt idx="84" formatCode="0.00_ ">
                  <c:v>17.75</c:v>
                </c:pt>
                <c:pt idx="85" formatCode="0.00_ ">
                  <c:v>18</c:v>
                </c:pt>
                <c:pt idx="86" formatCode="0.00_ ">
                  <c:v>18.25</c:v>
                </c:pt>
                <c:pt idx="87" formatCode="0.00_ ">
                  <c:v>18.5</c:v>
                </c:pt>
                <c:pt idx="88" formatCode="0.00_ ">
                  <c:v>18.75</c:v>
                </c:pt>
                <c:pt idx="89" formatCode="0.00_ ">
                  <c:v>19</c:v>
                </c:pt>
                <c:pt idx="90" formatCode="0.00_ ">
                  <c:v>19.25</c:v>
                </c:pt>
                <c:pt idx="91" formatCode="0.00_ ">
                  <c:v>19.5</c:v>
                </c:pt>
                <c:pt idx="92" formatCode="0.00_ ">
                  <c:v>19.75</c:v>
                </c:pt>
                <c:pt idx="93" formatCode="0.00_ ">
                  <c:v>20</c:v>
                </c:pt>
                <c:pt idx="94" formatCode="0.00_ ">
                  <c:v>20.25</c:v>
                </c:pt>
                <c:pt idx="95" formatCode="0.00_ ">
                  <c:v>20.5</c:v>
                </c:pt>
                <c:pt idx="96" formatCode="0.00_ ">
                  <c:v>20.75</c:v>
                </c:pt>
                <c:pt idx="97" formatCode="0.00_ ">
                  <c:v>21</c:v>
                </c:pt>
                <c:pt idx="98" formatCode="0.00_ ">
                  <c:v>21.25</c:v>
                </c:pt>
                <c:pt idx="99" formatCode="0.00_ ">
                  <c:v>21.5</c:v>
                </c:pt>
                <c:pt idx="100" formatCode="0.00_ ">
                  <c:v>21.75</c:v>
                </c:pt>
                <c:pt idx="101" formatCode="0.00_ ">
                  <c:v>22</c:v>
                </c:pt>
                <c:pt idx="102" formatCode="0.00_ ">
                  <c:v>22.25</c:v>
                </c:pt>
                <c:pt idx="103" formatCode="0.00_ ">
                  <c:v>22.5</c:v>
                </c:pt>
                <c:pt idx="104" formatCode="0.00_ ">
                  <c:v>22.75</c:v>
                </c:pt>
                <c:pt idx="105" formatCode="0.00_ ">
                  <c:v>23</c:v>
                </c:pt>
                <c:pt idx="106" formatCode="0.00_ ">
                  <c:v>23.25</c:v>
                </c:pt>
                <c:pt idx="107" formatCode="0.00_ ">
                  <c:v>23.5</c:v>
                </c:pt>
                <c:pt idx="108" formatCode="0.00_ ">
                  <c:v>23.75</c:v>
                </c:pt>
                <c:pt idx="109" formatCode="0.00_ ">
                  <c:v>24</c:v>
                </c:pt>
                <c:pt idx="110" formatCode="0.00_ ">
                  <c:v>24.25</c:v>
                </c:pt>
                <c:pt idx="111" formatCode="0.00_ ">
                  <c:v>24.5</c:v>
                </c:pt>
                <c:pt idx="112" formatCode="0.00_ ">
                  <c:v>24.75</c:v>
                </c:pt>
                <c:pt idx="113" formatCode="0.00_ ">
                  <c:v>25</c:v>
                </c:pt>
                <c:pt idx="114" formatCode="0.00_ ">
                  <c:v>25.25</c:v>
                </c:pt>
                <c:pt idx="115" formatCode="0.00_ ">
                  <c:v>25.5</c:v>
                </c:pt>
                <c:pt idx="116" formatCode="0.00_ ">
                  <c:v>25.75</c:v>
                </c:pt>
                <c:pt idx="117" formatCode="0.00_ ">
                  <c:v>26</c:v>
                </c:pt>
                <c:pt idx="118" formatCode="0.00_ ">
                  <c:v>26.25</c:v>
                </c:pt>
                <c:pt idx="119" formatCode="0.00_ ">
                  <c:v>26.5</c:v>
                </c:pt>
                <c:pt idx="120" formatCode="0.00_ ">
                  <c:v>26.75</c:v>
                </c:pt>
                <c:pt idx="121" formatCode="0.00_ ">
                  <c:v>27</c:v>
                </c:pt>
                <c:pt idx="122" formatCode="0.00_ ">
                  <c:v>27.25</c:v>
                </c:pt>
                <c:pt idx="123" formatCode="0.00_ ">
                  <c:v>27.5</c:v>
                </c:pt>
                <c:pt idx="124" formatCode="0.00_ ">
                  <c:v>27.75</c:v>
                </c:pt>
                <c:pt idx="125" formatCode="0.00_ ">
                  <c:v>28</c:v>
                </c:pt>
                <c:pt idx="126" formatCode="0.00_ ">
                  <c:v>28.25</c:v>
                </c:pt>
                <c:pt idx="127" formatCode="0.00_ ">
                  <c:v>28.5</c:v>
                </c:pt>
                <c:pt idx="128" formatCode="0.00_ ">
                  <c:v>28.75</c:v>
                </c:pt>
                <c:pt idx="129" formatCode="0.00_ ">
                  <c:v>29</c:v>
                </c:pt>
                <c:pt idx="130" formatCode="0.00_ ">
                  <c:v>29.25</c:v>
                </c:pt>
                <c:pt idx="131" formatCode="0.00_ ">
                  <c:v>29.5</c:v>
                </c:pt>
                <c:pt idx="132" formatCode="0.00_ ">
                  <c:v>29.75</c:v>
                </c:pt>
                <c:pt idx="133" formatCode="0.00_ ">
                  <c:v>30</c:v>
                </c:pt>
              </c:numCache>
            </c:numRef>
          </c:xVal>
          <c:yVal>
            <c:numRef>
              <c:f>'試算番号4-2'!$S$10:$S$143</c:f>
              <c:numCache>
                <c:formatCode>0.000%</c:formatCode>
                <c:ptCount val="134"/>
                <c:pt idx="0">
                  <c:v>8.9999889037814258E-4</c:v>
                </c:pt>
                <c:pt idx="1">
                  <c:v>8.9999889037814258E-4</c:v>
                </c:pt>
                <c:pt idx="2">
                  <c:v>8.9999778082802543E-4</c:v>
                </c:pt>
                <c:pt idx="3">
                  <c:v>8.9999223296221415E-4</c:v>
                </c:pt>
                <c:pt idx="4">
                  <c:v>8.9998446611200104E-4</c:v>
                </c:pt>
                <c:pt idx="5">
                  <c:v>8.9997669943498912E-4</c:v>
                </c:pt>
                <c:pt idx="6">
                  <c:v>9.7496039277072748E-4</c:v>
                </c:pt>
                <c:pt idx="7">
                  <c:v>9.9991667592482566E-4</c:v>
                </c:pt>
                <c:pt idx="8">
                  <c:v>1.0378653427957265E-3</c:v>
                </c:pt>
                <c:pt idx="9">
                  <c:v>1.0748074418315335E-3</c:v>
                </c:pt>
                <c:pt idx="10">
                  <c:v>1.1127420028860509E-3</c:v>
                </c:pt>
                <c:pt idx="11">
                  <c:v>1.1376763617610792E-3</c:v>
                </c:pt>
                <c:pt idx="12">
                  <c:v>1.1745975016173949E-3</c:v>
                </c:pt>
                <c:pt idx="13">
                  <c:v>1.2125098079168496E-3</c:v>
                </c:pt>
                <c:pt idx="14">
                  <c:v>1.2494144284536607E-3</c:v>
                </c:pt>
                <c:pt idx="15">
                  <c:v>1.2992963414852285E-3</c:v>
                </c:pt>
                <c:pt idx="16">
                  <c:v>1.334183812679993E-3</c:v>
                </c:pt>
                <c:pt idx="17">
                  <c:v>1.4040139110287455E-3</c:v>
                </c:pt>
                <c:pt idx="18">
                  <c:v>1.5789829038941907E-3</c:v>
                </c:pt>
                <c:pt idx="19">
                  <c:v>1.798849943234075E-3</c:v>
                </c:pt>
                <c:pt idx="20">
                  <c:v>2.1185884360650368E-3</c:v>
                </c:pt>
                <c:pt idx="21">
                  <c:v>2.5282260682044379E-3</c:v>
                </c:pt>
                <c:pt idx="22">
                  <c:v>3.408342792742847E-3</c:v>
                </c:pt>
                <c:pt idx="23">
                  <c:v>4.1151730079528499E-3</c:v>
                </c:pt>
                <c:pt idx="24">
                  <c:v>4.6959897382802896E-3</c:v>
                </c:pt>
                <c:pt idx="25">
                  <c:v>5.1823084279715697E-3</c:v>
                </c:pt>
                <c:pt idx="26">
                  <c:v>6.3209452823798353E-3</c:v>
                </c:pt>
                <c:pt idx="27">
                  <c:v>7.3040874072546032E-3</c:v>
                </c:pt>
                <c:pt idx="28">
                  <c:v>8.162901270259721E-3</c:v>
                </c:pt>
                <c:pt idx="29">
                  <c:v>8.9207626853794551E-3</c:v>
                </c:pt>
                <c:pt idx="30">
                  <c:v>1.0040829591969593E-2</c:v>
                </c:pt>
                <c:pt idx="31">
                  <c:v>1.1047380386893502E-2</c:v>
                </c:pt>
                <c:pt idx="32">
                  <c:v>1.1958485567188185E-2</c:v>
                </c:pt>
                <c:pt idx="33">
                  <c:v>1.2788604519888721E-2</c:v>
                </c:pt>
                <c:pt idx="34">
                  <c:v>1.3746090792506948E-2</c:v>
                </c:pt>
                <c:pt idx="35">
                  <c:v>1.4628931883524599E-2</c:v>
                </c:pt>
                <c:pt idx="36">
                  <c:v>1.5447062456599688E-2</c:v>
                </c:pt>
                <c:pt idx="37">
                  <c:v>1.6208766206243334E-2</c:v>
                </c:pt>
                <c:pt idx="38">
                  <c:v>1.7015502670133353E-2</c:v>
                </c:pt>
                <c:pt idx="39">
                  <c:v>1.7773023380643824E-2</c:v>
                </c:pt>
                <c:pt idx="40">
                  <c:v>1.8487025832131413E-2</c:v>
                </c:pt>
                <c:pt idx="41">
                  <c:v>1.9162399787037952E-2</c:v>
                </c:pt>
                <c:pt idx="42">
                  <c:v>1.9804729704789002E-2</c:v>
                </c:pt>
                <c:pt idx="43">
                  <c:v>2.0416251903306211E-2</c:v>
                </c:pt>
                <c:pt idx="44">
                  <c:v>2.100017169578372E-2</c:v>
                </c:pt>
                <c:pt idx="45">
                  <c:v>2.1559300058899441E-2</c:v>
                </c:pt>
                <c:pt idx="46">
                  <c:v>2.2112986848351762E-2</c:v>
                </c:pt>
                <c:pt idx="47">
                  <c:v>2.2645886739296933E-2</c:v>
                </c:pt>
                <c:pt idx="48">
                  <c:v>2.3160014059759516E-2</c:v>
                </c:pt>
                <c:pt idx="49">
                  <c:v>2.3657166287057302E-2</c:v>
                </c:pt>
                <c:pt idx="50">
                  <c:v>2.4137984279242134E-2</c:v>
                </c:pt>
                <c:pt idx="51">
                  <c:v>2.4604916405941996E-2</c:v>
                </c:pt>
                <c:pt idx="52">
                  <c:v>2.5059266298587773E-2</c:v>
                </c:pt>
                <c:pt idx="53">
                  <c:v>2.5502214591930555E-2</c:v>
                </c:pt>
                <c:pt idx="54">
                  <c:v>2.5887848526887018E-2</c:v>
                </c:pt>
                <c:pt idx="55">
                  <c:v>2.626538446942742E-2</c:v>
                </c:pt>
                <c:pt idx="56">
                  <c:v>2.6635598887818485E-2</c:v>
                </c:pt>
                <c:pt idx="57">
                  <c:v>2.6999204271392453E-2</c:v>
                </c:pt>
                <c:pt idx="58">
                  <c:v>2.7390881322340941E-2</c:v>
                </c:pt>
                <c:pt idx="59">
                  <c:v>2.7776473769309768E-2</c:v>
                </c:pt>
                <c:pt idx="60">
                  <c:v>2.8156614460045918E-2</c:v>
                </c:pt>
                <c:pt idx="61">
                  <c:v>2.853189179422182E-2</c:v>
                </c:pt>
                <c:pt idx="62">
                  <c:v>2.8770505878249138E-2</c:v>
                </c:pt>
                <c:pt idx="63">
                  <c:v>2.9007747490601289E-2</c:v>
                </c:pt>
                <c:pt idx="64">
                  <c:v>2.9243861809372985E-2</c:v>
                </c:pt>
                <c:pt idx="65">
                  <c:v>2.9479080169844272E-2</c:v>
                </c:pt>
                <c:pt idx="66">
                  <c:v>2.9722973214907744E-2</c:v>
                </c:pt>
                <c:pt idx="67">
                  <c:v>2.9966247555231338E-2</c:v>
                </c:pt>
                <c:pt idx="68">
                  <c:v>3.0209115899882726E-2</c:v>
                </c:pt>
                <c:pt idx="69">
                  <c:v>3.0451781538288453E-2</c:v>
                </c:pt>
                <c:pt idx="70">
                  <c:v>3.0701297116328859E-2</c:v>
                </c:pt>
                <c:pt idx="71">
                  <c:v>3.095090847014138E-2</c:v>
                </c:pt>
                <c:pt idx="72">
                  <c:v>3.1200806132245209E-2</c:v>
                </c:pt>
                <c:pt idx="73">
                  <c:v>3.1451174594361898E-2</c:v>
                </c:pt>
                <c:pt idx="74">
                  <c:v>3.1554700222357415E-2</c:v>
                </c:pt>
                <c:pt idx="75">
                  <c:v>3.1660692339659194E-2</c:v>
                </c:pt>
                <c:pt idx="76">
                  <c:v>3.1769143468325503E-2</c:v>
                </c:pt>
                <c:pt idx="77">
                  <c:v>3.1880049753548391E-2</c:v>
                </c:pt>
                <c:pt idx="78">
                  <c:v>3.1987604172855233E-2</c:v>
                </c:pt>
                <c:pt idx="79">
                  <c:v>3.2097678916256797E-2</c:v>
                </c:pt>
                <c:pt idx="80">
                  <c:v>3.2210273980596241E-2</c:v>
                </c:pt>
                <c:pt idx="81">
                  <c:v>3.2325392701811902E-2</c:v>
                </c:pt>
                <c:pt idx="82">
                  <c:v>3.2436818455758541E-2</c:v>
                </c:pt>
                <c:pt idx="83">
                  <c:v>3.255083666636694E-2</c:v>
                </c:pt>
                <c:pt idx="84">
                  <c:v>3.2667454054350085E-2</c:v>
                </c:pt>
                <c:pt idx="85">
                  <c:v>3.2786680514164682E-2</c:v>
                </c:pt>
                <c:pt idx="86">
                  <c:v>3.2901903678544939E-2</c:v>
                </c:pt>
                <c:pt idx="87">
                  <c:v>3.3019806457750663E-2</c:v>
                </c:pt>
                <c:pt idx="88">
                  <c:v>3.3140401900217983E-2</c:v>
                </c:pt>
                <c:pt idx="89">
                  <c:v>3.3263706150754545E-2</c:v>
                </c:pt>
                <c:pt idx="90">
                  <c:v>3.3382720590002538E-2</c:v>
                </c:pt>
                <c:pt idx="91">
                  <c:v>3.3504514901482048E-2</c:v>
                </c:pt>
                <c:pt idx="92">
                  <c:v>3.3629108313642853E-2</c:v>
                </c:pt>
                <c:pt idx="93">
                  <c:v>3.375652314390587E-2</c:v>
                </c:pt>
                <c:pt idx="94">
                  <c:v>3.3798607967053591E-2</c:v>
                </c:pt>
                <c:pt idx="95">
                  <c:v>3.3843917035085366E-2</c:v>
                </c:pt>
                <c:pt idx="96">
                  <c:v>3.3892413325686266E-2</c:v>
                </c:pt>
                <c:pt idx="97">
                  <c:v>3.3944063832420622E-2</c:v>
                </c:pt>
                <c:pt idx="98">
                  <c:v>3.3988948774757902E-2</c:v>
                </c:pt>
                <c:pt idx="99">
                  <c:v>3.4036974072010007E-2</c:v>
                </c:pt>
                <c:pt idx="100">
                  <c:v>3.4088111027965474E-2</c:v>
                </c:pt>
                <c:pt idx="101">
                  <c:v>3.4142334544171565E-2</c:v>
                </c:pt>
                <c:pt idx="102">
                  <c:v>3.41898666404453E-2</c:v>
                </c:pt>
                <c:pt idx="103">
                  <c:v>3.4240472294204252E-2</c:v>
                </c:pt>
                <c:pt idx="104">
                  <c:v>3.4294130079151726E-2</c:v>
                </c:pt>
                <c:pt idx="105">
                  <c:v>3.4350821842506443E-2</c:v>
                </c:pt>
                <c:pt idx="106">
                  <c:v>3.4400888873159383E-2</c:v>
                </c:pt>
                <c:pt idx="107">
                  <c:v>3.4453977208296918E-2</c:v>
                </c:pt>
                <c:pt idx="108">
                  <c:v>3.4510071871706197E-2</c:v>
                </c:pt>
                <c:pt idx="109">
                  <c:v>3.4569160910011006E-2</c:v>
                </c:pt>
                <c:pt idx="110">
                  <c:v>3.4621684552632703E-2</c:v>
                </c:pt>
                <c:pt idx="111">
                  <c:v>3.467718985283294E-2</c:v>
                </c:pt>
                <c:pt idx="112">
                  <c:v>3.4735667647113659E-2</c:v>
                </c:pt>
                <c:pt idx="113">
                  <c:v>3.4797111602968868E-2</c:v>
                </c:pt>
                <c:pt idx="114">
                  <c:v>3.4815161621152696E-2</c:v>
                </c:pt>
                <c:pt idx="115">
                  <c:v>3.4836174964173364E-2</c:v>
                </c:pt>
                <c:pt idx="116">
                  <c:v>3.4860126593723999E-2</c:v>
                </c:pt>
                <c:pt idx="117">
                  <c:v>3.4886994148279941E-2</c:v>
                </c:pt>
                <c:pt idx="118">
                  <c:v>3.4906998405020422E-2</c:v>
                </c:pt>
                <c:pt idx="119">
                  <c:v>3.4929881942884898E-2</c:v>
                </c:pt>
                <c:pt idx="120">
                  <c:v>3.4955624825479314E-2</c:v>
                </c:pt>
                <c:pt idx="121">
                  <c:v>3.4984209573269767E-2</c:v>
                </c:pt>
                <c:pt idx="122">
                  <c:v>3.500606639533739E-2</c:v>
                </c:pt>
                <c:pt idx="123">
                  <c:v>3.5030729093082365E-2</c:v>
                </c:pt>
                <c:pt idx="124">
                  <c:v>3.5058182270648046E-2</c:v>
                </c:pt>
                <c:pt idx="125">
                  <c:v>3.5088412809136681E-2</c:v>
                </c:pt>
                <c:pt idx="126">
                  <c:v>3.5112040864013296E-2</c:v>
                </c:pt>
                <c:pt idx="127">
                  <c:v>3.513841073507025E-2</c:v>
                </c:pt>
                <c:pt idx="128">
                  <c:v>3.5167511105311196E-2</c:v>
                </c:pt>
                <c:pt idx="129">
                  <c:v>3.5199332787622176E-2</c:v>
                </c:pt>
                <c:pt idx="130">
                  <c:v>3.5224668167689738E-2</c:v>
                </c:pt>
                <c:pt idx="131">
                  <c:v>3.5252689599338666E-2</c:v>
                </c:pt>
                <c:pt idx="132">
                  <c:v>3.5283389463725605E-2</c:v>
                </c:pt>
                <c:pt idx="133">
                  <c:v>3.5316762152069331E-2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19520"/>
        <c:axId val="333220096"/>
      </c:scatterChart>
      <c:valAx>
        <c:axId val="33321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220096"/>
        <c:crosses val="autoZero"/>
        <c:crossBetween val="midCat"/>
      </c:valAx>
      <c:valAx>
        <c:axId val="3332200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3219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901969781550013"/>
          <c:y val="6.9604118245484042E-2"/>
          <c:w val="0.33370236901814943"/>
          <c:h val="8.3648856413232192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55" l="0.70000000000000062" r="0.70000000000000062" t="0.750000000000006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ユーロOISゼロレート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'試算番号4-3'!$G$10:$G$143</c:f>
              <c:numCache>
                <c:formatCode>0.000_ </c:formatCode>
                <c:ptCount val="134"/>
                <c:pt idx="0" formatCode="General">
                  <c:v>0</c:v>
                </c:pt>
                <c:pt idx="1">
                  <c:v>2.7397260273972603E-3</c:v>
                </c:pt>
                <c:pt idx="2">
                  <c:v>5.4794520547945206E-3</c:v>
                </c:pt>
                <c:pt idx="3">
                  <c:v>1.9178082191780823E-2</c:v>
                </c:pt>
                <c:pt idx="4">
                  <c:v>3.8356164383561646E-2</c:v>
                </c:pt>
                <c:pt idx="5">
                  <c:v>5.7534246575342465E-2</c:v>
                </c:pt>
                <c:pt idx="6">
                  <c:v>8.3333333333333329E-2</c:v>
                </c:pt>
                <c:pt idx="7">
                  <c:v>0.16666666666666666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0.41666666666666669</c:v>
                </c:pt>
                <c:pt idx="11">
                  <c:v>0.5</c:v>
                </c:pt>
                <c:pt idx="12">
                  <c:v>0.58333333333333337</c:v>
                </c:pt>
                <c:pt idx="13">
                  <c:v>0.66666666666666663</c:v>
                </c:pt>
                <c:pt idx="14">
                  <c:v>0.75</c:v>
                </c:pt>
                <c:pt idx="15">
                  <c:v>0.83333333333333337</c:v>
                </c:pt>
                <c:pt idx="16">
                  <c:v>0.91666666666666663</c:v>
                </c:pt>
                <c:pt idx="17">
                  <c:v>1</c:v>
                </c:pt>
                <c:pt idx="18" formatCode="0.00_ ">
                  <c:v>1.25</c:v>
                </c:pt>
                <c:pt idx="19" formatCode="0.00_ ">
                  <c:v>1.5</c:v>
                </c:pt>
                <c:pt idx="20" formatCode="0.00_ ">
                  <c:v>1.75</c:v>
                </c:pt>
                <c:pt idx="21" formatCode="0.00_ ">
                  <c:v>2</c:v>
                </c:pt>
                <c:pt idx="22" formatCode="0.00_ ">
                  <c:v>2.25</c:v>
                </c:pt>
                <c:pt idx="23" formatCode="0.00_ ">
                  <c:v>2.5</c:v>
                </c:pt>
                <c:pt idx="24" formatCode="0.00_ ">
                  <c:v>2.75</c:v>
                </c:pt>
                <c:pt idx="25" formatCode="0.00_ ">
                  <c:v>3</c:v>
                </c:pt>
                <c:pt idx="26" formatCode="0.00_ ">
                  <c:v>3.25</c:v>
                </c:pt>
                <c:pt idx="27" formatCode="0.00_ ">
                  <c:v>3.5</c:v>
                </c:pt>
                <c:pt idx="28" formatCode="0.00_ ">
                  <c:v>3.75</c:v>
                </c:pt>
                <c:pt idx="29" formatCode="0.00_ ">
                  <c:v>4</c:v>
                </c:pt>
                <c:pt idx="30" formatCode="0.00_ ">
                  <c:v>4.25</c:v>
                </c:pt>
                <c:pt idx="31" formatCode="0.00_ ">
                  <c:v>4.5</c:v>
                </c:pt>
                <c:pt idx="32" formatCode="0.00_ ">
                  <c:v>4.75</c:v>
                </c:pt>
                <c:pt idx="33" formatCode="0.00_ ">
                  <c:v>5</c:v>
                </c:pt>
                <c:pt idx="34" formatCode="0.00_ ">
                  <c:v>5.25</c:v>
                </c:pt>
                <c:pt idx="35" formatCode="0.00_ ">
                  <c:v>5.5</c:v>
                </c:pt>
                <c:pt idx="36" formatCode="0.00_ ">
                  <c:v>5.75</c:v>
                </c:pt>
                <c:pt idx="37" formatCode="0.00_ ">
                  <c:v>6</c:v>
                </c:pt>
                <c:pt idx="38" formatCode="0.00_ ">
                  <c:v>6.25</c:v>
                </c:pt>
                <c:pt idx="39" formatCode="0.00_ ">
                  <c:v>6.5</c:v>
                </c:pt>
                <c:pt idx="40" formatCode="0.00_ ">
                  <c:v>6.75</c:v>
                </c:pt>
                <c:pt idx="41" formatCode="0.00_ ">
                  <c:v>7</c:v>
                </c:pt>
                <c:pt idx="42" formatCode="0.00_ ">
                  <c:v>7.25</c:v>
                </c:pt>
                <c:pt idx="43" formatCode="0.00_ ">
                  <c:v>7.5</c:v>
                </c:pt>
                <c:pt idx="44" formatCode="0.00_ ">
                  <c:v>7.75</c:v>
                </c:pt>
                <c:pt idx="45" formatCode="0.00_ ">
                  <c:v>8</c:v>
                </c:pt>
                <c:pt idx="46" formatCode="0.00_ ">
                  <c:v>8.25</c:v>
                </c:pt>
                <c:pt idx="47" formatCode="0.00_ ">
                  <c:v>8.5</c:v>
                </c:pt>
                <c:pt idx="48" formatCode="0.00_ ">
                  <c:v>8.75</c:v>
                </c:pt>
                <c:pt idx="49" formatCode="0.00_ ">
                  <c:v>9</c:v>
                </c:pt>
                <c:pt idx="50" formatCode="0.00_ ">
                  <c:v>9.25</c:v>
                </c:pt>
                <c:pt idx="51" formatCode="0.00_ ">
                  <c:v>9.5</c:v>
                </c:pt>
                <c:pt idx="52" formatCode="0.00_ ">
                  <c:v>9.75</c:v>
                </c:pt>
                <c:pt idx="53" formatCode="0.00_ ">
                  <c:v>10</c:v>
                </c:pt>
                <c:pt idx="54" formatCode="0.00_ ">
                  <c:v>10.25</c:v>
                </c:pt>
                <c:pt idx="55" formatCode="0.00_ ">
                  <c:v>10.5</c:v>
                </c:pt>
                <c:pt idx="56" formatCode="0.00_ ">
                  <c:v>10.75</c:v>
                </c:pt>
                <c:pt idx="57" formatCode="0.00_ ">
                  <c:v>11</c:v>
                </c:pt>
                <c:pt idx="58" formatCode="0.00_ ">
                  <c:v>11.25</c:v>
                </c:pt>
                <c:pt idx="59" formatCode="0.00_ ">
                  <c:v>11.5</c:v>
                </c:pt>
                <c:pt idx="60" formatCode="0.00_ ">
                  <c:v>11.75</c:v>
                </c:pt>
                <c:pt idx="61" formatCode="0.00_ ">
                  <c:v>12</c:v>
                </c:pt>
                <c:pt idx="62" formatCode="0.00_ ">
                  <c:v>12.25</c:v>
                </c:pt>
                <c:pt idx="63" formatCode="0.00_ ">
                  <c:v>12.5</c:v>
                </c:pt>
                <c:pt idx="64" formatCode="0.00_ ">
                  <c:v>12.75</c:v>
                </c:pt>
                <c:pt idx="65" formatCode="0.00_ ">
                  <c:v>13</c:v>
                </c:pt>
                <c:pt idx="66" formatCode="0.00_ ">
                  <c:v>13.25</c:v>
                </c:pt>
                <c:pt idx="67" formatCode="0.00_ ">
                  <c:v>13.5</c:v>
                </c:pt>
                <c:pt idx="68" formatCode="0.00_ ">
                  <c:v>13.75</c:v>
                </c:pt>
                <c:pt idx="69" formatCode="0.00_ ">
                  <c:v>14</c:v>
                </c:pt>
                <c:pt idx="70" formatCode="0.00_ ">
                  <c:v>14.25</c:v>
                </c:pt>
                <c:pt idx="71" formatCode="0.00_ ">
                  <c:v>14.5</c:v>
                </c:pt>
                <c:pt idx="72" formatCode="0.00_ ">
                  <c:v>14.75</c:v>
                </c:pt>
                <c:pt idx="73" formatCode="0.00_ ">
                  <c:v>15</c:v>
                </c:pt>
                <c:pt idx="74" formatCode="0.00_ ">
                  <c:v>15.25</c:v>
                </c:pt>
                <c:pt idx="75" formatCode="0.00_ ">
                  <c:v>15.5</c:v>
                </c:pt>
                <c:pt idx="76" formatCode="0.00_ ">
                  <c:v>15.75</c:v>
                </c:pt>
                <c:pt idx="77" formatCode="0.00_ ">
                  <c:v>16</c:v>
                </c:pt>
                <c:pt idx="78" formatCode="0.00_ ">
                  <c:v>16.25</c:v>
                </c:pt>
                <c:pt idx="79" formatCode="0.00_ ">
                  <c:v>16.5</c:v>
                </c:pt>
                <c:pt idx="80" formatCode="0.00_ ">
                  <c:v>16.75</c:v>
                </c:pt>
                <c:pt idx="81" formatCode="0.00_ ">
                  <c:v>17</c:v>
                </c:pt>
                <c:pt idx="82" formatCode="0.00_ ">
                  <c:v>17.25</c:v>
                </c:pt>
                <c:pt idx="83" formatCode="0.00_ ">
                  <c:v>17.5</c:v>
                </c:pt>
                <c:pt idx="84" formatCode="0.00_ ">
                  <c:v>17.75</c:v>
                </c:pt>
                <c:pt idx="85" formatCode="0.00_ ">
                  <c:v>18</c:v>
                </c:pt>
                <c:pt idx="86" formatCode="0.00_ ">
                  <c:v>18.25</c:v>
                </c:pt>
                <c:pt idx="87" formatCode="0.00_ ">
                  <c:v>18.5</c:v>
                </c:pt>
                <c:pt idx="88" formatCode="0.00_ ">
                  <c:v>18.75</c:v>
                </c:pt>
                <c:pt idx="89" formatCode="0.00_ ">
                  <c:v>19</c:v>
                </c:pt>
                <c:pt idx="90" formatCode="0.00_ ">
                  <c:v>19.25</c:v>
                </c:pt>
                <c:pt idx="91" formatCode="0.00_ ">
                  <c:v>19.5</c:v>
                </c:pt>
                <c:pt idx="92" formatCode="0.00_ ">
                  <c:v>19.75</c:v>
                </c:pt>
                <c:pt idx="93" formatCode="0.00_ ">
                  <c:v>20</c:v>
                </c:pt>
                <c:pt idx="94" formatCode="0.00_ ">
                  <c:v>20.25</c:v>
                </c:pt>
                <c:pt idx="95" formatCode="0.00_ ">
                  <c:v>20.5</c:v>
                </c:pt>
                <c:pt idx="96" formatCode="0.00_ ">
                  <c:v>20.75</c:v>
                </c:pt>
                <c:pt idx="97" formatCode="0.00_ ">
                  <c:v>21</c:v>
                </c:pt>
                <c:pt idx="98" formatCode="0.00_ ">
                  <c:v>21.25</c:v>
                </c:pt>
                <c:pt idx="99" formatCode="0.00_ ">
                  <c:v>21.5</c:v>
                </c:pt>
                <c:pt idx="100" formatCode="0.00_ ">
                  <c:v>21.75</c:v>
                </c:pt>
                <c:pt idx="101" formatCode="0.00_ ">
                  <c:v>22</c:v>
                </c:pt>
                <c:pt idx="102" formatCode="0.00_ ">
                  <c:v>22.25</c:v>
                </c:pt>
                <c:pt idx="103" formatCode="0.00_ ">
                  <c:v>22.5</c:v>
                </c:pt>
                <c:pt idx="104" formatCode="0.00_ ">
                  <c:v>22.75</c:v>
                </c:pt>
                <c:pt idx="105" formatCode="0.00_ ">
                  <c:v>23</c:v>
                </c:pt>
                <c:pt idx="106" formatCode="0.00_ ">
                  <c:v>23.25</c:v>
                </c:pt>
                <c:pt idx="107" formatCode="0.00_ ">
                  <c:v>23.5</c:v>
                </c:pt>
                <c:pt idx="108" formatCode="0.00_ ">
                  <c:v>23.75</c:v>
                </c:pt>
                <c:pt idx="109" formatCode="0.00_ ">
                  <c:v>24</c:v>
                </c:pt>
                <c:pt idx="110" formatCode="0.00_ ">
                  <c:v>24.25</c:v>
                </c:pt>
                <c:pt idx="111" formatCode="0.00_ ">
                  <c:v>24.5</c:v>
                </c:pt>
                <c:pt idx="112" formatCode="0.00_ ">
                  <c:v>24.75</c:v>
                </c:pt>
                <c:pt idx="113" formatCode="0.00_ ">
                  <c:v>25</c:v>
                </c:pt>
                <c:pt idx="114" formatCode="0.00_ ">
                  <c:v>25.25</c:v>
                </c:pt>
                <c:pt idx="115" formatCode="0.00_ ">
                  <c:v>25.5</c:v>
                </c:pt>
                <c:pt idx="116" formatCode="0.00_ ">
                  <c:v>25.75</c:v>
                </c:pt>
                <c:pt idx="117" formatCode="0.00_ ">
                  <c:v>26</c:v>
                </c:pt>
                <c:pt idx="118" formatCode="0.00_ ">
                  <c:v>26.25</c:v>
                </c:pt>
                <c:pt idx="119" formatCode="0.00_ ">
                  <c:v>26.5</c:v>
                </c:pt>
                <c:pt idx="120" formatCode="0.00_ ">
                  <c:v>26.75</c:v>
                </c:pt>
                <c:pt idx="121" formatCode="0.00_ ">
                  <c:v>27</c:v>
                </c:pt>
                <c:pt idx="122" formatCode="0.00_ ">
                  <c:v>27.25</c:v>
                </c:pt>
                <c:pt idx="123" formatCode="0.00_ ">
                  <c:v>27.5</c:v>
                </c:pt>
                <c:pt idx="124" formatCode="0.00_ ">
                  <c:v>27.75</c:v>
                </c:pt>
                <c:pt idx="125" formatCode="0.00_ ">
                  <c:v>28</c:v>
                </c:pt>
                <c:pt idx="126" formatCode="0.00_ ">
                  <c:v>28.25</c:v>
                </c:pt>
                <c:pt idx="127" formatCode="0.00_ ">
                  <c:v>28.5</c:v>
                </c:pt>
                <c:pt idx="128" formatCode="0.00_ ">
                  <c:v>28.75</c:v>
                </c:pt>
                <c:pt idx="129" formatCode="0.00_ ">
                  <c:v>29</c:v>
                </c:pt>
                <c:pt idx="130" formatCode="0.00_ ">
                  <c:v>29.25</c:v>
                </c:pt>
                <c:pt idx="131" formatCode="0.00_ ">
                  <c:v>29.5</c:v>
                </c:pt>
                <c:pt idx="132" formatCode="0.00_ ">
                  <c:v>29.75</c:v>
                </c:pt>
                <c:pt idx="133" formatCode="0.00_ ">
                  <c:v>30</c:v>
                </c:pt>
              </c:numCache>
            </c:numRef>
          </c:xVal>
          <c:yVal>
            <c:numRef>
              <c:f>'試算番号4-3'!$R$10:$R$143</c:f>
              <c:numCache>
                <c:formatCode>0.000%</c:formatCode>
                <c:ptCount val="134"/>
                <c:pt idx="0">
                  <c:v>9.6999871113334624E-4</c:v>
                </c:pt>
                <c:pt idx="1">
                  <c:v>9.6999871113334624E-4</c:v>
                </c:pt>
                <c:pt idx="2">
                  <c:v>9.6999742218470126E-4</c:v>
                </c:pt>
                <c:pt idx="3">
                  <c:v>9.699909777791684E-4</c:v>
                </c:pt>
                <c:pt idx="4">
                  <c:v>9.7998158183281499E-4</c:v>
                </c:pt>
                <c:pt idx="5">
                  <c:v>9.8497209047108654E-4</c:v>
                </c:pt>
                <c:pt idx="6">
                  <c:v>1.0099574982177333E-3</c:v>
                </c:pt>
                <c:pt idx="7">
                  <c:v>1.0399098770808145E-3</c:v>
                </c:pt>
                <c:pt idx="8">
                  <c:v>1.0798542262385779E-3</c:v>
                </c:pt>
                <c:pt idx="9">
                  <c:v>1.0798056466430738E-3</c:v>
                </c:pt>
                <c:pt idx="10">
                  <c:v>1.0897525540849193E-3</c:v>
                </c:pt>
                <c:pt idx="11">
                  <c:v>1.0897030828749873E-3</c:v>
                </c:pt>
                <c:pt idx="12">
                  <c:v>1.1196342926106343E-3</c:v>
                </c:pt>
                <c:pt idx="13">
                  <c:v>1.1695439371372154E-3</c:v>
                </c:pt>
                <c:pt idx="14">
                  <c:v>1.2394237572430015E-3</c:v>
                </c:pt>
                <c:pt idx="15">
                  <c:v>1.2992963414852285E-3</c:v>
                </c:pt>
                <c:pt idx="16">
                  <c:v>1.3591529705690658E-3</c:v>
                </c:pt>
                <c:pt idx="17">
                  <c:v>1.438964194254434E-3</c:v>
                </c:pt>
                <c:pt idx="18">
                  <c:v>1.6488911649389156E-3</c:v>
                </c:pt>
                <c:pt idx="19">
                  <c:v>1.8587986766196458E-3</c:v>
                </c:pt>
                <c:pt idx="20">
                  <c:v>2.0037000832176842E-3</c:v>
                </c:pt>
                <c:pt idx="21">
                  <c:v>2.3882821113739208E-3</c:v>
                </c:pt>
                <c:pt idx="22">
                  <c:v>2.9066500661849128E-3</c:v>
                </c:pt>
                <c:pt idx="23">
                  <c:v>3.3225904572032313E-3</c:v>
                </c:pt>
                <c:pt idx="24">
                  <c:v>3.664042083681744E-3</c:v>
                </c:pt>
                <c:pt idx="25">
                  <c:v>3.9496308313340866E-3</c:v>
                </c:pt>
                <c:pt idx="26">
                  <c:v>4.6035961392972124E-3</c:v>
                </c:pt>
                <c:pt idx="27">
                  <c:v>5.1669149049613375E-3</c:v>
                </c:pt>
                <c:pt idx="28">
                  <c:v>5.6577326742241474E-3</c:v>
                </c:pt>
                <c:pt idx="29">
                  <c:v>6.0896587500036594E-3</c:v>
                </c:pt>
                <c:pt idx="30">
                  <c:v>6.7342225473316225E-3</c:v>
                </c:pt>
                <c:pt idx="31">
                  <c:v>7.3112216556399717E-3</c:v>
                </c:pt>
                <c:pt idx="32">
                  <c:v>7.8313571973568225E-3</c:v>
                </c:pt>
                <c:pt idx="33">
                  <c:v>8.3031904766087648E-3</c:v>
                </c:pt>
                <c:pt idx="34">
                  <c:v>8.8746508091331385E-3</c:v>
                </c:pt>
                <c:pt idx="35">
                  <c:v>9.3988687336051379E-3</c:v>
                </c:pt>
                <c:pt idx="36">
                  <c:v>9.882052494765578E-3</c:v>
                </c:pt>
                <c:pt idx="37">
                  <c:v>1.0329376314417819E-2</c:v>
                </c:pt>
                <c:pt idx="38">
                  <c:v>1.0835977031377451E-2</c:v>
                </c:pt>
                <c:pt idx="39">
                  <c:v>1.1308721931151519E-2</c:v>
                </c:pt>
                <c:pt idx="40">
                  <c:v>1.1751430043119723E-2</c:v>
                </c:pt>
                <c:pt idx="41">
                  <c:v>1.2167375790182594E-2</c:v>
                </c:pt>
                <c:pt idx="42">
                  <c:v>1.2627905889777464E-2</c:v>
                </c:pt>
                <c:pt idx="43">
                  <c:v>1.3063197283501327E-2</c:v>
                </c:pt>
                <c:pt idx="44">
                  <c:v>1.3475760769596752E-2</c:v>
                </c:pt>
                <c:pt idx="45">
                  <c:v>1.3867794588613267E-2</c:v>
                </c:pt>
                <c:pt idx="46">
                  <c:v>1.4284750356222585E-2</c:v>
                </c:pt>
                <c:pt idx="47">
                  <c:v>1.4682830646132641E-2</c:v>
                </c:pt>
                <c:pt idx="48">
                  <c:v>1.5063730254470453E-2</c:v>
                </c:pt>
                <c:pt idx="49">
                  <c:v>1.5428957248584936E-2</c:v>
                </c:pt>
                <c:pt idx="50">
                  <c:v>1.5812943821869103E-2</c:v>
                </c:pt>
                <c:pt idx="51">
                  <c:v>1.6182542154749364E-2</c:v>
                </c:pt>
                <c:pt idx="52">
                  <c:v>1.6538944353575096E-2</c:v>
                </c:pt>
                <c:pt idx="53">
                  <c:v>1.6883225205116634E-2</c:v>
                </c:pt>
                <c:pt idx="54">
                  <c:v>1.7188346620028227E-2</c:v>
                </c:pt>
                <c:pt idx="55">
                  <c:v>1.7484119158086269E-2</c:v>
                </c:pt>
                <c:pt idx="56">
                  <c:v>1.7771270544695326E-2</c:v>
                </c:pt>
                <c:pt idx="57">
                  <c:v>1.805046401117651E-2</c:v>
                </c:pt>
                <c:pt idx="58">
                  <c:v>1.8357976864442987E-2</c:v>
                </c:pt>
                <c:pt idx="59">
                  <c:v>1.8657690552887473E-2</c:v>
                </c:pt>
                <c:pt idx="60">
                  <c:v>1.8950191240071166E-2</c:v>
                </c:pt>
                <c:pt idx="61">
                  <c:v>1.9236018362184359E-2</c:v>
                </c:pt>
                <c:pt idx="62">
                  <c:v>1.9441823080961956E-2</c:v>
                </c:pt>
                <c:pt idx="63">
                  <c:v>1.9643725815222522E-2</c:v>
                </c:pt>
                <c:pt idx="64">
                  <c:v>1.9842019257058374E-2</c:v>
                </c:pt>
                <c:pt idx="65">
                  <c:v>2.0036974976712734E-2</c:v>
                </c:pt>
                <c:pt idx="66">
                  <c:v>2.0245207896035816E-2</c:v>
                </c:pt>
                <c:pt idx="67">
                  <c:v>2.0450233649885709E-2</c:v>
                </c:pt>
                <c:pt idx="68">
                  <c:v>2.0652296982426342E-2</c:v>
                </c:pt>
                <c:pt idx="69">
                  <c:v>2.0851626792067316E-2</c:v>
                </c:pt>
                <c:pt idx="70">
                  <c:v>2.1062588360970656E-2</c:v>
                </c:pt>
                <c:pt idx="71">
                  <c:v>2.1270972908634549E-2</c:v>
                </c:pt>
                <c:pt idx="72">
                  <c:v>2.1476988649604987E-2</c:v>
                </c:pt>
                <c:pt idx="73">
                  <c:v>2.1680831836124858E-2</c:v>
                </c:pt>
                <c:pt idx="74">
                  <c:v>2.1753387429742456E-2</c:v>
                </c:pt>
                <c:pt idx="75">
                  <c:v>2.1826368814736118E-2</c:v>
                </c:pt>
                <c:pt idx="76">
                  <c:v>2.189979172186568E-2</c:v>
                </c:pt>
                <c:pt idx="77">
                  <c:v>2.1973671606579863E-2</c:v>
                </c:pt>
                <c:pt idx="78">
                  <c:v>2.2048088125905679E-2</c:v>
                </c:pt>
                <c:pt idx="79">
                  <c:v>2.2122990770869252E-2</c:v>
                </c:pt>
                <c:pt idx="80">
                  <c:v>2.219839446474663E-2</c:v>
                </c:pt>
                <c:pt idx="81">
                  <c:v>2.2274313994816716E-2</c:v>
                </c:pt>
                <c:pt idx="82">
                  <c:v>2.2350483978742813E-2</c:v>
                </c:pt>
                <c:pt idx="83">
                  <c:v>2.242720324435277E-2</c:v>
                </c:pt>
                <c:pt idx="84">
                  <c:v>2.2504486088198498E-2</c:v>
                </c:pt>
                <c:pt idx="85">
                  <c:v>2.2582346792331662E-2</c:v>
                </c:pt>
                <c:pt idx="86">
                  <c:v>2.2660202054748106E-2</c:v>
                </c:pt>
                <c:pt idx="87">
                  <c:v>2.2738671511813812E-2</c:v>
                </c:pt>
                <c:pt idx="88">
                  <c:v>2.2817769045950516E-2</c:v>
                </c:pt>
                <c:pt idx="89">
                  <c:v>2.2897508630752284E-2</c:v>
                </c:pt>
                <c:pt idx="90">
                  <c:v>2.2977011436121981E-2</c:v>
                </c:pt>
                <c:pt idx="91">
                  <c:v>2.3057194532393556E-2</c:v>
                </c:pt>
                <c:pt idx="92">
                  <c:v>2.3138071609289323E-2</c:v>
                </c:pt>
                <c:pt idx="93">
                  <c:v>2.3219656540411162E-2</c:v>
                </c:pt>
                <c:pt idx="94">
                  <c:v>2.3230356897391901E-2</c:v>
                </c:pt>
                <c:pt idx="95">
                  <c:v>2.3242575752879278E-2</c:v>
                </c:pt>
                <c:pt idx="96">
                  <c:v>2.3256279652063394E-2</c:v>
                </c:pt>
                <c:pt idx="97">
                  <c:v>2.3271437122793778E-2</c:v>
                </c:pt>
                <c:pt idx="98">
                  <c:v>2.3283394348773141E-2</c:v>
                </c:pt>
                <c:pt idx="99">
                  <c:v>2.329679879870623E-2</c:v>
                </c:pt>
                <c:pt idx="100">
                  <c:v>2.3311621534088466E-2</c:v>
                </c:pt>
                <c:pt idx="101">
                  <c:v>2.3327835316380205E-2</c:v>
                </c:pt>
                <c:pt idx="102">
                  <c:v>2.3340924374249464E-2</c:v>
                </c:pt>
                <c:pt idx="103">
                  <c:v>2.3355399211881903E-2</c:v>
                </c:pt>
                <c:pt idx="104">
                  <c:v>2.3371234703365471E-2</c:v>
                </c:pt>
                <c:pt idx="105">
                  <c:v>2.3388407195770733E-2</c:v>
                </c:pt>
                <c:pt idx="106">
                  <c:v>2.3402525576559429E-2</c:v>
                </c:pt>
                <c:pt idx="107">
                  <c:v>2.3417976420855129E-2</c:v>
                </c:pt>
                <c:pt idx="108">
                  <c:v>2.3434737855157182E-2</c:v>
                </c:pt>
                <c:pt idx="109">
                  <c:v>2.3452789294763372E-2</c:v>
                </c:pt>
                <c:pt idx="110">
                  <c:v>2.34678525542464E-2</c:v>
                </c:pt>
                <c:pt idx="111">
                  <c:v>2.3484201757409479E-2</c:v>
                </c:pt>
                <c:pt idx="112">
                  <c:v>2.3501817832136104E-2</c:v>
                </c:pt>
                <c:pt idx="113">
                  <c:v>2.3520682844251663E-2</c:v>
                </c:pt>
                <c:pt idx="114">
                  <c:v>2.351625022197406E-2</c:v>
                </c:pt>
                <c:pt idx="115">
                  <c:v>2.3513216898399771E-2</c:v>
                </c:pt>
                <c:pt idx="116">
                  <c:v>2.3511557285654201E-2</c:v>
                </c:pt>
                <c:pt idx="117">
                  <c:v>2.35112470445525E-2</c:v>
                </c:pt>
                <c:pt idx="118">
                  <c:v>2.3507598208966328E-2</c:v>
                </c:pt>
                <c:pt idx="119">
                  <c:v>2.3505287139785374E-2</c:v>
                </c:pt>
                <c:pt idx="120">
                  <c:v>2.3504291036427399E-2</c:v>
                </c:pt>
                <c:pt idx="121">
                  <c:v>2.3504588199984217E-2</c:v>
                </c:pt>
                <c:pt idx="122">
                  <c:v>2.3501648278099731E-2</c:v>
                </c:pt>
                <c:pt idx="123">
                  <c:v>2.3499990534979563E-2</c:v>
                </c:pt>
                <c:pt idx="124">
                  <c:v>2.349959459792034E-2</c:v>
                </c:pt>
                <c:pt idx="125">
                  <c:v>2.3500441072270367E-2</c:v>
                </c:pt>
                <c:pt idx="126">
                  <c:v>2.3498145717947751E-2</c:v>
                </c:pt>
                <c:pt idx="127">
                  <c:v>2.3497082092291396E-2</c:v>
                </c:pt>
                <c:pt idx="128">
                  <c:v>2.349723194969288E-2</c:v>
                </c:pt>
                <c:pt idx="129">
                  <c:v>2.3498577917927536E-2</c:v>
                </c:pt>
                <c:pt idx="130">
                  <c:v>2.3496871559468963E-2</c:v>
                </c:pt>
                <c:pt idx="131">
                  <c:v>2.3496350949272053E-2</c:v>
                </c:pt>
                <c:pt idx="132">
                  <c:v>2.349699971527993E-2</c:v>
                </c:pt>
                <c:pt idx="133">
                  <c:v>2.3498802269636021E-2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23552"/>
        <c:axId val="333224128"/>
      </c:scatterChart>
      <c:valAx>
        <c:axId val="333223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224128"/>
        <c:crosses val="autoZero"/>
        <c:crossBetween val="midCat"/>
      </c:valAx>
      <c:valAx>
        <c:axId val="33322412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3223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872028265676491"/>
          <c:y val="9.2733371432859063E-2"/>
          <c:w val="0.27295238095238133"/>
          <c:h val="8.3648856413232192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ゼロレート（円OISDF×ドル担保円CF調整関数）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'試算番号4-4'!$G$10:$G$137</c:f>
              <c:numCache>
                <c:formatCode>0.000_ </c:formatCode>
                <c:ptCount val="128"/>
                <c:pt idx="0" formatCode="General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'試算番号4-4'!$S$10:$S$137</c:f>
              <c:numCache>
                <c:formatCode>0.000%</c:formatCode>
                <c:ptCount val="128"/>
                <c:pt idx="0">
                  <c:v>-8.0911231931979409E-4</c:v>
                </c:pt>
                <c:pt idx="1">
                  <c:v>-8.0911231931979409E-4</c:v>
                </c:pt>
                <c:pt idx="2">
                  <c:v>-8.3585418237929778E-4</c:v>
                </c:pt>
                <c:pt idx="3">
                  <c:v>-8.6259785206428631E-4</c:v>
                </c:pt>
                <c:pt idx="4">
                  <c:v>-9.7951608484542099E-4</c:v>
                </c:pt>
                <c:pt idx="5">
                  <c:v>-8.6250488657035245E-4</c:v>
                </c:pt>
                <c:pt idx="6">
                  <c:v>-9.9481328774237397E-4</c:v>
                </c:pt>
                <c:pt idx="7">
                  <c:v>-1.0431170801875509E-3</c:v>
                </c:pt>
                <c:pt idx="8">
                  <c:v>-1.4132206206249073E-3</c:v>
                </c:pt>
                <c:pt idx="9">
                  <c:v>-1.4554205225963013E-3</c:v>
                </c:pt>
                <c:pt idx="10">
                  <c:v>-1.8105316837934962E-3</c:v>
                </c:pt>
                <c:pt idx="11">
                  <c:v>-2.1109429020753651E-3</c:v>
                </c:pt>
                <c:pt idx="12">
                  <c:v>-2.7780489350309112E-3</c:v>
                </c:pt>
                <c:pt idx="13">
                  <c:v>-3.2671914044449576E-3</c:v>
                </c:pt>
                <c:pt idx="14">
                  <c:v>-3.7695210693008082E-3</c:v>
                </c:pt>
                <c:pt idx="15">
                  <c:v>-4.0880845676046652E-3</c:v>
                </c:pt>
                <c:pt idx="16">
                  <c:v>-4.2454086202614464E-3</c:v>
                </c:pt>
                <c:pt idx="17">
                  <c:v>-4.4300353287001345E-3</c:v>
                </c:pt>
                <c:pt idx="18">
                  <c:v>-4.8682735804410522E-3</c:v>
                </c:pt>
                <c:pt idx="19">
                  <c:v>-5.2808100475314384E-3</c:v>
                </c:pt>
                <c:pt idx="20">
                  <c:v>-5.3412861620939266E-3</c:v>
                </c:pt>
                <c:pt idx="21">
                  <c:v>-5.420388242613366E-3</c:v>
                </c:pt>
                <c:pt idx="22">
                  <c:v>-5.7438936490061283E-3</c:v>
                </c:pt>
                <c:pt idx="23">
                  <c:v>-6.048646024292643E-3</c:v>
                </c:pt>
                <c:pt idx="24">
                  <c:v>-5.9764895146159286E-3</c:v>
                </c:pt>
                <c:pt idx="25">
                  <c:v>-5.9206030504261277E-3</c:v>
                </c:pt>
                <c:pt idx="26">
                  <c:v>-6.0434707765958471E-3</c:v>
                </c:pt>
                <c:pt idx="27">
                  <c:v>-6.1595436028657208E-3</c:v>
                </c:pt>
                <c:pt idx="28">
                  <c:v>-5.9951575851570774E-3</c:v>
                </c:pt>
                <c:pt idx="29">
                  <c:v>-5.8436845359038057E-3</c:v>
                </c:pt>
                <c:pt idx="30">
                  <c:v>-5.8072064116470815E-3</c:v>
                </c:pt>
                <c:pt idx="31">
                  <c:v>-5.7704862681541144E-3</c:v>
                </c:pt>
                <c:pt idx="32">
                  <c:v>-5.5206180207124176E-3</c:v>
                </c:pt>
                <c:pt idx="33">
                  <c:v>-5.2829045064358131E-3</c:v>
                </c:pt>
                <c:pt idx="34">
                  <c:v>-5.1167787852348413E-3</c:v>
                </c:pt>
                <c:pt idx="35">
                  <c:v>-4.9549762510326468E-3</c:v>
                </c:pt>
                <c:pt idx="36">
                  <c:v>-4.6916003365524896E-3</c:v>
                </c:pt>
                <c:pt idx="37">
                  <c:v>-4.4360169491246635E-3</c:v>
                </c:pt>
                <c:pt idx="38">
                  <c:v>-4.2246492587123749E-3</c:v>
                </c:pt>
                <c:pt idx="39">
                  <c:v>-4.0166696181345458E-3</c:v>
                </c:pt>
                <c:pt idx="40">
                  <c:v>-3.7154206701874681E-3</c:v>
                </c:pt>
                <c:pt idx="41">
                  <c:v>-3.420864521749026E-3</c:v>
                </c:pt>
                <c:pt idx="42">
                  <c:v>-3.1546447828701527E-3</c:v>
                </c:pt>
                <c:pt idx="43">
                  <c:v>-2.8922949605701617E-3</c:v>
                </c:pt>
                <c:pt idx="44">
                  <c:v>-2.5668528026452451E-3</c:v>
                </c:pt>
                <c:pt idx="45">
                  <c:v>-2.2464978613393537E-3</c:v>
                </c:pt>
                <c:pt idx="46">
                  <c:v>-1.9445774433696512E-3</c:v>
                </c:pt>
                <c:pt idx="47">
                  <c:v>-1.6459014132863188E-3</c:v>
                </c:pt>
                <c:pt idx="48">
                  <c:v>-1.3166294386179446E-3</c:v>
                </c:pt>
                <c:pt idx="49">
                  <c:v>-9.9130424636544208E-4</c:v>
                </c:pt>
                <c:pt idx="50">
                  <c:v>-6.7581514788971682E-4</c:v>
                </c:pt>
                <c:pt idx="51">
                  <c:v>-3.6314416218241835E-4</c:v>
                </c:pt>
                <c:pt idx="52">
                  <c:v>-3.3456187873306904E-5</c:v>
                </c:pt>
                <c:pt idx="53">
                  <c:v>2.9362517205325575E-4</c:v>
                </c:pt>
                <c:pt idx="54">
                  <c:v>6.1279346408617372E-4</c:v>
                </c:pt>
                <c:pt idx="55">
                  <c:v>9.3024449609302874E-4</c:v>
                </c:pt>
                <c:pt idx="56">
                  <c:v>1.2560543692427578E-3</c:v>
                </c:pt>
                <c:pt idx="57">
                  <c:v>1.5784981022654366E-3</c:v>
                </c:pt>
                <c:pt idx="58">
                  <c:v>1.9015439476192473E-3</c:v>
                </c:pt>
                <c:pt idx="59">
                  <c:v>2.2216792187660802E-3</c:v>
                </c:pt>
                <c:pt idx="60">
                  <c:v>2.5496103860911056E-3</c:v>
                </c:pt>
                <c:pt idx="61">
                  <c:v>2.8748907239410861E-3</c:v>
                </c:pt>
                <c:pt idx="62">
                  <c:v>3.2014443830246614E-3</c:v>
                </c:pt>
                <c:pt idx="63">
                  <c:v>3.5257264203266774E-3</c:v>
                </c:pt>
                <c:pt idx="64">
                  <c:v>3.8564771598215788E-3</c:v>
                </c:pt>
                <c:pt idx="65">
                  <c:v>4.1852161272354022E-3</c:v>
                </c:pt>
                <c:pt idx="66">
                  <c:v>4.5157725020642213E-3</c:v>
                </c:pt>
                <c:pt idx="67">
                  <c:v>4.8446442812880245E-3</c:v>
                </c:pt>
                <c:pt idx="68">
                  <c:v>5.0965216447623951E-3</c:v>
                </c:pt>
                <c:pt idx="69">
                  <c:v>5.3472706846735812E-3</c:v>
                </c:pt>
                <c:pt idx="70">
                  <c:v>5.6017351864253509E-3</c:v>
                </c:pt>
                <c:pt idx="71">
                  <c:v>5.8551671128673323E-3</c:v>
                </c:pt>
                <c:pt idx="72">
                  <c:v>6.1089339316339761E-3</c:v>
                </c:pt>
                <c:pt idx="73">
                  <c:v>6.3618028669175644E-3</c:v>
                </c:pt>
                <c:pt idx="74">
                  <c:v>6.6188455432344877E-3</c:v>
                </c:pt>
                <c:pt idx="75">
                  <c:v>6.8750697187855035E-3</c:v>
                </c:pt>
                <c:pt idx="76">
                  <c:v>7.1314917809400741E-3</c:v>
                </c:pt>
                <c:pt idx="77">
                  <c:v>7.3872196226149643E-3</c:v>
                </c:pt>
                <c:pt idx="78">
                  <c:v>7.6471965848021505E-3</c:v>
                </c:pt>
                <c:pt idx="79">
                  <c:v>7.9065578052567777E-3</c:v>
                </c:pt>
                <c:pt idx="80">
                  <c:v>8.1660038426504336E-3</c:v>
                </c:pt>
                <c:pt idx="81">
                  <c:v>8.4249498345653883E-3</c:v>
                </c:pt>
                <c:pt idx="82">
                  <c:v>8.6882343560901031E-3</c:v>
                </c:pt>
                <c:pt idx="83">
                  <c:v>8.951098534447928E-3</c:v>
                </c:pt>
                <c:pt idx="84">
                  <c:v>9.2139573020127256E-3</c:v>
                </c:pt>
                <c:pt idx="85">
                  <c:v>9.4765043618086839E-3</c:v>
                </c:pt>
                <c:pt idx="86">
                  <c:v>9.74349457265156E-3</c:v>
                </c:pt>
                <c:pt idx="87">
                  <c:v>1.0010255890903166E-2</c:v>
                </c:pt>
                <c:pt idx="88">
                  <c:v>1.0124887177305397E-2</c:v>
                </c:pt>
                <c:pt idx="89">
                  <c:v>1.0241126260811341E-2</c:v>
                </c:pt>
                <c:pt idx="90">
                  <c:v>1.0359258059534318E-2</c:v>
                </c:pt>
                <c:pt idx="91">
                  <c:v>1.0478960378884364E-2</c:v>
                </c:pt>
                <c:pt idx="92">
                  <c:v>1.0594930190806914E-2</c:v>
                </c:pt>
                <c:pt idx="93">
                  <c:v>1.0712471656607703E-2</c:v>
                </c:pt>
                <c:pt idx="94">
                  <c:v>1.0832347199880625E-2</c:v>
                </c:pt>
                <c:pt idx="95">
                  <c:v>1.0953755702346199E-2</c:v>
                </c:pt>
                <c:pt idx="96">
                  <c:v>1.1071582592020925E-2</c:v>
                </c:pt>
                <c:pt idx="97">
                  <c:v>1.1190942513368293E-2</c:v>
                </c:pt>
                <c:pt idx="98">
                  <c:v>1.1312599274417563E-2</c:v>
                </c:pt>
                <c:pt idx="99">
                  <c:v>1.1435759881056268E-2</c:v>
                </c:pt>
                <c:pt idx="100">
                  <c:v>1.1555474792652089E-2</c:v>
                </c:pt>
                <c:pt idx="101">
                  <c:v>1.1676692738371366E-2</c:v>
                </c:pt>
                <c:pt idx="102">
                  <c:v>1.1800178211924002E-2</c:v>
                </c:pt>
                <c:pt idx="103">
                  <c:v>1.1925146119894136E-2</c:v>
                </c:pt>
                <c:pt idx="104">
                  <c:v>1.2046793286402024E-2</c:v>
                </c:pt>
                <c:pt idx="105">
                  <c:v>1.2169921313526176E-2</c:v>
                </c:pt>
                <c:pt idx="106">
                  <c:v>1.2295294808670906E-2</c:v>
                </c:pt>
                <c:pt idx="107">
                  <c:v>1.2422136428239229E-2</c:v>
                </c:pt>
                <c:pt idx="108">
                  <c:v>1.2517183198272497E-2</c:v>
                </c:pt>
                <c:pt idx="109">
                  <c:v>1.2613051979134675E-2</c:v>
                </c:pt>
                <c:pt idx="110">
                  <c:v>1.2711086188281911E-2</c:v>
                </c:pt>
                <c:pt idx="111">
                  <c:v>1.2809923832008093E-2</c:v>
                </c:pt>
                <c:pt idx="112">
                  <c:v>1.2905575778799992E-2</c:v>
                </c:pt>
                <c:pt idx="113">
                  <c:v>1.3002029975958666E-2</c:v>
                </c:pt>
                <c:pt idx="114">
                  <c:v>1.3100811768090704E-2</c:v>
                </c:pt>
                <c:pt idx="115">
                  <c:v>1.3200378551117479E-2</c:v>
                </c:pt>
                <c:pt idx="116">
                  <c:v>1.3296902840627416E-2</c:v>
                </c:pt>
                <c:pt idx="117">
                  <c:v>1.3394209926398429E-2</c:v>
                </c:pt>
                <c:pt idx="118">
                  <c:v>1.3493795685078067E-2</c:v>
                </c:pt>
                <c:pt idx="119">
                  <c:v>1.3594151914798444E-2</c:v>
                </c:pt>
                <c:pt idx="120">
                  <c:v>1.3691597696611031E-2</c:v>
                </c:pt>
                <c:pt idx="121">
                  <c:v>1.3789810921658494E-2</c:v>
                </c:pt>
                <c:pt idx="122">
                  <c:v>1.3890261050002614E-2</c:v>
                </c:pt>
                <c:pt idx="123">
                  <c:v>1.3991470780162083E-2</c:v>
                </c:pt>
                <c:pt idx="124">
                  <c:v>1.4089893099503283E-2</c:v>
                </c:pt>
                <c:pt idx="125">
                  <c:v>1.41890713018789E-2</c:v>
                </c:pt>
                <c:pt idx="126">
                  <c:v>1.4290451250390943E-2</c:v>
                </c:pt>
                <c:pt idx="127">
                  <c:v>1.439258335694509E-2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881920"/>
        <c:axId val="333882496"/>
      </c:scatterChart>
      <c:valAx>
        <c:axId val="333881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882496"/>
        <c:crosses val="autoZero"/>
        <c:crossBetween val="midCat"/>
      </c:valAx>
      <c:valAx>
        <c:axId val="33388249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3881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983592218223707"/>
          <c:y val="7.8112369717309948E-2"/>
          <c:w val="0.64300288035022968"/>
          <c:h val="0.11054758420361403"/>
        </c:manualLayout>
      </c:layout>
      <c:overlay val="1"/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ゼロイールド（ユーロOISDF×ドル担保ユーロCF調整関数）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'試算番号4-5'!$H$10:$H$137</c:f>
              <c:numCache>
                <c:formatCode>0.000_ </c:formatCode>
                <c:ptCount val="128"/>
                <c:pt idx="0" formatCode="General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'試算番号4-5'!$U$10:$U$137</c:f>
              <c:numCache>
                <c:formatCode>0.000%</c:formatCode>
                <c:ptCount val="128"/>
                <c:pt idx="0">
                  <c:v>-1.2402506785238297E-4</c:v>
                </c:pt>
                <c:pt idx="1">
                  <c:v>-1.2402506785238297E-4</c:v>
                </c:pt>
                <c:pt idx="2">
                  <c:v>-1.9106244345958937E-4</c:v>
                </c:pt>
                <c:pt idx="3">
                  <c:v>-2.1780212637562973E-4</c:v>
                </c:pt>
                <c:pt idx="4">
                  <c:v>-2.4682504103090892E-4</c:v>
                </c:pt>
                <c:pt idx="5">
                  <c:v>-2.5037071735712246E-4</c:v>
                </c:pt>
                <c:pt idx="6">
                  <c:v>-3.2082498355574454E-4</c:v>
                </c:pt>
                <c:pt idx="7">
                  <c:v>-2.9644406114287373E-4</c:v>
                </c:pt>
                <c:pt idx="8">
                  <c:v>-4.0396601324200684E-4</c:v>
                </c:pt>
                <c:pt idx="9">
                  <c:v>-4.0251183810429482E-4</c:v>
                </c:pt>
                <c:pt idx="10">
                  <c:v>-4.6817599928798741E-4</c:v>
                </c:pt>
                <c:pt idx="11">
                  <c:v>-4.3972230537391737E-4</c:v>
                </c:pt>
                <c:pt idx="12">
                  <c:v>-4.0699019415635807E-4</c:v>
                </c:pt>
                <c:pt idx="13">
                  <c:v>-3.4556129481208434E-4</c:v>
                </c:pt>
                <c:pt idx="14">
                  <c:v>-4.2639431449841448E-4</c:v>
                </c:pt>
                <c:pt idx="15">
                  <c:v>-3.6527202846327967E-4</c:v>
                </c:pt>
                <c:pt idx="16">
                  <c:v>2.0984195809652659E-4</c:v>
                </c:pt>
                <c:pt idx="17">
                  <c:v>6.5959422574072678E-4</c:v>
                </c:pt>
                <c:pt idx="18">
                  <c:v>7.4911170838015727E-4</c:v>
                </c:pt>
                <c:pt idx="19">
                  <c:v>8.1579099218009735E-4</c:v>
                </c:pt>
                <c:pt idx="20">
                  <c:v>1.5582241385642579E-3</c:v>
                </c:pt>
                <c:pt idx="21">
                  <c:v>2.2004936159787476E-3</c:v>
                </c:pt>
                <c:pt idx="22">
                  <c:v>2.4990982819498952E-3</c:v>
                </c:pt>
                <c:pt idx="23">
                  <c:v>2.7665360496024602E-3</c:v>
                </c:pt>
                <c:pt idx="24">
                  <c:v>3.488957344127313E-3</c:v>
                </c:pt>
                <c:pt idx="25">
                  <c:v>4.1429527606603386E-3</c:v>
                </c:pt>
                <c:pt idx="26">
                  <c:v>4.5271067306620599E-3</c:v>
                </c:pt>
                <c:pt idx="27">
                  <c:v>4.8845717312960227E-3</c:v>
                </c:pt>
                <c:pt idx="28">
                  <c:v>5.5118142872047811E-3</c:v>
                </c:pt>
                <c:pt idx="29">
                  <c:v>6.0956481288678569E-3</c:v>
                </c:pt>
                <c:pt idx="30">
                  <c:v>6.4878845285770616E-3</c:v>
                </c:pt>
                <c:pt idx="31">
                  <c:v>6.8608595662846793E-3</c:v>
                </c:pt>
                <c:pt idx="32">
                  <c:v>7.404621322291677E-3</c:v>
                </c:pt>
                <c:pt idx="33">
                  <c:v>7.9198698344157149E-3</c:v>
                </c:pt>
                <c:pt idx="34">
                  <c:v>8.2995888767324558E-3</c:v>
                </c:pt>
                <c:pt idx="35">
                  <c:v>8.665338738833914E-3</c:v>
                </c:pt>
                <c:pt idx="36">
                  <c:v>9.1592420543344481E-3</c:v>
                </c:pt>
                <c:pt idx="37">
                  <c:v>9.6334257397481735E-3</c:v>
                </c:pt>
                <c:pt idx="38">
                  <c:v>1.0012456479225927E-2</c:v>
                </c:pt>
                <c:pt idx="39">
                  <c:v>1.0380792628825523E-2</c:v>
                </c:pt>
                <c:pt idx="40">
                  <c:v>1.0837822623772662E-2</c:v>
                </c:pt>
                <c:pt idx="41">
                  <c:v>1.1280131054883258E-2</c:v>
                </c:pt>
                <c:pt idx="42">
                  <c:v>1.1651294081921245E-2</c:v>
                </c:pt>
                <c:pt idx="43">
                  <c:v>1.2013853245126426E-2</c:v>
                </c:pt>
                <c:pt idx="44">
                  <c:v>1.2422320390949787E-2</c:v>
                </c:pt>
                <c:pt idx="45">
                  <c:v>1.2820516914004935E-2</c:v>
                </c:pt>
                <c:pt idx="46">
                  <c:v>1.3164647904298596E-2</c:v>
                </c:pt>
                <c:pt idx="47">
                  <c:v>1.350271111315313E-2</c:v>
                </c:pt>
                <c:pt idx="48">
                  <c:v>1.3844084779336659E-2</c:v>
                </c:pt>
                <c:pt idx="49">
                  <c:v>1.4179307293845467E-2</c:v>
                </c:pt>
                <c:pt idx="50">
                  <c:v>1.4475969480533687E-2</c:v>
                </c:pt>
                <c:pt idx="51">
                  <c:v>1.4769181126684905E-2</c:v>
                </c:pt>
                <c:pt idx="52">
                  <c:v>1.5111391938517222E-2</c:v>
                </c:pt>
                <c:pt idx="53">
                  <c:v>1.5449229065924091E-2</c:v>
                </c:pt>
                <c:pt idx="54">
                  <c:v>1.575249636096809E-2</c:v>
                </c:pt>
                <c:pt idx="55">
                  <c:v>1.605362048214358E-2</c:v>
                </c:pt>
                <c:pt idx="56">
                  <c:v>1.6272474932977291E-2</c:v>
                </c:pt>
                <c:pt idx="57">
                  <c:v>1.6490174281984595E-2</c:v>
                </c:pt>
                <c:pt idx="58">
                  <c:v>1.6689265265578911E-2</c:v>
                </c:pt>
                <c:pt idx="59">
                  <c:v>1.6888266273129619E-2</c:v>
                </c:pt>
                <c:pt idx="60">
                  <c:v>1.7108411987007379E-2</c:v>
                </c:pt>
                <c:pt idx="61">
                  <c:v>1.7328079357080799E-2</c:v>
                </c:pt>
                <c:pt idx="62">
                  <c:v>1.7531322409845469E-2</c:v>
                </c:pt>
                <c:pt idx="63">
                  <c:v>1.7734983001518882E-2</c:v>
                </c:pt>
                <c:pt idx="64">
                  <c:v>1.7957573566505999E-2</c:v>
                </c:pt>
                <c:pt idx="65">
                  <c:v>1.8180274089995906E-2</c:v>
                </c:pt>
                <c:pt idx="66">
                  <c:v>1.8387790895611027E-2</c:v>
                </c:pt>
                <c:pt idx="67">
                  <c:v>1.859620907189392E-2</c:v>
                </c:pt>
                <c:pt idx="68">
                  <c:v>1.8677125052394408E-2</c:v>
                </c:pt>
                <c:pt idx="69">
                  <c:v>1.8760677918542194E-2</c:v>
                </c:pt>
                <c:pt idx="70">
                  <c:v>1.883957712036206E-2</c:v>
                </c:pt>
                <c:pt idx="71">
                  <c:v>1.8921238011308905E-2</c:v>
                </c:pt>
                <c:pt idx="72">
                  <c:v>1.9003130421651224E-2</c:v>
                </c:pt>
                <c:pt idx="73">
                  <c:v>1.9087676295086637E-2</c:v>
                </c:pt>
                <c:pt idx="74">
                  <c:v>1.9168637019737204E-2</c:v>
                </c:pt>
                <c:pt idx="75">
                  <c:v>1.9252345546301848E-2</c:v>
                </c:pt>
                <c:pt idx="76">
                  <c:v>1.9335952299184229E-2</c:v>
                </c:pt>
                <c:pt idx="77">
                  <c:v>1.9422214167258919E-2</c:v>
                </c:pt>
                <c:pt idx="78">
                  <c:v>1.950513045594959E-2</c:v>
                </c:pt>
                <c:pt idx="79">
                  <c:v>1.9590794090652452E-2</c:v>
                </c:pt>
                <c:pt idx="80">
                  <c:v>1.9676060460875805E-2</c:v>
                </c:pt>
                <c:pt idx="81">
                  <c:v>1.9763993651786903E-2</c:v>
                </c:pt>
                <c:pt idx="82">
                  <c:v>1.9848793042517382E-2</c:v>
                </c:pt>
                <c:pt idx="83">
                  <c:v>1.993635054338844E-2</c:v>
                </c:pt>
                <c:pt idx="84">
                  <c:v>2.002325082881164E-2</c:v>
                </c:pt>
                <c:pt idx="85">
                  <c:v>2.0112838198243541E-2</c:v>
                </c:pt>
                <c:pt idx="86">
                  <c:v>2.0199478917833268E-2</c:v>
                </c:pt>
                <c:pt idx="87">
                  <c:v>2.0288898132025775E-2</c:v>
                </c:pt>
                <c:pt idx="88">
                  <c:v>2.0275184994417786E-2</c:v>
                </c:pt>
                <c:pt idx="89">
                  <c:v>2.0265422722643221E-2</c:v>
                </c:pt>
                <c:pt idx="90">
                  <c:v>2.0255492393056795E-2</c:v>
                </c:pt>
                <c:pt idx="91">
                  <c:v>2.024941416414177E-2</c:v>
                </c:pt>
                <c:pt idx="92">
                  <c:v>2.0237058921103546E-2</c:v>
                </c:pt>
                <c:pt idx="93">
                  <c:v>2.022849751175004E-2</c:v>
                </c:pt>
                <c:pt idx="94">
                  <c:v>2.0220104802622596E-2</c:v>
                </c:pt>
                <c:pt idx="95">
                  <c:v>2.0215412737925775E-2</c:v>
                </c:pt>
                <c:pt idx="96">
                  <c:v>2.020462796604193E-2</c:v>
                </c:pt>
                <c:pt idx="97">
                  <c:v>2.0197489833403453E-2</c:v>
                </c:pt>
                <c:pt idx="98">
                  <c:v>2.0190490007011796E-2</c:v>
                </c:pt>
                <c:pt idx="99">
                  <c:v>2.0187056744118956E-2</c:v>
                </c:pt>
                <c:pt idx="100">
                  <c:v>2.0177701107848493E-2</c:v>
                </c:pt>
                <c:pt idx="101">
                  <c:v>2.0171861510603975E-2</c:v>
                </c:pt>
                <c:pt idx="102">
                  <c:v>2.0166132902841683E-2</c:v>
                </c:pt>
                <c:pt idx="103">
                  <c:v>2.0163851615739314E-2</c:v>
                </c:pt>
                <c:pt idx="104">
                  <c:v>2.0155807437772261E-2</c:v>
                </c:pt>
                <c:pt idx="105">
                  <c:v>2.0151162892614059E-2</c:v>
                </c:pt>
                <c:pt idx="106">
                  <c:v>2.0146604179431992E-2</c:v>
                </c:pt>
                <c:pt idx="107">
                  <c:v>2.0145386315788591E-2</c:v>
                </c:pt>
                <c:pt idx="108">
                  <c:v>2.0169846769198516E-2</c:v>
                </c:pt>
                <c:pt idx="109">
                  <c:v>2.0196164588971614E-2</c:v>
                </c:pt>
                <c:pt idx="110">
                  <c:v>2.0224297634111061E-2</c:v>
                </c:pt>
                <c:pt idx="111">
                  <c:v>2.0254234765284412E-2</c:v>
                </c:pt>
                <c:pt idx="112">
                  <c:v>2.0278921658843992E-2</c:v>
                </c:pt>
                <c:pt idx="113">
                  <c:v>2.030539716128903E-2</c:v>
                </c:pt>
                <c:pt idx="114">
                  <c:v>2.0333737232827755E-2</c:v>
                </c:pt>
                <c:pt idx="115">
                  <c:v>2.0363817048616145E-2</c:v>
                </c:pt>
                <c:pt idx="116">
                  <c:v>2.0388826746763795E-2</c:v>
                </c:pt>
                <c:pt idx="117">
                  <c:v>2.0415560128285954E-2</c:v>
                </c:pt>
                <c:pt idx="118">
                  <c:v>2.0444093812724721E-2</c:v>
                </c:pt>
                <c:pt idx="119">
                  <c:v>2.0474308314589455E-2</c:v>
                </c:pt>
                <c:pt idx="120">
                  <c:v>2.0499619517363489E-2</c:v>
                </c:pt>
                <c:pt idx="121">
                  <c:v>2.0526594976701288E-2</c:v>
                </c:pt>
                <c:pt idx="122">
                  <c:v>2.0555311813141623E-2</c:v>
                </c:pt>
                <c:pt idx="123">
                  <c:v>2.0585655358621807E-2</c:v>
                </c:pt>
                <c:pt idx="124">
                  <c:v>2.0611251048589879E-2</c:v>
                </c:pt>
                <c:pt idx="125">
                  <c:v>2.0638456449896869E-2</c:v>
                </c:pt>
                <c:pt idx="126">
                  <c:v>2.0667349061887143E-2</c:v>
                </c:pt>
                <c:pt idx="127">
                  <c:v>2.0697818575440768E-2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884800"/>
        <c:axId val="333885376"/>
      </c:scatterChart>
      <c:valAx>
        <c:axId val="33388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885376"/>
        <c:crosses val="autoZero"/>
        <c:crossBetween val="midCat"/>
      </c:valAx>
      <c:valAx>
        <c:axId val="33388537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3884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695787353617341"/>
          <c:y val="6.4977927035375124E-2"/>
          <c:w val="0.66012562538788122"/>
          <c:h val="0.1260486479398566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ゼロイールド（円OISDF×ユーロ担保円CF調整関数）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'試算番号4-6その1'!$F$10:$F$137</c:f>
              <c:numCache>
                <c:formatCode>0.000_ </c:formatCode>
                <c:ptCount val="128"/>
                <c:pt idx="0" formatCode="General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'試算番号4-6その1'!$O$10:$O$137</c:f>
              <c:numCache>
                <c:formatCode>0.000%</c:formatCode>
                <c:ptCount val="128"/>
                <c:pt idx="0">
                  <c:v>2.8490372629999826E-4</c:v>
                </c:pt>
                <c:pt idx="1">
                  <c:v>2.8490372629999826E-4</c:v>
                </c:pt>
                <c:pt idx="2">
                  <c:v>3.351898429131875E-4</c:v>
                </c:pt>
                <c:pt idx="3">
                  <c:v>3.4017636477963914E-4</c:v>
                </c:pt>
                <c:pt idx="4">
                  <c:v>2.7726645440217347E-4</c:v>
                </c:pt>
                <c:pt idx="5">
                  <c:v>4.2777570786787806E-4</c:v>
                </c:pt>
                <c:pt idx="6">
                  <c:v>4.0586592205098449E-4</c:v>
                </c:pt>
                <c:pt idx="7">
                  <c:v>3.3313262759803564E-4</c:v>
                </c:pt>
                <c:pt idx="8">
                  <c:v>8.0497946701712559E-5</c:v>
                </c:pt>
                <c:pt idx="9">
                  <c:v>3.679439838282069E-5</c:v>
                </c:pt>
                <c:pt idx="10">
                  <c:v>-1.0293192726213171E-4</c:v>
                </c:pt>
                <c:pt idx="11">
                  <c:v>-2.3225640244683678E-4</c:v>
                </c:pt>
                <c:pt idx="12">
                  <c:v>-7.2216757593557865E-4</c:v>
                </c:pt>
                <c:pt idx="13">
                  <c:v>-1.062831433013275E-3</c:v>
                </c:pt>
                <c:pt idx="14">
                  <c:v>-1.33942667158465E-3</c:v>
                </c:pt>
                <c:pt idx="15">
                  <c:v>-1.3345304277675245E-3</c:v>
                </c:pt>
                <c:pt idx="16">
                  <c:v>-1.5486005121731496E-3</c:v>
                </c:pt>
                <c:pt idx="17">
                  <c:v>-1.767039097237632E-3</c:v>
                </c:pt>
                <c:pt idx="18">
                  <c:v>-1.9533432051394408E-3</c:v>
                </c:pt>
                <c:pt idx="19">
                  <c:v>-2.1469702083773711E-3</c:v>
                </c:pt>
                <c:pt idx="20">
                  <c:v>-2.2959141613609004E-3</c:v>
                </c:pt>
                <c:pt idx="21">
                  <c:v>-2.4539669536307587E-3</c:v>
                </c:pt>
                <c:pt idx="22">
                  <c:v>-2.585259256731887E-3</c:v>
                </c:pt>
                <c:pt idx="23">
                  <c:v>-2.7255233238914372E-3</c:v>
                </c:pt>
                <c:pt idx="24">
                  <c:v>-2.7312243114116209E-3</c:v>
                </c:pt>
                <c:pt idx="25">
                  <c:v>-2.7523341554465102E-3</c:v>
                </c:pt>
                <c:pt idx="26">
                  <c:v>-2.7392203099010771E-3</c:v>
                </c:pt>
                <c:pt idx="27">
                  <c:v>-2.7409248575530217E-3</c:v>
                </c:pt>
                <c:pt idx="28">
                  <c:v>-2.6323210632287143E-3</c:v>
                </c:pt>
                <c:pt idx="29">
                  <c:v>-2.5404639311665572E-3</c:v>
                </c:pt>
                <c:pt idx="30">
                  <c:v>-2.4130384454585292E-3</c:v>
                </c:pt>
                <c:pt idx="31">
                  <c:v>-2.3019695200209747E-3</c:v>
                </c:pt>
                <c:pt idx="32">
                  <c:v>-2.08926231162666E-3</c:v>
                </c:pt>
                <c:pt idx="33">
                  <c:v>-1.8940524097000172E-3</c:v>
                </c:pt>
                <c:pt idx="34">
                  <c:v>-1.66493761884758E-3</c:v>
                </c:pt>
                <c:pt idx="35">
                  <c:v>-1.452939199683955E-3</c:v>
                </c:pt>
                <c:pt idx="36">
                  <c:v>-1.2229365011094786E-3</c:v>
                </c:pt>
                <c:pt idx="37">
                  <c:v>-1.00624540537152E-3</c:v>
                </c:pt>
                <c:pt idx="38">
                  <c:v>-7.6134496834157636E-4</c:v>
                </c:pt>
                <c:pt idx="39">
                  <c:v>-5.2966765834679813E-4</c:v>
                </c:pt>
                <c:pt idx="40">
                  <c:v>-2.6849293773754073E-4</c:v>
                </c:pt>
                <c:pt idx="41">
                  <c:v>-1.8164930499643975E-5</c:v>
                </c:pt>
                <c:pt idx="42">
                  <c:v>2.5779138967906159E-4</c:v>
                </c:pt>
                <c:pt idx="43">
                  <c:v>5.2280904288834029E-4</c:v>
                </c:pt>
                <c:pt idx="44">
                  <c:v>8.2377062827408091E-4</c:v>
                </c:pt>
                <c:pt idx="45">
                  <c:v>1.1155273794050881E-3</c:v>
                </c:pt>
                <c:pt idx="46">
                  <c:v>1.4297190059068489E-3</c:v>
                </c:pt>
                <c:pt idx="47">
                  <c:v>1.7346126786771921E-3</c:v>
                </c:pt>
                <c:pt idx="48">
                  <c:v>2.0276324020736167E-3</c:v>
                </c:pt>
                <c:pt idx="49">
                  <c:v>2.3135076178753622E-3</c:v>
                </c:pt>
                <c:pt idx="50">
                  <c:v>2.6194859162719051E-3</c:v>
                </c:pt>
                <c:pt idx="51">
                  <c:v>2.9181387223091858E-3</c:v>
                </c:pt>
                <c:pt idx="52">
                  <c:v>3.213128738052459E-3</c:v>
                </c:pt>
                <c:pt idx="53">
                  <c:v>3.5020866590166457E-3</c:v>
                </c:pt>
                <c:pt idx="54">
                  <c:v>3.8104883431892477E-3</c:v>
                </c:pt>
                <c:pt idx="55">
                  <c:v>4.1126423761338061E-3</c:v>
                </c:pt>
                <c:pt idx="56">
                  <c:v>4.4254025172274373E-3</c:v>
                </c:pt>
                <c:pt idx="57">
                  <c:v>4.7320496355033725E-3</c:v>
                </c:pt>
                <c:pt idx="58">
                  <c:v>5.054297939098706E-3</c:v>
                </c:pt>
                <c:pt idx="59">
                  <c:v>5.370387922349183E-3</c:v>
                </c:pt>
                <c:pt idx="60">
                  <c:v>5.686406295119544E-3</c:v>
                </c:pt>
                <c:pt idx="61">
                  <c:v>5.9970450167460007E-3</c:v>
                </c:pt>
                <c:pt idx="62">
                  <c:v>6.3224189556055433E-3</c:v>
                </c:pt>
                <c:pt idx="63">
                  <c:v>6.6423702108751115E-3</c:v>
                </c:pt>
                <c:pt idx="64">
                  <c:v>6.9614919542862475E-3</c:v>
                </c:pt>
                <c:pt idx="65">
                  <c:v>7.2759149458740376E-3</c:v>
                </c:pt>
                <c:pt idx="66">
                  <c:v>7.6049702560581859E-3</c:v>
                </c:pt>
                <c:pt idx="67">
                  <c:v>7.9292670455189656E-3</c:v>
                </c:pt>
                <c:pt idx="68">
                  <c:v>8.1727840221104513E-3</c:v>
                </c:pt>
                <c:pt idx="69">
                  <c:v>8.4129615808675104E-3</c:v>
                </c:pt>
                <c:pt idx="70">
                  <c:v>8.6619497879289742E-3</c:v>
                </c:pt>
                <c:pt idx="71">
                  <c:v>8.9076007081382805E-3</c:v>
                </c:pt>
                <c:pt idx="72">
                  <c:v>9.153891635888433E-3</c:v>
                </c:pt>
                <c:pt idx="73">
                  <c:v>9.3971173427001807E-3</c:v>
                </c:pt>
                <c:pt idx="74">
                  <c:v>9.6486029882439164E-3</c:v>
                </c:pt>
                <c:pt idx="75">
                  <c:v>9.897038167300384E-3</c:v>
                </c:pt>
                <c:pt idx="76">
                  <c:v>1.0146023460498655E-2</c:v>
                </c:pt>
                <c:pt idx="77">
                  <c:v>1.039220869970882E-2</c:v>
                </c:pt>
                <c:pt idx="78">
                  <c:v>1.0646552217051066E-2</c:v>
                </c:pt>
                <c:pt idx="79">
                  <c:v>1.0898110506935985E-2</c:v>
                </c:pt>
                <c:pt idx="80">
                  <c:v>1.1150145436522726E-2</c:v>
                </c:pt>
                <c:pt idx="81">
                  <c:v>1.1399627694592296E-2</c:v>
                </c:pt>
                <c:pt idx="82">
                  <c:v>1.1657210359523247E-2</c:v>
                </c:pt>
                <c:pt idx="83">
                  <c:v>1.1912256621811784E-2</c:v>
                </c:pt>
                <c:pt idx="84">
                  <c:v>1.2167717909323075E-2</c:v>
                </c:pt>
                <c:pt idx="85">
                  <c:v>1.2420860695958706E-2</c:v>
                </c:pt>
                <c:pt idx="86">
                  <c:v>1.2682087264107623E-2</c:v>
                </c:pt>
                <c:pt idx="87">
                  <c:v>1.2941014299288556E-2</c:v>
                </c:pt>
                <c:pt idx="88">
                  <c:v>1.3080059080279514E-2</c:v>
                </c:pt>
                <c:pt idx="89">
                  <c:v>1.3218279291047396E-2</c:v>
                </c:pt>
                <c:pt idx="90">
                  <c:v>1.3360045318540913E-2</c:v>
                </c:pt>
                <c:pt idx="91">
                  <c:v>1.3500983337536365E-2</c:v>
                </c:pt>
                <c:pt idx="92">
                  <c:v>1.3641265618476511E-2</c:v>
                </c:pt>
                <c:pt idx="93">
                  <c:v>1.3780772943563887E-2</c:v>
                </c:pt>
                <c:pt idx="94">
                  <c:v>1.3923863931346495E-2</c:v>
                </c:pt>
                <c:pt idx="95">
                  <c:v>1.4066178280800633E-2</c:v>
                </c:pt>
                <c:pt idx="96">
                  <c:v>1.4207879000228463E-2</c:v>
                </c:pt>
                <c:pt idx="97">
                  <c:v>1.4348851891846747E-2</c:v>
                </c:pt>
                <c:pt idx="98">
                  <c:v>1.449334397077124E-2</c:v>
                </c:pt>
                <c:pt idx="99">
                  <c:v>1.4637110332708047E-2</c:v>
                </c:pt>
                <c:pt idx="100">
                  <c:v>1.4780299261363034E-2</c:v>
                </c:pt>
                <c:pt idx="101">
                  <c:v>1.4922807648622513E-2</c:v>
                </c:pt>
                <c:pt idx="102">
                  <c:v>1.5068783164239513E-2</c:v>
                </c:pt>
                <c:pt idx="103">
                  <c:v>1.5214083798918199E-2</c:v>
                </c:pt>
                <c:pt idx="104">
                  <c:v>1.5358838402876161E-2</c:v>
                </c:pt>
                <c:pt idx="105">
                  <c:v>1.5502960178321598E-2</c:v>
                </c:pt>
                <c:pt idx="106">
                  <c:v>1.5650508461375019E-2</c:v>
                </c:pt>
                <c:pt idx="107">
                  <c:v>1.5797432956702301E-2</c:v>
                </c:pt>
                <c:pt idx="108">
                  <c:v>1.5863586651048051E-2</c:v>
                </c:pt>
                <c:pt idx="109">
                  <c:v>1.5930104288562837E-2</c:v>
                </c:pt>
                <c:pt idx="110">
                  <c:v>1.5998345839825047E-2</c:v>
                </c:pt>
                <c:pt idx="111">
                  <c:v>1.606693611127618E-2</c:v>
                </c:pt>
                <c:pt idx="112">
                  <c:v>1.6134252328922332E-2</c:v>
                </c:pt>
                <c:pt idx="113">
                  <c:v>1.6201919954455007E-2</c:v>
                </c:pt>
                <c:pt idx="114">
                  <c:v>1.6271365571690347E-2</c:v>
                </c:pt>
                <c:pt idx="115">
                  <c:v>1.6341149702485545E-2</c:v>
                </c:pt>
                <c:pt idx="116">
                  <c:v>1.640972437196335E-2</c:v>
                </c:pt>
                <c:pt idx="117">
                  <c:v>1.6478640333092039E-2</c:v>
                </c:pt>
                <c:pt idx="118">
                  <c:v>1.6549296470273683E-2</c:v>
                </c:pt>
                <c:pt idx="119">
                  <c:v>1.6620284672479359E-2</c:v>
                </c:pt>
                <c:pt idx="120">
                  <c:v>1.6690123897195291E-2</c:v>
                </c:pt>
                <c:pt idx="121">
                  <c:v>1.6760298037248603E-2</c:v>
                </c:pt>
                <c:pt idx="122">
                  <c:v>1.6832181186553871E-2</c:v>
                </c:pt>
                <c:pt idx="123">
                  <c:v>1.6904393339467812E-2</c:v>
                </c:pt>
                <c:pt idx="124">
                  <c:v>1.6975513610382367E-2</c:v>
                </c:pt>
                <c:pt idx="125">
                  <c:v>1.7046965801254085E-2</c:v>
                </c:pt>
                <c:pt idx="126">
                  <c:v>1.7120101903783734E-2</c:v>
                </c:pt>
                <c:pt idx="127">
                  <c:v>1.7193567051140342E-2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887680"/>
        <c:axId val="333888256"/>
      </c:scatterChart>
      <c:valAx>
        <c:axId val="33388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888256"/>
        <c:crosses val="autoZero"/>
        <c:crossBetween val="midCat"/>
      </c:valAx>
      <c:valAx>
        <c:axId val="333888256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3887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83597447770049"/>
          <c:y val="7.8663864930989313E-2"/>
          <c:w val="0.60346477940662058"/>
          <c:h val="0.1025358039018141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ゼロイールド（ユーロOISDF×円担保ユーロCF調整関数）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'試算番号4-6その2'!$F$10:$F$137</c:f>
              <c:numCache>
                <c:formatCode>0.000_ </c:formatCode>
                <c:ptCount val="128"/>
                <c:pt idx="0" formatCode="General">
                  <c:v>0</c:v>
                </c:pt>
                <c:pt idx="1">
                  <c:v>1.9178082191780823E-2</c:v>
                </c:pt>
                <c:pt idx="2">
                  <c:v>3.8356164383561646E-2</c:v>
                </c:pt>
                <c:pt idx="3">
                  <c:v>5.7534246575342465E-2</c:v>
                </c:pt>
                <c:pt idx="4">
                  <c:v>8.3333333333333329E-2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0.41666666666666669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 formatCode="0.00_ ">
                  <c:v>1.25</c:v>
                </c:pt>
                <c:pt idx="13" formatCode="0.00_ ">
                  <c:v>1.5</c:v>
                </c:pt>
                <c:pt idx="14" formatCode="0.00_ ">
                  <c:v>1.75</c:v>
                </c:pt>
                <c:pt idx="15" formatCode="0.00_ ">
                  <c:v>2</c:v>
                </c:pt>
                <c:pt idx="16" formatCode="0.00_ ">
                  <c:v>2.25</c:v>
                </c:pt>
                <c:pt idx="17" formatCode="0.00_ ">
                  <c:v>2.5</c:v>
                </c:pt>
                <c:pt idx="18" formatCode="0.00_ ">
                  <c:v>2.75</c:v>
                </c:pt>
                <c:pt idx="19" formatCode="0.00_ ">
                  <c:v>3</c:v>
                </c:pt>
                <c:pt idx="20" formatCode="0.00_ ">
                  <c:v>3.25</c:v>
                </c:pt>
                <c:pt idx="21" formatCode="0.00_ ">
                  <c:v>3.5</c:v>
                </c:pt>
                <c:pt idx="22" formatCode="0.00_ ">
                  <c:v>3.75</c:v>
                </c:pt>
                <c:pt idx="23" formatCode="0.00_ ">
                  <c:v>4</c:v>
                </c:pt>
                <c:pt idx="24" formatCode="0.00_ ">
                  <c:v>4.25</c:v>
                </c:pt>
                <c:pt idx="25" formatCode="0.00_ ">
                  <c:v>4.5</c:v>
                </c:pt>
                <c:pt idx="26" formatCode="0.00_ ">
                  <c:v>4.75</c:v>
                </c:pt>
                <c:pt idx="27" formatCode="0.00_ ">
                  <c:v>5</c:v>
                </c:pt>
                <c:pt idx="28" formatCode="0.00_ ">
                  <c:v>5.25</c:v>
                </c:pt>
                <c:pt idx="29" formatCode="0.00_ ">
                  <c:v>5.5</c:v>
                </c:pt>
                <c:pt idx="30" formatCode="0.00_ ">
                  <c:v>5.75</c:v>
                </c:pt>
                <c:pt idx="31" formatCode="0.00_ ">
                  <c:v>6</c:v>
                </c:pt>
                <c:pt idx="32" formatCode="0.00_ ">
                  <c:v>6.25</c:v>
                </c:pt>
                <c:pt idx="33" formatCode="0.00_ ">
                  <c:v>6.5</c:v>
                </c:pt>
                <c:pt idx="34" formatCode="0.00_ ">
                  <c:v>6.75</c:v>
                </c:pt>
                <c:pt idx="35" formatCode="0.00_ ">
                  <c:v>7</c:v>
                </c:pt>
                <c:pt idx="36" formatCode="0.00_ ">
                  <c:v>7.25</c:v>
                </c:pt>
                <c:pt idx="37" formatCode="0.00_ ">
                  <c:v>7.5</c:v>
                </c:pt>
                <c:pt idx="38" formatCode="0.00_ ">
                  <c:v>7.75</c:v>
                </c:pt>
                <c:pt idx="39" formatCode="0.00_ ">
                  <c:v>8</c:v>
                </c:pt>
                <c:pt idx="40" formatCode="0.00_ ">
                  <c:v>8.25</c:v>
                </c:pt>
                <c:pt idx="41" formatCode="0.00_ ">
                  <c:v>8.5</c:v>
                </c:pt>
                <c:pt idx="42" formatCode="0.00_ ">
                  <c:v>8.75</c:v>
                </c:pt>
                <c:pt idx="43" formatCode="0.00_ ">
                  <c:v>9</c:v>
                </c:pt>
                <c:pt idx="44" formatCode="0.00_ ">
                  <c:v>9.25</c:v>
                </c:pt>
                <c:pt idx="45" formatCode="0.00_ ">
                  <c:v>9.5</c:v>
                </c:pt>
                <c:pt idx="46" formatCode="0.00_ ">
                  <c:v>9.75</c:v>
                </c:pt>
                <c:pt idx="47" formatCode="0.00_ ">
                  <c:v>10</c:v>
                </c:pt>
                <c:pt idx="48" formatCode="0.00_ ">
                  <c:v>10.25</c:v>
                </c:pt>
                <c:pt idx="49" formatCode="0.00_ ">
                  <c:v>10.5</c:v>
                </c:pt>
                <c:pt idx="50" formatCode="0.00_ ">
                  <c:v>10.75</c:v>
                </c:pt>
                <c:pt idx="51" formatCode="0.00_ ">
                  <c:v>11</c:v>
                </c:pt>
                <c:pt idx="52" formatCode="0.00_ ">
                  <c:v>11.25</c:v>
                </c:pt>
                <c:pt idx="53" formatCode="0.00_ ">
                  <c:v>11.5</c:v>
                </c:pt>
                <c:pt idx="54" formatCode="0.00_ ">
                  <c:v>11.75</c:v>
                </c:pt>
                <c:pt idx="55" formatCode="0.00_ ">
                  <c:v>12</c:v>
                </c:pt>
                <c:pt idx="56" formatCode="0.00_ ">
                  <c:v>12.25</c:v>
                </c:pt>
                <c:pt idx="57" formatCode="0.00_ ">
                  <c:v>12.5</c:v>
                </c:pt>
                <c:pt idx="58" formatCode="0.00_ ">
                  <c:v>12.75</c:v>
                </c:pt>
                <c:pt idx="59" formatCode="0.00_ ">
                  <c:v>13</c:v>
                </c:pt>
                <c:pt idx="60" formatCode="0.00_ ">
                  <c:v>13.25</c:v>
                </c:pt>
                <c:pt idx="61" formatCode="0.00_ ">
                  <c:v>13.5</c:v>
                </c:pt>
                <c:pt idx="62" formatCode="0.00_ ">
                  <c:v>13.75</c:v>
                </c:pt>
                <c:pt idx="63" formatCode="0.00_ ">
                  <c:v>14</c:v>
                </c:pt>
                <c:pt idx="64" formatCode="0.00_ ">
                  <c:v>14.25</c:v>
                </c:pt>
                <c:pt idx="65" formatCode="0.00_ ">
                  <c:v>14.5</c:v>
                </c:pt>
                <c:pt idx="66" formatCode="0.00_ ">
                  <c:v>14.75</c:v>
                </c:pt>
                <c:pt idx="67" formatCode="0.00_ ">
                  <c:v>15</c:v>
                </c:pt>
                <c:pt idx="68" formatCode="0.00_ ">
                  <c:v>15.25</c:v>
                </c:pt>
                <c:pt idx="69" formatCode="0.00_ ">
                  <c:v>15.5</c:v>
                </c:pt>
                <c:pt idx="70" formatCode="0.00_ ">
                  <c:v>15.75</c:v>
                </c:pt>
                <c:pt idx="71" formatCode="0.00_ ">
                  <c:v>16</c:v>
                </c:pt>
                <c:pt idx="72" formatCode="0.00_ ">
                  <c:v>16.25</c:v>
                </c:pt>
                <c:pt idx="73" formatCode="0.00_ ">
                  <c:v>16.5</c:v>
                </c:pt>
                <c:pt idx="74" formatCode="0.00_ ">
                  <c:v>16.75</c:v>
                </c:pt>
                <c:pt idx="75" formatCode="0.00_ ">
                  <c:v>17</c:v>
                </c:pt>
                <c:pt idx="76" formatCode="0.00_ ">
                  <c:v>17.25</c:v>
                </c:pt>
                <c:pt idx="77" formatCode="0.00_ ">
                  <c:v>17.5</c:v>
                </c:pt>
                <c:pt idx="78" formatCode="0.00_ ">
                  <c:v>17.75</c:v>
                </c:pt>
                <c:pt idx="79" formatCode="0.00_ ">
                  <c:v>18</c:v>
                </c:pt>
                <c:pt idx="80" formatCode="0.00_ ">
                  <c:v>18.25</c:v>
                </c:pt>
                <c:pt idx="81" formatCode="0.00_ ">
                  <c:v>18.5</c:v>
                </c:pt>
                <c:pt idx="82" formatCode="0.00_ ">
                  <c:v>18.75</c:v>
                </c:pt>
                <c:pt idx="83" formatCode="0.00_ ">
                  <c:v>19</c:v>
                </c:pt>
                <c:pt idx="84" formatCode="0.00_ ">
                  <c:v>19.25</c:v>
                </c:pt>
                <c:pt idx="85" formatCode="0.00_ ">
                  <c:v>19.5</c:v>
                </c:pt>
                <c:pt idx="86" formatCode="0.00_ ">
                  <c:v>19.75</c:v>
                </c:pt>
                <c:pt idx="87" formatCode="0.00_ ">
                  <c:v>20</c:v>
                </c:pt>
                <c:pt idx="88" formatCode="0.00_ ">
                  <c:v>20.25</c:v>
                </c:pt>
                <c:pt idx="89" formatCode="0.00_ ">
                  <c:v>20.5</c:v>
                </c:pt>
                <c:pt idx="90" formatCode="0.00_ ">
                  <c:v>20.75</c:v>
                </c:pt>
                <c:pt idx="91" formatCode="0.00_ ">
                  <c:v>21</c:v>
                </c:pt>
                <c:pt idx="92" formatCode="0.00_ ">
                  <c:v>21.25</c:v>
                </c:pt>
                <c:pt idx="93" formatCode="0.00_ ">
                  <c:v>21.5</c:v>
                </c:pt>
                <c:pt idx="94" formatCode="0.00_ ">
                  <c:v>21.75</c:v>
                </c:pt>
                <c:pt idx="95" formatCode="0.00_ ">
                  <c:v>22</c:v>
                </c:pt>
                <c:pt idx="96" formatCode="0.00_ ">
                  <c:v>22.25</c:v>
                </c:pt>
                <c:pt idx="97" formatCode="0.00_ ">
                  <c:v>22.5</c:v>
                </c:pt>
                <c:pt idx="98" formatCode="0.00_ ">
                  <c:v>22.75</c:v>
                </c:pt>
                <c:pt idx="99" formatCode="0.00_ ">
                  <c:v>23</c:v>
                </c:pt>
                <c:pt idx="100" formatCode="0.00_ ">
                  <c:v>23.25</c:v>
                </c:pt>
                <c:pt idx="101" formatCode="0.00_ ">
                  <c:v>23.5</c:v>
                </c:pt>
                <c:pt idx="102" formatCode="0.00_ ">
                  <c:v>23.75</c:v>
                </c:pt>
                <c:pt idx="103" formatCode="0.00_ ">
                  <c:v>24</c:v>
                </c:pt>
                <c:pt idx="104" formatCode="0.00_ ">
                  <c:v>24.25</c:v>
                </c:pt>
                <c:pt idx="105" formatCode="0.00_ ">
                  <c:v>24.5</c:v>
                </c:pt>
                <c:pt idx="106" formatCode="0.00_ ">
                  <c:v>24.75</c:v>
                </c:pt>
                <c:pt idx="107" formatCode="0.00_ ">
                  <c:v>25</c:v>
                </c:pt>
                <c:pt idx="108" formatCode="0.00_ ">
                  <c:v>25.25</c:v>
                </c:pt>
                <c:pt idx="109" formatCode="0.00_ ">
                  <c:v>25.5</c:v>
                </c:pt>
                <c:pt idx="110" formatCode="0.00_ ">
                  <c:v>25.75</c:v>
                </c:pt>
                <c:pt idx="111" formatCode="0.00_ ">
                  <c:v>26</c:v>
                </c:pt>
                <c:pt idx="112" formatCode="0.00_ ">
                  <c:v>26.25</c:v>
                </c:pt>
                <c:pt idx="113" formatCode="0.00_ ">
                  <c:v>26.5</c:v>
                </c:pt>
                <c:pt idx="114" formatCode="0.00_ ">
                  <c:v>26.75</c:v>
                </c:pt>
                <c:pt idx="115" formatCode="0.00_ ">
                  <c:v>27</c:v>
                </c:pt>
                <c:pt idx="116" formatCode="0.00_ ">
                  <c:v>27.25</c:v>
                </c:pt>
                <c:pt idx="117" formatCode="0.00_ ">
                  <c:v>27.5</c:v>
                </c:pt>
                <c:pt idx="118" formatCode="0.00_ ">
                  <c:v>27.75</c:v>
                </c:pt>
                <c:pt idx="119" formatCode="0.00_ ">
                  <c:v>28</c:v>
                </c:pt>
                <c:pt idx="120" formatCode="0.00_ ">
                  <c:v>28.25</c:v>
                </c:pt>
                <c:pt idx="121" formatCode="0.00_ ">
                  <c:v>28.5</c:v>
                </c:pt>
                <c:pt idx="122" formatCode="0.00_ ">
                  <c:v>28.75</c:v>
                </c:pt>
                <c:pt idx="123" formatCode="0.00_ ">
                  <c:v>29</c:v>
                </c:pt>
                <c:pt idx="124" formatCode="0.00_ ">
                  <c:v>29.25</c:v>
                </c:pt>
                <c:pt idx="125" formatCode="0.00_ ">
                  <c:v>29.5</c:v>
                </c:pt>
                <c:pt idx="126" formatCode="0.00_ ">
                  <c:v>29.75</c:v>
                </c:pt>
                <c:pt idx="127" formatCode="0.00_ ">
                  <c:v>30</c:v>
                </c:pt>
              </c:numCache>
            </c:numRef>
          </c:xVal>
          <c:yVal>
            <c:numRef>
              <c:f>'試算番号4-6その2'!$O$10:$O$137</c:f>
              <c:numCache>
                <c:formatCode>0.000%</c:formatCode>
                <c:ptCount val="128"/>
                <c:pt idx="0">
                  <c:v>1.4150821415192855E-3</c:v>
                </c:pt>
                <c:pt idx="1">
                  <c:v>1.4150821415192855E-3</c:v>
                </c:pt>
                <c:pt idx="2">
                  <c:v>1.3747815191110348E-3</c:v>
                </c:pt>
                <c:pt idx="3">
                  <c:v>1.3747803961225739E-3</c:v>
                </c:pt>
                <c:pt idx="4">
                  <c:v>1.4726682280848439E-3</c:v>
                </c:pt>
                <c:pt idx="5">
                  <c:v>1.3620872981178641E-3</c:v>
                </c:pt>
                <c:pt idx="6">
                  <c:v>1.4339161133310749E-3</c:v>
                </c:pt>
                <c:pt idx="7">
                  <c:v>1.5165742192832787E-3</c:v>
                </c:pt>
                <c:pt idx="8">
                  <c:v>1.7891278848387211E-3</c:v>
                </c:pt>
                <c:pt idx="9">
                  <c:v>1.8427527005662431E-3</c:v>
                </c:pt>
                <c:pt idx="10">
                  <c:v>2.152109746605417E-3</c:v>
                </c:pt>
                <c:pt idx="11">
                  <c:v>2.5008763371786162E-3</c:v>
                </c:pt>
                <c:pt idx="12">
                  <c:v>3.2407420206951665E-3</c:v>
                </c:pt>
                <c:pt idx="13">
                  <c:v>3.8412975629745385E-3</c:v>
                </c:pt>
                <c:pt idx="14">
                  <c:v>4.307759321063657E-3</c:v>
                </c:pt>
                <c:pt idx="15">
                  <c:v>4.7323936569389673E-3</c:v>
                </c:pt>
                <c:pt idx="16">
                  <c:v>5.5855009983358603E-3</c:v>
                </c:pt>
                <c:pt idx="17">
                  <c:v>6.3165252627050191E-3</c:v>
                </c:pt>
                <c:pt idx="18">
                  <c:v>6.9234543800108343E-3</c:v>
                </c:pt>
                <c:pt idx="19">
                  <c:v>7.4687396809723257E-3</c:v>
                </c:pt>
                <c:pt idx="20">
                  <c:v>8.4030573608195984E-3</c:v>
                </c:pt>
                <c:pt idx="21">
                  <c:v>9.237234286279674E-3</c:v>
                </c:pt>
                <c:pt idx="22">
                  <c:v>9.9572675292246195E-3</c:v>
                </c:pt>
                <c:pt idx="23">
                  <c:v>1.06152892871515E-2</c:v>
                </c:pt>
                <c:pt idx="24">
                  <c:v>1.1419951798395962E-2</c:v>
                </c:pt>
                <c:pt idx="25">
                  <c:v>1.2155575412354134E-2</c:v>
                </c:pt>
                <c:pt idx="26">
                  <c:v>1.2785895024303851E-2</c:v>
                </c:pt>
                <c:pt idx="27">
                  <c:v>1.3370647078113987E-2</c:v>
                </c:pt>
                <c:pt idx="28">
                  <c:v>1.407861449639651E-2</c:v>
                </c:pt>
                <c:pt idx="29">
                  <c:v>1.4734439306701813E-2</c:v>
                </c:pt>
                <c:pt idx="30">
                  <c:v>1.5294840523311171E-2</c:v>
                </c:pt>
                <c:pt idx="31">
                  <c:v>1.5819272115477168E-2</c:v>
                </c:pt>
                <c:pt idx="32">
                  <c:v>1.644914233269321E-2</c:v>
                </c:pt>
                <c:pt idx="33">
                  <c:v>1.703810445308139E-2</c:v>
                </c:pt>
                <c:pt idx="34">
                  <c:v>1.7541310308198055E-2</c:v>
                </c:pt>
                <c:pt idx="35">
                  <c:v>1.8015399926612025E-2</c:v>
                </c:pt>
                <c:pt idx="36">
                  <c:v>1.8538319716596339E-2</c:v>
                </c:pt>
                <c:pt idx="37">
                  <c:v>1.9031205304177758E-2</c:v>
                </c:pt>
                <c:pt idx="38">
                  <c:v>1.9456807531847465E-2</c:v>
                </c:pt>
                <c:pt idx="39">
                  <c:v>1.9860298055377371E-2</c:v>
                </c:pt>
                <c:pt idx="40">
                  <c:v>2.0299698608688754E-2</c:v>
                </c:pt>
                <c:pt idx="41">
                  <c:v>2.0716008348520443E-2</c:v>
                </c:pt>
                <c:pt idx="42">
                  <c:v>2.1075749838123051E-2</c:v>
                </c:pt>
                <c:pt idx="43">
                  <c:v>2.1418156291902746E-2</c:v>
                </c:pt>
                <c:pt idx="44">
                  <c:v>2.1763107609910393E-2</c:v>
                </c:pt>
                <c:pt idx="45">
                  <c:v>2.2090824231859051E-2</c:v>
                </c:pt>
                <c:pt idx="46">
                  <c:v>2.2371799379085868E-2</c:v>
                </c:pt>
                <c:pt idx="47">
                  <c:v>2.2639687575166531E-2</c:v>
                </c:pt>
                <c:pt idx="48">
                  <c:v>2.2910123529515276E-2</c:v>
                </c:pt>
                <c:pt idx="49">
                  <c:v>2.3168008675968559E-2</c:v>
                </c:pt>
                <c:pt idx="50">
                  <c:v>2.3387562418448957E-2</c:v>
                </c:pt>
                <c:pt idx="51">
                  <c:v>2.3597548859806548E-2</c:v>
                </c:pt>
                <c:pt idx="52">
                  <c:v>2.3868908152422784E-2</c:v>
                </c:pt>
                <c:pt idx="53">
                  <c:v>2.4129456249207135E-2</c:v>
                </c:pt>
                <c:pt idx="54">
                  <c:v>2.4354902709621377E-2</c:v>
                </c:pt>
                <c:pt idx="55">
                  <c:v>2.4572028029822834E-2</c:v>
                </c:pt>
                <c:pt idx="56">
                  <c:v>2.4704937096709522E-2</c:v>
                </c:pt>
                <c:pt idx="57">
                  <c:v>2.4832722231278689E-2</c:v>
                </c:pt>
                <c:pt idx="58">
                  <c:v>2.4934417122524158E-2</c:v>
                </c:pt>
                <c:pt idx="59">
                  <c:v>2.5032473411786636E-2</c:v>
                </c:pt>
                <c:pt idx="60">
                  <c:v>2.5165875459313234E-2</c:v>
                </c:pt>
                <c:pt idx="61">
                  <c:v>2.5295012440625594E-2</c:v>
                </c:pt>
                <c:pt idx="62">
                  <c:v>2.5400394059643613E-2</c:v>
                </c:pt>
                <c:pt idx="63">
                  <c:v>2.5502760310991461E-2</c:v>
                </c:pt>
                <c:pt idx="64">
                  <c:v>2.5637554344669002E-2</c:v>
                </c:pt>
                <c:pt idx="65">
                  <c:v>2.5768834253502987E-2</c:v>
                </c:pt>
                <c:pt idx="66">
                  <c:v>2.5877798065917636E-2</c:v>
                </c:pt>
                <c:pt idx="67">
                  <c:v>2.5984333014002839E-2</c:v>
                </c:pt>
                <c:pt idx="68">
                  <c:v>2.5976239405990812E-2</c:v>
                </c:pt>
                <c:pt idx="69">
                  <c:v>2.5968649735540139E-2</c:v>
                </c:pt>
                <c:pt idx="70">
                  <c:v>2.5949606943961805E-2</c:v>
                </c:pt>
                <c:pt idx="71">
                  <c:v>2.5931440984534735E-2</c:v>
                </c:pt>
                <c:pt idx="72">
                  <c:v>2.5923777645574544E-2</c:v>
                </c:pt>
                <c:pt idx="73">
                  <c:v>2.591680081152099E-2</c:v>
                </c:pt>
                <c:pt idx="74">
                  <c:v>2.5899353291734237E-2</c:v>
                </c:pt>
                <c:pt idx="75">
                  <c:v>2.5882904760376232E-2</c:v>
                </c:pt>
                <c:pt idx="76">
                  <c:v>2.58758446357608E-2</c:v>
                </c:pt>
                <c:pt idx="77">
                  <c:v>2.5869633862895407E-2</c:v>
                </c:pt>
                <c:pt idx="78">
                  <c:v>2.5853461878434344E-2</c:v>
                </c:pt>
                <c:pt idx="79">
                  <c:v>2.5838413050467638E-2</c:v>
                </c:pt>
                <c:pt idx="80">
                  <c:v>2.5831740461367117E-2</c:v>
                </c:pt>
                <c:pt idx="81">
                  <c:v>2.5826074560035696E-2</c:v>
                </c:pt>
                <c:pt idx="82">
                  <c:v>2.5810893777236221E-2</c:v>
                </c:pt>
                <c:pt idx="83">
                  <c:v>2.5796960953821512E-2</c:v>
                </c:pt>
                <c:pt idx="84">
                  <c:v>2.5790478891624245E-2</c:v>
                </c:pt>
                <c:pt idx="85">
                  <c:v>2.578515553757647E-2</c:v>
                </c:pt>
                <c:pt idx="86">
                  <c:v>2.5770707123816152E-2</c:v>
                </c:pt>
                <c:pt idx="87">
                  <c:v>2.5757631158541777E-2</c:v>
                </c:pt>
                <c:pt idx="88">
                  <c:v>2.5701133907546508E-2</c:v>
                </c:pt>
                <c:pt idx="89">
                  <c:v>2.5646617782739564E-2</c:v>
                </c:pt>
                <c:pt idx="90">
                  <c:v>2.5589706810844465E-2</c:v>
                </c:pt>
                <c:pt idx="91">
                  <c:v>2.5534770123518902E-2</c:v>
                </c:pt>
                <c:pt idx="92">
                  <c:v>2.5479305964380389E-2</c:v>
                </c:pt>
                <c:pt idx="93">
                  <c:v>2.5425778830247023E-2</c:v>
                </c:pt>
                <c:pt idx="94">
                  <c:v>2.5369826461183468E-2</c:v>
                </c:pt>
                <c:pt idx="95">
                  <c:v>2.5315806322911871E-2</c:v>
                </c:pt>
                <c:pt idx="96">
                  <c:v>2.5261075504497424E-2</c:v>
                </c:pt>
                <c:pt idx="97">
                  <c:v>2.5208247084017824E-2</c:v>
                </c:pt>
                <c:pt idx="98">
                  <c:v>2.5153072075586379E-2</c:v>
                </c:pt>
                <c:pt idx="99">
                  <c:v>2.5099794155488096E-2</c:v>
                </c:pt>
                <c:pt idx="100">
                  <c:v>2.5045640052825488E-2</c:v>
                </c:pt>
                <c:pt idx="101">
                  <c:v>2.4993359275376079E-2</c:v>
                </c:pt>
                <c:pt idx="102">
                  <c:v>2.493880366421411E-2</c:v>
                </c:pt>
                <c:pt idx="103">
                  <c:v>2.4886115436196007E-2</c:v>
                </c:pt>
                <c:pt idx="104">
                  <c:v>2.4832400049669513E-2</c:v>
                </c:pt>
                <c:pt idx="105">
                  <c:v>2.4780533278278238E-2</c:v>
                </c:pt>
                <c:pt idx="106">
                  <c:v>2.472645665130159E-2</c:v>
                </c:pt>
                <c:pt idx="107">
                  <c:v>2.4674221993371739E-2</c:v>
                </c:pt>
                <c:pt idx="108">
                  <c:v>2.4626225314627916E-2</c:v>
                </c:pt>
                <c:pt idx="109">
                  <c:v>2.4579732032424868E-2</c:v>
                </c:pt>
                <c:pt idx="110">
                  <c:v>2.4533351715439362E-2</c:v>
                </c:pt>
                <c:pt idx="111">
                  <c:v>2.4488430659559204E-2</c:v>
                </c:pt>
                <c:pt idx="112">
                  <c:v>2.4440775579973314E-2</c:v>
                </c:pt>
                <c:pt idx="113">
                  <c:v>2.4394567487357664E-2</c:v>
                </c:pt>
                <c:pt idx="114">
                  <c:v>2.4348352861609201E-2</c:v>
                </c:pt>
                <c:pt idx="115">
                  <c:v>2.4303545628470501E-2</c:v>
                </c:pt>
                <c:pt idx="116">
                  <c:v>2.4256019573344608E-2</c:v>
                </c:pt>
                <c:pt idx="117">
                  <c:v>2.4209889595864311E-2</c:v>
                </c:pt>
                <c:pt idx="118">
                  <c:v>2.4163732948439848E-2</c:v>
                </c:pt>
                <c:pt idx="119">
                  <c:v>2.4118935112964656E-2</c:v>
                </c:pt>
                <c:pt idx="120">
                  <c:v>2.4071433301256145E-2</c:v>
                </c:pt>
                <c:pt idx="121">
                  <c:v>2.4025279722287702E-2</c:v>
                </c:pt>
                <c:pt idx="122">
                  <c:v>2.3979079117745144E-2</c:v>
                </c:pt>
                <c:pt idx="123">
                  <c:v>2.3934191436777056E-2</c:v>
                </c:pt>
                <c:pt idx="124">
                  <c:v>2.3886613744334692E-2</c:v>
                </c:pt>
                <c:pt idx="125">
                  <c:v>2.3840338950988998E-2</c:v>
                </c:pt>
                <c:pt idx="126">
                  <c:v>2.3793996286754122E-2</c:v>
                </c:pt>
                <c:pt idx="127">
                  <c:v>2.3748922841223551E-2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21472"/>
        <c:axId val="334522048"/>
      </c:scatterChart>
      <c:valAx>
        <c:axId val="33452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4522048"/>
        <c:crosses val="autoZero"/>
        <c:crossBetween val="midCat"/>
      </c:valAx>
      <c:valAx>
        <c:axId val="334522048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334521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650000000000002"/>
          <c:y val="6.0352416970534145E-2"/>
          <c:w val="0.74585714285714289"/>
          <c:h val="7.5164245015645934E-2"/>
        </c:manualLayout>
      </c:layout>
      <c:overlay val="1"/>
    </c:legend>
    <c:plotVisOnly val="1"/>
    <c:dispBlanksAs val="gap"/>
    <c:showDLblsOverMax val="0"/>
  </c:chart>
  <c:printSettings>
    <c:headerFooter/>
    <c:pageMargins b="0.75000000000000722" l="0.70000000000000062" r="0.70000000000000062" t="0.750000000000007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3" name="直線コネクタ 2"/>
        <xdr:cNvCxnSpPr/>
      </xdr:nvCxnSpPr>
      <xdr:spPr>
        <a:xfrm>
          <a:off x="921123" y="1438836"/>
          <a:ext cx="282164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4" name="直線コネクタ 3"/>
        <xdr:cNvCxnSpPr/>
      </xdr:nvCxnSpPr>
      <xdr:spPr>
        <a:xfrm flipV="1">
          <a:off x="3742765" y="1461248"/>
          <a:ext cx="0" cy="43086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5" name="直線コネクタ 4"/>
        <xdr:cNvCxnSpPr/>
      </xdr:nvCxnSpPr>
      <xdr:spPr>
        <a:xfrm>
          <a:off x="369794" y="5758703"/>
          <a:ext cx="333935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268942</xdr:colOff>
      <xdr:row>19</xdr:row>
      <xdr:rowOff>56030</xdr:rowOff>
    </xdr:from>
    <xdr:to>
      <xdr:col>13</xdr:col>
      <xdr:colOff>470648</xdr:colOff>
      <xdr:row>35</xdr:row>
      <xdr:rowOff>112059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190500</xdr:colOff>
      <xdr:row>1</xdr:row>
      <xdr:rowOff>100853</xdr:rowOff>
    </xdr:from>
    <xdr:to>
      <xdr:col>10</xdr:col>
      <xdr:colOff>493058</xdr:colOff>
      <xdr:row>6</xdr:row>
      <xdr:rowOff>89647</xdr:rowOff>
    </xdr:to>
    <xdr:sp macro="" textlink="">
      <xdr:nvSpPr>
        <xdr:cNvPr id="7" name="テキスト ボックス 6"/>
        <xdr:cNvSpPr txBox="1"/>
      </xdr:nvSpPr>
      <xdr:spPr>
        <a:xfrm>
          <a:off x="2286000" y="268941"/>
          <a:ext cx="6342529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14</xdr:col>
      <xdr:colOff>302559</xdr:colOff>
      <xdr:row>0</xdr:row>
      <xdr:rowOff>112059</xdr:rowOff>
    </xdr:from>
    <xdr:to>
      <xdr:col>14</xdr:col>
      <xdr:colOff>302559</xdr:colOff>
      <xdr:row>52</xdr:row>
      <xdr:rowOff>156882</xdr:rowOff>
    </xdr:to>
    <xdr:cxnSp macro="">
      <xdr:nvCxnSpPr>
        <xdr:cNvPr id="9" name="直線コネクタ 8"/>
        <xdr:cNvCxnSpPr/>
      </xdr:nvCxnSpPr>
      <xdr:spPr>
        <a:xfrm>
          <a:off x="12427884" y="112059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2" name="直線コネクタ 1"/>
        <xdr:cNvCxnSpPr/>
      </xdr:nvCxnSpPr>
      <xdr:spPr>
        <a:xfrm>
          <a:off x="959223" y="1438836"/>
          <a:ext cx="310739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3" name="直線コネクタ 2"/>
        <xdr:cNvCxnSpPr/>
      </xdr:nvCxnSpPr>
      <xdr:spPr>
        <a:xfrm flipV="1">
          <a:off x="4066615" y="1461248"/>
          <a:ext cx="0" cy="43086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4" name="直線コネクタ 3"/>
        <xdr:cNvCxnSpPr/>
      </xdr:nvCxnSpPr>
      <xdr:spPr>
        <a:xfrm>
          <a:off x="369794" y="5758703"/>
          <a:ext cx="366320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358590</xdr:colOff>
      <xdr:row>19</xdr:row>
      <xdr:rowOff>44826</xdr:rowOff>
    </xdr:from>
    <xdr:to>
      <xdr:col>13</xdr:col>
      <xdr:colOff>515472</xdr:colOff>
      <xdr:row>35</xdr:row>
      <xdr:rowOff>100855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190500</xdr:colOff>
      <xdr:row>1</xdr:row>
      <xdr:rowOff>100853</xdr:rowOff>
    </xdr:from>
    <xdr:to>
      <xdr:col>10</xdr:col>
      <xdr:colOff>493058</xdr:colOff>
      <xdr:row>6</xdr:row>
      <xdr:rowOff>89647</xdr:rowOff>
    </xdr:to>
    <xdr:sp macro="" textlink="">
      <xdr:nvSpPr>
        <xdr:cNvPr id="6" name="テキスト ボックス 5"/>
        <xdr:cNvSpPr txBox="1"/>
      </xdr:nvSpPr>
      <xdr:spPr>
        <a:xfrm>
          <a:off x="2286000" y="272303"/>
          <a:ext cx="6350933" cy="8460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14</xdr:col>
      <xdr:colOff>302559</xdr:colOff>
      <xdr:row>0</xdr:row>
      <xdr:rowOff>112059</xdr:rowOff>
    </xdr:from>
    <xdr:to>
      <xdr:col>14</xdr:col>
      <xdr:colOff>302559</xdr:colOff>
      <xdr:row>52</xdr:row>
      <xdr:rowOff>156882</xdr:rowOff>
    </xdr:to>
    <xdr:cxnSp macro="">
      <xdr:nvCxnSpPr>
        <xdr:cNvPr id="7" name="直線コネクタ 6"/>
        <xdr:cNvCxnSpPr/>
      </xdr:nvCxnSpPr>
      <xdr:spPr>
        <a:xfrm>
          <a:off x="11818284" y="112059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2" name="直線コネクタ 1"/>
        <xdr:cNvCxnSpPr/>
      </xdr:nvCxnSpPr>
      <xdr:spPr>
        <a:xfrm>
          <a:off x="959223" y="1438836"/>
          <a:ext cx="310739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3" name="直線コネクタ 2"/>
        <xdr:cNvCxnSpPr/>
      </xdr:nvCxnSpPr>
      <xdr:spPr>
        <a:xfrm flipV="1">
          <a:off x="4066615" y="1461248"/>
          <a:ext cx="0" cy="43086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4" name="直線コネクタ 3"/>
        <xdr:cNvCxnSpPr/>
      </xdr:nvCxnSpPr>
      <xdr:spPr>
        <a:xfrm>
          <a:off x="369794" y="5758703"/>
          <a:ext cx="366320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302559</xdr:colOff>
      <xdr:row>19</xdr:row>
      <xdr:rowOff>123266</xdr:rowOff>
    </xdr:from>
    <xdr:to>
      <xdr:col>13</xdr:col>
      <xdr:colOff>369794</xdr:colOff>
      <xdr:row>36</xdr:row>
      <xdr:rowOff>11207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235323</xdr:colOff>
      <xdr:row>1</xdr:row>
      <xdr:rowOff>67235</xdr:rowOff>
    </xdr:from>
    <xdr:to>
      <xdr:col>11</xdr:col>
      <xdr:colOff>235323</xdr:colOff>
      <xdr:row>6</xdr:row>
      <xdr:rowOff>56029</xdr:rowOff>
    </xdr:to>
    <xdr:sp macro="" textlink="">
      <xdr:nvSpPr>
        <xdr:cNvPr id="6" name="テキスト ボックス 5"/>
        <xdr:cNvSpPr txBox="1"/>
      </xdr:nvSpPr>
      <xdr:spPr>
        <a:xfrm>
          <a:off x="3014382" y="235323"/>
          <a:ext cx="6342529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14</xdr:col>
      <xdr:colOff>302559</xdr:colOff>
      <xdr:row>0</xdr:row>
      <xdr:rowOff>112059</xdr:rowOff>
    </xdr:from>
    <xdr:to>
      <xdr:col>14</xdr:col>
      <xdr:colOff>302559</xdr:colOff>
      <xdr:row>52</xdr:row>
      <xdr:rowOff>156882</xdr:rowOff>
    </xdr:to>
    <xdr:cxnSp macro="">
      <xdr:nvCxnSpPr>
        <xdr:cNvPr id="7" name="直線コネクタ 6"/>
        <xdr:cNvCxnSpPr/>
      </xdr:nvCxnSpPr>
      <xdr:spPr>
        <a:xfrm>
          <a:off x="11818284" y="112059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605116</xdr:colOff>
      <xdr:row>18</xdr:row>
      <xdr:rowOff>89645</xdr:rowOff>
    </xdr:from>
    <xdr:to>
      <xdr:col>14</xdr:col>
      <xdr:colOff>627530</xdr:colOff>
      <xdr:row>34</xdr:row>
      <xdr:rowOff>145674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5" name="直線コネクタ 4"/>
        <xdr:cNvCxnSpPr/>
      </xdr:nvCxnSpPr>
      <xdr:spPr>
        <a:xfrm>
          <a:off x="918882" y="403412"/>
          <a:ext cx="281267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6" name="直線コネクタ 5"/>
        <xdr:cNvCxnSpPr/>
      </xdr:nvCxnSpPr>
      <xdr:spPr>
        <a:xfrm flipV="1">
          <a:off x="3731559" y="425824"/>
          <a:ext cx="0" cy="42246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9" name="直線コネクタ 8"/>
        <xdr:cNvCxnSpPr/>
      </xdr:nvCxnSpPr>
      <xdr:spPr>
        <a:xfrm>
          <a:off x="369794" y="4639235"/>
          <a:ext cx="332814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212912</xdr:colOff>
      <xdr:row>1</xdr:row>
      <xdr:rowOff>100853</xdr:rowOff>
    </xdr:from>
    <xdr:to>
      <xdr:col>12</xdr:col>
      <xdr:colOff>100852</xdr:colOff>
      <xdr:row>6</xdr:row>
      <xdr:rowOff>89646</xdr:rowOff>
    </xdr:to>
    <xdr:sp macro="" textlink="">
      <xdr:nvSpPr>
        <xdr:cNvPr id="11" name="テキスト ボックス 10"/>
        <xdr:cNvSpPr txBox="1"/>
      </xdr:nvSpPr>
      <xdr:spPr>
        <a:xfrm>
          <a:off x="2947147" y="268941"/>
          <a:ext cx="5658970" cy="8292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16</xdr:col>
      <xdr:colOff>302559</xdr:colOff>
      <xdr:row>0</xdr:row>
      <xdr:rowOff>112059</xdr:rowOff>
    </xdr:from>
    <xdr:to>
      <xdr:col>16</xdr:col>
      <xdr:colOff>302559</xdr:colOff>
      <xdr:row>52</xdr:row>
      <xdr:rowOff>156882</xdr:rowOff>
    </xdr:to>
    <xdr:cxnSp macro="">
      <xdr:nvCxnSpPr>
        <xdr:cNvPr id="17" name="直線コネクタ 16"/>
        <xdr:cNvCxnSpPr/>
      </xdr:nvCxnSpPr>
      <xdr:spPr>
        <a:xfrm>
          <a:off x="12393706" y="112059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156882</xdr:colOff>
      <xdr:row>1</xdr:row>
      <xdr:rowOff>89647</xdr:rowOff>
    </xdr:from>
    <xdr:to>
      <xdr:col>11</xdr:col>
      <xdr:colOff>649941</xdr:colOff>
      <xdr:row>6</xdr:row>
      <xdr:rowOff>78441</xdr:rowOff>
    </xdr:to>
    <xdr:sp macro="" textlink="">
      <xdr:nvSpPr>
        <xdr:cNvPr id="2" name="テキスト ボックス 1"/>
        <xdr:cNvSpPr txBox="1"/>
      </xdr:nvSpPr>
      <xdr:spPr>
        <a:xfrm>
          <a:off x="2207558" y="257735"/>
          <a:ext cx="6958854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3" name="直線コネクタ 2"/>
        <xdr:cNvCxnSpPr/>
      </xdr:nvCxnSpPr>
      <xdr:spPr>
        <a:xfrm>
          <a:off x="921123" y="1438836"/>
          <a:ext cx="282164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4" name="直線コネクタ 3"/>
        <xdr:cNvCxnSpPr/>
      </xdr:nvCxnSpPr>
      <xdr:spPr>
        <a:xfrm flipV="1">
          <a:off x="3742765" y="1461248"/>
          <a:ext cx="0" cy="43086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5" name="直線コネクタ 4"/>
        <xdr:cNvCxnSpPr/>
      </xdr:nvCxnSpPr>
      <xdr:spPr>
        <a:xfrm>
          <a:off x="369794" y="5758703"/>
          <a:ext cx="333935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504267</xdr:colOff>
      <xdr:row>17</xdr:row>
      <xdr:rowOff>67235</xdr:rowOff>
    </xdr:from>
    <xdr:to>
      <xdr:col>14</xdr:col>
      <xdr:colOff>683558</xdr:colOff>
      <xdr:row>33</xdr:row>
      <xdr:rowOff>123264</xdr:rowOff>
    </xdr:to>
    <xdr:graphicFrame macro="">
      <xdr:nvGraphicFramePr>
        <xdr:cNvPr id="6" name="グラフ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324971</xdr:colOff>
      <xdr:row>0</xdr:row>
      <xdr:rowOff>100853</xdr:rowOff>
    </xdr:from>
    <xdr:to>
      <xdr:col>16</xdr:col>
      <xdr:colOff>324971</xdr:colOff>
      <xdr:row>52</xdr:row>
      <xdr:rowOff>145676</xdr:rowOff>
    </xdr:to>
    <xdr:cxnSp macro="">
      <xdr:nvCxnSpPr>
        <xdr:cNvPr id="7" name="直線コネクタ 6"/>
        <xdr:cNvCxnSpPr/>
      </xdr:nvCxnSpPr>
      <xdr:spPr>
        <a:xfrm>
          <a:off x="12203206" y="100853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235323</xdr:colOff>
      <xdr:row>8</xdr:row>
      <xdr:rowOff>67236</xdr:rowOff>
    </xdr:from>
    <xdr:to>
      <xdr:col>5</xdr:col>
      <xdr:colOff>313765</xdr:colOff>
      <xdr:row>8</xdr:row>
      <xdr:rowOff>67236</xdr:rowOff>
    </xdr:to>
    <xdr:cxnSp macro="">
      <xdr:nvCxnSpPr>
        <xdr:cNvPr id="2" name="直線コネクタ 1"/>
        <xdr:cNvCxnSpPr/>
      </xdr:nvCxnSpPr>
      <xdr:spPr>
        <a:xfrm>
          <a:off x="921123" y="1438836"/>
          <a:ext cx="282164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313765</xdr:colOff>
      <xdr:row>8</xdr:row>
      <xdr:rowOff>89648</xdr:rowOff>
    </xdr:from>
    <xdr:to>
      <xdr:col>5</xdr:col>
      <xdr:colOff>313765</xdr:colOff>
      <xdr:row>33</xdr:row>
      <xdr:rowOff>112059</xdr:rowOff>
    </xdr:to>
    <xdr:cxnSp macro="">
      <xdr:nvCxnSpPr>
        <xdr:cNvPr id="3" name="直線コネクタ 2"/>
        <xdr:cNvCxnSpPr/>
      </xdr:nvCxnSpPr>
      <xdr:spPr>
        <a:xfrm flipV="1">
          <a:off x="3742765" y="1461248"/>
          <a:ext cx="0" cy="43086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369794</xdr:colOff>
      <xdr:row>33</xdr:row>
      <xdr:rowOff>100853</xdr:rowOff>
    </xdr:from>
    <xdr:to>
      <xdr:col>5</xdr:col>
      <xdr:colOff>280147</xdr:colOff>
      <xdr:row>33</xdr:row>
      <xdr:rowOff>100853</xdr:rowOff>
    </xdr:to>
    <xdr:cxnSp macro="">
      <xdr:nvCxnSpPr>
        <xdr:cNvPr id="4" name="直線コネクタ 3"/>
        <xdr:cNvCxnSpPr/>
      </xdr:nvCxnSpPr>
      <xdr:spPr>
        <a:xfrm>
          <a:off x="369794" y="5758703"/>
          <a:ext cx="333935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156882</xdr:colOff>
      <xdr:row>1</xdr:row>
      <xdr:rowOff>78441</xdr:rowOff>
    </xdr:from>
    <xdr:to>
      <xdr:col>10</xdr:col>
      <xdr:colOff>974912</xdr:colOff>
      <xdr:row>6</xdr:row>
      <xdr:rowOff>67235</xdr:rowOff>
    </xdr:to>
    <xdr:sp macro="" textlink="">
      <xdr:nvSpPr>
        <xdr:cNvPr id="5" name="テキスト ボックス 4"/>
        <xdr:cNvSpPr txBox="1"/>
      </xdr:nvSpPr>
      <xdr:spPr>
        <a:xfrm>
          <a:off x="2207558" y="246529"/>
          <a:ext cx="7250207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16</xdr:col>
      <xdr:colOff>324971</xdr:colOff>
      <xdr:row>0</xdr:row>
      <xdr:rowOff>100853</xdr:rowOff>
    </xdr:from>
    <xdr:to>
      <xdr:col>16</xdr:col>
      <xdr:colOff>324971</xdr:colOff>
      <xdr:row>52</xdr:row>
      <xdr:rowOff>145676</xdr:rowOff>
    </xdr:to>
    <xdr:cxnSp macro="">
      <xdr:nvCxnSpPr>
        <xdr:cNvPr id="6" name="直線コネクタ 5"/>
        <xdr:cNvCxnSpPr/>
      </xdr:nvCxnSpPr>
      <xdr:spPr>
        <a:xfrm>
          <a:off x="12221696" y="100853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549085</xdr:colOff>
      <xdr:row>19</xdr:row>
      <xdr:rowOff>67237</xdr:rowOff>
    </xdr:from>
    <xdr:to>
      <xdr:col>13</xdr:col>
      <xdr:colOff>302557</xdr:colOff>
      <xdr:row>35</xdr:row>
      <xdr:rowOff>123266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235323</xdr:colOff>
      <xdr:row>8</xdr:row>
      <xdr:rowOff>67236</xdr:rowOff>
    </xdr:from>
    <xdr:to>
      <xdr:col>6</xdr:col>
      <xdr:colOff>313765</xdr:colOff>
      <xdr:row>8</xdr:row>
      <xdr:rowOff>67236</xdr:rowOff>
    </xdr:to>
    <xdr:cxnSp macro="">
      <xdr:nvCxnSpPr>
        <xdr:cNvPr id="2" name="直線コネクタ 1"/>
        <xdr:cNvCxnSpPr/>
      </xdr:nvCxnSpPr>
      <xdr:spPr>
        <a:xfrm>
          <a:off x="921123" y="1438836"/>
          <a:ext cx="282164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336177</xdr:colOff>
      <xdr:row>8</xdr:row>
      <xdr:rowOff>89650</xdr:rowOff>
    </xdr:from>
    <xdr:to>
      <xdr:col>6</xdr:col>
      <xdr:colOff>336177</xdr:colOff>
      <xdr:row>51</xdr:row>
      <xdr:rowOff>67235</xdr:rowOff>
    </xdr:to>
    <xdr:cxnSp macro="">
      <xdr:nvCxnSpPr>
        <xdr:cNvPr id="3" name="直線コネクタ 2"/>
        <xdr:cNvCxnSpPr/>
      </xdr:nvCxnSpPr>
      <xdr:spPr>
        <a:xfrm flipV="1">
          <a:off x="4448736" y="1434356"/>
          <a:ext cx="0" cy="720537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224118</xdr:colOff>
      <xdr:row>51</xdr:row>
      <xdr:rowOff>78472</xdr:rowOff>
    </xdr:from>
    <xdr:to>
      <xdr:col>6</xdr:col>
      <xdr:colOff>257734</xdr:colOff>
      <xdr:row>51</xdr:row>
      <xdr:rowOff>78472</xdr:rowOff>
    </xdr:to>
    <xdr:cxnSp macro="">
      <xdr:nvCxnSpPr>
        <xdr:cNvPr id="4" name="直線コネクタ 3"/>
        <xdr:cNvCxnSpPr/>
      </xdr:nvCxnSpPr>
      <xdr:spPr>
        <a:xfrm>
          <a:off x="224118" y="8650972"/>
          <a:ext cx="41461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358588</xdr:colOff>
      <xdr:row>1</xdr:row>
      <xdr:rowOff>44825</xdr:rowOff>
    </xdr:from>
    <xdr:to>
      <xdr:col>11</xdr:col>
      <xdr:colOff>705972</xdr:colOff>
      <xdr:row>6</xdr:row>
      <xdr:rowOff>33619</xdr:rowOff>
    </xdr:to>
    <xdr:sp macro="" textlink="">
      <xdr:nvSpPr>
        <xdr:cNvPr id="6" name="テキスト ボックス 5"/>
        <xdr:cNvSpPr txBox="1"/>
      </xdr:nvSpPr>
      <xdr:spPr>
        <a:xfrm>
          <a:off x="3092823" y="212913"/>
          <a:ext cx="7037296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18</xdr:col>
      <xdr:colOff>324974</xdr:colOff>
      <xdr:row>0</xdr:row>
      <xdr:rowOff>112058</xdr:rowOff>
    </xdr:from>
    <xdr:to>
      <xdr:col>18</xdr:col>
      <xdr:colOff>324974</xdr:colOff>
      <xdr:row>52</xdr:row>
      <xdr:rowOff>156881</xdr:rowOff>
    </xdr:to>
    <xdr:cxnSp macro="">
      <xdr:nvCxnSpPr>
        <xdr:cNvPr id="7" name="直線コネクタ 6"/>
        <xdr:cNvCxnSpPr/>
      </xdr:nvCxnSpPr>
      <xdr:spPr>
        <a:xfrm>
          <a:off x="17088974" y="112058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593912</xdr:colOff>
      <xdr:row>20</xdr:row>
      <xdr:rowOff>56029</xdr:rowOff>
    </xdr:from>
    <xdr:to>
      <xdr:col>13</xdr:col>
      <xdr:colOff>862853</xdr:colOff>
      <xdr:row>36</xdr:row>
      <xdr:rowOff>112059</xdr:rowOff>
    </xdr:to>
    <xdr:graphicFrame macro="">
      <xdr:nvGraphicFramePr>
        <xdr:cNvPr id="8" name="グラフ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369795</xdr:colOff>
      <xdr:row>8</xdr:row>
      <xdr:rowOff>67236</xdr:rowOff>
    </xdr:from>
    <xdr:to>
      <xdr:col>5</xdr:col>
      <xdr:colOff>448237</xdr:colOff>
      <xdr:row>8</xdr:row>
      <xdr:rowOff>67236</xdr:rowOff>
    </xdr:to>
    <xdr:cxnSp macro="">
      <xdr:nvCxnSpPr>
        <xdr:cNvPr id="2" name="直線コネクタ 1"/>
        <xdr:cNvCxnSpPr/>
      </xdr:nvCxnSpPr>
      <xdr:spPr>
        <a:xfrm>
          <a:off x="1053354" y="1411942"/>
          <a:ext cx="302558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526679</xdr:colOff>
      <xdr:row>8</xdr:row>
      <xdr:rowOff>89649</xdr:rowOff>
    </xdr:from>
    <xdr:to>
      <xdr:col>5</xdr:col>
      <xdr:colOff>526679</xdr:colOff>
      <xdr:row>70</xdr:row>
      <xdr:rowOff>11206</xdr:rowOff>
    </xdr:to>
    <xdr:cxnSp macro="">
      <xdr:nvCxnSpPr>
        <xdr:cNvPr id="3" name="直線コネクタ 2"/>
        <xdr:cNvCxnSpPr/>
      </xdr:nvCxnSpPr>
      <xdr:spPr>
        <a:xfrm flipV="1">
          <a:off x="4157385" y="1434355"/>
          <a:ext cx="0" cy="1034302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549090</xdr:colOff>
      <xdr:row>70</xdr:row>
      <xdr:rowOff>22477</xdr:rowOff>
    </xdr:from>
    <xdr:to>
      <xdr:col>5</xdr:col>
      <xdr:colOff>459443</xdr:colOff>
      <xdr:row>70</xdr:row>
      <xdr:rowOff>22477</xdr:rowOff>
    </xdr:to>
    <xdr:cxnSp macro="">
      <xdr:nvCxnSpPr>
        <xdr:cNvPr id="4" name="直線コネクタ 3"/>
        <xdr:cNvCxnSpPr/>
      </xdr:nvCxnSpPr>
      <xdr:spPr>
        <a:xfrm>
          <a:off x="549090" y="11788653"/>
          <a:ext cx="3541059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134473</xdr:colOff>
      <xdr:row>1</xdr:row>
      <xdr:rowOff>100854</xdr:rowOff>
    </xdr:from>
    <xdr:to>
      <xdr:col>10</xdr:col>
      <xdr:colOff>280148</xdr:colOff>
      <xdr:row>6</xdr:row>
      <xdr:rowOff>89648</xdr:rowOff>
    </xdr:to>
    <xdr:sp macro="" textlink="">
      <xdr:nvSpPr>
        <xdr:cNvPr id="6" name="テキスト ボックス 5"/>
        <xdr:cNvSpPr txBox="1"/>
      </xdr:nvSpPr>
      <xdr:spPr>
        <a:xfrm>
          <a:off x="2185149" y="268942"/>
          <a:ext cx="7104528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8</xdr:col>
      <xdr:colOff>392206</xdr:colOff>
      <xdr:row>20</xdr:row>
      <xdr:rowOff>22411</xdr:rowOff>
    </xdr:from>
    <xdr:to>
      <xdr:col>12</xdr:col>
      <xdr:colOff>347383</xdr:colOff>
      <xdr:row>36</xdr:row>
      <xdr:rowOff>78441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313768</xdr:colOff>
      <xdr:row>0</xdr:row>
      <xdr:rowOff>100853</xdr:rowOff>
    </xdr:from>
    <xdr:to>
      <xdr:col>19</xdr:col>
      <xdr:colOff>313768</xdr:colOff>
      <xdr:row>71</xdr:row>
      <xdr:rowOff>145676</xdr:rowOff>
    </xdr:to>
    <xdr:cxnSp macro="">
      <xdr:nvCxnSpPr>
        <xdr:cNvPr id="8" name="直線コネクタ 7"/>
        <xdr:cNvCxnSpPr/>
      </xdr:nvCxnSpPr>
      <xdr:spPr>
        <a:xfrm>
          <a:off x="20282650" y="100853"/>
          <a:ext cx="0" cy="119790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593912</xdr:colOff>
      <xdr:row>8</xdr:row>
      <xdr:rowOff>78442</xdr:rowOff>
    </xdr:from>
    <xdr:to>
      <xdr:col>5</xdr:col>
      <xdr:colOff>112059</xdr:colOff>
      <xdr:row>8</xdr:row>
      <xdr:rowOff>78443</xdr:rowOff>
    </xdr:to>
    <xdr:cxnSp macro="">
      <xdr:nvCxnSpPr>
        <xdr:cNvPr id="3" name="直線コネクタ 2"/>
        <xdr:cNvCxnSpPr/>
      </xdr:nvCxnSpPr>
      <xdr:spPr>
        <a:xfrm flipV="1">
          <a:off x="593912" y="1423148"/>
          <a:ext cx="3025588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268946</xdr:colOff>
      <xdr:row>8</xdr:row>
      <xdr:rowOff>112063</xdr:rowOff>
    </xdr:from>
    <xdr:to>
      <xdr:col>5</xdr:col>
      <xdr:colOff>268946</xdr:colOff>
      <xdr:row>51</xdr:row>
      <xdr:rowOff>123265</xdr:rowOff>
    </xdr:to>
    <xdr:cxnSp macro="">
      <xdr:nvCxnSpPr>
        <xdr:cNvPr id="4" name="直線コネクタ 3"/>
        <xdr:cNvCxnSpPr/>
      </xdr:nvCxnSpPr>
      <xdr:spPr>
        <a:xfrm flipV="1">
          <a:off x="3866034" y="1456769"/>
          <a:ext cx="0" cy="72389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44825</xdr:colOff>
      <xdr:row>51</xdr:row>
      <xdr:rowOff>123330</xdr:rowOff>
    </xdr:from>
    <xdr:to>
      <xdr:col>5</xdr:col>
      <xdr:colOff>33617</xdr:colOff>
      <xdr:row>51</xdr:row>
      <xdr:rowOff>123330</xdr:rowOff>
    </xdr:to>
    <xdr:cxnSp macro="">
      <xdr:nvCxnSpPr>
        <xdr:cNvPr id="5" name="直線コネクタ 4"/>
        <xdr:cNvCxnSpPr/>
      </xdr:nvCxnSpPr>
      <xdr:spPr>
        <a:xfrm>
          <a:off x="44825" y="8695830"/>
          <a:ext cx="358588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168090</xdr:colOff>
      <xdr:row>1</xdr:row>
      <xdr:rowOff>89647</xdr:rowOff>
    </xdr:from>
    <xdr:to>
      <xdr:col>12</xdr:col>
      <xdr:colOff>425824</xdr:colOff>
      <xdr:row>6</xdr:row>
      <xdr:rowOff>78441</xdr:rowOff>
    </xdr:to>
    <xdr:sp macro="" textlink="">
      <xdr:nvSpPr>
        <xdr:cNvPr id="12" name="テキスト ボックス 11"/>
        <xdr:cNvSpPr txBox="1"/>
      </xdr:nvSpPr>
      <xdr:spPr>
        <a:xfrm>
          <a:off x="3765178" y="257735"/>
          <a:ext cx="6656293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19</xdr:col>
      <xdr:colOff>392206</xdr:colOff>
      <xdr:row>0</xdr:row>
      <xdr:rowOff>100852</xdr:rowOff>
    </xdr:from>
    <xdr:to>
      <xdr:col>19</xdr:col>
      <xdr:colOff>392206</xdr:colOff>
      <xdr:row>52</xdr:row>
      <xdr:rowOff>145675</xdr:rowOff>
    </xdr:to>
    <xdr:cxnSp macro="">
      <xdr:nvCxnSpPr>
        <xdr:cNvPr id="6" name="直線コネクタ 5"/>
        <xdr:cNvCxnSpPr/>
      </xdr:nvCxnSpPr>
      <xdr:spPr>
        <a:xfrm>
          <a:off x="17526000" y="100852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201706</xdr:colOff>
      <xdr:row>19</xdr:row>
      <xdr:rowOff>44824</xdr:rowOff>
    </xdr:from>
    <xdr:to>
      <xdr:col>15</xdr:col>
      <xdr:colOff>526677</xdr:colOff>
      <xdr:row>35</xdr:row>
      <xdr:rowOff>100853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593912</xdr:colOff>
      <xdr:row>8</xdr:row>
      <xdr:rowOff>78442</xdr:rowOff>
    </xdr:from>
    <xdr:to>
      <xdr:col>5</xdr:col>
      <xdr:colOff>112059</xdr:colOff>
      <xdr:row>8</xdr:row>
      <xdr:rowOff>78443</xdr:rowOff>
    </xdr:to>
    <xdr:cxnSp macro="">
      <xdr:nvCxnSpPr>
        <xdr:cNvPr id="2" name="直線コネクタ 1"/>
        <xdr:cNvCxnSpPr/>
      </xdr:nvCxnSpPr>
      <xdr:spPr>
        <a:xfrm flipV="1">
          <a:off x="593912" y="1450042"/>
          <a:ext cx="3109072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268946</xdr:colOff>
      <xdr:row>8</xdr:row>
      <xdr:rowOff>112063</xdr:rowOff>
    </xdr:from>
    <xdr:to>
      <xdr:col>5</xdr:col>
      <xdr:colOff>268946</xdr:colOff>
      <xdr:row>51</xdr:row>
      <xdr:rowOff>123265</xdr:rowOff>
    </xdr:to>
    <xdr:cxnSp macro="">
      <xdr:nvCxnSpPr>
        <xdr:cNvPr id="3" name="直線コネクタ 2"/>
        <xdr:cNvCxnSpPr/>
      </xdr:nvCxnSpPr>
      <xdr:spPr>
        <a:xfrm flipV="1">
          <a:off x="3859871" y="1483663"/>
          <a:ext cx="0" cy="738355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44825</xdr:colOff>
      <xdr:row>51</xdr:row>
      <xdr:rowOff>123330</xdr:rowOff>
    </xdr:from>
    <xdr:to>
      <xdr:col>5</xdr:col>
      <xdr:colOff>33617</xdr:colOff>
      <xdr:row>51</xdr:row>
      <xdr:rowOff>123330</xdr:rowOff>
    </xdr:to>
    <xdr:cxnSp macro="">
      <xdr:nvCxnSpPr>
        <xdr:cNvPr id="4" name="直線コネクタ 3"/>
        <xdr:cNvCxnSpPr/>
      </xdr:nvCxnSpPr>
      <xdr:spPr>
        <a:xfrm>
          <a:off x="44825" y="8867280"/>
          <a:ext cx="357971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504266</xdr:colOff>
      <xdr:row>1</xdr:row>
      <xdr:rowOff>22411</xdr:rowOff>
    </xdr:from>
    <xdr:to>
      <xdr:col>11</xdr:col>
      <xdr:colOff>795618</xdr:colOff>
      <xdr:row>6</xdr:row>
      <xdr:rowOff>11205</xdr:rowOff>
    </xdr:to>
    <xdr:sp macro="" textlink="">
      <xdr:nvSpPr>
        <xdr:cNvPr id="5" name="テキスト ボックス 4"/>
        <xdr:cNvSpPr txBox="1"/>
      </xdr:nvSpPr>
      <xdr:spPr>
        <a:xfrm>
          <a:off x="3328148" y="190499"/>
          <a:ext cx="6241676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19</xdr:col>
      <xdr:colOff>392206</xdr:colOff>
      <xdr:row>0</xdr:row>
      <xdr:rowOff>100852</xdr:rowOff>
    </xdr:from>
    <xdr:to>
      <xdr:col>19</xdr:col>
      <xdr:colOff>392206</xdr:colOff>
      <xdr:row>52</xdr:row>
      <xdr:rowOff>145675</xdr:rowOff>
    </xdr:to>
    <xdr:cxnSp macro="">
      <xdr:nvCxnSpPr>
        <xdr:cNvPr id="6" name="直線コネクタ 5"/>
        <xdr:cNvCxnSpPr/>
      </xdr:nvCxnSpPr>
      <xdr:spPr>
        <a:xfrm>
          <a:off x="18194431" y="100852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717175</xdr:colOff>
      <xdr:row>19</xdr:row>
      <xdr:rowOff>112060</xdr:rowOff>
    </xdr:from>
    <xdr:to>
      <xdr:col>14</xdr:col>
      <xdr:colOff>504264</xdr:colOff>
      <xdr:row>36</xdr:row>
      <xdr:rowOff>1</xdr:rowOff>
    </xdr:to>
    <xdr:graphicFrame macro="">
      <xdr:nvGraphicFramePr>
        <xdr:cNvPr id="10" name="グラフ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593912</xdr:colOff>
      <xdr:row>8</xdr:row>
      <xdr:rowOff>78442</xdr:rowOff>
    </xdr:from>
    <xdr:to>
      <xdr:col>5</xdr:col>
      <xdr:colOff>112059</xdr:colOff>
      <xdr:row>8</xdr:row>
      <xdr:rowOff>78443</xdr:rowOff>
    </xdr:to>
    <xdr:cxnSp macro="">
      <xdr:nvCxnSpPr>
        <xdr:cNvPr id="2" name="直線コネクタ 1"/>
        <xdr:cNvCxnSpPr/>
      </xdr:nvCxnSpPr>
      <xdr:spPr>
        <a:xfrm flipV="1">
          <a:off x="593912" y="1450042"/>
          <a:ext cx="3109072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268946</xdr:colOff>
      <xdr:row>8</xdr:row>
      <xdr:rowOff>112063</xdr:rowOff>
    </xdr:from>
    <xdr:to>
      <xdr:col>5</xdr:col>
      <xdr:colOff>268946</xdr:colOff>
      <xdr:row>51</xdr:row>
      <xdr:rowOff>123265</xdr:rowOff>
    </xdr:to>
    <xdr:cxnSp macro="">
      <xdr:nvCxnSpPr>
        <xdr:cNvPr id="3" name="直線コネクタ 2"/>
        <xdr:cNvCxnSpPr/>
      </xdr:nvCxnSpPr>
      <xdr:spPr>
        <a:xfrm flipV="1">
          <a:off x="3859871" y="1483663"/>
          <a:ext cx="0" cy="738355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44825</xdr:colOff>
      <xdr:row>51</xdr:row>
      <xdr:rowOff>123330</xdr:rowOff>
    </xdr:from>
    <xdr:to>
      <xdr:col>5</xdr:col>
      <xdr:colOff>33617</xdr:colOff>
      <xdr:row>51</xdr:row>
      <xdr:rowOff>123330</xdr:rowOff>
    </xdr:to>
    <xdr:cxnSp macro="">
      <xdr:nvCxnSpPr>
        <xdr:cNvPr id="4" name="直線コネクタ 3"/>
        <xdr:cNvCxnSpPr/>
      </xdr:nvCxnSpPr>
      <xdr:spPr>
        <a:xfrm>
          <a:off x="44825" y="8867280"/>
          <a:ext cx="3579717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593913</xdr:colOff>
      <xdr:row>1</xdr:row>
      <xdr:rowOff>11206</xdr:rowOff>
    </xdr:from>
    <xdr:to>
      <xdr:col>11</xdr:col>
      <xdr:colOff>1053354</xdr:colOff>
      <xdr:row>6</xdr:row>
      <xdr:rowOff>0</xdr:rowOff>
    </xdr:to>
    <xdr:sp macro="" textlink="">
      <xdr:nvSpPr>
        <xdr:cNvPr id="5" name="テキスト ボックス 4"/>
        <xdr:cNvSpPr txBox="1"/>
      </xdr:nvSpPr>
      <xdr:spPr>
        <a:xfrm>
          <a:off x="4191001" y="179294"/>
          <a:ext cx="5636559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18</xdr:col>
      <xdr:colOff>392206</xdr:colOff>
      <xdr:row>0</xdr:row>
      <xdr:rowOff>100852</xdr:rowOff>
    </xdr:from>
    <xdr:to>
      <xdr:col>18</xdr:col>
      <xdr:colOff>392206</xdr:colOff>
      <xdr:row>52</xdr:row>
      <xdr:rowOff>145675</xdr:rowOff>
    </xdr:to>
    <xdr:cxnSp macro="">
      <xdr:nvCxnSpPr>
        <xdr:cNvPr id="6" name="直線コネクタ 5"/>
        <xdr:cNvCxnSpPr/>
      </xdr:nvCxnSpPr>
      <xdr:spPr>
        <a:xfrm>
          <a:off x="17489581" y="100852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840442</xdr:colOff>
      <xdr:row>19</xdr:row>
      <xdr:rowOff>33618</xdr:rowOff>
    </xdr:from>
    <xdr:to>
      <xdr:col>13</xdr:col>
      <xdr:colOff>22412</xdr:colOff>
      <xdr:row>35</xdr:row>
      <xdr:rowOff>89647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649942</xdr:colOff>
      <xdr:row>8</xdr:row>
      <xdr:rowOff>78442</xdr:rowOff>
    </xdr:from>
    <xdr:to>
      <xdr:col>5</xdr:col>
      <xdr:colOff>168089</xdr:colOff>
      <xdr:row>8</xdr:row>
      <xdr:rowOff>78443</xdr:rowOff>
    </xdr:to>
    <xdr:cxnSp macro="">
      <xdr:nvCxnSpPr>
        <xdr:cNvPr id="2" name="直線コネクタ 1"/>
        <xdr:cNvCxnSpPr/>
      </xdr:nvCxnSpPr>
      <xdr:spPr>
        <a:xfrm flipV="1">
          <a:off x="649942" y="1450042"/>
          <a:ext cx="2947147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493066</xdr:colOff>
      <xdr:row>8</xdr:row>
      <xdr:rowOff>112064</xdr:rowOff>
    </xdr:from>
    <xdr:to>
      <xdr:col>5</xdr:col>
      <xdr:colOff>493066</xdr:colOff>
      <xdr:row>33</xdr:row>
      <xdr:rowOff>56029</xdr:rowOff>
    </xdr:to>
    <xdr:cxnSp macro="">
      <xdr:nvCxnSpPr>
        <xdr:cNvPr id="3" name="直線コネクタ 2"/>
        <xdr:cNvCxnSpPr/>
      </xdr:nvCxnSpPr>
      <xdr:spPr>
        <a:xfrm flipV="1">
          <a:off x="3922066" y="1483664"/>
          <a:ext cx="0" cy="4230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246531</xdr:colOff>
      <xdr:row>33</xdr:row>
      <xdr:rowOff>44888</xdr:rowOff>
    </xdr:from>
    <xdr:to>
      <xdr:col>5</xdr:col>
      <xdr:colOff>235323</xdr:colOff>
      <xdr:row>33</xdr:row>
      <xdr:rowOff>44888</xdr:rowOff>
    </xdr:to>
    <xdr:cxnSp macro="">
      <xdr:nvCxnSpPr>
        <xdr:cNvPr id="4" name="直線コネクタ 3"/>
        <xdr:cNvCxnSpPr/>
      </xdr:nvCxnSpPr>
      <xdr:spPr>
        <a:xfrm>
          <a:off x="246531" y="5702738"/>
          <a:ext cx="341779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235325</xdr:colOff>
      <xdr:row>1</xdr:row>
      <xdr:rowOff>123264</xdr:rowOff>
    </xdr:from>
    <xdr:to>
      <xdr:col>11</xdr:col>
      <xdr:colOff>549088</xdr:colOff>
      <xdr:row>6</xdr:row>
      <xdr:rowOff>112058</xdr:rowOff>
    </xdr:to>
    <xdr:sp macro="" textlink="">
      <xdr:nvSpPr>
        <xdr:cNvPr id="5" name="テキスト ボックス 4"/>
        <xdr:cNvSpPr txBox="1"/>
      </xdr:nvSpPr>
      <xdr:spPr>
        <a:xfrm>
          <a:off x="4515972" y="291352"/>
          <a:ext cx="6264087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19</xdr:col>
      <xdr:colOff>392206</xdr:colOff>
      <xdr:row>0</xdr:row>
      <xdr:rowOff>100852</xdr:rowOff>
    </xdr:from>
    <xdr:to>
      <xdr:col>19</xdr:col>
      <xdr:colOff>392206</xdr:colOff>
      <xdr:row>52</xdr:row>
      <xdr:rowOff>145675</xdr:rowOff>
    </xdr:to>
    <xdr:cxnSp macro="">
      <xdr:nvCxnSpPr>
        <xdr:cNvPr id="6" name="直線コネクタ 5"/>
        <xdr:cNvCxnSpPr/>
      </xdr:nvCxnSpPr>
      <xdr:spPr>
        <a:xfrm>
          <a:off x="13422406" y="100852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246530</xdr:colOff>
      <xdr:row>18</xdr:row>
      <xdr:rowOff>78441</xdr:rowOff>
    </xdr:from>
    <xdr:to>
      <xdr:col>13</xdr:col>
      <xdr:colOff>1546411</xdr:colOff>
      <xdr:row>35</xdr:row>
      <xdr:rowOff>112058</xdr:rowOff>
    </xdr:to>
    <xdr:graphicFrame macro="">
      <xdr:nvGraphicFramePr>
        <xdr:cNvPr id="8" name="グラフ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649942</xdr:colOff>
      <xdr:row>8</xdr:row>
      <xdr:rowOff>78443</xdr:rowOff>
    </xdr:from>
    <xdr:to>
      <xdr:col>6</xdr:col>
      <xdr:colOff>123265</xdr:colOff>
      <xdr:row>8</xdr:row>
      <xdr:rowOff>78444</xdr:rowOff>
    </xdr:to>
    <xdr:cxnSp macro="">
      <xdr:nvCxnSpPr>
        <xdr:cNvPr id="2" name="直線コネクタ 1"/>
        <xdr:cNvCxnSpPr/>
      </xdr:nvCxnSpPr>
      <xdr:spPr>
        <a:xfrm flipV="1">
          <a:off x="649942" y="1423149"/>
          <a:ext cx="2711823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268948</xdr:colOff>
      <xdr:row>8</xdr:row>
      <xdr:rowOff>112064</xdr:rowOff>
    </xdr:from>
    <xdr:to>
      <xdr:col>6</xdr:col>
      <xdr:colOff>268948</xdr:colOff>
      <xdr:row>33</xdr:row>
      <xdr:rowOff>56029</xdr:rowOff>
    </xdr:to>
    <xdr:cxnSp macro="">
      <xdr:nvCxnSpPr>
        <xdr:cNvPr id="3" name="直線コネクタ 2"/>
        <xdr:cNvCxnSpPr/>
      </xdr:nvCxnSpPr>
      <xdr:spPr>
        <a:xfrm flipV="1">
          <a:off x="3507448" y="1456770"/>
          <a:ext cx="0" cy="41461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246531</xdr:colOff>
      <xdr:row>33</xdr:row>
      <xdr:rowOff>44888</xdr:rowOff>
    </xdr:from>
    <xdr:to>
      <xdr:col>6</xdr:col>
      <xdr:colOff>78441</xdr:colOff>
      <xdr:row>33</xdr:row>
      <xdr:rowOff>44888</xdr:rowOff>
    </xdr:to>
    <xdr:cxnSp macro="">
      <xdr:nvCxnSpPr>
        <xdr:cNvPr id="4" name="直線コネクタ 3"/>
        <xdr:cNvCxnSpPr/>
      </xdr:nvCxnSpPr>
      <xdr:spPr>
        <a:xfrm>
          <a:off x="246531" y="5591800"/>
          <a:ext cx="307041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392206</xdr:colOff>
      <xdr:row>1</xdr:row>
      <xdr:rowOff>67235</xdr:rowOff>
    </xdr:from>
    <xdr:to>
      <xdr:col>12</xdr:col>
      <xdr:colOff>1131794</xdr:colOff>
      <xdr:row>6</xdr:row>
      <xdr:rowOff>56029</xdr:rowOff>
    </xdr:to>
    <xdr:sp macro="" textlink="">
      <xdr:nvSpPr>
        <xdr:cNvPr id="5" name="テキスト ボックス 4"/>
        <xdr:cNvSpPr txBox="1"/>
      </xdr:nvSpPr>
      <xdr:spPr>
        <a:xfrm>
          <a:off x="4863353" y="235323"/>
          <a:ext cx="5995147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21</xdr:col>
      <xdr:colOff>437038</xdr:colOff>
      <xdr:row>0</xdr:row>
      <xdr:rowOff>100852</xdr:rowOff>
    </xdr:from>
    <xdr:to>
      <xdr:col>21</xdr:col>
      <xdr:colOff>437038</xdr:colOff>
      <xdr:row>52</xdr:row>
      <xdr:rowOff>145675</xdr:rowOff>
    </xdr:to>
    <xdr:cxnSp macro="">
      <xdr:nvCxnSpPr>
        <xdr:cNvPr id="6" name="直線コネクタ 5"/>
        <xdr:cNvCxnSpPr/>
      </xdr:nvCxnSpPr>
      <xdr:spPr>
        <a:xfrm>
          <a:off x="22815185" y="100852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246529</xdr:colOff>
      <xdr:row>16</xdr:row>
      <xdr:rowOff>123263</xdr:rowOff>
    </xdr:from>
    <xdr:to>
      <xdr:col>13</xdr:col>
      <xdr:colOff>974911</xdr:colOff>
      <xdr:row>33</xdr:row>
      <xdr:rowOff>11203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582705</xdr:colOff>
      <xdr:row>1</xdr:row>
      <xdr:rowOff>44824</xdr:rowOff>
    </xdr:from>
    <xdr:to>
      <xdr:col>10</xdr:col>
      <xdr:colOff>649941</xdr:colOff>
      <xdr:row>6</xdr:row>
      <xdr:rowOff>33618</xdr:rowOff>
    </xdr:to>
    <xdr:sp macro="" textlink="">
      <xdr:nvSpPr>
        <xdr:cNvPr id="5" name="テキスト ボックス 4"/>
        <xdr:cNvSpPr txBox="1"/>
      </xdr:nvSpPr>
      <xdr:spPr>
        <a:xfrm>
          <a:off x="3316940" y="212912"/>
          <a:ext cx="6443383" cy="829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15</xdr:col>
      <xdr:colOff>459442</xdr:colOff>
      <xdr:row>0</xdr:row>
      <xdr:rowOff>89645</xdr:rowOff>
    </xdr:from>
    <xdr:to>
      <xdr:col>15</xdr:col>
      <xdr:colOff>459442</xdr:colOff>
      <xdr:row>52</xdr:row>
      <xdr:rowOff>134468</xdr:rowOff>
    </xdr:to>
    <xdr:cxnSp macro="">
      <xdr:nvCxnSpPr>
        <xdr:cNvPr id="6" name="直線コネクタ 5"/>
        <xdr:cNvCxnSpPr/>
      </xdr:nvCxnSpPr>
      <xdr:spPr>
        <a:xfrm>
          <a:off x="16405413" y="89645"/>
          <a:ext cx="0" cy="878541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694763</xdr:colOff>
      <xdr:row>17</xdr:row>
      <xdr:rowOff>145676</xdr:rowOff>
    </xdr:from>
    <xdr:to>
      <xdr:col>11</xdr:col>
      <xdr:colOff>896471</xdr:colOff>
      <xdr:row>34</xdr:row>
      <xdr:rowOff>33617</xdr:rowOff>
    </xdr:to>
    <xdr:graphicFrame macro="">
      <xdr:nvGraphicFramePr>
        <xdr:cNvPr id="8" name="グラフ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649942</xdr:colOff>
      <xdr:row>8</xdr:row>
      <xdr:rowOff>78444</xdr:rowOff>
    </xdr:from>
    <xdr:to>
      <xdr:col>3</xdr:col>
      <xdr:colOff>112059</xdr:colOff>
      <xdr:row>8</xdr:row>
      <xdr:rowOff>78445</xdr:rowOff>
    </xdr:to>
    <xdr:cxnSp macro="">
      <xdr:nvCxnSpPr>
        <xdr:cNvPr id="9" name="直線コネクタ 8"/>
        <xdr:cNvCxnSpPr/>
      </xdr:nvCxnSpPr>
      <xdr:spPr>
        <a:xfrm flipV="1">
          <a:off x="649942" y="1423150"/>
          <a:ext cx="1512793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201703</xdr:colOff>
      <xdr:row>8</xdr:row>
      <xdr:rowOff>112064</xdr:rowOff>
    </xdr:from>
    <xdr:to>
      <xdr:col>3</xdr:col>
      <xdr:colOff>201703</xdr:colOff>
      <xdr:row>33</xdr:row>
      <xdr:rowOff>56029</xdr:rowOff>
    </xdr:to>
    <xdr:cxnSp macro="">
      <xdr:nvCxnSpPr>
        <xdr:cNvPr id="10" name="直線コネクタ 9"/>
        <xdr:cNvCxnSpPr/>
      </xdr:nvCxnSpPr>
      <xdr:spPr>
        <a:xfrm flipV="1">
          <a:off x="2252379" y="1456770"/>
          <a:ext cx="0" cy="41461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246531</xdr:colOff>
      <xdr:row>33</xdr:row>
      <xdr:rowOff>44888</xdr:rowOff>
    </xdr:from>
    <xdr:to>
      <xdr:col>3</xdr:col>
      <xdr:colOff>156883</xdr:colOff>
      <xdr:row>33</xdr:row>
      <xdr:rowOff>44888</xdr:rowOff>
    </xdr:to>
    <xdr:cxnSp macro="">
      <xdr:nvCxnSpPr>
        <xdr:cNvPr id="11" name="直線コネクタ 10"/>
        <xdr:cNvCxnSpPr/>
      </xdr:nvCxnSpPr>
      <xdr:spPr>
        <a:xfrm>
          <a:off x="246531" y="5591800"/>
          <a:ext cx="196102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190501</xdr:colOff>
      <xdr:row>1</xdr:row>
      <xdr:rowOff>56030</xdr:rowOff>
    </xdr:from>
    <xdr:to>
      <xdr:col>8</xdr:col>
      <xdr:colOff>1098177</xdr:colOff>
      <xdr:row>6</xdr:row>
      <xdr:rowOff>44824</xdr:rowOff>
    </xdr:to>
    <xdr:sp macro="" textlink="">
      <xdr:nvSpPr>
        <xdr:cNvPr id="2" name="テキスト ボックス 1"/>
        <xdr:cNvSpPr txBox="1"/>
      </xdr:nvSpPr>
      <xdr:spPr>
        <a:xfrm>
          <a:off x="2247901" y="227480"/>
          <a:ext cx="5489201" cy="8460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ja-JP" altLang="en-US" sz="1100" u="sng"/>
            <a:t>注意</a:t>
          </a:r>
          <a:endParaRPr kumimoji="1" lang="en-US" altLang="ja-JP" sz="1100" u="sng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Interpolate_Interval</a:t>
          </a:r>
          <a:r>
            <a:rPr kumimoji="1" lang="ja-JP" altLang="en-US" sz="1100" u="none"/>
            <a:t>・・・著者作成のマクロ関数．</a:t>
          </a:r>
          <a:r>
            <a:rPr kumimoji="1" lang="en-US" altLang="ja-JP" sz="1100" u="none"/>
            <a:t>2</a:t>
          </a:r>
          <a:r>
            <a:rPr kumimoji="1" lang="ja-JP" altLang="en-US" sz="1100" u="none"/>
            <a:t>点間を線形補間する関数．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</a:t>
          </a:r>
          <a:r>
            <a:rPr kumimoji="1" lang="en-US" altLang="ja-JP" sz="1100" u="none"/>
            <a:t>Interpolate_Range</a:t>
          </a:r>
          <a:r>
            <a:rPr kumimoji="1" lang="ja-JP" altLang="en-US" sz="1100" u="none"/>
            <a:t>・・・著者作成のマクロ関数．範囲を引数として線形補間する関数．</a:t>
          </a:r>
          <a:endParaRPr kumimoji="1" lang="en-US" altLang="ja-JP" sz="1100" u="none"/>
        </a:p>
        <a:p>
          <a:r>
            <a:rPr kumimoji="1" lang="ja-JP" altLang="en-US" sz="1100" u="none"/>
            <a:t>・線形補外については端点の値の一定値とした．</a:t>
          </a:r>
        </a:p>
      </xdr:txBody>
    </xdr:sp>
    <xdr:clientData/>
  </xdr:twoCellAnchor>
  <xdr:twoCellAnchor>
    <xdr:from>
      <xdr:col>15</xdr:col>
      <xdr:colOff>392206</xdr:colOff>
      <xdr:row>0</xdr:row>
      <xdr:rowOff>100852</xdr:rowOff>
    </xdr:from>
    <xdr:to>
      <xdr:col>15</xdr:col>
      <xdr:colOff>392206</xdr:colOff>
      <xdr:row>52</xdr:row>
      <xdr:rowOff>145675</xdr:rowOff>
    </xdr:to>
    <xdr:cxnSp macro="">
      <xdr:nvCxnSpPr>
        <xdr:cNvPr id="3" name="直線コネクタ 2"/>
        <xdr:cNvCxnSpPr/>
      </xdr:nvCxnSpPr>
      <xdr:spPr>
        <a:xfrm>
          <a:off x="16375156" y="100852"/>
          <a:ext cx="0" cy="896022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818029</xdr:colOff>
      <xdr:row>17</xdr:row>
      <xdr:rowOff>67234</xdr:rowOff>
    </xdr:from>
    <xdr:to>
      <xdr:col>11</xdr:col>
      <xdr:colOff>907676</xdr:colOff>
      <xdr:row>33</xdr:row>
      <xdr:rowOff>123263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649942</xdr:colOff>
      <xdr:row>8</xdr:row>
      <xdr:rowOff>78444</xdr:rowOff>
    </xdr:from>
    <xdr:to>
      <xdr:col>3</xdr:col>
      <xdr:colOff>112059</xdr:colOff>
      <xdr:row>8</xdr:row>
      <xdr:rowOff>78445</xdr:rowOff>
    </xdr:to>
    <xdr:cxnSp macro="">
      <xdr:nvCxnSpPr>
        <xdr:cNvPr id="5" name="直線コネクタ 4"/>
        <xdr:cNvCxnSpPr/>
      </xdr:nvCxnSpPr>
      <xdr:spPr>
        <a:xfrm flipV="1">
          <a:off x="649942" y="1450044"/>
          <a:ext cx="1519517" cy="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201703</xdr:colOff>
      <xdr:row>8</xdr:row>
      <xdr:rowOff>112064</xdr:rowOff>
    </xdr:from>
    <xdr:to>
      <xdr:col>3</xdr:col>
      <xdr:colOff>201703</xdr:colOff>
      <xdr:row>33</xdr:row>
      <xdr:rowOff>56029</xdr:rowOff>
    </xdr:to>
    <xdr:cxnSp macro="">
      <xdr:nvCxnSpPr>
        <xdr:cNvPr id="6" name="直線コネクタ 5"/>
        <xdr:cNvCxnSpPr/>
      </xdr:nvCxnSpPr>
      <xdr:spPr>
        <a:xfrm flipV="1">
          <a:off x="2259103" y="1483664"/>
          <a:ext cx="0" cy="42302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246531</xdr:colOff>
      <xdr:row>33</xdr:row>
      <xdr:rowOff>44888</xdr:rowOff>
    </xdr:from>
    <xdr:to>
      <xdr:col>3</xdr:col>
      <xdr:colOff>156883</xdr:colOff>
      <xdr:row>33</xdr:row>
      <xdr:rowOff>44888</xdr:rowOff>
    </xdr:to>
    <xdr:cxnSp macro="">
      <xdr:nvCxnSpPr>
        <xdr:cNvPr id="7" name="直線コネクタ 6"/>
        <xdr:cNvCxnSpPr/>
      </xdr:nvCxnSpPr>
      <xdr:spPr>
        <a:xfrm>
          <a:off x="246531" y="5702738"/>
          <a:ext cx="1967752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51"/>
  <sheetViews>
    <sheetView tabSelected="1" zoomScale="85" zoomScaleNormal="85" workbookViewId="0">
      <selection activeCell="A23" sqref="A23"/>
    </sheetView>
  </sheetViews>
  <sheetFormatPr defaultRowHeight="13.5"/>
  <cols>
    <col min="1" max="1" width="9.5" bestFit="1" customWidth="1"/>
    <col min="5" max="6" width="12.75" customWidth="1"/>
    <col min="7" max="7" width="13" customWidth="1"/>
    <col min="8" max="8" width="13.875" bestFit="1" customWidth="1"/>
    <col min="9" max="9" width="8.875" customWidth="1"/>
    <col min="10" max="10" width="9.125" bestFit="1" customWidth="1"/>
    <col min="11" max="11" width="13" style="3" customWidth="1"/>
    <col min="12" max="12" width="12.125" customWidth="1"/>
    <col min="14" max="14" width="10.125" customWidth="1"/>
    <col min="16" max="16" width="21.875" bestFit="1" customWidth="1"/>
    <col min="17" max="17" width="8.875" customWidth="1"/>
    <col min="21" max="21" width="14.625" bestFit="1" customWidth="1"/>
    <col min="23" max="23" width="14.625" bestFit="1" customWidth="1"/>
  </cols>
  <sheetData>
    <row r="1" spans="1:23">
      <c r="A1" t="s">
        <v>163</v>
      </c>
    </row>
    <row r="2" spans="1:23">
      <c r="A2" s="22" t="s">
        <v>156</v>
      </c>
      <c r="B2" s="19"/>
      <c r="C2" s="19"/>
      <c r="D2" s="19"/>
      <c r="P2" s="22" t="s">
        <v>44</v>
      </c>
      <c r="Q2" s="20"/>
    </row>
    <row r="3" spans="1:23">
      <c r="O3" s="20"/>
      <c r="P3" s="20"/>
      <c r="Q3" s="20"/>
      <c r="R3" s="20"/>
      <c r="S3" s="20"/>
      <c r="T3" s="20"/>
      <c r="U3" s="20"/>
      <c r="V3" s="20"/>
      <c r="W3" s="20"/>
    </row>
    <row r="4" spans="1:23">
      <c r="O4" s="20"/>
      <c r="P4" s="20"/>
      <c r="Q4" s="20"/>
      <c r="R4" s="20"/>
      <c r="S4" s="20"/>
      <c r="T4" s="20"/>
      <c r="U4" s="20"/>
      <c r="V4" s="20"/>
      <c r="W4" s="20"/>
    </row>
    <row r="5" spans="1:23">
      <c r="O5" s="20"/>
      <c r="P5" s="20"/>
      <c r="Q5" s="20"/>
      <c r="R5" s="20"/>
      <c r="S5" s="20"/>
      <c r="T5" s="20"/>
      <c r="U5" s="20"/>
      <c r="V5" s="20"/>
      <c r="W5" s="20"/>
    </row>
    <row r="6" spans="1:23">
      <c r="O6" s="20"/>
      <c r="P6" s="20"/>
      <c r="Q6" s="20"/>
      <c r="R6" s="20"/>
      <c r="S6" s="20"/>
      <c r="T6" s="20"/>
      <c r="U6" s="20"/>
      <c r="V6" s="20"/>
      <c r="W6" s="20"/>
    </row>
    <row r="7" spans="1:23">
      <c r="O7" s="20"/>
      <c r="P7" s="20"/>
      <c r="Q7" s="20"/>
      <c r="R7" s="20"/>
      <c r="S7" s="20"/>
      <c r="T7" s="20"/>
      <c r="U7" s="20"/>
      <c r="V7" s="20"/>
      <c r="W7" s="20"/>
    </row>
    <row r="8" spans="1:23">
      <c r="G8" s="23" t="s">
        <v>49</v>
      </c>
      <c r="K8"/>
      <c r="P8" s="23" t="s">
        <v>30</v>
      </c>
      <c r="S8" s="23" t="s">
        <v>50</v>
      </c>
    </row>
    <row r="9" spans="1:23">
      <c r="A9" s="23" t="s">
        <v>23</v>
      </c>
      <c r="G9" t="s">
        <v>2</v>
      </c>
      <c r="H9" t="s">
        <v>18</v>
      </c>
      <c r="I9" t="s">
        <v>21</v>
      </c>
      <c r="J9" t="s">
        <v>19</v>
      </c>
      <c r="K9" t="s">
        <v>27</v>
      </c>
      <c r="L9" t="s">
        <v>5</v>
      </c>
      <c r="M9" t="s">
        <v>22</v>
      </c>
      <c r="N9" t="s">
        <v>20</v>
      </c>
      <c r="P9" t="s">
        <v>40</v>
      </c>
      <c r="Q9">
        <v>100</v>
      </c>
      <c r="S9" t="s">
        <v>33</v>
      </c>
      <c r="T9" t="s">
        <v>32</v>
      </c>
      <c r="U9" t="s">
        <v>41</v>
      </c>
      <c r="V9" t="s">
        <v>42</v>
      </c>
      <c r="W9" t="s">
        <v>41</v>
      </c>
    </row>
    <row r="10" spans="1:23">
      <c r="G10" s="2">
        <v>0</v>
      </c>
      <c r="H10" s="1">
        <f>Interpolate_Range($A$17:$A$26,$B$17:$B$26,G10)</f>
        <v>1.0357000000000001E-3</v>
      </c>
      <c r="J10" s="31">
        <v>1</v>
      </c>
      <c r="K10" s="2"/>
      <c r="N10" s="1">
        <f>N11</f>
        <v>1.0356897142176187E-3</v>
      </c>
      <c r="P10" t="s">
        <v>34</v>
      </c>
      <c r="Q10" s="26">
        <v>8.0000000000000002E-3</v>
      </c>
      <c r="S10">
        <v>0</v>
      </c>
    </row>
    <row r="11" spans="1:23">
      <c r="G11" s="2">
        <f t="shared" ref="G11:H15" si="0">A17</f>
        <v>1.9178082191780823E-2</v>
      </c>
      <c r="H11" s="1">
        <f t="shared" si="0"/>
        <v>1.0357000000000001E-3</v>
      </c>
      <c r="J11" s="27">
        <f t="shared" ref="J11" si="1">1/(1+H11*G11)</f>
        <v>0.99998013765479454</v>
      </c>
      <c r="K11" s="2"/>
      <c r="N11" s="1">
        <f t="shared" ref="N11" si="2">-LN(J11)/G11</f>
        <v>1.0356897142176187E-3</v>
      </c>
      <c r="P11" t="s">
        <v>31</v>
      </c>
      <c r="Q11" s="12" t="s">
        <v>36</v>
      </c>
      <c r="S11">
        <v>0.25</v>
      </c>
      <c r="T11" s="1">
        <f>$Q$10/4</f>
        <v>2E-3</v>
      </c>
      <c r="U11" s="1">
        <f t="shared" ref="U11:U50" si="3">T11*Interpolate_Range($G$10:$G$133,$J$10:$J$133,S11)</f>
        <v>1.9992288474528163E-3</v>
      </c>
      <c r="V11" s="1">
        <f t="shared" ref="V11:V50" si="4">Interpolate_Range($G$14:$G$133,$M$14:$M$133,S11)/4</f>
        <v>3.857249999998924E-4</v>
      </c>
      <c r="W11" s="1">
        <f t="shared" ref="W11:W50" si="5">V11*Interpolate_Range($G$10:$G$133,$J$10:$J$133,S11)</f>
        <v>3.8557627359176122E-4</v>
      </c>
    </row>
    <row r="12" spans="1:23">
      <c r="C12" s="1"/>
      <c r="G12" s="2">
        <f t="shared" si="0"/>
        <v>8.3333333333333329E-2</v>
      </c>
      <c r="H12" s="1">
        <f t="shared" si="0"/>
        <v>1.2014E-3</v>
      </c>
      <c r="J12" s="27">
        <f>1/(1+H12*G12)</f>
        <v>0.99989989335567675</v>
      </c>
      <c r="K12" s="2"/>
      <c r="N12" s="1">
        <f t="shared" ref="N12:N35" si="6">-LN(J12)/G12</f>
        <v>1.2013398639335396E-3</v>
      </c>
      <c r="P12" t="s">
        <v>38</v>
      </c>
      <c r="Q12" s="12" t="s">
        <v>37</v>
      </c>
      <c r="S12">
        <v>0.5</v>
      </c>
      <c r="T12" s="1">
        <f t="shared" ref="T12:T50" si="7">$Q$10/4</f>
        <v>2E-3</v>
      </c>
      <c r="U12" s="1">
        <f t="shared" si="3"/>
        <v>1.9975815280439974E-3</v>
      </c>
      <c r="V12" s="1">
        <f t="shared" si="4"/>
        <v>8.24656909213628E-4</v>
      </c>
      <c r="W12" s="1">
        <f t="shared" si="5"/>
        <v>8.236597044094995E-4</v>
      </c>
    </row>
    <row r="13" spans="1:23">
      <c r="B13" s="1"/>
      <c r="C13" s="1"/>
      <c r="G13" s="2">
        <f t="shared" si="0"/>
        <v>0.16666666666666666</v>
      </c>
      <c r="H13" s="1">
        <f t="shared" si="0"/>
        <v>1.3856999999999999E-3</v>
      </c>
      <c r="J13" s="27">
        <f>1/(1+H13*G13)</f>
        <v>0.99976910332558699</v>
      </c>
      <c r="K13" s="2"/>
      <c r="N13" s="1">
        <f t="shared" si="6"/>
        <v>1.38554001092478E-3</v>
      </c>
      <c r="P13" t="s">
        <v>35</v>
      </c>
      <c r="Q13" s="12" t="s">
        <v>39</v>
      </c>
      <c r="S13">
        <v>0.75</v>
      </c>
      <c r="T13" s="1">
        <f t="shared" si="7"/>
        <v>2E-3</v>
      </c>
      <c r="U13" s="1">
        <f t="shared" si="3"/>
        <v>1.9944454283703831E-3</v>
      </c>
      <c r="V13" s="1">
        <f t="shared" si="4"/>
        <v>1.5724168879249767E-3</v>
      </c>
      <c r="W13" s="1">
        <f t="shared" si="5"/>
        <v>1.5680498368071773E-3</v>
      </c>
    </row>
    <row r="14" spans="1:23">
      <c r="B14" s="1"/>
      <c r="G14" s="2">
        <f t="shared" si="0"/>
        <v>0.25</v>
      </c>
      <c r="H14" s="1">
        <f t="shared" si="0"/>
        <v>1.5429E-3</v>
      </c>
      <c r="J14" s="27">
        <f>1/(1+H14*G14)</f>
        <v>0.99961442372640819</v>
      </c>
      <c r="K14" s="2"/>
      <c r="M14" s="1">
        <f>(J10/J14-1)/0.25</f>
        <v>1.5428999999995696E-3</v>
      </c>
      <c r="N14" s="1">
        <f t="shared" si="6"/>
        <v>1.5426025089458986E-3</v>
      </c>
      <c r="S14">
        <v>1</v>
      </c>
      <c r="T14" s="1">
        <f t="shared" si="7"/>
        <v>2E-3</v>
      </c>
      <c r="U14" s="1">
        <f t="shared" si="3"/>
        <v>1.9913093286967687E-3</v>
      </c>
      <c r="V14" s="1">
        <f t="shared" si="4"/>
        <v>1.5748932767098989E-3</v>
      </c>
      <c r="W14" s="1">
        <f t="shared" si="5"/>
        <v>1.5680498368071216E-3</v>
      </c>
    </row>
    <row r="15" spans="1:23">
      <c r="G15" s="2">
        <f t="shared" si="0"/>
        <v>0.5</v>
      </c>
      <c r="H15" s="1">
        <f t="shared" si="0"/>
        <v>2.4214000000000002E-3</v>
      </c>
      <c r="J15" s="27">
        <f>1/(1+H15*G15)</f>
        <v>0.99879076402199862</v>
      </c>
      <c r="K15" s="2">
        <f>K10+0.5*J15</f>
        <v>0.49939538201099931</v>
      </c>
      <c r="L15" s="1">
        <f>(J10/J15-1)/0.5</f>
        <v>2.4213999999997959E-3</v>
      </c>
      <c r="M15" s="1">
        <f>(J14/J15-1)/0.25</f>
        <v>3.298627636854512E-3</v>
      </c>
      <c r="N15" s="1">
        <f t="shared" si="6"/>
        <v>2.4199353875282424E-3</v>
      </c>
      <c r="S15">
        <v>1.25</v>
      </c>
      <c r="T15" s="1">
        <f t="shared" si="7"/>
        <v>2E-3</v>
      </c>
      <c r="U15" s="1">
        <f t="shared" si="3"/>
        <v>1.9919069462801622E-3</v>
      </c>
      <c r="V15" s="1">
        <f t="shared" si="4"/>
        <v>-3.0002284218610953E-4</v>
      </c>
      <c r="W15" s="1">
        <f t="shared" si="5"/>
        <v>-2.9880879169661421E-4</v>
      </c>
    </row>
    <row r="16" spans="1:23">
      <c r="B16" t="s">
        <v>24</v>
      </c>
      <c r="E16" t="s">
        <v>26</v>
      </c>
      <c r="G16" s="13">
        <f>G15+0.25</f>
        <v>0.75</v>
      </c>
      <c r="H16" s="1"/>
      <c r="J16" s="27">
        <f>Interpolate_Interval(G15,G17,J15,J17,G16)</f>
        <v>0.99722271418519148</v>
      </c>
      <c r="K16" s="2"/>
      <c r="L16" s="1">
        <f>Interpolate_Interval(G15,G17,L15,L17,G16)</f>
        <v>4.3604865534196957E-3</v>
      </c>
      <c r="M16" s="1">
        <f>(J15/J16-1)/0.25</f>
        <v>6.2896675516999068E-3</v>
      </c>
      <c r="N16" s="1">
        <f t="shared" si="6"/>
        <v>3.7081995048784699E-3</v>
      </c>
      <c r="P16" s="23" t="s">
        <v>43</v>
      </c>
      <c r="S16">
        <v>1.5</v>
      </c>
      <c r="T16" s="1">
        <f t="shared" si="7"/>
        <v>2E-3</v>
      </c>
      <c r="U16" s="1">
        <f t="shared" si="3"/>
        <v>1.9925045638635552E-3</v>
      </c>
      <c r="V16" s="1">
        <f t="shared" si="4"/>
        <v>-2.9993285547824655E-4</v>
      </c>
      <c r="W16" s="1">
        <f t="shared" si="5"/>
        <v>-2.9880879169651717E-4</v>
      </c>
    </row>
    <row r="17" spans="1:23">
      <c r="A17" s="2">
        <f>7/365</f>
        <v>1.9178082191780823E-2</v>
      </c>
      <c r="B17" s="1">
        <v>1.0357000000000001E-3</v>
      </c>
      <c r="C17" s="50" t="s">
        <v>164</v>
      </c>
      <c r="D17">
        <v>1</v>
      </c>
      <c r="E17" s="1">
        <v>2.3874999999999999E-3</v>
      </c>
      <c r="G17" s="2">
        <f>A22</f>
        <v>1</v>
      </c>
      <c r="H17" s="1">
        <f>B22</f>
        <v>4.3643000000000006E-3</v>
      </c>
      <c r="J17" s="27">
        <f>1/(1+H17*G17)</f>
        <v>0.99565466434838434</v>
      </c>
      <c r="K17" s="2">
        <f>K15+0.5*J17</f>
        <v>0.99722271418519148</v>
      </c>
      <c r="L17" s="1">
        <f>(J15/J17-1)/0.5</f>
        <v>6.2995731068395955E-3</v>
      </c>
      <c r="M17" s="1">
        <f>(J16/J17-1)/0.25</f>
        <v>6.2995731068395955E-3</v>
      </c>
      <c r="N17" s="1">
        <f t="shared" si="6"/>
        <v>4.3548040614796359E-3</v>
      </c>
      <c r="P17" t="s">
        <v>45</v>
      </c>
      <c r="Q17" s="15">
        <f>$Q$9*SUM(U11:U50)</f>
        <v>7.7366785939613409</v>
      </c>
      <c r="S17">
        <v>1.75</v>
      </c>
      <c r="T17" s="1">
        <f t="shared" si="7"/>
        <v>2E-3</v>
      </c>
      <c r="U17" s="1">
        <f t="shared" si="3"/>
        <v>1.9910213567762725E-3</v>
      </c>
      <c r="V17" s="1">
        <f t="shared" si="4"/>
        <v>7.449478541425858E-4</v>
      </c>
      <c r="W17" s="1">
        <f t="shared" si="5"/>
        <v>7.4160354364127194E-4</v>
      </c>
    </row>
    <row r="18" spans="1:23">
      <c r="A18" s="2">
        <f>1/12</f>
        <v>8.3333333333333329E-2</v>
      </c>
      <c r="B18" s="1">
        <v>1.2014E-3</v>
      </c>
      <c r="C18" s="50" t="s">
        <v>165</v>
      </c>
      <c r="D18">
        <v>2</v>
      </c>
      <c r="E18" s="1">
        <v>2.6250000000000002E-3</v>
      </c>
      <c r="G18" s="13">
        <f>G17+0.25</f>
        <v>1.25</v>
      </c>
      <c r="J18" s="15">
        <f>Interpolate_Interval(G17,G19,J17,J19,G18)</f>
        <v>0.99595347314008098</v>
      </c>
      <c r="L18" s="1">
        <f>Interpolate_Interval(G17,G19,L17,L19,G18)</f>
        <v>2.5499208424631936E-3</v>
      </c>
      <c r="M18" s="1">
        <f>(J17/J18-1)/0.25</f>
        <v>-1.2000913687444381E-3</v>
      </c>
      <c r="N18" s="1">
        <f t="shared" si="6"/>
        <v>3.2437889627492042E-3</v>
      </c>
      <c r="P18" t="s">
        <v>46</v>
      </c>
      <c r="Q18" s="15">
        <f>$Q$9*SUM(W11:W50)</f>
        <v>9.5140174458123692</v>
      </c>
      <c r="S18">
        <v>2</v>
      </c>
      <c r="T18" s="1">
        <f t="shared" si="7"/>
        <v>2E-3</v>
      </c>
      <c r="U18" s="1">
        <f t="shared" si="3"/>
        <v>1.9895381496889898E-3</v>
      </c>
      <c r="V18" s="1">
        <f t="shared" si="4"/>
        <v>7.4550321516309026E-4</v>
      </c>
      <c r="W18" s="1">
        <f t="shared" si="5"/>
        <v>7.4160354364138372E-4</v>
      </c>
    </row>
    <row r="19" spans="1:23">
      <c r="A19" s="2">
        <f>2/12</f>
        <v>0.16666666666666666</v>
      </c>
      <c r="B19" s="1">
        <v>1.3856999999999999E-3</v>
      </c>
      <c r="C19" s="50" t="s">
        <v>166</v>
      </c>
      <c r="D19">
        <v>3</v>
      </c>
      <c r="E19" s="1">
        <v>3.0249999999999999E-3</v>
      </c>
      <c r="G19" s="13">
        <f t="shared" ref="G19:G82" si="8">G18+0.25</f>
        <v>1.5</v>
      </c>
      <c r="H19" s="1"/>
      <c r="I19" s="1">
        <f>Interpolate_Range($D$17:$D$31,$E$17:$E$31,G19)</f>
        <v>2.5062499999999998E-3</v>
      </c>
      <c r="J19" s="15">
        <f>(1-I19*K17)/(1+I19*0.5)</f>
        <v>0.99625228193177751</v>
      </c>
      <c r="K19" s="2">
        <f>K17+0.5*J19</f>
        <v>1.4953488551510803</v>
      </c>
      <c r="L19" s="1">
        <f>(J17/J19-1)/0.5</f>
        <v>-1.1997314219132083E-3</v>
      </c>
      <c r="M19" s="1">
        <f t="shared" ref="M19:M82" si="9">(J18/J19-1)/0.25</f>
        <v>-1.1997314219129862E-3</v>
      </c>
      <c r="N19" s="1">
        <f t="shared" si="6"/>
        <v>2.5031722394022468E-3</v>
      </c>
      <c r="P19" t="s">
        <v>47</v>
      </c>
      <c r="Q19" s="28">
        <f>Q17-Q18</f>
        <v>-1.7773388518510282</v>
      </c>
      <c r="S19">
        <v>2.25</v>
      </c>
      <c r="T19" s="1">
        <f t="shared" si="7"/>
        <v>2E-3</v>
      </c>
      <c r="U19" s="1">
        <f t="shared" si="3"/>
        <v>1.9877370357656741E-3</v>
      </c>
      <c r="V19" s="1">
        <f t="shared" si="4"/>
        <v>9.0611277593977135E-4</v>
      </c>
      <c r="W19" s="1">
        <f t="shared" si="5"/>
        <v>9.0055696165796371E-4</v>
      </c>
    </row>
    <row r="20" spans="1:23">
      <c r="A20" s="2">
        <f>3/12</f>
        <v>0.25</v>
      </c>
      <c r="B20" s="1">
        <v>1.5429E-3</v>
      </c>
      <c r="C20" s="50" t="s">
        <v>167</v>
      </c>
      <c r="D20">
        <v>4</v>
      </c>
      <c r="E20" s="1">
        <v>3.5999999999999999E-3</v>
      </c>
      <c r="G20" s="13">
        <f t="shared" si="8"/>
        <v>1.75</v>
      </c>
      <c r="H20" s="1"/>
      <c r="J20" s="15">
        <f>Interpolate_Interval(G19,G21,J19,J21,G20)</f>
        <v>0.99551067838813623</v>
      </c>
      <c r="L20" s="1">
        <f>Interpolate_Interval(G19,G21,L19,L21,G20)</f>
        <v>8.9114071936935435E-4</v>
      </c>
      <c r="M20" s="1">
        <f t="shared" si="9"/>
        <v>2.9797914165703432E-3</v>
      </c>
      <c r="N20" s="1">
        <f t="shared" si="6"/>
        <v>2.5711022156106223E-3</v>
      </c>
      <c r="S20">
        <v>2.5</v>
      </c>
      <c r="T20" s="1">
        <f t="shared" si="7"/>
        <v>2E-3</v>
      </c>
      <c r="U20" s="1">
        <f t="shared" si="3"/>
        <v>1.9859359218423584E-3</v>
      </c>
      <c r="V20" s="1">
        <f t="shared" si="4"/>
        <v>9.0693456093227098E-4</v>
      </c>
      <c r="W20" s="1">
        <f t="shared" si="5"/>
        <v>9.0055696165786201E-4</v>
      </c>
    </row>
    <row r="21" spans="1:23">
      <c r="A21" s="2">
        <f>6/12</f>
        <v>0.5</v>
      </c>
      <c r="B21" s="1">
        <v>2.4214000000000002E-3</v>
      </c>
      <c r="C21" s="50" t="s">
        <v>168</v>
      </c>
      <c r="D21">
        <v>5</v>
      </c>
      <c r="E21" s="1">
        <v>4.4812999999999997E-3</v>
      </c>
      <c r="G21" s="13">
        <f t="shared" si="8"/>
        <v>2</v>
      </c>
      <c r="H21" s="1"/>
      <c r="I21" s="1">
        <f>Interpolate_Range($D$17:$D$31,$E$17:$E$31,G21)</f>
        <v>2.6250000000000002E-3</v>
      </c>
      <c r="J21" s="15">
        <f>(1-I21*K19)/(1+I21*0.5)</f>
        <v>0.99476907484449495</v>
      </c>
      <c r="K21" s="2">
        <f>K19+0.5*J21</f>
        <v>1.9927333925733277</v>
      </c>
      <c r="L21" s="1">
        <f>(J19/J21-1)/0.5</f>
        <v>2.982012860651917E-3</v>
      </c>
      <c r="M21" s="1">
        <f t="shared" si="9"/>
        <v>2.982012860652361E-3</v>
      </c>
      <c r="N21" s="1">
        <f t="shared" si="6"/>
        <v>2.6223271714965915E-3</v>
      </c>
      <c r="S21">
        <v>2.75</v>
      </c>
      <c r="T21" s="1">
        <f t="shared" si="7"/>
        <v>2E-3</v>
      </c>
      <c r="U21" s="1">
        <f t="shared" si="3"/>
        <v>1.9839392343167406E-3</v>
      </c>
      <c r="V21" s="1">
        <f t="shared" si="4"/>
        <v>1.0064257468578308E-3</v>
      </c>
      <c r="W21" s="1">
        <f t="shared" si="5"/>
        <v>9.9834376280888925E-4</v>
      </c>
    </row>
    <row r="22" spans="1:23">
      <c r="A22" s="2">
        <v>1</v>
      </c>
      <c r="B22" s="1">
        <v>4.3643000000000006E-3</v>
      </c>
      <c r="C22" s="50" t="s">
        <v>169</v>
      </c>
      <c r="D22">
        <v>6</v>
      </c>
      <c r="E22" s="1">
        <v>5.5250000000000004E-3</v>
      </c>
      <c r="G22" s="13">
        <f t="shared" si="8"/>
        <v>2.25</v>
      </c>
      <c r="H22" s="1"/>
      <c r="J22" s="15">
        <f>Interpolate_Interval(G21,G23,J21,J23,G22)</f>
        <v>0.99386851788283703</v>
      </c>
      <c r="L22" s="1">
        <f>Interpolate_Interval(G21,G23,L21,L23,G22)</f>
        <v>3.3048755521905004E-3</v>
      </c>
      <c r="M22" s="1">
        <f t="shared" si="9"/>
        <v>3.6244511037590854E-3</v>
      </c>
      <c r="N22" s="1">
        <f t="shared" si="6"/>
        <v>2.7334919318080871E-3</v>
      </c>
      <c r="S22">
        <v>3</v>
      </c>
      <c r="T22" s="1">
        <f t="shared" si="7"/>
        <v>2E-3</v>
      </c>
      <c r="U22" s="1">
        <f t="shared" si="3"/>
        <v>1.9819425467911232E-3</v>
      </c>
      <c r="V22" s="1">
        <f t="shared" si="4"/>
        <v>1.0074396600698865E-3</v>
      </c>
      <c r="W22" s="1">
        <f t="shared" si="5"/>
        <v>9.9834376280864704E-4</v>
      </c>
    </row>
    <row r="23" spans="1:23">
      <c r="A23" s="49"/>
      <c r="B23" s="14"/>
      <c r="C23" s="47"/>
      <c r="D23">
        <v>7</v>
      </c>
      <c r="E23" s="1">
        <v>6.6750000000000004E-3</v>
      </c>
      <c r="G23" s="13">
        <f t="shared" si="8"/>
        <v>2.5</v>
      </c>
      <c r="H23" s="1"/>
      <c r="I23" s="1">
        <f>Interpolate_Range($D$17:$D$31,$E$17:$E$31,G23)</f>
        <v>2.8250000000000003E-3</v>
      </c>
      <c r="J23" s="15">
        <f>(1-I23*K21)/(1+I23*0.5)</f>
        <v>0.99296796092117912</v>
      </c>
      <c r="K23" s="2">
        <f>K21+0.5*J23</f>
        <v>2.4892173730339171</v>
      </c>
      <c r="L23" s="1">
        <f>(J21/J23-1)/0.5</f>
        <v>3.6277382437290839E-3</v>
      </c>
      <c r="M23" s="1">
        <f t="shared" si="9"/>
        <v>3.6277382437290839E-3</v>
      </c>
      <c r="N23" s="1">
        <f t="shared" si="6"/>
        <v>2.8227521563371936E-3</v>
      </c>
      <c r="S23">
        <v>3.25</v>
      </c>
      <c r="T23" s="1">
        <f t="shared" si="7"/>
        <v>2E-3</v>
      </c>
      <c r="U23" s="1">
        <f t="shared" si="3"/>
        <v>1.979447281287754E-3</v>
      </c>
      <c r="V23" s="1">
        <f t="shared" si="4"/>
        <v>1.2605869966619832E-3</v>
      </c>
      <c r="W23" s="1">
        <f t="shared" si="5"/>
        <v>1.2476327516846286E-3</v>
      </c>
    </row>
    <row r="24" spans="1:23">
      <c r="A24" s="49"/>
      <c r="B24" s="14"/>
      <c r="C24" s="47"/>
      <c r="D24">
        <v>8</v>
      </c>
      <c r="E24" s="1">
        <v>7.7499999999999999E-3</v>
      </c>
      <c r="G24" s="13">
        <f t="shared" si="8"/>
        <v>2.75</v>
      </c>
      <c r="H24" s="1"/>
      <c r="J24" s="15">
        <f>Interpolate_Interval(G23,G25,J23,J25,G24)</f>
        <v>0.99196961715837029</v>
      </c>
      <c r="L24" s="1">
        <f>Interpolate_Interval(G23,G25,L23,L25,G24)</f>
        <v>3.828748442004537E-3</v>
      </c>
      <c r="M24" s="1">
        <f t="shared" si="9"/>
        <v>4.0257029874313233E-3</v>
      </c>
      <c r="N24" s="1">
        <f t="shared" si="6"/>
        <v>2.9319272839465312E-3</v>
      </c>
      <c r="S24">
        <v>3.5</v>
      </c>
      <c r="T24" s="1">
        <f t="shared" si="7"/>
        <v>2E-3</v>
      </c>
      <c r="U24" s="1">
        <f t="shared" si="3"/>
        <v>1.9769520157843848E-3</v>
      </c>
      <c r="V24" s="1">
        <f t="shared" si="4"/>
        <v>1.2621780819395134E-3</v>
      </c>
      <c r="W24" s="1">
        <f t="shared" si="5"/>
        <v>1.2476327516845946E-3</v>
      </c>
    </row>
    <row r="25" spans="1:23">
      <c r="A25" s="49"/>
      <c r="B25" s="14"/>
      <c r="C25" s="47"/>
      <c r="D25">
        <v>9</v>
      </c>
      <c r="E25" s="1">
        <v>8.8249999999999995E-3</v>
      </c>
      <c r="G25" s="13">
        <f t="shared" si="8"/>
        <v>3</v>
      </c>
      <c r="H25" s="1"/>
      <c r="I25" s="1">
        <f>Interpolate_Range($D$17:$D$31,$E$17:$E$31,G25)</f>
        <v>3.0249999999999999E-3</v>
      </c>
      <c r="J25" s="15">
        <f>(1-I25*K23)/(1+I25*0.5)</f>
        <v>0.99097127339556157</v>
      </c>
      <c r="K25" s="2">
        <f>K23+0.5*J25</f>
        <v>2.9847030097316978</v>
      </c>
      <c r="L25" s="1">
        <f>(J23/J25-1)/0.5</f>
        <v>4.0297586402799901E-3</v>
      </c>
      <c r="M25" s="1">
        <f t="shared" si="9"/>
        <v>4.029758640279546E-3</v>
      </c>
      <c r="N25" s="1">
        <f t="shared" si="6"/>
        <v>3.0232441880532475E-3</v>
      </c>
      <c r="S25">
        <v>3.75</v>
      </c>
      <c r="T25" s="1">
        <f t="shared" si="7"/>
        <v>2E-3</v>
      </c>
      <c r="U25" s="1">
        <f t="shared" si="3"/>
        <v>1.9741775574537413E-3</v>
      </c>
      <c r="V25" s="1">
        <f t="shared" si="4"/>
        <v>1.4053742634081434E-3</v>
      </c>
      <c r="W25" s="1">
        <f t="shared" si="5"/>
        <v>1.3872291653217199E-3</v>
      </c>
    </row>
    <row r="26" spans="1:23">
      <c r="A26" s="49"/>
      <c r="B26" s="14"/>
      <c r="C26" s="47"/>
      <c r="D26">
        <v>10</v>
      </c>
      <c r="E26" s="1">
        <v>9.8499999999999994E-3</v>
      </c>
      <c r="G26" s="13">
        <f t="shared" si="8"/>
        <v>3.25</v>
      </c>
      <c r="H26" s="1"/>
      <c r="J26" s="15">
        <f>Interpolate_Interval(G25,G27,J25,J27,G26)</f>
        <v>0.98972364064387697</v>
      </c>
      <c r="L26" s="1">
        <f>Interpolate_Interval(G25,G27,L25,L27,G26)</f>
        <v>4.5392354840190219E-3</v>
      </c>
      <c r="M26" s="1">
        <f t="shared" si="9"/>
        <v>5.0423479866479326E-3</v>
      </c>
      <c r="N26" s="1">
        <f t="shared" si="6"/>
        <v>3.1783155963468657E-3</v>
      </c>
      <c r="S26">
        <v>4</v>
      </c>
      <c r="T26" s="1">
        <f t="shared" si="7"/>
        <v>2E-3</v>
      </c>
      <c r="U26" s="1">
        <f t="shared" si="3"/>
        <v>1.9714030991230987E-3</v>
      </c>
      <c r="V26" s="1">
        <f t="shared" si="4"/>
        <v>1.407352119856764E-3</v>
      </c>
      <c r="W26" s="1">
        <f t="shared" si="5"/>
        <v>1.3872291653215434E-3</v>
      </c>
    </row>
    <row r="27" spans="1:23">
      <c r="C27" s="47"/>
      <c r="D27">
        <v>12</v>
      </c>
      <c r="E27" s="1">
        <v>1.1775000000000001E-2</v>
      </c>
      <c r="G27" s="13">
        <f t="shared" si="8"/>
        <v>3.5</v>
      </c>
      <c r="H27" s="1"/>
      <c r="I27" s="1">
        <f>Interpolate_Range($D$17:$D$31,$E$17:$E$31,G27)</f>
        <v>3.3124999999999999E-3</v>
      </c>
      <c r="J27" s="15">
        <f>(1-I27*K25)/(1+I27*0.5)</f>
        <v>0.98847600789219237</v>
      </c>
      <c r="K27" s="2">
        <f>K25+0.5*J27</f>
        <v>3.4789410136777938</v>
      </c>
      <c r="L27" s="1">
        <f>(J25/J27-1)/0.5</f>
        <v>5.0487123277580537E-3</v>
      </c>
      <c r="M27" s="1">
        <f t="shared" si="9"/>
        <v>5.0487123277580537E-3</v>
      </c>
      <c r="N27" s="1">
        <f t="shared" si="6"/>
        <v>3.3116879694096079E-3</v>
      </c>
      <c r="S27">
        <v>4.25</v>
      </c>
      <c r="T27" s="1">
        <f t="shared" si="7"/>
        <v>2E-3</v>
      </c>
      <c r="U27" s="1">
        <f t="shared" si="3"/>
        <v>1.967669035610263E-3</v>
      </c>
      <c r="V27" s="1">
        <f t="shared" si="4"/>
        <v>1.8977091397269774E-3</v>
      </c>
      <c r="W27" s="1">
        <f t="shared" si="5"/>
        <v>1.8670317564176816E-3</v>
      </c>
    </row>
    <row r="28" spans="1:23">
      <c r="C28" s="47"/>
      <c r="D28">
        <v>15</v>
      </c>
      <c r="E28" s="1">
        <v>1.4475E-2</v>
      </c>
      <c r="G28" s="13">
        <f t="shared" si="8"/>
        <v>3.75</v>
      </c>
      <c r="H28" s="1"/>
      <c r="J28" s="15">
        <f>Interpolate_Interval(G27,G29,J27,J29,G28)</f>
        <v>0.98708877872687073</v>
      </c>
      <c r="L28" s="1">
        <f>(J26/J28-1)/0.5</f>
        <v>5.3386523558796029E-3</v>
      </c>
      <c r="M28" s="1">
        <f t="shared" si="9"/>
        <v>5.6214970536325737E-3</v>
      </c>
      <c r="N28" s="1">
        <f t="shared" si="6"/>
        <v>3.4654121445861692E-3</v>
      </c>
      <c r="S28">
        <v>4.5</v>
      </c>
      <c r="T28" s="1">
        <f t="shared" si="7"/>
        <v>2E-3</v>
      </c>
      <c r="U28" s="1">
        <f t="shared" si="3"/>
        <v>1.9639349720974274E-3</v>
      </c>
      <c r="V28" s="1">
        <f t="shared" si="4"/>
        <v>1.9013172869200012E-3</v>
      </c>
      <c r="W28" s="1">
        <f t="shared" si="5"/>
        <v>1.8670317564177944E-3</v>
      </c>
    </row>
    <row r="29" spans="1:23">
      <c r="C29" s="47"/>
      <c r="D29">
        <v>20</v>
      </c>
      <c r="E29" s="1">
        <v>1.7500000000000002E-2</v>
      </c>
      <c r="G29" s="13">
        <f t="shared" si="8"/>
        <v>4</v>
      </c>
      <c r="H29" s="1"/>
      <c r="I29" s="1">
        <f>Interpolate_Range($D$17:$D$31,$E$17:$E$31,G29)</f>
        <v>3.5999999999999999E-3</v>
      </c>
      <c r="J29" s="15">
        <f>(1-I29*K27)/(1+I29*0.5)</f>
        <v>0.98570154956154921</v>
      </c>
      <c r="K29" s="2">
        <f>K27+0.5*J29</f>
        <v>3.9717917884585683</v>
      </c>
      <c r="L29" s="1">
        <f>Interpolate_Interval(G28,G30,L28,L30,G29)</f>
        <v>5.977058182504269E-3</v>
      </c>
      <c r="M29" s="1">
        <f t="shared" si="9"/>
        <v>5.629408479427056E-3</v>
      </c>
      <c r="N29" s="1">
        <f t="shared" si="6"/>
        <v>3.6004145675583108E-3</v>
      </c>
      <c r="S29">
        <v>4.75</v>
      </c>
      <c r="T29" s="1">
        <f t="shared" si="7"/>
        <v>2E-3</v>
      </c>
      <c r="U29" s="1">
        <f t="shared" si="3"/>
        <v>1.9597775200068906E-3</v>
      </c>
      <c r="V29" s="1">
        <f t="shared" si="4"/>
        <v>2.1213898251684071E-3</v>
      </c>
      <c r="W29" s="1">
        <f t="shared" si="5"/>
        <v>2.0787260452681962E-3</v>
      </c>
    </row>
    <row r="30" spans="1:23">
      <c r="C30" s="47"/>
      <c r="D30">
        <v>25</v>
      </c>
      <c r="E30" s="1">
        <v>1.89E-2</v>
      </c>
      <c r="G30" s="13">
        <f t="shared" si="8"/>
        <v>4.25</v>
      </c>
      <c r="H30" s="1"/>
      <c r="J30" s="15">
        <f>Interpolate_Interval(G29,G31,J29,J31,G30)</f>
        <v>0.98383451780513143</v>
      </c>
      <c r="L30" s="1">
        <f>(J28/J30-1)/0.5</f>
        <v>6.6154640091289352E-3</v>
      </c>
      <c r="M30" s="1">
        <f t="shared" si="9"/>
        <v>7.5908365589079096E-3</v>
      </c>
      <c r="N30" s="1">
        <f t="shared" si="6"/>
        <v>3.8347221258368683E-3</v>
      </c>
      <c r="S30">
        <v>5</v>
      </c>
      <c r="T30" s="1">
        <f t="shared" si="7"/>
        <v>2E-3</v>
      </c>
      <c r="U30" s="1">
        <f t="shared" si="3"/>
        <v>1.9556200679163543E-3</v>
      </c>
      <c r="V30" s="1">
        <f t="shared" si="4"/>
        <v>2.1258996871340585E-3</v>
      </c>
      <c r="W30" s="1">
        <f t="shared" si="5"/>
        <v>2.0787260452682318E-3</v>
      </c>
    </row>
    <row r="31" spans="1:23">
      <c r="B31" s="1"/>
      <c r="C31" s="1"/>
      <c r="D31">
        <v>30</v>
      </c>
      <c r="E31" s="1">
        <v>1.9581299999999999E-2</v>
      </c>
      <c r="G31" s="13">
        <f t="shared" si="8"/>
        <v>4.5</v>
      </c>
      <c r="H31" s="1"/>
      <c r="I31" s="1">
        <f>Interpolate_Range($D$17:$D$31,$E$17:$E$31,G31)</f>
        <v>4.0406499999999998E-3</v>
      </c>
      <c r="J31" s="15">
        <f>(1-I31*K29)/(1+I31*0.5)</f>
        <v>0.98196748604871364</v>
      </c>
      <c r="K31" s="2">
        <f>K29+0.5*J31</f>
        <v>4.4627755314829249</v>
      </c>
      <c r="L31" s="1">
        <f>Interpolate_Interval(G30,G32,L30,L32,G31)</f>
        <v>7.3344725517998643E-3</v>
      </c>
      <c r="M31" s="1">
        <f t="shared" si="9"/>
        <v>7.6052691476800049E-3</v>
      </c>
      <c r="N31" s="1">
        <f t="shared" si="6"/>
        <v>4.0437958012986301E-3</v>
      </c>
      <c r="S31">
        <v>5.25</v>
      </c>
      <c r="T31" s="1">
        <f t="shared" si="7"/>
        <v>2E-3</v>
      </c>
      <c r="U31" s="1">
        <f t="shared" si="3"/>
        <v>1.9506025200587225E-3</v>
      </c>
      <c r="V31" s="1">
        <f t="shared" si="4"/>
        <v>2.5723066621901047E-3</v>
      </c>
      <c r="W31" s="1">
        <f t="shared" si="5"/>
        <v>2.5087739288159297E-3</v>
      </c>
    </row>
    <row r="32" spans="1:23">
      <c r="G32" s="13">
        <f t="shared" si="8"/>
        <v>4.75</v>
      </c>
      <c r="H32" s="1"/>
      <c r="J32" s="15">
        <f>Interpolate_Interval(G31,G33,J31,J33,G32)</f>
        <v>0.97988876000344538</v>
      </c>
      <c r="L32" s="1">
        <f>(J30/J32-1)/0.5</f>
        <v>8.0534810944707935E-3</v>
      </c>
      <c r="M32" s="1">
        <f t="shared" si="9"/>
        <v>8.4855593006736285E-3</v>
      </c>
      <c r="N32" s="1">
        <f t="shared" si="6"/>
        <v>4.2770997812327906E-3</v>
      </c>
      <c r="S32">
        <v>5.5</v>
      </c>
      <c r="T32" s="1">
        <f t="shared" si="7"/>
        <v>2E-3</v>
      </c>
      <c r="U32" s="1">
        <f t="shared" si="3"/>
        <v>1.9455849722010907E-3</v>
      </c>
      <c r="V32" s="1">
        <f t="shared" si="4"/>
        <v>2.5789404879887901E-3</v>
      </c>
      <c r="W32" s="1">
        <f t="shared" si="5"/>
        <v>2.5087739288159687E-3</v>
      </c>
    </row>
    <row r="33" spans="1:23">
      <c r="G33" s="13">
        <f t="shared" si="8"/>
        <v>5</v>
      </c>
      <c r="H33" s="1"/>
      <c r="I33" s="1">
        <f>Interpolate_Range($D$17:$D$31,$E$17:$E$31,G33)</f>
        <v>4.4812999999999997E-3</v>
      </c>
      <c r="J33" s="15">
        <f>(1-I33*K31)/(1+I33*0.5)</f>
        <v>0.97781003395817712</v>
      </c>
      <c r="K33" s="2">
        <f>K31+0.5*J33</f>
        <v>4.9516805484620132</v>
      </c>
      <c r="L33" s="1">
        <f>Interpolate_Interval(G32,G34,L32,L34,G33)</f>
        <v>8.7304153624878644E-3</v>
      </c>
      <c r="M33" s="1">
        <f t="shared" si="9"/>
        <v>8.5035987485362341E-3</v>
      </c>
      <c r="N33" s="1">
        <f t="shared" si="6"/>
        <v>4.4879734241568721E-3</v>
      </c>
      <c r="S33">
        <v>5.75</v>
      </c>
      <c r="T33" s="1">
        <f t="shared" si="7"/>
        <v>2E-3</v>
      </c>
      <c r="U33" s="1">
        <f t="shared" si="3"/>
        <v>1.9400749938996448E-3</v>
      </c>
      <c r="V33" s="1">
        <f t="shared" si="4"/>
        <v>2.8400852125671783E-3</v>
      </c>
      <c r="W33" s="1">
        <f t="shared" si="5"/>
        <v>2.7549891507228702E-3</v>
      </c>
    </row>
    <row r="34" spans="1:23">
      <c r="G34" s="13">
        <f t="shared" si="8"/>
        <v>5.25</v>
      </c>
      <c r="H34" s="1"/>
      <c r="J34" s="15">
        <f>Interpolate_Interval(G33,G35,J33,J35,G34)</f>
        <v>0.97530126002936124</v>
      </c>
      <c r="L34" s="1">
        <f>(J32/J34-1)/0.5</f>
        <v>9.4073496305049353E-3</v>
      </c>
      <c r="M34" s="1">
        <f t="shared" si="9"/>
        <v>1.0289226648760419E-2</v>
      </c>
      <c r="N34" s="1">
        <f t="shared" si="6"/>
        <v>4.7635944885173233E-3</v>
      </c>
      <c r="S34">
        <v>6</v>
      </c>
      <c r="T34" s="1">
        <f t="shared" si="7"/>
        <v>2E-3</v>
      </c>
      <c r="U34" s="1">
        <f t="shared" si="3"/>
        <v>1.9345650155981992E-3</v>
      </c>
      <c r="V34" s="1">
        <f t="shared" si="4"/>
        <v>2.8481742701946811E-3</v>
      </c>
      <c r="W34" s="1">
        <f t="shared" si="5"/>
        <v>2.7549891507227817E-3</v>
      </c>
    </row>
    <row r="35" spans="1:23">
      <c r="C35" s="1"/>
      <c r="G35" s="13">
        <f t="shared" si="8"/>
        <v>5.5</v>
      </c>
      <c r="H35" s="1"/>
      <c r="I35" s="1">
        <f>Interpolate_Range($D$17:$D$31,$E$17:$E$31,G35)</f>
        <v>5.0031499999999996E-3</v>
      </c>
      <c r="J35" s="15">
        <f>(1-I35*K33)/(1+I35*0.5)</f>
        <v>0.97279248610054536</v>
      </c>
      <c r="K35" s="2">
        <f>K33+0.5*J35</f>
        <v>5.4380767915122856</v>
      </c>
      <c r="L35" s="1">
        <f>Interpolate_Interval(G34,G36,L34,L36,G35)</f>
        <v>1.013002492655235E-2</v>
      </c>
      <c r="M35" s="1">
        <f t="shared" si="9"/>
        <v>1.031576195195516E-2</v>
      </c>
      <c r="N35" s="1">
        <f t="shared" si="6"/>
        <v>5.0153621440186804E-3</v>
      </c>
      <c r="S35">
        <v>6.25</v>
      </c>
      <c r="T35" s="1">
        <f t="shared" si="7"/>
        <v>2E-3</v>
      </c>
      <c r="U35" s="1">
        <f t="shared" si="3"/>
        <v>1.9282291404923728E-3</v>
      </c>
      <c r="V35" s="1">
        <f t="shared" si="4"/>
        <v>3.2858517552580846E-3</v>
      </c>
      <c r="W35" s="1">
        <f t="shared" si="5"/>
        <v>3.1679375529133254E-3</v>
      </c>
    </row>
    <row r="36" spans="1:23">
      <c r="G36" s="13">
        <f t="shared" si="8"/>
        <v>5.75</v>
      </c>
      <c r="H36" s="1"/>
      <c r="J36" s="15">
        <f>Interpolate_Interval(G35,G37,J35,J37,G36)</f>
        <v>0.97003749694982244</v>
      </c>
      <c r="L36" s="1">
        <f>(J34/J36-1)/0.5</f>
        <v>1.0852700222599765E-2</v>
      </c>
      <c r="M36" s="1">
        <f t="shared" si="9"/>
        <v>1.1360340850268713E-2</v>
      </c>
      <c r="N36" s="1">
        <f t="shared" ref="N36:N67" si="10">-LN(J36)/G36</f>
        <v>5.2905307100097523E-3</v>
      </c>
      <c r="S36">
        <v>6.5</v>
      </c>
      <c r="T36" s="1">
        <f t="shared" si="7"/>
        <v>2E-3</v>
      </c>
      <c r="U36" s="1">
        <f t="shared" si="3"/>
        <v>1.9218932653865465E-3</v>
      </c>
      <c r="V36" s="1">
        <f t="shared" si="4"/>
        <v>3.2966841707267047E-3</v>
      </c>
      <c r="W36" s="1">
        <f t="shared" si="5"/>
        <v>3.1679375529130431E-3</v>
      </c>
    </row>
    <row r="37" spans="1:23">
      <c r="G37" s="13">
        <f t="shared" si="8"/>
        <v>6</v>
      </c>
      <c r="H37" s="1"/>
      <c r="I37" s="1">
        <f>Interpolate_Range($D$17:$D$31,$E$17:$E$31,G37)</f>
        <v>5.5250000000000004E-3</v>
      </c>
      <c r="J37" s="15">
        <f>(1-I37*K35)/(1+I37*0.5)</f>
        <v>0.96728250779909963</v>
      </c>
      <c r="K37" s="2">
        <f>K35+0.5*J37</f>
        <v>5.9217180454118354</v>
      </c>
      <c r="L37" s="1">
        <f>(J35/J37-1)/0.5</f>
        <v>1.1392697080779168E-2</v>
      </c>
      <c r="M37" s="1">
        <f t="shared" si="9"/>
        <v>1.1392697080778724E-2</v>
      </c>
      <c r="N37" s="1">
        <f t="shared" si="10"/>
        <v>5.5441129149258264E-3</v>
      </c>
      <c r="S37">
        <v>6.75</v>
      </c>
      <c r="T37" s="1">
        <f t="shared" si="7"/>
        <v>2E-3</v>
      </c>
      <c r="U37" s="1">
        <f t="shared" si="3"/>
        <v>1.9150277595925095E-3</v>
      </c>
      <c r="V37" s="1">
        <f t="shared" si="4"/>
        <v>3.5850685503890922E-3</v>
      </c>
      <c r="W37" s="1">
        <f t="shared" si="5"/>
        <v>3.4327528970185942E-3</v>
      </c>
    </row>
    <row r="38" spans="1:23">
      <c r="G38" s="13">
        <f t="shared" si="8"/>
        <v>6.25</v>
      </c>
      <c r="H38" s="1"/>
      <c r="J38" s="15">
        <f>Interpolate_Interval(G37,G39,J37,J39,G38)</f>
        <v>0.96411457024618641</v>
      </c>
      <c r="L38" s="1">
        <f>Interpolate_Interval(G37,G39,L37,L39,G38)</f>
        <v>1.2289716881843216E-2</v>
      </c>
      <c r="M38" s="1">
        <f t="shared" si="9"/>
        <v>1.3143407021032338E-2</v>
      </c>
      <c r="N38" s="1">
        <f t="shared" si="10"/>
        <v>5.847222820872475E-3</v>
      </c>
      <c r="S38">
        <v>7</v>
      </c>
      <c r="T38" s="1">
        <f t="shared" si="7"/>
        <v>2E-3</v>
      </c>
      <c r="U38" s="1">
        <f t="shared" si="3"/>
        <v>1.9081622537984722E-3</v>
      </c>
      <c r="V38" s="1">
        <f t="shared" si="4"/>
        <v>3.5979675105566322E-3</v>
      </c>
      <c r="W38" s="1">
        <f t="shared" si="5"/>
        <v>3.4327528970187109E-3</v>
      </c>
    </row>
    <row r="39" spans="1:23">
      <c r="A39" s="15"/>
      <c r="G39" s="13">
        <f t="shared" si="8"/>
        <v>6.5</v>
      </c>
      <c r="H39" s="1"/>
      <c r="I39" s="1">
        <f>Interpolate_Range($D$17:$D$31,$E$17:$E$31,G39)</f>
        <v>6.1000000000000004E-3</v>
      </c>
      <c r="J39" s="15">
        <f>(1-I39*K37)/(1+I39*0.5)</f>
        <v>0.96094663269327329</v>
      </c>
      <c r="K39" s="2">
        <f>K37+0.5*J39</f>
        <v>6.4021913617584723</v>
      </c>
      <c r="L39" s="1">
        <f>(J37/J39-1)/0.5</f>
        <v>1.3186736682907263E-2</v>
      </c>
      <c r="M39" s="1">
        <f t="shared" si="9"/>
        <v>1.3186736682906819E-2</v>
      </c>
      <c r="N39" s="1">
        <f t="shared" si="10"/>
        <v>6.1286776386760772E-3</v>
      </c>
      <c r="S39">
        <v>7.25</v>
      </c>
      <c r="T39" s="1">
        <f t="shared" si="7"/>
        <v>2E-3</v>
      </c>
      <c r="U39" s="1">
        <f t="shared" si="3"/>
        <v>1.9010496613612688E-3</v>
      </c>
      <c r="V39" s="1">
        <f t="shared" si="4"/>
        <v>3.741402753313805E-3</v>
      </c>
      <c r="W39" s="1">
        <f t="shared" si="5"/>
        <v>3.5562962186016641E-3</v>
      </c>
    </row>
    <row r="40" spans="1:23">
      <c r="A40" s="15"/>
      <c r="G40" s="13">
        <f t="shared" si="8"/>
        <v>6.75</v>
      </c>
      <c r="H40" s="1"/>
      <c r="J40" s="15">
        <f>Interpolate_Interval(G39,G41,J39,J41,G40)</f>
        <v>0.95751387979625469</v>
      </c>
      <c r="L40" s="1">
        <f>Interpolate_Interval(G39,G41,L39,L41,G40)</f>
        <v>1.3789303362566674E-2</v>
      </c>
      <c r="M40" s="1">
        <f t="shared" si="9"/>
        <v>1.4340274201556369E-2</v>
      </c>
      <c r="N40" s="1">
        <f t="shared" si="10"/>
        <v>6.4318610609834133E-3</v>
      </c>
      <c r="S40">
        <v>7.5</v>
      </c>
      <c r="T40" s="1">
        <f t="shared" si="7"/>
        <v>2E-3</v>
      </c>
      <c r="U40" s="1">
        <f t="shared" si="3"/>
        <v>1.8939370689240657E-3</v>
      </c>
      <c r="V40" s="1">
        <f t="shared" si="4"/>
        <v>3.7554534170682885E-3</v>
      </c>
      <c r="W40" s="1">
        <f t="shared" si="5"/>
        <v>3.5562962186015908E-3</v>
      </c>
    </row>
    <row r="41" spans="1:23">
      <c r="A41" s="15"/>
      <c r="G41" s="13">
        <f t="shared" si="8"/>
        <v>7</v>
      </c>
      <c r="H41" s="1"/>
      <c r="I41" s="1">
        <f>Interpolate_Range($D$17:$D$31,$E$17:$E$31,G41)</f>
        <v>6.6750000000000004E-3</v>
      </c>
      <c r="J41" s="15">
        <f>(1-I41*K39)/(1+I41*0.5)</f>
        <v>0.95408112689923608</v>
      </c>
      <c r="K41" s="2">
        <f>K39+0.5*J41</f>
        <v>6.8792319252080905</v>
      </c>
      <c r="L41" s="1">
        <f>(J39/J41-1)/0.5</f>
        <v>1.4391870042226085E-2</v>
      </c>
      <c r="M41" s="1">
        <f t="shared" si="9"/>
        <v>1.4391870042226529E-2</v>
      </c>
      <c r="N41" s="1">
        <f t="shared" si="10"/>
        <v>6.7152246387127777E-3</v>
      </c>
      <c r="S41">
        <v>7.75</v>
      </c>
      <c r="T41" s="1">
        <f t="shared" si="7"/>
        <v>2E-3</v>
      </c>
      <c r="U41" s="1">
        <f t="shared" si="3"/>
        <v>1.886344900552031E-3</v>
      </c>
      <c r="V41" s="1">
        <f t="shared" si="4"/>
        <v>4.0248039315677886E-3</v>
      </c>
      <c r="W41" s="1">
        <f t="shared" si="5"/>
        <v>3.7960841860173317E-3</v>
      </c>
    </row>
    <row r="42" spans="1:23">
      <c r="A42" s="15"/>
      <c r="G42" s="13">
        <f t="shared" si="8"/>
        <v>7.25</v>
      </c>
      <c r="H42" s="1"/>
      <c r="J42" s="15">
        <f>Interpolate_Interval(G41,G43,J41,J43,G42)</f>
        <v>0.95052483068063442</v>
      </c>
      <c r="L42" s="1">
        <f>Interpolate_Interval(G41,G43,L41,L43,G42)</f>
        <v>1.4706841855249619E-2</v>
      </c>
      <c r="M42" s="1">
        <f t="shared" si="9"/>
        <v>1.496561101325522E-2</v>
      </c>
      <c r="N42" s="1">
        <f t="shared" si="10"/>
        <v>6.9987577359565054E-3</v>
      </c>
      <c r="S42">
        <v>8</v>
      </c>
      <c r="T42" s="1">
        <f t="shared" si="7"/>
        <v>2E-3</v>
      </c>
      <c r="U42" s="1">
        <f t="shared" si="3"/>
        <v>1.8787527321799961E-3</v>
      </c>
      <c r="V42" s="1">
        <f t="shared" si="4"/>
        <v>4.041068439711859E-3</v>
      </c>
      <c r="W42" s="1">
        <f t="shared" si="5"/>
        <v>3.7960841860175047E-3</v>
      </c>
    </row>
    <row r="43" spans="1:23">
      <c r="A43" s="15"/>
      <c r="G43" s="13">
        <f t="shared" si="8"/>
        <v>7.5</v>
      </c>
      <c r="H43" s="1"/>
      <c r="I43" s="1">
        <f>Interpolate_Range($D$17:$D$31,$E$17:$E$31,G43)</f>
        <v>7.2125000000000002E-3</v>
      </c>
      <c r="J43" s="15">
        <f>(1-I43*K41)/(1+I43*0.5)</f>
        <v>0.94696853446203288</v>
      </c>
      <c r="K43" s="2">
        <f>K41+0.5*J43</f>
        <v>7.3527161924391073</v>
      </c>
      <c r="L43" s="1">
        <f>(J41/J43-1)/0.5</f>
        <v>1.5021813668273154E-2</v>
      </c>
      <c r="M43" s="1">
        <f t="shared" si="9"/>
        <v>1.5021813668273154E-2</v>
      </c>
      <c r="N43" s="1">
        <f t="shared" si="10"/>
        <v>7.2652550523888684E-3</v>
      </c>
      <c r="S43">
        <v>8.25</v>
      </c>
      <c r="T43" s="1">
        <f t="shared" si="7"/>
        <v>2E-3</v>
      </c>
      <c r="U43" s="1">
        <f t="shared" si="3"/>
        <v>1.8706890628410115E-3</v>
      </c>
      <c r="V43" s="1">
        <f t="shared" si="4"/>
        <v>4.3105342834144356E-3</v>
      </c>
      <c r="W43" s="1">
        <f t="shared" si="5"/>
        <v>4.0318346694923008E-3</v>
      </c>
    </row>
    <row r="44" spans="1:23">
      <c r="A44" s="15"/>
      <c r="G44" s="13">
        <f t="shared" si="8"/>
        <v>7.75</v>
      </c>
      <c r="H44" s="1"/>
      <c r="J44" s="15">
        <f>Interpolate_Interval(G43,G45,J43,J45,G44)</f>
        <v>0.94317245027601548</v>
      </c>
      <c r="L44" s="1">
        <f>Interpolate_Interval(G43,G45,L43,L45,G44)</f>
        <v>1.5593043713560073E-2</v>
      </c>
      <c r="M44" s="1">
        <f t="shared" si="9"/>
        <v>1.6099215726271154E-2</v>
      </c>
      <c r="N44" s="1">
        <f t="shared" si="10"/>
        <v>7.5491792217304652E-3</v>
      </c>
      <c r="S44">
        <v>8.5</v>
      </c>
      <c r="T44" s="1">
        <f t="shared" si="7"/>
        <v>2E-3</v>
      </c>
      <c r="U44" s="1">
        <f t="shared" si="3"/>
        <v>1.8626253935020269E-3</v>
      </c>
      <c r="V44" s="1">
        <f t="shared" si="4"/>
        <v>4.3291954287296708E-3</v>
      </c>
      <c r="W44" s="1">
        <f t="shared" si="5"/>
        <v>4.0318346694923892E-3</v>
      </c>
    </row>
    <row r="45" spans="1:23">
      <c r="A45" s="15"/>
      <c r="G45" s="13">
        <f t="shared" si="8"/>
        <v>8</v>
      </c>
      <c r="H45" s="1"/>
      <c r="I45" s="1">
        <f>Interpolate_Range($D$17:$D$31,$E$17:$E$31,G45)</f>
        <v>7.7499999999999999E-3</v>
      </c>
      <c r="J45" s="15">
        <f>(1-I45*K43)/(1+I45*0.5)</f>
        <v>0.93937636608999808</v>
      </c>
      <c r="K45" s="2">
        <f>K43+0.5*J45</f>
        <v>7.8224043754841066</v>
      </c>
      <c r="L45" s="1">
        <f>(J43/J45-1)/0.5</f>
        <v>1.6164273758846992E-2</v>
      </c>
      <c r="M45" s="1">
        <f t="shared" si="9"/>
        <v>1.6164273758847436E-2</v>
      </c>
      <c r="N45" s="1">
        <f t="shared" si="10"/>
        <v>7.8173830277249046E-3</v>
      </c>
      <c r="S45">
        <v>8.75</v>
      </c>
      <c r="T45" s="1">
        <f t="shared" si="7"/>
        <v>2E-3</v>
      </c>
      <c r="U45" s="1">
        <f t="shared" si="3"/>
        <v>1.854098767326538E-3</v>
      </c>
      <c r="V45" s="1">
        <f t="shared" si="4"/>
        <v>4.5987982548436612E-3</v>
      </c>
      <c r="W45" s="1">
        <f t="shared" si="5"/>
        <v>4.2633130877445333E-3</v>
      </c>
    </row>
    <row r="46" spans="1:23">
      <c r="A46" s="15"/>
      <c r="G46" s="13">
        <f t="shared" si="8"/>
        <v>8.25</v>
      </c>
      <c r="H46" s="1"/>
      <c r="J46" s="15">
        <f>Interpolate_Interval(G45,G47,J45,J47,G46)</f>
        <v>0.93534453142050578</v>
      </c>
      <c r="L46" s="1">
        <f>(J44/J46-1)/0.5</f>
        <v>1.6738043774354505E-2</v>
      </c>
      <c r="M46" s="1">
        <f t="shared" si="9"/>
        <v>1.7242137133657742E-2</v>
      </c>
      <c r="N46" s="1">
        <f t="shared" si="10"/>
        <v>8.1018587592588051E-3</v>
      </c>
      <c r="S46">
        <v>9</v>
      </c>
      <c r="T46" s="1">
        <f t="shared" si="7"/>
        <v>2E-3</v>
      </c>
      <c r="U46" s="1">
        <f t="shared" si="3"/>
        <v>1.8455721411510491E-3</v>
      </c>
      <c r="V46" s="1">
        <f t="shared" si="4"/>
        <v>4.6200449093096729E-3</v>
      </c>
      <c r="W46" s="1">
        <f t="shared" si="5"/>
        <v>4.2633130877443286E-3</v>
      </c>
    </row>
    <row r="47" spans="1:23">
      <c r="A47" s="15"/>
      <c r="G47" s="13">
        <f t="shared" si="8"/>
        <v>8.5</v>
      </c>
      <c r="H47" s="1"/>
      <c r="I47" s="1">
        <f>Interpolate_Range($D$17:$D$31,$E$17:$E$31,G47)</f>
        <v>8.2874999999999997E-3</v>
      </c>
      <c r="J47" s="15">
        <f>(1-I47*K45)/(1+I47*0.5)</f>
        <v>0.93131269675101347</v>
      </c>
      <c r="K47" s="2">
        <f>K45+0.5*J47</f>
        <v>8.2880607238596138</v>
      </c>
      <c r="L47" s="1">
        <f>Interpolate_Interval(G46,G48,L46,L48,G47)</f>
        <v>1.7316924667132971E-2</v>
      </c>
      <c r="M47" s="1">
        <f t="shared" si="9"/>
        <v>1.7316781714918683E-2</v>
      </c>
      <c r="N47" s="1">
        <f t="shared" si="10"/>
        <v>8.3717866099297638E-3</v>
      </c>
      <c r="S47">
        <v>9.25</v>
      </c>
      <c r="T47" s="1">
        <f t="shared" si="7"/>
        <v>2E-3</v>
      </c>
      <c r="U47" s="1">
        <f t="shared" si="3"/>
        <v>1.8368206471700104E-3</v>
      </c>
      <c r="V47" s="1">
        <f t="shared" si="4"/>
        <v>4.7644793162153753E-3</v>
      </c>
      <c r="W47" s="1">
        <f t="shared" si="5"/>
        <v>4.3757469905194267E-3</v>
      </c>
    </row>
    <row r="48" spans="1:23">
      <c r="A48" s="15"/>
      <c r="G48" s="13">
        <f t="shared" si="8"/>
        <v>8.75</v>
      </c>
      <c r="H48" s="1"/>
      <c r="J48" s="15">
        <f>Interpolate_Interval(G47,G49,J47,J49,G48)</f>
        <v>0.92704938366326894</v>
      </c>
      <c r="L48" s="1">
        <f>(J46/J48-1)/0.5</f>
        <v>1.7895805559911437E-2</v>
      </c>
      <c r="M48" s="1">
        <f t="shared" si="9"/>
        <v>1.8395193019374645E-2</v>
      </c>
      <c r="N48" s="1">
        <f t="shared" si="10"/>
        <v>8.6569648314347037E-3</v>
      </c>
      <c r="S48">
        <v>9.5</v>
      </c>
      <c r="T48" s="1">
        <f t="shared" si="7"/>
        <v>2E-3</v>
      </c>
      <c r="U48" s="1">
        <f t="shared" si="3"/>
        <v>1.828069153188972E-3</v>
      </c>
      <c r="V48" s="1">
        <f t="shared" si="4"/>
        <v>4.7872882520729743E-3</v>
      </c>
      <c r="W48" s="1">
        <f t="shared" si="5"/>
        <v>4.3757469905192775E-3</v>
      </c>
    </row>
    <row r="49" spans="1:23">
      <c r="A49" s="15"/>
      <c r="G49" s="13">
        <f t="shared" si="8"/>
        <v>9</v>
      </c>
      <c r="H49" s="1"/>
      <c r="I49" s="1">
        <f>Interpolate_Range($D$17:$D$31,$E$17:$E$31,G49)</f>
        <v>8.8249999999999995E-3</v>
      </c>
      <c r="J49" s="15">
        <f>(1-I49*K47)/(1+I49*0.5)</f>
        <v>0.92278607057552453</v>
      </c>
      <c r="K49" s="2">
        <f>K47+0.5*J49</f>
        <v>8.7494537591473769</v>
      </c>
      <c r="L49" s="1">
        <f>Interpolate_Interval(G48,G50,L48,L50,G49)</f>
        <v>1.835443911389123E-2</v>
      </c>
      <c r="M49" s="1">
        <f t="shared" si="9"/>
        <v>1.8480179637238692E-2</v>
      </c>
      <c r="N49" s="1">
        <f t="shared" si="10"/>
        <v>8.9286497260816743E-3</v>
      </c>
      <c r="S49">
        <v>9.75</v>
      </c>
      <c r="T49" s="1">
        <f t="shared" si="7"/>
        <v>2E-3</v>
      </c>
      <c r="U49" s="1">
        <f t="shared" si="3"/>
        <v>1.8188944021363628E-3</v>
      </c>
      <c r="V49" s="1">
        <f t="shared" si="4"/>
        <v>5.0441361751585312E-3</v>
      </c>
      <c r="W49" s="1">
        <f t="shared" si="5"/>
        <v>4.5873755263046876E-3</v>
      </c>
    </row>
    <row r="50" spans="1:23">
      <c r="A50" s="15"/>
      <c r="G50" s="13">
        <f t="shared" si="8"/>
        <v>9.25</v>
      </c>
      <c r="H50" s="1"/>
      <c r="J50" s="15">
        <f>Interpolate_Interval(G49,G51,J49,J51,G50)</f>
        <v>0.91841032358500518</v>
      </c>
      <c r="L50" s="1">
        <f>(J48/J50-1)/0.5</f>
        <v>1.8813072667871023E-2</v>
      </c>
      <c r="M50" s="1">
        <f t="shared" si="9"/>
        <v>1.9057917264861501E-2</v>
      </c>
      <c r="N50" s="1">
        <f t="shared" si="10"/>
        <v>9.2011905559655563E-3</v>
      </c>
      <c r="S50">
        <v>10</v>
      </c>
      <c r="T50" s="1">
        <f t="shared" si="7"/>
        <v>2E-3</v>
      </c>
      <c r="U50" s="1">
        <f t="shared" si="3"/>
        <v>1.8097196510837535E-3</v>
      </c>
      <c r="V50" s="1">
        <f t="shared" si="4"/>
        <v>5.069708475075041E-3</v>
      </c>
      <c r="W50" s="1">
        <f t="shared" si="5"/>
        <v>4.5873755263045757E-3</v>
      </c>
    </row>
    <row r="51" spans="1:23">
      <c r="A51" s="15"/>
      <c r="G51" s="13">
        <f t="shared" si="8"/>
        <v>9.5</v>
      </c>
      <c r="H51" s="1"/>
      <c r="I51" s="1">
        <f>Interpolate_Range($D$17:$D$31,$E$17:$E$31,G51)</f>
        <v>9.3374999999999986E-3</v>
      </c>
      <c r="J51" s="15">
        <f>(1-I51*K49)/(1+I51*0.5)</f>
        <v>0.91403457659448595</v>
      </c>
      <c r="K51" s="2">
        <f>K49+0.5*J51</f>
        <v>9.2064710474446194</v>
      </c>
      <c r="L51" s="1">
        <f>Interpolate_Interval(G50,G52,L50,L52,G51)</f>
        <v>1.9262108495020192E-2</v>
      </c>
      <c r="M51" s="1">
        <f t="shared" si="9"/>
        <v>1.9149153008291897E-2</v>
      </c>
      <c r="N51" s="1">
        <f t="shared" si="10"/>
        <v>9.4617766601512755E-3</v>
      </c>
    </row>
    <row r="52" spans="1:23">
      <c r="A52" s="15"/>
      <c r="G52" s="13">
        <f t="shared" si="8"/>
        <v>9.75</v>
      </c>
      <c r="H52" s="1"/>
      <c r="J52" s="15">
        <f>Interpolate_Interval(G51,G53,J51,J53,G52)</f>
        <v>0.90944720106818133</v>
      </c>
      <c r="L52" s="1">
        <f>(J50/J52-1)/0.5</f>
        <v>1.9711144322169361E-2</v>
      </c>
      <c r="M52" s="1">
        <f t="shared" si="9"/>
        <v>2.0176544700634125E-2</v>
      </c>
      <c r="N52" s="1">
        <f t="shared" si="10"/>
        <v>9.7352138882429076E-3</v>
      </c>
    </row>
    <row r="53" spans="1:23">
      <c r="A53" s="15"/>
      <c r="G53" s="13">
        <f t="shared" si="8"/>
        <v>10</v>
      </c>
      <c r="H53" s="1"/>
      <c r="I53" s="1">
        <f>Interpolate_Range($D$17:$D$31,$E$17:$E$31,G53)</f>
        <v>9.8499999999999994E-3</v>
      </c>
      <c r="J53" s="15">
        <f>(1-I53*K51)/(1+I53*0.5)</f>
        <v>0.90485982554187672</v>
      </c>
      <c r="K53" s="2">
        <f>K51+0.5*J53</f>
        <v>9.6589009602155578</v>
      </c>
      <c r="L53" s="1">
        <f>Interpolate_Interval(G52,G54,L52,L54,G53)</f>
        <v>2.0102679995384509E-2</v>
      </c>
      <c r="M53" s="1">
        <f t="shared" si="9"/>
        <v>2.0278833900300164E-2</v>
      </c>
      <c r="N53" s="1">
        <f t="shared" si="10"/>
        <v>9.9975236182739628E-3</v>
      </c>
    </row>
    <row r="54" spans="1:23">
      <c r="G54" s="13">
        <f t="shared" si="8"/>
        <v>10.25</v>
      </c>
      <c r="H54" s="1"/>
      <c r="J54" s="15">
        <f>Interpolate_Interval(G53,G55,J53,J55,G54)</f>
        <v>0.90022252379201906</v>
      </c>
      <c r="L54" s="1">
        <f>(J52/J54-1)/0.5</f>
        <v>2.0494215668599658E-2</v>
      </c>
      <c r="M54" s="1">
        <f t="shared" si="9"/>
        <v>2.0605135407294028E-2</v>
      </c>
      <c r="N54" s="1">
        <f t="shared" si="10"/>
        <v>1.0254955859603846E-2</v>
      </c>
    </row>
    <row r="55" spans="1:23">
      <c r="G55" s="13">
        <f t="shared" si="8"/>
        <v>10.5</v>
      </c>
      <c r="H55" s="1"/>
      <c r="I55" s="1">
        <f>Interpolate_Range($D$17:$D$31,$E$17:$E$31,G55)</f>
        <v>1.033125E-2</v>
      </c>
      <c r="J55" s="15">
        <f>(1-I55*K53)/(1+I55*0.5)</f>
        <v>0.8955852220421614</v>
      </c>
      <c r="K55" s="2">
        <f>K53+0.5*J55</f>
        <v>10.106693571236638</v>
      </c>
      <c r="L55" s="1">
        <f>(J53/J55-1)/0.5</f>
        <v>2.0711827911958913E-2</v>
      </c>
      <c r="M55" s="1">
        <f t="shared" si="9"/>
        <v>2.0711827911958913E-2</v>
      </c>
      <c r="N55" s="1">
        <f t="shared" si="10"/>
        <v>1.0502656668241891E-2</v>
      </c>
    </row>
    <row r="56" spans="1:23">
      <c r="G56" s="13">
        <f t="shared" si="8"/>
        <v>10.75</v>
      </c>
      <c r="H56" s="1"/>
      <c r="J56" s="15">
        <f>Interpolate_Interval(G55,G57,J55,J57,G56)</f>
        <v>0.89075851448597554</v>
      </c>
      <c r="L56" s="1">
        <f>Interpolate_Interval(G55,G57,L55,L57,G56)</f>
        <v>2.1252255002617959E-2</v>
      </c>
      <c r="M56" s="1">
        <f t="shared" si="9"/>
        <v>2.1674595202589408E-2</v>
      </c>
      <c r="N56" s="1">
        <f t="shared" si="10"/>
        <v>1.0761108442684275E-2</v>
      </c>
    </row>
    <row r="57" spans="1:23">
      <c r="G57" s="13">
        <f t="shared" si="8"/>
        <v>11</v>
      </c>
      <c r="H57" s="1"/>
      <c r="I57" s="1">
        <f>Interpolate_Range($D$17:$D$31,$E$17:$E$31,G57)</f>
        <v>1.0812499999999999E-2</v>
      </c>
      <c r="J57" s="15">
        <f>(1-I57*K55)/(1+I57*0.5)</f>
        <v>0.88593180692978968</v>
      </c>
      <c r="K57" s="2">
        <f>K55+0.5*J57</f>
        <v>10.549659474701533</v>
      </c>
      <c r="L57" s="1">
        <f>(J55/J57-1)/0.5</f>
        <v>2.1792682093277005E-2</v>
      </c>
      <c r="M57" s="1">
        <f t="shared" si="9"/>
        <v>2.1792682093277449E-2</v>
      </c>
      <c r="N57" s="1">
        <f t="shared" si="10"/>
        <v>1.1010481698823781E-2</v>
      </c>
    </row>
    <row r="58" spans="1:23">
      <c r="G58" s="13">
        <f t="shared" si="8"/>
        <v>11.25</v>
      </c>
      <c r="H58" s="1"/>
      <c r="J58" s="15">
        <f>Interpolate_Interval(G57,G59,J57,J59,G58)</f>
        <v>0.88092022182718754</v>
      </c>
      <c r="L58" s="1">
        <f>Interpolate_Interval(G57,G59,L57,L59,G58)</f>
        <v>2.2339509643177768E-2</v>
      </c>
      <c r="M58" s="1">
        <f t="shared" si="9"/>
        <v>2.275613604240867E-2</v>
      </c>
      <c r="N58" s="1">
        <f t="shared" si="10"/>
        <v>1.1270063222967834E-2</v>
      </c>
    </row>
    <row r="59" spans="1:23">
      <c r="G59" s="13">
        <f t="shared" si="8"/>
        <v>11.5</v>
      </c>
      <c r="H59" s="1"/>
      <c r="I59" s="1">
        <f>Interpolate_Range($D$17:$D$31,$E$17:$E$31,G59)</f>
        <v>1.129375E-2</v>
      </c>
      <c r="J59" s="15">
        <f>(1-I59*K57)/(1+I59*0.5)</f>
        <v>0.87590863672458541</v>
      </c>
      <c r="K59" s="2">
        <f>K57+0.5*J59</f>
        <v>10.987613793063826</v>
      </c>
      <c r="L59" s="1">
        <f>(J57/J59-1)/0.5</f>
        <v>2.2886337193078532E-2</v>
      </c>
      <c r="M59" s="1">
        <f t="shared" si="9"/>
        <v>2.2886337193078532E-2</v>
      </c>
      <c r="N59" s="1">
        <f t="shared" si="10"/>
        <v>1.1521172996647813E-2</v>
      </c>
    </row>
    <row r="60" spans="1:23">
      <c r="G60" s="13">
        <f t="shared" si="8"/>
        <v>11.75</v>
      </c>
      <c r="H60" s="1"/>
      <c r="J60" s="15">
        <f>Interpolate_Interval(G59,G61,J59,J61,G60)</f>
        <v>0.87071685273451305</v>
      </c>
      <c r="L60" s="1">
        <f>Interpolate_Interval(G59,G61,L59,L61,G60)</f>
        <v>2.344001115501948E-2</v>
      </c>
      <c r="M60" s="1">
        <f t="shared" si="9"/>
        <v>2.3850619056091205E-2</v>
      </c>
      <c r="N60" s="1">
        <f t="shared" si="10"/>
        <v>1.1781994719061176E-2</v>
      </c>
    </row>
    <row r="61" spans="1:23">
      <c r="G61" s="13">
        <f t="shared" si="8"/>
        <v>12</v>
      </c>
      <c r="H61" s="1"/>
      <c r="I61" s="1">
        <f>Interpolate_Range($D$17:$D$31,$E$17:$E$31,G61)</f>
        <v>1.1775000000000001E-2</v>
      </c>
      <c r="J61" s="15">
        <f>(1-I61*K59)/(1+I61*0.5)</f>
        <v>0.86552506874444057</v>
      </c>
      <c r="K61" s="2">
        <f>K59+0.5*J61</f>
        <v>11.420376327436045</v>
      </c>
      <c r="L61" s="1">
        <f>(J59/J61-1)/0.5</f>
        <v>2.3993685116960428E-2</v>
      </c>
      <c r="M61" s="1">
        <f t="shared" si="9"/>
        <v>2.3993685116960428E-2</v>
      </c>
      <c r="N61" s="1">
        <f t="shared" si="10"/>
        <v>1.203491169336289E-2</v>
      </c>
    </row>
    <row r="62" spans="1:23">
      <c r="G62" s="13">
        <f t="shared" si="8"/>
        <v>12.25</v>
      </c>
      <c r="H62" s="1"/>
      <c r="J62" s="15">
        <f>Interpolate_Interval(G61,G63,J61,J63,G62)</f>
        <v>0.86034190516678566</v>
      </c>
      <c r="L62" s="1">
        <f>Interpolate_Interval(G61,G63,L61,L63,G62)</f>
        <v>2.4118951181314685E-2</v>
      </c>
      <c r="M62" s="1">
        <f t="shared" si="9"/>
        <v>2.4098157007243159E-2</v>
      </c>
      <c r="N62" s="1">
        <f t="shared" si="10"/>
        <v>1.2279624864885255E-2</v>
      </c>
    </row>
    <row r="63" spans="1:23">
      <c r="G63" s="13">
        <f t="shared" si="8"/>
        <v>12.5</v>
      </c>
      <c r="H63" s="1"/>
      <c r="I63" s="1">
        <f>Interpolate_Range($D$17:$D$31,$E$17:$E$31,G63)</f>
        <v>1.2225E-2</v>
      </c>
      <c r="J63" s="15">
        <f>(1-I63*K61)/(1+I63*0.5)</f>
        <v>0.85515874158913074</v>
      </c>
      <c r="K63" s="2">
        <f>K61+0.5*J63</f>
        <v>11.84795569823061</v>
      </c>
      <c r="L63" s="1">
        <f>(J61/J63-1)/0.5</f>
        <v>2.4244217245668942E-2</v>
      </c>
      <c r="M63" s="1">
        <f t="shared" si="9"/>
        <v>2.4244217245668942E-2</v>
      </c>
      <c r="N63" s="1">
        <f t="shared" si="10"/>
        <v>1.2517453168097024E-2</v>
      </c>
    </row>
    <row r="64" spans="1:23">
      <c r="G64" s="13">
        <f t="shared" si="8"/>
        <v>12.75</v>
      </c>
      <c r="H64" s="1"/>
      <c r="J64" s="15">
        <f>Interpolate_Interval(G63,G65,J63,J65,G64)</f>
        <v>0.84981702045232277</v>
      </c>
      <c r="L64" s="1">
        <f>(J62/J64-1)/0.5</f>
        <v>2.4769766811356675E-2</v>
      </c>
      <c r="M64" s="1">
        <f t="shared" si="9"/>
        <v>2.5142923750643753E-2</v>
      </c>
      <c r="N64" s="1">
        <f t="shared" si="10"/>
        <v>1.276346844923844E-2</v>
      </c>
    </row>
    <row r="65" spans="7:14">
      <c r="G65" s="13">
        <f t="shared" si="8"/>
        <v>13</v>
      </c>
      <c r="H65" s="1"/>
      <c r="I65" s="1">
        <f>Interpolate_Range($D$17:$D$31,$E$17:$E$31,G65)</f>
        <v>1.2675000000000001E-2</v>
      </c>
      <c r="J65" s="15">
        <f>(1-I65*K63)/(1+I65*0.5)</f>
        <v>0.84447529931551479</v>
      </c>
      <c r="K65" s="2">
        <f>K63+0.5*J65</f>
        <v>12.270193347888368</v>
      </c>
      <c r="L65" s="1">
        <f>Interpolate_Interval(G64,G66,L64,L66,G65)</f>
        <v>2.5302221869096586E-2</v>
      </c>
      <c r="M65" s="1">
        <f t="shared" si="9"/>
        <v>2.530196509542737E-2</v>
      </c>
      <c r="N65" s="1">
        <f t="shared" si="10"/>
        <v>1.3003060926795772E-2</v>
      </c>
    </row>
    <row r="66" spans="7:14">
      <c r="G66" s="13">
        <f t="shared" si="8"/>
        <v>13.25</v>
      </c>
      <c r="H66" s="1"/>
      <c r="J66" s="15">
        <f>Interpolate_Interval(G65,G67,J65,J67,G66)</f>
        <v>0.83897963652343399</v>
      </c>
      <c r="L66" s="1">
        <f>(J64/J66-1)/0.5</f>
        <v>2.5834676926836497E-2</v>
      </c>
      <c r="M66" s="1">
        <f t="shared" si="9"/>
        <v>2.6201650446981972E-2</v>
      </c>
      <c r="N66" s="1">
        <f t="shared" si="10"/>
        <v>1.3250478787749953E-2</v>
      </c>
    </row>
    <row r="67" spans="7:14">
      <c r="G67" s="13">
        <f t="shared" si="8"/>
        <v>13.5</v>
      </c>
      <c r="H67" s="1"/>
      <c r="I67" s="1">
        <f>Interpolate_Range($D$17:$D$31,$E$17:$E$31,G67)</f>
        <v>1.3125000000000001E-2</v>
      </c>
      <c r="J67" s="15">
        <f>(1-I67*K65)/(1+I67*0.5)</f>
        <v>0.83348397373135319</v>
      </c>
      <c r="K67" s="2">
        <f>K65+0.5*J67</f>
        <v>12.686935334754045</v>
      </c>
      <c r="L67" s="1">
        <f>Interpolate_Interval(G66,G68,L66,L68,G67)</f>
        <v>2.6374717987143415E-2</v>
      </c>
      <c r="M67" s="1">
        <f t="shared" si="9"/>
        <v>2.6374413739367775E-2</v>
      </c>
      <c r="N67" s="1">
        <f t="shared" si="10"/>
        <v>1.3491911455776542E-2</v>
      </c>
    </row>
    <row r="68" spans="7:14">
      <c r="G68" s="13">
        <f t="shared" si="8"/>
        <v>13.75</v>
      </c>
      <c r="H68" s="1"/>
      <c r="J68" s="15">
        <f>Interpolate_Interval(G67,G69,J67,J69,G68)</f>
        <v>0.82783909168209213</v>
      </c>
      <c r="L68" s="1">
        <f>(J66/J68-1)/0.5</f>
        <v>2.6914759047450332E-2</v>
      </c>
      <c r="M68" s="1">
        <f t="shared" si="9"/>
        <v>2.7275262093705344E-2</v>
      </c>
      <c r="N68" s="1">
        <f t="shared" ref="N68:N99" si="11">-LN(J68)/G68</f>
        <v>1.3740834705410978E-2</v>
      </c>
    </row>
    <row r="69" spans="7:14">
      <c r="G69" s="13">
        <f t="shared" si="8"/>
        <v>14</v>
      </c>
      <c r="H69" s="1"/>
      <c r="I69" s="1">
        <f>Interpolate_Range($D$17:$D$31,$E$17:$E$31,G69)</f>
        <v>1.3575E-2</v>
      </c>
      <c r="J69" s="15">
        <f>(1-I69*K67)/(1+I69*0.5)</f>
        <v>0.82219420963283107</v>
      </c>
      <c r="K69" s="2">
        <f>K67+0.5*J69</f>
        <v>13.09803243957046</v>
      </c>
      <c r="L69" s="1">
        <f>Interpolate_Interval(G68,G70,L68,L70,G69)</f>
        <v>2.7462881014098217E-2</v>
      </c>
      <c r="M69" s="1">
        <f t="shared" si="9"/>
        <v>2.7462523978522668E-2</v>
      </c>
      <c r="N69" s="1">
        <f t="shared" si="11"/>
        <v>1.3984189076567502E-2</v>
      </c>
    </row>
    <row r="70" spans="7:14">
      <c r="G70" s="13">
        <f t="shared" si="8"/>
        <v>14.25</v>
      </c>
      <c r="H70" s="1"/>
      <c r="J70" s="15">
        <f>Interpolate_Interval(G69,G71,J69,J71,G70)</f>
        <v>0.81640493120140301</v>
      </c>
      <c r="L70" s="1">
        <f>(J68/J70-1)/0.5</f>
        <v>2.8011002980746103E-2</v>
      </c>
      <c r="M70" s="1">
        <f t="shared" si="9"/>
        <v>2.8364740143882905E-2</v>
      </c>
      <c r="N70" s="1">
        <f t="shared" si="11"/>
        <v>1.423472336046221E-2</v>
      </c>
    </row>
    <row r="71" spans="7:14">
      <c r="G71" s="13">
        <f t="shared" si="8"/>
        <v>14.5</v>
      </c>
      <c r="H71" s="1"/>
      <c r="I71" s="1">
        <f>Interpolate_Range($D$17:$D$31,$E$17:$E$31,G71)</f>
        <v>1.4024999999999999E-2</v>
      </c>
      <c r="J71" s="15">
        <f>(1-I71*K69)/(1+I71*0.5)</f>
        <v>0.81061565276997483</v>
      </c>
      <c r="K71" s="2">
        <f>K69+0.5*J71</f>
        <v>13.503340265955448</v>
      </c>
      <c r="L71" s="1">
        <f>Interpolate_Interval(G70,G72,L70,L72,G71)</f>
        <v>2.8567731932696017E-2</v>
      </c>
      <c r="M71" s="1">
        <f t="shared" si="9"/>
        <v>2.856731626953124E-2</v>
      </c>
      <c r="N71" s="1">
        <f t="shared" si="11"/>
        <v>1.4480086542811767E-2</v>
      </c>
    </row>
    <row r="72" spans="7:14">
      <c r="G72" s="13">
        <f t="shared" si="8"/>
        <v>14.75</v>
      </c>
      <c r="H72" s="1"/>
      <c r="J72" s="15">
        <f>Interpolate_Interval(G71,G73,J71,J73,G72)</f>
        <v>0.80468689519958914</v>
      </c>
      <c r="L72" s="1">
        <f>(J70/J72-1)/0.5</f>
        <v>2.9124460884645931E-2</v>
      </c>
      <c r="M72" s="1">
        <f t="shared" si="9"/>
        <v>2.947112774299665E-2</v>
      </c>
      <c r="N72" s="1">
        <f t="shared" si="11"/>
        <v>1.4732340833009555E-2</v>
      </c>
    </row>
    <row r="73" spans="7:14">
      <c r="G73" s="13">
        <f t="shared" si="8"/>
        <v>15</v>
      </c>
      <c r="H73" s="1"/>
      <c r="I73" s="1">
        <f>Interpolate_Range($D$17:$D$31,$E$17:$E$31,G73)</f>
        <v>1.4475E-2</v>
      </c>
      <c r="J73" s="15">
        <f>(1-I73*K71)/(1+I73*0.5)</f>
        <v>0.79875813762920356</v>
      </c>
      <c r="K73" s="2">
        <f>K71+0.5*J73</f>
        <v>13.902719334770049</v>
      </c>
      <c r="L73" s="1">
        <f>(J71/J73-1)/0.5</f>
        <v>2.9689876277105842E-2</v>
      </c>
      <c r="M73" s="1">
        <f t="shared" si="9"/>
        <v>2.9689876277105398E-2</v>
      </c>
      <c r="N73" s="1">
        <f t="shared" si="11"/>
        <v>1.4979805692473662E-2</v>
      </c>
    </row>
    <row r="74" spans="7:14">
      <c r="G74" s="13">
        <f t="shared" si="8"/>
        <v>15.25</v>
      </c>
      <c r="H74" s="1"/>
      <c r="J74" s="15">
        <f>Interpolate_Interval(G73,G75,J73,J75,G74)</f>
        <v>0.79374150587300429</v>
      </c>
      <c r="L74" s="1">
        <f>Interpolate_Interval(G73,G75,L73,L75,G74)</f>
        <v>2.7565804237309477E-2</v>
      </c>
      <c r="M74" s="1">
        <f t="shared" si="9"/>
        <v>2.5280934506160868E-2</v>
      </c>
      <c r="N74" s="1">
        <f t="shared" si="11"/>
        <v>1.5147372465236154E-2</v>
      </c>
    </row>
    <row r="75" spans="7:14">
      <c r="G75" s="13">
        <f t="shared" si="8"/>
        <v>15.5</v>
      </c>
      <c r="H75" s="1"/>
      <c r="I75" s="1">
        <f>Interpolate_Range($D$17:$D$31,$E$17:$E$31,G75)</f>
        <v>1.4777500000000001E-2</v>
      </c>
      <c r="J75" s="15">
        <f>(1-I75*K73)/(1+I75*0.5)</f>
        <v>0.78872487411680503</v>
      </c>
      <c r="K75" s="2">
        <f>K73+0.5*J75</f>
        <v>14.297081771828452</v>
      </c>
      <c r="L75" s="1">
        <f>(J73/J75-1)/0.5</f>
        <v>2.5441732197513112E-2</v>
      </c>
      <c r="M75" s="1">
        <f t="shared" si="9"/>
        <v>2.5441732197513112E-2</v>
      </c>
      <c r="N75" s="1">
        <f t="shared" si="11"/>
        <v>1.5312111029259915E-2</v>
      </c>
    </row>
    <row r="76" spans="7:14">
      <c r="G76" s="13">
        <f t="shared" si="8"/>
        <v>15.75</v>
      </c>
      <c r="H76" s="1"/>
      <c r="J76" s="15">
        <f>Interpolate_Interval(G75,G77,J75,J77,G76)</f>
        <v>0.78362738280786504</v>
      </c>
      <c r="L76" s="1">
        <f>Interpolate_Interval(G75,G77,L75,L77,G76)</f>
        <v>2.5816037818176651E-2</v>
      </c>
      <c r="M76" s="1">
        <f t="shared" si="9"/>
        <v>2.6019975415738195E-2</v>
      </c>
      <c r="N76" s="1">
        <f t="shared" si="11"/>
        <v>1.5480739596345451E-2</v>
      </c>
    </row>
    <row r="77" spans="7:14">
      <c r="G77" s="13">
        <f>G76+0.25</f>
        <v>16</v>
      </c>
      <c r="I77" s="1">
        <f>Interpolate_Range($D$17:$D$31,$E$17:$E$31,G77)</f>
        <v>1.508E-2</v>
      </c>
      <c r="J77" s="15">
        <f>(1-I77*K75)/(1+I77*0.5)</f>
        <v>0.77852989149892504</v>
      </c>
      <c r="K77" s="2">
        <f>K75+0.5*J77</f>
        <v>14.686346717577914</v>
      </c>
      <c r="L77" s="1">
        <f>(J75/J77-1)/0.5</f>
        <v>2.6190343438840191E-2</v>
      </c>
      <c r="M77" s="1">
        <f t="shared" si="9"/>
        <v>2.6190343438840635E-2</v>
      </c>
      <c r="N77" s="1">
        <f t="shared" si="11"/>
        <v>1.5646743260730955E-2</v>
      </c>
    </row>
    <row r="78" spans="7:14">
      <c r="G78" s="13">
        <f t="shared" si="8"/>
        <v>16.25</v>
      </c>
      <c r="J78" s="15">
        <f>Interpolate_Interval(G77,G79,J77,J79,G78)</f>
        <v>0.77335445313421847</v>
      </c>
      <c r="L78" s="1">
        <f>Interpolate_Interval(G77,G79,L77,L79,G78)</f>
        <v>2.6569734979285942E-2</v>
      </c>
      <c r="M78" s="1">
        <f t="shared" si="9"/>
        <v>2.6768777725306947E-2</v>
      </c>
      <c r="N78" s="1">
        <f t="shared" si="11"/>
        <v>1.581647958618174E-2</v>
      </c>
    </row>
    <row r="79" spans="7:14">
      <c r="G79" s="13">
        <f t="shared" si="8"/>
        <v>16.5</v>
      </c>
      <c r="I79" s="1">
        <f>Interpolate_Range($D$17:$D$31,$E$17:$E$31,G79)</f>
        <v>1.53825E-2</v>
      </c>
      <c r="J79" s="15">
        <f>(1-I79*K77)/(1+I79*0.5)</f>
        <v>0.76817901476951178</v>
      </c>
      <c r="K79" s="2">
        <f>K77+0.5*J79</f>
        <v>15.07043622496267</v>
      </c>
      <c r="L79" s="1">
        <f>(J77/J79-1)/0.5</f>
        <v>2.6949126519731692E-2</v>
      </c>
      <c r="M79" s="1">
        <f t="shared" si="9"/>
        <v>2.6949126519731692E-2</v>
      </c>
      <c r="N79" s="1">
        <f t="shared" si="11"/>
        <v>1.5983786718085882E-2</v>
      </c>
    </row>
    <row r="80" spans="7:14">
      <c r="G80" s="13">
        <f t="shared" si="8"/>
        <v>16.75</v>
      </c>
      <c r="J80" s="15">
        <f>Interpolate_Interval(G79,G81,J79,J81,G80)</f>
        <v>0.76292856597350389</v>
      </c>
      <c r="L80" s="1">
        <f>Interpolate_Interval(G79,G81,L79,L81,G80)</f>
        <v>2.7333875484869541E-2</v>
      </c>
      <c r="M80" s="1">
        <f t="shared" si="9"/>
        <v>2.7527865806457719E-2</v>
      </c>
      <c r="N80" s="1">
        <f t="shared" si="11"/>
        <v>1.6154679084051844E-2</v>
      </c>
    </row>
    <row r="81" spans="7:14">
      <c r="G81" s="13">
        <f t="shared" si="8"/>
        <v>17</v>
      </c>
      <c r="I81" s="1">
        <f>Interpolate_Range($D$17:$D$31,$E$17:$E$31,G81)</f>
        <v>1.5685000000000001E-2</v>
      </c>
      <c r="J81" s="15">
        <f>(1-I81*K79)/(1+I81*0.5)</f>
        <v>0.757678117177496</v>
      </c>
      <c r="K81" s="2">
        <f>K79+0.5*J81</f>
        <v>15.449275283551417</v>
      </c>
      <c r="L81" s="1">
        <f>(J79/J81-1)/0.5</f>
        <v>2.771862445000739E-2</v>
      </c>
      <c r="M81" s="1">
        <f t="shared" si="9"/>
        <v>2.771862445000739E-2</v>
      </c>
      <c r="N81" s="1">
        <f t="shared" si="11"/>
        <v>1.6323331238302957E-2</v>
      </c>
    </row>
    <row r="82" spans="7:14">
      <c r="G82" s="13">
        <f t="shared" si="8"/>
        <v>17.25</v>
      </c>
      <c r="J82" s="15">
        <f>Interpolate_Interval(G81,G83,J81,J83,G82)</f>
        <v>0.75235561630759384</v>
      </c>
      <c r="L82" s="1">
        <f>(J80/J82-1)/0.5</f>
        <v>2.8106255703386207E-2</v>
      </c>
      <c r="M82" s="1">
        <f t="shared" si="9"/>
        <v>2.8297792982653114E-2</v>
      </c>
      <c r="N82" s="1">
        <f t="shared" si="11"/>
        <v>1.6495430306399023E-2</v>
      </c>
    </row>
    <row r="83" spans="7:14">
      <c r="G83" s="13">
        <f t="shared" ref="G83:G114" si="12">G82+0.25</f>
        <v>17.5</v>
      </c>
      <c r="I83" s="1">
        <f>Interpolate_Range($D$17:$D$31,$E$17:$E$31,G83)</f>
        <v>1.5987500000000002E-2</v>
      </c>
      <c r="J83" s="15">
        <f>(1-I83*K81)/(1+I83*0.5)</f>
        <v>0.74703311543769169</v>
      </c>
      <c r="K83" s="2">
        <f>K81+0.5*J83</f>
        <v>15.822791841270263</v>
      </c>
      <c r="L83" s="1">
        <f>Interpolate_Interval(G82,G84,L82,L84,G83)</f>
        <v>2.8499562601532302E-2</v>
      </c>
      <c r="M83" s="1">
        <f t="shared" ref="M83:M133" si="13">(J82/J83-1)/0.25</f>
        <v>2.8499410587889074E-2</v>
      </c>
      <c r="N83" s="1">
        <f t="shared" si="11"/>
        <v>1.6665472205144596E-2</v>
      </c>
    </row>
    <row r="84" spans="7:14">
      <c r="G84" s="13">
        <f t="shared" si="12"/>
        <v>17.75</v>
      </c>
      <c r="J84" s="15">
        <f>Interpolate_Interval(G83,G85,J83,J85,G84)</f>
        <v>0.74164154018947626</v>
      </c>
      <c r="L84" s="1">
        <f>(J82/J84-1)/0.5</f>
        <v>2.8892869499678397E-2</v>
      </c>
      <c r="M84" s="1">
        <f t="shared" si="13"/>
        <v>2.9079143796815643E-2</v>
      </c>
      <c r="N84" s="1">
        <f t="shared" si="11"/>
        <v>1.6838831099718524E-2</v>
      </c>
    </row>
    <row r="85" spans="7:14">
      <c r="G85" s="13">
        <f t="shared" si="12"/>
        <v>18</v>
      </c>
      <c r="I85" s="1">
        <f>Interpolate_Range($D$17:$D$31,$E$17:$E$31,G85)</f>
        <v>1.6290000000000002E-2</v>
      </c>
      <c r="J85" s="15">
        <f>(1-I85*K83)/(1+I85*0.5)</f>
        <v>0.73624996494126072</v>
      </c>
      <c r="K85" s="2">
        <f>K83+0.5*J85</f>
        <v>16.190916823740892</v>
      </c>
      <c r="L85" s="1">
        <f>Interpolate_Interval(G84,G86,L84,L86,G85)</f>
        <v>2.9292280943964855E-2</v>
      </c>
      <c r="M85" s="1">
        <f t="shared" si="13"/>
        <v>2.9292091028598755E-2</v>
      </c>
      <c r="N85" s="1">
        <f t="shared" si="11"/>
        <v>1.701031064635132E-2</v>
      </c>
    </row>
    <row r="86" spans="7:14">
      <c r="G86" s="13">
        <f t="shared" si="12"/>
        <v>18.25</v>
      </c>
      <c r="J86" s="15">
        <f>Interpolate_Interval(G85,G87,J85,J87,G86)</f>
        <v>0.7307923099560194</v>
      </c>
      <c r="L86" s="1">
        <f>(J84/J86-1)/0.5</f>
        <v>2.9691692388251312E-2</v>
      </c>
      <c r="M86" s="1">
        <f t="shared" si="13"/>
        <v>2.9872536483421364E-2</v>
      </c>
      <c r="N86" s="1">
        <f t="shared" si="11"/>
        <v>1.7184985058009025E-2</v>
      </c>
    </row>
    <row r="87" spans="7:14">
      <c r="G87" s="13">
        <f t="shared" si="12"/>
        <v>18.5</v>
      </c>
      <c r="I87" s="1">
        <f>Interpolate_Range($D$17:$D$31,$E$17:$E$31,G87)</f>
        <v>1.65925E-2</v>
      </c>
      <c r="J87" s="15">
        <f>(1-I87*K85)/(1+I87*0.5)</f>
        <v>0.72533465497077798</v>
      </c>
      <c r="K87" s="2">
        <f>K85+0.5*J87</f>
        <v>16.553584151226282</v>
      </c>
      <c r="L87" s="1">
        <f>Interpolate_Interval(G86,G88,L86,L88,G87)</f>
        <v>3.0097538414938674E-2</v>
      </c>
      <c r="M87" s="1">
        <f t="shared" si="13"/>
        <v>3.0097307210345647E-2</v>
      </c>
      <c r="N87" s="1">
        <f t="shared" si="11"/>
        <v>1.735795338192573E-2</v>
      </c>
    </row>
    <row r="88" spans="7:14">
      <c r="G88" s="13">
        <f t="shared" si="12"/>
        <v>18.75</v>
      </c>
      <c r="J88" s="15">
        <f>Interpolate_Interval(G87,G89,J87,J89,G88)</f>
        <v>0.71981392944782718</v>
      </c>
      <c r="L88" s="1">
        <f>(J86/J88-1)/0.5</f>
        <v>3.0503384441626036E-2</v>
      </c>
      <c r="M88" s="1">
        <f t="shared" si="13"/>
        <v>3.0678625667529325E-2</v>
      </c>
      <c r="N88" s="1">
        <f t="shared" si="11"/>
        <v>1.7534001690326768E-2</v>
      </c>
    </row>
    <row r="89" spans="7:14">
      <c r="G89" s="13">
        <f t="shared" si="12"/>
        <v>19</v>
      </c>
      <c r="I89" s="1">
        <f>Interpolate_Range($D$17:$D$31,$E$17:$E$31,G89)</f>
        <v>1.6895E-2</v>
      </c>
      <c r="J89" s="15">
        <f>(1-I89*K87)/(1+I89*0.5)</f>
        <v>0.7142932039248765</v>
      </c>
      <c r="K89" s="2">
        <f>K87+0.5*J89</f>
        <v>16.910730753188719</v>
      </c>
      <c r="L89" s="1">
        <f>Interpolate_Interval(G88,G90,L88,L90,G89)</f>
        <v>3.0916014939930792E-2</v>
      </c>
      <c r="M89" s="1">
        <f t="shared" si="13"/>
        <v>3.0915738761705391E-2</v>
      </c>
      <c r="N89" s="1">
        <f t="shared" si="11"/>
        <v>1.7708513220071487E-2</v>
      </c>
    </row>
    <row r="90" spans="7:14">
      <c r="G90" s="13">
        <f t="shared" si="12"/>
        <v>19.25</v>
      </c>
      <c r="J90" s="15">
        <f>Interpolate_Interval(G89,G91,J89,J91,G90)</f>
        <v>0.70871242924114397</v>
      </c>
      <c r="L90" s="1">
        <f>(J88/J90-1)/0.5</f>
        <v>3.1328645438235547E-2</v>
      </c>
      <c r="M90" s="1">
        <f t="shared" si="13"/>
        <v>3.1498105315907132E-2</v>
      </c>
      <c r="N90" s="1">
        <f t="shared" si="11"/>
        <v>1.7885996635547404E-2</v>
      </c>
    </row>
    <row r="91" spans="7:14">
      <c r="G91" s="13">
        <f t="shared" si="12"/>
        <v>19.5</v>
      </c>
      <c r="I91" s="1">
        <f>Interpolate_Range($D$17:$D$31,$E$17:$E$31,G91)</f>
        <v>1.7197500000000001E-2</v>
      </c>
      <c r="J91" s="15">
        <f>(1-I91*K89)/(1+I91*0.5)</f>
        <v>0.70313165455741145</v>
      </c>
      <c r="K91" s="2">
        <f>K89+0.5*J91</f>
        <v>17.262296580467424</v>
      </c>
      <c r="L91" s="1">
        <f>(J89/J91-1)/0.5</f>
        <v>3.1748106617361049E-2</v>
      </c>
      <c r="M91" s="1">
        <f t="shared" si="13"/>
        <v>3.1748106617360605E-2</v>
      </c>
      <c r="N91" s="1">
        <f t="shared" si="11"/>
        <v>1.8062109198702991E-2</v>
      </c>
    </row>
    <row r="92" spans="7:14">
      <c r="G92" s="13">
        <f t="shared" si="12"/>
        <v>19.75</v>
      </c>
      <c r="J92" s="15">
        <f>Interpolate_Interval(G91,G93,J91,J93,G92)</f>
        <v>0.69749386189670814</v>
      </c>
      <c r="L92" s="1">
        <f>Interpolate_Interval(G91,G93,L91,L93,G92)</f>
        <v>3.217164152505303E-2</v>
      </c>
      <c r="M92" s="1">
        <f t="shared" si="13"/>
        <v>3.2331711968747179E-2</v>
      </c>
      <c r="N92" s="1">
        <f t="shared" si="11"/>
        <v>1.8241091922705142E-2</v>
      </c>
    </row>
    <row r="93" spans="7:14">
      <c r="G93" s="13">
        <f t="shared" si="12"/>
        <v>20</v>
      </c>
      <c r="I93" s="1">
        <f>Interpolate_Range($D$17:$D$31,$E$17:$E$31,G93)</f>
        <v>1.7500000000000002E-2</v>
      </c>
      <c r="J93" s="15">
        <f>(1-I93*K91)/(1+I93*0.5)</f>
        <v>0.69185606923600496</v>
      </c>
      <c r="K93" s="2">
        <f>K91+0.5*J93</f>
        <v>17.608224615085426</v>
      </c>
      <c r="L93" s="1">
        <f>(J91/J93-1)/0.5</f>
        <v>3.259517643274501E-2</v>
      </c>
      <c r="M93" s="1">
        <f t="shared" si="13"/>
        <v>3.2595176432744566E-2</v>
      </c>
      <c r="N93" s="1">
        <f t="shared" si="11"/>
        <v>1.8418866871570617E-2</v>
      </c>
    </row>
    <row r="94" spans="7:14">
      <c r="G94" s="13">
        <f t="shared" si="12"/>
        <v>20.25</v>
      </c>
      <c r="J94" s="15">
        <f>Interpolate_Interval(G93,G95,J93,J95,G94)</f>
        <v>0.68760985981471401</v>
      </c>
      <c r="L94" s="1">
        <f>Interpolate_Interval(G93,G95,L93,L95,G94)</f>
        <v>2.8724966871489288E-2</v>
      </c>
      <c r="M94" s="1">
        <f t="shared" si="13"/>
        <v>2.4701271284476078E-2</v>
      </c>
      <c r="N94" s="1">
        <f t="shared" si="11"/>
        <v>1.8495489684608252E-2</v>
      </c>
    </row>
    <row r="95" spans="7:14">
      <c r="G95" s="13">
        <f t="shared" si="12"/>
        <v>20.5</v>
      </c>
      <c r="I95" s="1">
        <f>Interpolate_Range($D$17:$D$31,$E$17:$E$31,G95)</f>
        <v>1.7640000000000003E-2</v>
      </c>
      <c r="J95" s="15">
        <f>(1-I95*K93)/(1+I95*0.5)</f>
        <v>0.68336365039342306</v>
      </c>
      <c r="K95" s="2">
        <f>K93+0.5*J95</f>
        <v>17.949906440282138</v>
      </c>
      <c r="L95" s="1">
        <f>(J93/J95-1)/0.5</f>
        <v>2.4854757310233566E-2</v>
      </c>
      <c r="M95" s="1">
        <f t="shared" si="13"/>
        <v>2.4854757310233566E-2</v>
      </c>
      <c r="N95" s="1">
        <f t="shared" si="11"/>
        <v>1.8572103905978254E-2</v>
      </c>
    </row>
    <row r="96" spans="7:14">
      <c r="G96" s="13">
        <f t="shared" si="12"/>
        <v>20.75</v>
      </c>
      <c r="J96" s="15">
        <f>Interpolate_Interval(G95,G97,J95,J97,G96)</f>
        <v>0.67910744319856686</v>
      </c>
      <c r="L96" s="1">
        <f>Interpolate_Interval(G95,G97,L95,L97,G96)</f>
        <v>2.5041142897619606E-2</v>
      </c>
      <c r="M96" s="1">
        <f t="shared" si="13"/>
        <v>2.5069418616940453E-2</v>
      </c>
      <c r="N96" s="1">
        <f t="shared" si="11"/>
        <v>1.864944224268995E-2</v>
      </c>
    </row>
    <row r="97" spans="7:14">
      <c r="G97" s="13">
        <f t="shared" si="12"/>
        <v>21</v>
      </c>
      <c r="I97" s="1">
        <f>Interpolate_Range($D$17:$D$31,$E$17:$E$31,G97)</f>
        <v>1.7780000000000001E-2</v>
      </c>
      <c r="J97" s="15">
        <f>(1-I97*K95)/(1+I97*0.5)</f>
        <v>0.67485123600371055</v>
      </c>
      <c r="K97" s="2">
        <f>K95+0.5*J97</f>
        <v>18.287332058283994</v>
      </c>
      <c r="L97" s="1">
        <f>(J95/J97-1)/0.5</f>
        <v>2.5227528485005646E-2</v>
      </c>
      <c r="M97" s="1">
        <f t="shared" si="13"/>
        <v>2.522752848500609E-2</v>
      </c>
      <c r="N97" s="1">
        <f t="shared" si="11"/>
        <v>1.8726809690709993E-2</v>
      </c>
    </row>
    <row r="98" spans="7:14">
      <c r="G98" s="13">
        <f t="shared" si="12"/>
        <v>21.25</v>
      </c>
      <c r="J98" s="15">
        <f>Interpolate_Interval(G97,G99,J97,J99,G98)</f>
        <v>0.67058600568598092</v>
      </c>
      <c r="L98" s="1">
        <f>Interpolate_Interval(G97,G99,L97,L99,G98)</f>
        <v>2.54160975192117E-2</v>
      </c>
      <c r="M98" s="1">
        <f t="shared" si="13"/>
        <v>2.5441809292554574E-2</v>
      </c>
      <c r="N98" s="1">
        <f t="shared" si="11"/>
        <v>1.8804861812495653E-2</v>
      </c>
    </row>
    <row r="99" spans="7:14">
      <c r="G99" s="13">
        <f t="shared" si="12"/>
        <v>21.5</v>
      </c>
      <c r="I99" s="1">
        <f>Interpolate_Range($D$17:$D$31,$E$17:$E$31,G99)</f>
        <v>1.7920000000000002E-2</v>
      </c>
      <c r="J99" s="15">
        <f>(1-I99*K97)/(1+I99*0.5)</f>
        <v>0.66632077536825118</v>
      </c>
      <c r="K99" s="2">
        <f>K97+0.5*J99</f>
        <v>18.620492445968118</v>
      </c>
      <c r="L99" s="1">
        <f>(J97/J99-1)/0.5</f>
        <v>2.5604666553417754E-2</v>
      </c>
      <c r="M99" s="1">
        <f t="shared" si="13"/>
        <v>2.5604666553418198E-2</v>
      </c>
      <c r="N99" s="1">
        <f t="shared" si="11"/>
        <v>1.8882980451081412E-2</v>
      </c>
    </row>
    <row r="100" spans="7:14">
      <c r="G100" s="13">
        <f t="shared" si="12"/>
        <v>21.75</v>
      </c>
      <c r="J100" s="15">
        <f>Interpolate_Interval(G99,G101,J99,J101,G100)</f>
        <v>0.66204749035987143</v>
      </c>
      <c r="L100" s="1">
        <f>(J98/J100-1)/0.5</f>
        <v>2.579426838841492E-2</v>
      </c>
      <c r="M100" s="1">
        <f t="shared" si="13"/>
        <v>2.5818601055685342E-2</v>
      </c>
      <c r="N100" s="1">
        <f t="shared" ref="N100:N133" si="14">-LN(J100)/G100</f>
        <v>1.8961746570778003E-2</v>
      </c>
    </row>
    <row r="101" spans="7:14">
      <c r="G101" s="13">
        <f t="shared" si="12"/>
        <v>22</v>
      </c>
      <c r="I101" s="1">
        <f>Interpolate_Range($D$17:$D$31,$E$17:$E$31,G101)</f>
        <v>1.806E-2</v>
      </c>
      <c r="J101" s="15">
        <f>(1-I101*K99)/(1+I101*0.5)</f>
        <v>0.65777420535149167</v>
      </c>
      <c r="K101" s="2">
        <f>K99+0.5*J101</f>
        <v>18.949379548643865</v>
      </c>
      <c r="L101" s="1">
        <f>Interpolate_Interval(G100,G102,L100,L102,G101)</f>
        <v>2.5986259771817899E-2</v>
      </c>
      <c r="M101" s="1">
        <f t="shared" si="13"/>
        <v>2.5986333751693458E-2</v>
      </c>
      <c r="N101" s="1">
        <f t="shared" si="14"/>
        <v>1.9040616341296765E-2</v>
      </c>
    </row>
    <row r="102" spans="7:14">
      <c r="G102" s="13">
        <f t="shared" si="12"/>
        <v>22.25</v>
      </c>
      <c r="J102" s="15">
        <f>Interpolate_Interval(G101,G103,J101,J103,G102)</f>
        <v>0.65349382758639973</v>
      </c>
      <c r="L102" s="1">
        <f>(J100/J102-1)/0.5</f>
        <v>2.6178251155220877E-2</v>
      </c>
      <c r="M102" s="1">
        <f t="shared" si="13"/>
        <v>2.61999583433008E-2</v>
      </c>
      <c r="N102" s="1">
        <f t="shared" si="14"/>
        <v>1.9120098477520144E-2</v>
      </c>
    </row>
    <row r="103" spans="7:14">
      <c r="G103" s="13">
        <f t="shared" si="12"/>
        <v>22.5</v>
      </c>
      <c r="I103" s="1">
        <f>Interpolate_Range($D$17:$D$31,$E$17:$E$31,G103)</f>
        <v>1.8200000000000001E-2</v>
      </c>
      <c r="J103" s="15">
        <f>(1-I103*K101)/(1+I103*0.5)</f>
        <v>0.64921344982130769</v>
      </c>
      <c r="K103" s="2">
        <f>K101+0.5*J103</f>
        <v>19.27398627355452</v>
      </c>
      <c r="L103" s="1">
        <f>Interpolate_Interval(G102,G104,L102,L104,G103)</f>
        <v>2.637263517855315E-2</v>
      </c>
      <c r="M103" s="1">
        <f t="shared" si="13"/>
        <v>2.6372699248730314E-2</v>
      </c>
      <c r="N103" s="1">
        <f t="shared" si="14"/>
        <v>1.9199721156667772E-2</v>
      </c>
    </row>
    <row r="104" spans="7:14">
      <c r="G104" s="13">
        <f t="shared" si="12"/>
        <v>22.75</v>
      </c>
      <c r="J104" s="15">
        <f>Interpolate_Interval(G103,G105,J103,J105,G104)</f>
        <v>0.64492693446058602</v>
      </c>
      <c r="L104" s="1">
        <f>(J102/J104-1)/0.5</f>
        <v>2.6567019201885422E-2</v>
      </c>
      <c r="M104" s="1">
        <f t="shared" si="13"/>
        <v>2.6586052662271875E-2</v>
      </c>
      <c r="N104" s="1">
        <f t="shared" si="14"/>
        <v>1.9279923011388391E-2</v>
      </c>
    </row>
    <row r="105" spans="7:14">
      <c r="G105" s="13">
        <f t="shared" si="12"/>
        <v>23</v>
      </c>
      <c r="I105" s="1">
        <f>Interpolate_Range($D$17:$D$31,$E$17:$E$31,G105)</f>
        <v>1.8340000000000002E-2</v>
      </c>
      <c r="J105" s="15">
        <f>(1-I105*K103)/(1+I105*0.5)</f>
        <v>0.64064041909986436</v>
      </c>
      <c r="K105" s="2">
        <f>K103+0.5*J105</f>
        <v>19.594306483104454</v>
      </c>
      <c r="L105" s="1">
        <f>Interpolate_Interval(G104,G106,L104,L106,G105)</f>
        <v>2.6763886013779326E-2</v>
      </c>
      <c r="M105" s="1">
        <f t="shared" si="13"/>
        <v>2.6763939538779091E-2</v>
      </c>
      <c r="N105" s="1">
        <f t="shared" si="14"/>
        <v>1.9360302091573967E-2</v>
      </c>
    </row>
    <row r="106" spans="7:14">
      <c r="G106" s="13">
        <f t="shared" si="12"/>
        <v>23.25</v>
      </c>
      <c r="J106" s="15">
        <f>Interpolate_Interval(G105,G107,J105,J107,G106)</f>
        <v>0.63634871426250283</v>
      </c>
      <c r="L106" s="1">
        <f>(J104/J106-1)/0.5</f>
        <v>2.6960752825673229E-2</v>
      </c>
      <c r="M106" s="1">
        <f t="shared" si="13"/>
        <v>2.697706299185576E-2</v>
      </c>
      <c r="N106" s="1">
        <f t="shared" si="14"/>
        <v>1.9441228947701363E-2</v>
      </c>
    </row>
    <row r="107" spans="7:14">
      <c r="G107" s="13">
        <f t="shared" si="12"/>
        <v>23.5</v>
      </c>
      <c r="I107" s="1">
        <f>Interpolate_Range($D$17:$D$31,$E$17:$E$31,G107)</f>
        <v>1.848E-2</v>
      </c>
      <c r="J107" s="15">
        <f>(1-I107*K105)/(1+I107*0.5)</f>
        <v>0.63205700942514143</v>
      </c>
      <c r="K107" s="2">
        <f>K105+0.5*J107</f>
        <v>19.910334987817023</v>
      </c>
      <c r="L107" s="1">
        <f>Interpolate_Interval(G106,G108,L106,L108,G107)</f>
        <v>2.7160196556578864E-2</v>
      </c>
      <c r="M107" s="1">
        <f t="shared" si="13"/>
        <v>2.7160238860508557E-2</v>
      </c>
      <c r="N107" s="1">
        <f t="shared" si="14"/>
        <v>1.9522369536888112E-2</v>
      </c>
    </row>
    <row r="108" spans="7:14">
      <c r="G108" s="13">
        <f t="shared" si="12"/>
        <v>23.75</v>
      </c>
      <c r="J108" s="15">
        <f>Interpolate_Interval(G107,G109,J107,J109,G108)</f>
        <v>0.62776105592421383</v>
      </c>
      <c r="L108" s="1">
        <f>(J106/J108-1)/0.5</f>
        <v>2.7359640287484499E-2</v>
      </c>
      <c r="M108" s="1">
        <f t="shared" si="13"/>
        <v>2.7373176213378869E-2</v>
      </c>
      <c r="N108" s="1">
        <f t="shared" si="14"/>
        <v>1.9604028173201185E-2</v>
      </c>
    </row>
    <row r="109" spans="7:14">
      <c r="G109" s="13">
        <f t="shared" si="12"/>
        <v>24</v>
      </c>
      <c r="I109" s="1">
        <f>Interpolate_Range($D$17:$D$31,$E$17:$E$31,G109)</f>
        <v>1.8620000000000001E-2</v>
      </c>
      <c r="J109" s="15">
        <f>(1-I109*K107)/(1+I109*0.5)</f>
        <v>0.62346510242328623</v>
      </c>
      <c r="K109" s="2">
        <f>K107+0.5*J109</f>
        <v>20.222067539028668</v>
      </c>
      <c r="L109" s="1">
        <f>(J107/J109-1)/0.5</f>
        <v>2.7561789644553247E-2</v>
      </c>
      <c r="M109" s="1">
        <f t="shared" si="13"/>
        <v>2.7561789644552803E-2</v>
      </c>
      <c r="N109" s="1">
        <f t="shared" si="14"/>
        <v>1.9685936911678189E-2</v>
      </c>
    </row>
    <row r="110" spans="7:14">
      <c r="G110" s="13">
        <f t="shared" si="12"/>
        <v>24.25</v>
      </c>
      <c r="J110" s="15">
        <f>Interpolate_Interval(G109,G111,J109,J111,G110)</f>
        <v>0.619165833507618</v>
      </c>
      <c r="L110" s="1">
        <f>Interpolate_Interval(G109,G111,L109,L111,G110)</f>
        <v>2.7765291318194052E-2</v>
      </c>
      <c r="M110" s="1">
        <f t="shared" si="13"/>
        <v>2.7774587569295406E-2</v>
      </c>
      <c r="N110" s="1">
        <f t="shared" si="14"/>
        <v>1.9768335532897956E-2</v>
      </c>
    </row>
    <row r="111" spans="7:14">
      <c r="G111" s="13">
        <f t="shared" si="12"/>
        <v>24.5</v>
      </c>
      <c r="I111" s="1">
        <f>Interpolate_Range($D$17:$D$31,$E$17:$E$31,G111)</f>
        <v>1.8759999999999999E-2</v>
      </c>
      <c r="J111" s="15">
        <f>(1-I111*K109)/(1+I111*0.5)</f>
        <v>0.61486656459194977</v>
      </c>
      <c r="K111" s="2">
        <f>K109+0.5*J111</f>
        <v>20.529500821324643</v>
      </c>
      <c r="L111" s="1">
        <f>(J109/J111-1)/0.5</f>
        <v>2.7968792991834857E-2</v>
      </c>
      <c r="M111" s="1">
        <f t="shared" si="13"/>
        <v>2.7968792991835301E-2</v>
      </c>
      <c r="N111" s="1">
        <f t="shared" si="14"/>
        <v>1.9851020524889101E-2</v>
      </c>
    </row>
    <row r="112" spans="7:14">
      <c r="G112" s="13">
        <f t="shared" si="12"/>
        <v>24.75</v>
      </c>
      <c r="J112" s="15">
        <f>Interpolate_Interval(G111,G113,J111,J113,G112)</f>
        <v>0.61056490569335176</v>
      </c>
      <c r="L112" s="1">
        <f>Interpolate_Interval(G111,G113,L111,L113,G112)</f>
        <v>2.8175126088517244E-2</v>
      </c>
      <c r="M112" s="1">
        <f t="shared" si="13"/>
        <v>2.8181501154004529E-2</v>
      </c>
      <c r="N112" s="1">
        <f t="shared" si="14"/>
        <v>1.9934168705069016E-2</v>
      </c>
    </row>
    <row r="113" spans="7:14">
      <c r="G113" s="13">
        <f t="shared" si="12"/>
        <v>25</v>
      </c>
      <c r="I113" s="1">
        <f>Interpolate_Range($D$17:$D$31,$E$17:$E$31,G113)</f>
        <v>1.89E-2</v>
      </c>
      <c r="J113" s="15">
        <f>(1-I113*K111)/(1+I113*0.5)</f>
        <v>0.60626324679475385</v>
      </c>
      <c r="K113" s="2">
        <f>K111+0.5*J113</f>
        <v>20.832632444722019</v>
      </c>
      <c r="L113" s="1">
        <f>(J111/J113-1)/0.5</f>
        <v>2.8381459185199631E-2</v>
      </c>
      <c r="M113" s="1">
        <f t="shared" si="13"/>
        <v>2.8381459185198743E-2</v>
      </c>
      <c r="N113" s="1">
        <f t="shared" si="14"/>
        <v>2.0017639463442441E-2</v>
      </c>
    </row>
    <row r="114" spans="7:14">
      <c r="G114" s="13">
        <f t="shared" si="12"/>
        <v>25.25</v>
      </c>
      <c r="J114" s="15">
        <f>Interpolate_Interval(G113,G115,J113,J115,G114)</f>
        <v>0.60271234017981312</v>
      </c>
      <c r="L114" s="1">
        <f>Interpolate_Interval(G113,G115,L113,L115,G114)</f>
        <v>2.6043650745463998E-2</v>
      </c>
      <c r="M114" s="1">
        <f t="shared" si="13"/>
        <v>2.3566178279219585E-2</v>
      </c>
      <c r="N114" s="1">
        <f t="shared" si="14"/>
        <v>2.0052088866262304E-2</v>
      </c>
    </row>
    <row r="115" spans="7:14">
      <c r="G115" s="13">
        <f>G114+0.25</f>
        <v>25.5</v>
      </c>
      <c r="I115" s="1">
        <f>Interpolate_Range($D$17:$D$31,$E$17:$E$31,G115)</f>
        <v>1.896813E-2</v>
      </c>
      <c r="J115" s="15">
        <f>(1-I115*K113)/(1+I115*0.5)</f>
        <v>0.59916143356487239</v>
      </c>
      <c r="K115" s="2">
        <f>K113+0.5*J115</f>
        <v>21.132213161504456</v>
      </c>
      <c r="L115" s="1">
        <f>(J113/J115-1)/0.5</f>
        <v>2.3705842305728364E-2</v>
      </c>
      <c r="M115" s="1">
        <f t="shared" si="13"/>
        <v>2.370584230572792E-2</v>
      </c>
      <c r="N115" s="1">
        <f t="shared" si="14"/>
        <v>2.0087224002353708E-2</v>
      </c>
    </row>
    <row r="116" spans="7:14">
      <c r="G116" s="13">
        <f t="shared" ref="G116:G123" si="15">G115+0.25</f>
        <v>25.75</v>
      </c>
      <c r="J116" s="15">
        <f>Interpolate_Interval(G115,G117,J115,J117,G116)</f>
        <v>0.59562378828338047</v>
      </c>
      <c r="L116" s="1">
        <f>Interpolate_Interval(G115,G117,L115,L117,G116)</f>
        <v>2.380268665001295E-2</v>
      </c>
      <c r="M116" s="1">
        <f t="shared" si="13"/>
        <v>2.3757582226107132E-2</v>
      </c>
      <c r="N116" s="1">
        <f t="shared" si="14"/>
        <v>2.0122176269410701E-2</v>
      </c>
    </row>
    <row r="117" spans="7:14">
      <c r="G117" s="13">
        <f t="shared" si="15"/>
        <v>26</v>
      </c>
      <c r="I117" s="1">
        <f>Interpolate_Range($D$17:$D$31,$E$17:$E$31,G117)</f>
        <v>1.9036259999999999E-2</v>
      </c>
      <c r="J117" s="15">
        <f>(1-I117*K115)/(1+I117*0.5)</f>
        <v>0.59208614300188855</v>
      </c>
      <c r="K117" s="2">
        <f>K115+0.5*J117</f>
        <v>21.428256233005399</v>
      </c>
      <c r="L117" s="1">
        <f>(J115/J117-1)/0.5</f>
        <v>2.3899530994297535E-2</v>
      </c>
      <c r="M117" s="1">
        <f t="shared" si="13"/>
        <v>2.3899530994297535E-2</v>
      </c>
      <c r="N117" s="1">
        <f t="shared" si="14"/>
        <v>2.0157813186786E-2</v>
      </c>
    </row>
    <row r="118" spans="7:14">
      <c r="G118" s="13">
        <f t="shared" si="15"/>
        <v>26.25</v>
      </c>
      <c r="J118" s="15">
        <f>Interpolate_Interval(G117,G119,J117,J119,G118)</f>
        <v>0.58856199168650936</v>
      </c>
      <c r="L118" s="1">
        <f>(J116/J118-1)/0.5</f>
        <v>2.3996780956363484E-2</v>
      </c>
      <c r="M118" s="1">
        <f t="shared" si="13"/>
        <v>2.3950926938254291E-2</v>
      </c>
      <c r="N118" s="1">
        <f t="shared" si="14"/>
        <v>2.0193257880562109E-2</v>
      </c>
    </row>
    <row r="119" spans="7:14">
      <c r="G119" s="13">
        <f t="shared" si="15"/>
        <v>26.5</v>
      </c>
      <c r="I119" s="1">
        <f>Interpolate_Range($D$17:$D$31,$E$17:$E$31,G119)</f>
        <v>1.9104389999999999E-2</v>
      </c>
      <c r="J119" s="15">
        <f>(1-I119*K117)/(1+I119*0.5)</f>
        <v>0.58503784037113016</v>
      </c>
      <c r="K119" s="2">
        <f>K117+0.5*J119</f>
        <v>21.720775153190964</v>
      </c>
      <c r="L119" s="1">
        <f>Interpolate_Interval(G118,G120,L118,L120,G119)</f>
        <v>2.4095120437072515E-2</v>
      </c>
      <c r="M119" s="1">
        <f t="shared" si="13"/>
        <v>2.409520254719677E-2</v>
      </c>
      <c r="N119" s="1">
        <f t="shared" si="14"/>
        <v>2.022938677158987E-2</v>
      </c>
    </row>
    <row r="120" spans="7:14">
      <c r="G120" s="13">
        <f t="shared" si="15"/>
        <v>26.75</v>
      </c>
      <c r="J120" s="15">
        <f>Interpolate_Interval(G119,G121,J119,J121,G120)</f>
        <v>0.58152741162439625</v>
      </c>
      <c r="L120" s="1">
        <f>(J118/J120-1)/0.5</f>
        <v>2.4193459917781546E-2</v>
      </c>
      <c r="M120" s="1">
        <f t="shared" si="13"/>
        <v>2.4146265001872003E-2</v>
      </c>
      <c r="N120" s="1">
        <f t="shared" si="14"/>
        <v>2.0265314714975693E-2</v>
      </c>
    </row>
    <row r="121" spans="7:14">
      <c r="G121" s="13">
        <f t="shared" si="15"/>
        <v>27</v>
      </c>
      <c r="I121" s="1">
        <f>Interpolate_Range($D$17:$D$31,$E$17:$E$31,G121)</f>
        <v>1.9172519999999998E-2</v>
      </c>
      <c r="J121" s="15">
        <f>(1-I121*K119)/(1+I121*0.5)</f>
        <v>0.57801698287766246</v>
      </c>
      <c r="K121" s="2">
        <f>K119+0.5*J121</f>
        <v>22.009783644629795</v>
      </c>
      <c r="L121" s="1">
        <f>Interpolate_Interval(G120,G122,L120,L122,G121)</f>
        <v>2.4292831468016196E-2</v>
      </c>
      <c r="M121" s="1">
        <f t="shared" si="13"/>
        <v>2.4292910767134579E-2</v>
      </c>
      <c r="N121" s="1">
        <f t="shared" si="14"/>
        <v>2.0301926985189692E-2</v>
      </c>
    </row>
    <row r="122" spans="7:14">
      <c r="G122" s="13">
        <f t="shared" si="15"/>
        <v>27.25</v>
      </c>
      <c r="J122" s="15">
        <f>Interpolate_Interval(G121,G123,J121,J123,G122)</f>
        <v>0.57452050127181165</v>
      </c>
      <c r="L122" s="1">
        <f>(J120/J122-1)/0.5</f>
        <v>2.4392203018250846E-2</v>
      </c>
      <c r="M122" s="1">
        <f t="shared" si="13"/>
        <v>2.4343650735600519E-2</v>
      </c>
      <c r="N122" s="1">
        <f t="shared" si="14"/>
        <v>2.0338330161962553E-2</v>
      </c>
    </row>
    <row r="123" spans="7:14">
      <c r="G123" s="13">
        <f t="shared" si="15"/>
        <v>27.5</v>
      </c>
      <c r="I123" s="1">
        <f>Interpolate_Range($D$17:$D$31,$E$17:$E$31,G123)</f>
        <v>1.9240649999999998E-2</v>
      </c>
      <c r="J123" s="15">
        <f>(1-I123*K121)/(1+I123*0.5)</f>
        <v>0.57102401966596084</v>
      </c>
      <c r="K123" s="2">
        <f>K121+0.5*J123</f>
        <v>22.295295654462777</v>
      </c>
      <c r="L123" s="1">
        <f>Interpolate_Interval(G122,G124,L122,L124,G123)</f>
        <v>2.4492634887370857E-2</v>
      </c>
      <c r="M123" s="1">
        <f t="shared" si="13"/>
        <v>2.4492711237584786E-2</v>
      </c>
      <c r="N123" s="1">
        <f t="shared" si="14"/>
        <v>2.0375418336217078E-2</v>
      </c>
    </row>
    <row r="124" spans="7:14">
      <c r="G124" s="13">
        <f>G123+0.25</f>
        <v>27.75</v>
      </c>
      <c r="J124" s="15">
        <f>Interpolate_Interval(G123,G125,J123,J125,G124)</f>
        <v>0.5675417057435892</v>
      </c>
      <c r="L124" s="1">
        <f>(J122/J124-1)/0.5</f>
        <v>2.4593066756490867E-2</v>
      </c>
      <c r="M124" s="1">
        <f t="shared" si="13"/>
        <v>2.4543140263562968E-2</v>
      </c>
      <c r="N124" s="1">
        <f t="shared" si="14"/>
        <v>2.0412289802875148E-2</v>
      </c>
    </row>
    <row r="125" spans="7:14">
      <c r="G125" s="13">
        <f t="shared" ref="G125:G126" si="16">G124+0.25</f>
        <v>28</v>
      </c>
      <c r="I125" s="1">
        <f>Interpolate_Range($D$17:$D$31,$E$17:$E$31,G125)</f>
        <v>1.9308780000000001E-2</v>
      </c>
      <c r="J125" s="15">
        <f>(1-I125*K123)/(1+I125*0.5)</f>
        <v>0.56405939182121745</v>
      </c>
      <c r="K125" s="2">
        <f>K123+0.5*J125</f>
        <v>22.577325350373386</v>
      </c>
      <c r="L125" s="1">
        <f>Interpolate_Interval(G124,G126,L124,L126,G125)</f>
        <v>2.4694588141426443E-2</v>
      </c>
      <c r="M125" s="1">
        <f t="shared" si="13"/>
        <v>2.4694661398177331E-2</v>
      </c>
      <c r="N125" s="1">
        <f t="shared" si="14"/>
        <v>2.0449847442166953E-2</v>
      </c>
    </row>
    <row r="126" spans="7:14">
      <c r="G126" s="13">
        <f t="shared" si="16"/>
        <v>28.25</v>
      </c>
      <c r="J126" s="15">
        <f>Interpolate_Interval(G125,G127,J125,J127,G126)</f>
        <v>0.56059146209674204</v>
      </c>
      <c r="L126" s="1">
        <f>(J124/J126-1)/0.5</f>
        <v>2.479610952636202E-2</v>
      </c>
      <c r="M126" s="1">
        <f t="shared" si="13"/>
        <v>2.4744791592112847E-2</v>
      </c>
      <c r="N126" s="1">
        <f t="shared" si="14"/>
        <v>2.0487181249750543E-2</v>
      </c>
    </row>
    <row r="127" spans="7:14">
      <c r="G127" s="13">
        <f>G126+0.25</f>
        <v>28.5</v>
      </c>
      <c r="I127" s="1">
        <f>Interpolate_Range($D$17:$D$31,$E$17:$E$31,G127)</f>
        <v>1.9376910000000001E-2</v>
      </c>
      <c r="J127" s="15">
        <f>(1-I127*K125)/(1+I127*0.5)</f>
        <v>0.55712353237226664</v>
      </c>
      <c r="K127" s="2">
        <f>K125+0.5*J127</f>
        <v>22.855887116559519</v>
      </c>
      <c r="L127" s="1">
        <f>(J125/J127-1)/0.5</f>
        <v>2.4898820623919793E-2</v>
      </c>
      <c r="M127" s="1">
        <f t="shared" si="13"/>
        <v>2.4898820623919349E-2</v>
      </c>
      <c r="N127" s="1">
        <f t="shared" si="14"/>
        <v>2.0525202877436602E-2</v>
      </c>
    </row>
    <row r="128" spans="7:14">
      <c r="G128" s="13">
        <f t="shared" ref="G128" si="17">G127+0.25</f>
        <v>28.75</v>
      </c>
      <c r="J128" s="15">
        <f>Interpolate_Interval(G127,G129,J127,J129,G128)</f>
        <v>0.55367019933419037</v>
      </c>
      <c r="L128" s="1">
        <f>Interpolate_Interval(G127,G129,L127,L129,G128)</f>
        <v>2.500203546619395E-2</v>
      </c>
      <c r="M128" s="1">
        <f t="shared" si="13"/>
        <v>2.4948664690489508E-2</v>
      </c>
      <c r="N128" s="1">
        <f t="shared" si="14"/>
        <v>2.0562994002159329E-2</v>
      </c>
    </row>
    <row r="129" spans="7:14">
      <c r="G129" s="13">
        <f>G128+0.25</f>
        <v>29</v>
      </c>
      <c r="I129" s="1">
        <f>Interpolate_Range($D$17:$D$31,$E$17:$E$31,G129)</f>
        <v>1.944504E-2</v>
      </c>
      <c r="J129" s="15">
        <f>(1-I129*K127)/(1+I129*0.5)</f>
        <v>0.55021686629611422</v>
      </c>
      <c r="K129" s="2">
        <f>K127+0.5*J129</f>
        <v>23.130995549707574</v>
      </c>
      <c r="L129" s="1">
        <f>(J127/J129-1)/0.5</f>
        <v>2.5105250308468108E-2</v>
      </c>
      <c r="M129" s="1">
        <f t="shared" si="13"/>
        <v>2.510525030846722E-2</v>
      </c>
      <c r="N129" s="1">
        <f t="shared" si="14"/>
        <v>2.0601475038475682E-2</v>
      </c>
    </row>
    <row r="130" spans="7:14">
      <c r="G130" s="13">
        <f t="shared" ref="G130" si="18">G129+0.25</f>
        <v>29.25</v>
      </c>
      <c r="J130" s="15">
        <f>Interpolate_Interval(G129,G131,J129,J131,G130)</f>
        <v>0.54677833841008261</v>
      </c>
      <c r="L130" s="1">
        <f>Interpolate_Interval(G129,G131,L129,L131,G130)</f>
        <v>2.5209632130090309E-2</v>
      </c>
      <c r="M130" s="1">
        <f t="shared" si="13"/>
        <v>2.5154821575632091E-2</v>
      </c>
      <c r="N130" s="1">
        <f t="shared" si="14"/>
        <v>2.0639719320150664E-2</v>
      </c>
    </row>
    <row r="131" spans="7:14">
      <c r="G131" s="13">
        <f>G130+0.25</f>
        <v>29.5</v>
      </c>
      <c r="I131" s="1">
        <f>Interpolate_Range($D$17:$D$31,$E$17:$E$31,G131)</f>
        <v>1.951317E-2</v>
      </c>
      <c r="J131" s="15">
        <f>(1-I131*K129)/(1+I131*0.5)</f>
        <v>0.54333981052405089</v>
      </c>
      <c r="K131" s="2">
        <f>K129+0.5*J131</f>
        <v>23.4026654549696</v>
      </c>
      <c r="L131" s="1">
        <f>(J129/J131-1)/0.5</f>
        <v>2.5314013951712511E-2</v>
      </c>
      <c r="M131" s="1">
        <f t="shared" si="13"/>
        <v>2.5314013951712511E-2</v>
      </c>
      <c r="N131" s="1">
        <f t="shared" si="14"/>
        <v>2.0678656024087666E-2</v>
      </c>
    </row>
    <row r="132" spans="7:14">
      <c r="G132" s="13">
        <f t="shared" ref="G132" si="19">G131+0.25</f>
        <v>29.75</v>
      </c>
      <c r="J132" s="15">
        <f>Interpolate_Interval(G131,G133,J131,J133,G132)</f>
        <v>0.5399162922366938</v>
      </c>
      <c r="L132" s="1">
        <f>Interpolate_Interval(G131,G133,L131,L133,G132)</f>
        <v>2.5419595601813727E-2</v>
      </c>
      <c r="M132" s="1">
        <f t="shared" si="13"/>
        <v>2.5363326401391717E-2</v>
      </c>
      <c r="N132" s="1">
        <f t="shared" si="14"/>
        <v>2.0717350111471602E-2</v>
      </c>
    </row>
    <row r="133" spans="7:14">
      <c r="G133" s="13">
        <f>G132+0.25</f>
        <v>30</v>
      </c>
      <c r="I133" s="1">
        <f>Interpolate_Range($D$17:$D$31,$E$17:$E$31,G133)</f>
        <v>1.9581299999999999E-2</v>
      </c>
      <c r="J133" s="15">
        <f>(1-I133*K131)/(1+I133*0.5)</f>
        <v>0.5364927739493367</v>
      </c>
      <c r="K133" s="2">
        <f>K131+0.5*J133</f>
        <v>23.670911841944267</v>
      </c>
      <c r="L133" s="1">
        <f>(J131/J133-1)/0.5</f>
        <v>2.5525177251914943E-2</v>
      </c>
      <c r="M133" s="1">
        <f t="shared" si="13"/>
        <v>2.5525177251915387E-2</v>
      </c>
      <c r="N133" s="1">
        <f t="shared" si="14"/>
        <v>2.0756739529188231E-2</v>
      </c>
    </row>
    <row r="141" spans="7:14">
      <c r="J141" s="15"/>
      <c r="L141" s="1"/>
    </row>
    <row r="142" spans="7:14">
      <c r="J142" s="15"/>
      <c r="K142" s="2"/>
      <c r="L142" s="1"/>
    </row>
    <row r="143" spans="7:14">
      <c r="K143"/>
      <c r="L143" s="1"/>
    </row>
    <row r="144" spans="7:14">
      <c r="K144"/>
      <c r="L144" s="1"/>
    </row>
    <row r="145" spans="11:12">
      <c r="K145"/>
      <c r="L145" s="1"/>
    </row>
    <row r="146" spans="11:12">
      <c r="K146"/>
      <c r="L146" s="1"/>
    </row>
    <row r="147" spans="11:12">
      <c r="K147"/>
      <c r="L147" s="1"/>
    </row>
    <row r="148" spans="11:12">
      <c r="K148"/>
      <c r="L148" s="1"/>
    </row>
    <row r="149" spans="11:12">
      <c r="L149" s="1"/>
    </row>
    <row r="150" spans="11:12">
      <c r="L150" s="1"/>
    </row>
    <row r="151" spans="11:12">
      <c r="L151" s="1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151"/>
  <sheetViews>
    <sheetView zoomScale="85" zoomScaleNormal="85" workbookViewId="0"/>
  </sheetViews>
  <sheetFormatPr defaultRowHeight="13.5"/>
  <cols>
    <col min="1" max="1" width="9.5" bestFit="1" customWidth="1"/>
    <col min="5" max="6" width="12.75" customWidth="1"/>
    <col min="7" max="7" width="13" customWidth="1"/>
    <col min="8" max="8" width="13.875" bestFit="1" customWidth="1"/>
    <col min="9" max="9" width="8.875" customWidth="1"/>
    <col min="10" max="10" width="9.125" bestFit="1" customWidth="1"/>
    <col min="11" max="11" width="13" style="3" customWidth="1"/>
    <col min="12" max="12" width="12.125" customWidth="1"/>
    <col min="14" max="14" width="10.125" customWidth="1"/>
    <col min="16" max="16" width="21.875" bestFit="1" customWidth="1"/>
    <col min="17" max="17" width="8.875" customWidth="1"/>
    <col min="21" max="21" width="14.625" bestFit="1" customWidth="1"/>
    <col min="23" max="23" width="14.625" bestFit="1" customWidth="1"/>
  </cols>
  <sheetData>
    <row r="1" spans="1:24">
      <c r="A1" t="s">
        <v>64</v>
      </c>
    </row>
    <row r="2" spans="1:24">
      <c r="A2" s="22" t="s">
        <v>157</v>
      </c>
      <c r="B2" s="19"/>
      <c r="C2" s="19"/>
      <c r="D2" s="19"/>
      <c r="P2" s="22" t="s">
        <v>44</v>
      </c>
      <c r="Q2" s="20"/>
    </row>
    <row r="3" spans="1:24">
      <c r="O3" s="20"/>
      <c r="P3" s="20"/>
      <c r="Q3" s="20"/>
      <c r="R3" s="20"/>
      <c r="S3" s="20"/>
      <c r="T3" s="20"/>
      <c r="U3" s="20"/>
      <c r="V3" s="20"/>
      <c r="W3" s="20"/>
    </row>
    <row r="4" spans="1:24">
      <c r="O4" s="20"/>
      <c r="P4" s="20"/>
      <c r="Q4" s="20"/>
      <c r="R4" s="20"/>
      <c r="S4" s="20"/>
      <c r="T4" s="20"/>
      <c r="U4" s="20"/>
      <c r="V4" s="20"/>
      <c r="W4" s="20"/>
    </row>
    <row r="5" spans="1:24">
      <c r="O5" s="20"/>
      <c r="P5" s="20"/>
      <c r="Q5" s="20"/>
      <c r="R5" s="20"/>
      <c r="S5" s="20"/>
      <c r="T5" s="20"/>
      <c r="U5" s="20"/>
      <c r="V5" s="20"/>
      <c r="W5" s="20"/>
    </row>
    <row r="6" spans="1:24">
      <c r="O6" s="20"/>
      <c r="P6" s="20"/>
      <c r="Q6" s="20"/>
      <c r="R6" s="20"/>
      <c r="S6" s="20"/>
      <c r="T6" s="20"/>
      <c r="U6" s="20"/>
      <c r="V6" s="20"/>
      <c r="W6" s="20"/>
    </row>
    <row r="7" spans="1:24">
      <c r="O7" s="20"/>
      <c r="P7" s="20"/>
      <c r="Q7" s="20"/>
      <c r="R7" s="20"/>
      <c r="S7" s="20"/>
      <c r="T7" s="20"/>
      <c r="U7" s="20"/>
      <c r="V7" s="20"/>
      <c r="W7" s="20"/>
    </row>
    <row r="8" spans="1:24">
      <c r="G8" s="23" t="s">
        <v>49</v>
      </c>
      <c r="K8"/>
      <c r="P8" s="23" t="s">
        <v>30</v>
      </c>
      <c r="R8" s="29"/>
      <c r="S8" s="23" t="s">
        <v>50</v>
      </c>
      <c r="X8" s="29"/>
    </row>
    <row r="9" spans="1:24">
      <c r="A9" s="23" t="s">
        <v>23</v>
      </c>
      <c r="G9" t="s">
        <v>2</v>
      </c>
      <c r="H9" t="s">
        <v>18</v>
      </c>
      <c r="I9" t="s">
        <v>21</v>
      </c>
      <c r="J9" t="s">
        <v>19</v>
      </c>
      <c r="K9" t="s">
        <v>27</v>
      </c>
      <c r="L9" t="s">
        <v>5</v>
      </c>
      <c r="M9" t="s">
        <v>22</v>
      </c>
      <c r="N9" t="s">
        <v>4</v>
      </c>
      <c r="P9" t="s">
        <v>40</v>
      </c>
      <c r="Q9">
        <v>1</v>
      </c>
      <c r="S9" t="s">
        <v>33</v>
      </c>
      <c r="T9" t="s">
        <v>32</v>
      </c>
      <c r="U9" t="s">
        <v>41</v>
      </c>
      <c r="V9" t="s">
        <v>42</v>
      </c>
      <c r="W9" t="s">
        <v>41</v>
      </c>
    </row>
    <row r="10" spans="1:24">
      <c r="G10" s="2">
        <v>0</v>
      </c>
      <c r="H10" s="1">
        <f>Interpolate_Range($A$17:$A$26,$B$17:$B$26,G10)</f>
        <v>1.5901000000000001E-3</v>
      </c>
      <c r="J10" s="31">
        <v>1</v>
      </c>
      <c r="K10" s="2"/>
      <c r="N10" s="1">
        <f>N11</f>
        <v>1.590075755386107E-3</v>
      </c>
      <c r="P10" t="s">
        <v>34</v>
      </c>
      <c r="Q10" s="26">
        <v>0.02</v>
      </c>
      <c r="S10">
        <v>0</v>
      </c>
    </row>
    <row r="11" spans="1:24">
      <c r="B11" t="s">
        <v>77</v>
      </c>
      <c r="G11" s="2">
        <f t="shared" ref="G11:H15" si="0">A17</f>
        <v>1.9178082191780823E-2</v>
      </c>
      <c r="H11" s="1">
        <f t="shared" si="0"/>
        <v>1.5901000000000001E-3</v>
      </c>
      <c r="J11" s="27">
        <f t="shared" ref="J11" si="1">1/(1+H11*G11)</f>
        <v>0.99996950586142774</v>
      </c>
      <c r="K11" s="2"/>
      <c r="N11" s="1">
        <f t="shared" ref="N11" si="2">-LN(J11)/G11</f>
        <v>1.590075755386107E-3</v>
      </c>
      <c r="P11" t="s">
        <v>31</v>
      </c>
      <c r="Q11" s="12" t="s">
        <v>56</v>
      </c>
      <c r="S11">
        <v>0.5</v>
      </c>
      <c r="T11" s="1">
        <f>$Q$10/2</f>
        <v>0.01</v>
      </c>
      <c r="U11" s="1">
        <f t="shared" ref="U11:U30" si="3">T11*Interpolate_Range($G$10:$G$133,$J$10:$J$133,S11)</f>
        <v>9.9793298141559374E-3</v>
      </c>
      <c r="V11" s="1">
        <f t="shared" ref="V11:V30" si="4">Interpolate_Range($G$15:$G$133,$L$15:$L$133,S11)/2</f>
        <v>2.0713000000001092E-3</v>
      </c>
      <c r="W11" s="1">
        <f t="shared" ref="W11:W30" si="5">V11*Interpolate_Range($G$10:$G$133,$J$10:$J$133,S11)</f>
        <v>2.0670185844062282E-3</v>
      </c>
    </row>
    <row r="12" spans="1:24">
      <c r="A12" s="13">
        <v>0</v>
      </c>
      <c r="B12" s="35">
        <v>97.63</v>
      </c>
      <c r="C12" s="1"/>
      <c r="G12" s="2">
        <f t="shared" si="0"/>
        <v>8.3333333333333329E-2</v>
      </c>
      <c r="H12" s="1">
        <f t="shared" si="0"/>
        <v>1.9428000000000002E-3</v>
      </c>
      <c r="J12" s="27">
        <f>1/(1+H12*G12)</f>
        <v>0.99983812620736712</v>
      </c>
      <c r="K12" s="2"/>
      <c r="N12" s="1">
        <f t="shared" ref="N12:N35" si="6">-LN(J12)/G12</f>
        <v>1.9426427473114988E-3</v>
      </c>
      <c r="P12" t="s">
        <v>159</v>
      </c>
      <c r="Q12" s="41">
        <f>$B$12</f>
        <v>97.63</v>
      </c>
      <c r="S12">
        <v>1</v>
      </c>
      <c r="T12" s="1">
        <f t="shared" ref="T12:T30" si="7">$Q$10/2</f>
        <v>0.01</v>
      </c>
      <c r="U12" s="1">
        <f t="shared" si="3"/>
        <v>9.9315517453709042E-3</v>
      </c>
      <c r="V12" s="1">
        <f t="shared" si="4"/>
        <v>4.810735523509857E-3</v>
      </c>
      <c r="W12" s="1">
        <f t="shared" si="5"/>
        <v>4.7778068785032136E-3</v>
      </c>
    </row>
    <row r="13" spans="1:24">
      <c r="B13" s="1"/>
      <c r="C13" s="1"/>
      <c r="G13" s="2">
        <f t="shared" si="0"/>
        <v>0.16666666666666666</v>
      </c>
      <c r="H13" s="1">
        <f t="shared" si="0"/>
        <v>2.2836000000000002E-3</v>
      </c>
      <c r="J13" s="27">
        <f>1/(1+H13*G13)</f>
        <v>0.99961954480124871</v>
      </c>
      <c r="K13" s="2"/>
      <c r="N13" s="1">
        <f t="shared" si="6"/>
        <v>2.2831655411528341E-3</v>
      </c>
      <c r="P13" t="s">
        <v>38</v>
      </c>
      <c r="Q13" s="12" t="s">
        <v>57</v>
      </c>
      <c r="S13">
        <v>1.5</v>
      </c>
      <c r="T13" s="1">
        <f t="shared" si="7"/>
        <v>0.01</v>
      </c>
      <c r="U13" s="1">
        <f t="shared" si="3"/>
        <v>9.9394486052607287E-3</v>
      </c>
      <c r="V13" s="1">
        <f t="shared" si="4"/>
        <v>-7.9449677778353767E-4</v>
      </c>
      <c r="W13" s="1">
        <f t="shared" si="5"/>
        <v>-7.8968598898247267E-4</v>
      </c>
    </row>
    <row r="14" spans="1:24">
      <c r="B14" s="1"/>
      <c r="G14" s="2">
        <f t="shared" si="0"/>
        <v>0.25</v>
      </c>
      <c r="H14" s="1">
        <f t="shared" si="0"/>
        <v>2.7525000000000006E-3</v>
      </c>
      <c r="J14" s="27">
        <f>1/(1+H14*G14)</f>
        <v>0.9993123481904016</v>
      </c>
      <c r="K14" s="2"/>
      <c r="M14" s="1">
        <f>(J10/J14-1)/0.25</f>
        <v>2.7524999999997135E-3</v>
      </c>
      <c r="N14" s="1">
        <f t="shared" si="6"/>
        <v>2.7515534021951187E-3</v>
      </c>
      <c r="P14" t="s">
        <v>35</v>
      </c>
      <c r="Q14" s="12" t="s">
        <v>39</v>
      </c>
      <c r="S14">
        <v>2</v>
      </c>
      <c r="T14" s="1">
        <f t="shared" si="7"/>
        <v>0.01</v>
      </c>
      <c r="U14" s="1">
        <f t="shared" si="3"/>
        <v>9.9045881959342694E-3</v>
      </c>
      <c r="V14" s="1">
        <f t="shared" si="4"/>
        <v>3.5196222838189684E-3</v>
      </c>
      <c r="W14" s="1">
        <f t="shared" si="5"/>
        <v>3.4860409326460564E-3</v>
      </c>
    </row>
    <row r="15" spans="1:24">
      <c r="G15" s="2">
        <f t="shared" si="0"/>
        <v>0.5</v>
      </c>
      <c r="H15" s="1">
        <f t="shared" si="0"/>
        <v>4.1425999999999998E-3</v>
      </c>
      <c r="J15" s="27">
        <f>1/(1+H15*G15)</f>
        <v>0.99793298141559372</v>
      </c>
      <c r="K15" s="2">
        <f>K10+0.5*J15</f>
        <v>0.49896649070779686</v>
      </c>
      <c r="L15" s="1">
        <f>(J10/J15-1)/0.5</f>
        <v>4.1426000000002183E-3</v>
      </c>
      <c r="M15" s="1">
        <f>(J14/J15-1)/0.25</f>
        <v>5.5288954288341685E-3</v>
      </c>
      <c r="N15" s="1">
        <f t="shared" si="6"/>
        <v>4.1383156314320109E-3</v>
      </c>
      <c r="S15">
        <v>2.5</v>
      </c>
      <c r="T15" s="1">
        <f t="shared" si="7"/>
        <v>0.01</v>
      </c>
      <c r="U15" s="1">
        <f t="shared" si="3"/>
        <v>9.8444069166050262E-3</v>
      </c>
      <c r="V15" s="1">
        <f t="shared" si="4"/>
        <v>6.1132458094281805E-3</v>
      </c>
      <c r="W15" s="1">
        <f t="shared" si="5"/>
        <v>6.0181279329241475E-3</v>
      </c>
    </row>
    <row r="16" spans="1:24">
      <c r="B16" t="s">
        <v>147</v>
      </c>
      <c r="E16" t="s">
        <v>54</v>
      </c>
      <c r="G16" s="13">
        <f>G15+0.25</f>
        <v>0.75</v>
      </c>
      <c r="H16" s="1"/>
      <c r="J16" s="27">
        <f>Interpolate_Interval(G15,G17,J15,J17,G16)</f>
        <v>0.99554407797634203</v>
      </c>
      <c r="K16" s="2"/>
      <c r="L16" s="1">
        <f>Interpolate_Interval(G15,G17,L15,L17,G16)</f>
        <v>6.8820355235099662E-3</v>
      </c>
      <c r="M16" s="1">
        <f>(J15/J16-1)/0.25</f>
        <v>9.5983834050130667E-3</v>
      </c>
      <c r="N16" s="1">
        <f t="shared" si="6"/>
        <v>5.9545056456587414E-3</v>
      </c>
      <c r="P16" s="23" t="s">
        <v>43</v>
      </c>
      <c r="S16">
        <v>3</v>
      </c>
      <c r="T16" s="1">
        <f t="shared" si="7"/>
        <v>0.01</v>
      </c>
      <c r="U16" s="1">
        <f t="shared" si="3"/>
        <v>9.7700032213959478E-3</v>
      </c>
      <c r="V16" s="1">
        <f t="shared" si="4"/>
        <v>7.6155241224626913E-3</v>
      </c>
      <c r="W16" s="1">
        <f t="shared" si="5"/>
        <v>7.4403695209079041E-3</v>
      </c>
    </row>
    <row r="17" spans="1:23">
      <c r="A17" s="2">
        <f>7/365</f>
        <v>1.9178082191780823E-2</v>
      </c>
      <c r="B17" s="1">
        <v>1.5901000000000001E-3</v>
      </c>
      <c r="C17" s="1"/>
      <c r="D17">
        <v>1</v>
      </c>
      <c r="E17" s="1">
        <v>3.3140000000000001E-3</v>
      </c>
      <c r="G17" s="2">
        <f>A22</f>
        <v>1</v>
      </c>
      <c r="H17" s="1">
        <f>B22</f>
        <v>6.8920000000000006E-3</v>
      </c>
      <c r="J17" s="27">
        <f>1/(1+H17*G17)</f>
        <v>0.99315517453709046</v>
      </c>
      <c r="K17" s="2">
        <f>K15+0.5*J17</f>
        <v>0.99554407797634203</v>
      </c>
      <c r="L17" s="1">
        <f>(J15/J17-1)/0.5</f>
        <v>9.621471047019714E-3</v>
      </c>
      <c r="M17" s="1">
        <f>(J16/J17-1)/0.25</f>
        <v>9.6214710470192699E-3</v>
      </c>
      <c r="N17" s="1">
        <f t="shared" si="6"/>
        <v>6.8683587295990389E-3</v>
      </c>
      <c r="P17" t="s">
        <v>45</v>
      </c>
      <c r="Q17" s="15">
        <f>$Q$9*SUM(U11:U30)</f>
        <v>0.1799632911287741</v>
      </c>
      <c r="S17">
        <v>3.5</v>
      </c>
      <c r="T17" s="1">
        <f t="shared" si="7"/>
        <v>0.01</v>
      </c>
      <c r="U17" s="1">
        <f t="shared" si="3"/>
        <v>9.6643066904836868E-3</v>
      </c>
      <c r="V17" s="1">
        <f t="shared" si="4"/>
        <v>1.093679394677527E-2</v>
      </c>
      <c r="W17" s="1">
        <f t="shared" si="5"/>
        <v>1.0569653091226171E-2</v>
      </c>
    </row>
    <row r="18" spans="1:23">
      <c r="A18" s="2">
        <f>1/12</f>
        <v>8.3333333333333329E-2</v>
      </c>
      <c r="B18" s="1">
        <v>1.9428000000000002E-3</v>
      </c>
      <c r="C18" s="1"/>
      <c r="D18">
        <v>2</v>
      </c>
      <c r="E18" s="1">
        <v>4.7999999999999996E-3</v>
      </c>
      <c r="G18" s="13">
        <f>G17+0.25</f>
        <v>1.25</v>
      </c>
      <c r="J18" s="15">
        <f>Interpolate_Interval(G17,G19,J17,J19,G18)</f>
        <v>0.99355001753158168</v>
      </c>
      <c r="L18" s="1">
        <f>Interpolate_Interval(G17,G19,L17,L19,G18)</f>
        <v>4.0162387457263193E-3</v>
      </c>
      <c r="M18" s="1">
        <f>(J17/J18-1)/0.25</f>
        <v>-1.5896250315496907E-3</v>
      </c>
      <c r="N18" s="1">
        <f t="shared" si="6"/>
        <v>5.1766987879339563E-3</v>
      </c>
      <c r="P18" t="s">
        <v>46</v>
      </c>
      <c r="Q18" s="15">
        <f>$Q$9*SUM(W11:W30)</f>
        <v>0.25187368432184171</v>
      </c>
      <c r="S18">
        <v>4</v>
      </c>
      <c r="T18" s="1">
        <f t="shared" si="7"/>
        <v>0.01</v>
      </c>
      <c r="U18" s="1">
        <f t="shared" si="3"/>
        <v>9.5402250567706657E-3</v>
      </c>
      <c r="V18" s="1">
        <f t="shared" si="4"/>
        <v>1.3016606180225154E-2</v>
      </c>
      <c r="W18" s="1">
        <f t="shared" si="5"/>
        <v>1.2418135243469993E-2</v>
      </c>
    </row>
    <row r="19" spans="1:23">
      <c r="A19" s="2">
        <f>2/12</f>
        <v>0.16666666666666666</v>
      </c>
      <c r="B19" s="1">
        <v>2.2836000000000002E-3</v>
      </c>
      <c r="C19" s="1"/>
      <c r="D19">
        <v>3</v>
      </c>
      <c r="E19" s="1">
        <v>7.7479999999999997E-3</v>
      </c>
      <c r="G19" s="13">
        <f t="shared" ref="G19:G82" si="8">G18+0.25</f>
        <v>1.5</v>
      </c>
      <c r="H19" s="1"/>
      <c r="I19" s="1">
        <f>Interpolate_Range($D$17:$D$31,$E$17:$E$31,G19)</f>
        <v>4.0569999999999998E-3</v>
      </c>
      <c r="J19" s="15">
        <f>(1-I19*K17)/(1+I19*0.5)</f>
        <v>0.99394486052607289</v>
      </c>
      <c r="K19" s="2">
        <f>K17+0.5*J19</f>
        <v>1.4925165082393785</v>
      </c>
      <c r="L19" s="1">
        <f>(J17/J19-1)/0.5</f>
        <v>-1.5889935555670753E-3</v>
      </c>
      <c r="M19" s="1">
        <f t="shared" ref="M19:M82" si="9">(J18/J19-1)/0.25</f>
        <v>-1.5889935555670753E-3</v>
      </c>
      <c r="N19" s="1">
        <f t="shared" si="6"/>
        <v>4.049030781321422E-3</v>
      </c>
      <c r="P19" t="s">
        <v>47</v>
      </c>
      <c r="Q19" s="28">
        <f>Q12*(Q17-Q18)</f>
        <v>-7.0206116874391897</v>
      </c>
      <c r="S19">
        <v>4.5</v>
      </c>
      <c r="T19" s="1">
        <f t="shared" si="7"/>
        <v>0.01</v>
      </c>
      <c r="U19" s="1">
        <f t="shared" si="3"/>
        <v>9.3978774413987567E-3</v>
      </c>
      <c r="V19" s="1">
        <f t="shared" si="4"/>
        <v>1.5139689842276205E-2</v>
      </c>
      <c r="W19" s="1">
        <f t="shared" si="5"/>
        <v>1.4228094963850144E-2</v>
      </c>
    </row>
    <row r="20" spans="1:23">
      <c r="A20" s="2">
        <f>3/12</f>
        <v>0.25</v>
      </c>
      <c r="B20" s="1">
        <v>2.7525000000000006E-3</v>
      </c>
      <c r="C20" s="1"/>
      <c r="D20">
        <v>4</v>
      </c>
      <c r="E20" s="1">
        <v>1.1703E-2</v>
      </c>
      <c r="G20" s="13">
        <f t="shared" si="8"/>
        <v>1.75</v>
      </c>
      <c r="H20" s="1"/>
      <c r="J20" s="15">
        <f>Interpolate_Interval(G19,G21,J19,J21,G20)</f>
        <v>0.99220184005974987</v>
      </c>
      <c r="L20" s="1">
        <f>Interpolate_Interval(G19,G21,L19,L21,G20)</f>
        <v>2.7251255060354307E-3</v>
      </c>
      <c r="M20" s="1">
        <f t="shared" si="9"/>
        <v>7.0268785884053386E-3</v>
      </c>
      <c r="N20" s="1">
        <f t="shared" si="6"/>
        <v>4.4735569096359647E-3</v>
      </c>
      <c r="S20">
        <v>5</v>
      </c>
      <c r="T20" s="1">
        <f t="shared" si="7"/>
        <v>0.01</v>
      </c>
      <c r="U20" s="1">
        <f t="shared" si="3"/>
        <v>9.2381177579472801E-3</v>
      </c>
      <c r="V20" s="1">
        <f t="shared" si="4"/>
        <v>1.6934041295972202E-2</v>
      </c>
      <c r="W20" s="1">
        <f t="shared" si="5"/>
        <v>1.5643866761013335E-2</v>
      </c>
    </row>
    <row r="21" spans="1:23">
      <c r="A21" s="2">
        <f>6/12</f>
        <v>0.5</v>
      </c>
      <c r="B21" s="1">
        <v>4.1425999999999998E-3</v>
      </c>
      <c r="C21" s="1"/>
      <c r="D21">
        <v>5</v>
      </c>
      <c r="E21" s="1">
        <v>1.5675000000000001E-2</v>
      </c>
      <c r="G21" s="13">
        <f t="shared" si="8"/>
        <v>2</v>
      </c>
      <c r="H21" s="1"/>
      <c r="I21" s="1">
        <f>Interpolate_Range($D$17:$D$31,$E$17:$E$31,G21)</f>
        <v>4.7999999999999996E-3</v>
      </c>
      <c r="J21" s="15">
        <f>(1-I21*K19)/(1+I21*0.5)</f>
        <v>0.99045881959342685</v>
      </c>
      <c r="K21" s="2">
        <f>K19+0.5*J21</f>
        <v>1.9877459180360919</v>
      </c>
      <c r="L21" s="1">
        <f>(J19/J21-1)/0.5</f>
        <v>7.0392445676379367E-3</v>
      </c>
      <c r="M21" s="1">
        <f t="shared" si="9"/>
        <v>7.0392445676379367E-3</v>
      </c>
      <c r="N21" s="1">
        <f t="shared" si="6"/>
        <v>4.7934945402120805E-3</v>
      </c>
      <c r="S21">
        <v>5.5</v>
      </c>
      <c r="T21" s="1">
        <f t="shared" si="7"/>
        <v>0.01</v>
      </c>
      <c r="U21" s="1">
        <f t="shared" si="3"/>
        <v>9.0745287248383179E-3</v>
      </c>
      <c r="V21" s="1">
        <f t="shared" si="4"/>
        <v>1.8323271985366429E-2</v>
      </c>
      <c r="W21" s="1">
        <f t="shared" si="5"/>
        <v>1.6627505796423289E-2</v>
      </c>
    </row>
    <row r="22" spans="1:23">
      <c r="A22" s="2">
        <v>1</v>
      </c>
      <c r="B22" s="1">
        <v>6.8920000000000006E-3</v>
      </c>
      <c r="C22" s="1"/>
      <c r="D22">
        <v>6</v>
      </c>
      <c r="E22" s="1">
        <v>1.9154999999999998E-2</v>
      </c>
      <c r="G22" s="13">
        <f t="shared" si="8"/>
        <v>2.25</v>
      </c>
      <c r="H22" s="1"/>
      <c r="J22" s="15">
        <f>Interpolate_Interval(G21,G23,J21,J23,G22)</f>
        <v>0.9874497556269648</v>
      </c>
      <c r="L22" s="1">
        <f>Interpolate_Interval(G21,G23,L21,L23,G22)</f>
        <v>9.6328680932471489E-3</v>
      </c>
      <c r="M22" s="1">
        <f t="shared" si="9"/>
        <v>1.2189233727852411E-2</v>
      </c>
      <c r="N22" s="1">
        <f t="shared" si="6"/>
        <v>5.6131839462522726E-3</v>
      </c>
      <c r="S22">
        <v>6</v>
      </c>
      <c r="T22" s="1">
        <f t="shared" si="7"/>
        <v>0.01</v>
      </c>
      <c r="U22" s="1">
        <f t="shared" si="3"/>
        <v>8.8968517133258991E-3</v>
      </c>
      <c r="V22" s="1">
        <f t="shared" si="4"/>
        <v>1.9970773621672322E-2</v>
      </c>
      <c r="W22" s="1">
        <f t="shared" si="5"/>
        <v>1.7767701151241908E-2</v>
      </c>
    </row>
    <row r="23" spans="1:23">
      <c r="A23" s="49"/>
      <c r="B23" s="14"/>
      <c r="C23" s="1"/>
      <c r="D23">
        <v>7</v>
      </c>
      <c r="E23" s="1">
        <v>2.206E-2</v>
      </c>
      <c r="G23" s="13">
        <f t="shared" si="8"/>
        <v>2.5</v>
      </c>
      <c r="H23" s="1"/>
      <c r="I23" s="1">
        <f>Interpolate_Range($D$17:$D$31,$E$17:$E$31,G23)</f>
        <v>6.2740000000000001E-3</v>
      </c>
      <c r="J23" s="15">
        <f>(1-I23*K21)/(1+I23*0.5)</f>
        <v>0.98444069166050263</v>
      </c>
      <c r="K23" s="2">
        <f>K21+0.5*J23</f>
        <v>2.4799662638663431</v>
      </c>
      <c r="L23" s="1">
        <f>(J21/J23-1)/0.5</f>
        <v>1.2226491618856361E-2</v>
      </c>
      <c r="M23" s="1">
        <f t="shared" si="9"/>
        <v>1.2226491618856805E-2</v>
      </c>
      <c r="N23" s="1">
        <f t="shared" si="6"/>
        <v>6.2726499238026732E-3</v>
      </c>
      <c r="S23">
        <v>6.5</v>
      </c>
      <c r="T23" s="1">
        <f t="shared" si="7"/>
        <v>0.01</v>
      </c>
      <c r="U23" s="1">
        <f t="shared" si="3"/>
        <v>8.7233184483038045E-3</v>
      </c>
      <c r="V23" s="1">
        <f t="shared" si="4"/>
        <v>1.9893033373765689E-2</v>
      </c>
      <c r="W23" s="1">
        <f t="shared" si="5"/>
        <v>1.7353326502209353E-2</v>
      </c>
    </row>
    <row r="24" spans="1:23">
      <c r="A24" s="49"/>
      <c r="B24" s="14"/>
      <c r="C24" s="1"/>
      <c r="D24">
        <v>8</v>
      </c>
      <c r="E24" s="1">
        <v>2.4395E-2</v>
      </c>
      <c r="G24" s="13">
        <f t="shared" si="8"/>
        <v>2.75</v>
      </c>
      <c r="H24" s="1"/>
      <c r="J24" s="15">
        <f>Interpolate_Interval(G23,G25,J23,J25,G24)</f>
        <v>0.98072050690004864</v>
      </c>
      <c r="L24" s="1">
        <f>Interpolate_Interval(G23,G25,L23,L25,G24)</f>
        <v>1.3728769931890872E-2</v>
      </c>
      <c r="M24" s="1">
        <f t="shared" si="9"/>
        <v>1.5173272035324814E-2</v>
      </c>
      <c r="N24" s="1">
        <f t="shared" si="6"/>
        <v>7.0791877564807095E-3</v>
      </c>
      <c r="S24">
        <v>7</v>
      </c>
      <c r="T24" s="1">
        <f t="shared" si="7"/>
        <v>0.01</v>
      </c>
      <c r="U24" s="1">
        <f t="shared" si="3"/>
        <v>8.5391459855002749E-3</v>
      </c>
      <c r="V24" s="1">
        <f t="shared" si="4"/>
        <v>2.1568018993499027E-2</v>
      </c>
      <c r="W24" s="1">
        <f t="shared" si="5"/>
        <v>1.8417246280353086E-2</v>
      </c>
    </row>
    <row r="25" spans="1:23">
      <c r="A25" s="49"/>
      <c r="B25" s="14"/>
      <c r="C25" s="1"/>
      <c r="D25">
        <v>9</v>
      </c>
      <c r="E25" s="1">
        <v>2.6349999999999998E-2</v>
      </c>
      <c r="G25" s="13">
        <f t="shared" si="8"/>
        <v>3</v>
      </c>
      <c r="H25" s="1"/>
      <c r="I25" s="1">
        <f>Interpolate_Range($D$17:$D$31,$E$17:$E$31,G25)</f>
        <v>7.7479999999999997E-3</v>
      </c>
      <c r="J25" s="15">
        <f>(1-I25*K23)/(1+I25*0.5)</f>
        <v>0.97700032213959476</v>
      </c>
      <c r="K25" s="2">
        <f>K23+0.5*J25</f>
        <v>2.9684664249361403</v>
      </c>
      <c r="L25" s="1">
        <f>(J23/J25-1)/0.5</f>
        <v>1.5231048244925383E-2</v>
      </c>
      <c r="M25" s="1">
        <f t="shared" si="9"/>
        <v>1.5231048244925383E-2</v>
      </c>
      <c r="N25" s="1">
        <f t="shared" si="6"/>
        <v>7.7560990720598822E-3</v>
      </c>
      <c r="S25">
        <v>7.5</v>
      </c>
      <c r="T25" s="1">
        <f t="shared" si="7"/>
        <v>0.01</v>
      </c>
      <c r="U25" s="1">
        <f t="shared" si="3"/>
        <v>8.3646865964801843E-3</v>
      </c>
      <c r="V25" s="1">
        <f t="shared" si="4"/>
        <v>2.0856655776380295E-2</v>
      </c>
      <c r="W25" s="1">
        <f t="shared" si="5"/>
        <v>1.7445938902008927E-2</v>
      </c>
    </row>
    <row r="26" spans="1:23">
      <c r="A26" s="49"/>
      <c r="B26" s="14"/>
      <c r="C26" s="1"/>
      <c r="D26">
        <v>10</v>
      </c>
      <c r="E26" s="1">
        <v>2.801E-2</v>
      </c>
      <c r="G26" s="13">
        <f t="shared" si="8"/>
        <v>3.25</v>
      </c>
      <c r="H26" s="1"/>
      <c r="J26" s="15">
        <f>Interpolate_Interval(G25,G27,J25,J27,G26)</f>
        <v>0.97171549559398174</v>
      </c>
      <c r="L26" s="1">
        <f>Interpolate_Interval(G25,G27,L25,L27,G26)</f>
        <v>1.8552318069237961E-2</v>
      </c>
      <c r="M26" s="1">
        <f t="shared" si="9"/>
        <v>2.1754624968217229E-2</v>
      </c>
      <c r="N26" s="1">
        <f t="shared" si="6"/>
        <v>8.8283745762760338E-3</v>
      </c>
      <c r="S26">
        <v>8</v>
      </c>
      <c r="T26" s="1">
        <f t="shared" si="7"/>
        <v>0.01</v>
      </c>
      <c r="U26" s="1">
        <f t="shared" si="3"/>
        <v>8.1826814437096201E-3</v>
      </c>
      <c r="V26" s="1">
        <f t="shared" si="4"/>
        <v>2.224272740208888E-2</v>
      </c>
      <c r="W26" s="1">
        <f t="shared" si="5"/>
        <v>1.8200515277056416E-2</v>
      </c>
    </row>
    <row r="27" spans="1:23">
      <c r="C27" s="1"/>
      <c r="D27">
        <v>12</v>
      </c>
      <c r="E27" s="1">
        <v>3.0665000000000001E-2</v>
      </c>
      <c r="G27" s="13">
        <f t="shared" si="8"/>
        <v>3.5</v>
      </c>
      <c r="H27" s="1"/>
      <c r="I27" s="1">
        <f>Interpolate_Range($D$17:$D$31,$E$17:$E$31,G27)</f>
        <v>9.7254999999999998E-3</v>
      </c>
      <c r="J27" s="15">
        <f>(1-I27*K25)/(1+I27*0.5)</f>
        <v>0.96643066904836861</v>
      </c>
      <c r="K27" s="2">
        <f>K25+0.5*J27</f>
        <v>3.4516817594603246</v>
      </c>
      <c r="L27" s="1">
        <f>(J25/J27-1)/0.5</f>
        <v>2.1873587893550539E-2</v>
      </c>
      <c r="M27" s="1">
        <f t="shared" si="9"/>
        <v>2.1873587893550983E-2</v>
      </c>
      <c r="N27" s="1">
        <f t="shared" si="6"/>
        <v>9.7559191282287506E-3</v>
      </c>
      <c r="S27">
        <v>8.5</v>
      </c>
      <c r="T27" s="1">
        <f t="shared" si="7"/>
        <v>0.01</v>
      </c>
      <c r="U27" s="1">
        <f t="shared" si="3"/>
        <v>8.0082671795434195E-3</v>
      </c>
      <c r="V27" s="1">
        <f t="shared" si="4"/>
        <v>2.2192401458038358E-2</v>
      </c>
      <c r="W27" s="1">
        <f t="shared" si="5"/>
        <v>1.7772268023166012E-2</v>
      </c>
    </row>
    <row r="28" spans="1:23">
      <c r="C28" s="1"/>
      <c r="D28">
        <v>15</v>
      </c>
      <c r="E28" s="1">
        <v>3.3140999999999997E-2</v>
      </c>
      <c r="G28" s="13">
        <f t="shared" si="8"/>
        <v>3.75</v>
      </c>
      <c r="H28" s="1"/>
      <c r="J28" s="15">
        <f>Interpolate_Interval(G27,G29,J27,J29,G28)</f>
        <v>0.9602265873627176</v>
      </c>
      <c r="L28" s="1">
        <f>(J26/J28-1)/0.5</f>
        <v>2.3929577419468551E-2</v>
      </c>
      <c r="M28" s="1">
        <f t="shared" si="9"/>
        <v>2.5844240379515604E-2</v>
      </c>
      <c r="N28" s="1">
        <f t="shared" si="6"/>
        <v>1.0822931698071771E-2</v>
      </c>
      <c r="S28">
        <v>9</v>
      </c>
      <c r="T28" s="1">
        <f t="shared" si="7"/>
        <v>0.01</v>
      </c>
      <c r="U28" s="1">
        <f t="shared" si="3"/>
        <v>7.8283946547237152E-3</v>
      </c>
      <c r="V28" s="1">
        <f t="shared" si="4"/>
        <v>2.256231800435915E-2</v>
      </c>
      <c r="W28" s="1">
        <f t="shared" si="5"/>
        <v>1.7662672966350181E-2</v>
      </c>
    </row>
    <row r="29" spans="1:23">
      <c r="C29" s="1"/>
      <c r="D29">
        <v>20</v>
      </c>
      <c r="E29" s="1">
        <v>3.5104000000000003E-2</v>
      </c>
      <c r="G29" s="13">
        <f t="shared" si="8"/>
        <v>4</v>
      </c>
      <c r="H29" s="1"/>
      <c r="I29" s="1">
        <f>Interpolate_Range($D$17:$D$31,$E$17:$E$31,G29)</f>
        <v>1.1703E-2</v>
      </c>
      <c r="J29" s="15">
        <f>(1-I29*K27)/(1+I29*0.5)</f>
        <v>0.95402250567706659</v>
      </c>
      <c r="K29" s="2">
        <f>K27+0.5*J29</f>
        <v>3.9286930122988579</v>
      </c>
      <c r="L29" s="1">
        <f>Interpolate_Interval(G28,G30,L28,L30,G29)</f>
        <v>2.6033212360450309E-2</v>
      </c>
      <c r="M29" s="1">
        <f t="shared" si="9"/>
        <v>2.6012307461229511E-2</v>
      </c>
      <c r="N29" s="1">
        <f t="shared" si="6"/>
        <v>1.1767004238911619E-2</v>
      </c>
      <c r="S29">
        <v>9.5</v>
      </c>
      <c r="T29" s="1">
        <f t="shared" si="7"/>
        <v>0.01</v>
      </c>
      <c r="U29" s="1">
        <f t="shared" si="3"/>
        <v>7.6559468292841668E-3</v>
      </c>
      <c r="V29" s="1">
        <f t="shared" si="4"/>
        <v>2.2898555951198052E-2</v>
      </c>
      <c r="W29" s="1">
        <f t="shared" si="5"/>
        <v>1.7531012682976081E-2</v>
      </c>
    </row>
    <row r="30" spans="1:23">
      <c r="C30" s="1"/>
      <c r="D30">
        <v>25</v>
      </c>
      <c r="E30" s="1">
        <v>3.6501499999999999E-2</v>
      </c>
      <c r="G30" s="13">
        <f t="shared" si="8"/>
        <v>4.25</v>
      </c>
      <c r="H30" s="1"/>
      <c r="J30" s="15">
        <f>Interpolate_Interval(G29,G31,J29,J31,G30)</f>
        <v>0.94690512490847112</v>
      </c>
      <c r="L30" s="1">
        <f>(J28/J30-1)/0.5</f>
        <v>2.8136847301432066E-2</v>
      </c>
      <c r="M30" s="1">
        <f t="shared" si="9"/>
        <v>3.0065866500757821E-2</v>
      </c>
      <c r="N30" s="1">
        <f t="shared" si="6"/>
        <v>1.2836794283679571E-2</v>
      </c>
      <c r="S30">
        <v>10</v>
      </c>
      <c r="T30" s="1">
        <f t="shared" si="7"/>
        <v>0.01</v>
      </c>
      <c r="U30" s="1">
        <f t="shared" si="3"/>
        <v>7.4796141077415178E-3</v>
      </c>
      <c r="V30" s="1">
        <f t="shared" si="4"/>
        <v>2.3044061594370446E-2</v>
      </c>
      <c r="W30" s="1">
        <f t="shared" si="5"/>
        <v>1.7236068820091769E-2</v>
      </c>
    </row>
    <row r="31" spans="1:23">
      <c r="B31" s="1"/>
      <c r="D31">
        <v>30</v>
      </c>
      <c r="E31" s="1">
        <v>3.6510000000000001E-2</v>
      </c>
      <c r="G31" s="13">
        <f t="shared" si="8"/>
        <v>4.5</v>
      </c>
      <c r="H31" s="1"/>
      <c r="I31" s="1">
        <f>Interpolate_Range($D$17:$D$31,$E$17:$E$31,G31)</f>
        <v>1.3689E-2</v>
      </c>
      <c r="J31" s="15">
        <f>(1-I31*K29)/(1+I31*0.5)</f>
        <v>0.93978774413987565</v>
      </c>
      <c r="K31" s="2">
        <f>K29+0.5*J31</f>
        <v>4.3985868843687959</v>
      </c>
      <c r="L31" s="1">
        <f>Interpolate_Interval(G30,G32,L30,L32,G31)</f>
        <v>3.027937968455241E-2</v>
      </c>
      <c r="M31" s="1">
        <f t="shared" si="9"/>
        <v>3.0293567086723705E-2</v>
      </c>
      <c r="N31" s="1">
        <f t="shared" si="6"/>
        <v>1.3800274071597417E-2</v>
      </c>
      <c r="T31" s="1"/>
      <c r="U31" s="1"/>
      <c r="V31" s="1"/>
      <c r="W31" s="1"/>
    </row>
    <row r="32" spans="1:23">
      <c r="G32" s="13">
        <f t="shared" si="8"/>
        <v>4.75</v>
      </c>
      <c r="H32" s="1"/>
      <c r="J32" s="15">
        <f>Interpolate_Interval(G31,G33,J31,J33,G32)</f>
        <v>0.9317997599673018</v>
      </c>
      <c r="L32" s="1">
        <f>(J30/J32-1)/0.5</f>
        <v>3.2421912067672753E-2</v>
      </c>
      <c r="M32" s="1">
        <f t="shared" si="9"/>
        <v>3.429056119462448E-2</v>
      </c>
      <c r="N32" s="1">
        <f t="shared" si="6"/>
        <v>1.4871018358014016E-2</v>
      </c>
      <c r="T32" s="1"/>
      <c r="U32" s="1"/>
      <c r="V32" s="1"/>
      <c r="W32" s="1"/>
    </row>
    <row r="33" spans="1:23">
      <c r="G33" s="13">
        <f t="shared" si="8"/>
        <v>5</v>
      </c>
      <c r="H33" s="1"/>
      <c r="I33" s="1">
        <f>Interpolate_Range($D$17:$D$31,$E$17:$E$31,G33)</f>
        <v>1.5675000000000001E-2</v>
      </c>
      <c r="J33" s="15">
        <f>(1-I33*K31)/(1+I33*0.5)</f>
        <v>0.92381177579472795</v>
      </c>
      <c r="K33" s="2">
        <f>K31+0.5*J33</f>
        <v>4.8604927722661602</v>
      </c>
      <c r="L33" s="1">
        <f>Interpolate_Interval(G32,G34,L32,L34,G33)</f>
        <v>3.3868082591944404E-2</v>
      </c>
      <c r="M33" s="1">
        <f t="shared" si="9"/>
        <v>3.4587063650285188E-2</v>
      </c>
      <c r="N33" s="1">
        <f t="shared" si="6"/>
        <v>1.5849386788233829E-2</v>
      </c>
      <c r="T33" s="1"/>
      <c r="U33" s="1"/>
      <c r="V33" s="1"/>
      <c r="W33" s="1"/>
    </row>
    <row r="34" spans="1:23">
      <c r="G34" s="13">
        <f t="shared" si="8"/>
        <v>5.25</v>
      </c>
      <c r="H34" s="1"/>
      <c r="J34" s="15">
        <f>Interpolate_Interval(G33,G35,J33,J35,G34)</f>
        <v>0.91563232413927986</v>
      </c>
      <c r="L34" s="1">
        <f>(J32/J34-1)/0.5</f>
        <v>3.5314253116216054E-2</v>
      </c>
      <c r="M34" s="1">
        <f t="shared" si="9"/>
        <v>3.5732472259045522E-2</v>
      </c>
      <c r="N34" s="1">
        <f t="shared" si="6"/>
        <v>1.6788645285472931E-2</v>
      </c>
      <c r="T34" s="1"/>
      <c r="U34" s="1"/>
      <c r="V34" s="1"/>
      <c r="W34" s="1"/>
    </row>
    <row r="35" spans="1:23">
      <c r="C35" s="1"/>
      <c r="G35" s="13">
        <f t="shared" si="8"/>
        <v>5.5</v>
      </c>
      <c r="H35" s="1"/>
      <c r="I35" s="1">
        <f>Interpolate_Range($D$17:$D$31,$E$17:$E$31,G35)</f>
        <v>1.7415E-2</v>
      </c>
      <c r="J35" s="15">
        <f>(1-I35*K33)/(1+I35*0.5)</f>
        <v>0.90745287248383177</v>
      </c>
      <c r="K35" s="2">
        <f>K33+0.5*J35</f>
        <v>5.3142192085080762</v>
      </c>
      <c r="L35" s="1">
        <f>Interpolate_Interval(G34,G36,L34,L36,G35)</f>
        <v>3.6646543970732859E-2</v>
      </c>
      <c r="M35" s="1">
        <f t="shared" si="9"/>
        <v>3.605455182729056E-2</v>
      </c>
      <c r="N35" s="1">
        <f t="shared" si="6"/>
        <v>1.7657026425253224E-2</v>
      </c>
      <c r="T35" s="1"/>
      <c r="U35" s="1"/>
      <c r="V35" s="1"/>
      <c r="W35" s="1"/>
    </row>
    <row r="36" spans="1:23">
      <c r="G36" s="13">
        <f t="shared" si="8"/>
        <v>5.75</v>
      </c>
      <c r="H36" s="1"/>
      <c r="J36" s="15">
        <f>Interpolate_Interval(G35,G37,J35,J37,G36)</f>
        <v>0.89856902190821086</v>
      </c>
      <c r="L36" s="1">
        <f>(J34/J36-1)/0.5</f>
        <v>3.7978834825249663E-2</v>
      </c>
      <c r="M36" s="1">
        <f t="shared" si="9"/>
        <v>3.9546658560541736E-2</v>
      </c>
      <c r="N36" s="1">
        <f t="shared" ref="N36:N67" si="10">-LN(J36)/G36</f>
        <v>1.8600305507495096E-2</v>
      </c>
      <c r="T36" s="1"/>
      <c r="U36" s="1"/>
      <c r="V36" s="1"/>
      <c r="W36" s="1"/>
    </row>
    <row r="37" spans="1:23">
      <c r="G37" s="13">
        <f t="shared" si="8"/>
        <v>6</v>
      </c>
      <c r="H37" s="1"/>
      <c r="I37" s="1">
        <f>Interpolate_Range($D$17:$D$31,$E$17:$E$31,G37)</f>
        <v>1.9154999999999998E-2</v>
      </c>
      <c r="J37" s="15">
        <f>(1-I37*K35)/(1+I37*0.5)</f>
        <v>0.88968517133258995</v>
      </c>
      <c r="K37" s="2">
        <f>K35+0.5*J37</f>
        <v>5.7590617941743716</v>
      </c>
      <c r="L37" s="1">
        <f>(J35/J37-1)/0.5</f>
        <v>3.9941547243344644E-2</v>
      </c>
      <c r="M37" s="1">
        <f t="shared" si="9"/>
        <v>3.9941547243344644E-2</v>
      </c>
      <c r="N37" s="1">
        <f t="shared" si="10"/>
        <v>1.94812698187454E-2</v>
      </c>
      <c r="T37" s="1"/>
      <c r="U37" s="1"/>
      <c r="V37" s="1"/>
      <c r="W37" s="1"/>
    </row>
    <row r="38" spans="1:23">
      <c r="G38" s="13">
        <f t="shared" si="8"/>
        <v>6.25</v>
      </c>
      <c r="H38" s="1"/>
      <c r="J38" s="15">
        <f>Interpolate_Interval(G37,G39,J37,J39,G38)</f>
        <v>0.88100850808148523</v>
      </c>
      <c r="L38" s="1">
        <f>Interpolate_Interval(G37,G39,L37,L39,G38)</f>
        <v>3.9863806995438011E-2</v>
      </c>
      <c r="M38" s="1">
        <f t="shared" si="9"/>
        <v>3.939423136786413E-2</v>
      </c>
      <c r="N38" s="1">
        <f t="shared" si="10"/>
        <v>2.0270079326780596E-2</v>
      </c>
      <c r="T38" s="1"/>
      <c r="U38" s="1"/>
      <c r="V38" s="1"/>
      <c r="W38" s="1"/>
    </row>
    <row r="39" spans="1:23">
      <c r="A39" s="15"/>
      <c r="G39" s="13">
        <f t="shared" si="8"/>
        <v>6.5</v>
      </c>
      <c r="H39" s="1"/>
      <c r="I39" s="1">
        <f>Interpolate_Range($D$17:$D$31,$E$17:$E$31,G39)</f>
        <v>2.0607500000000001E-2</v>
      </c>
      <c r="J39" s="15">
        <f>(1-I39*K37)/(1+I39*0.5)</f>
        <v>0.87233184483038051</v>
      </c>
      <c r="K39" s="2">
        <f>K37+0.5*J39</f>
        <v>6.195227716589562</v>
      </c>
      <c r="L39" s="1">
        <f>(J37/J39-1)/0.5</f>
        <v>3.9786066747531379E-2</v>
      </c>
      <c r="M39" s="1">
        <f t="shared" si="9"/>
        <v>3.9786066747531379E-2</v>
      </c>
      <c r="N39" s="1">
        <f t="shared" si="10"/>
        <v>2.1013134072012718E-2</v>
      </c>
      <c r="T39" s="1"/>
      <c r="U39" s="1"/>
      <c r="V39" s="1"/>
      <c r="W39" s="1"/>
    </row>
    <row r="40" spans="1:23">
      <c r="A40" s="15"/>
      <c r="G40" s="13">
        <f t="shared" si="8"/>
        <v>6.75</v>
      </c>
      <c r="H40" s="1"/>
      <c r="J40" s="15">
        <f>Interpolate_Interval(G39,G41,J39,J41,G40)</f>
        <v>0.86312322169020395</v>
      </c>
      <c r="L40" s="1">
        <f>Interpolate_Interval(G39,G41,L39,L41,G40)</f>
        <v>4.1461052367264717E-2</v>
      </c>
      <c r="M40" s="1">
        <f t="shared" si="9"/>
        <v>4.2675821522419E-2</v>
      </c>
      <c r="N40" s="1">
        <f t="shared" si="10"/>
        <v>2.1807083723878504E-2</v>
      </c>
      <c r="T40" s="1"/>
      <c r="U40" s="1"/>
      <c r="V40" s="1"/>
      <c r="W40" s="1"/>
    </row>
    <row r="41" spans="1:23">
      <c r="A41" s="15"/>
      <c r="G41" s="13">
        <f t="shared" si="8"/>
        <v>7</v>
      </c>
      <c r="H41" s="1"/>
      <c r="I41" s="1">
        <f>Interpolate_Range($D$17:$D$31,$E$17:$E$31,G41)</f>
        <v>2.206E-2</v>
      </c>
      <c r="J41" s="15">
        <f>(1-I41*K39)/(1+I41*0.5)</f>
        <v>0.85391459855002738</v>
      </c>
      <c r="K41" s="2">
        <f>K39+0.5*J41</f>
        <v>6.6221850158645754</v>
      </c>
      <c r="L41" s="1">
        <f>(J39/J41-1)/0.5</f>
        <v>4.3136037986998055E-2</v>
      </c>
      <c r="M41" s="1">
        <f t="shared" si="9"/>
        <v>4.3136037986998055E-2</v>
      </c>
      <c r="N41" s="1">
        <f t="shared" si="10"/>
        <v>2.2560584555990082E-2</v>
      </c>
      <c r="T41" s="1"/>
      <c r="U41" s="1"/>
      <c r="V41" s="1"/>
      <c r="W41" s="1"/>
    </row>
    <row r="42" spans="1:23">
      <c r="A42" s="15"/>
      <c r="G42" s="13">
        <f t="shared" si="8"/>
        <v>7.25</v>
      </c>
      <c r="H42" s="1"/>
      <c r="J42" s="15">
        <f>Interpolate_Interval(G41,G43,J41,J43,G42)</f>
        <v>0.8451916290990229</v>
      </c>
      <c r="L42" s="1">
        <f>Interpolate_Interval(G41,G43,L41,L43,G42)</f>
        <v>4.2424674769879323E-2</v>
      </c>
      <c r="M42" s="1">
        <f t="shared" si="9"/>
        <v>4.1282800968121869E-2</v>
      </c>
      <c r="N42" s="1">
        <f t="shared" si="10"/>
        <v>2.3198882391285026E-2</v>
      </c>
      <c r="T42" s="1"/>
      <c r="U42" s="1"/>
      <c r="V42" s="1"/>
      <c r="W42" s="1"/>
    </row>
    <row r="43" spans="1:23">
      <c r="A43" s="15"/>
      <c r="G43" s="13">
        <f t="shared" si="8"/>
        <v>7.5</v>
      </c>
      <c r="H43" s="1"/>
      <c r="I43" s="1">
        <f>Interpolate_Range($D$17:$D$31,$E$17:$E$31,G43)</f>
        <v>2.3227499999999998E-2</v>
      </c>
      <c r="J43" s="15">
        <f>(1-I43*K41)/(1+I43*0.5)</f>
        <v>0.83646865964801842</v>
      </c>
      <c r="K43" s="2">
        <f>K41+0.5*J43</f>
        <v>7.0404193456885844</v>
      </c>
      <c r="L43" s="1">
        <f>(J41/J43-1)/0.5</f>
        <v>4.171331155276059E-2</v>
      </c>
      <c r="M43" s="1">
        <f t="shared" si="9"/>
        <v>4.1713311552761034E-2</v>
      </c>
      <c r="N43" s="1">
        <f t="shared" si="10"/>
        <v>2.380883004113481E-2</v>
      </c>
      <c r="T43" s="1"/>
      <c r="U43" s="1"/>
      <c r="V43" s="1"/>
      <c r="W43" s="1"/>
    </row>
    <row r="44" spans="1:23">
      <c r="A44" s="15"/>
      <c r="G44" s="13">
        <f t="shared" si="8"/>
        <v>7.75</v>
      </c>
      <c r="H44" s="1"/>
      <c r="J44" s="15">
        <f>Interpolate_Interval(G43,G45,J43,J45,G44)</f>
        <v>0.82736840200949024</v>
      </c>
      <c r="L44" s="1">
        <f>Interpolate_Interval(G43,G45,L43,L45,G44)</f>
        <v>4.3099383178469175E-2</v>
      </c>
      <c r="M44" s="1">
        <f t="shared" si="9"/>
        <v>4.3996157534785141E-2</v>
      </c>
      <c r="N44" s="1">
        <f t="shared" si="10"/>
        <v>2.4452285829922538E-2</v>
      </c>
      <c r="T44" s="1"/>
      <c r="U44" s="1"/>
      <c r="V44" s="1"/>
      <c r="W44" s="1"/>
    </row>
    <row r="45" spans="1:23">
      <c r="A45" s="15"/>
      <c r="G45" s="13">
        <f t="shared" si="8"/>
        <v>8</v>
      </c>
      <c r="H45" s="1"/>
      <c r="I45" s="1">
        <f>Interpolate_Range($D$17:$D$31,$E$17:$E$31,G45)</f>
        <v>2.4395E-2</v>
      </c>
      <c r="J45" s="15">
        <f>(1-I45*K43)/(1+I45*0.5)</f>
        <v>0.81826814437096207</v>
      </c>
      <c r="K45" s="2">
        <f>K43+0.5*J45</f>
        <v>7.4495534178740659</v>
      </c>
      <c r="L45" s="1">
        <f>(J43/J45-1)/0.5</f>
        <v>4.448545480417776E-2</v>
      </c>
      <c r="M45" s="1">
        <f t="shared" si="9"/>
        <v>4.4485454804177316E-2</v>
      </c>
      <c r="N45" s="1">
        <f t="shared" si="10"/>
        <v>2.5070648905148225E-2</v>
      </c>
      <c r="T45" s="1"/>
      <c r="U45" s="1"/>
      <c r="V45" s="1"/>
      <c r="W45" s="1"/>
    </row>
    <row r="46" spans="1:23">
      <c r="A46" s="15"/>
      <c r="G46" s="13">
        <f t="shared" si="8"/>
        <v>8.25</v>
      </c>
      <c r="H46" s="1"/>
      <c r="J46" s="15">
        <f>Interpolate_Interval(G45,G47,J45,J47,G46)</f>
        <v>0.80954743116265204</v>
      </c>
      <c r="L46" s="1">
        <f>(J44/J46-1)/0.5</f>
        <v>4.4026996222430448E-2</v>
      </c>
      <c r="M46" s="1">
        <f t="shared" si="9"/>
        <v>4.3089325579283688E-2</v>
      </c>
      <c r="N46" s="1">
        <f t="shared" si="10"/>
        <v>2.5609686596535015E-2</v>
      </c>
      <c r="T46" s="1"/>
      <c r="U46" s="1"/>
      <c r="V46" s="1"/>
      <c r="W46" s="1"/>
    </row>
    <row r="47" spans="1:23">
      <c r="A47" s="15"/>
      <c r="G47" s="13">
        <f t="shared" si="8"/>
        <v>8.5</v>
      </c>
      <c r="H47" s="1"/>
      <c r="I47" s="1">
        <f>Interpolate_Range($D$17:$D$31,$E$17:$E$31,G47)</f>
        <v>2.5372499999999999E-2</v>
      </c>
      <c r="J47" s="15">
        <f>(1-I47*K45)/(1+I47*0.5)</f>
        <v>0.80082671795434202</v>
      </c>
      <c r="K47" s="2">
        <f>K45+0.5*J47</f>
        <v>7.8499667768512369</v>
      </c>
      <c r="L47" s="1">
        <f>Interpolate_Interval(G46,G48,L46,L48,G47)</f>
        <v>4.4384802916076715E-2</v>
      </c>
      <c r="M47" s="1">
        <f t="shared" si="9"/>
        <v>4.355855274452658E-2</v>
      </c>
      <c r="N47" s="1">
        <f t="shared" si="10"/>
        <v>2.6130669112805417E-2</v>
      </c>
      <c r="T47" s="1"/>
      <c r="U47" s="1"/>
      <c r="V47" s="1"/>
      <c r="W47" s="1"/>
    </row>
    <row r="48" spans="1:23">
      <c r="A48" s="15"/>
      <c r="G48" s="13">
        <f t="shared" si="8"/>
        <v>8.75</v>
      </c>
      <c r="H48" s="1"/>
      <c r="J48" s="15">
        <f>Interpolate_Interval(G47,G49,J47,J49,G48)</f>
        <v>0.7918330917133567</v>
      </c>
      <c r="L48" s="1">
        <f>(J46/J48-1)/0.5</f>
        <v>4.4742609609722983E-2</v>
      </c>
      <c r="M48" s="1">
        <f t="shared" si="9"/>
        <v>4.5431929203792798E-2</v>
      </c>
      <c r="N48" s="1">
        <f t="shared" si="10"/>
        <v>2.6674817390086664E-2</v>
      </c>
      <c r="T48" s="1"/>
      <c r="U48" s="1"/>
      <c r="V48" s="1"/>
      <c r="W48" s="1"/>
    </row>
    <row r="49" spans="1:23">
      <c r="A49" s="15"/>
      <c r="G49" s="13">
        <f t="shared" si="8"/>
        <v>9</v>
      </c>
      <c r="H49" s="1"/>
      <c r="I49" s="1">
        <f>Interpolate_Range($D$17:$D$31,$E$17:$E$31,G49)</f>
        <v>2.6349999999999998E-2</v>
      </c>
      <c r="J49" s="15">
        <f>(1-I49*K47)/(1+I49*0.5)</f>
        <v>0.78283946547237149</v>
      </c>
      <c r="K49" s="2">
        <f>K47+0.5*J49</f>
        <v>8.2413865095874232</v>
      </c>
      <c r="L49" s="1">
        <f>Interpolate_Interval(G48,G50,L48,L50,G49)</f>
        <v>4.51246360087183E-2</v>
      </c>
      <c r="M49" s="1">
        <f t="shared" si="9"/>
        <v>4.5953872474012059E-2</v>
      </c>
      <c r="N49" s="1">
        <f t="shared" si="10"/>
        <v>2.7203069883480008E-2</v>
      </c>
      <c r="T49" s="1"/>
      <c r="U49" s="1"/>
      <c r="V49" s="1"/>
      <c r="W49" s="1"/>
    </row>
    <row r="50" spans="1:23">
      <c r="A50" s="15"/>
      <c r="G50" s="13">
        <f t="shared" si="8"/>
        <v>9.25</v>
      </c>
      <c r="H50" s="1"/>
      <c r="J50" s="15">
        <f>Interpolate_Interval(G49,G51,J49,J51,G50)</f>
        <v>0.7742170742003941</v>
      </c>
      <c r="L50" s="1">
        <f>(J48/J50-1)/0.5</f>
        <v>4.5506662407713616E-2</v>
      </c>
      <c r="M50" s="1">
        <f t="shared" si="9"/>
        <v>4.4547667879231589E-2</v>
      </c>
      <c r="N50" s="1">
        <f t="shared" si="10"/>
        <v>2.7665187793518842E-2</v>
      </c>
      <c r="T50" s="1"/>
      <c r="U50" s="1"/>
      <c r="V50" s="1"/>
      <c r="W50" s="1"/>
    </row>
    <row r="51" spans="1:23">
      <c r="A51" s="15"/>
      <c r="G51" s="13">
        <f t="shared" si="8"/>
        <v>9.5</v>
      </c>
      <c r="H51" s="1"/>
      <c r="I51" s="1">
        <f>Interpolate_Range($D$17:$D$31,$E$17:$E$31,G51)</f>
        <v>2.7179999999999999E-2</v>
      </c>
      <c r="J51" s="15">
        <f>(1-I51*K49)/(1+I51*0.5)</f>
        <v>0.7655946829284167</v>
      </c>
      <c r="K51" s="2">
        <f>K49+0.5*J51</f>
        <v>8.6241838510516313</v>
      </c>
      <c r="L51" s="1">
        <f>Interpolate_Interval(G50,G52,L50,L52,G51)</f>
        <v>4.5797111902396104E-2</v>
      </c>
      <c r="M51" s="1">
        <f t="shared" si="9"/>
        <v>4.5049379073514473E-2</v>
      </c>
      <c r="N51" s="1">
        <f t="shared" si="10"/>
        <v>2.8116040404299093E-2</v>
      </c>
    </row>
    <row r="52" spans="1:23">
      <c r="A52" s="15"/>
      <c r="G52" s="13">
        <f t="shared" si="8"/>
        <v>9.75</v>
      </c>
      <c r="H52" s="1"/>
      <c r="J52" s="15">
        <f>Interpolate_Interval(G51,G53,J51,J53,G52)</f>
        <v>0.75677804685128425</v>
      </c>
      <c r="L52" s="1">
        <f>(J50/J52-1)/0.5</f>
        <v>4.6087561397078591E-2</v>
      </c>
      <c r="M52" s="1">
        <f t="shared" si="9"/>
        <v>4.6600908225684634E-2</v>
      </c>
      <c r="N52" s="1">
        <f t="shared" si="10"/>
        <v>2.8583104566723944E-2</v>
      </c>
    </row>
    <row r="53" spans="1:23">
      <c r="A53" s="15"/>
      <c r="G53" s="13">
        <f t="shared" si="8"/>
        <v>10</v>
      </c>
      <c r="H53" s="1"/>
      <c r="I53" s="1">
        <f>Interpolate_Range($D$17:$D$31,$E$17:$E$31,G53)</f>
        <v>2.801E-2</v>
      </c>
      <c r="J53" s="15">
        <f>(1-I53*K51)/(1+I53*0.5)</f>
        <v>0.74796141077415179</v>
      </c>
      <c r="K53" s="2">
        <f>K51+0.5*J53</f>
        <v>8.9981645564387076</v>
      </c>
      <c r="L53" s="1">
        <f>Interpolate_Interval(G52,G54,L52,L54,G53)</f>
        <v>4.6088123188740893E-2</v>
      </c>
      <c r="M53" s="1">
        <f t="shared" si="9"/>
        <v>4.7150218982592307E-2</v>
      </c>
      <c r="N53" s="1">
        <f t="shared" si="10"/>
        <v>2.9040389221259177E-2</v>
      </c>
    </row>
    <row r="54" spans="1:23">
      <c r="G54" s="13">
        <f t="shared" si="8"/>
        <v>10.25</v>
      </c>
      <c r="H54" s="1"/>
      <c r="J54" s="15">
        <f>Interpolate_Interval(G53,G55,J53,J55,G54)</f>
        <v>0.73973142259816793</v>
      </c>
      <c r="L54" s="1">
        <f>(J52/J54-1)/0.5</f>
        <v>4.6088684980403194E-2</v>
      </c>
      <c r="M54" s="1">
        <f t="shared" si="9"/>
        <v>4.4502574445615117E-2</v>
      </c>
      <c r="N54" s="1">
        <f t="shared" si="10"/>
        <v>2.9411522058378159E-2</v>
      </c>
    </row>
    <row r="55" spans="1:23">
      <c r="G55" s="13">
        <f t="shared" si="8"/>
        <v>10.5</v>
      </c>
      <c r="H55" s="1"/>
      <c r="I55" s="1">
        <f>Interpolate_Range($D$17:$D$31,$E$17:$E$31,G55)</f>
        <v>2.8673750000000001E-2</v>
      </c>
      <c r="J55" s="15">
        <f>(1-I55*K53)/(1+I55*0.5)</f>
        <v>0.73150143442218407</v>
      </c>
      <c r="K55" s="2">
        <f>K53+0.5*J55</f>
        <v>9.3639152736498001</v>
      </c>
      <c r="L55" s="1">
        <f>(J53/J55-1)/0.5</f>
        <v>4.5003264730354431E-2</v>
      </c>
      <c r="M55" s="1">
        <f t="shared" si="9"/>
        <v>4.5003264730354431E-2</v>
      </c>
      <c r="N55" s="1">
        <f t="shared" si="10"/>
        <v>2.9776771199171256E-2</v>
      </c>
    </row>
    <row r="56" spans="1:23">
      <c r="G56" s="13">
        <f t="shared" si="8"/>
        <v>10.75</v>
      </c>
      <c r="H56" s="1"/>
      <c r="J56" s="15">
        <f>Interpolate_Interval(G55,G57,J55,J57,G56)</f>
        <v>0.72315116719011185</v>
      </c>
      <c r="L56" s="1">
        <f>Interpolate_Interval(G55,G57,L55,L57,G56)</f>
        <v>4.586552917214104E-2</v>
      </c>
      <c r="M56" s="1">
        <f t="shared" si="9"/>
        <v>4.6188225150866735E-2</v>
      </c>
      <c r="N56" s="1">
        <f t="shared" si="10"/>
        <v>3.0152278644439857E-2</v>
      </c>
    </row>
    <row r="57" spans="1:23">
      <c r="G57" s="13">
        <f t="shared" si="8"/>
        <v>11</v>
      </c>
      <c r="H57" s="1"/>
      <c r="I57" s="1">
        <f>Interpolate_Range($D$17:$D$31,$E$17:$E$31,G57)</f>
        <v>2.9337500000000002E-2</v>
      </c>
      <c r="J57" s="15">
        <f>(1-I57*K55)/(1+I57*0.5)</f>
        <v>0.71480089995803953</v>
      </c>
      <c r="K57" s="2">
        <f>K55+0.5*J57</f>
        <v>9.7213157236288197</v>
      </c>
      <c r="L57" s="1">
        <f>(J55/J57-1)/0.5</f>
        <v>4.6727793613927648E-2</v>
      </c>
      <c r="M57" s="1">
        <f t="shared" si="9"/>
        <v>4.6727793613928092E-2</v>
      </c>
      <c r="N57" s="1">
        <f t="shared" si="10"/>
        <v>3.0522839696627849E-2</v>
      </c>
    </row>
    <row r="58" spans="1:23">
      <c r="G58" s="13">
        <f t="shared" si="8"/>
        <v>11.25</v>
      </c>
      <c r="H58" s="1"/>
      <c r="J58" s="15">
        <f>Interpolate_Interval(G57,G59,J57,J59,G58)</f>
        <v>0.70634032213253728</v>
      </c>
      <c r="L58" s="1">
        <f>Interpolate_Interval(G57,G59,L57,L59,G58)</f>
        <v>4.761041748482997E-2</v>
      </c>
      <c r="M58" s="1">
        <f t="shared" si="9"/>
        <v>4.7912189410105555E-2</v>
      </c>
      <c r="N58" s="1">
        <f t="shared" si="10"/>
        <v>3.0902943551421966E-2</v>
      </c>
    </row>
    <row r="59" spans="1:23">
      <c r="G59" s="13">
        <f t="shared" si="8"/>
        <v>11.5</v>
      </c>
      <c r="H59" s="1"/>
      <c r="I59" s="1">
        <f>Interpolate_Range($D$17:$D$31,$E$17:$E$31,G59)</f>
        <v>3.000125E-2</v>
      </c>
      <c r="J59" s="15">
        <f>(1-I59*K57)/(1+I59*0.5)</f>
        <v>0.69787974430703503</v>
      </c>
      <c r="K59" s="2">
        <f>K57+0.5*J59</f>
        <v>10.070255595782337</v>
      </c>
      <c r="L59" s="1">
        <f>(J57/J59-1)/0.5</f>
        <v>4.8493041355732291E-2</v>
      </c>
      <c r="M59" s="1">
        <f t="shared" si="9"/>
        <v>4.8493041355732736E-2</v>
      </c>
      <c r="N59" s="1">
        <f t="shared" si="10"/>
        <v>3.1278998013547075E-2</v>
      </c>
    </row>
    <row r="60" spans="1:23">
      <c r="G60" s="13">
        <f t="shared" si="8"/>
        <v>11.75</v>
      </c>
      <c r="H60" s="1"/>
      <c r="J60" s="15">
        <f>Interpolate_Interval(G59,G61,J59,J61,G60)</f>
        <v>0.68931881804332928</v>
      </c>
      <c r="L60" s="1">
        <f>Interpolate_Interval(G59,G61,L59,L61,G60)</f>
        <v>4.9397683424803773E-2</v>
      </c>
      <c r="M60" s="1">
        <f t="shared" si="9"/>
        <v>4.9677600782792375E-2</v>
      </c>
      <c r="N60" s="1">
        <f t="shared" si="10"/>
        <v>3.1663948020487928E-2</v>
      </c>
    </row>
    <row r="61" spans="1:23">
      <c r="G61" s="13">
        <f t="shared" si="8"/>
        <v>12</v>
      </c>
      <c r="H61" s="1"/>
      <c r="I61" s="1">
        <f>Interpolate_Range($D$17:$D$31,$E$17:$E$31,G61)</f>
        <v>3.0665000000000001E-2</v>
      </c>
      <c r="J61" s="15">
        <f>(1-I61*K59)/(1+I61*0.5)</f>
        <v>0.68075789177962354</v>
      </c>
      <c r="K61" s="2">
        <f>K59+0.5*J61</f>
        <v>10.410634541672149</v>
      </c>
      <c r="L61" s="1">
        <f>(J59/J61-1)/0.5</f>
        <v>5.0302325493875255E-2</v>
      </c>
      <c r="M61" s="1">
        <f t="shared" si="9"/>
        <v>5.0302325493875699E-2</v>
      </c>
      <c r="N61" s="1">
        <f t="shared" si="10"/>
        <v>3.2045712893611626E-2</v>
      </c>
    </row>
    <row r="62" spans="1:23">
      <c r="G62" s="13">
        <f t="shared" si="8"/>
        <v>12.25</v>
      </c>
      <c r="H62" s="1"/>
      <c r="J62" s="15">
        <f>Interpolate_Interval(G61,G63,J61,J63,G62)</f>
        <v>0.67343453555399835</v>
      </c>
      <c r="L62" s="1">
        <f>Interpolate_Interval(G61,G63,L61,L63,G62)</f>
        <v>4.7139552832236031E-2</v>
      </c>
      <c r="M62" s="1">
        <f t="shared" si="9"/>
        <v>4.3498548642745938E-2</v>
      </c>
      <c r="N62" s="1">
        <f t="shared" si="10"/>
        <v>3.2274652099692949E-2</v>
      </c>
    </row>
    <row r="63" spans="1:23">
      <c r="G63" s="13">
        <f t="shared" si="8"/>
        <v>12.5</v>
      </c>
      <c r="H63" s="1"/>
      <c r="I63" s="1">
        <f>Interpolate_Range($D$17:$D$31,$E$17:$E$31,G63)</f>
        <v>3.1077666666666667E-2</v>
      </c>
      <c r="J63" s="15">
        <f>(1-I63*K61)/(1+I63*0.5)</f>
        <v>0.66611117932837316</v>
      </c>
      <c r="K63" s="2">
        <f>K61+0.5*J63</f>
        <v>10.743690131336335</v>
      </c>
      <c r="L63" s="1">
        <f>(J61/J63-1)/0.5</f>
        <v>4.3976780170596808E-2</v>
      </c>
      <c r="M63" s="1">
        <f t="shared" si="9"/>
        <v>4.3976780170596363E-2</v>
      </c>
      <c r="N63" s="1">
        <f t="shared" si="10"/>
        <v>3.2503894915640902E-2</v>
      </c>
    </row>
    <row r="64" spans="1:23">
      <c r="G64" s="13">
        <f t="shared" si="8"/>
        <v>12.75</v>
      </c>
      <c r="H64" s="1"/>
      <c r="J64" s="15">
        <f>Interpolate_Interval(G63,G65,J63,J65,G64)</f>
        <v>0.658766032720282</v>
      </c>
      <c r="L64" s="1">
        <f>(J62/J64-1)/0.5</f>
        <v>4.4533270099385014E-2</v>
      </c>
      <c r="M64" s="1">
        <f t="shared" si="9"/>
        <v>4.4599425248204483E-2</v>
      </c>
      <c r="N64" s="1">
        <f t="shared" si="10"/>
        <v>3.2736222849209948E-2</v>
      </c>
    </row>
    <row r="65" spans="7:14">
      <c r="G65" s="13">
        <f t="shared" si="8"/>
        <v>13</v>
      </c>
      <c r="H65" s="1"/>
      <c r="I65" s="1">
        <f>Interpolate_Range($D$17:$D$31,$E$17:$E$31,G65)</f>
        <v>3.1490333333333335E-2</v>
      </c>
      <c r="J65" s="15">
        <f>(1-I65*K63)/(1+I65*0.5)</f>
        <v>0.65142088611219096</v>
      </c>
      <c r="K65" s="2">
        <f>K63+0.5*J65</f>
        <v>11.06940057439243</v>
      </c>
      <c r="L65" s="1">
        <f>Interpolate_Interval(G64,G66,L64,L66,G65)</f>
        <v>4.5101921164751868E-2</v>
      </c>
      <c r="M65" s="1">
        <f t="shared" si="9"/>
        <v>4.5102309518679107E-2</v>
      </c>
      <c r="N65" s="1">
        <f t="shared" si="10"/>
        <v>3.296917871026199E-2</v>
      </c>
    </row>
    <row r="66" spans="7:14">
      <c r="G66" s="13">
        <f t="shared" si="8"/>
        <v>13.25</v>
      </c>
      <c r="H66" s="1"/>
      <c r="J66" s="15">
        <f>Interpolate_Interval(G65,G67,J65,J67,G66)</f>
        <v>0.64405876651206673</v>
      </c>
      <c r="L66" s="1">
        <f>(J64/J66-1)/0.5</f>
        <v>4.5670572230118722E-2</v>
      </c>
      <c r="M66" s="1">
        <f t="shared" si="9"/>
        <v>4.5723278575923842E-2</v>
      </c>
      <c r="N66" s="1">
        <f t="shared" si="10"/>
        <v>3.3204928656082718E-2</v>
      </c>
    </row>
    <row r="67" spans="7:14">
      <c r="G67" s="13">
        <f t="shared" si="8"/>
        <v>13.5</v>
      </c>
      <c r="H67" s="1"/>
      <c r="I67" s="1">
        <f>Interpolate_Range($D$17:$D$31,$E$17:$E$31,G67)</f>
        <v>3.1903000000000001E-2</v>
      </c>
      <c r="J67" s="15">
        <f>(1-I67*K65)/(1+I67*0.5)</f>
        <v>0.6366966469119425</v>
      </c>
      <c r="K67" s="2">
        <f>K65+0.5*J67</f>
        <v>11.387748897848402</v>
      </c>
      <c r="L67" s="1">
        <f>Interpolate_Interval(G66,G68,L66,L68,G67)</f>
        <v>4.6251677698224469E-2</v>
      </c>
      <c r="M67" s="1">
        <f t="shared" si="9"/>
        <v>4.6251976578368215E-2</v>
      </c>
      <c r="N67" s="1">
        <f t="shared" si="10"/>
        <v>3.3441626542796754E-2</v>
      </c>
    </row>
    <row r="68" spans="7:14">
      <c r="G68" s="13">
        <f t="shared" si="8"/>
        <v>13.75</v>
      </c>
      <c r="H68" s="1"/>
      <c r="J68" s="15">
        <f>Interpolate_Interval(G67,G69,J67,J69,G68)</f>
        <v>0.62932230889496077</v>
      </c>
      <c r="L68" s="1">
        <f>(J66/J68-1)/0.5</f>
        <v>4.6832783166330216E-2</v>
      </c>
      <c r="M68" s="1">
        <f t="shared" si="9"/>
        <v>4.6871613561136449E-2</v>
      </c>
      <c r="N68" s="1">
        <f t="shared" ref="N68:N99" si="11">-LN(J68)/G68</f>
        <v>3.3680853726833139E-2</v>
      </c>
    </row>
    <row r="69" spans="7:14">
      <c r="G69" s="13">
        <f t="shared" si="8"/>
        <v>14</v>
      </c>
      <c r="H69" s="1"/>
      <c r="I69" s="1">
        <f>Interpolate_Range($D$17:$D$31,$E$17:$E$31,G69)</f>
        <v>3.2315666666666666E-2</v>
      </c>
      <c r="J69" s="15">
        <f>(1-I69*K67)/(1+I69*0.5)</f>
        <v>0.62194797087797904</v>
      </c>
      <c r="K69" s="2">
        <f>K67+0.5*J69</f>
        <v>11.698722883287392</v>
      </c>
      <c r="L69" s="1">
        <f>Interpolate_Interval(G68,G70,L68,L70,G69)</f>
        <v>4.7427163489272006E-2</v>
      </c>
      <c r="M69" s="1">
        <f t="shared" si="9"/>
        <v>4.7427362816678809E-2</v>
      </c>
      <c r="N69" s="1">
        <f t="shared" si="11"/>
        <v>3.3921345560557044E-2</v>
      </c>
    </row>
    <row r="70" spans="7:14">
      <c r="G70" s="13">
        <f t="shared" si="8"/>
        <v>14.25</v>
      </c>
      <c r="H70" s="1"/>
      <c r="J70" s="15">
        <f>Interpolate_Interval(G69,G71,J69,J71,G70)</f>
        <v>0.6145661023892669</v>
      </c>
      <c r="L70" s="1">
        <f>(J68/J70-1)/0.5</f>
        <v>4.8021543812213796E-2</v>
      </c>
      <c r="M70" s="1">
        <f t="shared" si="9"/>
        <v>4.8046050441203469E-2</v>
      </c>
      <c r="N70" s="1">
        <f t="shared" si="11"/>
        <v>3.4164125245298264E-2</v>
      </c>
    </row>
    <row r="71" spans="7:14">
      <c r="G71" s="13">
        <f t="shared" si="8"/>
        <v>14.5</v>
      </c>
      <c r="H71" s="1"/>
      <c r="I71" s="1">
        <f>Interpolate_Range($D$17:$D$31,$E$17:$E$31,G71)</f>
        <v>3.2728333333333332E-2</v>
      </c>
      <c r="J71" s="15">
        <f>(1-I71*K69)/(1+I71*0.5)</f>
        <v>0.60718423390055476</v>
      </c>
      <c r="K71" s="2">
        <f>K69+0.5*J71</f>
        <v>12.002315000237669</v>
      </c>
      <c r="L71" s="1">
        <f>Interpolate_Interval(G70,G72,L70,L72,G71)</f>
        <v>4.8630083814332759E-2</v>
      </c>
      <c r="M71" s="1">
        <f t="shared" si="9"/>
        <v>4.8630172369865221E-2</v>
      </c>
      <c r="N71" s="1">
        <f t="shared" si="11"/>
        <v>3.440848403360245E-2</v>
      </c>
    </row>
    <row r="72" spans="7:14">
      <c r="G72" s="13">
        <f t="shared" si="8"/>
        <v>14.75</v>
      </c>
      <c r="H72" s="1"/>
      <c r="J72" s="15">
        <f>Interpolate_Interval(G71,G73,J71,J73,G72)</f>
        <v>0.59979945258372502</v>
      </c>
      <c r="L72" s="1">
        <f>(J70/J72-1)/0.5</f>
        <v>4.9238623816451721E-2</v>
      </c>
      <c r="M72" s="1">
        <f t="shared" si="9"/>
        <v>4.9248336489929656E-2</v>
      </c>
      <c r="N72" s="1">
        <f t="shared" si="11"/>
        <v>3.4654910192022013E-2</v>
      </c>
    </row>
    <row r="73" spans="7:14">
      <c r="G73" s="13">
        <f t="shared" si="8"/>
        <v>15</v>
      </c>
      <c r="H73" s="1"/>
      <c r="I73" s="1">
        <f>Interpolate_Range($D$17:$D$31,$E$17:$E$31,G73)</f>
        <v>3.3140999999999997E-2</v>
      </c>
      <c r="J73" s="15">
        <f>(1-I73*K71)/(1+I73*0.5)</f>
        <v>0.59241467126689529</v>
      </c>
      <c r="K73" s="2">
        <f>K71+0.5*J73</f>
        <v>12.298522335871116</v>
      </c>
      <c r="L73" s="1">
        <f>(J71/J73-1)/0.5</f>
        <v>4.9862244640479059E-2</v>
      </c>
      <c r="M73" s="1">
        <f t="shared" si="9"/>
        <v>4.9862244640479503E-2</v>
      </c>
      <c r="N73" s="1">
        <f t="shared" si="11"/>
        <v>3.4903228738892421E-2</v>
      </c>
    </row>
    <row r="74" spans="7:14">
      <c r="G74" s="13">
        <f t="shared" si="8"/>
        <v>15.25</v>
      </c>
      <c r="H74" s="1"/>
      <c r="J74" s="15">
        <f>Interpolate_Interval(G73,G75,J73,J75,G74)</f>
        <v>0.58637093580561972</v>
      </c>
      <c r="L74" s="1">
        <f>Interpolate_Interval(G73,G75,L73,L75,G74)</f>
        <v>4.5759839146503944E-2</v>
      </c>
      <c r="M74" s="1">
        <f t="shared" si="9"/>
        <v>4.1228069757393904E-2</v>
      </c>
      <c r="N74" s="1">
        <f t="shared" si="11"/>
        <v>3.5003455305405023E-2</v>
      </c>
    </row>
    <row r="75" spans="7:14">
      <c r="G75" s="13">
        <f t="shared" si="8"/>
        <v>15.5</v>
      </c>
      <c r="H75" s="1"/>
      <c r="I75" s="1">
        <f>Interpolate_Range($D$17:$D$31,$E$17:$E$31,G75)</f>
        <v>3.33373E-2</v>
      </c>
      <c r="J75" s="15">
        <f>(1-I75*K73)/(1+I75*0.5)</f>
        <v>0.58032720034434415</v>
      </c>
      <c r="K75" s="2">
        <f>K73+0.5*J75</f>
        <v>12.588685936043287</v>
      </c>
      <c r="L75" s="1">
        <f>(J73/J75-1)/0.5</f>
        <v>4.165743365252883E-2</v>
      </c>
      <c r="M75" s="1">
        <f t="shared" si="9"/>
        <v>4.165743365252883E-2</v>
      </c>
      <c r="N75" s="1">
        <f t="shared" si="11"/>
        <v>3.5107302966661771E-2</v>
      </c>
    </row>
    <row r="76" spans="7:14">
      <c r="G76" s="13">
        <f t="shared" si="8"/>
        <v>15.75</v>
      </c>
      <c r="H76" s="1"/>
      <c r="J76" s="15">
        <f>Interpolate_Interval(G75,G77,J75,J77,G76)</f>
        <v>0.57432710811474985</v>
      </c>
      <c r="L76" s="1">
        <f>Interpolate_Interval(G75,G77,L75,L77,G76)</f>
        <v>4.1943645597508183E-2</v>
      </c>
      <c r="M76" s="1">
        <f t="shared" si="9"/>
        <v>4.1788675093465955E-2</v>
      </c>
      <c r="N76" s="1">
        <f t="shared" si="11"/>
        <v>3.5209915569216363E-2</v>
      </c>
    </row>
    <row r="77" spans="7:14">
      <c r="G77" s="13">
        <f>G76+0.25</f>
        <v>16</v>
      </c>
      <c r="I77" s="1">
        <f>Interpolate_Range($D$17:$D$31,$E$17:$E$31,G77)</f>
        <v>3.3533599999999997E-2</v>
      </c>
      <c r="J77" s="15">
        <f>(1-I77*K75)/(1+I77*0.5)</f>
        <v>0.56832701588515555</v>
      </c>
      <c r="K77" s="2">
        <f>K75+0.5*J77</f>
        <v>12.872849443985865</v>
      </c>
      <c r="L77" s="1">
        <f>(J75/J77-1)/0.5</f>
        <v>4.2229857542487537E-2</v>
      </c>
      <c r="M77" s="1">
        <f t="shared" si="9"/>
        <v>4.2229857542487537E-2</v>
      </c>
      <c r="N77" s="1">
        <f t="shared" si="11"/>
        <v>3.5316143358687768E-2</v>
      </c>
    </row>
    <row r="78" spans="7:14">
      <c r="G78" s="13">
        <f t="shared" si="8"/>
        <v>16.25</v>
      </c>
      <c r="J78" s="15">
        <f>Interpolate_Interval(G77,G79,J77,J79,G78)</f>
        <v>0.56237158047930014</v>
      </c>
      <c r="L78" s="1">
        <f>Interpolate_Interval(G77,G79,L77,L79,G78)</f>
        <v>4.2521336398288145E-2</v>
      </c>
      <c r="M78" s="1">
        <f t="shared" si="9"/>
        <v>4.235943360281258E-2</v>
      </c>
      <c r="N78" s="1">
        <f t="shared" si="11"/>
        <v>3.542107522082584E-2</v>
      </c>
    </row>
    <row r="79" spans="7:14">
      <c r="G79" s="13">
        <f t="shared" si="8"/>
        <v>16.5</v>
      </c>
      <c r="I79" s="1">
        <f>Interpolate_Range($D$17:$D$31,$E$17:$E$31,G79)</f>
        <v>3.37299E-2</v>
      </c>
      <c r="J79" s="15">
        <f>(1-I79*K77)/(1+I79*0.5)</f>
        <v>0.55641614507344472</v>
      </c>
      <c r="K79" s="2">
        <f>K77+0.5*J79</f>
        <v>13.151057516522588</v>
      </c>
      <c r="L79" s="1">
        <f>(J77/J79-1)/0.5</f>
        <v>4.2812815254088754E-2</v>
      </c>
      <c r="M79" s="1">
        <f t="shared" si="9"/>
        <v>4.2812815254088754E-2</v>
      </c>
      <c r="N79" s="1">
        <f t="shared" si="11"/>
        <v>3.5529624383485725E-2</v>
      </c>
    </row>
    <row r="80" spans="7:14">
      <c r="G80" s="13">
        <f t="shared" si="8"/>
        <v>16.75</v>
      </c>
      <c r="J80" s="15">
        <f>Interpolate_Interval(G79,G81,J79,J81,G80)</f>
        <v>0.55050634593668724</v>
      </c>
      <c r="L80" s="1">
        <f>Interpolate_Interval(G79,G81,L79,L81,G80)</f>
        <v>4.3109810527719228E-2</v>
      </c>
      <c r="M80" s="1">
        <f t="shared" si="9"/>
        <v>4.2940824790689724E-2</v>
      </c>
      <c r="N80" s="1">
        <f t="shared" si="11"/>
        <v>3.5636823599926273E-2</v>
      </c>
    </row>
    <row r="81" spans="7:14">
      <c r="G81" s="13">
        <f t="shared" si="8"/>
        <v>17</v>
      </c>
      <c r="I81" s="1">
        <f>Interpolate_Range($D$17:$D$31,$E$17:$E$31,G81)</f>
        <v>3.3926199999999997E-2</v>
      </c>
      <c r="J81" s="15">
        <f>(1-I81*K79)/(1+I81*0.5)</f>
        <v>0.54459654679992964</v>
      </c>
      <c r="K81" s="2">
        <f>K79+0.5*J81</f>
        <v>13.423355789922553</v>
      </c>
      <c r="L81" s="1">
        <f>(J79/J81-1)/0.5</f>
        <v>4.3406805801349702E-2</v>
      </c>
      <c r="M81" s="1">
        <f t="shared" si="9"/>
        <v>4.3406805801350146E-2</v>
      </c>
      <c r="N81" s="1">
        <f t="shared" si="11"/>
        <v>3.574764938607633E-2</v>
      </c>
    </row>
    <row r="82" spans="7:14">
      <c r="G82" s="13">
        <f t="shared" si="8"/>
        <v>17.25</v>
      </c>
      <c r="J82" s="15">
        <f>Interpolate_Interval(G81,G83,J81,J83,G82)</f>
        <v>0.53873332933114282</v>
      </c>
      <c r="L82" s="1">
        <f>(J80/J82-1)/0.5</f>
        <v>4.3706286448477183E-2</v>
      </c>
      <c r="M82" s="1">
        <f t="shared" si="9"/>
        <v>4.3533356111947086E-2</v>
      </c>
      <c r="N82" s="1">
        <f t="shared" si="11"/>
        <v>3.5857077175639955E-2</v>
      </c>
    </row>
    <row r="83" spans="7:14">
      <c r="G83" s="13">
        <f t="shared" ref="G83:G114" si="12">G82+0.25</f>
        <v>17.5</v>
      </c>
      <c r="I83" s="1">
        <f>Interpolate_Range($D$17:$D$31,$E$17:$E$31,G83)</f>
        <v>3.41225E-2</v>
      </c>
      <c r="J83" s="15">
        <f>(1-I83*K81)/(1+I83*0.5)</f>
        <v>0.532870111862356</v>
      </c>
      <c r="K83" s="2">
        <f>K81+0.5*J83</f>
        <v>13.689790845853731</v>
      </c>
      <c r="L83" s="1">
        <f>Interpolate_Interval(G82,G84,L82,L84,G83)</f>
        <v>4.4012036263087584E-2</v>
      </c>
      <c r="M83" s="1">
        <f t="shared" ref="M83:M133" si="13">(J82/J83-1)/0.25</f>
        <v>4.4012357520260892E-2</v>
      </c>
      <c r="N83" s="1">
        <f t="shared" si="11"/>
        <v>3.5970147261719251E-2</v>
      </c>
    </row>
    <row r="84" spans="7:14">
      <c r="G84" s="13">
        <f t="shared" si="12"/>
        <v>17.75</v>
      </c>
      <c r="J84" s="15">
        <f>Interpolate_Interval(G83,G85,J83,J85,G84)</f>
        <v>0.52705438753216161</v>
      </c>
      <c r="L84" s="1">
        <f>(J82/J84-1)/0.5</f>
        <v>4.4317786077697985E-2</v>
      </c>
      <c r="M84" s="1">
        <f t="shared" si="13"/>
        <v>4.4137565061742379E-2</v>
      </c>
      <c r="N84" s="1">
        <f t="shared" si="11"/>
        <v>3.6081776541827371E-2</v>
      </c>
    </row>
    <row r="85" spans="7:14">
      <c r="G85" s="13">
        <f t="shared" si="12"/>
        <v>18</v>
      </c>
      <c r="I85" s="1">
        <f>Interpolate_Range($D$17:$D$31,$E$17:$E$31,G85)</f>
        <v>3.4318800000000003E-2</v>
      </c>
      <c r="J85" s="15">
        <f>(1-I85*K83)/(1+I85*0.5)</f>
        <v>0.52123866320196721</v>
      </c>
      <c r="K85" s="2">
        <f>K83+0.5*J85</f>
        <v>13.950410177454714</v>
      </c>
      <c r="L85" s="1">
        <f>Interpolate_Interval(G84,G86,L84,L86,G85)</f>
        <v>4.462974180549506E-2</v>
      </c>
      <c r="M85" s="1">
        <f t="shared" si="13"/>
        <v>4.463003027801804E-2</v>
      </c>
      <c r="N85" s="1">
        <f t="shared" si="11"/>
        <v>3.6197069742136948E-2</v>
      </c>
    </row>
    <row r="86" spans="7:14">
      <c r="G86" s="13">
        <f t="shared" si="12"/>
        <v>18.25</v>
      </c>
      <c r="J86" s="15">
        <f>Interpolate_Interval(G85,G87,J85,J87,G86)</f>
        <v>0.515471309688604</v>
      </c>
      <c r="L86" s="1">
        <f>(J84/J86-1)/0.5</f>
        <v>4.4941697533292135E-2</v>
      </c>
      <c r="M86" s="1">
        <f t="shared" si="13"/>
        <v>4.4754021455411852E-2</v>
      </c>
      <c r="N86" s="1">
        <f t="shared" si="11"/>
        <v>3.6310883966146477E-2</v>
      </c>
    </row>
    <row r="87" spans="7:14">
      <c r="G87" s="13">
        <f t="shared" si="12"/>
        <v>18.5</v>
      </c>
      <c r="I87" s="1">
        <f>Interpolate_Range($D$17:$D$31,$E$17:$E$31,G87)</f>
        <v>3.45151E-2</v>
      </c>
      <c r="J87" s="15">
        <f>(1-I87*K85)/(1+I87*0.5)</f>
        <v>0.50970395617524078</v>
      </c>
      <c r="K87" s="2">
        <f>K85+0.5*J87</f>
        <v>14.205262155542334</v>
      </c>
      <c r="L87" s="1">
        <f>Interpolate_Interval(G86,G88,L86,L88,G87)</f>
        <v>4.5260164996805852E-2</v>
      </c>
      <c r="M87" s="1">
        <f t="shared" si="13"/>
        <v>4.5260417883673298E-2</v>
      </c>
      <c r="N87" s="1">
        <f t="shared" si="11"/>
        <v>3.6428389183468142E-2</v>
      </c>
    </row>
    <row r="88" spans="7:14">
      <c r="G88" s="13">
        <f t="shared" si="12"/>
        <v>18.75</v>
      </c>
      <c r="J88" s="15">
        <f>Interpolate_Interval(G87,G89,J87,J89,G88)</f>
        <v>0.50398581751767801</v>
      </c>
      <c r="L88" s="1">
        <f>(J86/J88-1)/0.5</f>
        <v>4.5578632460319568E-2</v>
      </c>
      <c r="M88" s="1">
        <f t="shared" si="13"/>
        <v>4.5383329917709325E-2</v>
      </c>
      <c r="N88" s="1">
        <f t="shared" si="11"/>
        <v>3.6544381394804176E-2</v>
      </c>
    </row>
    <row r="89" spans="7:14">
      <c r="G89" s="13">
        <f t="shared" si="12"/>
        <v>19</v>
      </c>
      <c r="I89" s="1">
        <f>Interpolate_Range($D$17:$D$31,$E$17:$E$31,G89)</f>
        <v>3.4711400000000003E-2</v>
      </c>
      <c r="J89" s="15">
        <f>(1-I89*K87)/(1+I89*0.5)</f>
        <v>0.49826767886011525</v>
      </c>
      <c r="K89" s="2">
        <f>K87+0.5*J89</f>
        <v>14.454395994972392</v>
      </c>
      <c r="L89" s="1">
        <f>Interpolate_Interval(G88,G90,L88,L90,G89)</f>
        <v>4.5903936469731343E-2</v>
      </c>
      <c r="M89" s="1">
        <f t="shared" si="13"/>
        <v>4.5904150721909787E-2</v>
      </c>
      <c r="N89" s="1">
        <f t="shared" si="11"/>
        <v>3.6664096769041907E-2</v>
      </c>
    </row>
    <row r="90" spans="7:14">
      <c r="G90" s="13">
        <f t="shared" si="12"/>
        <v>19.25</v>
      </c>
      <c r="J90" s="15">
        <f>Interpolate_Interval(G89,G91,J89,J91,G90)</f>
        <v>0.49259956562800866</v>
      </c>
      <c r="L90" s="1">
        <f>(J88/J90-1)/0.5</f>
        <v>4.6229240479143119E-2</v>
      </c>
      <c r="M90" s="1">
        <f t="shared" si="13"/>
        <v>4.6026132604322534E-2</v>
      </c>
      <c r="N90" s="1">
        <f t="shared" si="11"/>
        <v>3.6782268835876888E-2</v>
      </c>
    </row>
    <row r="91" spans="7:14">
      <c r="G91" s="13">
        <f t="shared" si="12"/>
        <v>19.5</v>
      </c>
      <c r="I91" s="1">
        <f>Interpolate_Range($D$17:$D$31,$E$17:$E$31,G91)</f>
        <v>3.49077E-2</v>
      </c>
      <c r="J91" s="15">
        <f>(1-I91*K89)/(1+I91*0.5)</f>
        <v>0.48693145239590202</v>
      </c>
      <c r="K91" s="2">
        <f>K89+0.5*J91</f>
        <v>14.697861721170343</v>
      </c>
      <c r="L91" s="1">
        <f>(J89/J91-1)/0.5</f>
        <v>4.6561898634538412E-2</v>
      </c>
      <c r="M91" s="1">
        <f t="shared" si="13"/>
        <v>4.6561898634538856E-2</v>
      </c>
      <c r="N91" s="1">
        <f t="shared" si="11"/>
        <v>3.6904201058477706E-2</v>
      </c>
    </row>
    <row r="92" spans="7:14">
      <c r="G92" s="13">
        <f t="shared" si="12"/>
        <v>19.75</v>
      </c>
      <c r="J92" s="15">
        <f>Interpolate_Interval(G91,G93,J91,J93,G92)</f>
        <v>0.4813141418759882</v>
      </c>
      <c r="L92" s="1">
        <f>Interpolate_Interval(G91,G93,L91,L93,G92)</f>
        <v>4.689813635591511E-2</v>
      </c>
      <c r="M92" s="1">
        <f t="shared" si="13"/>
        <v>4.668311218132537E-2</v>
      </c>
      <c r="N92" s="1">
        <f t="shared" si="11"/>
        <v>3.7024563060310912E-2</v>
      </c>
    </row>
    <row r="93" spans="7:14">
      <c r="G93" s="13">
        <f t="shared" si="12"/>
        <v>20</v>
      </c>
      <c r="I93" s="1">
        <f>Interpolate_Range($D$17:$D$31,$E$17:$E$31,G93)</f>
        <v>3.5104000000000003E-2</v>
      </c>
      <c r="J93" s="15">
        <f>(1-I93*K91)/(1+I93*0.5)</f>
        <v>0.47569683135607438</v>
      </c>
      <c r="K93" s="2">
        <f>K91+0.5*J93</f>
        <v>14.93571013684838</v>
      </c>
      <c r="L93" s="1">
        <f>(J91/J93-1)/0.5</f>
        <v>4.7234374077291807E-2</v>
      </c>
      <c r="M93" s="1">
        <f t="shared" si="13"/>
        <v>4.7234374077292252E-2</v>
      </c>
      <c r="N93" s="1">
        <f t="shared" si="11"/>
        <v>3.7148726828958659E-2</v>
      </c>
    </row>
    <row r="94" spans="7:14">
      <c r="G94" s="13">
        <f t="shared" si="12"/>
        <v>20.25</v>
      </c>
      <c r="J94" s="15">
        <f>Interpolate_Interval(G93,G95,J93,J95,G94)</f>
        <v>0.47055251604166681</v>
      </c>
      <c r="L94" s="1">
        <f>Interpolate_Interval(G93,G95,L93,L95,G94)</f>
        <v>4.5723868039835525E-2</v>
      </c>
      <c r="M94" s="1">
        <f t="shared" si="13"/>
        <v>4.3729999428603783E-2</v>
      </c>
      <c r="N94" s="1">
        <f t="shared" si="11"/>
        <v>3.7227047341661629E-2</v>
      </c>
    </row>
    <row r="95" spans="7:14">
      <c r="G95" s="13">
        <f t="shared" si="12"/>
        <v>20.5</v>
      </c>
      <c r="I95" s="1">
        <f>Interpolate_Range($D$17:$D$31,$E$17:$E$31,G95)</f>
        <v>3.5243750000000004E-2</v>
      </c>
      <c r="J95" s="15">
        <f>(1-I95*K93)/(1+I95*0.5)</f>
        <v>0.46540820072725919</v>
      </c>
      <c r="K95" s="2">
        <f>K93+0.5*J95</f>
        <v>15.16841423721201</v>
      </c>
      <c r="L95" s="1">
        <f>(J93/J95-1)/0.5</f>
        <v>4.4213362002379242E-2</v>
      </c>
      <c r="M95" s="1">
        <f t="shared" si="13"/>
        <v>4.4213362002379242E-2</v>
      </c>
      <c r="N95" s="1">
        <f t="shared" si="11"/>
        <v>3.730928816850148E-2</v>
      </c>
    </row>
    <row r="96" spans="7:14">
      <c r="G96" s="13">
        <f t="shared" si="12"/>
        <v>20.75</v>
      </c>
      <c r="J96" s="15">
        <f>Interpolate_Interval(G95,G97,J95,J97,G96)</f>
        <v>0.46032136012701508</v>
      </c>
      <c r="L96" s="1">
        <f>Interpolate_Interval(G95,G97,L95,L97,G96)</f>
        <v>4.4454901015489101E-2</v>
      </c>
      <c r="M96" s="1">
        <f t="shared" si="13"/>
        <v>4.4202516249435497E-2</v>
      </c>
      <c r="N96" s="1">
        <f t="shared" si="11"/>
        <v>3.7389418045343549E-2</v>
      </c>
    </row>
    <row r="97" spans="7:14">
      <c r="G97" s="13">
        <f t="shared" si="12"/>
        <v>21</v>
      </c>
      <c r="I97" s="1">
        <f>Interpolate_Range($D$17:$D$31,$E$17:$E$31,G97)</f>
        <v>3.5383500000000005E-2</v>
      </c>
      <c r="J97" s="15">
        <f>(1-I97*K95)/(1+I97*0.5)</f>
        <v>0.45523451952677096</v>
      </c>
      <c r="K97" s="2">
        <f>K95+0.5*J97</f>
        <v>15.396031496975397</v>
      </c>
      <c r="L97" s="1">
        <f>(J95/J97-1)/0.5</f>
        <v>4.469644002859896E-2</v>
      </c>
      <c r="M97" s="1">
        <f t="shared" si="13"/>
        <v>4.4696440028599405E-2</v>
      </c>
      <c r="N97" s="1">
        <f t="shared" si="11"/>
        <v>3.7473455489855513E-2</v>
      </c>
    </row>
    <row r="98" spans="7:14">
      <c r="G98" s="13">
        <f t="shared" si="12"/>
        <v>21.25</v>
      </c>
      <c r="J98" s="15">
        <f>Interpolate_Interval(G97,G99,J97,J99,G98)</f>
        <v>0.45020519833154915</v>
      </c>
      <c r="L98" s="1">
        <f>Interpolate_Interval(G97,G99,L97,L99,G98)</f>
        <v>4.4942980662939336E-2</v>
      </c>
      <c r="M98" s="1">
        <f t="shared" si="13"/>
        <v>4.4684701232774238E-2</v>
      </c>
      <c r="N98" s="1">
        <f t="shared" si="11"/>
        <v>3.7555379005183749E-2</v>
      </c>
    </row>
    <row r="99" spans="7:14">
      <c r="G99" s="13">
        <f t="shared" si="12"/>
        <v>21.5</v>
      </c>
      <c r="I99" s="1">
        <f>Interpolate_Range($D$17:$D$31,$E$17:$E$31,G99)</f>
        <v>3.5523249999999999E-2</v>
      </c>
      <c r="J99" s="15">
        <f>(1-I99*K97)/(1+I99*0.5)</f>
        <v>0.44517587713632734</v>
      </c>
      <c r="K99" s="2">
        <f>K97+0.5*J99</f>
        <v>15.618619435543561</v>
      </c>
      <c r="L99" s="1">
        <f>(J97/J99-1)/0.5</f>
        <v>4.5189521297279711E-2</v>
      </c>
      <c r="M99" s="1">
        <f t="shared" si="13"/>
        <v>4.5189521297279711E-2</v>
      </c>
      <c r="N99" s="1">
        <f t="shared" si="11"/>
        <v>3.7641202110635992E-2</v>
      </c>
    </row>
    <row r="100" spans="7:14">
      <c r="G100" s="13">
        <f t="shared" si="12"/>
        <v>21.75</v>
      </c>
      <c r="J100" s="15">
        <f>Interpolate_Interval(G99,G101,J99,J101,G100)</f>
        <v>0.44020410345901739</v>
      </c>
      <c r="L100" s="1">
        <f>(J98/J100-1)/0.5</f>
        <v>4.5438444548542734E-2</v>
      </c>
      <c r="M100" s="1">
        <f t="shared" si="13"/>
        <v>4.5176986204744196E-2</v>
      </c>
      <c r="N100" s="1">
        <f t="shared" ref="N100:N133" si="14">-LN(J100)/G100</f>
        <v>3.7724909798951115E-2</v>
      </c>
    </row>
    <row r="101" spans="7:14">
      <c r="G101" s="13">
        <f t="shared" si="12"/>
        <v>22</v>
      </c>
      <c r="I101" s="1">
        <f>Interpolate_Range($D$17:$D$31,$E$17:$E$31,G101)</f>
        <v>3.5663E-2</v>
      </c>
      <c r="J101" s="15">
        <f>(1-I101*K99)/(1+I101*0.5)</f>
        <v>0.43523232978170745</v>
      </c>
      <c r="K101" s="2">
        <f>K99+0.5*J101</f>
        <v>15.836235600434415</v>
      </c>
      <c r="L101" s="1">
        <f>Interpolate_Interval(G100,G102,L100,L102,G101)</f>
        <v>4.5692896087185408E-2</v>
      </c>
      <c r="M101" s="1">
        <f t="shared" si="13"/>
        <v>4.5693054831690283E-2</v>
      </c>
      <c r="N101" s="1">
        <f t="shared" si="14"/>
        <v>3.7812513591696732E-2</v>
      </c>
    </row>
    <row r="102" spans="7:14">
      <c r="G102" s="13">
        <f t="shared" si="12"/>
        <v>22.25</v>
      </c>
      <c r="J102" s="15">
        <f>Interpolate_Interval(G101,G103,J101,J103,G102)</f>
        <v>0.4303181154391309</v>
      </c>
      <c r="L102" s="1">
        <f>(J100/J102-1)/0.5</f>
        <v>4.5947347625828083E-2</v>
      </c>
      <c r="M102" s="1">
        <f t="shared" si="13"/>
        <v>4.5679827701993858E-2</v>
      </c>
      <c r="N102" s="1">
        <f t="shared" si="14"/>
        <v>3.7898001818755807E-2</v>
      </c>
    </row>
    <row r="103" spans="7:14">
      <c r="G103" s="13">
        <f t="shared" si="12"/>
        <v>22.5</v>
      </c>
      <c r="I103" s="1">
        <f>Interpolate_Range($D$17:$D$31,$E$17:$E$31,G103)</f>
        <v>3.5802750000000001E-2</v>
      </c>
      <c r="J103" s="15">
        <f>(1-I103*K101)/(1+I103*0.5)</f>
        <v>0.42540390109655429</v>
      </c>
      <c r="K103" s="2">
        <f>K101+0.5*J103</f>
        <v>16.048937550982693</v>
      </c>
      <c r="L103" s="1">
        <f>Interpolate_Interval(G102,G104,L102,L104,G103)</f>
        <v>4.6207385921090971E-2</v>
      </c>
      <c r="M103" s="1">
        <f t="shared" si="13"/>
        <v>4.6207515539085087E-2</v>
      </c>
      <c r="N103" s="1">
        <f t="shared" si="14"/>
        <v>3.7987386926147358E-2</v>
      </c>
    </row>
    <row r="104" spans="7:14">
      <c r="G104" s="13">
        <f t="shared" si="12"/>
        <v>22.75</v>
      </c>
      <c r="J104" s="15">
        <f>Interpolate_Interval(G103,G105,J103,J105,G104)</f>
        <v>0.42054724189309878</v>
      </c>
      <c r="L104" s="1">
        <f>(J102/J104-1)/0.5</f>
        <v>4.6467424216353859E-2</v>
      </c>
      <c r="M104" s="1">
        <f t="shared" si="13"/>
        <v>4.6193708764734609E-2</v>
      </c>
      <c r="N104" s="1">
        <f t="shared" si="14"/>
        <v>3.8074657535300968E-2</v>
      </c>
    </row>
    <row r="105" spans="7:14">
      <c r="G105" s="13">
        <f t="shared" si="12"/>
        <v>23</v>
      </c>
      <c r="I105" s="1">
        <f>Interpolate_Range($D$17:$D$31,$E$17:$E$31,G105)</f>
        <v>3.5942500000000002E-2</v>
      </c>
      <c r="J105" s="15">
        <f>(1-I105*K103)/(1+I105*0.5)</f>
        <v>0.41569058268964332</v>
      </c>
      <c r="K105" s="2">
        <f>K103+0.5*J105</f>
        <v>16.256782842327514</v>
      </c>
      <c r="L105" s="1">
        <f>Interpolate_Interval(G104,G106,L104,L106,G105)</f>
        <v>4.673330789224317E-2</v>
      </c>
      <c r="M105" s="1">
        <f t="shared" si="13"/>
        <v>4.6733406102504205E-2</v>
      </c>
      <c r="N105" s="1">
        <f t="shared" si="14"/>
        <v>3.816582987315334E-2</v>
      </c>
    </row>
    <row r="106" spans="7:14">
      <c r="G106" s="13">
        <f t="shared" si="12"/>
        <v>23.25</v>
      </c>
      <c r="J106" s="15">
        <f>Interpolate_Interval(G105,G107,J105,J107,G106)</f>
        <v>0.41089145870246546</v>
      </c>
      <c r="L106" s="1">
        <f>(J104/J106-1)/0.5</f>
        <v>4.6999191568132481E-2</v>
      </c>
      <c r="M106" s="1">
        <f t="shared" si="13"/>
        <v>4.6719140887793387E-2</v>
      </c>
      <c r="N106" s="1">
        <f t="shared" si="14"/>
        <v>3.8254889897301685E-2</v>
      </c>
    </row>
    <row r="107" spans="7:14">
      <c r="G107" s="13">
        <f t="shared" si="12"/>
        <v>23.5</v>
      </c>
      <c r="I107" s="1">
        <f>Interpolate_Range($D$17:$D$31,$E$17:$E$31,G107)</f>
        <v>3.6082250000000003E-2</v>
      </c>
      <c r="J107" s="15">
        <f>(1-I107*K105)/(1+I107*0.5)</f>
        <v>0.40609233471528761</v>
      </c>
      <c r="K107" s="2">
        <f>K105+0.5*J107</f>
        <v>16.459829009685158</v>
      </c>
      <c r="L107" s="1">
        <f>Interpolate_Interval(G106,G108,L106,L108,G107)</f>
        <v>4.7271194712437126E-2</v>
      </c>
      <c r="M107" s="1">
        <f t="shared" si="13"/>
        <v>4.7271259040558178E-2</v>
      </c>
      <c r="N107" s="1">
        <f t="shared" si="14"/>
        <v>3.8347860418320411E-2</v>
      </c>
    </row>
    <row r="108" spans="7:14">
      <c r="G108" s="13">
        <f t="shared" si="12"/>
        <v>23.75</v>
      </c>
      <c r="J108" s="15">
        <f>Interpolate_Interval(G107,G109,J107,J109,G108)</f>
        <v>0.4013507105809192</v>
      </c>
      <c r="L108" s="1">
        <f>(J106/J108-1)/0.5</f>
        <v>4.754319785674177E-2</v>
      </c>
      <c r="M108" s="1">
        <f t="shared" si="13"/>
        <v>4.7256666146227033E-2</v>
      </c>
      <c r="N108" s="1">
        <f t="shared" si="14"/>
        <v>3.8438721849649686E-2</v>
      </c>
    </row>
    <row r="109" spans="7:14">
      <c r="G109" s="13">
        <f t="shared" si="12"/>
        <v>24</v>
      </c>
      <c r="I109" s="1">
        <f>Interpolate_Range($D$17:$D$31,$E$17:$E$31,G109)</f>
        <v>3.6221999999999997E-2</v>
      </c>
      <c r="J109" s="15">
        <f>(1-I109*K107)/(1+I109*0.5)</f>
        <v>0.39660908644655074</v>
      </c>
      <c r="K109" s="2">
        <f>K107+0.5*J109</f>
        <v>16.658133552908435</v>
      </c>
      <c r="L109" s="1">
        <f>(J107/J109-1)/0.5</f>
        <v>4.782163895286784E-2</v>
      </c>
      <c r="M109" s="1">
        <f t="shared" si="13"/>
        <v>4.7821638952868284E-2</v>
      </c>
      <c r="N109" s="1">
        <f t="shared" si="14"/>
        <v>3.8533506345842315E-2</v>
      </c>
    </row>
    <row r="110" spans="7:14">
      <c r="G110" s="13">
        <f t="shared" si="12"/>
        <v>24.25</v>
      </c>
      <c r="J110" s="15">
        <f>Interpolate_Interval(G109,G111,J109,J111,G110)</f>
        <v>0.39192491164874382</v>
      </c>
      <c r="L110" s="1">
        <f>Interpolate_Interval(G109,G111,L109,L111,G110)</f>
        <v>4.8103391961957342E-2</v>
      </c>
      <c r="M110" s="1">
        <f t="shared" si="13"/>
        <v>4.7806859513998212E-2</v>
      </c>
      <c r="N110" s="1">
        <f t="shared" si="14"/>
        <v>3.8626185956971378E-2</v>
      </c>
    </row>
    <row r="111" spans="7:14">
      <c r="G111" s="13">
        <f t="shared" si="12"/>
        <v>24.5</v>
      </c>
      <c r="I111" s="1">
        <f>Interpolate_Range($D$17:$D$31,$E$17:$E$31,G111)</f>
        <v>3.6361749999999998E-2</v>
      </c>
      <c r="J111" s="15">
        <f>(1-I111*K109)/(1+I111*0.5)</f>
        <v>0.38724073685093691</v>
      </c>
      <c r="K111" s="2">
        <f>K109+0.5*J111</f>
        <v>16.851753921333902</v>
      </c>
      <c r="L111" s="1">
        <f>(J109/J111-1)/0.5</f>
        <v>4.8385144971046845E-2</v>
      </c>
      <c r="M111" s="1">
        <f t="shared" si="13"/>
        <v>4.8385144971047289E-2</v>
      </c>
      <c r="N111" s="1">
        <f t="shared" si="14"/>
        <v>3.8722804910389215E-2</v>
      </c>
    </row>
    <row r="112" spans="7:14">
      <c r="G112" s="13">
        <f t="shared" si="12"/>
        <v>24.75</v>
      </c>
      <c r="J112" s="15">
        <f>Interpolate_Interval(G111,G113,J111,J113,G112)</f>
        <v>0.38261394600959031</v>
      </c>
      <c r="L112" s="1">
        <f>Interpolate_Interval(G111,G113,L111,L113,G112)</f>
        <v>4.8673779204239542E-2</v>
      </c>
      <c r="M112" s="1">
        <f t="shared" si="13"/>
        <v>4.8370331396447419E-2</v>
      </c>
      <c r="N112" s="1">
        <f t="shared" si="14"/>
        <v>3.8817324121780857E-2</v>
      </c>
    </row>
    <row r="113" spans="7:14">
      <c r="G113" s="13">
        <f t="shared" si="12"/>
        <v>25</v>
      </c>
      <c r="I113" s="1">
        <f>Interpolate_Range($D$17:$D$31,$E$17:$E$31,G113)</f>
        <v>3.6501499999999999E-2</v>
      </c>
      <c r="J113" s="15">
        <f>(1-I113*K111)/(1+I113*0.5)</f>
        <v>0.37798715516824372</v>
      </c>
      <c r="K113" s="2">
        <f>K111+0.5*J113</f>
        <v>17.040747498918023</v>
      </c>
      <c r="L113" s="1">
        <f>(J111/J113-1)/0.5</f>
        <v>4.896241343743224E-2</v>
      </c>
      <c r="M113" s="1">
        <f t="shared" si="13"/>
        <v>4.896241343743224E-2</v>
      </c>
      <c r="N113" s="1">
        <f t="shared" si="14"/>
        <v>3.8915802599052404E-2</v>
      </c>
    </row>
    <row r="114" spans="7:14">
      <c r="G114" s="13">
        <f t="shared" si="12"/>
        <v>25.25</v>
      </c>
      <c r="J114" s="15">
        <f>Interpolate_Interval(G113,G115,J113,J115,G114)</f>
        <v>0.37459251417895056</v>
      </c>
      <c r="L114" s="1">
        <f>Interpolate_Interval(G113,G115,L113,L115,G114)</f>
        <v>4.277140305051863E-2</v>
      </c>
      <c r="M114" s="1">
        <f t="shared" si="13"/>
        <v>3.6248892978907321E-2</v>
      </c>
      <c r="N114" s="1">
        <f t="shared" si="14"/>
        <v>3.8887781096119838E-2</v>
      </c>
    </row>
    <row r="115" spans="7:14">
      <c r="G115" s="13">
        <f>G114+0.25</f>
        <v>25.5</v>
      </c>
      <c r="I115" s="1">
        <f>Interpolate_Range($D$17:$D$31,$E$17:$E$31,G115)</f>
        <v>3.6502350000000003E-2</v>
      </c>
      <c r="J115" s="15">
        <f>(1-I115*K113)/(1+I115*0.5)</f>
        <v>0.37119787318965736</v>
      </c>
      <c r="K115" s="2">
        <f>K113+0.5*J115</f>
        <v>17.226346435512852</v>
      </c>
      <c r="L115" s="1">
        <f>(J113/J115-1)/0.5</f>
        <v>3.6580392663605021E-2</v>
      </c>
      <c r="M115" s="1">
        <f t="shared" si="13"/>
        <v>3.6580392663605465E-2</v>
      </c>
      <c r="N115" s="1">
        <f t="shared" si="14"/>
        <v>3.8863529711381579E-2</v>
      </c>
    </row>
    <row r="116" spans="7:14">
      <c r="G116" s="13">
        <f t="shared" ref="G116:G123" si="15">G115+0.25</f>
        <v>25.75</v>
      </c>
      <c r="J116" s="15">
        <f>Interpolate_Interval(G115,G117,J115,J117,G116)</f>
        <v>0.36786392434205506</v>
      </c>
      <c r="L116" s="1">
        <f>Interpolate_Interval(G115,G117,L115,L117,G116)</f>
        <v>3.6581964206749529E-2</v>
      </c>
      <c r="M116" s="1">
        <f t="shared" si="13"/>
        <v>3.6251979354216424E-2</v>
      </c>
      <c r="N116" s="1">
        <f t="shared" si="14"/>
        <v>3.8836589514754279E-2</v>
      </c>
    </row>
    <row r="117" spans="7:14">
      <c r="G117" s="13">
        <f t="shared" si="15"/>
        <v>26</v>
      </c>
      <c r="I117" s="1">
        <f>Interpolate_Range($D$17:$D$31,$E$17:$E$31,G117)</f>
        <v>3.65032E-2</v>
      </c>
      <c r="J117" s="15">
        <f>(1-I117*K115)/(1+I117*0.5)</f>
        <v>0.36452997549445271</v>
      </c>
      <c r="K117" s="2">
        <f>K115+0.5*J117</f>
        <v>17.40861142326008</v>
      </c>
      <c r="L117" s="1">
        <f>(J115/J117-1)/0.5</f>
        <v>3.6583535749894036E-2</v>
      </c>
      <c r="M117" s="1">
        <f t="shared" si="13"/>
        <v>3.658353574989448E-2</v>
      </c>
      <c r="N117" s="1">
        <f t="shared" si="14"/>
        <v>3.8813326677636879E-2</v>
      </c>
    </row>
    <row r="118" spans="7:14">
      <c r="G118" s="13">
        <f t="shared" si="15"/>
        <v>26.25</v>
      </c>
      <c r="J118" s="15">
        <f>Interpolate_Interval(G117,G119,J117,J119,G118)</f>
        <v>0.36125563506498792</v>
      </c>
      <c r="L118" s="1">
        <f>(J116/J118-1)/0.5</f>
        <v>3.6585113895196919E-2</v>
      </c>
      <c r="M118" s="1">
        <f t="shared" si="13"/>
        <v>3.6255107039377066E-2</v>
      </c>
      <c r="N118" s="1">
        <f t="shared" si="14"/>
        <v>3.8787407271670127E-2</v>
      </c>
    </row>
    <row r="119" spans="7:14">
      <c r="G119" s="13">
        <f t="shared" si="15"/>
        <v>26.5</v>
      </c>
      <c r="I119" s="1">
        <f>Interpolate_Range($D$17:$D$31,$E$17:$E$31,G119)</f>
        <v>3.6504049999999996E-2</v>
      </c>
      <c r="J119" s="15">
        <f>(1-I119*K117)/(1+I119*0.5)</f>
        <v>0.35798129463552308</v>
      </c>
      <c r="K119" s="2">
        <f>K117+0.5*J119</f>
        <v>17.587602070577841</v>
      </c>
      <c r="L119" s="1">
        <f>Interpolate_Interval(G118,G120,L118,L120,G119)</f>
        <v>3.6586717090731691E-2</v>
      </c>
      <c r="M119" s="1">
        <f t="shared" si="13"/>
        <v>3.658672091008075E-2</v>
      </c>
      <c r="N119" s="1">
        <f t="shared" si="14"/>
        <v>3.8765077115771304E-2</v>
      </c>
    </row>
    <row r="120" spans="7:14">
      <c r="G120" s="13">
        <f t="shared" si="15"/>
        <v>26.75</v>
      </c>
      <c r="J120" s="15">
        <f>Interpolate_Interval(G119,G121,J119,J121,G120)</f>
        <v>0.35476549822716175</v>
      </c>
      <c r="L120" s="1">
        <f>(J118/J120-1)/0.5</f>
        <v>3.6588320286266462E-2</v>
      </c>
      <c r="M120" s="1">
        <f t="shared" si="13"/>
        <v>3.6258276798971423E-2</v>
      </c>
      <c r="N120" s="1">
        <f t="shared" si="14"/>
        <v>3.8740122472984279E-2</v>
      </c>
    </row>
    <row r="121" spans="7:14">
      <c r="G121" s="13">
        <f t="shared" si="15"/>
        <v>27</v>
      </c>
      <c r="I121" s="1">
        <f>Interpolate_Range($D$17:$D$31,$E$17:$E$31,G121)</f>
        <v>3.65049E-2</v>
      </c>
      <c r="J121" s="15">
        <f>(1-I121*K119)/(1+I121*0.5)</f>
        <v>0.35154970181880041</v>
      </c>
      <c r="K121" s="2">
        <f>K119+0.5*J121</f>
        <v>17.763376921487239</v>
      </c>
      <c r="L121" s="1">
        <f>Interpolate_Interval(G120,G122,L120,L122,G121)</f>
        <v>3.6589945104710253E-2</v>
      </c>
      <c r="M121" s="1">
        <f t="shared" si="13"/>
        <v>3.6589948922999049E-2</v>
      </c>
      <c r="N121" s="1">
        <f t="shared" si="14"/>
        <v>3.8718673278790403E-2</v>
      </c>
    </row>
    <row r="122" spans="7:14">
      <c r="G122" s="13">
        <f t="shared" si="15"/>
        <v>27.25</v>
      </c>
      <c r="J122" s="15">
        <f>Interpolate_Interval(G121,G123,J121,J123,G122)</f>
        <v>0.34839140401680835</v>
      </c>
      <c r="L122" s="1">
        <f>(J120/J122-1)/0.5</f>
        <v>3.6591569923154044E-2</v>
      </c>
      <c r="M122" s="1">
        <f t="shared" si="13"/>
        <v>3.6261489411945291E-2</v>
      </c>
      <c r="N122" s="1">
        <f t="shared" si="14"/>
        <v>3.8694631451369491E-2</v>
      </c>
    </row>
    <row r="123" spans="7:14">
      <c r="G123" s="13">
        <f t="shared" si="15"/>
        <v>27.5</v>
      </c>
      <c r="I123" s="1">
        <f>Interpolate_Range($D$17:$D$31,$E$17:$E$31,G123)</f>
        <v>3.6505750000000003E-2</v>
      </c>
      <c r="J123" s="15">
        <f>(1-I123*K121)/(1+I123*0.5)</f>
        <v>0.34523310621481634</v>
      </c>
      <c r="K123" s="2">
        <f>K121+0.5*J123</f>
        <v>17.935993474594646</v>
      </c>
      <c r="L123" s="1">
        <f>Interpolate_Interval(G122,G124,L122,L124,G123)</f>
        <v>3.6593216764936987E-2</v>
      </c>
      <c r="M123" s="1">
        <f t="shared" si="13"/>
        <v>3.6593220582116892E-2</v>
      </c>
      <c r="N123" s="1">
        <f t="shared" si="14"/>
        <v>3.8674015270008584E-2</v>
      </c>
    </row>
    <row r="124" spans="7:14">
      <c r="G124" s="13">
        <f>G123+0.25</f>
        <v>27.75</v>
      </c>
      <c r="J124" s="15">
        <f>Interpolate_Interval(G123,G125,J123,J125,G124)</f>
        <v>0.34213128024866224</v>
      </c>
      <c r="L124" s="1">
        <f>(J122/J124-1)/0.5</f>
        <v>3.659486360671993E-2</v>
      </c>
      <c r="M124" s="1">
        <f t="shared" si="13"/>
        <v>3.6264745671891419E-2</v>
      </c>
      <c r="N124" s="1">
        <f t="shared" si="14"/>
        <v>3.8650838025184583E-2</v>
      </c>
    </row>
    <row r="125" spans="7:14">
      <c r="G125" s="13">
        <f t="shared" ref="G125:G126" si="16">G124+0.25</f>
        <v>28</v>
      </c>
      <c r="I125" s="1">
        <f>Interpolate_Range($D$17:$D$31,$E$17:$E$31,G125)</f>
        <v>3.65066E-2</v>
      </c>
      <c r="J125" s="15">
        <f>(1-I125*K123)/(1+I125*0.5)</f>
        <v>0.33902945428250819</v>
      </c>
      <c r="K125" s="2">
        <f>K123+0.5*J125</f>
        <v>18.105508201735901</v>
      </c>
      <c r="L125" s="1">
        <f>Interpolate_Interval(G124,G126,L124,L126,G125)</f>
        <v>3.6596532879806132E-2</v>
      </c>
      <c r="M125" s="1">
        <f t="shared" si="13"/>
        <v>3.6596536695827631E-2</v>
      </c>
      <c r="N125" s="1">
        <f t="shared" si="14"/>
        <v>3.8631010342390311E-2</v>
      </c>
    </row>
    <row r="126" spans="7:14">
      <c r="G126" s="13">
        <f t="shared" si="16"/>
        <v>28.25</v>
      </c>
      <c r="J126" s="15">
        <f>Interpolate_Interval(G125,G127,J125,J127,G126)</f>
        <v>0.33598309169378088</v>
      </c>
      <c r="L126" s="1">
        <f>(J124/J126-1)/0.5</f>
        <v>3.6598202152892334E-2</v>
      </c>
      <c r="M126" s="1">
        <f t="shared" si="13"/>
        <v>3.6268046387331943E-2</v>
      </c>
      <c r="N126" s="1">
        <f t="shared" si="14"/>
        <v>3.8608652836286096E-2</v>
      </c>
    </row>
    <row r="127" spans="7:14">
      <c r="G127" s="13">
        <f>G126+0.25</f>
        <v>28.5</v>
      </c>
      <c r="I127" s="1">
        <f>Interpolate_Range($D$17:$D$31,$E$17:$E$31,G127)</f>
        <v>3.6507449999999997E-2</v>
      </c>
      <c r="J127" s="15">
        <f>(1-I127*K125)/(1+I127*0.5)</f>
        <v>0.33293672910505356</v>
      </c>
      <c r="K127" s="2">
        <f>K125+0.5*J127</f>
        <v>18.271976566288426</v>
      </c>
      <c r="L127" s="1">
        <f>(J125/J127-1)/0.5</f>
        <v>3.6599898087736449E-2</v>
      </c>
      <c r="M127" s="1">
        <f t="shared" si="13"/>
        <v>3.6599898087736449E-2</v>
      </c>
      <c r="N127" s="1">
        <f t="shared" si="14"/>
        <v>3.8589572271649733E-2</v>
      </c>
    </row>
    <row r="128" spans="7:14">
      <c r="G128" s="13">
        <f t="shared" ref="G128" si="17">G127+0.25</f>
        <v>28.75</v>
      </c>
      <c r="J128" s="15">
        <f>Interpolate_Interval(G127,G129,J127,J129,G128)</f>
        <v>0.32994483942128727</v>
      </c>
      <c r="L128" s="1">
        <f>Interpolate_Interval(G127,G129,L127,L129,G128)</f>
        <v>3.6601601842340736E-2</v>
      </c>
      <c r="M128" s="1">
        <f t="shared" si="13"/>
        <v>3.6271392381999057E-2</v>
      </c>
      <c r="N128" s="1">
        <f t="shared" si="14"/>
        <v>3.8567992756942684E-2</v>
      </c>
    </row>
    <row r="129" spans="7:14">
      <c r="G129" s="13">
        <f>G128+0.25</f>
        <v>29</v>
      </c>
      <c r="I129" s="1">
        <f>Interpolate_Range($D$17:$D$31,$E$17:$E$31,G129)</f>
        <v>3.65083E-2</v>
      </c>
      <c r="J129" s="15">
        <f>(1-I129*K127)/(1+I129*0.5)</f>
        <v>0.32695294973752104</v>
      </c>
      <c r="K129" s="2">
        <f>K127+0.5*J129</f>
        <v>18.435453041157189</v>
      </c>
      <c r="L129" s="1">
        <f>(J127/J129-1)/0.5</f>
        <v>3.6603305596945024E-2</v>
      </c>
      <c r="M129" s="1">
        <f t="shared" si="13"/>
        <v>3.660330559694458E-2</v>
      </c>
      <c r="N129" s="1">
        <f t="shared" si="14"/>
        <v>3.8549620794206964E-2</v>
      </c>
    </row>
    <row r="130" spans="7:14">
      <c r="G130" s="13">
        <f t="shared" ref="G130" si="18">G129+0.25</f>
        <v>29.25</v>
      </c>
      <c r="J130" s="15">
        <f>Interpolate_Interval(G129,G131,J129,J131,G130)</f>
        <v>0.3240145601518224</v>
      </c>
      <c r="L130" s="1">
        <f>Interpolate_Interval(G129,G131,L129,L131,G130)</f>
        <v>3.660503283765526E-2</v>
      </c>
      <c r="M130" s="1">
        <f t="shared" si="13"/>
        <v>3.6274784495138768E-2</v>
      </c>
      <c r="N130" s="1">
        <f t="shared" si="14"/>
        <v>3.8528780357583933E-2</v>
      </c>
    </row>
    <row r="131" spans="7:14">
      <c r="G131" s="13">
        <f>G130+0.25</f>
        <v>29.5</v>
      </c>
      <c r="I131" s="1">
        <f>Interpolate_Range($D$17:$D$31,$E$17:$E$31,G131)</f>
        <v>3.6509150000000004E-2</v>
      </c>
      <c r="J131" s="15">
        <f>(1-I131*K129)/(1+I131*0.5)</f>
        <v>0.32107617056612381</v>
      </c>
      <c r="K131" s="2">
        <f>K129+0.5*J131</f>
        <v>18.59599112644025</v>
      </c>
      <c r="L131" s="1">
        <f>(J129/J131-1)/0.5</f>
        <v>3.6606760078365497E-2</v>
      </c>
      <c r="M131" s="1">
        <f t="shared" si="13"/>
        <v>3.6606760078365497E-2</v>
      </c>
      <c r="N131" s="1">
        <f t="shared" si="14"/>
        <v>3.8511081102306458E-2</v>
      </c>
    </row>
    <row r="132" spans="7:14">
      <c r="G132" s="13">
        <f t="shared" ref="G132" si="19">G131+0.25</f>
        <v>29.75</v>
      </c>
      <c r="J132" s="15">
        <f>Interpolate_Interval(G131,G133,J131,J133,G132)</f>
        <v>0.31819032562249872</v>
      </c>
      <c r="L132" s="1">
        <f>Interpolate_Interval(G131,G133,L131,L133,G132)</f>
        <v>3.6608511240690866E-2</v>
      </c>
      <c r="M132" s="1">
        <f t="shared" si="13"/>
        <v>3.627822358180488E-2</v>
      </c>
      <c r="N132" s="1">
        <f t="shared" si="14"/>
        <v>3.8490943428226468E-2</v>
      </c>
    </row>
    <row r="133" spans="7:14">
      <c r="G133" s="13">
        <f>G132+0.25</f>
        <v>30</v>
      </c>
      <c r="I133" s="1">
        <f>Interpolate_Range($D$17:$D$31,$E$17:$E$31,G133)</f>
        <v>3.6510000000000001E-2</v>
      </c>
      <c r="J133" s="15">
        <f>(1-I133*K131)/(1+I133*0.5)</f>
        <v>0.31530448067887362</v>
      </c>
      <c r="K133" s="2">
        <f>K131+0.5*J133</f>
        <v>18.753643366779688</v>
      </c>
      <c r="L133" s="1">
        <f>(J131/J133-1)/0.5</f>
        <v>3.6610262403016236E-2</v>
      </c>
      <c r="M133" s="1">
        <f t="shared" si="13"/>
        <v>3.6610262403016236E-2</v>
      </c>
      <c r="N133" s="1">
        <f t="shared" si="14"/>
        <v>3.8473883389628497E-2</v>
      </c>
    </row>
    <row r="141" spans="7:14">
      <c r="J141" s="15"/>
      <c r="L141" s="1"/>
    </row>
    <row r="142" spans="7:14">
      <c r="J142" s="15"/>
      <c r="K142" s="2"/>
      <c r="L142" s="1"/>
    </row>
    <row r="143" spans="7:14">
      <c r="K143"/>
      <c r="L143" s="1"/>
    </row>
    <row r="144" spans="7:14">
      <c r="K144"/>
      <c r="L144" s="1"/>
    </row>
    <row r="145" spans="11:12">
      <c r="K145"/>
      <c r="L145" s="1"/>
    </row>
    <row r="146" spans="11:12">
      <c r="K146"/>
      <c r="L146" s="1"/>
    </row>
    <row r="147" spans="11:12">
      <c r="K147"/>
      <c r="L147" s="1"/>
    </row>
    <row r="148" spans="11:12">
      <c r="K148"/>
      <c r="L148" s="1"/>
    </row>
    <row r="149" spans="11:12">
      <c r="L149" s="1"/>
    </row>
    <row r="150" spans="11:12">
      <c r="L150" s="1"/>
    </row>
    <row r="151" spans="11:12">
      <c r="L151" s="1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W152"/>
  <sheetViews>
    <sheetView zoomScale="85" zoomScaleNormal="85" workbookViewId="0"/>
  </sheetViews>
  <sheetFormatPr defaultRowHeight="13.5"/>
  <cols>
    <col min="1" max="1" width="9.5" bestFit="1" customWidth="1"/>
    <col min="5" max="6" width="12.75" customWidth="1"/>
    <col min="7" max="7" width="13" customWidth="1"/>
    <col min="8" max="8" width="13.875" bestFit="1" customWidth="1"/>
    <col min="9" max="9" width="8.875" customWidth="1"/>
    <col min="10" max="10" width="9.125" bestFit="1" customWidth="1"/>
    <col min="11" max="11" width="13" style="3" customWidth="1"/>
    <col min="12" max="12" width="12.125" customWidth="1"/>
    <col min="14" max="14" width="10.125" customWidth="1"/>
    <col min="16" max="16" width="21.875" bestFit="1" customWidth="1"/>
    <col min="17" max="17" width="10.625" customWidth="1"/>
    <col min="21" max="21" width="14.625" bestFit="1" customWidth="1"/>
    <col min="23" max="23" width="14.625" bestFit="1" customWidth="1"/>
  </cols>
  <sheetData>
    <row r="1" spans="1:23">
      <c r="A1" t="s">
        <v>65</v>
      </c>
    </row>
    <row r="2" spans="1:23">
      <c r="A2" s="22" t="s">
        <v>158</v>
      </c>
      <c r="B2" s="19"/>
      <c r="C2" s="19"/>
      <c r="D2" s="19"/>
      <c r="P2" s="22" t="s">
        <v>44</v>
      </c>
      <c r="Q2" s="20"/>
    </row>
    <row r="3" spans="1:23">
      <c r="O3" s="20"/>
      <c r="P3" s="20"/>
      <c r="Q3" s="20"/>
      <c r="R3" s="20"/>
      <c r="S3" s="20"/>
      <c r="T3" s="20"/>
      <c r="U3" s="20"/>
      <c r="V3" s="20"/>
      <c r="W3" s="20"/>
    </row>
    <row r="4" spans="1:23">
      <c r="O4" s="20"/>
      <c r="P4" s="20"/>
      <c r="Q4" s="20"/>
      <c r="R4" s="20"/>
      <c r="S4" s="20"/>
      <c r="T4" s="20"/>
      <c r="U4" s="20"/>
      <c r="V4" s="20"/>
      <c r="W4" s="20"/>
    </row>
    <row r="5" spans="1:23">
      <c r="O5" s="20"/>
      <c r="P5" s="20"/>
      <c r="Q5" s="20"/>
      <c r="R5" s="20"/>
      <c r="S5" s="20"/>
      <c r="T5" s="20"/>
      <c r="U5" s="20"/>
      <c r="V5" s="20"/>
      <c r="W5" s="20"/>
    </row>
    <row r="6" spans="1:23">
      <c r="O6" s="20"/>
      <c r="P6" s="20"/>
      <c r="Q6" s="20"/>
      <c r="R6" s="20"/>
      <c r="S6" s="20"/>
      <c r="T6" s="20"/>
      <c r="U6" s="20"/>
      <c r="V6" s="20"/>
      <c r="W6" s="20"/>
    </row>
    <row r="7" spans="1:23">
      <c r="O7" s="20"/>
      <c r="P7" s="20"/>
      <c r="Q7" s="20"/>
      <c r="R7" s="20"/>
      <c r="S7" s="20"/>
      <c r="T7" s="20"/>
      <c r="U7" s="20"/>
      <c r="V7" s="20"/>
      <c r="W7" s="20"/>
    </row>
    <row r="8" spans="1:23">
      <c r="G8" s="23" t="s">
        <v>49</v>
      </c>
      <c r="K8"/>
      <c r="P8" s="23" t="s">
        <v>30</v>
      </c>
      <c r="S8" s="23" t="s">
        <v>50</v>
      </c>
    </row>
    <row r="9" spans="1:23">
      <c r="A9" s="23" t="s">
        <v>23</v>
      </c>
      <c r="G9" t="s">
        <v>2</v>
      </c>
      <c r="H9" t="s">
        <v>18</v>
      </c>
      <c r="I9" t="s">
        <v>21</v>
      </c>
      <c r="J9" t="s">
        <v>19</v>
      </c>
      <c r="K9" t="s">
        <v>61</v>
      </c>
      <c r="L9" t="s">
        <v>5</v>
      </c>
      <c r="M9" t="s">
        <v>22</v>
      </c>
      <c r="N9" t="s">
        <v>4</v>
      </c>
      <c r="P9" t="s">
        <v>40</v>
      </c>
      <c r="Q9">
        <v>1</v>
      </c>
      <c r="S9" t="s">
        <v>33</v>
      </c>
      <c r="T9" t="s">
        <v>32</v>
      </c>
      <c r="U9" t="s">
        <v>41</v>
      </c>
      <c r="V9" t="s">
        <v>42</v>
      </c>
      <c r="W9" t="s">
        <v>41</v>
      </c>
    </row>
    <row r="10" spans="1:23">
      <c r="G10" s="2">
        <v>0</v>
      </c>
      <c r="H10" s="1">
        <f>Interpolate_Range($A$17:$A$26,$B$17:$B$26,G10)</f>
        <v>7.0860000000000009E-4</v>
      </c>
      <c r="J10" s="31">
        <v>1</v>
      </c>
      <c r="K10" s="2"/>
      <c r="N10" s="1">
        <f>N11</f>
        <v>7.0859518525864221E-4</v>
      </c>
      <c r="P10" t="s">
        <v>34</v>
      </c>
      <c r="Q10" s="26">
        <v>1.4999999999999999E-2</v>
      </c>
      <c r="S10">
        <v>0</v>
      </c>
    </row>
    <row r="11" spans="1:23">
      <c r="B11" t="s">
        <v>92</v>
      </c>
      <c r="G11" s="2">
        <f t="shared" ref="G11:H15" si="0">A17</f>
        <v>1.9178082191780823E-2</v>
      </c>
      <c r="H11" s="1">
        <f t="shared" si="0"/>
        <v>7.0860000000000009E-4</v>
      </c>
      <c r="J11" s="27">
        <f t="shared" ref="J11" si="1">1/(1+H11*G11)</f>
        <v>0.9999864105956332</v>
      </c>
      <c r="K11" s="2"/>
      <c r="N11" s="1">
        <f t="shared" ref="N11" si="2">-LN(J11)/G11</f>
        <v>7.0859518525864221E-4</v>
      </c>
      <c r="P11" t="s">
        <v>31</v>
      </c>
      <c r="Q11" s="12" t="s">
        <v>91</v>
      </c>
      <c r="S11">
        <v>0.25</v>
      </c>
      <c r="T11" s="1">
        <f>$Q$10/4</f>
        <v>3.7499999999999999E-3</v>
      </c>
      <c r="U11" s="1">
        <f t="shared" ref="U11:U50" si="3">T11*Interpolate_Range($G$10:$G$133,$J$10:$J$133,S11)</f>
        <v>3.7478449891312497E-3</v>
      </c>
      <c r="V11" s="1">
        <f t="shared" ref="V11:V50" si="4">Interpolate_Range($G$14:$G$133,$M$14:$M$133,S11)/4</f>
        <v>5.7499999999999218E-4</v>
      </c>
      <c r="W11" s="1">
        <f t="shared" ref="W11:W50" si="5">V11*Interpolate_Range($G$10:$G$133,$J$10:$J$133,S11)</f>
        <v>5.746695650001171E-4</v>
      </c>
    </row>
    <row r="12" spans="1:23">
      <c r="A12" s="13">
        <v>0</v>
      </c>
      <c r="B12">
        <v>129.38999999999999</v>
      </c>
      <c r="C12" s="1"/>
      <c r="G12" s="2">
        <f t="shared" si="0"/>
        <v>8.3333333333333329E-2</v>
      </c>
      <c r="H12" s="1">
        <f t="shared" si="0"/>
        <v>1.1571999999999999E-3</v>
      </c>
      <c r="J12" s="27">
        <f>1/(1+H12*G12)</f>
        <v>0.99990357596515778</v>
      </c>
      <c r="K12" s="2"/>
      <c r="N12" s="1">
        <f t="shared" ref="N12:N35" si="6">-LN(J12)/G12</f>
        <v>1.1571442072599661E-3</v>
      </c>
      <c r="P12" t="s">
        <v>160</v>
      </c>
      <c r="Q12">
        <f>$B$12</f>
        <v>129.38999999999999</v>
      </c>
      <c r="S12">
        <v>0.5</v>
      </c>
      <c r="T12" s="1">
        <f t="shared" ref="T12:T50" si="7">$Q$10/4</f>
        <v>3.7499999999999999E-3</v>
      </c>
      <c r="U12" s="1">
        <f t="shared" si="3"/>
        <v>3.7426217953925628E-3</v>
      </c>
      <c r="V12" s="1">
        <f t="shared" si="4"/>
        <v>1.3955975314194902E-3</v>
      </c>
      <c r="W12" s="1">
        <f t="shared" si="5"/>
        <v>1.3928516636497711E-3</v>
      </c>
    </row>
    <row r="13" spans="1:23">
      <c r="C13" s="1"/>
      <c r="G13" s="2">
        <f t="shared" si="0"/>
        <v>0.16666666666666666</v>
      </c>
      <c r="H13" s="1">
        <f t="shared" si="0"/>
        <v>1.7286000000000001E-3</v>
      </c>
      <c r="J13" s="27">
        <f>1/(1+H13*G13)</f>
        <v>0.99971198297770425</v>
      </c>
      <c r="K13" s="2"/>
      <c r="N13" s="1">
        <f t="shared" si="6"/>
        <v>1.7283510429844373E-3</v>
      </c>
      <c r="P13" t="s">
        <v>38</v>
      </c>
      <c r="Q13" s="12" t="s">
        <v>37</v>
      </c>
      <c r="S13">
        <v>0.75</v>
      </c>
      <c r="T13" s="1">
        <f t="shared" si="7"/>
        <v>3.7499999999999999E-3</v>
      </c>
      <c r="U13" s="1">
        <f t="shared" si="3"/>
        <v>3.7317728757077042E-3</v>
      </c>
      <c r="V13" s="1">
        <f t="shared" si="4"/>
        <v>2.9071757703906798E-3</v>
      </c>
      <c r="W13" s="1">
        <f t="shared" si="5"/>
        <v>2.8930452492956235E-3</v>
      </c>
    </row>
    <row r="14" spans="1:23">
      <c r="B14" s="1"/>
      <c r="G14" s="2">
        <f t="shared" si="0"/>
        <v>0.25</v>
      </c>
      <c r="H14" s="1">
        <f t="shared" si="0"/>
        <v>2.3E-3</v>
      </c>
      <c r="J14" s="27">
        <f>1/(1+H14*G14)</f>
        <v>0.99942533043499993</v>
      </c>
      <c r="K14" s="2"/>
      <c r="M14" s="1">
        <f>(J10/J14-1)/0.25</f>
        <v>2.2999999999999687E-3</v>
      </c>
      <c r="N14" s="1">
        <f t="shared" si="6"/>
        <v>2.2993390033697017E-3</v>
      </c>
      <c r="P14" t="s">
        <v>35</v>
      </c>
      <c r="Q14" s="12" t="s">
        <v>39</v>
      </c>
      <c r="S14">
        <v>1</v>
      </c>
      <c r="T14" s="1">
        <f t="shared" si="7"/>
        <v>3.7499999999999999E-3</v>
      </c>
      <c r="U14" s="1">
        <f t="shared" si="3"/>
        <v>3.7209239560228456E-3</v>
      </c>
      <c r="V14" s="1">
        <f t="shared" si="4"/>
        <v>2.915652083482545E-3</v>
      </c>
      <c r="W14" s="1">
        <f t="shared" si="5"/>
        <v>2.8930452492954999E-3</v>
      </c>
    </row>
    <row r="15" spans="1:23">
      <c r="G15" s="2">
        <f t="shared" si="0"/>
        <v>0.5</v>
      </c>
      <c r="H15" s="1">
        <f t="shared" si="0"/>
        <v>3.9427999999999998E-3</v>
      </c>
      <c r="J15" s="27">
        <f>1/(1+H15*G15)</f>
        <v>0.99803247877135015</v>
      </c>
      <c r="K15" s="2"/>
      <c r="L15" s="1">
        <f>(J10/J15-1)/0.5</f>
        <v>3.942799999999913E-3</v>
      </c>
      <c r="M15" s="1">
        <f>(J14/J15-1)/0.25</f>
        <v>5.5823901256779607E-3</v>
      </c>
      <c r="N15" s="1">
        <f t="shared" si="6"/>
        <v>3.9389186822893652E-3</v>
      </c>
      <c r="S15">
        <v>1.25</v>
      </c>
      <c r="T15" s="1">
        <f t="shared" si="7"/>
        <v>3.7499999999999999E-3</v>
      </c>
      <c r="U15" s="1">
        <f t="shared" si="3"/>
        <v>3.7179618576799202E-3</v>
      </c>
      <c r="V15" s="1">
        <f t="shared" si="4"/>
        <v>7.9669949728145006E-4</v>
      </c>
      <c r="W15" s="1">
        <f t="shared" si="5"/>
        <v>7.8989289144671966E-4</v>
      </c>
    </row>
    <row r="16" spans="1:23">
      <c r="B16" t="s">
        <v>148</v>
      </c>
      <c r="E16" t="s">
        <v>63</v>
      </c>
      <c r="G16" s="13">
        <f>G15+0.25</f>
        <v>0.75</v>
      </c>
      <c r="H16" s="1"/>
      <c r="J16" s="27">
        <f>Interpolate_Interval(G15,G17,J15,J17,G16)</f>
        <v>0.99513943352205447</v>
      </c>
      <c r="K16" s="2"/>
      <c r="L16" s="1">
        <f>Interpolate_Interval(G15,G17,L15,L17,G16)</f>
        <v>7.8027041669652686E-3</v>
      </c>
      <c r="M16" s="1">
        <f>(J15/J16-1)/0.25</f>
        <v>1.1628703081562719E-2</v>
      </c>
      <c r="N16" s="1">
        <f t="shared" si="6"/>
        <v>6.4965565978713806E-3</v>
      </c>
      <c r="S16">
        <v>1.5</v>
      </c>
      <c r="T16" s="1">
        <f t="shared" si="7"/>
        <v>3.7499999999999999E-3</v>
      </c>
      <c r="U16" s="1">
        <f t="shared" si="3"/>
        <v>3.7149997593369944E-3</v>
      </c>
      <c r="V16" s="1">
        <f t="shared" si="4"/>
        <v>7.9733473346288442E-4</v>
      </c>
      <c r="W16" s="1">
        <f t="shared" si="5"/>
        <v>7.8989289144683794E-4</v>
      </c>
    </row>
    <row r="17" spans="1:23">
      <c r="A17" s="2">
        <f>7/365</f>
        <v>1.9178082191780823E-2</v>
      </c>
      <c r="B17" s="1">
        <v>7.0860000000000009E-4</v>
      </c>
      <c r="D17">
        <v>1</v>
      </c>
      <c r="E17" s="1">
        <v>4.1599999999999996E-3</v>
      </c>
      <c r="G17" s="2">
        <f>A22</f>
        <v>1</v>
      </c>
      <c r="H17" s="1">
        <f>B22</f>
        <v>7.8142000000000003E-3</v>
      </c>
      <c r="J17" s="27">
        <f>1/(1+H17*G17)</f>
        <v>0.99224638827275891</v>
      </c>
      <c r="K17" s="2">
        <f>K10+J17</f>
        <v>0.99224638827275891</v>
      </c>
      <c r="L17" s="1">
        <f>(J15/J17-1)/0.5</f>
        <v>1.1662608333930624E-2</v>
      </c>
      <c r="M17" s="1">
        <f>(J16/J17-1)/0.25</f>
        <v>1.166260833393018E-2</v>
      </c>
      <c r="N17" s="1">
        <f t="shared" si="6"/>
        <v>7.7838272623377948E-3</v>
      </c>
      <c r="P17" s="23" t="s">
        <v>43</v>
      </c>
      <c r="S17">
        <v>1.75</v>
      </c>
      <c r="T17" s="1">
        <f t="shared" si="7"/>
        <v>3.7499999999999999E-3</v>
      </c>
      <c r="U17" s="1">
        <f t="shared" si="3"/>
        <v>3.7120376609940686E-3</v>
      </c>
      <c r="V17" s="1">
        <f t="shared" si="4"/>
        <v>7.9797098344425166E-4</v>
      </c>
      <c r="W17" s="1">
        <f t="shared" si="5"/>
        <v>7.8989289144680975E-4</v>
      </c>
    </row>
    <row r="18" spans="1:23">
      <c r="A18" s="2">
        <f>1/12</f>
        <v>8.3333333333333329E-2</v>
      </c>
      <c r="B18" s="1">
        <v>1.1571999999999999E-3</v>
      </c>
      <c r="D18">
        <v>2</v>
      </c>
      <c r="E18" s="1">
        <v>5.5079999999999999E-3</v>
      </c>
      <c r="G18" s="13">
        <f>G17+0.25</f>
        <v>1.25</v>
      </c>
      <c r="J18" s="27">
        <f>Interpolate_Interval(G17,G21,J17,J21,G18)</f>
        <v>0.99145649538131209</v>
      </c>
      <c r="L18" s="1">
        <f>Interpolate_Interval(G17,G19,L17,L19,G18)</f>
        <v>7.4259736338910809E-3</v>
      </c>
      <c r="M18" s="1">
        <f>(J17/J18-1)/0.25</f>
        <v>3.1867979891258003E-3</v>
      </c>
      <c r="N18" s="1">
        <f t="shared" si="6"/>
        <v>6.864167650429802E-3</v>
      </c>
      <c r="P18" t="s">
        <v>45</v>
      </c>
      <c r="Q18" s="15">
        <f>$Q$9*SUM(U11:U50)</f>
        <v>0.1393197813346656</v>
      </c>
      <c r="S18">
        <v>2</v>
      </c>
      <c r="T18" s="1">
        <f t="shared" si="7"/>
        <v>3.7499999999999999E-3</v>
      </c>
      <c r="U18" s="1">
        <f t="shared" si="3"/>
        <v>3.7090755626511432E-3</v>
      </c>
      <c r="V18" s="1">
        <f t="shared" si="4"/>
        <v>7.9860824965471977E-4</v>
      </c>
      <c r="W18" s="1">
        <f t="shared" si="5"/>
        <v>7.8989289144691319E-4</v>
      </c>
    </row>
    <row r="19" spans="1:23">
      <c r="A19" s="2">
        <f>2/12</f>
        <v>0.16666666666666666</v>
      </c>
      <c r="B19" s="1">
        <v>1.7286000000000001E-3</v>
      </c>
      <c r="D19">
        <v>3</v>
      </c>
      <c r="E19" s="1">
        <v>7.2649999999999998E-3</v>
      </c>
      <c r="G19" s="13">
        <f t="shared" ref="G19:G82" si="8">G18+0.25</f>
        <v>1.5</v>
      </c>
      <c r="H19" s="1"/>
      <c r="I19" s="1"/>
      <c r="J19" s="27">
        <f>Interpolate_Interval(G17,G21,J17,J21,G19)</f>
        <v>0.99066660248986516</v>
      </c>
      <c r="K19" s="2"/>
      <c r="L19" s="1">
        <f>(J17/J19-1)/0.5</f>
        <v>3.1893389338515377E-3</v>
      </c>
      <c r="M19" s="1">
        <f t="shared" ref="M19:M82" si="9">(J18/J19-1)/0.25</f>
        <v>3.1893389338515377E-3</v>
      </c>
      <c r="N19" s="1">
        <f t="shared" si="6"/>
        <v>6.2514843960181548E-3</v>
      </c>
      <c r="P19" t="s">
        <v>46</v>
      </c>
      <c r="Q19" s="15">
        <f>$Q$9*SUM(W11:W50)</f>
        <v>0.18142781574213365</v>
      </c>
      <c r="S19">
        <v>2.25</v>
      </c>
      <c r="T19" s="1">
        <f t="shared" si="7"/>
        <v>3.7499999999999999E-3</v>
      </c>
      <c r="U19" s="1">
        <f t="shared" si="3"/>
        <v>3.6991474545770586E-3</v>
      </c>
      <c r="V19" s="1">
        <f t="shared" si="4"/>
        <v>2.6838908683675111E-3</v>
      </c>
      <c r="W19" s="1">
        <f t="shared" si="5"/>
        <v>2.6474954864224775E-3</v>
      </c>
    </row>
    <row r="20" spans="1:23">
      <c r="A20" s="2">
        <f>3/12</f>
        <v>0.25</v>
      </c>
      <c r="B20" s="1">
        <v>2.3E-3</v>
      </c>
      <c r="D20">
        <v>4</v>
      </c>
      <c r="E20" s="1">
        <v>9.4649999999999995E-3</v>
      </c>
      <c r="G20" s="13">
        <f t="shared" si="8"/>
        <v>1.75</v>
      </c>
      <c r="H20" s="1"/>
      <c r="J20" s="27">
        <f>Interpolate_Interval(G17,G21,J17,J21,G20)</f>
        <v>0.98987670959841834</v>
      </c>
      <c r="L20" s="1">
        <f>Interpolate_Interval(G19,G21,L19,L21,G20)</f>
        <v>3.1918859662349863E-3</v>
      </c>
      <c r="M20" s="1">
        <f t="shared" si="9"/>
        <v>3.1918839337770066E-3</v>
      </c>
      <c r="N20" s="1">
        <f t="shared" si="6"/>
        <v>5.8142167816550693E-3</v>
      </c>
      <c r="P20" t="s">
        <v>47</v>
      </c>
      <c r="Q20" s="28">
        <f>$Q$12*(Q18-Q19)</f>
        <v>-5.4483585719822898</v>
      </c>
      <c r="S20">
        <v>2.5</v>
      </c>
      <c r="T20" s="1">
        <f t="shared" si="7"/>
        <v>3.7499999999999999E-3</v>
      </c>
      <c r="U20" s="1">
        <f t="shared" si="3"/>
        <v>3.6892193465029744E-3</v>
      </c>
      <c r="V20" s="1">
        <f t="shared" si="4"/>
        <v>2.6911135233786965E-3</v>
      </c>
      <c r="W20" s="1">
        <f t="shared" si="5"/>
        <v>2.6474954864225257E-3</v>
      </c>
    </row>
    <row r="21" spans="1:23">
      <c r="A21" s="2">
        <f>6/12</f>
        <v>0.5</v>
      </c>
      <c r="B21" s="1">
        <v>3.9427999999999998E-3</v>
      </c>
      <c r="D21">
        <v>5</v>
      </c>
      <c r="E21" s="1">
        <v>1.1690000000000001E-2</v>
      </c>
      <c r="G21" s="13">
        <f t="shared" si="8"/>
        <v>2</v>
      </c>
      <c r="H21" s="1"/>
      <c r="I21" s="1">
        <f>Interpolate_Range($D$17:$D$31,$E$17:$E$31,G21)</f>
        <v>5.5079999999999999E-3</v>
      </c>
      <c r="J21" s="15">
        <f>(1-I21*K17)/(1+I21)</f>
        <v>0.98908681670697152</v>
      </c>
      <c r="K21" s="2">
        <f>K17+J21</f>
        <v>1.9813332049797303</v>
      </c>
      <c r="L21" s="1">
        <f>(J19/J21-1)/0.5</f>
        <v>3.194432998618435E-3</v>
      </c>
      <c r="M21" s="1">
        <f t="shared" si="9"/>
        <v>3.1944329986188791E-3</v>
      </c>
      <c r="N21" s="1">
        <f t="shared" si="6"/>
        <v>5.4865844498293292E-3</v>
      </c>
      <c r="S21">
        <v>2.75</v>
      </c>
      <c r="T21" s="1">
        <f t="shared" si="7"/>
        <v>3.7499999999999999E-3</v>
      </c>
      <c r="U21" s="1">
        <f t="shared" si="3"/>
        <v>3.6792912384288898E-3</v>
      </c>
      <c r="V21" s="1">
        <f t="shared" si="4"/>
        <v>2.6983751572555725E-3</v>
      </c>
      <c r="W21" s="1">
        <f t="shared" si="5"/>
        <v>2.6474954864225617E-3</v>
      </c>
    </row>
    <row r="22" spans="1:23">
      <c r="A22" s="2">
        <v>1</v>
      </c>
      <c r="B22" s="1">
        <v>7.8142000000000003E-3</v>
      </c>
      <c r="D22">
        <v>6</v>
      </c>
      <c r="E22" s="1">
        <v>1.3690000000000001E-2</v>
      </c>
      <c r="G22" s="13">
        <f t="shared" si="8"/>
        <v>2.25</v>
      </c>
      <c r="H22" s="1"/>
      <c r="J22" s="27">
        <f>Interpolate_Interval(G21,G25,J21,J25,G22)</f>
        <v>0.986439321220549</v>
      </c>
      <c r="L22" s="1">
        <f>Interpolate_Interval(G21,G23,L21,L23,G22)</f>
        <v>6.9794435460666104E-3</v>
      </c>
      <c r="M22" s="1">
        <f t="shared" si="9"/>
        <v>1.0735563473470044E-2</v>
      </c>
      <c r="N22" s="1">
        <f t="shared" si="6"/>
        <v>6.0682064729996729E-3</v>
      </c>
      <c r="S22">
        <v>3</v>
      </c>
      <c r="T22" s="1">
        <f t="shared" si="7"/>
        <v>3.7499999999999999E-3</v>
      </c>
      <c r="U22" s="1">
        <f t="shared" si="3"/>
        <v>3.6693631303548052E-3</v>
      </c>
      <c r="V22" s="1">
        <f t="shared" si="4"/>
        <v>2.7056760863906071E-3</v>
      </c>
      <c r="W22" s="1">
        <f t="shared" si="5"/>
        <v>2.6474954864225005E-3</v>
      </c>
    </row>
    <row r="23" spans="1:23">
      <c r="A23" s="49"/>
      <c r="B23" s="14"/>
      <c r="D23">
        <v>7</v>
      </c>
      <c r="E23" s="1">
        <v>1.5429999999999999E-2</v>
      </c>
      <c r="G23" s="13">
        <f t="shared" si="8"/>
        <v>2.5</v>
      </c>
      <c r="H23" s="1"/>
      <c r="I23" s="1"/>
      <c r="J23" s="27">
        <f>Interpolate_Interval(G21,G25,J21,J25,G23)</f>
        <v>0.98379182573412649</v>
      </c>
      <c r="K23" s="2"/>
      <c r="L23" s="1">
        <f>(J21/J23-1)/0.5</f>
        <v>1.0764454093514786E-2</v>
      </c>
      <c r="M23" s="1">
        <f t="shared" si="9"/>
        <v>1.0764454093514786E-2</v>
      </c>
      <c r="N23" s="1">
        <f t="shared" si="6"/>
        <v>6.5363854099907415E-3</v>
      </c>
      <c r="S23">
        <v>3.25</v>
      </c>
      <c r="T23" s="1">
        <f t="shared" si="7"/>
        <v>3.7499999999999999E-3</v>
      </c>
      <c r="U23" s="1">
        <f t="shared" si="3"/>
        <v>3.6547144996799748E-3</v>
      </c>
      <c r="V23" s="1">
        <f t="shared" si="4"/>
        <v>4.0081463753498525E-3</v>
      </c>
      <c r="W23" s="1">
        <f t="shared" si="5"/>
        <v>3.9063015132882245E-3</v>
      </c>
    </row>
    <row r="24" spans="1:23">
      <c r="A24" s="49"/>
      <c r="B24" s="14"/>
      <c r="D24">
        <v>8</v>
      </c>
      <c r="E24" s="1">
        <v>1.6997999999999999E-2</v>
      </c>
      <c r="G24" s="13">
        <f t="shared" si="8"/>
        <v>2.75</v>
      </c>
      <c r="H24" s="1"/>
      <c r="J24" s="27">
        <f>Interpolate_Interval(G21,G25,J21,J25,G24)</f>
        <v>0.98114433024770398</v>
      </c>
      <c r="L24" s="1">
        <f>Interpolate_Interval(G23,G25,L23,L25,G24)</f>
        <v>1.0793579219538607E-2</v>
      </c>
      <c r="M24" s="1">
        <f t="shared" si="9"/>
        <v>1.079350062902229E-2</v>
      </c>
      <c r="N24" s="1">
        <f t="shared" si="6"/>
        <v>6.9220744014269918E-3</v>
      </c>
      <c r="S24">
        <v>3.5</v>
      </c>
      <c r="T24" s="1">
        <f t="shared" si="7"/>
        <v>3.7499999999999999E-3</v>
      </c>
      <c r="U24" s="1">
        <f t="shared" si="3"/>
        <v>3.6400658690051439E-3</v>
      </c>
      <c r="V24" s="1">
        <f t="shared" si="4"/>
        <v>4.024276263669524E-3</v>
      </c>
      <c r="W24" s="1">
        <f t="shared" si="5"/>
        <v>3.9063015132882609E-3</v>
      </c>
    </row>
    <row r="25" spans="1:23">
      <c r="A25" s="49"/>
      <c r="B25" s="14"/>
      <c r="C25" s="1"/>
      <c r="D25">
        <v>9</v>
      </c>
      <c r="E25" s="1">
        <v>1.8419999999999999E-2</v>
      </c>
      <c r="G25" s="13">
        <f t="shared" si="8"/>
        <v>3</v>
      </c>
      <c r="H25" s="1"/>
      <c r="I25" s="1">
        <f>Interpolate_Range($D$17:$D$31,$E$17:$E$31,G25)</f>
        <v>7.2649999999999998E-3</v>
      </c>
      <c r="J25" s="15">
        <f>(1-I25*K21)/(1+I25)</f>
        <v>0.97849683476128146</v>
      </c>
      <c r="K25" s="2">
        <f>K21+J25</f>
        <v>2.9598300397410116</v>
      </c>
      <c r="L25" s="1">
        <f>(J23/J25-1)/0.5</f>
        <v>1.0822704345562428E-2</v>
      </c>
      <c r="M25" s="1">
        <f t="shared" si="9"/>
        <v>1.0822704345562428E-2</v>
      </c>
      <c r="N25" s="1">
        <f t="shared" si="6"/>
        <v>7.2459089792897237E-3</v>
      </c>
      <c r="S25">
        <v>3.75</v>
      </c>
      <c r="T25" s="1">
        <f t="shared" si="7"/>
        <v>3.7499999999999999E-3</v>
      </c>
      <c r="U25" s="1">
        <f t="shared" si="3"/>
        <v>3.6254172383303135E-3</v>
      </c>
      <c r="V25" s="1">
        <f t="shared" si="4"/>
        <v>4.0405364987938786E-3</v>
      </c>
      <c r="W25" s="1">
        <f t="shared" si="5"/>
        <v>3.9063015132880371E-3</v>
      </c>
    </row>
    <row r="26" spans="1:23">
      <c r="A26" s="49"/>
      <c r="B26" s="14"/>
      <c r="C26" s="1"/>
      <c r="D26">
        <v>10</v>
      </c>
      <c r="E26" s="1">
        <v>1.968E-2</v>
      </c>
      <c r="G26" s="13">
        <f t="shared" si="8"/>
        <v>3.25</v>
      </c>
      <c r="H26" s="1"/>
      <c r="J26" s="27">
        <f>Interpolate_Interval(G25,G29,J25,J29,G26)</f>
        <v>0.97459053324799327</v>
      </c>
      <c r="L26" s="1">
        <f>Interpolate_Interval(G25,G27,L25,L27,G26)</f>
        <v>1.345990470012004E-2</v>
      </c>
      <c r="M26" s="1">
        <f t="shared" si="9"/>
        <v>1.603258550139941E-2</v>
      </c>
      <c r="N26" s="1">
        <f t="shared" si="6"/>
        <v>7.9193421828184889E-3</v>
      </c>
      <c r="S26">
        <v>4</v>
      </c>
      <c r="T26" s="1">
        <f t="shared" si="7"/>
        <v>3.7499999999999999E-3</v>
      </c>
      <c r="U26" s="1">
        <f t="shared" si="3"/>
        <v>3.6107686076554831E-3</v>
      </c>
      <c r="V26" s="1">
        <f t="shared" si="4"/>
        <v>4.0569286671465754E-3</v>
      </c>
      <c r="W26" s="1">
        <f t="shared" si="5"/>
        <v>3.9063015132881213E-3</v>
      </c>
    </row>
    <row r="27" spans="1:23">
      <c r="C27" s="1"/>
      <c r="D27">
        <v>12</v>
      </c>
      <c r="E27" s="1">
        <v>2.1760000000000002E-2</v>
      </c>
      <c r="G27" s="13">
        <f t="shared" si="8"/>
        <v>3.5</v>
      </c>
      <c r="H27" s="1"/>
      <c r="I27" s="1"/>
      <c r="J27" s="27">
        <f>Interpolate_Interval(G25,G29,J25,J29,G27)</f>
        <v>0.97068423173470508</v>
      </c>
      <c r="K27" s="2"/>
      <c r="L27" s="1">
        <f>(J25/J27-1)/0.5</f>
        <v>1.6097105054677652E-2</v>
      </c>
      <c r="M27" s="1">
        <f t="shared" si="9"/>
        <v>1.6097105054678096E-2</v>
      </c>
      <c r="N27" s="1">
        <f t="shared" si="6"/>
        <v>8.5011607476755836E-3</v>
      </c>
      <c r="S27">
        <v>4.25</v>
      </c>
      <c r="T27" s="1">
        <f t="shared" si="7"/>
        <v>3.7499999999999999E-3</v>
      </c>
      <c r="U27" s="1">
        <f t="shared" si="3"/>
        <v>3.5922501071588846E-3</v>
      </c>
      <c r="V27" s="1">
        <f t="shared" si="4"/>
        <v>5.1551256021102887E-3</v>
      </c>
      <c r="W27" s="1">
        <f t="shared" si="5"/>
        <v>4.938266799092852E-3</v>
      </c>
    </row>
    <row r="28" spans="1:23">
      <c r="C28" s="1"/>
      <c r="D28">
        <v>15</v>
      </c>
      <c r="E28" s="1">
        <v>2.3720000000000001E-2</v>
      </c>
      <c r="G28" s="13">
        <f t="shared" si="8"/>
        <v>3.75</v>
      </c>
      <c r="H28" s="1"/>
      <c r="J28" s="27">
        <f>Interpolate_Interval(G25,G29,J25,J29,G28)</f>
        <v>0.966777930221417</v>
      </c>
      <c r="L28" s="1">
        <f>(J26/J28-1)/0.5</f>
        <v>1.6162145995175958E-2</v>
      </c>
      <c r="M28" s="1">
        <f t="shared" si="9"/>
        <v>1.6162145995175514E-2</v>
      </c>
      <c r="N28" s="1">
        <f t="shared" si="6"/>
        <v>9.0097221520406383E-3</v>
      </c>
      <c r="S28">
        <v>4.5</v>
      </c>
      <c r="T28" s="1">
        <f t="shared" si="7"/>
        <v>3.7499999999999999E-3</v>
      </c>
      <c r="U28" s="1">
        <f t="shared" si="3"/>
        <v>3.5737316066622861E-3</v>
      </c>
      <c r="V28" s="1">
        <f t="shared" si="4"/>
        <v>5.1818386311035525E-3</v>
      </c>
      <c r="W28" s="1">
        <f t="shared" si="5"/>
        <v>4.9382667990929066E-3</v>
      </c>
    </row>
    <row r="29" spans="1:23">
      <c r="C29" s="1"/>
      <c r="D29">
        <v>20</v>
      </c>
      <c r="E29" s="1">
        <v>2.4853E-2</v>
      </c>
      <c r="G29" s="13">
        <f t="shared" si="8"/>
        <v>4</v>
      </c>
      <c r="H29" s="1"/>
      <c r="I29" s="1">
        <f>Interpolate_Range($D$17:$D$31,$E$17:$E$31,G29)</f>
        <v>9.4649999999999995E-3</v>
      </c>
      <c r="J29" s="15">
        <f>(1-I29*K25)/(1+I29)</f>
        <v>0.96287162870812881</v>
      </c>
      <c r="K29" s="2">
        <f>K25+J29</f>
        <v>3.9227016684491405</v>
      </c>
      <c r="L29" s="1">
        <f>Interpolate_Interval(G28,G30,L28,L30,G29)</f>
        <v>1.7314041243682965E-2</v>
      </c>
      <c r="M29" s="1">
        <f t="shared" si="9"/>
        <v>1.6227714668586302E-2</v>
      </c>
      <c r="N29" s="1">
        <f t="shared" si="6"/>
        <v>9.4587948979769961E-3</v>
      </c>
      <c r="S29">
        <v>4.75</v>
      </c>
      <c r="T29" s="1">
        <f t="shared" si="7"/>
        <v>3.7499999999999999E-3</v>
      </c>
      <c r="U29" s="1">
        <f t="shared" si="3"/>
        <v>3.5552131061656876E-3</v>
      </c>
      <c r="V29" s="1">
        <f t="shared" si="4"/>
        <v>5.2088299473476152E-3</v>
      </c>
      <c r="W29" s="1">
        <f t="shared" si="5"/>
        <v>4.9382667990929517E-3</v>
      </c>
    </row>
    <row r="30" spans="1:23">
      <c r="C30" s="1"/>
      <c r="D30">
        <v>25</v>
      </c>
      <c r="E30" s="1">
        <v>2.5020000000000001E-2</v>
      </c>
      <c r="G30" s="13">
        <f t="shared" si="8"/>
        <v>4.25</v>
      </c>
      <c r="H30" s="1"/>
      <c r="J30" s="27">
        <f>Interpolate_Interval(G29,G33,J29,J33,G30)</f>
        <v>0.95793336190903589</v>
      </c>
      <c r="L30" s="1">
        <f>(J28/J30-1)/0.5</f>
        <v>1.8465936492189972E-2</v>
      </c>
      <c r="M30" s="1">
        <f t="shared" si="9"/>
        <v>2.0620502408441155E-2</v>
      </c>
      <c r="N30" s="1">
        <f t="shared" si="6"/>
        <v>1.0112250123427181E-2</v>
      </c>
      <c r="S30">
        <v>5</v>
      </c>
      <c r="T30" s="1">
        <f t="shared" si="7"/>
        <v>3.7499999999999999E-3</v>
      </c>
      <c r="U30" s="1">
        <f t="shared" si="3"/>
        <v>3.536694605669089E-3</v>
      </c>
      <c r="V30" s="1">
        <f t="shared" si="4"/>
        <v>5.2361039222652561E-3</v>
      </c>
      <c r="W30" s="1">
        <f t="shared" si="5"/>
        <v>4.938266799092878E-3</v>
      </c>
    </row>
    <row r="31" spans="1:23">
      <c r="B31" s="1"/>
      <c r="D31">
        <v>30</v>
      </c>
      <c r="E31" s="1">
        <v>2.4943E-2</v>
      </c>
      <c r="G31" s="13">
        <f t="shared" si="8"/>
        <v>4.5</v>
      </c>
      <c r="H31" s="1"/>
      <c r="I31" s="1"/>
      <c r="J31" s="27">
        <f>Interpolate_Interval(G29,G33,J29,J33,G31)</f>
        <v>0.95299509510994296</v>
      </c>
      <c r="K31" s="2"/>
      <c r="L31" s="1">
        <f>Interpolate_Interval(G30,G32,L30,L32,G31)</f>
        <v>1.9650628140790216E-2</v>
      </c>
      <c r="M31" s="1">
        <f t="shared" si="9"/>
        <v>2.072735452441421E-2</v>
      </c>
      <c r="N31" s="1">
        <f t="shared" si="6"/>
        <v>1.0699004917850368E-2</v>
      </c>
      <c r="S31">
        <v>5.25</v>
      </c>
      <c r="T31" s="1">
        <f t="shared" si="7"/>
        <v>3.7499999999999999E-3</v>
      </c>
      <c r="U31" s="1">
        <f t="shared" si="3"/>
        <v>3.5157535386573999E-3</v>
      </c>
      <c r="V31" s="1">
        <f t="shared" si="4"/>
        <v>5.9563523954202502E-3</v>
      </c>
      <c r="W31" s="1">
        <f t="shared" si="5"/>
        <v>5.5842845364504606E-3</v>
      </c>
    </row>
    <row r="32" spans="1:23">
      <c r="G32" s="13">
        <f t="shared" si="8"/>
        <v>4.75</v>
      </c>
      <c r="H32" s="1"/>
      <c r="J32" s="27">
        <f>Interpolate_Interval(G29,G33,J29,J33,G32)</f>
        <v>0.94805682831085003</v>
      </c>
      <c r="L32" s="1">
        <f>(J30/J32-1)/0.5</f>
        <v>2.0835319789390461E-2</v>
      </c>
      <c r="M32" s="1">
        <f t="shared" si="9"/>
        <v>2.0835319789390461E-2</v>
      </c>
      <c r="N32" s="1">
        <f t="shared" si="6"/>
        <v>1.1229649062777529E-2</v>
      </c>
      <c r="S32">
        <v>5.5</v>
      </c>
      <c r="T32" s="1">
        <f t="shared" si="7"/>
        <v>3.7499999999999999E-3</v>
      </c>
      <c r="U32" s="1">
        <f t="shared" si="3"/>
        <v>3.4948124716457107E-3</v>
      </c>
      <c r="V32" s="1">
        <f t="shared" si="4"/>
        <v>5.992043115786494E-3</v>
      </c>
      <c r="W32" s="1">
        <f t="shared" si="5"/>
        <v>5.5842845364505239E-3</v>
      </c>
    </row>
    <row r="33" spans="1:23">
      <c r="G33" s="13">
        <f t="shared" si="8"/>
        <v>5</v>
      </c>
      <c r="H33" s="1"/>
      <c r="I33" s="1">
        <f>Interpolate_Range($D$17:$D$31,$E$17:$E$31,G33)</f>
        <v>1.1690000000000001E-2</v>
      </c>
      <c r="J33" s="15">
        <f>(1-I33*K29)/(1+I33)</f>
        <v>0.9431185615117571</v>
      </c>
      <c r="K33" s="2">
        <f>K29+J33</f>
        <v>4.8658202299608977</v>
      </c>
      <c r="L33" s="1">
        <f>Interpolate_Interval(G32,G34,L32,L34,G33)</f>
        <v>2.1641304292520758E-2</v>
      </c>
      <c r="M33" s="1">
        <f t="shared" si="9"/>
        <v>2.0944415689061024E-2</v>
      </c>
      <c r="N33" s="1">
        <f t="shared" si="6"/>
        <v>1.1712655248711436E-2</v>
      </c>
      <c r="S33">
        <v>5.75</v>
      </c>
      <c r="T33" s="1">
        <f t="shared" si="7"/>
        <v>3.7499999999999999E-3</v>
      </c>
      <c r="U33" s="1">
        <f t="shared" si="3"/>
        <v>3.4738714046340215E-3</v>
      </c>
      <c r="V33" s="1">
        <f t="shared" si="4"/>
        <v>6.0281641351935811E-3</v>
      </c>
      <c r="W33" s="1">
        <f t="shared" si="5"/>
        <v>5.5842845364504953E-3</v>
      </c>
    </row>
    <row r="34" spans="1:23">
      <c r="G34" s="13">
        <f t="shared" si="8"/>
        <v>5.25</v>
      </c>
      <c r="H34" s="1"/>
      <c r="J34" s="27">
        <f>Interpolate_Interval(G33,G37,J33,J37,G34)</f>
        <v>0.93753427697530667</v>
      </c>
      <c r="L34" s="1">
        <f>(J32/J34-1)/0.5</f>
        <v>2.2447288795651055E-2</v>
      </c>
      <c r="M34" s="1">
        <f t="shared" si="9"/>
        <v>2.3825409581681001E-2</v>
      </c>
      <c r="N34" s="1">
        <f t="shared" si="6"/>
        <v>1.2286087561705702E-2</v>
      </c>
      <c r="S34">
        <v>6</v>
      </c>
      <c r="T34" s="1">
        <f t="shared" si="7"/>
        <v>3.7499999999999999E-3</v>
      </c>
      <c r="U34" s="1">
        <f t="shared" si="3"/>
        <v>3.4529303376223323E-3</v>
      </c>
      <c r="V34" s="1">
        <f t="shared" si="4"/>
        <v>6.0647232825754571E-3</v>
      </c>
      <c r="W34" s="1">
        <f t="shared" si="5"/>
        <v>5.5842845364504788E-3</v>
      </c>
    </row>
    <row r="35" spans="1:23">
      <c r="C35" s="1"/>
      <c r="G35" s="13">
        <f t="shared" si="8"/>
        <v>5.5</v>
      </c>
      <c r="H35" s="1"/>
      <c r="I35" s="1"/>
      <c r="J35" s="27">
        <f>Interpolate_Interval(G33,G37,J33,J37,G35)</f>
        <v>0.93194999243885623</v>
      </c>
      <c r="K35" s="2"/>
      <c r="L35" s="1">
        <f>Interpolate_Interval(G34,G36,L34,L36,G35)</f>
        <v>2.3279972668212467E-2</v>
      </c>
      <c r="M35" s="1">
        <f t="shared" si="9"/>
        <v>2.3968172463145976E-2</v>
      </c>
      <c r="N35" s="1">
        <f t="shared" si="6"/>
        <v>1.2813840348649998E-2</v>
      </c>
      <c r="S35">
        <v>6.25</v>
      </c>
      <c r="T35" s="1">
        <f t="shared" si="7"/>
        <v>3.7499999999999999E-3</v>
      </c>
      <c r="U35" s="1">
        <f t="shared" si="3"/>
        <v>3.4305171011369344E-3</v>
      </c>
      <c r="V35" s="1">
        <f t="shared" si="4"/>
        <v>6.5334863009340882E-3</v>
      </c>
      <c r="W35" s="1">
        <f t="shared" si="5"/>
        <v>5.9768630627728752E-3</v>
      </c>
    </row>
    <row r="36" spans="1:23">
      <c r="G36" s="13">
        <f t="shared" si="8"/>
        <v>5.75</v>
      </c>
      <c r="H36" s="1"/>
      <c r="J36" s="27">
        <f>Interpolate_Interval(G33,G37,J33,J37,G36)</f>
        <v>0.9263657079024058</v>
      </c>
      <c r="L36" s="1">
        <f>(J34/J36-1)/0.5</f>
        <v>2.411265654077388E-2</v>
      </c>
      <c r="M36" s="1">
        <f t="shared" si="9"/>
        <v>2.4112656540774324E-2</v>
      </c>
      <c r="N36" s="1">
        <f t="shared" ref="N36:N67" si="10">-LN(J36)/G36</f>
        <v>1.3301945975909805E-2</v>
      </c>
      <c r="S36">
        <v>6.5</v>
      </c>
      <c r="T36" s="1">
        <f t="shared" si="7"/>
        <v>3.7499999999999999E-3</v>
      </c>
      <c r="U36" s="1">
        <f t="shared" si="3"/>
        <v>3.4081038646515366E-3</v>
      </c>
      <c r="V36" s="1">
        <f t="shared" si="4"/>
        <v>6.5764534695862409E-3</v>
      </c>
      <c r="W36" s="1">
        <f t="shared" si="5"/>
        <v>5.9768630627727668E-3</v>
      </c>
    </row>
    <row r="37" spans="1:23">
      <c r="G37" s="13">
        <f t="shared" si="8"/>
        <v>6</v>
      </c>
      <c r="H37" s="1"/>
      <c r="I37" s="1">
        <f>Interpolate_Range($D$17:$D$31,$E$17:$E$31,G37)</f>
        <v>1.3690000000000001E-2</v>
      </c>
      <c r="J37" s="15">
        <f>(1-I37*K33)/(1+I37)</f>
        <v>0.92078142336595536</v>
      </c>
      <c r="K37" s="2">
        <f>K33+J37</f>
        <v>5.7866016533268532</v>
      </c>
      <c r="L37" s="1">
        <f>(J35/J37-1)/0.5</f>
        <v>2.4258893130301828E-2</v>
      </c>
      <c r="M37" s="1">
        <f t="shared" si="9"/>
        <v>2.4258893130301828E-2</v>
      </c>
      <c r="N37" s="1">
        <f t="shared" si="10"/>
        <v>1.3755432704749574E-2</v>
      </c>
      <c r="S37">
        <v>6.75</v>
      </c>
      <c r="T37" s="1">
        <f t="shared" si="7"/>
        <v>3.7499999999999999E-3</v>
      </c>
      <c r="U37" s="1">
        <f t="shared" si="3"/>
        <v>3.3856906281661387E-3</v>
      </c>
      <c r="V37" s="1">
        <f t="shared" si="4"/>
        <v>6.6199895226510819E-3</v>
      </c>
      <c r="W37" s="1">
        <f t="shared" si="5"/>
        <v>5.976863062772746E-3</v>
      </c>
    </row>
    <row r="38" spans="1:23">
      <c r="G38" s="13">
        <f t="shared" si="8"/>
        <v>6.25</v>
      </c>
      <c r="H38" s="1"/>
      <c r="J38" s="27">
        <f>Interpolate_Interval(G37,G41,J37,J41,G38)</f>
        <v>0.91480456030318258</v>
      </c>
      <c r="L38" s="1">
        <f>Interpolate_Interval(G37,G39,L37,L39,G38)</f>
        <v>2.5282353504323396E-2</v>
      </c>
      <c r="M38" s="1">
        <f t="shared" si="9"/>
        <v>2.6133945203736353E-2</v>
      </c>
      <c r="N38" s="1">
        <f t="shared" si="10"/>
        <v>1.4247173090945316E-2</v>
      </c>
      <c r="S38">
        <v>7</v>
      </c>
      <c r="T38" s="1">
        <f t="shared" si="7"/>
        <v>3.7499999999999999E-3</v>
      </c>
      <c r="U38" s="1">
        <f t="shared" si="3"/>
        <v>3.3632773916807408E-3</v>
      </c>
      <c r="V38" s="1">
        <f t="shared" si="4"/>
        <v>6.6641058334464542E-3</v>
      </c>
      <c r="W38" s="1">
        <f t="shared" si="5"/>
        <v>5.9768630627728535E-3</v>
      </c>
    </row>
    <row r="39" spans="1:23">
      <c r="A39" s="15"/>
      <c r="G39" s="13">
        <f t="shared" si="8"/>
        <v>6.5</v>
      </c>
      <c r="H39" s="1"/>
      <c r="I39" s="1"/>
      <c r="J39" s="27">
        <f>Interpolate_Interval(G37,G41,J37,J41,G39)</f>
        <v>0.90882769724040979</v>
      </c>
      <c r="K39" s="2"/>
      <c r="L39" s="1">
        <f>(J37/J39-1)/0.5</f>
        <v>2.6305813878344964E-2</v>
      </c>
      <c r="M39" s="1">
        <f t="shared" si="9"/>
        <v>2.6305813878344964E-2</v>
      </c>
      <c r="N39" s="1">
        <f t="shared" si="10"/>
        <v>1.4707654578870098E-2</v>
      </c>
      <c r="S39">
        <v>7.25</v>
      </c>
      <c r="T39" s="1">
        <f t="shared" si="7"/>
        <v>3.7499999999999999E-3</v>
      </c>
      <c r="U39" s="1">
        <f t="shared" si="3"/>
        <v>3.3395635235670602E-3</v>
      </c>
      <c r="V39" s="1">
        <f t="shared" si="4"/>
        <v>7.100888468308364E-3</v>
      </c>
      <c r="W39" s="1">
        <f t="shared" si="5"/>
        <v>6.3236981636481567E-3</v>
      </c>
    </row>
    <row r="40" spans="1:23">
      <c r="A40" s="15"/>
      <c r="G40" s="13">
        <f t="shared" si="8"/>
        <v>6.75</v>
      </c>
      <c r="H40" s="1"/>
      <c r="J40" s="27">
        <f>Interpolate_Interval(G37,G41,J37,J41,G40)</f>
        <v>0.90285083417763701</v>
      </c>
      <c r="L40" s="1">
        <f>Interpolate_Interval(G39,G41,L39,L41,G40)</f>
        <v>2.6481118606065168E-2</v>
      </c>
      <c r="M40" s="1">
        <f t="shared" si="9"/>
        <v>2.6479958090604327E-2</v>
      </c>
      <c r="N40" s="1">
        <f t="shared" si="10"/>
        <v>1.514043383443521E-2</v>
      </c>
      <c r="S40">
        <v>7.5</v>
      </c>
      <c r="T40" s="1">
        <f t="shared" si="7"/>
        <v>3.7499999999999999E-3</v>
      </c>
      <c r="U40" s="1">
        <f t="shared" si="3"/>
        <v>3.3158496554533804E-3</v>
      </c>
      <c r="V40" s="1">
        <f t="shared" si="4"/>
        <v>7.1516716913504474E-3</v>
      </c>
      <c r="W40" s="1">
        <f t="shared" si="5"/>
        <v>6.3236981636480205E-3</v>
      </c>
    </row>
    <row r="41" spans="1:23">
      <c r="A41" s="15"/>
      <c r="G41" s="13">
        <f t="shared" si="8"/>
        <v>7</v>
      </c>
      <c r="H41" s="1"/>
      <c r="I41" s="1">
        <f>Interpolate_Range($D$17:$D$31,$E$17:$E$31,G41)</f>
        <v>1.5429999999999999E-2</v>
      </c>
      <c r="J41" s="15">
        <f>(1-I41*K37)/(1+I41)</f>
        <v>0.89687397111486422</v>
      </c>
      <c r="K41" s="2">
        <f>K37+J41</f>
        <v>6.6834756244417175</v>
      </c>
      <c r="L41" s="1">
        <f>(J39/J41-1)/0.5</f>
        <v>2.6656423333785373E-2</v>
      </c>
      <c r="M41" s="1">
        <f t="shared" si="9"/>
        <v>2.6656423333785817E-2</v>
      </c>
      <c r="N41" s="1">
        <f t="shared" si="10"/>
        <v>1.5548561031972958E-2</v>
      </c>
      <c r="S41">
        <v>7.75</v>
      </c>
      <c r="T41" s="1">
        <f t="shared" si="7"/>
        <v>3.7499999999999999E-3</v>
      </c>
      <c r="U41" s="1">
        <f t="shared" si="3"/>
        <v>3.2921357873397002E-3</v>
      </c>
      <c r="V41" s="1">
        <f t="shared" si="4"/>
        <v>7.2031865164476905E-3</v>
      </c>
      <c r="W41" s="1">
        <f t="shared" si="5"/>
        <v>6.3236981636480612E-3</v>
      </c>
    </row>
    <row r="42" spans="1:23">
      <c r="A42" s="15"/>
      <c r="G42" s="13">
        <f t="shared" si="8"/>
        <v>7.25</v>
      </c>
      <c r="H42" s="1"/>
      <c r="J42" s="27">
        <f>Interpolate_Interval(G41,G45,J41,J45,G42)</f>
        <v>0.89055027295121614</v>
      </c>
      <c r="L42" s="1">
        <f>Interpolate_Interval(G41,G43,L41,L43,G42)</f>
        <v>2.7631555049593581E-2</v>
      </c>
      <c r="M42" s="1">
        <f t="shared" si="9"/>
        <v>2.8403553873233456E-2</v>
      </c>
      <c r="N42" s="1">
        <f t="shared" si="10"/>
        <v>1.5988375600005333E-2</v>
      </c>
      <c r="S42">
        <v>8</v>
      </c>
      <c r="T42" s="1">
        <f t="shared" si="7"/>
        <v>3.7499999999999999E-3</v>
      </c>
      <c r="U42" s="1">
        <f t="shared" si="3"/>
        <v>3.26842191922602E-3</v>
      </c>
      <c r="V42" s="1">
        <f t="shared" si="4"/>
        <v>7.2554488679037465E-3</v>
      </c>
      <c r="W42" s="1">
        <f t="shared" si="5"/>
        <v>6.3236981636480578E-3</v>
      </c>
    </row>
    <row r="43" spans="1:23">
      <c r="A43" s="15"/>
      <c r="G43" s="13">
        <f t="shared" si="8"/>
        <v>7.5</v>
      </c>
      <c r="H43" s="1"/>
      <c r="I43" s="1"/>
      <c r="J43" s="27">
        <f>Interpolate_Interval(G41,G45,J41,J45,G43)</f>
        <v>0.88422657478756816</v>
      </c>
      <c r="K43" s="2"/>
      <c r="L43" s="1">
        <f>(J41/J43-1)/0.5</f>
        <v>2.860668676540179E-2</v>
      </c>
      <c r="M43" s="1">
        <f t="shared" si="9"/>
        <v>2.860668676540179E-2</v>
      </c>
      <c r="N43" s="1">
        <f t="shared" si="10"/>
        <v>1.6405592381942502E-2</v>
      </c>
      <c r="S43">
        <v>8.25</v>
      </c>
      <c r="T43" s="1">
        <f t="shared" si="7"/>
        <v>3.7499999999999999E-3</v>
      </c>
      <c r="U43" s="1">
        <f t="shared" si="3"/>
        <v>3.2437533980145799E-3</v>
      </c>
      <c r="V43" s="1">
        <f t="shared" si="4"/>
        <v>7.6049311351902293E-3</v>
      </c>
      <c r="W43" s="1">
        <f t="shared" si="5"/>
        <v>6.578272323050716E-3</v>
      </c>
    </row>
    <row r="44" spans="1:23">
      <c r="A44" s="15"/>
      <c r="G44" s="13">
        <f t="shared" si="8"/>
        <v>7.75</v>
      </c>
      <c r="H44" s="1"/>
      <c r="J44" s="27">
        <f>Interpolate_Interval(G41,G45,J41,J45,G44)</f>
        <v>0.87790287662392008</v>
      </c>
      <c r="L44" s="1">
        <f>Interpolate_Interval(G43,G45,L43,L45,G44)</f>
        <v>2.8814241118508388E-2</v>
      </c>
      <c r="M44" s="1">
        <f t="shared" si="9"/>
        <v>2.8812746065790762E-2</v>
      </c>
      <c r="N44" s="1">
        <f t="shared" si="10"/>
        <v>1.680249165743251E-2</v>
      </c>
      <c r="S44">
        <v>8.5</v>
      </c>
      <c r="T44" s="1">
        <f t="shared" si="7"/>
        <v>3.7499999999999999E-3</v>
      </c>
      <c r="U44" s="1">
        <f t="shared" si="3"/>
        <v>3.2190848768031402E-3</v>
      </c>
      <c r="V44" s="1">
        <f t="shared" si="4"/>
        <v>7.6632093142998681E-3</v>
      </c>
      <c r="W44" s="1">
        <f t="shared" si="5"/>
        <v>6.5782723230505781E-3</v>
      </c>
    </row>
    <row r="45" spans="1:23">
      <c r="A45" s="15"/>
      <c r="G45" s="13">
        <f t="shared" si="8"/>
        <v>8</v>
      </c>
      <c r="H45" s="1"/>
      <c r="I45" s="1">
        <f>Interpolate_Range($D$17:$D$31,$E$17:$E$31,G45)</f>
        <v>1.6997999999999999E-2</v>
      </c>
      <c r="J45" s="15">
        <f>(1-I45*K41)/(1+I45)</f>
        <v>0.871579178460272</v>
      </c>
      <c r="K45" s="2">
        <f>K41+J45</f>
        <v>7.5550548029019895</v>
      </c>
      <c r="L45" s="1">
        <f>(J43/J45-1)/0.5</f>
        <v>2.9021795471614986E-2</v>
      </c>
      <c r="M45" s="1">
        <f t="shared" si="9"/>
        <v>2.9021795471614986E-2</v>
      </c>
      <c r="N45" s="1">
        <f t="shared" si="10"/>
        <v>1.7181070633468194E-2</v>
      </c>
      <c r="S45">
        <v>8.75</v>
      </c>
      <c r="T45" s="1">
        <f t="shared" si="7"/>
        <v>3.7499999999999999E-3</v>
      </c>
      <c r="U45" s="1">
        <f t="shared" si="3"/>
        <v>3.1944163555917E-3</v>
      </c>
      <c r="V45" s="1">
        <f t="shared" si="4"/>
        <v>7.7223875867835634E-3</v>
      </c>
      <c r="W45" s="1">
        <f t="shared" si="5"/>
        <v>6.5782723230505963E-3</v>
      </c>
    </row>
    <row r="46" spans="1:23">
      <c r="A46" s="15"/>
      <c r="G46" s="13">
        <f t="shared" si="8"/>
        <v>8.25</v>
      </c>
      <c r="H46" s="1"/>
      <c r="J46" s="27">
        <f>Interpolate_Interval(G45,G49,J45,J49,G46)</f>
        <v>0.86500090613722136</v>
      </c>
      <c r="L46" s="1">
        <f>(J44/J46-1)/0.5</f>
        <v>2.9831114384178292E-2</v>
      </c>
      <c r="M46" s="1">
        <f t="shared" si="9"/>
        <v>3.0419724540760917E-2</v>
      </c>
      <c r="N46" s="1">
        <f t="shared" si="10"/>
        <v>1.7578754484039401E-2</v>
      </c>
      <c r="S46">
        <v>9</v>
      </c>
      <c r="T46" s="1">
        <f t="shared" si="7"/>
        <v>3.7499999999999999E-3</v>
      </c>
      <c r="U46" s="1">
        <f t="shared" si="3"/>
        <v>3.1697478343802603E-3</v>
      </c>
      <c r="V46" s="1">
        <f t="shared" si="4"/>
        <v>7.7824869675360286E-3</v>
      </c>
      <c r="W46" s="1">
        <f t="shared" si="5"/>
        <v>6.5782723230506475E-3</v>
      </c>
    </row>
    <row r="47" spans="1:23">
      <c r="A47" s="15"/>
      <c r="G47" s="13">
        <f t="shared" si="8"/>
        <v>8.5</v>
      </c>
      <c r="H47" s="1"/>
      <c r="I47" s="1"/>
      <c r="J47" s="27">
        <f>Interpolate_Interval(G45,G49,J45,J49,G47)</f>
        <v>0.85842263381417072</v>
      </c>
      <c r="K47" s="2"/>
      <c r="L47" s="1">
        <f>Interpolate_Interval(G46,G48,L46,L48,G47)</f>
        <v>3.0360332365656273E-2</v>
      </c>
      <c r="M47" s="1">
        <f t="shared" si="9"/>
        <v>3.0652837257199472E-2</v>
      </c>
      <c r="N47" s="1">
        <f t="shared" si="10"/>
        <v>1.7959849478703809E-2</v>
      </c>
      <c r="S47">
        <v>9.25</v>
      </c>
      <c r="T47" s="1">
        <f t="shared" si="7"/>
        <v>3.7499999999999999E-3</v>
      </c>
      <c r="U47" s="1">
        <f t="shared" si="3"/>
        <v>3.1447222985269449E-3</v>
      </c>
      <c r="V47" s="1">
        <f t="shared" si="4"/>
        <v>7.9579477860534098E-3</v>
      </c>
      <c r="W47" s="1">
        <f t="shared" si="5"/>
        <v>6.673476227550745E-3</v>
      </c>
    </row>
    <row r="48" spans="1:23">
      <c r="A48" s="15"/>
      <c r="G48" s="13">
        <f t="shared" si="8"/>
        <v>8.75</v>
      </c>
      <c r="H48" s="1"/>
      <c r="J48" s="27">
        <f>Interpolate_Interval(G45,G49,J45,J49,G48)</f>
        <v>0.85184436149112008</v>
      </c>
      <c r="L48" s="1">
        <f>(J46/J48-1)/0.5</f>
        <v>3.0889550347134254E-2</v>
      </c>
      <c r="M48" s="1">
        <f t="shared" si="9"/>
        <v>3.0889550347134254E-2</v>
      </c>
      <c r="N48" s="1">
        <f t="shared" si="10"/>
        <v>1.8325879216685909E-2</v>
      </c>
      <c r="S48">
        <v>9.5</v>
      </c>
      <c r="T48" s="1">
        <f t="shared" si="7"/>
        <v>3.7499999999999999E-3</v>
      </c>
      <c r="U48" s="1">
        <f t="shared" si="3"/>
        <v>3.1196967626736295E-3</v>
      </c>
      <c r="V48" s="1">
        <f t="shared" si="4"/>
        <v>8.021784730086523E-3</v>
      </c>
      <c r="W48" s="1">
        <f t="shared" si="5"/>
        <v>6.6734762275508482E-3</v>
      </c>
    </row>
    <row r="49" spans="1:23">
      <c r="A49" s="15"/>
      <c r="G49" s="13">
        <f t="shared" si="8"/>
        <v>9</v>
      </c>
      <c r="H49" s="1"/>
      <c r="I49" s="1">
        <f>Interpolate_Range($D$17:$D$31,$E$17:$E$31,G49)</f>
        <v>1.8419999999999999E-2</v>
      </c>
      <c r="J49" s="15">
        <f>(1-I49*K45)/(1+I49)</f>
        <v>0.84526608916806945</v>
      </c>
      <c r="K49" s="2">
        <f>K45+J49</f>
        <v>8.4003208920700594</v>
      </c>
      <c r="L49" s="1">
        <f>Interpolate_Interval(G48,G50,L48,L50,G49)</f>
        <v>3.1247142552089935E-2</v>
      </c>
      <c r="M49" s="1">
        <f t="shared" si="9"/>
        <v>3.1129947870144115E-2</v>
      </c>
      <c r="N49" s="1">
        <f t="shared" si="10"/>
        <v>1.867820030792388E-2</v>
      </c>
      <c r="S49">
        <v>9.75</v>
      </c>
      <c r="T49" s="1">
        <f t="shared" si="7"/>
        <v>3.7499999999999999E-3</v>
      </c>
      <c r="U49" s="1">
        <f t="shared" si="3"/>
        <v>3.0946712268203145E-3</v>
      </c>
      <c r="V49" s="1">
        <f t="shared" si="4"/>
        <v>8.0866541286932492E-3</v>
      </c>
      <c r="W49" s="1">
        <f t="shared" si="5"/>
        <v>6.6734762275505871E-3</v>
      </c>
    </row>
    <row r="50" spans="1:23">
      <c r="A50" s="15"/>
      <c r="G50" s="13">
        <f t="shared" si="8"/>
        <v>9.25</v>
      </c>
      <c r="H50" s="1"/>
      <c r="J50" s="27">
        <f>Interpolate_Interval(G49,G53,J49,J53,G50)</f>
        <v>0.83859261294051868</v>
      </c>
      <c r="L50" s="1">
        <f>(J48/J50-1)/0.5</f>
        <v>3.1604734757045616E-2</v>
      </c>
      <c r="M50" s="1">
        <f t="shared" si="9"/>
        <v>3.1831791144213639E-2</v>
      </c>
      <c r="N50" s="1">
        <f t="shared" si="10"/>
        <v>1.9030297630706548E-2</v>
      </c>
      <c r="S50">
        <v>10</v>
      </c>
      <c r="T50" s="1">
        <f t="shared" si="7"/>
        <v>3.7499999999999999E-3</v>
      </c>
      <c r="U50" s="1">
        <f t="shared" si="3"/>
        <v>3.0696456909669991E-3</v>
      </c>
      <c r="V50" s="1">
        <f t="shared" si="4"/>
        <v>8.1525812333840264E-3</v>
      </c>
      <c r="W50" s="1">
        <f t="shared" si="5"/>
        <v>6.6734762275508534E-3</v>
      </c>
    </row>
    <row r="51" spans="1:23">
      <c r="A51" s="15"/>
      <c r="G51" s="13">
        <f t="shared" si="8"/>
        <v>9.5</v>
      </c>
      <c r="H51" s="1"/>
      <c r="I51" s="1"/>
      <c r="J51" s="27">
        <f>Interpolate_Interval(G49,G53,J49,J53,G51)</f>
        <v>0.83191913671296791</v>
      </c>
      <c r="K51" s="2"/>
      <c r="L51" s="1">
        <f>Interpolate_Interval(G50,G52,L50,L52,G51)</f>
        <v>3.1975675635909528E-2</v>
      </c>
      <c r="M51" s="1">
        <f t="shared" si="9"/>
        <v>3.2087138920346092E-2</v>
      </c>
      <c r="N51" s="1">
        <f t="shared" si="10"/>
        <v>1.9370529930008769E-2</v>
      </c>
    </row>
    <row r="52" spans="1:23">
      <c r="A52" s="15"/>
      <c r="G52" s="13">
        <f t="shared" si="8"/>
        <v>9.75</v>
      </c>
      <c r="H52" s="1"/>
      <c r="J52" s="27">
        <f>Interpolate_Interval(G49,G53,J49,J53,G52)</f>
        <v>0.82524566048541725</v>
      </c>
      <c r="L52" s="1">
        <f>(J50/J52-1)/0.5</f>
        <v>3.2346616514773441E-2</v>
      </c>
      <c r="M52" s="1">
        <f t="shared" si="9"/>
        <v>3.2346616514772997E-2</v>
      </c>
      <c r="N52" s="1">
        <f t="shared" si="10"/>
        <v>1.9699914531987116E-2</v>
      </c>
    </row>
    <row r="53" spans="1:23">
      <c r="A53" s="15"/>
      <c r="G53" s="13">
        <f t="shared" si="8"/>
        <v>10</v>
      </c>
      <c r="H53" s="1"/>
      <c r="I53" s="1">
        <f>Interpolate_Range($D$17:$D$31,$E$17:$E$31,G53)</f>
        <v>1.968E-2</v>
      </c>
      <c r="J53" s="15">
        <f>(1-I53*K49)/(1+I53)</f>
        <v>0.81857218425786649</v>
      </c>
      <c r="K53" s="2">
        <f>K49+J53</f>
        <v>9.2188930763279267</v>
      </c>
      <c r="L53" s="1">
        <f>Interpolate_Interval(G52,G54,L52,L54,G53)</f>
        <v>3.2398345722416622E-2</v>
      </c>
      <c r="M53" s="1">
        <f t="shared" si="9"/>
        <v>3.2610324933536106E-2</v>
      </c>
      <c r="N53" s="1">
        <f t="shared" si="10"/>
        <v>2.0019369515194195E-2</v>
      </c>
    </row>
    <row r="54" spans="1:23">
      <c r="G54" s="13">
        <f t="shared" si="8"/>
        <v>10.25</v>
      </c>
      <c r="H54" s="1"/>
      <c r="J54" s="27">
        <f>Interpolate_Interval(G53,G57,J53,J57,G54)</f>
        <v>0.81206979759521558</v>
      </c>
      <c r="L54" s="1">
        <f>(J52/J54-1)/0.5</f>
        <v>3.2450074930059802E-2</v>
      </c>
      <c r="M54" s="1">
        <f t="shared" si="9"/>
        <v>3.2028708280527063E-2</v>
      </c>
      <c r="N54" s="1">
        <f t="shared" si="10"/>
        <v>2.0309169257075963E-2</v>
      </c>
    </row>
    <row r="55" spans="1:23">
      <c r="G55" s="13">
        <f t="shared" si="8"/>
        <v>10.5</v>
      </c>
      <c r="H55" s="1"/>
      <c r="I55" s="1"/>
      <c r="J55" s="27">
        <f>Interpolate_Interval(G53,G57,J53,J57,G55)</f>
        <v>0.80556741093256468</v>
      </c>
      <c r="K55" s="2"/>
      <c r="L55" s="1">
        <f>(J53/J55-1)/0.5</f>
        <v>3.2287237911590605E-2</v>
      </c>
      <c r="M55" s="1">
        <f t="shared" si="9"/>
        <v>3.2287237911590161E-2</v>
      </c>
      <c r="N55" s="1">
        <f t="shared" si="10"/>
        <v>2.0591275386494742E-2</v>
      </c>
    </row>
    <row r="56" spans="1:23">
      <c r="G56" s="13">
        <f t="shared" si="8"/>
        <v>10.75</v>
      </c>
      <c r="H56" s="1"/>
      <c r="J56" s="27">
        <f>Interpolate_Interval(G53,G57,J53,J57,G56)</f>
        <v>0.79906502426991377</v>
      </c>
      <c r="L56" s="1">
        <f>Interpolate_Interval(G55,G57,L55,L57,G56)</f>
        <v>3.2552130672374613E-2</v>
      </c>
      <c r="M56" s="1">
        <f t="shared" si="9"/>
        <v>3.2549975109182228E-2</v>
      </c>
      <c r="N56" s="1">
        <f t="shared" si="10"/>
        <v>2.086632134532368E-2</v>
      </c>
    </row>
    <row r="57" spans="1:23">
      <c r="G57" s="13">
        <f t="shared" si="8"/>
        <v>11</v>
      </c>
      <c r="H57" s="1"/>
      <c r="I57" s="1">
        <f>Interpolate_Range($D$17:$D$31,$E$17:$E$31,G57)</f>
        <v>2.0720000000000002E-2</v>
      </c>
      <c r="J57" s="15">
        <f>(1-I57*K53)/(1+I57)</f>
        <v>0.79256263760726287</v>
      </c>
      <c r="K57" s="2">
        <f>K53+J57</f>
        <v>10.01145571393519</v>
      </c>
      <c r="L57" s="1">
        <f>(J55/J57-1)/0.5</f>
        <v>3.2817023433158621E-2</v>
      </c>
      <c r="M57" s="1">
        <f t="shared" si="9"/>
        <v>3.2817023433159065E-2</v>
      </c>
      <c r="N57" s="1">
        <f t="shared" si="10"/>
        <v>2.1134885305800155E-2</v>
      </c>
    </row>
    <row r="58" spans="1:23">
      <c r="G58" s="13">
        <f t="shared" si="8"/>
        <v>11.25</v>
      </c>
      <c r="H58" s="1"/>
      <c r="J58" s="27">
        <f>Interpolate_Interval(G57,G61,J57,J61,G58)</f>
        <v>0.7857953740285295</v>
      </c>
      <c r="L58" s="1">
        <f>Interpolate_Interval(G57,G59,L57,L59,G58)</f>
        <v>3.3782117336089268E-2</v>
      </c>
      <c r="M58" s="1">
        <f t="shared" si="9"/>
        <v>3.4447968529209838E-2</v>
      </c>
      <c r="N58" s="1">
        <f t="shared" si="10"/>
        <v>2.1427454118484058E-2</v>
      </c>
    </row>
    <row r="59" spans="1:23">
      <c r="G59" s="13">
        <f t="shared" si="8"/>
        <v>11.5</v>
      </c>
      <c r="H59" s="1"/>
      <c r="I59" s="1"/>
      <c r="J59" s="27">
        <f>Interpolate_Interval(G57,G61,J57,J61,G59)</f>
        <v>0.77902811044979603</v>
      </c>
      <c r="K59" s="2"/>
      <c r="L59" s="1">
        <f>(J57/J59-1)/0.5</f>
        <v>3.4747211239019915E-2</v>
      </c>
      <c r="M59" s="1">
        <f t="shared" si="9"/>
        <v>3.4747211239020359E-2</v>
      </c>
      <c r="N59" s="1">
        <f t="shared" si="10"/>
        <v>2.1713752040090489E-2</v>
      </c>
    </row>
    <row r="60" spans="1:23">
      <c r="G60" s="13">
        <f t="shared" si="8"/>
        <v>11.75</v>
      </c>
      <c r="H60" s="1"/>
      <c r="J60" s="27">
        <f>Interpolate_Interval(G57,G61,J57,J61,G60)</f>
        <v>0.77226084687106256</v>
      </c>
      <c r="L60" s="1">
        <f>Interpolate_Interval(G59,G61,L59,L61,G60)</f>
        <v>3.5054390217671871E-2</v>
      </c>
      <c r="M60" s="1">
        <f t="shared" si="9"/>
        <v>3.5051698431440848E-2</v>
      </c>
      <c r="N60" s="1">
        <f t="shared" si="10"/>
        <v>2.1994289487615424E-2</v>
      </c>
    </row>
    <row r="61" spans="1:23">
      <c r="G61" s="13">
        <f t="shared" si="8"/>
        <v>12</v>
      </c>
      <c r="H61" s="1"/>
      <c r="I61" s="1">
        <f>Interpolate_Range($D$17:$D$31,$E$17:$E$31,G61)</f>
        <v>2.1760000000000002E-2</v>
      </c>
      <c r="J61" s="15">
        <f>(1-I61*K57)/(1+I61)</f>
        <v>0.76549358329232919</v>
      </c>
      <c r="K61" s="2">
        <f>K57+J61</f>
        <v>10.776949297227519</v>
      </c>
      <c r="L61" s="1">
        <f>(J59/J61-1)/0.5</f>
        <v>3.5361569196323828E-2</v>
      </c>
      <c r="M61" s="1">
        <f t="shared" si="9"/>
        <v>3.5361569196323828E-2</v>
      </c>
      <c r="N61" s="1">
        <f t="shared" si="10"/>
        <v>2.2269537191168268E-2</v>
      </c>
    </row>
    <row r="62" spans="1:23">
      <c r="G62" s="13">
        <f t="shared" si="8"/>
        <v>12.25</v>
      </c>
      <c r="H62" s="1"/>
      <c r="J62" s="27">
        <f>Interpolate_Interval(G61,G65,J61,J65,G62)</f>
        <v>0.75957665071099045</v>
      </c>
      <c r="L62" s="1">
        <f>Interpolate_Interval(G61,G63,L61,L63,G62)</f>
        <v>3.3382652268687751E-2</v>
      </c>
      <c r="M62" s="1">
        <f t="shared" si="9"/>
        <v>3.1159107251652607E-2</v>
      </c>
      <c r="N62" s="1">
        <f t="shared" si="10"/>
        <v>2.2448493015798873E-2</v>
      </c>
    </row>
    <row r="63" spans="1:23">
      <c r="G63" s="13">
        <f t="shared" si="8"/>
        <v>12.5</v>
      </c>
      <c r="H63" s="1"/>
      <c r="I63" s="1"/>
      <c r="J63" s="27">
        <f>Interpolate_Interval(G61,G65,J61,J65,G63)</f>
        <v>0.7536597181296516</v>
      </c>
      <c r="K63" s="2"/>
      <c r="L63" s="1">
        <f>(J61/J63-1)/0.5</f>
        <v>3.1403735341051675E-2</v>
      </c>
      <c r="M63" s="1">
        <f t="shared" si="9"/>
        <v>3.1403735341052119E-2</v>
      </c>
      <c r="N63" s="1">
        <f t="shared" si="10"/>
        <v>2.2625145204559341E-2</v>
      </c>
    </row>
    <row r="64" spans="1:23">
      <c r="G64" s="13">
        <f t="shared" si="8"/>
        <v>12.75</v>
      </c>
      <c r="H64" s="1"/>
      <c r="J64" s="27">
        <f>Interpolate_Interval(G61,G65,J61,J65,G64)</f>
        <v>0.74774278554831275</v>
      </c>
      <c r="L64" s="1">
        <f>(J62/J64-1)/0.5</f>
        <v>3.165223494333036E-2</v>
      </c>
      <c r="M64" s="1">
        <f t="shared" si="9"/>
        <v>3.1652234943329915E-2</v>
      </c>
      <c r="N64" s="1">
        <f t="shared" si="10"/>
        <v>2.2799704292720074E-2</v>
      </c>
    </row>
    <row r="65" spans="7:14">
      <c r="G65" s="13">
        <f t="shared" si="8"/>
        <v>13</v>
      </c>
      <c r="H65" s="1"/>
      <c r="I65" s="1">
        <f>Interpolate_Range($D$17:$D$31,$E$17:$E$31,G65)</f>
        <v>2.2413333333333334E-2</v>
      </c>
      <c r="J65" s="15">
        <f>(1-I65*K61)/(1+I65)</f>
        <v>0.74182585296697401</v>
      </c>
      <c r="K65" s="2">
        <f>K61+J65</f>
        <v>11.518775150194493</v>
      </c>
      <c r="L65" s="1">
        <f>Interpolate_Interval(G64,G66,L64,L66,G65)</f>
        <v>3.2049596637289568E-2</v>
      </c>
      <c r="M65" s="1">
        <f t="shared" si="9"/>
        <v>3.1904698698076217E-2</v>
      </c>
      <c r="N65" s="1">
        <f t="shared" si="10"/>
        <v>2.2972366374340119E-2</v>
      </c>
    </row>
    <row r="66" spans="7:14">
      <c r="G66" s="13">
        <f t="shared" si="8"/>
        <v>13.25</v>
      </c>
      <c r="H66" s="1"/>
      <c r="J66" s="27">
        <f>Interpolate_Interval(G65,G69,J65,J69,G66)</f>
        <v>0.73580546098211674</v>
      </c>
      <c r="L66" s="1">
        <f>(J64/J66-1)/0.5</f>
        <v>3.2446958331248776E-2</v>
      </c>
      <c r="M66" s="1">
        <f t="shared" si="9"/>
        <v>3.2728172345019679E-2</v>
      </c>
      <c r="N66" s="1">
        <f t="shared" si="10"/>
        <v>2.3153925623361857E-2</v>
      </c>
    </row>
    <row r="67" spans="7:14">
      <c r="G67" s="13">
        <f t="shared" si="8"/>
        <v>13.5</v>
      </c>
      <c r="H67" s="1"/>
      <c r="I67" s="1"/>
      <c r="J67" s="27">
        <f>Interpolate_Interval(G65,G69,J65,J69,G67)</f>
        <v>0.72978506899725948</v>
      </c>
      <c r="K67" s="2"/>
      <c r="L67" s="1">
        <f>Interpolate_Interval(G66,G68,L66,L68,G67)</f>
        <v>3.2859803584518676E-2</v>
      </c>
      <c r="M67" s="1">
        <f t="shared" si="9"/>
        <v>3.2998164750777548E-2</v>
      </c>
      <c r="N67" s="1">
        <f t="shared" si="10"/>
        <v>2.3333719572052228E-2</v>
      </c>
    </row>
    <row r="68" spans="7:14">
      <c r="G68" s="13">
        <f t="shared" si="8"/>
        <v>13.75</v>
      </c>
      <c r="H68" s="1"/>
      <c r="J68" s="27">
        <f>Interpolate_Interval(G65,G69,J65,J69,G68)</f>
        <v>0.72376467701240221</v>
      </c>
      <c r="L68" s="1">
        <f>(J66/J68-1)/0.5</f>
        <v>3.3272648837788577E-2</v>
      </c>
      <c r="M68" s="1">
        <f t="shared" si="9"/>
        <v>3.3272648837788132E-2</v>
      </c>
      <c r="N68" s="1">
        <f t="shared" ref="N68:N99" si="11">-LN(J68)/G68</f>
        <v>2.3511925176837433E-2</v>
      </c>
    </row>
    <row r="69" spans="7:14">
      <c r="G69" s="13">
        <f t="shared" si="8"/>
        <v>14</v>
      </c>
      <c r="H69" s="1"/>
      <c r="I69" s="1">
        <f>Interpolate_Range($D$17:$D$31,$E$17:$E$31,G69)</f>
        <v>2.3066666666666669E-2</v>
      </c>
      <c r="J69" s="15">
        <f>(1-I69*K65)/(1+I69)</f>
        <v>0.71774428502754495</v>
      </c>
      <c r="K69" s="2">
        <f>K65+J69</f>
        <v>12.236519435222037</v>
      </c>
      <c r="L69" s="1">
        <f>Interpolate_Interval(G68,G70,L68,L70,G69)</f>
        <v>3.3682043886080759E-2</v>
      </c>
      <c r="M69" s="1">
        <f t="shared" si="9"/>
        <v>3.3551737633835899E-2</v>
      </c>
      <c r="N69" s="1">
        <f t="shared" si="11"/>
        <v>2.3688708739766549E-2</v>
      </c>
    </row>
    <row r="70" spans="7:14">
      <c r="G70" s="13">
        <f t="shared" si="8"/>
        <v>14.25</v>
      </c>
      <c r="H70" s="1"/>
      <c r="J70" s="27">
        <f>Interpolate_Interval(G69,G73,J69,J73,G70)</f>
        <v>0.71163435739306846</v>
      </c>
      <c r="L70" s="1">
        <f>(J68/J70-1)/0.5</f>
        <v>3.4091438934372942E-2</v>
      </c>
      <c r="M70" s="1">
        <f t="shared" si="9"/>
        <v>3.4343072792938578E-2</v>
      </c>
      <c r="N70" s="1">
        <f t="shared" si="11"/>
        <v>2.3873055611634168E-2</v>
      </c>
    </row>
    <row r="71" spans="7:14">
      <c r="G71" s="13">
        <f t="shared" si="8"/>
        <v>14.5</v>
      </c>
      <c r="H71" s="1"/>
      <c r="I71" s="1"/>
      <c r="J71" s="27">
        <f>Interpolate_Interval(G69,G73,J69,J73,G71)</f>
        <v>0.70552442975859198</v>
      </c>
      <c r="K71" s="2"/>
      <c r="L71" s="1">
        <f>Interpolate_Interval(G70,G72,L70,L72,G71)</f>
        <v>3.4517269216071345E-2</v>
      </c>
      <c r="M71" s="1">
        <f t="shared" si="9"/>
        <v>3.4640487993121027E-2</v>
      </c>
      <c r="N71" s="1">
        <f t="shared" si="11"/>
        <v>2.4056129703966259E-2</v>
      </c>
    </row>
    <row r="72" spans="7:14">
      <c r="G72" s="13">
        <f t="shared" si="8"/>
        <v>14.75</v>
      </c>
      <c r="H72" s="1"/>
      <c r="J72" s="27">
        <f>Interpolate_Interval(G69,G73,J69,J73,G72)</f>
        <v>0.69941450212411549</v>
      </c>
      <c r="L72" s="1">
        <f>(J70/J72-1)/0.5</f>
        <v>3.4943099497769747E-2</v>
      </c>
      <c r="M72" s="1">
        <f t="shared" si="9"/>
        <v>3.4943099497769303E-2</v>
      </c>
      <c r="N72" s="1">
        <f t="shared" si="11"/>
        <v>2.4238082676252794E-2</v>
      </c>
    </row>
    <row r="73" spans="7:14">
      <c r="G73" s="13">
        <f t="shared" si="8"/>
        <v>15</v>
      </c>
      <c r="H73" s="1"/>
      <c r="I73" s="1">
        <f>Interpolate_Range($D$17:$D$31,$E$17:$E$31,G73)</f>
        <v>2.3720000000000001E-2</v>
      </c>
      <c r="J73" s="15">
        <f>(1-I73*K69)/(1+I73)</f>
        <v>0.693304574489639</v>
      </c>
      <c r="K73" s="2">
        <f>K69+J73</f>
        <v>12.929824009711677</v>
      </c>
      <c r="L73" s="1">
        <f>(J71/J73-1)/0.5</f>
        <v>3.5251044688255018E-2</v>
      </c>
      <c r="M73" s="1">
        <f t="shared" si="9"/>
        <v>3.5251044688255462E-2</v>
      </c>
      <c r="N73" s="1">
        <f t="shared" si="11"/>
        <v>2.4419058327776466E-2</v>
      </c>
    </row>
    <row r="74" spans="7:14">
      <c r="G74" s="13">
        <f t="shared" si="8"/>
        <v>15.25</v>
      </c>
      <c r="H74" s="1"/>
      <c r="J74" s="27">
        <f>Interpolate_Interval(G73,G77,J73,J77,G74)</f>
        <v>0.68853572583970113</v>
      </c>
      <c r="L74" s="1">
        <f>Interpolate_Interval(G73,G75,L73,L75,G74)</f>
        <v>3.1574278298898584E-2</v>
      </c>
      <c r="M74" s="1">
        <f t="shared" si="9"/>
        <v>2.7704291707577156E-2</v>
      </c>
      <c r="N74" s="1">
        <f t="shared" si="11"/>
        <v>2.4471349034580526E-2</v>
      </c>
    </row>
    <row r="75" spans="7:14">
      <c r="G75" s="13">
        <f t="shared" si="8"/>
        <v>15.5</v>
      </c>
      <c r="H75" s="1"/>
      <c r="I75" s="1"/>
      <c r="J75" s="27">
        <f>Interpolate_Interval(G73,G77,J73,J77,G75)</f>
        <v>0.68376687718976314</v>
      </c>
      <c r="K75" s="2"/>
      <c r="L75" s="1">
        <f>(J73/J75-1)/0.5</f>
        <v>2.789751190954215E-2</v>
      </c>
      <c r="M75" s="1">
        <f t="shared" si="9"/>
        <v>2.7897511909542594E-2</v>
      </c>
      <c r="N75" s="1">
        <f t="shared" si="11"/>
        <v>2.4525047888701183E-2</v>
      </c>
    </row>
    <row r="76" spans="7:14">
      <c r="G76" s="13">
        <f t="shared" si="8"/>
        <v>15.75</v>
      </c>
      <c r="H76" s="1"/>
      <c r="J76" s="27">
        <f>Interpolate_Interval(G73,G77,J73,J77,G76)</f>
        <v>0.67899802853982516</v>
      </c>
      <c r="L76" s="1">
        <f>Interpolate_Interval(G75,G77,L75,L77,G76)</f>
        <v>2.8094832073033205E-2</v>
      </c>
      <c r="M76" s="1">
        <f t="shared" si="9"/>
        <v>2.8093446222182905E-2</v>
      </c>
      <c r="N76" s="1">
        <f t="shared" si="11"/>
        <v>2.4580130470070669E-2</v>
      </c>
    </row>
    <row r="77" spans="7:14">
      <c r="G77" s="13">
        <f>G76+0.25</f>
        <v>16</v>
      </c>
      <c r="I77" s="1">
        <f>Interpolate_Range($D$17:$D$31,$E$17:$E$31,G77)</f>
        <v>2.3946600000000002E-2</v>
      </c>
      <c r="J77" s="15">
        <f>(1-I77*K73)/(1+I77)</f>
        <v>0.67422917988988729</v>
      </c>
      <c r="K77" s="2">
        <f>K73+J77</f>
        <v>13.604053189601563</v>
      </c>
      <c r="L77" s="1">
        <f>(J75/J77-1)/0.5</f>
        <v>2.8292152236524259E-2</v>
      </c>
      <c r="M77" s="1">
        <f t="shared" si="9"/>
        <v>2.8292152236524259E-2</v>
      </c>
      <c r="N77" s="1">
        <f t="shared" si="11"/>
        <v>2.4636574772283999E-2</v>
      </c>
    </row>
    <row r="78" spans="7:14">
      <c r="G78" s="13">
        <f t="shared" si="8"/>
        <v>16.25</v>
      </c>
      <c r="J78" s="27">
        <f>Interpolate_Interval(G77,G81,J77,J81,G78)</f>
        <v>0.6694983015423388</v>
      </c>
      <c r="L78" s="1">
        <f>Interpolate_Interval(G77,G79,L77,L79,G78)</f>
        <v>2.8379259582074212E-2</v>
      </c>
      <c r="M78" s="1">
        <f t="shared" si="9"/>
        <v>2.8265214932733151E-2</v>
      </c>
      <c r="N78" s="1">
        <f t="shared" si="11"/>
        <v>2.4690870815924606E-2</v>
      </c>
    </row>
    <row r="79" spans="7:14">
      <c r="G79" s="13">
        <f t="shared" si="8"/>
        <v>16.5</v>
      </c>
      <c r="I79" s="1"/>
      <c r="J79" s="27">
        <f>Interpolate_Interval(G77,G81,J77,J81,G79)</f>
        <v>0.66476742319479021</v>
      </c>
      <c r="K79" s="2"/>
      <c r="L79" s="1">
        <f>(J77/J79-1)/0.5</f>
        <v>2.8466366927624165E-2</v>
      </c>
      <c r="M79" s="1">
        <f t="shared" si="9"/>
        <v>2.8466366927624165E-2</v>
      </c>
      <c r="N79" s="1">
        <f t="shared" si="11"/>
        <v>2.4746547821583739E-2</v>
      </c>
    </row>
    <row r="80" spans="7:14">
      <c r="G80" s="13">
        <f t="shared" si="8"/>
        <v>16.75</v>
      </c>
      <c r="J80" s="27">
        <f>Interpolate_Interval(G77,G81,J77,J81,G80)</f>
        <v>0.66003654484724161</v>
      </c>
      <c r="L80" s="1">
        <f>Interpolate_Interval(G79,G81,L79,L81,G80)</f>
        <v>2.8671875480068998E-2</v>
      </c>
      <c r="M80" s="1">
        <f t="shared" si="9"/>
        <v>2.867040247684205E-2</v>
      </c>
      <c r="N80" s="1">
        <f t="shared" si="11"/>
        <v>2.4803586538144053E-2</v>
      </c>
    </row>
    <row r="81" spans="7:14">
      <c r="G81" s="13">
        <f t="shared" si="8"/>
        <v>17</v>
      </c>
      <c r="I81" s="1">
        <f>Interpolate_Range($D$17:$D$31,$E$17:$E$31,G81)</f>
        <v>2.4173200000000002E-2</v>
      </c>
      <c r="J81" s="15">
        <f>(1-I81*K77)/(1+I81)</f>
        <v>0.65530566649969313</v>
      </c>
      <c r="K81" s="2">
        <f>K77+J81</f>
        <v>14.259358856101256</v>
      </c>
      <c r="L81" s="1">
        <f>(J79/J81-1)/0.5</f>
        <v>2.8877384032513831E-2</v>
      </c>
      <c r="M81" s="1">
        <f t="shared" si="9"/>
        <v>2.8877384032513831E-2</v>
      </c>
      <c r="N81" s="1">
        <f t="shared" si="11"/>
        <v>2.4861969752355599E-2</v>
      </c>
    </row>
    <row r="82" spans="7:14">
      <c r="G82" s="13">
        <f t="shared" si="8"/>
        <v>17.25</v>
      </c>
      <c r="J82" s="27">
        <f>Interpolate_Interval(G81,G85,J81,J85,G82)</f>
        <v>0.65061499350311214</v>
      </c>
      <c r="L82" s="1">
        <f>(J80/J82-1)/0.5</f>
        <v>2.8961986545686269E-2</v>
      </c>
      <c r="M82" s="1">
        <f t="shared" si="9"/>
        <v>2.8838394709135073E-2</v>
      </c>
      <c r="N82" s="1">
        <f t="shared" si="11"/>
        <v>2.4918099684259735E-2</v>
      </c>
    </row>
    <row r="83" spans="7:14">
      <c r="G83" s="13">
        <f t="shared" ref="G83:G114" si="12">G82+0.25</f>
        <v>17.5</v>
      </c>
      <c r="I83" s="1"/>
      <c r="J83" s="27">
        <f>Interpolate_Interval(G81,G85,J81,J85,G83)</f>
        <v>0.64592432050653115</v>
      </c>
      <c r="K83" s="2"/>
      <c r="L83" s="1">
        <f>Interpolate_Interval(G82,G84,L82,L84,G83)</f>
        <v>2.9111145682330308E-2</v>
      </c>
      <c r="M83" s="1">
        <f t="shared" ref="M83:M133" si="13">(J82/J83-1)/0.25</f>
        <v>2.9047817818053545E-2</v>
      </c>
      <c r="N83" s="1">
        <f t="shared" si="11"/>
        <v>2.4975596170338427E-2</v>
      </c>
    </row>
    <row r="84" spans="7:14">
      <c r="G84" s="13">
        <f t="shared" si="12"/>
        <v>17.75</v>
      </c>
      <c r="J84" s="27">
        <f>Interpolate_Interval(G81,G85,J81,J85,G84)</f>
        <v>0.64123364750995016</v>
      </c>
      <c r="L84" s="1">
        <f>(J82/J84-1)/0.5</f>
        <v>2.9260304818974348E-2</v>
      </c>
      <c r="M84" s="1">
        <f t="shared" si="13"/>
        <v>2.9260304818974348E-2</v>
      </c>
      <c r="N84" s="1">
        <f t="shared" si="11"/>
        <v>2.5034444156701679E-2</v>
      </c>
    </row>
    <row r="85" spans="7:14">
      <c r="G85" s="13">
        <f t="shared" si="12"/>
        <v>18</v>
      </c>
      <c r="I85" s="1">
        <f>Interpolate_Range($D$17:$D$31,$E$17:$E$31,G85)</f>
        <v>2.4399799999999999E-2</v>
      </c>
      <c r="J85" s="15">
        <f>(1-I85*K81)/(1+I85)</f>
        <v>0.63654297451336916</v>
      </c>
      <c r="K85" s="2">
        <f>K81+J85</f>
        <v>14.895901830614626</v>
      </c>
      <c r="L85" s="1">
        <f>Interpolate_Interval(G84,G86,L84,L86,G85)</f>
        <v>2.9409506593437662E-2</v>
      </c>
      <c r="M85" s="1">
        <f t="shared" si="13"/>
        <v>2.9475923445181351E-2</v>
      </c>
      <c r="N85" s="1">
        <f t="shared" si="11"/>
        <v>2.5094630352977647E-2</v>
      </c>
    </row>
    <row r="86" spans="7:14">
      <c r="G86" s="13">
        <f t="shared" si="12"/>
        <v>18.25</v>
      </c>
      <c r="J86" s="27">
        <f>Interpolate_Interval(G85,G89,J85,J89,G86)</f>
        <v>0.63189465263176103</v>
      </c>
      <c r="L86" s="1">
        <f>(J84/J86-1)/0.5</f>
        <v>2.9558708367900977E-2</v>
      </c>
      <c r="M86" s="1">
        <f t="shared" si="13"/>
        <v>2.9424663508377691E-2</v>
      </c>
      <c r="N86" s="1">
        <f t="shared" si="11"/>
        <v>2.5152470553600537E-2</v>
      </c>
    </row>
    <row r="87" spans="7:14">
      <c r="G87" s="13">
        <f t="shared" si="12"/>
        <v>18.5</v>
      </c>
      <c r="I87" s="1"/>
      <c r="J87" s="27">
        <f>Interpolate_Interval(G85,G89,J85,J89,G87)</f>
        <v>0.62724633075015301</v>
      </c>
      <c r="K87" s="2"/>
      <c r="L87" s="1">
        <f>Interpolate_Interval(G86,G88,L86,L88,G87)</f>
        <v>2.9711370719163854E-2</v>
      </c>
      <c r="M87" s="1">
        <f t="shared" si="13"/>
        <v>2.9642720275773193E-2</v>
      </c>
      <c r="N87" s="1">
        <f t="shared" si="11"/>
        <v>2.5211672621265075E-2</v>
      </c>
    </row>
    <row r="88" spans="7:14">
      <c r="G88" s="13">
        <f t="shared" si="12"/>
        <v>18.75</v>
      </c>
      <c r="J88" s="27">
        <f>Interpolate_Interval(G85,G89,J85,J89,G88)</f>
        <v>0.62259800886854499</v>
      </c>
      <c r="L88" s="1">
        <f>(J86/J88-1)/0.5</f>
        <v>2.9864033070426732E-2</v>
      </c>
      <c r="M88" s="1">
        <f t="shared" si="13"/>
        <v>2.9864033070427176E-2</v>
      </c>
      <c r="N88" s="1">
        <f t="shared" si="11"/>
        <v>2.5272225017106166E-2</v>
      </c>
    </row>
    <row r="89" spans="7:14">
      <c r="G89" s="13">
        <f t="shared" si="12"/>
        <v>19</v>
      </c>
      <c r="I89" s="1">
        <f>Interpolate_Range($D$17:$D$31,$E$17:$E$31,G89)</f>
        <v>2.46264E-2</v>
      </c>
      <c r="J89" s="15">
        <f>(1-I89*K85)/(1+I89)</f>
        <v>0.61794968698693686</v>
      </c>
      <c r="K89" s="2">
        <f>K85+J89</f>
        <v>15.513851517601562</v>
      </c>
      <c r="L89" s="1">
        <f>Interpolate_Interval(G88,G90,L88,L90,G89)</f>
        <v>3.0016878599599339E-2</v>
      </c>
      <c r="M89" s="1">
        <f t="shared" si="13"/>
        <v>3.0088675369497331E-2</v>
      </c>
      <c r="N89" s="1">
        <f t="shared" si="11"/>
        <v>2.5334117762164859E-2</v>
      </c>
    </row>
    <row r="90" spans="7:14">
      <c r="G90" s="13">
        <f t="shared" si="12"/>
        <v>19.25</v>
      </c>
      <c r="J90" s="27">
        <f>Interpolate_Interval(G89,G93,J89,J93,G90)</f>
        <v>0.61334577249271804</v>
      </c>
      <c r="L90" s="1">
        <f>(J88/J90-1)/0.5</f>
        <v>3.0169724128771946E-2</v>
      </c>
      <c r="M90" s="1">
        <f t="shared" si="13"/>
        <v>3.0024920367562657E-2</v>
      </c>
      <c r="N90" s="1">
        <f t="shared" si="11"/>
        <v>2.5393581091675312E-2</v>
      </c>
    </row>
    <row r="91" spans="7:14">
      <c r="G91" s="13">
        <f t="shared" si="12"/>
        <v>19.5</v>
      </c>
      <c r="I91" s="1"/>
      <c r="J91" s="27">
        <f>Interpolate_Interval(G89,G93,J89,J93,G91)</f>
        <v>0.60874185799849911</v>
      </c>
      <c r="K91" s="2"/>
      <c r="L91" s="1">
        <f>(J89/J91-1)/0.5</f>
        <v>3.0251998831532401E-2</v>
      </c>
      <c r="M91" s="1">
        <f t="shared" si="13"/>
        <v>3.0251998831532845E-2</v>
      </c>
      <c r="N91" s="1">
        <f t="shared" si="11"/>
        <v>2.5454409211585323E-2</v>
      </c>
    </row>
    <row r="92" spans="7:14">
      <c r="G92" s="13">
        <f t="shared" si="12"/>
        <v>19.75</v>
      </c>
      <c r="J92" s="27">
        <f>Interpolate_Interval(G89,G93,J89,J93,G92)</f>
        <v>0.60413794350428018</v>
      </c>
      <c r="L92" s="1">
        <f>Interpolate_Interval(G91,G93,L91,L93,G92)</f>
        <v>3.0484308607392041E-2</v>
      </c>
      <c r="M92" s="1">
        <f t="shared" si="13"/>
        <v>3.0482538259485104E-2</v>
      </c>
      <c r="N92" s="1">
        <f t="shared" si="11"/>
        <v>2.5516593612029487E-2</v>
      </c>
    </row>
    <row r="93" spans="7:14">
      <c r="G93" s="13">
        <f t="shared" si="12"/>
        <v>20</v>
      </c>
      <c r="I93" s="1">
        <f>Interpolate_Range($D$17:$D$31,$E$17:$E$31,G93)</f>
        <v>2.4853E-2</v>
      </c>
      <c r="J93" s="15">
        <f>(1-I93*K89)/(1+I93)</f>
        <v>0.59953402901006136</v>
      </c>
      <c r="K93" s="2">
        <f>K89+J93</f>
        <v>16.113385546611624</v>
      </c>
      <c r="L93" s="1">
        <f>(J91/J93-1)/0.5</f>
        <v>3.0716618383251681E-2</v>
      </c>
      <c r="M93" s="1">
        <f t="shared" si="13"/>
        <v>3.0716618383251237E-2</v>
      </c>
      <c r="N93" s="1">
        <f t="shared" si="11"/>
        <v>2.5580127190339318E-2</v>
      </c>
    </row>
    <row r="94" spans="7:14">
      <c r="G94" s="13">
        <f t="shared" si="12"/>
        <v>20.25</v>
      </c>
      <c r="J94" s="27">
        <f>Interpolate_Interval(G93,G97,J93,J97,G94)</f>
        <v>0.59576326213852981</v>
      </c>
      <c r="L94" s="1">
        <f>Interpolate_Interval(G93,G95,L93,L95,G94)</f>
        <v>2.8097547954545776E-2</v>
      </c>
      <c r="M94" s="1">
        <f t="shared" si="13"/>
        <v>2.531721649298202E-2</v>
      </c>
      <c r="N94" s="1">
        <f t="shared" si="11"/>
        <v>2.5575896395210209E-2</v>
      </c>
    </row>
    <row r="95" spans="7:14">
      <c r="G95" s="13">
        <f t="shared" si="12"/>
        <v>20.5</v>
      </c>
      <c r="I95" s="1"/>
      <c r="J95" s="27">
        <f>Interpolate_Interval(G93,G97,J93,J97,G95)</f>
        <v>0.59199249526699838</v>
      </c>
      <c r="K95" s="2"/>
      <c r="L95" s="1">
        <f>(J93/J95-1)/0.5</f>
        <v>2.5478477525839871E-2</v>
      </c>
      <c r="M95" s="1">
        <f t="shared" si="13"/>
        <v>2.5478477525838983E-2</v>
      </c>
      <c r="N95" s="1">
        <f t="shared" si="11"/>
        <v>2.5573722980114059E-2</v>
      </c>
    </row>
    <row r="96" spans="7:14">
      <c r="G96" s="13">
        <f t="shared" si="12"/>
        <v>20.75</v>
      </c>
      <c r="J96" s="27">
        <f>Interpolate_Interval(G93,G97,J93,J97,G96)</f>
        <v>0.58822172839546683</v>
      </c>
      <c r="L96" s="1">
        <f>Interpolate_Interval(G95,G97,L95,L97,G96)</f>
        <v>2.5642859835590892E-2</v>
      </c>
      <c r="M96" s="1">
        <f t="shared" si="13"/>
        <v>2.5641806070764162E-2</v>
      </c>
      <c r="N96" s="1">
        <f t="shared" si="11"/>
        <v>2.5573557255701325E-2</v>
      </c>
    </row>
    <row r="97" spans="7:14">
      <c r="G97" s="13">
        <f t="shared" si="12"/>
        <v>21</v>
      </c>
      <c r="I97" s="1">
        <f>Interpolate_Range($D$17:$D$31,$E$17:$E$31,G97)</f>
        <v>2.4886399999999999E-2</v>
      </c>
      <c r="J97" s="15">
        <f>(1-I97*K93)/(1+I97)</f>
        <v>0.58445096152393528</v>
      </c>
      <c r="K97" s="2">
        <f>K93+J97</f>
        <v>16.697836508135559</v>
      </c>
      <c r="L97" s="1">
        <f>(J95/J97-1)/0.5</f>
        <v>2.5807242145341913E-2</v>
      </c>
      <c r="M97" s="1">
        <f t="shared" si="13"/>
        <v>2.5807242145342357E-2</v>
      </c>
      <c r="N97" s="1">
        <f t="shared" si="11"/>
        <v>2.5575352369157353E-2</v>
      </c>
    </row>
    <row r="98" spans="7:14">
      <c r="G98" s="13">
        <f t="shared" si="12"/>
        <v>21.25</v>
      </c>
      <c r="J98" s="27">
        <f>Interpolate_Interval(G97,G101,J97,J101,G98)</f>
        <v>0.58076235369082585</v>
      </c>
      <c r="L98" s="1">
        <f>Interpolate_Interval(G97,G99,L97,L99,G98)</f>
        <v>2.5687456274277487E-2</v>
      </c>
      <c r="M98" s="1">
        <f t="shared" si="13"/>
        <v>2.5405281934462565E-2</v>
      </c>
      <c r="N98" s="1">
        <f t="shared" si="11"/>
        <v>2.5572406381071406E-2</v>
      </c>
    </row>
    <row r="99" spans="7:14">
      <c r="G99" s="13">
        <f t="shared" si="12"/>
        <v>21.5</v>
      </c>
      <c r="I99" s="1"/>
      <c r="J99" s="27">
        <f>Interpolate_Interval(G97,G101,J97,J101,G99)</f>
        <v>0.57707374585771642</v>
      </c>
      <c r="K99" s="2"/>
      <c r="L99" s="1">
        <f>(J97/J99-1)/0.5</f>
        <v>2.5567670403213061E-2</v>
      </c>
      <c r="M99" s="1">
        <f t="shared" si="13"/>
        <v>2.5567670403213505E-2</v>
      </c>
      <c r="N99" s="1">
        <f t="shared" si="11"/>
        <v>2.5571405187384467E-2</v>
      </c>
    </row>
    <row r="100" spans="7:14">
      <c r="G100" s="13">
        <f t="shared" si="12"/>
        <v>21.75</v>
      </c>
      <c r="J100" s="27">
        <f>Interpolate_Interval(G97,G101,J97,J101,G100)</f>
        <v>0.573385138024607</v>
      </c>
      <c r="L100" s="1">
        <f>(J98/J100-1)/0.5</f>
        <v>2.5732148174033131E-2</v>
      </c>
      <c r="M100" s="1">
        <f t="shared" si="13"/>
        <v>2.5732148174033576E-2</v>
      </c>
      <c r="N100" s="1">
        <f t="shared" ref="N100:N133" si="14">-LN(J100)/G100</f>
        <v>2.5572305512875135E-2</v>
      </c>
    </row>
    <row r="101" spans="7:14">
      <c r="G101" s="13">
        <f t="shared" si="12"/>
        <v>22</v>
      </c>
      <c r="I101" s="1">
        <f>Interpolate_Range($D$17:$D$31,$E$17:$E$31,G101)</f>
        <v>2.4919799999999999E-2</v>
      </c>
      <c r="J101" s="15">
        <f>(1-I101*K97)/(1+I101)</f>
        <v>0.56969653019149757</v>
      </c>
      <c r="K101" s="2">
        <f>K97+J101</f>
        <v>17.267533038327056</v>
      </c>
      <c r="L101" s="1">
        <f>Interpolate_Interval(G100,G102,L100,L102,G101)</f>
        <v>2.5755749459220212E-2</v>
      </c>
      <c r="M101" s="1">
        <f t="shared" si="13"/>
        <v>2.5898755829666165E-2</v>
      </c>
      <c r="N101" s="1">
        <f t="shared" si="14"/>
        <v>2.5575066504692979E-2</v>
      </c>
    </row>
    <row r="102" spans="7:14">
      <c r="G102" s="13">
        <f t="shared" si="12"/>
        <v>22.25</v>
      </c>
      <c r="J102" s="27">
        <f>Interpolate_Interval(G101,G105,J101,J105,G102)</f>
        <v>0.56608844177813034</v>
      </c>
      <c r="L102" s="1">
        <f>(J100/J102-1)/0.5</f>
        <v>2.5779350744407292E-2</v>
      </c>
      <c r="M102" s="1">
        <f t="shared" si="13"/>
        <v>2.5494874278188639E-2</v>
      </c>
      <c r="N102" s="1">
        <f t="shared" si="14"/>
        <v>2.5573256423701601E-2</v>
      </c>
    </row>
    <row r="103" spans="7:14">
      <c r="G103" s="13">
        <f t="shared" si="12"/>
        <v>22.5</v>
      </c>
      <c r="I103" s="1"/>
      <c r="J103" s="27">
        <f>Interpolate_Interval(G101,G105,J101,J105,G103)</f>
        <v>0.5624803533647631</v>
      </c>
      <c r="K103" s="2"/>
      <c r="L103" s="1">
        <f>Interpolate_Interval(G102,G104,L102,L104,G103)</f>
        <v>2.5801707833435383E-2</v>
      </c>
      <c r="M103" s="1">
        <f t="shared" si="13"/>
        <v>2.5658413786604939E-2</v>
      </c>
      <c r="N103" s="1">
        <f t="shared" si="14"/>
        <v>2.5573292127336368E-2</v>
      </c>
    </row>
    <row r="104" spans="7:14">
      <c r="G104" s="13">
        <f t="shared" si="12"/>
        <v>22.75</v>
      </c>
      <c r="J104" s="27">
        <f>Interpolate_Interval(G101,G105,J101,J105,G104)</f>
        <v>0.55887226495139586</v>
      </c>
      <c r="L104" s="1">
        <f>(J102/J104-1)/0.5</f>
        <v>2.5824064922463474E-2</v>
      </c>
      <c r="M104" s="1">
        <f t="shared" si="13"/>
        <v>2.582406492246303E-2</v>
      </c>
      <c r="N104" s="1">
        <f t="shared" si="14"/>
        <v>2.5575135748866829E-2</v>
      </c>
    </row>
    <row r="105" spans="7:14">
      <c r="G105" s="13">
        <f t="shared" si="12"/>
        <v>23</v>
      </c>
      <c r="I105" s="1">
        <f>Interpolate_Range($D$17:$D$31,$E$17:$E$31,G105)</f>
        <v>2.4953200000000002E-2</v>
      </c>
      <c r="J105" s="15">
        <f>(1-I105*K101)/(1+I105)</f>
        <v>0.55526417653802862</v>
      </c>
      <c r="K105" s="2">
        <f>K101+J105</f>
        <v>17.822797214865084</v>
      </c>
      <c r="L105" s="1">
        <f>Interpolate_Interval(G104,G106,L104,L106,G105)</f>
        <v>2.5848075280103799E-2</v>
      </c>
      <c r="M105" s="1">
        <f t="shared" si="13"/>
        <v>2.5991868849620126E-2</v>
      </c>
      <c r="N105" s="1">
        <f t="shared" si="14"/>
        <v>2.5578751509677561E-2</v>
      </c>
    </row>
    <row r="106" spans="7:14">
      <c r="G106" s="13">
        <f t="shared" si="12"/>
        <v>23.25</v>
      </c>
      <c r="J106" s="27">
        <f>Interpolate_Interval(G105,G109,J105,J109,G106)</f>
        <v>0.55173499740035459</v>
      </c>
      <c r="L106" s="1">
        <f>(J104/J106-1)/0.5</f>
        <v>2.5872085637744124E-2</v>
      </c>
      <c r="M106" s="1">
        <f t="shared" si="13"/>
        <v>2.558604514343088E-2</v>
      </c>
      <c r="N106" s="1">
        <f t="shared" si="14"/>
        <v>2.5577953769989403E-2</v>
      </c>
    </row>
    <row r="107" spans="7:14">
      <c r="G107" s="13">
        <f t="shared" si="12"/>
        <v>23.5</v>
      </c>
      <c r="I107" s="1"/>
      <c r="J107" s="27">
        <f>Interpolate_Interval(G105,G109,J105,J109,G107)</f>
        <v>0.54820581826268056</v>
      </c>
      <c r="K107" s="2"/>
      <c r="L107" s="1">
        <f>Interpolate_Interval(G106,G108,L106,L108,G107)</f>
        <v>2.5894847673596288E-2</v>
      </c>
      <c r="M107" s="1">
        <f t="shared" si="13"/>
        <v>2.575076017148703E-2</v>
      </c>
      <c r="N107" s="1">
        <f t="shared" si="14"/>
        <v>2.5578914118111046E-2</v>
      </c>
    </row>
    <row r="108" spans="7:14">
      <c r="G108" s="13">
        <f t="shared" si="12"/>
        <v>23.75</v>
      </c>
      <c r="J108" s="27">
        <f>Interpolate_Interval(G105,G109,J105,J109,G108)</f>
        <v>0.54467663912500663</v>
      </c>
      <c r="L108" s="1">
        <f>(J106/J108-1)/0.5</f>
        <v>2.5917609709448453E-2</v>
      </c>
      <c r="M108" s="1">
        <f t="shared" si="13"/>
        <v>2.5917609709448008E-2</v>
      </c>
      <c r="N108" s="1">
        <f t="shared" si="14"/>
        <v>2.558159928887889E-2</v>
      </c>
    </row>
    <row r="109" spans="7:14">
      <c r="G109" s="13">
        <f t="shared" si="12"/>
        <v>24</v>
      </c>
      <c r="I109" s="1">
        <f>Interpolate_Range($D$17:$D$31,$E$17:$E$31,G109)</f>
        <v>2.4986600000000001E-2</v>
      </c>
      <c r="J109" s="15">
        <f>(1-I109*K105)/(1+I109)</f>
        <v>0.5411474599873326</v>
      </c>
      <c r="K109" s="2">
        <f>K105+J109</f>
        <v>18.363944674852416</v>
      </c>
      <c r="L109" s="1">
        <f>(J107/J109-1)/0.5</f>
        <v>2.6086635518951518E-2</v>
      </c>
      <c r="M109" s="1">
        <f t="shared" si="13"/>
        <v>2.6086635518951518E-2</v>
      </c>
      <c r="N109" s="1">
        <f t="shared" si="14"/>
        <v>2.5585977832635415E-2</v>
      </c>
    </row>
    <row r="110" spans="7:14">
      <c r="G110" s="13">
        <f t="shared" si="12"/>
        <v>24.25</v>
      </c>
      <c r="J110" s="27">
        <f>Interpolate_Interval(G109,G113,J109,J113,G110)</f>
        <v>0.53769560899880964</v>
      </c>
      <c r="L110" s="1">
        <f>Interpolate_Interval(G109,G111,L109,L111,G110)</f>
        <v>2.5965699862277702E-2</v>
      </c>
      <c r="M110" s="1">
        <f t="shared" si="13"/>
        <v>2.5678848261009968E-2</v>
      </c>
      <c r="N110" s="1">
        <f t="shared" si="14"/>
        <v>2.5586089132609419E-2</v>
      </c>
    </row>
    <row r="111" spans="7:14">
      <c r="G111" s="13">
        <f t="shared" si="12"/>
        <v>24.5</v>
      </c>
      <c r="I111" s="1"/>
      <c r="J111" s="27">
        <f>Interpolate_Interval(G109,G113,J109,J113,G111)</f>
        <v>0.53424375801028678</v>
      </c>
      <c r="K111" s="2"/>
      <c r="L111" s="1">
        <f>(J109/J111-1)/0.5</f>
        <v>2.5844764205603887E-2</v>
      </c>
      <c r="M111" s="1">
        <f t="shared" si="13"/>
        <v>2.5844764205603887E-2</v>
      </c>
      <c r="N111" s="1">
        <f t="shared" si="14"/>
        <v>2.5587880346962213E-2</v>
      </c>
    </row>
    <row r="112" spans="7:14">
      <c r="G112" s="13">
        <f t="shared" si="12"/>
        <v>24.75</v>
      </c>
      <c r="J112" s="27">
        <f>Interpolate_Interval(G109,G113,J109,J113,G112)</f>
        <v>0.53079190702176382</v>
      </c>
      <c r="L112" s="1">
        <f>Interpolate_Interval(G111,G113,L111,L113,G112)</f>
        <v>2.6013938297066774E-2</v>
      </c>
      <c r="M112" s="1">
        <f t="shared" si="13"/>
        <v>2.6012838122502657E-2</v>
      </c>
      <c r="N112" s="1">
        <f t="shared" si="14"/>
        <v>2.5591322157438496E-2</v>
      </c>
    </row>
    <row r="113" spans="7:14">
      <c r="G113" s="13">
        <f t="shared" si="12"/>
        <v>25</v>
      </c>
      <c r="I113" s="1">
        <f>Interpolate_Range($D$17:$D$31,$E$17:$E$31,G113)</f>
        <v>2.5020000000000001E-2</v>
      </c>
      <c r="J113" s="15">
        <f>(1-I113*K109)/(1+I113)</f>
        <v>0.52734005603324086</v>
      </c>
      <c r="K113" s="2">
        <f>K109+J113</f>
        <v>18.891284730885658</v>
      </c>
      <c r="L113" s="1">
        <f>(J111/J113-1)/0.5</f>
        <v>2.6183112388529661E-2</v>
      </c>
      <c r="M113" s="1">
        <f t="shared" si="13"/>
        <v>2.6183112388529217E-2</v>
      </c>
      <c r="N113" s="1">
        <f t="shared" si="14"/>
        <v>2.5596386836846046E-2</v>
      </c>
    </row>
    <row r="114" spans="7:14">
      <c r="G114" s="13">
        <f t="shared" si="12"/>
        <v>25.25</v>
      </c>
      <c r="J114" s="27">
        <f>Interpolate_Interval(G113,G117,J113,J117,G114)</f>
        <v>0.52419494786001097</v>
      </c>
      <c r="L114" s="1">
        <f>Interpolate_Interval(G113,G115,L113,L115,G114)</f>
        <v>2.5163753261326915E-2</v>
      </c>
      <c r="M114" s="1">
        <f t="shared" si="13"/>
        <v>2.3999530602647035E-2</v>
      </c>
      <c r="N114" s="1">
        <f t="shared" si="14"/>
        <v>2.5579866374227735E-2</v>
      </c>
    </row>
    <row r="115" spans="7:14">
      <c r="G115" s="13">
        <f>G114+0.25</f>
        <v>25.5</v>
      </c>
      <c r="I115" s="1"/>
      <c r="J115" s="27">
        <f>Interpolate_Interval(G113,G117,J113,J117,G115)</f>
        <v>0.52104983968678098</v>
      </c>
      <c r="K115" s="2"/>
      <c r="L115" s="1">
        <f>(J113/J115-1)/0.5</f>
        <v>2.414439413412417E-2</v>
      </c>
      <c r="M115" s="1">
        <f t="shared" si="13"/>
        <v>2.414439413412417E-2</v>
      </c>
      <c r="N115" s="1">
        <f t="shared" si="14"/>
        <v>2.5565081577142601E-2</v>
      </c>
    </row>
    <row r="116" spans="7:14">
      <c r="G116" s="13">
        <f t="shared" ref="G116:G123" si="15">G115+0.25</f>
        <v>25.75</v>
      </c>
      <c r="J116" s="27">
        <f>Interpolate_Interval(G113,G117,J113,J117,G116)</f>
        <v>0.51790473151355099</v>
      </c>
      <c r="L116" s="1">
        <f>Interpolate_Interval(G115,G117,L115,L117,G116)</f>
        <v>2.42919129523953E-2</v>
      </c>
      <c r="M116" s="1">
        <f t="shared" si="13"/>
        <v>2.4291017106861545E-2</v>
      </c>
      <c r="N116" s="1">
        <f t="shared" si="14"/>
        <v>2.5551998820748767E-2</v>
      </c>
    </row>
    <row r="117" spans="7:14">
      <c r="G117" s="13">
        <f t="shared" si="15"/>
        <v>26</v>
      </c>
      <c r="I117" s="1">
        <f>Interpolate_Range($D$17:$D$31,$E$17:$E$31,G117)</f>
        <v>2.5004600000000002E-2</v>
      </c>
      <c r="J117" s="15">
        <f>(1-I117*K113)/(1+I117)</f>
        <v>0.5147596233403211</v>
      </c>
      <c r="K117" s="2">
        <f>K113+J117</f>
        <v>19.40604435422598</v>
      </c>
      <c r="L117" s="1">
        <f>(J115/J117-1)/0.5</f>
        <v>2.4439431770666431E-2</v>
      </c>
      <c r="M117" s="1">
        <f t="shared" si="13"/>
        <v>2.4439431770666431E-2</v>
      </c>
      <c r="N117" s="1">
        <f t="shared" si="14"/>
        <v>2.5540586079844354E-2</v>
      </c>
    </row>
    <row r="118" spans="7:14">
      <c r="G118" s="13">
        <f t="shared" si="15"/>
        <v>26.25</v>
      </c>
      <c r="J118" s="27">
        <f>Interpolate_Interval(G117,G121,J117,J121,G118)</f>
        <v>0.51169505980723196</v>
      </c>
      <c r="L118" s="1">
        <f>(J116/J118-1)/0.5</f>
        <v>2.4270985569641468E-2</v>
      </c>
      <c r="M118" s="1">
        <f t="shared" si="13"/>
        <v>2.3956170569586099E-2</v>
      </c>
      <c r="N118" s="1">
        <f t="shared" si="14"/>
        <v>2.5524815911947135E-2</v>
      </c>
    </row>
    <row r="119" spans="7:14">
      <c r="G119" s="13">
        <f t="shared" si="15"/>
        <v>26.5</v>
      </c>
      <c r="I119" s="1"/>
      <c r="J119" s="27">
        <f>Interpolate_Interval(G117,G121,J117,J121,G119)</f>
        <v>0.50863049627414281</v>
      </c>
      <c r="K119" s="2"/>
      <c r="L119" s="1">
        <f>Interpolate_Interval(G118,G120,L118,L120,G119)</f>
        <v>2.4258791981322858E-2</v>
      </c>
      <c r="M119" s="1">
        <f t="shared" si="13"/>
        <v>2.4100509548978799E-2</v>
      </c>
      <c r="N119" s="1">
        <f t="shared" si="14"/>
        <v>2.5510696851937305E-2</v>
      </c>
    </row>
    <row r="120" spans="7:14">
      <c r="G120" s="13">
        <f t="shared" si="15"/>
        <v>26.75</v>
      </c>
      <c r="J120" s="27">
        <f>Interpolate_Interval(G117,G121,J117,J121,G120)</f>
        <v>0.50556593274105355</v>
      </c>
      <c r="L120" s="1">
        <f>(J118/J120-1)/0.5</f>
        <v>2.4246598393004248E-2</v>
      </c>
      <c r="M120" s="1">
        <f t="shared" si="13"/>
        <v>2.4246598393004248E-2</v>
      </c>
      <c r="N120" s="1">
        <f t="shared" si="14"/>
        <v>2.5498198814319136E-2</v>
      </c>
    </row>
    <row r="121" spans="7:14">
      <c r="G121" s="13">
        <f t="shared" si="15"/>
        <v>27</v>
      </c>
      <c r="I121" s="1">
        <f>Interpolate_Range($D$17:$D$31,$E$17:$E$31,G121)</f>
        <v>2.49892E-2</v>
      </c>
      <c r="J121" s="15">
        <f>(1-I121*K117)/(1+I121)</f>
        <v>0.5025013692079644</v>
      </c>
      <c r="K121" s="2">
        <f>K117+J121</f>
        <v>19.908545723433946</v>
      </c>
      <c r="L121" s="1">
        <f>Interpolate_Interval(G120,G122,L120,L122,G121)</f>
        <v>2.423640897190027E-2</v>
      </c>
      <c r="M121" s="1">
        <f t="shared" si="13"/>
        <v>2.4394469116925777E-2</v>
      </c>
      <c r="N121" s="1">
        <f t="shared" si="14"/>
        <v>2.5487293120764795E-2</v>
      </c>
    </row>
    <row r="122" spans="7:14">
      <c r="G122" s="13">
        <f t="shared" si="15"/>
        <v>27.25</v>
      </c>
      <c r="J122" s="27">
        <f>Interpolate_Interval(G121,G125,J121,J125,G122)</f>
        <v>0.49951524968710814</v>
      </c>
      <c r="L122" s="1">
        <f>(J120/J122-1)/0.5</f>
        <v>2.4226219550796291E-2</v>
      </c>
      <c r="M122" s="1">
        <f t="shared" si="13"/>
        <v>2.3912139000574761E-2</v>
      </c>
      <c r="N122" s="1">
        <f t="shared" si="14"/>
        <v>2.5472189044236201E-2</v>
      </c>
    </row>
    <row r="123" spans="7:14">
      <c r="G123" s="13">
        <f t="shared" si="15"/>
        <v>27.5</v>
      </c>
      <c r="I123" s="1"/>
      <c r="J123" s="27">
        <f>Interpolate_Interval(G121,G125,J121,J125,G123)</f>
        <v>0.49652913016625189</v>
      </c>
      <c r="K123" s="2"/>
      <c r="L123" s="1">
        <f>Interpolate_Interval(G122,G124,L122,L124,G123)</f>
        <v>2.4213856646279286E-2</v>
      </c>
      <c r="M123" s="1">
        <f t="shared" si="13"/>
        <v>2.4055946283405127E-2</v>
      </c>
      <c r="N123" s="1">
        <f t="shared" si="14"/>
        <v>2.5458659134119113E-2</v>
      </c>
    </row>
    <row r="124" spans="7:14">
      <c r="G124" s="13">
        <f>G123+0.25</f>
        <v>27.75</v>
      </c>
      <c r="J124" s="27">
        <f>Interpolate_Interval(G121,G125,J121,J125,G124)</f>
        <v>0.49354301064539557</v>
      </c>
      <c r="L124" s="1">
        <f>(J122/J124-1)/0.5</f>
        <v>2.4201493741762281E-2</v>
      </c>
      <c r="M124" s="1">
        <f t="shared" si="13"/>
        <v>2.4201493741762725E-2</v>
      </c>
      <c r="N124" s="1">
        <f t="shared" si="14"/>
        <v>2.5446676382330388E-2</v>
      </c>
    </row>
    <row r="125" spans="7:14">
      <c r="G125" s="13">
        <f t="shared" ref="G125:G126" si="16">G124+0.25</f>
        <v>28</v>
      </c>
      <c r="I125" s="1">
        <f>Interpolate_Range($D$17:$D$31,$E$17:$E$31,G125)</f>
        <v>2.4973800000000001E-2</v>
      </c>
      <c r="J125" s="15">
        <f>(1-I125*K121)/(1+I125)</f>
        <v>0.49055689112453932</v>
      </c>
      <c r="K125" s="2">
        <f>K121+J125</f>
        <v>20.399102614558487</v>
      </c>
      <c r="L125" s="1">
        <f>Interpolate_Interval(G124,G126,L124,L126,G125)</f>
        <v>2.419112725989736E-2</v>
      </c>
      <c r="M125" s="1">
        <f t="shared" si="13"/>
        <v>2.4348813154054127E-2</v>
      </c>
      <c r="N125" s="1">
        <f t="shared" si="14"/>
        <v>2.5436215025707944E-2</v>
      </c>
    </row>
    <row r="126" spans="7:14">
      <c r="G126" s="13">
        <f t="shared" si="16"/>
        <v>28.25</v>
      </c>
      <c r="J126" s="27">
        <f>Interpolate_Interval(G125,G129,J125,J129,G126)</f>
        <v>0.48764717085414139</v>
      </c>
      <c r="L126" s="1">
        <f>(J124/J126-1)/0.5</f>
        <v>2.418076077803244E-2</v>
      </c>
      <c r="M126" s="1">
        <f t="shared" si="13"/>
        <v>2.3867422548982553E-2</v>
      </c>
      <c r="N126" s="1">
        <f t="shared" si="14"/>
        <v>2.5421704253874605E-2</v>
      </c>
    </row>
    <row r="127" spans="7:14">
      <c r="G127" s="13">
        <f>G126+0.25</f>
        <v>28.5</v>
      </c>
      <c r="I127" s="1"/>
      <c r="J127" s="27">
        <f>Interpolate_Interval(G125,G129,J125,J129,G127)</f>
        <v>0.48473745058374346</v>
      </c>
      <c r="K127" s="2"/>
      <c r="L127" s="1">
        <f>(J125/J127-1)/0.5</f>
        <v>2.4010690875185592E-2</v>
      </c>
      <c r="M127" s="1">
        <f t="shared" si="13"/>
        <v>2.4010690875185148E-2</v>
      </c>
      <c r="N127" s="1">
        <f t="shared" si="14"/>
        <v>2.5408697320143978E-2</v>
      </c>
    </row>
    <row r="128" spans="7:14">
      <c r="G128" s="13">
        <f t="shared" ref="G128" si="17">G127+0.25</f>
        <v>28.75</v>
      </c>
      <c r="J128" s="27">
        <f>Interpolate_Interval(G125,G129,J125,J129,G128)</f>
        <v>0.48182773031334553</v>
      </c>
      <c r="L128" s="1">
        <f>Interpolate_Interval(G127,G129,L127,L129,G128)</f>
        <v>2.4156570529908716E-2</v>
      </c>
      <c r="M128" s="1">
        <f t="shared" si="13"/>
        <v>2.4155689573994721E-2</v>
      </c>
      <c r="N128" s="1">
        <f t="shared" si="14"/>
        <v>2.5397169906267451E-2</v>
      </c>
    </row>
    <row r="129" spans="7:14">
      <c r="G129" s="13">
        <f>G128+0.25</f>
        <v>29</v>
      </c>
      <c r="I129" s="1">
        <f>Interpolate_Range($D$17:$D$31,$E$17:$E$31,G129)</f>
        <v>2.4958399999999999E-2</v>
      </c>
      <c r="J129" s="15">
        <f>(1-I129*K125)/(1+I129)</f>
        <v>0.4789180100429476</v>
      </c>
      <c r="K129" s="2">
        <f>K125+J129</f>
        <v>20.878020624601433</v>
      </c>
      <c r="L129" s="1">
        <f>(J127/J129-1)/0.5</f>
        <v>2.4302450184631841E-2</v>
      </c>
      <c r="M129" s="1">
        <f t="shared" si="13"/>
        <v>2.4302450184631397E-2</v>
      </c>
      <c r="N129" s="1">
        <f t="shared" si="14"/>
        <v>2.5387098801204992E-2</v>
      </c>
    </row>
    <row r="130" spans="7:14">
      <c r="G130" s="13">
        <f t="shared" ref="G130" si="18">G129+0.25</f>
        <v>29.25</v>
      </c>
      <c r="J130" s="27">
        <f>Interpolate_Interval(G129,G133,J129,J133,G130)</f>
        <v>0.47608269861419439</v>
      </c>
      <c r="L130" s="1">
        <f>Interpolate_Interval(G129,G131,L129,L131,G130)</f>
        <v>2.4133589942191724E-2</v>
      </c>
      <c r="M130" s="1">
        <f t="shared" si="13"/>
        <v>2.3822007705857295E-2</v>
      </c>
      <c r="N130" s="1">
        <f t="shared" si="14"/>
        <v>2.5373118060059065E-2</v>
      </c>
    </row>
    <row r="131" spans="7:14">
      <c r="G131" s="13">
        <f>G130+0.25</f>
        <v>29.5</v>
      </c>
      <c r="I131" s="1"/>
      <c r="J131" s="27">
        <f>Interpolate_Interval(G129,G133,J129,J133,G131)</f>
        <v>0.47324738718544118</v>
      </c>
      <c r="K131" s="2"/>
      <c r="L131" s="1">
        <f>(J129/J131-1)/0.5</f>
        <v>2.3964729699751608E-2</v>
      </c>
      <c r="M131" s="1">
        <f t="shared" si="13"/>
        <v>2.3964729699751608E-2</v>
      </c>
      <c r="N131" s="1">
        <f t="shared" si="14"/>
        <v>2.5360576607142752E-2</v>
      </c>
    </row>
    <row r="132" spans="7:14">
      <c r="G132" s="13">
        <f t="shared" ref="G132" si="19">G131+0.25</f>
        <v>29.75</v>
      </c>
      <c r="J132" s="27">
        <f>Interpolate_Interval(G129,G133,J129,J133,G132)</f>
        <v>0.47041207575668798</v>
      </c>
      <c r="L132" s="1">
        <f>Interpolate_Interval(G131,G133,L131,L133,G132)</f>
        <v>2.4110048024331698E-2</v>
      </c>
      <c r="M132" s="1">
        <f t="shared" si="13"/>
        <v>2.4109172148206071E-2</v>
      </c>
      <c r="N132" s="1">
        <f t="shared" si="14"/>
        <v>2.5349452486580111E-2</v>
      </c>
    </row>
    <row r="133" spans="7:14">
      <c r="G133" s="13">
        <f>G132+0.25</f>
        <v>30</v>
      </c>
      <c r="I133" s="1">
        <f>Interpolate_Range($D$17:$D$31,$E$17:$E$31,G133)</f>
        <v>2.4943E-2</v>
      </c>
      <c r="J133" s="15">
        <f>(1-I133*K129)/(1+I133)</f>
        <v>0.46757676432793477</v>
      </c>
      <c r="K133" s="2">
        <f>K129+J133</f>
        <v>21.345597388929367</v>
      </c>
      <c r="L133" s="1">
        <f>(J131/J133-1)/0.5</f>
        <v>2.4255366348911789E-2</v>
      </c>
      <c r="M133" s="1">
        <f t="shared" si="13"/>
        <v>2.4255366348911345E-2</v>
      </c>
      <c r="N133" s="1">
        <f t="shared" si="14"/>
        <v>2.5339724732068237E-2</v>
      </c>
    </row>
    <row r="141" spans="7:14">
      <c r="J141" s="15"/>
      <c r="L141" s="1"/>
    </row>
    <row r="142" spans="7:14">
      <c r="J142" s="15"/>
      <c r="K142" s="2"/>
      <c r="L142" s="1"/>
    </row>
    <row r="143" spans="7:14">
      <c r="J143" s="15"/>
      <c r="K143"/>
      <c r="L143" s="1"/>
    </row>
    <row r="144" spans="7:14">
      <c r="J144" s="15"/>
      <c r="K144"/>
      <c r="L144" s="1"/>
    </row>
    <row r="145" spans="10:12">
      <c r="J145" s="15"/>
      <c r="K145"/>
      <c r="L145" s="1"/>
    </row>
    <row r="146" spans="10:12">
      <c r="J146" s="15"/>
      <c r="K146"/>
      <c r="L146" s="1"/>
    </row>
    <row r="147" spans="10:12">
      <c r="J147" s="15"/>
      <c r="K147"/>
      <c r="L147" s="1"/>
    </row>
    <row r="148" spans="10:12">
      <c r="J148" s="15"/>
      <c r="K148"/>
      <c r="L148" s="1"/>
    </row>
    <row r="149" spans="10:12">
      <c r="J149" s="15"/>
      <c r="L149" s="1"/>
    </row>
    <row r="150" spans="10:12">
      <c r="J150" s="15"/>
      <c r="L150" s="1"/>
    </row>
    <row r="151" spans="10:12">
      <c r="J151" s="15"/>
      <c r="L151" s="1"/>
    </row>
    <row r="152" spans="10:12">
      <c r="J152" s="15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35"/>
  <sheetViews>
    <sheetView zoomScale="85" zoomScaleNormal="85" workbookViewId="0"/>
  </sheetViews>
  <sheetFormatPr defaultRowHeight="13.5"/>
  <cols>
    <col min="10" max="10" width="13" customWidth="1"/>
    <col min="13" max="13" width="13" style="3" customWidth="1"/>
    <col min="15" max="15" width="16.125" bestFit="1" customWidth="1"/>
    <col min="18" max="18" width="21.875" bestFit="1" customWidth="1"/>
    <col min="19" max="19" width="8.875" customWidth="1"/>
    <col min="23" max="23" width="14.625" bestFit="1" customWidth="1"/>
    <col min="25" max="25" width="14.625" bestFit="1" customWidth="1"/>
  </cols>
  <sheetData>
    <row r="1" spans="1:25">
      <c r="A1" t="s">
        <v>48</v>
      </c>
    </row>
    <row r="2" spans="1:25">
      <c r="A2" s="22" t="s">
        <v>151</v>
      </c>
      <c r="B2" s="19"/>
      <c r="C2" s="19"/>
      <c r="D2" s="19"/>
      <c r="R2" s="22" t="s">
        <v>44</v>
      </c>
      <c r="S2" s="20"/>
    </row>
    <row r="3" spans="1:25" s="20" customFormat="1">
      <c r="A3" s="24"/>
      <c r="M3" s="25"/>
    </row>
    <row r="4" spans="1:25" s="20" customFormat="1">
      <c r="A4" s="24"/>
      <c r="M4" s="25"/>
    </row>
    <row r="5" spans="1:25" s="20" customFormat="1">
      <c r="A5" s="24"/>
      <c r="M5" s="25"/>
    </row>
    <row r="6" spans="1:25" s="20" customFormat="1">
      <c r="A6" s="24"/>
      <c r="M6" s="25"/>
    </row>
    <row r="7" spans="1:25" s="20" customFormat="1">
      <c r="A7" s="24"/>
      <c r="M7" s="25"/>
    </row>
    <row r="8" spans="1:25">
      <c r="G8" s="23" t="s">
        <v>49</v>
      </c>
      <c r="R8" s="23" t="s">
        <v>30</v>
      </c>
      <c r="U8" s="23" t="s">
        <v>50</v>
      </c>
    </row>
    <row r="9" spans="1:25">
      <c r="A9" s="23" t="s">
        <v>23</v>
      </c>
      <c r="G9" t="s">
        <v>2</v>
      </c>
      <c r="H9" t="s">
        <v>21</v>
      </c>
      <c r="I9" t="s">
        <v>3</v>
      </c>
      <c r="J9" t="s">
        <v>27</v>
      </c>
      <c r="K9" t="s">
        <v>5</v>
      </c>
      <c r="L9" t="s">
        <v>6</v>
      </c>
      <c r="M9" s="3" t="s">
        <v>28</v>
      </c>
      <c r="N9" t="s">
        <v>7</v>
      </c>
      <c r="O9" t="s">
        <v>29</v>
      </c>
      <c r="P9" t="s">
        <v>4</v>
      </c>
      <c r="R9" t="s">
        <v>40</v>
      </c>
      <c r="S9">
        <v>100</v>
      </c>
      <c r="U9" t="s">
        <v>33</v>
      </c>
      <c r="V9" t="s">
        <v>32</v>
      </c>
      <c r="W9" t="s">
        <v>41</v>
      </c>
      <c r="X9" t="s">
        <v>42</v>
      </c>
      <c r="Y9" t="s">
        <v>41</v>
      </c>
    </row>
    <row r="10" spans="1:25">
      <c r="G10">
        <v>0</v>
      </c>
      <c r="H10" s="1"/>
      <c r="I10">
        <v>1</v>
      </c>
      <c r="L10" s="1"/>
      <c r="P10" s="1">
        <f>P11</f>
        <v>2.1673127383762549E-3</v>
      </c>
      <c r="R10" t="s">
        <v>34</v>
      </c>
      <c r="S10" s="26">
        <v>8.0000000000000002E-3</v>
      </c>
      <c r="U10">
        <v>0</v>
      </c>
    </row>
    <row r="11" spans="1:25">
      <c r="B11" t="s">
        <v>24</v>
      </c>
      <c r="G11">
        <v>0.25</v>
      </c>
      <c r="H11" s="1"/>
      <c r="I11">
        <f>1/(1+(B12+Interpolate_Range($A$17:$A$31,$B$17:$B$31,G11))*G11)</f>
        <v>0.99945831857778888</v>
      </c>
      <c r="L11" s="1">
        <f>Interpolate_Range($A$17:$A$31,$B$17:$B$31,'試算番号2-1'!G11)</f>
        <v>6.2500000000000001E-4</v>
      </c>
      <c r="M11" s="3">
        <f t="shared" ref="M11:M42" si="0">M10+I11*0.25</f>
        <v>0.24986457964444722</v>
      </c>
      <c r="N11" s="1">
        <f t="shared" ref="N11:N42" si="1">(1-I11-L11*M11-O10)/(I11*0.25)</f>
        <v>1.5428999999996733E-3</v>
      </c>
      <c r="O11" s="1">
        <f t="shared" ref="O11:O42" si="2">O10+N11*I11*0.25</f>
        <v>3.8551605993333599E-4</v>
      </c>
      <c r="P11" s="1">
        <f t="shared" ref="P11:P42" si="3">-LN(I11)/G11</f>
        <v>2.1673127383762549E-3</v>
      </c>
      <c r="R11" t="s">
        <v>31</v>
      </c>
      <c r="S11" s="12" t="s">
        <v>36</v>
      </c>
      <c r="U11">
        <v>0.25</v>
      </c>
      <c r="V11" s="1">
        <f t="shared" ref="V11:V50" si="4">$S$10/4</f>
        <v>2E-3</v>
      </c>
      <c r="W11" s="1">
        <f>V11*Interpolate_Range($G$10:$G$130,$I$10:$I$130,U11)</f>
        <v>1.9989166371555778E-3</v>
      </c>
      <c r="X11" s="1">
        <f t="shared" ref="X11:X50" si="5">Interpolate_Range($G$11:$G$130,$N$11:$N$130,U11)/4</f>
        <v>3.8572499999991832E-4</v>
      </c>
      <c r="Y11" s="1">
        <f>X11*Interpolate_Range($G$10:$G$130,$I$10:$I$130,U11)</f>
        <v>3.8551605993333599E-4</v>
      </c>
    </row>
    <row r="12" spans="1:25">
      <c r="A12" t="s">
        <v>0</v>
      </c>
      <c r="B12" s="1">
        <v>1.5429E-3</v>
      </c>
      <c r="C12" s="1"/>
      <c r="G12">
        <f>G11+0.25</f>
        <v>0.5</v>
      </c>
      <c r="H12" s="1"/>
      <c r="I12">
        <f>1/(1+B13*G12)</f>
        <v>0.99879076402199862</v>
      </c>
      <c r="J12">
        <f>J10+0.5*I12</f>
        <v>0.49939538201099931</v>
      </c>
      <c r="K12" s="1">
        <f>(I10/I12-1)/0.5</f>
        <v>2.4213999999997959E-3</v>
      </c>
      <c r="L12" s="1">
        <f>Interpolate_Range($A$17:$A$31,$B$17:$B$31,'試算番号2-1'!G12)</f>
        <v>6.2500000000000001E-4</v>
      </c>
      <c r="M12" s="3">
        <f t="shared" si="0"/>
        <v>0.49956227064994685</v>
      </c>
      <c r="N12" s="1">
        <f t="shared" si="1"/>
        <v>2.0484510563638283E-3</v>
      </c>
      <c r="O12" s="1">
        <f t="shared" si="2"/>
        <v>8.9700955884516051E-4</v>
      </c>
      <c r="P12" s="1">
        <f t="shared" si="3"/>
        <v>2.4199353875282424E-3</v>
      </c>
      <c r="R12" t="s">
        <v>38</v>
      </c>
      <c r="S12" s="12" t="s">
        <v>37</v>
      </c>
      <c r="U12">
        <v>0.5</v>
      </c>
      <c r="V12" s="1">
        <f t="shared" si="4"/>
        <v>2E-3</v>
      </c>
      <c r="W12" s="1">
        <f t="shared" ref="W12:W50" si="6">V12*Interpolate_Range($G$10:$G$130,$I$10:$I$130,U12)</f>
        <v>1.9975815280439974E-3</v>
      </c>
      <c r="X12" s="1">
        <f t="shared" si="5"/>
        <v>5.1211276409095707E-4</v>
      </c>
      <c r="Y12" s="1">
        <f t="shared" ref="Y12:Y50" si="7">X12*Interpolate_Range($G$10:$G$130,$I$10:$I$130,U12)</f>
        <v>5.1149349891182452E-4</v>
      </c>
    </row>
    <row r="13" spans="1:25">
      <c r="A13" t="s">
        <v>1</v>
      </c>
      <c r="B13" s="1">
        <v>2.4214000000000002E-3</v>
      </c>
      <c r="C13" s="1"/>
      <c r="G13">
        <f t="shared" ref="G13:G76" si="8">G12+0.25</f>
        <v>0.75</v>
      </c>
      <c r="H13" s="1"/>
      <c r="I13">
        <f>Interpolate_Interval(G12,G14,I12,I14,G13)</f>
        <v>0.99820377625309709</v>
      </c>
      <c r="K13" s="1">
        <f>Interpolate_Interval(G12,G14,K12,K14,G13)</f>
        <v>2.3874800535781393E-3</v>
      </c>
      <c r="L13" s="1">
        <f>Interpolate_Range($A$17:$A$31,$B$17:$B$31,'試算番号2-1'!G13)</f>
        <v>6.2500000000000001E-4</v>
      </c>
      <c r="M13" s="3">
        <f t="shared" si="0"/>
        <v>0.74911321471322112</v>
      </c>
      <c r="N13" s="1">
        <f t="shared" si="1"/>
        <v>1.7271761101921724E-3</v>
      </c>
      <c r="O13" s="1">
        <f t="shared" si="2"/>
        <v>1.3280279877071509E-3</v>
      </c>
      <c r="P13" s="1">
        <f t="shared" si="3"/>
        <v>2.3971185215655526E-3</v>
      </c>
      <c r="R13" t="s">
        <v>35</v>
      </c>
      <c r="S13" s="12" t="s">
        <v>39</v>
      </c>
      <c r="U13">
        <v>0.75</v>
      </c>
      <c r="V13" s="1">
        <f t="shared" si="4"/>
        <v>2E-3</v>
      </c>
      <c r="W13" s="1">
        <f t="shared" si="6"/>
        <v>1.9964075525061944E-3</v>
      </c>
      <c r="X13" s="1">
        <f t="shared" si="5"/>
        <v>4.317940275480431E-4</v>
      </c>
      <c r="Y13" s="1">
        <f t="shared" si="7"/>
        <v>4.3101842886199043E-4</v>
      </c>
    </row>
    <row r="14" spans="1:25">
      <c r="G14">
        <f t="shared" si="8"/>
        <v>1</v>
      </c>
      <c r="H14" s="1">
        <f>Interpolate_Range($D$17:$D$31,$E$17:$E$31,G14)</f>
        <v>2.3874999999999999E-3</v>
      </c>
      <c r="I14">
        <f>(1-H14*J12)/(1+H14*0.5)</f>
        <v>0.99761678848419566</v>
      </c>
      <c r="J14">
        <f>J12+0.5*I14</f>
        <v>0.99820377625309709</v>
      </c>
      <c r="K14" s="1">
        <f>(I12/I14-1)/0.5</f>
        <v>2.3535601071564827E-3</v>
      </c>
      <c r="L14" s="1">
        <f>Interpolate_Range($A$17:$A$31,$B$17:$B$31,'試算番号2-1'!G14)</f>
        <v>6.2500000000000001E-4</v>
      </c>
      <c r="M14" s="3">
        <f t="shared" si="0"/>
        <v>0.99851741183427001</v>
      </c>
      <c r="N14" s="1">
        <f t="shared" si="1"/>
        <v>1.7285601071562154E-3</v>
      </c>
      <c r="O14" s="1">
        <f t="shared" si="2"/>
        <v>1.7591381334079211E-3</v>
      </c>
      <c r="P14" s="1">
        <f t="shared" si="3"/>
        <v>2.3860558844222188E-3</v>
      </c>
      <c r="U14">
        <v>1</v>
      </c>
      <c r="V14" s="1">
        <f t="shared" si="4"/>
        <v>2E-3</v>
      </c>
      <c r="W14" s="1">
        <f t="shared" si="6"/>
        <v>1.9952335769683914E-3</v>
      </c>
      <c r="X14" s="1">
        <f t="shared" si="5"/>
        <v>4.3214002678905385E-4</v>
      </c>
      <c r="Y14" s="1">
        <f t="shared" si="7"/>
        <v>4.311101457007702E-4</v>
      </c>
    </row>
    <row r="15" spans="1:25">
      <c r="G15">
        <f t="shared" si="8"/>
        <v>1.25</v>
      </c>
      <c r="H15" s="1"/>
      <c r="I15">
        <f>Interpolate_Interval(G14,G16,I14,I16,G15)</f>
        <v>0.99693330735323826</v>
      </c>
      <c r="K15" s="1">
        <f>Interpolate_Interval(G14,G16,K14,K16,G15)</f>
        <v>2.5488879585786606E-3</v>
      </c>
      <c r="L15" s="1">
        <f>Interpolate_Range($A$17:$A$31,$B$17:$B$31,'試算番号2-1'!G15)</f>
        <v>6.4558600000000008E-4</v>
      </c>
      <c r="M15" s="3">
        <f t="shared" si="0"/>
        <v>1.2477507386725795</v>
      </c>
      <c r="N15" s="1">
        <f t="shared" si="1"/>
        <v>2.014273577878407E-3</v>
      </c>
      <c r="O15" s="1">
        <f t="shared" si="2"/>
        <v>2.2611622383850614E-3</v>
      </c>
      <c r="P15" s="1">
        <f t="shared" si="3"/>
        <v>2.4571236675992379E-3</v>
      </c>
      <c r="U15">
        <v>1.25</v>
      </c>
      <c r="V15" s="1">
        <f t="shared" si="4"/>
        <v>2E-3</v>
      </c>
      <c r="W15" s="1">
        <f t="shared" si="6"/>
        <v>1.9938666147064766E-3</v>
      </c>
      <c r="X15" s="1">
        <f t="shared" si="5"/>
        <v>5.0356839446960176E-4</v>
      </c>
      <c r="Y15" s="1">
        <f t="shared" si="7"/>
        <v>5.0202410497714027E-4</v>
      </c>
    </row>
    <row r="16" spans="1:25">
      <c r="B16" t="s">
        <v>25</v>
      </c>
      <c r="E16" t="s">
        <v>26</v>
      </c>
      <c r="G16">
        <f t="shared" si="8"/>
        <v>1.5</v>
      </c>
      <c r="H16" s="1">
        <f>Interpolate_Range($D$17:$D$31,$E$17:$E$31,G16)</f>
        <v>2.5062499999999998E-3</v>
      </c>
      <c r="I16">
        <f>(1-H16*J14)/(1+H16*0.5)</f>
        <v>0.99624982622228075</v>
      </c>
      <c r="J16">
        <f>J14+0.5*I16</f>
        <v>1.4963286893642374</v>
      </c>
      <c r="K16" s="1">
        <f>(I14/I16-1)/0.5</f>
        <v>2.7442158100008385E-3</v>
      </c>
      <c r="L16" s="1">
        <f>Interpolate_Range($A$17:$A$31,$B$17:$B$31,'試算番号2-1'!G16)</f>
        <v>6.6617200000000003E-4</v>
      </c>
      <c r="M16" s="3">
        <f t="shared" si="0"/>
        <v>1.4968131952281496</v>
      </c>
      <c r="N16" s="1">
        <f t="shared" si="1"/>
        <v>1.9749122619486859E-3</v>
      </c>
      <c r="O16" s="1">
        <f t="shared" si="2"/>
        <v>2.7530387378277188E-3</v>
      </c>
      <c r="P16" s="1">
        <f t="shared" si="3"/>
        <v>2.5048155397107406E-3</v>
      </c>
      <c r="R16" s="23" t="s">
        <v>43</v>
      </c>
      <c r="U16">
        <v>1.5</v>
      </c>
      <c r="V16" s="1">
        <f t="shared" si="4"/>
        <v>2E-3</v>
      </c>
      <c r="W16" s="1">
        <f t="shared" si="6"/>
        <v>1.9924996524445615E-3</v>
      </c>
      <c r="X16" s="1">
        <f t="shared" si="5"/>
        <v>4.9372806548717149E-4</v>
      </c>
      <c r="Y16" s="1">
        <f t="shared" si="7"/>
        <v>4.918764994426574E-4</v>
      </c>
    </row>
    <row r="17" spans="1:25">
      <c r="A17">
        <v>1</v>
      </c>
      <c r="B17" s="1">
        <v>6.2500000000000001E-4</v>
      </c>
      <c r="C17" s="1"/>
      <c r="D17">
        <v>1</v>
      </c>
      <c r="E17" s="1">
        <v>2.3874999999999999E-3</v>
      </c>
      <c r="G17">
        <f t="shared" si="8"/>
        <v>1.75</v>
      </c>
      <c r="H17" s="1"/>
      <c r="I17">
        <f>Interpolate_Interval(G16,G18,I16,I18,G17)</f>
        <v>0.99550816618668814</v>
      </c>
      <c r="K17" s="1">
        <f>Interpolate_Interval(G16,G18,K16,K18,G17)</f>
        <v>2.8632317637282689E-3</v>
      </c>
      <c r="L17" s="1">
        <f>Interpolate_Range($A$17:$A$31,$B$17:$B$31,'試算番号2-1'!G17)</f>
        <v>6.8675799999999999E-4</v>
      </c>
      <c r="M17" s="3">
        <f t="shared" si="0"/>
        <v>1.7456902367748217</v>
      </c>
      <c r="N17" s="1">
        <f t="shared" si="1"/>
        <v>2.1694582051510298E-3</v>
      </c>
      <c r="O17" s="1">
        <f t="shared" si="2"/>
        <v>3.2929670776848602E-3</v>
      </c>
      <c r="P17" s="1">
        <f t="shared" si="3"/>
        <v>2.5725442347944542E-3</v>
      </c>
      <c r="R17" t="s">
        <v>45</v>
      </c>
      <c r="S17" s="15">
        <f>$S$9*SUM(W11:W50)</f>
        <v>7.7373945600440628</v>
      </c>
      <c r="U17">
        <v>1.75</v>
      </c>
      <c r="V17" s="1">
        <f t="shared" si="4"/>
        <v>2E-3</v>
      </c>
      <c r="W17" s="1">
        <f t="shared" si="6"/>
        <v>1.9910163323733762E-3</v>
      </c>
      <c r="X17" s="1">
        <f t="shared" si="5"/>
        <v>5.4236455128775746E-4</v>
      </c>
      <c r="Y17" s="1">
        <f t="shared" si="7"/>
        <v>5.3992833985714141E-4</v>
      </c>
    </row>
    <row r="18" spans="1:25">
      <c r="A18">
        <v>2</v>
      </c>
      <c r="B18" s="1">
        <v>7.0734400000000005E-4</v>
      </c>
      <c r="C18" s="1"/>
      <c r="D18">
        <v>2</v>
      </c>
      <c r="E18" s="1">
        <v>2.6250000000000002E-3</v>
      </c>
      <c r="G18">
        <f t="shared" si="8"/>
        <v>2</v>
      </c>
      <c r="H18" s="1">
        <f>Interpolate_Range($D$17:$D$31,$E$17:$E$31,G18)</f>
        <v>2.6250000000000002E-3</v>
      </c>
      <c r="I18">
        <f>(1-H18*J16)/(1+H18*0.5)</f>
        <v>0.99476650615109552</v>
      </c>
      <c r="J18">
        <f>J16+I18*0.5</f>
        <v>1.9937119424397851</v>
      </c>
      <c r="K18" s="1">
        <f>(I16/I18-1)/0.5</f>
        <v>2.9822477174556994E-3</v>
      </c>
      <c r="L18" s="1">
        <f>Interpolate_Range($A$17:$A$31,$B$17:$B$31,'試算番号2-1'!G18)</f>
        <v>7.0734400000000005E-4</v>
      </c>
      <c r="M18" s="3">
        <f t="shared" si="0"/>
        <v>1.9943818633125956</v>
      </c>
      <c r="N18" s="1">
        <f t="shared" si="1"/>
        <v>2.1304003430777439E-3</v>
      </c>
      <c r="O18" s="1">
        <f t="shared" si="2"/>
        <v>3.8227798041814958E-3</v>
      </c>
      <c r="P18" s="1">
        <f t="shared" si="3"/>
        <v>2.6236182735125428E-3</v>
      </c>
      <c r="R18" t="s">
        <v>46</v>
      </c>
      <c r="S18" s="15">
        <f>$S$9*SUM(Y11:Y50)</f>
        <v>8.1512204974115576</v>
      </c>
      <c r="U18">
        <v>2</v>
      </c>
      <c r="V18" s="1">
        <f t="shared" si="4"/>
        <v>2E-3</v>
      </c>
      <c r="W18" s="1">
        <f t="shared" si="6"/>
        <v>1.9895330123021909E-3</v>
      </c>
      <c r="X18" s="1">
        <f t="shared" si="5"/>
        <v>5.3260008576943598E-4</v>
      </c>
      <c r="Y18" s="1">
        <f t="shared" si="7"/>
        <v>5.2981272649663558E-4</v>
      </c>
    </row>
    <row r="19" spans="1:25">
      <c r="A19">
        <v>3</v>
      </c>
      <c r="B19" s="1">
        <v>7.7300000000000003E-4</v>
      </c>
      <c r="C19" s="1"/>
      <c r="D19">
        <v>3</v>
      </c>
      <c r="E19" s="1">
        <v>3.0249999999999999E-3</v>
      </c>
      <c r="G19">
        <f t="shared" si="8"/>
        <v>2.25</v>
      </c>
      <c r="H19" s="1"/>
      <c r="I19">
        <f>Interpolate_Interval(G18,G20,I18,I20,G19)</f>
        <v>0.99386585328405697</v>
      </c>
      <c r="K19" s="1">
        <f>Interpolate_Interval(G18,G20,K18,K20,G19)</f>
        <v>3.3051911929309341E-3</v>
      </c>
      <c r="L19" s="1">
        <f>Interpolate_Range($A$17:$A$31,$B$17:$B$31,'試算番号2-1'!G19)</f>
        <v>7.2375800000000002E-4</v>
      </c>
      <c r="M19" s="3">
        <f t="shared" si="0"/>
        <v>2.2428483266336099</v>
      </c>
      <c r="N19" s="1">
        <f t="shared" si="1"/>
        <v>2.7693374927820879E-3</v>
      </c>
      <c r="O19" s="1">
        <f t="shared" si="2"/>
        <v>4.510867296755346E-3</v>
      </c>
      <c r="P19" s="1">
        <f t="shared" si="3"/>
        <v>2.734683505633698E-3</v>
      </c>
      <c r="R19" t="s">
        <v>47</v>
      </c>
      <c r="S19" s="28">
        <f>S17-S18</f>
        <v>-0.41382593736749484</v>
      </c>
      <c r="U19">
        <v>2.25</v>
      </c>
      <c r="V19" s="1">
        <f t="shared" si="4"/>
        <v>2E-3</v>
      </c>
      <c r="W19" s="1">
        <f t="shared" si="6"/>
        <v>1.9877317065681139E-3</v>
      </c>
      <c r="X19" s="1">
        <f t="shared" si="5"/>
        <v>6.9233437319552197E-4</v>
      </c>
      <c r="Y19" s="1">
        <f t="shared" si="7"/>
        <v>6.8808749257385018E-4</v>
      </c>
    </row>
    <row r="20" spans="1:25">
      <c r="A20">
        <v>4</v>
      </c>
      <c r="B20" s="1">
        <v>9.1100000000000003E-4</v>
      </c>
      <c r="C20" s="1"/>
      <c r="D20">
        <v>4</v>
      </c>
      <c r="E20" s="1">
        <v>3.5999999999999999E-3</v>
      </c>
      <c r="G20">
        <f t="shared" si="8"/>
        <v>2.5</v>
      </c>
      <c r="H20" s="1">
        <f>Interpolate_Range($D$17:$D$31,$E$17:$E$31,G20)</f>
        <v>2.8250000000000003E-3</v>
      </c>
      <c r="I20">
        <f>(1-H20*J18)/(1+H20*0.5)</f>
        <v>0.99296520041701852</v>
      </c>
      <c r="J20">
        <f>J18+0.5*I20</f>
        <v>2.4901945426482945</v>
      </c>
      <c r="K20" s="1">
        <f>(I18/I20-1)/0.5</f>
        <v>3.6281346684061688E-3</v>
      </c>
      <c r="L20" s="1">
        <f>Interpolate_Range($A$17:$A$31,$B$17:$B$31,'試算番号2-1'!G20)</f>
        <v>7.401720000000001E-4</v>
      </c>
      <c r="M20" s="3">
        <f t="shared" si="0"/>
        <v>2.4910896267378644</v>
      </c>
      <c r="N20" s="1">
        <f t="shared" si="1"/>
        <v>2.7396629599453835E-3</v>
      </c>
      <c r="O20" s="1">
        <f t="shared" si="2"/>
        <v>5.1909647917796585E-3</v>
      </c>
      <c r="P20" s="1">
        <f t="shared" si="3"/>
        <v>2.8238641793254127E-3</v>
      </c>
      <c r="U20">
        <v>2.5</v>
      </c>
      <c r="V20" s="1">
        <f t="shared" si="4"/>
        <v>2E-3</v>
      </c>
      <c r="W20" s="1">
        <f t="shared" si="6"/>
        <v>1.9859304008340373E-3</v>
      </c>
      <c r="X20" s="1">
        <f t="shared" si="5"/>
        <v>6.8491573998634588E-4</v>
      </c>
      <c r="Y20" s="1">
        <f t="shared" si="7"/>
        <v>6.8009749502431251E-4</v>
      </c>
    </row>
    <row r="21" spans="1:25">
      <c r="A21">
        <v>5</v>
      </c>
      <c r="B21" s="1">
        <v>1.0610000000000001E-3</v>
      </c>
      <c r="C21" s="1"/>
      <c r="D21">
        <v>5</v>
      </c>
      <c r="E21" s="1">
        <v>4.4812999999999997E-3</v>
      </c>
      <c r="G21">
        <f t="shared" si="8"/>
        <v>2.75</v>
      </c>
      <c r="H21" s="1"/>
      <c r="I21">
        <f>Interpolate_Interval(G20,G22,I20,I22,G21)</f>
        <v>0.99196676116930049</v>
      </c>
      <c r="K21" s="1">
        <f>Interpolate_Interval(G20,G22,K20,K22,G21)</f>
        <v>3.8291453657226526E-3</v>
      </c>
      <c r="L21" s="1">
        <f>Interpolate_Range($A$17:$A$31,$B$17:$B$31,'試算番号2-1'!G21)</f>
        <v>7.5658600000000006E-4</v>
      </c>
      <c r="M21" s="3">
        <f t="shared" si="0"/>
        <v>2.7390813170301893</v>
      </c>
      <c r="N21" s="1">
        <f t="shared" si="1"/>
        <v>3.1046341136901938E-3</v>
      </c>
      <c r="O21" s="1">
        <f t="shared" si="2"/>
        <v>5.9608882533729044E-3</v>
      </c>
      <c r="P21" s="1">
        <f t="shared" si="3"/>
        <v>2.9329742343339239E-3</v>
      </c>
      <c r="U21">
        <v>2.75</v>
      </c>
      <c r="V21" s="1">
        <f t="shared" si="4"/>
        <v>2E-3</v>
      </c>
      <c r="W21" s="1">
        <f t="shared" si="6"/>
        <v>1.983933522338601E-3</v>
      </c>
      <c r="X21" s="1">
        <f t="shared" si="5"/>
        <v>7.7615852842254844E-4</v>
      </c>
      <c r="Y21" s="1">
        <f t="shared" si="7"/>
        <v>7.6992346159324588E-4</v>
      </c>
    </row>
    <row r="22" spans="1:25">
      <c r="A22">
        <v>6</v>
      </c>
      <c r="B22" s="1">
        <v>1.1479999999999999E-3</v>
      </c>
      <c r="C22" s="1"/>
      <c r="D22">
        <v>6</v>
      </c>
      <c r="E22" s="1">
        <v>5.5250000000000004E-3</v>
      </c>
      <c r="G22">
        <f t="shared" si="8"/>
        <v>3</v>
      </c>
      <c r="H22" s="1">
        <f>Interpolate_Range($D$17:$D$31,$E$17:$E$31,G22)</f>
        <v>3.0249999999999999E-3</v>
      </c>
      <c r="I22">
        <f>(1-H22*J20)/(1+H22*0.5)</f>
        <v>0.99096832192158246</v>
      </c>
      <c r="J22">
        <f>J20+0.5*I22</f>
        <v>2.9856787036090857</v>
      </c>
      <c r="K22" s="1">
        <f>(I20/I22-1)/0.5</f>
        <v>4.0301560630391364E-3</v>
      </c>
      <c r="L22" s="1">
        <f>Interpolate_Range($A$17:$A$31,$B$17:$B$31,'試算番号2-1'!G22)</f>
        <v>7.7300000000000003E-4</v>
      </c>
      <c r="M22" s="3">
        <f t="shared" si="0"/>
        <v>2.9868233975105851</v>
      </c>
      <c r="N22" s="1">
        <f t="shared" si="1"/>
        <v>3.075679905857769E-3</v>
      </c>
      <c r="O22" s="1">
        <f t="shared" si="2"/>
        <v>6.7228635921418554E-3</v>
      </c>
      <c r="P22" s="1">
        <f t="shared" si="3"/>
        <v>3.0242369778052934E-3</v>
      </c>
      <c r="U22">
        <v>3</v>
      </c>
      <c r="V22" s="1">
        <f t="shared" si="4"/>
        <v>2E-3</v>
      </c>
      <c r="W22" s="1">
        <f t="shared" si="6"/>
        <v>1.9819366438431651E-3</v>
      </c>
      <c r="X22" s="1">
        <f t="shared" si="5"/>
        <v>7.6891997646444225E-4</v>
      </c>
      <c r="Y22" s="1">
        <f t="shared" si="7"/>
        <v>7.6197533876895106E-4</v>
      </c>
    </row>
    <row r="23" spans="1:25">
      <c r="A23">
        <v>7</v>
      </c>
      <c r="B23" s="1">
        <v>1.199E-3</v>
      </c>
      <c r="C23" s="1"/>
      <c r="D23">
        <v>7</v>
      </c>
      <c r="E23" s="1">
        <v>6.6750000000000004E-3</v>
      </c>
      <c r="G23">
        <f t="shared" si="8"/>
        <v>3.25</v>
      </c>
      <c r="H23" s="1"/>
      <c r="I23">
        <f>Interpolate_Interval(G22,G24,I22,I24,G23)</f>
        <v>0.98972055158596572</v>
      </c>
      <c r="K23" s="1">
        <f>Interpolate_Interval(G22,G24,K22,K24,G23)</f>
        <v>4.5397208123523214E-3</v>
      </c>
      <c r="L23" s="1">
        <f>Interpolate_Range($A$17:$A$31,$B$17:$B$31,'試算番号2-1'!G23)</f>
        <v>8.0750000000000006E-4</v>
      </c>
      <c r="M23" s="3">
        <f t="shared" si="0"/>
        <v>3.2342535354070767</v>
      </c>
      <c r="N23" s="1">
        <f t="shared" si="1"/>
        <v>3.8189571411325041E-3</v>
      </c>
      <c r="O23" s="1">
        <f t="shared" si="2"/>
        <v>7.6677886841930616E-3</v>
      </c>
      <c r="P23" s="1">
        <f t="shared" si="3"/>
        <v>3.1792759460864918E-3</v>
      </c>
      <c r="U23">
        <v>3.25</v>
      </c>
      <c r="V23" s="1">
        <f t="shared" si="4"/>
        <v>2E-3</v>
      </c>
      <c r="W23" s="1">
        <f t="shared" si="6"/>
        <v>1.9794411031719317E-3</v>
      </c>
      <c r="X23" s="1">
        <f t="shared" si="5"/>
        <v>9.5473928528312603E-4</v>
      </c>
      <c r="Y23" s="1">
        <f t="shared" si="7"/>
        <v>9.4492509205120617E-4</v>
      </c>
    </row>
    <row r="24" spans="1:25">
      <c r="A24">
        <v>8</v>
      </c>
      <c r="B24" s="1">
        <v>1.261E-3</v>
      </c>
      <c r="C24" s="1"/>
      <c r="D24">
        <v>8</v>
      </c>
      <c r="E24" s="1">
        <v>7.7499999999999999E-3</v>
      </c>
      <c r="G24">
        <f t="shared" si="8"/>
        <v>3.5</v>
      </c>
      <c r="H24" s="1">
        <f>Interpolate_Range($D$17:$D$31,$E$17:$E$31,G24)</f>
        <v>3.3124999999999999E-3</v>
      </c>
      <c r="I24">
        <f>(1-H24*J22)/(1+H24*0.5)</f>
        <v>0.9884727812503491</v>
      </c>
      <c r="J24">
        <f>J22+0.5*I24</f>
        <v>3.4799150942342605</v>
      </c>
      <c r="K24" s="1">
        <f>(I22/I24-1)/0.5</f>
        <v>5.0492855616655063E-3</v>
      </c>
      <c r="L24" s="1">
        <f>Interpolate_Range($A$17:$A$31,$B$17:$B$31,'試算番号2-1'!G24)</f>
        <v>8.4200000000000008E-4</v>
      </c>
      <c r="M24" s="3">
        <f t="shared" si="0"/>
        <v>3.4813717307196641</v>
      </c>
      <c r="N24" s="1">
        <f t="shared" si="1"/>
        <v>3.7557536668551745E-3</v>
      </c>
      <c r="O24" s="1">
        <f t="shared" si="2"/>
        <v>8.5959037523849445E-3</v>
      </c>
      <c r="P24" s="1">
        <f t="shared" si="3"/>
        <v>3.3126206164003332E-3</v>
      </c>
      <c r="U24">
        <v>3.5</v>
      </c>
      <c r="V24" s="1">
        <f t="shared" si="4"/>
        <v>2E-3</v>
      </c>
      <c r="W24" s="1">
        <f t="shared" si="6"/>
        <v>1.9769455625006983E-3</v>
      </c>
      <c r="X24" s="1">
        <f t="shared" si="5"/>
        <v>9.3893841671379363E-4</v>
      </c>
      <c r="Y24" s="1">
        <f t="shared" si="7"/>
        <v>9.2811506819188289E-4</v>
      </c>
    </row>
    <row r="25" spans="1:25">
      <c r="A25">
        <v>9</v>
      </c>
      <c r="B25" s="1">
        <v>1.335E-3</v>
      </c>
      <c r="C25" s="1"/>
      <c r="D25">
        <v>9</v>
      </c>
      <c r="E25" s="1">
        <v>8.8249999999999995E-3</v>
      </c>
      <c r="G25">
        <f t="shared" si="8"/>
        <v>3.75</v>
      </c>
      <c r="H25" s="1"/>
      <c r="I25">
        <f>Interpolate_Interval(G24,G26,I24,I26,G25)</f>
        <v>0.98708541521129778</v>
      </c>
      <c r="K25" s="1">
        <f>Interpolate_Interval(G24,G26,K24,K26,G25)</f>
        <v>5.3396347354508489E-3</v>
      </c>
      <c r="L25" s="1">
        <f>Interpolate_Range($A$17:$A$31,$B$17:$B$31,'試算番号2-1'!G25)</f>
        <v>8.765E-4</v>
      </c>
      <c r="M25" s="3">
        <f t="shared" si="0"/>
        <v>3.7281430845224888</v>
      </c>
      <c r="N25" s="1">
        <f t="shared" si="1"/>
        <v>4.2588558458574455E-3</v>
      </c>
      <c r="O25" s="1">
        <f t="shared" si="2"/>
        <v>9.6468673751182593E-3</v>
      </c>
      <c r="P25" s="1">
        <f t="shared" si="3"/>
        <v>3.4663208156536719E-3</v>
      </c>
      <c r="U25">
        <v>3.75</v>
      </c>
      <c r="V25" s="1">
        <f t="shared" si="4"/>
        <v>2E-3</v>
      </c>
      <c r="W25" s="1">
        <f t="shared" si="6"/>
        <v>1.9741708304225956E-3</v>
      </c>
      <c r="X25" s="1">
        <f t="shared" si="5"/>
        <v>1.0647139614643614E-3</v>
      </c>
      <c r="Y25" s="1">
        <f t="shared" si="7"/>
        <v>1.0509636227333148E-3</v>
      </c>
    </row>
    <row r="26" spans="1:25">
      <c r="A26">
        <v>10</v>
      </c>
      <c r="B26" s="1">
        <v>1.41E-3</v>
      </c>
      <c r="C26" s="1"/>
      <c r="D26">
        <v>10</v>
      </c>
      <c r="E26" s="1">
        <v>9.8499999999999994E-3</v>
      </c>
      <c r="G26">
        <f t="shared" si="8"/>
        <v>4</v>
      </c>
      <c r="H26" s="1">
        <f>Interpolate_Range($D$17:$D$31,$E$17:$E$31,G26)</f>
        <v>3.5999999999999999E-3</v>
      </c>
      <c r="I26">
        <f>(1-H26*J24)/(1+H26*0.5)</f>
        <v>0.98569804917224657</v>
      </c>
      <c r="J26">
        <f>J24+I26*0.5</f>
        <v>3.9727641188203839</v>
      </c>
      <c r="K26" s="1">
        <f>(I24/I26-1)/0.5</f>
        <v>5.6299839092361914E-3</v>
      </c>
      <c r="L26" s="1">
        <f>Interpolate_Range($A$17:$A$31,$B$17:$B$31,'試算番号2-1'!G26)</f>
        <v>9.1100000000000003E-4</v>
      </c>
      <c r="M26" s="3">
        <f t="shared" si="0"/>
        <v>3.9745675968155503</v>
      </c>
      <c r="N26" s="1">
        <f t="shared" si="1"/>
        <v>4.1970352799408743E-3</v>
      </c>
      <c r="O26" s="1">
        <f t="shared" si="2"/>
        <v>1.0681119747054463E-2</v>
      </c>
      <c r="P26" s="1">
        <f t="shared" si="3"/>
        <v>3.6013023605011743E-3</v>
      </c>
      <c r="U26">
        <v>4</v>
      </c>
      <c r="V26" s="1">
        <f t="shared" si="4"/>
        <v>2E-3</v>
      </c>
      <c r="W26" s="1">
        <f t="shared" si="6"/>
        <v>1.9713960983444934E-3</v>
      </c>
      <c r="X26" s="1">
        <f t="shared" si="5"/>
        <v>1.0492588199852186E-3</v>
      </c>
      <c r="Y26" s="1">
        <f t="shared" si="7"/>
        <v>1.0342523719362035E-3</v>
      </c>
    </row>
    <row r="27" spans="1:25">
      <c r="A27">
        <v>12</v>
      </c>
      <c r="B27" s="1">
        <v>1.5609999999999999E-3</v>
      </c>
      <c r="C27" s="1"/>
      <c r="D27">
        <v>12</v>
      </c>
      <c r="E27" s="1">
        <v>1.1775000000000001E-2</v>
      </c>
      <c r="G27">
        <f t="shared" si="8"/>
        <v>4.25</v>
      </c>
      <c r="H27" s="1"/>
      <c r="I27">
        <f>Interpolate_Interval(G26,G28,I26,I28,G27)</f>
        <v>0.98383080714791338</v>
      </c>
      <c r="K27" s="1">
        <f>Interpolate_Interval(G26,G28,K26,K28,G27)</f>
        <v>6.6180699722799829E-3</v>
      </c>
      <c r="L27" s="1">
        <f>Interpolate_Range($A$17:$A$31,$B$17:$B$31,'試算番号2-1'!G27)</f>
        <v>9.4850000000000002E-4</v>
      </c>
      <c r="M27" s="3">
        <f t="shared" si="0"/>
        <v>4.2205252986025288</v>
      </c>
      <c r="N27" s="1">
        <f t="shared" si="1"/>
        <v>6.0372366814263213E-3</v>
      </c>
      <c r="O27" s="1">
        <f t="shared" si="2"/>
        <v>1.2166024606362125E-2</v>
      </c>
      <c r="P27" s="1">
        <f t="shared" si="3"/>
        <v>3.8356095692500748E-3</v>
      </c>
      <c r="U27">
        <v>4.25</v>
      </c>
      <c r="V27" s="1">
        <f t="shared" si="4"/>
        <v>2E-3</v>
      </c>
      <c r="W27" s="1">
        <f t="shared" si="6"/>
        <v>1.9676616142958268E-3</v>
      </c>
      <c r="X27" s="1">
        <f t="shared" si="5"/>
        <v>1.5093091703565803E-3</v>
      </c>
      <c r="Y27" s="1">
        <f t="shared" si="7"/>
        <v>1.4849048593076619E-3</v>
      </c>
    </row>
    <row r="28" spans="1:25">
      <c r="A28">
        <v>15</v>
      </c>
      <c r="B28" s="1">
        <v>1.7589999999999999E-3</v>
      </c>
      <c r="C28" s="1"/>
      <c r="D28">
        <v>15</v>
      </c>
      <c r="E28" s="1">
        <v>1.4475E-2</v>
      </c>
      <c r="G28">
        <f t="shared" si="8"/>
        <v>4.5</v>
      </c>
      <c r="H28" s="1">
        <f>Interpolate_Range($D$17:$D$31,$E$17:$E$31,G28)</f>
        <v>4.0406499999999998E-3</v>
      </c>
      <c r="I28">
        <f>(1-H28*J26)/(1+H28*0.5)</f>
        <v>0.98196356512358018</v>
      </c>
      <c r="J28">
        <f>J26+0.5*I28</f>
        <v>4.4637459013821736</v>
      </c>
      <c r="K28" s="1">
        <f>(I26/I28-1)/0.5</f>
        <v>7.6061560353237745E-3</v>
      </c>
      <c r="L28" s="1">
        <f>Interpolate_Range($A$17:$A$31,$B$17:$B$31,'試算番号2-1'!G28)</f>
        <v>9.8600000000000011E-4</v>
      </c>
      <c r="M28" s="3">
        <f t="shared" si="0"/>
        <v>4.4660161898834234</v>
      </c>
      <c r="N28" s="1">
        <f t="shared" si="1"/>
        <v>5.975449024518637E-3</v>
      </c>
      <c r="O28" s="1">
        <f t="shared" si="2"/>
        <v>1.363294291319476E-2</v>
      </c>
      <c r="P28" s="1">
        <f t="shared" si="3"/>
        <v>4.0446831203272745E-3</v>
      </c>
      <c r="U28">
        <v>4.5</v>
      </c>
      <c r="V28" s="1">
        <f t="shared" si="4"/>
        <v>2E-3</v>
      </c>
      <c r="W28" s="1">
        <f t="shared" si="6"/>
        <v>1.9639271302471606E-3</v>
      </c>
      <c r="X28" s="1">
        <f t="shared" si="5"/>
        <v>1.4938622561296592E-3</v>
      </c>
      <c r="Y28" s="1">
        <f t="shared" si="7"/>
        <v>1.466918306832635E-3</v>
      </c>
    </row>
    <row r="29" spans="1:25">
      <c r="A29">
        <v>20</v>
      </c>
      <c r="B29" s="1">
        <v>1.934E-3</v>
      </c>
      <c r="C29" s="1"/>
      <c r="D29">
        <v>20</v>
      </c>
      <c r="E29" s="1">
        <v>1.7500000000000002E-2</v>
      </c>
      <c r="G29">
        <f t="shared" si="8"/>
        <v>4.75</v>
      </c>
      <c r="H29" s="1"/>
      <c r="I29">
        <f>Interpolate_Interval(G28,G30,I28,I30,G29)</f>
        <v>0.97988463014242644</v>
      </c>
      <c r="K29" s="1">
        <f>Interpolate_Interval(G28,G30,K28,K30,G29)</f>
        <v>8.0553236150058272E-3</v>
      </c>
      <c r="L29" s="1">
        <f>Interpolate_Range($A$17:$A$31,$B$17:$B$31,'試算番号2-1'!G29)</f>
        <v>1.0235000000000001E-3</v>
      </c>
      <c r="M29" s="3">
        <f t="shared" si="0"/>
        <v>4.7109873474190298</v>
      </c>
      <c r="N29" s="1">
        <f t="shared" si="1"/>
        <v>6.7792935748121168E-3</v>
      </c>
      <c r="O29" s="1">
        <f t="shared" si="2"/>
        <v>1.5293674307490185E-2</v>
      </c>
      <c r="P29" s="1">
        <f t="shared" si="3"/>
        <v>4.2779870720077474E-3</v>
      </c>
      <c r="U29">
        <v>4.75</v>
      </c>
      <c r="V29" s="1">
        <f t="shared" si="4"/>
        <v>2E-3</v>
      </c>
      <c r="W29" s="1">
        <f t="shared" si="6"/>
        <v>1.9597692602848528E-3</v>
      </c>
      <c r="X29" s="1">
        <f t="shared" si="5"/>
        <v>1.6948233937030292E-3</v>
      </c>
      <c r="Y29" s="1">
        <f t="shared" si="7"/>
        <v>1.6607313942954248E-3</v>
      </c>
    </row>
    <row r="30" spans="1:25">
      <c r="A30">
        <v>25</v>
      </c>
      <c r="B30" s="1">
        <v>2.0210000000000002E-3</v>
      </c>
      <c r="C30" s="1"/>
      <c r="D30">
        <v>25</v>
      </c>
      <c r="E30" s="1">
        <v>1.89E-2</v>
      </c>
      <c r="G30">
        <f t="shared" si="8"/>
        <v>5</v>
      </c>
      <c r="H30" s="1">
        <f>Interpolate_Range($D$17:$D$31,$E$17:$E$31,G30)</f>
        <v>4.4812999999999997E-3</v>
      </c>
      <c r="I30">
        <f>(1-H30*J28)/(1+H30*0.5)</f>
        <v>0.9778056951612728</v>
      </c>
      <c r="J30">
        <f>J28+0.5*I30</f>
        <v>4.9526487489628099</v>
      </c>
      <c r="K30" s="1">
        <f>(I28/I30-1)/0.5</f>
        <v>8.5044911946878798E-3</v>
      </c>
      <c r="L30" s="1">
        <f>Interpolate_Range($A$17:$A$31,$B$17:$B$31,'試算番号2-1'!G30)</f>
        <v>1.0610000000000001E-3</v>
      </c>
      <c r="M30" s="3">
        <f t="shared" si="0"/>
        <v>4.9554387712093479</v>
      </c>
      <c r="N30" s="1">
        <f t="shared" si="1"/>
        <v>6.7208035425194487E-3</v>
      </c>
      <c r="O30" s="1">
        <f t="shared" si="2"/>
        <v>1.6936584302474078E-2</v>
      </c>
      <c r="P30" s="1">
        <f t="shared" si="3"/>
        <v>4.4888608780343829E-3</v>
      </c>
      <c r="U30">
        <v>5</v>
      </c>
      <c r="V30" s="1">
        <f t="shared" si="4"/>
        <v>2E-3</v>
      </c>
      <c r="W30" s="1">
        <f t="shared" si="6"/>
        <v>1.9556113903225454E-3</v>
      </c>
      <c r="X30" s="1">
        <f t="shared" si="5"/>
        <v>1.6802008856298622E-3</v>
      </c>
      <c r="Y30" s="1">
        <f t="shared" si="7"/>
        <v>1.6429099949838936E-3</v>
      </c>
    </row>
    <row r="31" spans="1:25">
      <c r="A31">
        <v>30</v>
      </c>
      <c r="B31" s="1">
        <v>2.0999999999999999E-3</v>
      </c>
      <c r="C31" s="1"/>
      <c r="D31">
        <v>30</v>
      </c>
      <c r="E31" s="1">
        <v>1.9581299999999999E-2</v>
      </c>
      <c r="G31">
        <f t="shared" si="8"/>
        <v>5.25</v>
      </c>
      <c r="H31" s="1"/>
      <c r="I31">
        <f>Interpolate_Interval(G30,G32,I30,I32,G31)</f>
        <v>0.97529667464850256</v>
      </c>
      <c r="K31" s="1">
        <f>Interpolate_Interval(G30,G32,K30,K32,G31)</f>
        <v>9.4106591567746367E-3</v>
      </c>
      <c r="L31" s="1">
        <f>Interpolate_Range($A$17:$A$31,$B$17:$B$31,'試算番号2-1'!G31)</f>
        <v>1.0827499999999999E-3</v>
      </c>
      <c r="M31" s="3">
        <f t="shared" si="0"/>
        <v>5.199262939871474</v>
      </c>
      <c r="N31" s="1">
        <f t="shared" si="1"/>
        <v>8.76549323475459E-3</v>
      </c>
      <c r="O31" s="1">
        <f t="shared" si="2"/>
        <v>1.9073823403351602E-2</v>
      </c>
      <c r="P31" s="1">
        <f t="shared" si="3"/>
        <v>4.7644900148196096E-3</v>
      </c>
      <c r="U31">
        <v>5.25</v>
      </c>
      <c r="V31" s="1">
        <f t="shared" si="4"/>
        <v>2E-3</v>
      </c>
      <c r="W31" s="1">
        <f t="shared" si="6"/>
        <v>1.9505933492970052E-3</v>
      </c>
      <c r="X31" s="1">
        <f t="shared" si="5"/>
        <v>2.1913733086886475E-3</v>
      </c>
      <c r="Y31" s="1">
        <f t="shared" si="7"/>
        <v>2.1372391008775242E-3</v>
      </c>
    </row>
    <row r="32" spans="1:25">
      <c r="G32">
        <f t="shared" si="8"/>
        <v>5.5</v>
      </c>
      <c r="H32" s="1">
        <f>Interpolate_Range($D$17:$D$31,$E$17:$E$31,G32)</f>
        <v>5.0031499999999996E-3</v>
      </c>
      <c r="I32">
        <f>(1-H32*J30)/(1+H32*0.5)</f>
        <v>0.9727876541357322</v>
      </c>
      <c r="J32">
        <f>J30+0.5*I32</f>
        <v>5.4390425760306762</v>
      </c>
      <c r="K32" s="1">
        <f>(I30/I32-1)/0.5</f>
        <v>1.0316827118861394E-2</v>
      </c>
      <c r="L32" s="1">
        <f>Interpolate_Range($A$17:$A$31,$B$17:$B$31,'試算番号2-1'!G32)</f>
        <v>1.1045E-3</v>
      </c>
      <c r="M32" s="3">
        <f t="shared" si="0"/>
        <v>5.4424598534054072</v>
      </c>
      <c r="N32" s="1">
        <f t="shared" si="1"/>
        <v>8.7473377927269474E-3</v>
      </c>
      <c r="O32" s="1">
        <f t="shared" si="2"/>
        <v>2.1201148956181522E-2</v>
      </c>
      <c r="P32" s="1">
        <f t="shared" si="3"/>
        <v>5.0162652567085882E-3</v>
      </c>
      <c r="U32">
        <v>5.5</v>
      </c>
      <c r="V32" s="1">
        <f t="shared" si="4"/>
        <v>2E-3</v>
      </c>
      <c r="W32" s="1">
        <f t="shared" si="6"/>
        <v>1.9455753082714645E-3</v>
      </c>
      <c r="X32" s="1">
        <f t="shared" si="5"/>
        <v>2.1868344481817369E-3</v>
      </c>
      <c r="Y32" s="1">
        <f t="shared" si="7"/>
        <v>2.1273255528299201E-3</v>
      </c>
    </row>
    <row r="33" spans="3:25">
      <c r="G33">
        <f t="shared" si="8"/>
        <v>5.75</v>
      </c>
      <c r="H33" s="1"/>
      <c r="I33">
        <f>Interpolate_Interval(G32,G34,I32,I34,G33)</f>
        <v>0.97003242033767356</v>
      </c>
      <c r="K33" s="1">
        <f>Interpolate_Interval(G32,G34,K32,K34,G33)</f>
        <v>1.0855299284432407E-2</v>
      </c>
      <c r="L33" s="1">
        <f>Interpolate_Range($A$17:$A$31,$B$17:$B$31,'試算番号2-1'!G33)</f>
        <v>1.1262500000000001E-3</v>
      </c>
      <c r="M33" s="3">
        <f t="shared" si="0"/>
        <v>5.6849679584898256</v>
      </c>
      <c r="N33" s="1">
        <f t="shared" si="1"/>
        <v>9.7470372879822666E-3</v>
      </c>
      <c r="O33" s="1">
        <f t="shared" si="2"/>
        <v>2.356488449907727E-2</v>
      </c>
      <c r="P33" s="1">
        <f t="shared" si="3"/>
        <v>5.2914408721245346E-3</v>
      </c>
      <c r="U33">
        <v>5.75</v>
      </c>
      <c r="V33" s="1">
        <f t="shared" si="4"/>
        <v>2E-3</v>
      </c>
      <c r="W33" s="1">
        <f t="shared" si="6"/>
        <v>1.9400648406753471E-3</v>
      </c>
      <c r="X33" s="1">
        <f t="shared" si="5"/>
        <v>2.4367593219955666E-3</v>
      </c>
      <c r="Y33" s="1">
        <f t="shared" si="7"/>
        <v>2.3637355428957479E-3</v>
      </c>
    </row>
    <row r="34" spans="3:25">
      <c r="G34">
        <f t="shared" si="8"/>
        <v>6</v>
      </c>
      <c r="H34" s="1">
        <f>Interpolate_Range($D$17:$D$31,$E$17:$E$31,G34)</f>
        <v>5.5250000000000004E-3</v>
      </c>
      <c r="I34">
        <f>(1-H34*J32)/(1+H34*0.5)</f>
        <v>0.96727718653961492</v>
      </c>
      <c r="J34">
        <f>J32+I34*0.5</f>
        <v>5.9226811693004837</v>
      </c>
      <c r="K34" s="1">
        <f>(I32/I34-1)/0.5</f>
        <v>1.139377145000342E-2</v>
      </c>
      <c r="L34" s="1">
        <f>Interpolate_Range($A$17:$A$31,$B$17:$B$31,'試算番号2-1'!G34)</f>
        <v>1.1479999999999999E-3</v>
      </c>
      <c r="M34" s="3">
        <f t="shared" si="0"/>
        <v>5.9267872551247294</v>
      </c>
      <c r="N34" s="1">
        <f t="shared" si="1"/>
        <v>9.7344472719173934E-3</v>
      </c>
      <c r="O34" s="1">
        <f t="shared" si="2"/>
        <v>2.5918861691501892E-2</v>
      </c>
      <c r="P34" s="1">
        <f t="shared" si="3"/>
        <v>5.545029791860028E-3</v>
      </c>
      <c r="U34">
        <v>6</v>
      </c>
      <c r="V34" s="1">
        <f t="shared" si="4"/>
        <v>2E-3</v>
      </c>
      <c r="W34" s="1">
        <f t="shared" si="6"/>
        <v>1.9345543730792298E-3</v>
      </c>
      <c r="X34" s="1">
        <f t="shared" si="5"/>
        <v>2.4336118179793483E-3</v>
      </c>
      <c r="Y34" s="1">
        <f t="shared" si="7"/>
        <v>2.3539771924246215E-3</v>
      </c>
    </row>
    <row r="35" spans="3:25">
      <c r="C35" s="1"/>
      <c r="G35">
        <f t="shared" si="8"/>
        <v>6.25</v>
      </c>
      <c r="H35" s="1"/>
      <c r="I35">
        <f>Interpolate_Interval(G34,G36,I34,I36,G35)</f>
        <v>0.96410898102080045</v>
      </c>
      <c r="K35" s="1">
        <f>Interpolate_Interval(G34,G36,K34,K36,G35)</f>
        <v>1.22908519705478E-2</v>
      </c>
      <c r="L35" s="1">
        <f>Interpolate_Range($A$17:$A$31,$B$17:$B$31,'試算番号2-1'!G35)</f>
        <v>1.1607499999999999E-3</v>
      </c>
      <c r="M35" s="3">
        <f t="shared" si="0"/>
        <v>6.1678145003799294</v>
      </c>
      <c r="N35" s="1">
        <f t="shared" si="1"/>
        <v>1.1670326329305173E-2</v>
      </c>
      <c r="O35" s="1">
        <f t="shared" si="2"/>
        <v>2.8731728297883549E-2</v>
      </c>
      <c r="P35" s="1">
        <f t="shared" si="3"/>
        <v>5.8481503855847394E-3</v>
      </c>
      <c r="U35">
        <v>6.25</v>
      </c>
      <c r="V35" s="1">
        <f t="shared" si="4"/>
        <v>2E-3</v>
      </c>
      <c r="W35" s="1">
        <f t="shared" si="6"/>
        <v>1.928217962041601E-3</v>
      </c>
      <c r="X35" s="1">
        <f t="shared" si="5"/>
        <v>2.9175815823262933E-3</v>
      </c>
      <c r="Y35" s="1">
        <f t="shared" si="7"/>
        <v>2.8128666063816574E-3</v>
      </c>
    </row>
    <row r="36" spans="3:25">
      <c r="C36" s="1"/>
      <c r="G36">
        <f t="shared" si="8"/>
        <v>6.5</v>
      </c>
      <c r="H36" s="1">
        <f>Interpolate_Range($D$17:$D$31,$E$17:$E$31,G36)</f>
        <v>6.1000000000000004E-3</v>
      </c>
      <c r="I36">
        <f>(1-H36*J34)/(1+H36*0.5)</f>
        <v>0.96094077550198598</v>
      </c>
      <c r="J36">
        <f>J34+0.5*I36</f>
        <v>6.4031515570514763</v>
      </c>
      <c r="K36" s="1">
        <f>(I34/I36-1)/0.5</f>
        <v>1.318793249109218E-2</v>
      </c>
      <c r="L36" s="1">
        <f>Interpolate_Range($A$17:$A$31,$B$17:$B$31,'試算番号2-1'!G36)</f>
        <v>1.1735000000000001E-3</v>
      </c>
      <c r="M36" s="3">
        <f t="shared" si="0"/>
        <v>6.4080496942554257</v>
      </c>
      <c r="N36" s="1">
        <f t="shared" si="1"/>
        <v>1.1687088134875082E-2</v>
      </c>
      <c r="O36" s="1">
        <f t="shared" si="2"/>
        <v>3.1539378181805279E-2</v>
      </c>
      <c r="P36" s="1">
        <f t="shared" si="3"/>
        <v>6.1296153693132151E-3</v>
      </c>
      <c r="U36">
        <v>6.5</v>
      </c>
      <c r="V36" s="1">
        <f t="shared" si="4"/>
        <v>2E-3</v>
      </c>
      <c r="W36" s="1">
        <f t="shared" si="6"/>
        <v>1.9218815510039719E-3</v>
      </c>
      <c r="X36" s="1">
        <f t="shared" si="5"/>
        <v>2.9217720337187704E-3</v>
      </c>
      <c r="Y36" s="1">
        <f t="shared" si="7"/>
        <v>2.8076498839217298E-3</v>
      </c>
    </row>
    <row r="37" spans="3:25">
      <c r="C37" s="1"/>
      <c r="G37">
        <f t="shared" si="8"/>
        <v>6.75</v>
      </c>
      <c r="H37" s="1"/>
      <c r="I37">
        <f>Interpolate_Interval(G36,G38,I36,I38,G37)</f>
        <v>0.95750775720876835</v>
      </c>
      <c r="K37" s="1">
        <f>Interpolate_Interval(G36,G38,K36,K38,G37)</f>
        <v>1.3790505789439189E-2</v>
      </c>
      <c r="L37" s="1">
        <f>Interpolate_Range($A$17:$A$31,$B$17:$B$31,'試算番号2-1'!G37)</f>
        <v>1.18625E-3</v>
      </c>
      <c r="M37" s="3">
        <f t="shared" si="0"/>
        <v>6.6474266335576182</v>
      </c>
      <c r="N37" s="1">
        <f t="shared" si="1"/>
        <v>1.281391087341284E-2</v>
      </c>
      <c r="O37" s="1">
        <f t="shared" si="2"/>
        <v>3.4606732947173924E-2</v>
      </c>
      <c r="P37" s="1">
        <f t="shared" si="3"/>
        <v>6.4328083609830073E-3</v>
      </c>
      <c r="U37">
        <v>6.75</v>
      </c>
      <c r="V37" s="1">
        <f t="shared" si="4"/>
        <v>2E-3</v>
      </c>
      <c r="W37" s="1">
        <f t="shared" si="6"/>
        <v>1.9150155144175367E-3</v>
      </c>
      <c r="X37" s="1">
        <f t="shared" si="5"/>
        <v>3.20347771835321E-3</v>
      </c>
      <c r="Y37" s="1">
        <f t="shared" si="7"/>
        <v>3.0673547653686448E-3</v>
      </c>
    </row>
    <row r="38" spans="3:25">
      <c r="C38" s="1"/>
      <c r="G38">
        <f t="shared" si="8"/>
        <v>7</v>
      </c>
      <c r="H38" s="1">
        <f>Interpolate_Range($D$17:$D$31,$E$17:$E$31,G38)</f>
        <v>6.6750000000000004E-3</v>
      </c>
      <c r="I38">
        <f>(1-H38*J36)/(1+H38*0.5)</f>
        <v>0.95407473891555072</v>
      </c>
      <c r="J38">
        <f>J36+0.5*I38</f>
        <v>6.880188926509252</v>
      </c>
      <c r="K38" s="1">
        <f>(I36/I38-1)/0.5</f>
        <v>1.4393079087786198E-2</v>
      </c>
      <c r="L38" s="1">
        <f>Interpolate_Range($A$17:$A$31,$B$17:$B$31,'試算番号2-1'!G38)</f>
        <v>1.199E-3</v>
      </c>
      <c r="M38" s="3">
        <f t="shared" si="0"/>
        <v>6.885945318286506</v>
      </c>
      <c r="N38" s="1">
        <f t="shared" si="1"/>
        <v>1.2838741351146439E-2</v>
      </c>
      <c r="O38" s="1">
        <f t="shared" si="2"/>
        <v>3.7669012647823755E-2</v>
      </c>
      <c r="P38" s="1">
        <f t="shared" si="3"/>
        <v>6.716181131957653E-3</v>
      </c>
      <c r="U38">
        <v>7</v>
      </c>
      <c r="V38" s="1">
        <f t="shared" si="4"/>
        <v>2E-3</v>
      </c>
      <c r="W38" s="1">
        <f t="shared" si="6"/>
        <v>1.9081494778311016E-3</v>
      </c>
      <c r="X38" s="1">
        <f t="shared" si="5"/>
        <v>3.2096853377866098E-3</v>
      </c>
      <c r="Y38" s="1">
        <f t="shared" si="7"/>
        <v>3.0622797006498309E-3</v>
      </c>
    </row>
    <row r="39" spans="3:25">
      <c r="C39" s="1"/>
      <c r="G39">
        <f t="shared" si="8"/>
        <v>7.25</v>
      </c>
      <c r="H39" s="1"/>
      <c r="I39">
        <f>Interpolate_Interval(G38,G40,I38,I40,G39)</f>
        <v>0.9505181979039673</v>
      </c>
      <c r="K39" s="1">
        <f>Interpolate_Interval(G38,G40,K38,K40,G39)</f>
        <v>1.4708017935224804E-2</v>
      </c>
      <c r="L39" s="1">
        <f>Interpolate_Range($A$17:$A$31,$B$17:$B$31,'試算番号2-1'!G39)</f>
        <v>1.2144999999999999E-3</v>
      </c>
      <c r="M39" s="3">
        <f t="shared" si="0"/>
        <v>7.1235748677624979</v>
      </c>
      <c r="N39" s="1">
        <f t="shared" si="1"/>
        <v>1.3303092053502288E-2</v>
      </c>
      <c r="O39" s="1">
        <f t="shared" si="2"/>
        <v>4.0830220419135151E-2</v>
      </c>
      <c r="P39" s="1">
        <f t="shared" si="3"/>
        <v>6.9997202241626503E-3</v>
      </c>
      <c r="U39">
        <v>7.25</v>
      </c>
      <c r="V39" s="1">
        <f t="shared" si="4"/>
        <v>2E-3</v>
      </c>
      <c r="W39" s="1">
        <f t="shared" si="6"/>
        <v>1.9010363958079347E-3</v>
      </c>
      <c r="X39" s="1">
        <f t="shared" si="5"/>
        <v>3.3257730133755721E-3</v>
      </c>
      <c r="Y39" s="1">
        <f t="shared" si="7"/>
        <v>3.1612077713113959E-3</v>
      </c>
    </row>
    <row r="40" spans="3:25">
      <c r="C40" s="1"/>
      <c r="G40">
        <f t="shared" si="8"/>
        <v>7.5</v>
      </c>
      <c r="H40" s="1">
        <f>Interpolate_Range($D$17:$D$31,$E$17:$E$31,G40)</f>
        <v>7.2125000000000002E-3</v>
      </c>
      <c r="I40">
        <f>(1-H40*J38)/(1+H40*0.5)</f>
        <v>0.94696165689238387</v>
      </c>
      <c r="J40">
        <f>J38+0.5*I40</f>
        <v>7.3536697549554439</v>
      </c>
      <c r="K40" s="1">
        <f>(I38/I40-1)/0.5</f>
        <v>1.502295678266341E-2</v>
      </c>
      <c r="L40" s="1">
        <f>Interpolate_Range($A$17:$A$31,$B$17:$B$31,'試算番号2-1'!G40)</f>
        <v>1.23E-3</v>
      </c>
      <c r="M40" s="3">
        <f t="shared" si="0"/>
        <v>7.3603152819855939</v>
      </c>
      <c r="N40" s="1">
        <f t="shared" si="1"/>
        <v>1.3326558129046767E-2</v>
      </c>
      <c r="O40" s="1">
        <f t="shared" si="2"/>
        <v>4.3985155310773849E-2</v>
      </c>
      <c r="P40" s="1">
        <f t="shared" si="3"/>
        <v>7.2662234189007123E-3</v>
      </c>
      <c r="U40">
        <v>7.5</v>
      </c>
      <c r="V40" s="1">
        <f t="shared" si="4"/>
        <v>2E-3</v>
      </c>
      <c r="W40" s="1">
        <f t="shared" si="6"/>
        <v>1.8939233137847677E-3</v>
      </c>
      <c r="X40" s="1">
        <f t="shared" si="5"/>
        <v>3.3316395322616917E-3</v>
      </c>
      <c r="Y40" s="1">
        <f t="shared" si="7"/>
        <v>3.1549348916386985E-3</v>
      </c>
    </row>
    <row r="41" spans="3:25">
      <c r="C41" s="1"/>
      <c r="G41">
        <f t="shared" si="8"/>
        <v>7.75</v>
      </c>
      <c r="H41" s="1"/>
      <c r="I41">
        <f>Interpolate_Interval(G40,G42,I40,I42,G41)</f>
        <v>0.94316533069950803</v>
      </c>
      <c r="K41" s="1">
        <f>Interpolate_Interval(G40,G42,K40,K42,G41)</f>
        <v>1.5594193862382921E-2</v>
      </c>
      <c r="L41" s="1">
        <f>Interpolate_Range($A$17:$A$31,$B$17:$B$31,'試算番号2-1'!G41)</f>
        <v>1.2455000000000001E-3</v>
      </c>
      <c r="M41" s="3">
        <f t="shared" si="0"/>
        <v>7.5961066146604708</v>
      </c>
      <c r="N41" s="1">
        <f t="shared" si="1"/>
        <v>1.437102527356616E-2</v>
      </c>
      <c r="O41" s="1">
        <f t="shared" si="2"/>
        <v>4.7373718511932353E-2</v>
      </c>
      <c r="P41" s="1">
        <f t="shared" si="3"/>
        <v>7.5501532307785677E-3</v>
      </c>
      <c r="U41">
        <v>7.75</v>
      </c>
      <c r="V41" s="1">
        <f t="shared" si="4"/>
        <v>2E-3</v>
      </c>
      <c r="W41" s="1">
        <f t="shared" si="6"/>
        <v>1.8863306613990161E-3</v>
      </c>
      <c r="X41" s="1">
        <f t="shared" si="5"/>
        <v>3.59275631839154E-3</v>
      </c>
      <c r="Y41" s="1">
        <f t="shared" si="7"/>
        <v>3.3885632011585037E-3</v>
      </c>
    </row>
    <row r="42" spans="3:25">
      <c r="C42" s="1"/>
      <c r="G42">
        <f t="shared" si="8"/>
        <v>8</v>
      </c>
      <c r="H42" s="1">
        <f>Interpolate_Range($D$17:$D$31,$E$17:$E$31,G42)</f>
        <v>7.7499999999999999E-3</v>
      </c>
      <c r="I42">
        <f>(1-H42*J40)/(1+H42*0.5)</f>
        <v>0.93936900450663208</v>
      </c>
      <c r="J42">
        <f>J40+I42*0.5</f>
        <v>7.8233542572087602</v>
      </c>
      <c r="K42" s="1">
        <f>(I40/I42-1)/0.5</f>
        <v>1.6165430942102432E-2</v>
      </c>
      <c r="L42" s="1">
        <f>Interpolate_Range($A$17:$A$31,$B$17:$B$31,'試算番号2-1'!G42)</f>
        <v>1.261E-3</v>
      </c>
      <c r="M42" s="3">
        <f t="shared" si="0"/>
        <v>7.8309488657871285</v>
      </c>
      <c r="N42" s="1">
        <f t="shared" si="1"/>
        <v>1.4403074597738116E-2</v>
      </c>
      <c r="O42" s="1">
        <f t="shared" si="2"/>
        <v>5.0756168973610356E-2</v>
      </c>
      <c r="P42" s="1">
        <f t="shared" si="3"/>
        <v>7.8183626154169419E-3</v>
      </c>
      <c r="U42">
        <v>8</v>
      </c>
      <c r="V42" s="1">
        <f t="shared" si="4"/>
        <v>2E-3</v>
      </c>
      <c r="W42" s="1">
        <f t="shared" si="6"/>
        <v>1.8787380090132641E-3</v>
      </c>
      <c r="X42" s="1">
        <f t="shared" si="5"/>
        <v>3.600768649434529E-3</v>
      </c>
      <c r="Y42" s="1">
        <f t="shared" si="7"/>
        <v>3.3824504616780035E-3</v>
      </c>
    </row>
    <row r="43" spans="3:25">
      <c r="C43" s="1"/>
      <c r="G43">
        <f t="shared" si="8"/>
        <v>8.25</v>
      </c>
      <c r="H43" s="1"/>
      <c r="I43">
        <f>Interpolate_Interval(G42,G44,I42,I44,G43)</f>
        <v>0.9353369307992202</v>
      </c>
      <c r="K43" s="1">
        <f>Interpolate_Interval(G42,G44,K42,K44,G43)</f>
        <v>1.6741692554028909E-2</v>
      </c>
      <c r="L43" s="1">
        <f>Interpolate_Range($A$17:$A$31,$B$17:$B$31,'試算番号2-1'!G43)</f>
        <v>1.2795E-3</v>
      </c>
      <c r="M43" s="3">
        <f t="shared" ref="M43:M74" si="9">M42+I43*0.25</f>
        <v>8.0647830984869326</v>
      </c>
      <c r="N43" s="1">
        <f t="shared" ref="N43:N74" si="10">(1-I43-L43*M43-O42)/(I43*0.25)</f>
        <v>1.5344247124250959E-2</v>
      </c>
      <c r="O43" s="1">
        <f t="shared" ref="O43:O74" si="11">O42+N43*I43*0.25</f>
        <v>5.4344179226265769E-2</v>
      </c>
      <c r="P43" s="1">
        <f t="shared" ref="P43:P74" si="12">-LN(I43)/G43</f>
        <v>8.1028437344640072E-3</v>
      </c>
      <c r="U43">
        <v>8.25</v>
      </c>
      <c r="V43" s="1">
        <f t="shared" si="4"/>
        <v>2E-3</v>
      </c>
      <c r="W43" s="1">
        <f t="shared" si="6"/>
        <v>1.8706738615984404E-3</v>
      </c>
      <c r="X43" s="1">
        <f t="shared" si="5"/>
        <v>3.8360617810627396E-3</v>
      </c>
      <c r="Y43" s="1">
        <f t="shared" si="7"/>
        <v>3.5880102526554131E-3</v>
      </c>
    </row>
    <row r="44" spans="3:25">
      <c r="C44" s="1"/>
      <c r="G44">
        <f t="shared" si="8"/>
        <v>8.5</v>
      </c>
      <c r="H44" s="1">
        <f>Interpolate_Range($D$17:$D$31,$E$17:$E$31,G44)</f>
        <v>8.2874999999999997E-3</v>
      </c>
      <c r="I44">
        <f>(1-H44*J42)/(1+H44*0.5)</f>
        <v>0.93130485709180832</v>
      </c>
      <c r="J44">
        <f>J42+0.5*I44</f>
        <v>8.2890066857546643</v>
      </c>
      <c r="K44" s="1">
        <f>(I42/I44-1)/0.5</f>
        <v>1.7317954165955385E-2</v>
      </c>
      <c r="L44" s="1">
        <f>Interpolate_Range($A$17:$A$31,$B$17:$B$31,'試算番号2-1'!G44)</f>
        <v>1.2980000000000001E-3</v>
      </c>
      <c r="M44" s="3">
        <f t="shared" si="9"/>
        <v>8.2976093127598851</v>
      </c>
      <c r="N44" s="1">
        <f t="shared" si="10"/>
        <v>1.5379139351403977E-2</v>
      </c>
      <c r="O44" s="1">
        <f t="shared" si="11"/>
        <v>5.7924846020229341E-2</v>
      </c>
      <c r="P44" s="1">
        <f t="shared" si="12"/>
        <v>8.3727769504811748E-3</v>
      </c>
      <c r="U44">
        <v>8.5</v>
      </c>
      <c r="V44" s="1">
        <f t="shared" si="4"/>
        <v>2E-3</v>
      </c>
      <c r="W44" s="1">
        <f t="shared" si="6"/>
        <v>1.8626097141836166E-3</v>
      </c>
      <c r="X44" s="1">
        <f t="shared" si="5"/>
        <v>3.8447848378509943E-3</v>
      </c>
      <c r="Y44" s="1">
        <f t="shared" si="7"/>
        <v>3.5806667939635717E-3</v>
      </c>
    </row>
    <row r="45" spans="3:25">
      <c r="C45" s="1"/>
      <c r="G45">
        <f t="shared" si="8"/>
        <v>8.75</v>
      </c>
      <c r="H45" s="1"/>
      <c r="I45">
        <f>Interpolate_Interval(G44,G46,I44,I46,G45)</f>
        <v>0.92704130811391794</v>
      </c>
      <c r="K45" s="1">
        <f>Interpolate_Interval(G44,G46,K44,K46,G45)</f>
        <v>1.7899661387901222E-2</v>
      </c>
      <c r="L45" s="1">
        <f>Interpolate_Range($A$17:$A$31,$B$17:$B$31,'試算番号2-1'!G45)</f>
        <v>1.3165E-3</v>
      </c>
      <c r="M45" s="3">
        <f t="shared" si="9"/>
        <v>8.5293696397883654</v>
      </c>
      <c r="N45" s="1">
        <f t="shared" si="10"/>
        <v>1.641752401654047E-2</v>
      </c>
      <c r="O45" s="1">
        <f t="shared" si="11"/>
        <v>6.1729776755300676E-2</v>
      </c>
      <c r="P45" s="1">
        <f t="shared" si="12"/>
        <v>8.657960381361067E-3</v>
      </c>
      <c r="U45">
        <v>8.75</v>
      </c>
      <c r="V45" s="1">
        <f t="shared" si="4"/>
        <v>2E-3</v>
      </c>
      <c r="W45" s="1">
        <f t="shared" si="6"/>
        <v>1.8540826162278359E-3</v>
      </c>
      <c r="X45" s="1">
        <f t="shared" si="5"/>
        <v>4.1043810041351174E-3</v>
      </c>
      <c r="Y45" s="1">
        <f t="shared" si="7"/>
        <v>3.8049307350713352E-3</v>
      </c>
    </row>
    <row r="46" spans="3:25">
      <c r="C46" s="1"/>
      <c r="G46">
        <f t="shared" si="8"/>
        <v>9</v>
      </c>
      <c r="H46" s="1">
        <f>Interpolate_Range($D$17:$D$31,$E$17:$E$31,G46)</f>
        <v>8.8249999999999995E-3</v>
      </c>
      <c r="I46">
        <f>(1-H46*J44)/(1+H46*0.5)</f>
        <v>0.92277775913602744</v>
      </c>
      <c r="J46">
        <f>J44+0.5*I46</f>
        <v>8.7503955653226786</v>
      </c>
      <c r="K46" s="1">
        <f>(I44/I46-1)/0.5</f>
        <v>1.848136860984706E-2</v>
      </c>
      <c r="L46" s="1">
        <f>Interpolate_Range($A$17:$A$31,$B$17:$B$31,'試算番号2-1'!G46)</f>
        <v>1.335E-3</v>
      </c>
      <c r="M46" s="3">
        <f t="shared" si="9"/>
        <v>8.7600640795723717</v>
      </c>
      <c r="N46" s="1">
        <f t="shared" si="10"/>
        <v>1.6462375798907542E-2</v>
      </c>
      <c r="O46" s="1">
        <f t="shared" si="11"/>
        <v>6.5527555317743444E-2</v>
      </c>
      <c r="P46" s="1">
        <f t="shared" si="12"/>
        <v>8.9296504969708663E-3</v>
      </c>
      <c r="U46">
        <v>9</v>
      </c>
      <c r="V46" s="1">
        <f t="shared" si="4"/>
        <v>2E-3</v>
      </c>
      <c r="W46" s="1">
        <f t="shared" si="6"/>
        <v>1.8455555182720549E-3</v>
      </c>
      <c r="X46" s="1">
        <f t="shared" si="5"/>
        <v>4.1155939497268855E-3</v>
      </c>
      <c r="Y46" s="1">
        <f t="shared" si="7"/>
        <v>3.7977785624427676E-3</v>
      </c>
    </row>
    <row r="47" spans="3:25">
      <c r="C47" s="1"/>
      <c r="G47">
        <f t="shared" si="8"/>
        <v>9.25</v>
      </c>
      <c r="H47" s="1"/>
      <c r="I47">
        <f>Interpolate_Interval(G46,G48,I46,I48,G47)</f>
        <v>0.91840179124104004</v>
      </c>
      <c r="K47" s="1">
        <f>Interpolate_Interval(G46,G48,K46,K48,G47)</f>
        <v>1.8815835866764496E-2</v>
      </c>
      <c r="L47" s="1">
        <f>Interpolate_Range($A$17:$A$31,$B$17:$B$31,'試算番号2-1'!G47)</f>
        <v>1.3537499999999999E-3</v>
      </c>
      <c r="M47" s="3">
        <f t="shared" si="9"/>
        <v>8.9896645273826312</v>
      </c>
      <c r="N47" s="1">
        <f t="shared" si="10"/>
        <v>1.6989928044460711E-2</v>
      </c>
      <c r="O47" s="1">
        <f t="shared" si="11"/>
        <v>6.9428450405015718E-2</v>
      </c>
      <c r="P47" s="1">
        <f t="shared" si="12"/>
        <v>9.202194921688495E-3</v>
      </c>
      <c r="U47">
        <v>9.25</v>
      </c>
      <c r="V47" s="1">
        <f t="shared" si="4"/>
        <v>2E-3</v>
      </c>
      <c r="W47" s="1">
        <f t="shared" si="6"/>
        <v>1.8368035824820801E-3</v>
      </c>
      <c r="X47" s="1">
        <f t="shared" si="5"/>
        <v>4.2474820111151777E-3</v>
      </c>
      <c r="Y47" s="1">
        <f t="shared" si="7"/>
        <v>3.9008950872722742E-3</v>
      </c>
    </row>
    <row r="48" spans="3:25">
      <c r="C48" s="1"/>
      <c r="G48">
        <f t="shared" si="8"/>
        <v>9.5</v>
      </c>
      <c r="H48" s="1">
        <f>Interpolate_Range($D$17:$D$31,$E$17:$E$31,G48)</f>
        <v>9.3374999999999986E-3</v>
      </c>
      <c r="I48">
        <f>(1-H48*J46)/(1+H48*0.5)</f>
        <v>0.91402582334605254</v>
      </c>
      <c r="J48">
        <f>J46+0.5*I48</f>
        <v>9.2074084769957043</v>
      </c>
      <c r="K48" s="1">
        <f>(I46/I48-1)/0.5</f>
        <v>1.9150303123681933E-2</v>
      </c>
      <c r="L48" s="1">
        <f>Interpolate_Range($A$17:$A$31,$B$17:$B$31,'試算番号2-1'!G48)</f>
        <v>1.3725E-3</v>
      </c>
      <c r="M48" s="3">
        <f t="shared" si="9"/>
        <v>9.2181709832191441</v>
      </c>
      <c r="N48" s="1">
        <f t="shared" si="10"/>
        <v>1.7040160026153991E-2</v>
      </c>
      <c r="O48" s="1">
        <f t="shared" si="11"/>
        <v>7.3322236979479191E-2</v>
      </c>
      <c r="P48" s="1">
        <f t="shared" si="12"/>
        <v>9.4627847171848117E-3</v>
      </c>
      <c r="U48">
        <v>9.5</v>
      </c>
      <c r="V48" s="1">
        <f t="shared" si="4"/>
        <v>2E-3</v>
      </c>
      <c r="W48" s="1">
        <f t="shared" si="6"/>
        <v>1.8280516466921051E-3</v>
      </c>
      <c r="X48" s="1">
        <f t="shared" si="5"/>
        <v>4.2600400065384977E-3</v>
      </c>
      <c r="Y48" s="1">
        <f t="shared" si="7"/>
        <v>3.8937865744634735E-3</v>
      </c>
    </row>
    <row r="49" spans="3:25">
      <c r="C49" s="1"/>
      <c r="G49">
        <f t="shared" si="8"/>
        <v>9.75</v>
      </c>
      <c r="H49" s="1"/>
      <c r="I49">
        <f>Interpolate_Interval(G48,G50,I48,I50,G49)</f>
        <v>0.90943823022992964</v>
      </c>
      <c r="K49" s="1">
        <f>Interpolate_Interval(G48,G50,K48,K50,G49)</f>
        <v>1.9715152414923054E-2</v>
      </c>
      <c r="L49" s="1">
        <f>Interpolate_Range($A$17:$A$31,$B$17:$B$31,'試算番号2-1'!G49)</f>
        <v>1.3912500000000001E-3</v>
      </c>
      <c r="M49" s="3">
        <f t="shared" si="9"/>
        <v>9.4455305407766268</v>
      </c>
      <c r="N49" s="1">
        <f t="shared" si="10"/>
        <v>1.8026242088808986E-2</v>
      </c>
      <c r="O49" s="1">
        <f t="shared" si="11"/>
        <v>7.742067540521487E-2</v>
      </c>
      <c r="P49" s="1">
        <f t="shared" si="12"/>
        <v>9.7362255912987541E-3</v>
      </c>
      <c r="U49">
        <v>9.75</v>
      </c>
      <c r="V49" s="1">
        <f t="shared" si="4"/>
        <v>2E-3</v>
      </c>
      <c r="W49" s="1">
        <f t="shared" si="6"/>
        <v>1.8188764604598593E-3</v>
      </c>
      <c r="X49" s="1">
        <f t="shared" si="5"/>
        <v>4.5065605222022465E-3</v>
      </c>
      <c r="Y49" s="1">
        <f t="shared" si="7"/>
        <v>4.0984384257356787E-3</v>
      </c>
    </row>
    <row r="50" spans="3:25">
      <c r="G50">
        <f t="shared" si="8"/>
        <v>10</v>
      </c>
      <c r="H50" s="1">
        <f>Interpolate_Range($D$17:$D$31,$E$17:$E$31,G50)</f>
        <v>9.8499999999999994E-3</v>
      </c>
      <c r="I50">
        <f>(1-H50*J48)/(1+H50*0.5)</f>
        <v>0.90485063711380675</v>
      </c>
      <c r="J50">
        <f>J48+I50*0.5</f>
        <v>9.6598337955526077</v>
      </c>
      <c r="K50" s="1">
        <f>(I48/I50-1)/0.5</f>
        <v>2.0280001706164175E-2</v>
      </c>
      <c r="L50" s="1">
        <f>Interpolate_Range($A$17:$A$31,$B$17:$B$31,'試算番号2-1'!G50)</f>
        <v>1.41E-3</v>
      </c>
      <c r="M50" s="3">
        <f t="shared" si="9"/>
        <v>9.6717432000550794</v>
      </c>
      <c r="N50" s="1">
        <f t="shared" si="10"/>
        <v>1.8087093719473642E-2</v>
      </c>
      <c r="O50" s="1">
        <f t="shared" si="11"/>
        <v>8.1512204974115585E-2</v>
      </c>
      <c r="P50" s="1">
        <f t="shared" si="12"/>
        <v>9.9985390766314901E-3</v>
      </c>
      <c r="U50">
        <v>10</v>
      </c>
      <c r="V50" s="1">
        <f t="shared" si="4"/>
        <v>2E-3</v>
      </c>
      <c r="W50" s="1">
        <f t="shared" si="6"/>
        <v>1.8097012742276136E-3</v>
      </c>
      <c r="X50" s="1">
        <f t="shared" si="5"/>
        <v>4.5217734298684106E-3</v>
      </c>
      <c r="Y50" s="1">
        <f t="shared" si="7"/>
        <v>4.0915295689007147E-3</v>
      </c>
    </row>
    <row r="51" spans="3:25">
      <c r="G51">
        <f t="shared" si="8"/>
        <v>10.25</v>
      </c>
      <c r="H51" s="1"/>
      <c r="I51">
        <f>Interpolate_Interval(G50,G52,I50,I52,G51)</f>
        <v>0.90021313566400796</v>
      </c>
      <c r="K51" s="1">
        <f>Interpolate_Interval(G50,G52,K50,K52,G51)</f>
        <v>2.0496471647126757E-2</v>
      </c>
      <c r="L51" s="1">
        <f>Interpolate_Range($A$17:$A$31,$B$17:$B$31,'試算番号2-1'!G51)</f>
        <v>1.428875E-3</v>
      </c>
      <c r="M51" s="3">
        <f t="shared" si="9"/>
        <v>9.896796483971082</v>
      </c>
      <c r="N51" s="1">
        <f t="shared" si="10"/>
        <v>1.8366202945010124E-2</v>
      </c>
      <c r="O51" s="1">
        <f t="shared" si="11"/>
        <v>8.564557925995786E-2</v>
      </c>
      <c r="P51" s="1">
        <f t="shared" si="12"/>
        <v>1.0255973296603729E-2</v>
      </c>
    </row>
    <row r="52" spans="3:25">
      <c r="G52">
        <f t="shared" si="8"/>
        <v>10.5</v>
      </c>
      <c r="H52" s="1">
        <f>Interpolate_Range($D$17:$D$31,$E$17:$E$31,G52)</f>
        <v>1.033125E-2</v>
      </c>
      <c r="I52">
        <f>(1-H52*J50)/(1+H52*0.5)</f>
        <v>0.89557563421420927</v>
      </c>
      <c r="J52">
        <f>J50+0.5*I52</f>
        <v>10.107621612659713</v>
      </c>
      <c r="K52" s="1">
        <f>(I50/I52-1)/0.5</f>
        <v>2.071294158808934E-2</v>
      </c>
      <c r="L52" s="1">
        <f>Interpolate_Range($A$17:$A$31,$B$17:$B$31,'試算番号2-1'!G52)</f>
        <v>1.44775E-3</v>
      </c>
      <c r="M52" s="3">
        <f t="shared" si="9"/>
        <v>10.120690392524635</v>
      </c>
      <c r="N52" s="1">
        <f t="shared" si="10"/>
        <v>1.8430858779118233E-2</v>
      </c>
      <c r="O52" s="1">
        <f t="shared" si="11"/>
        <v>8.9772136270013195E-2</v>
      </c>
      <c r="P52" s="1">
        <f t="shared" si="12"/>
        <v>1.0503676260054039E-2</v>
      </c>
    </row>
    <row r="53" spans="3:25">
      <c r="G53">
        <f t="shared" si="8"/>
        <v>10.75</v>
      </c>
      <c r="H53" s="1"/>
      <c r="I53">
        <f>Interpolate_Interval(G52,G54,I52,I54,G53)</f>
        <v>0.89074873032657031</v>
      </c>
      <c r="K53" s="1">
        <f>Interpolate_Interval(G52,G54,K52,K54,G53)</f>
        <v>2.1253377820348085E-2</v>
      </c>
      <c r="L53" s="1">
        <f>Interpolate_Range($A$17:$A$31,$B$17:$B$31,'試算番号2-1'!G53)</f>
        <v>1.466625E-3</v>
      </c>
      <c r="M53" s="3">
        <f t="shared" si="9"/>
        <v>10.343377575106278</v>
      </c>
      <c r="N53" s="1">
        <f t="shared" si="10"/>
        <v>1.9351258646178964E-2</v>
      </c>
      <c r="O53" s="1">
        <f t="shared" si="11"/>
        <v>9.4081413537339439E-2</v>
      </c>
      <c r="P53" s="1">
        <f t="shared" si="12"/>
        <v>1.0762130222826833E-2</v>
      </c>
    </row>
    <row r="54" spans="3:25">
      <c r="G54">
        <f t="shared" si="8"/>
        <v>11</v>
      </c>
      <c r="H54" s="1">
        <f>Interpolate_Range($D$17:$D$31,$E$17:$E$31,G54)</f>
        <v>1.0812499999999999E-2</v>
      </c>
      <c r="I54">
        <f>(1-H54*J52)/(1+H54*0.5)</f>
        <v>0.88592182643893136</v>
      </c>
      <c r="J54">
        <f>J52+0.5*I54</f>
        <v>10.550582525879179</v>
      </c>
      <c r="K54" s="1">
        <f>(I52/I54-1)/0.5</f>
        <v>2.179381405260683E-2</v>
      </c>
      <c r="L54" s="1">
        <f>Interpolate_Range($A$17:$A$31,$B$17:$B$31,'試算番号2-1'!G54)</f>
        <v>1.4854999999999998E-3</v>
      </c>
      <c r="M54" s="3">
        <f t="shared" si="9"/>
        <v>10.56485803171601</v>
      </c>
      <c r="N54" s="1">
        <f t="shared" si="10"/>
        <v>1.9426831077907339E-2</v>
      </c>
      <c r="O54" s="1">
        <f t="shared" si="11"/>
        <v>9.8384076954954505E-2</v>
      </c>
      <c r="P54" s="1">
        <f t="shared" si="12"/>
        <v>1.1011505843633125E-2</v>
      </c>
    </row>
    <row r="55" spans="3:25">
      <c r="G55">
        <f t="shared" si="8"/>
        <v>11.25</v>
      </c>
      <c r="H55" s="1"/>
      <c r="I55">
        <f>Interpolate_Interval(G54,G56,I54,I56,G55)</f>
        <v>0.88091004849538046</v>
      </c>
      <c r="K55" s="1">
        <f>Interpolate_Interval(G54,G56,K54,K56,G55)</f>
        <v>2.23406513789286E-2</v>
      </c>
      <c r="L55" s="1">
        <f>Interpolate_Range($A$17:$A$31,$B$17:$B$31,'試算番号2-1'!G55)</f>
        <v>1.5043749999999999E-3</v>
      </c>
      <c r="M55" s="3">
        <f t="shared" si="9"/>
        <v>10.785085543839855</v>
      </c>
      <c r="N55" s="1">
        <f t="shared" si="10"/>
        <v>2.0347419091448594E-2</v>
      </c>
      <c r="O55" s="1">
        <f t="shared" si="11"/>
        <v>0.10286513843960546</v>
      </c>
      <c r="P55" s="1">
        <f t="shared" si="12"/>
        <v>1.1271089764713508E-2</v>
      </c>
    </row>
    <row r="56" spans="3:25">
      <c r="G56">
        <f t="shared" si="8"/>
        <v>11.5</v>
      </c>
      <c r="H56" s="1">
        <f>Interpolate_Range($D$17:$D$31,$E$17:$E$31,G56)</f>
        <v>1.129375E-2</v>
      </c>
      <c r="I56">
        <f>(1-H56*J54)/(1+H56*0.5)</f>
        <v>0.87589827055182967</v>
      </c>
      <c r="J56">
        <f>J54+0.5*I56</f>
        <v>10.988531661155093</v>
      </c>
      <c r="K56" s="1">
        <f>(I54/I56-1)/0.5</f>
        <v>2.2887488705250369E-2</v>
      </c>
      <c r="L56" s="1">
        <f>Interpolate_Range($A$17:$A$31,$B$17:$B$31,'試算番号2-1'!G56)</f>
        <v>1.5232499999999999E-3</v>
      </c>
      <c r="M56" s="3">
        <f t="shared" si="9"/>
        <v>11.004060111477813</v>
      </c>
      <c r="N56" s="1">
        <f t="shared" si="10"/>
        <v>2.0434594263725101E-2</v>
      </c>
      <c r="O56" s="1">
        <f t="shared" si="11"/>
        <v>0.10733979488336175</v>
      </c>
      <c r="P56" s="1">
        <f t="shared" si="12"/>
        <v>1.1522202112725448E-2</v>
      </c>
    </row>
    <row r="57" spans="3:25">
      <c r="G57">
        <f t="shared" si="8"/>
        <v>11.75</v>
      </c>
      <c r="H57" s="1"/>
      <c r="I57">
        <f>Interpolate_Interval(G56,G58,I56,I58,G57)</f>
        <v>0.87070629732927507</v>
      </c>
      <c r="K57" s="1">
        <f>Interpolate_Interval(G56,G58,K56,K58,G57)</f>
        <v>2.3441173113641023E-2</v>
      </c>
      <c r="L57" s="1">
        <f>Interpolate_Range($A$17:$A$31,$B$17:$B$31,'試算番号2-1'!G57)</f>
        <v>1.5421249999999999E-3</v>
      </c>
      <c r="M57" s="3">
        <f t="shared" si="9"/>
        <v>11.221736685810132</v>
      </c>
      <c r="N57" s="1">
        <f t="shared" si="10"/>
        <v>2.1355477111016111E-2</v>
      </c>
      <c r="O57" s="1">
        <f t="shared" si="11"/>
        <v>0.11198838198411998</v>
      </c>
      <c r="P57" s="1">
        <f t="shared" si="12"/>
        <v>1.17830264411451E-2</v>
      </c>
    </row>
    <row r="58" spans="3:25">
      <c r="G58">
        <f t="shared" si="8"/>
        <v>12</v>
      </c>
      <c r="H58" s="1">
        <f>Interpolate_Range($D$17:$D$31,$E$17:$E$31,G58)</f>
        <v>1.1775000000000001E-2</v>
      </c>
      <c r="I58">
        <f>(1-H58*J56)/(1+H58*0.5)</f>
        <v>0.86551432410672047</v>
      </c>
      <c r="J58">
        <f>J56+I58*0.5</f>
        <v>11.421288823208453</v>
      </c>
      <c r="K58" s="1">
        <f>(I56/I58-1)/0.5</f>
        <v>2.3994857522031676E-2</v>
      </c>
      <c r="L58" s="1">
        <f>Interpolate_Range($A$17:$A$31,$B$17:$B$31,'試算番号2-1'!G58)</f>
        <v>1.5609999999999999E-3</v>
      </c>
      <c r="M58" s="3">
        <f t="shared" si="9"/>
        <v>11.438115266836812</v>
      </c>
      <c r="N58" s="1">
        <f t="shared" si="10"/>
        <v>2.1454970060344702E-2</v>
      </c>
      <c r="O58" s="1">
        <f t="shared" si="11"/>
        <v>0.11663077796174727</v>
      </c>
      <c r="P58" s="1">
        <f t="shared" si="12"/>
        <v>1.2035946200700372E-2</v>
      </c>
    </row>
    <row r="59" spans="3:25">
      <c r="G59">
        <f t="shared" si="8"/>
        <v>12.25</v>
      </c>
      <c r="H59" s="1"/>
      <c r="I59">
        <f>Interpolate_Interval(G58,G60,I58,I60,G59)</f>
        <v>0.86033098910365369</v>
      </c>
      <c r="K59" s="1">
        <f>Interpolate_Interval(G58,G60,K58,K60,G59)</f>
        <v>2.412009547994276E-2</v>
      </c>
      <c r="L59" s="1">
        <f>Interpolate_Range($A$17:$A$31,$B$17:$B$31,'試算番号2-1'!G59)</f>
        <v>1.5774999999999999E-3</v>
      </c>
      <c r="M59" s="3">
        <f t="shared" si="9"/>
        <v>11.653198014112725</v>
      </c>
      <c r="N59" s="1">
        <f t="shared" si="10"/>
        <v>2.1644288657724269E-2</v>
      </c>
      <c r="O59" s="1">
        <f t="shared" si="11"/>
        <v>0.1212860910290835</v>
      </c>
      <c r="P59" s="1">
        <f t="shared" si="12"/>
        <v>1.2280660630831736E-2</v>
      </c>
    </row>
    <row r="60" spans="3:25">
      <c r="G60">
        <f t="shared" si="8"/>
        <v>12.5</v>
      </c>
      <c r="H60" s="1">
        <f>Interpolate_Range($D$17:$D$31,$E$17:$E$31,G60)</f>
        <v>1.2225E-2</v>
      </c>
      <c r="I60">
        <f>(1-H60*J58)/(1+H60*0.5)</f>
        <v>0.85514765410058691</v>
      </c>
      <c r="J60">
        <f>J58+0.5*I60</f>
        <v>11.848862650258747</v>
      </c>
      <c r="K60" s="1">
        <f>(I58/I60-1)/0.5</f>
        <v>2.4245333437853844E-2</v>
      </c>
      <c r="L60" s="1">
        <f>Interpolate_Range($A$17:$A$31,$B$17:$B$31,'試算番号2-1'!G60)</f>
        <v>1.5939999999999999E-3</v>
      </c>
      <c r="M60" s="3">
        <f t="shared" si="9"/>
        <v>11.866984927637871</v>
      </c>
      <c r="N60" s="1">
        <f t="shared" si="10"/>
        <v>2.1751943647981189E-2</v>
      </c>
      <c r="O60" s="1">
        <f t="shared" si="11"/>
        <v>0.12593637192475832</v>
      </c>
      <c r="P60" s="1">
        <f t="shared" si="12"/>
        <v>1.2518490408074323E-2</v>
      </c>
    </row>
    <row r="61" spans="3:25">
      <c r="G61">
        <f t="shared" si="8"/>
        <v>12.75</v>
      </c>
      <c r="H61" s="1"/>
      <c r="I61">
        <f>Interpolate_Interval(G60,G62,I60,I62,G61)</f>
        <v>0.84980576509690819</v>
      </c>
      <c r="K61" s="1">
        <f>Interpolate_Interval(G60,G62,K60,K62,G61)</f>
        <v>2.4774217969152357E-2</v>
      </c>
      <c r="L61" s="1">
        <f>Interpolate_Range($A$17:$A$31,$B$17:$B$31,'試算番号2-1'!G61)</f>
        <v>1.6105E-3</v>
      </c>
      <c r="M61" s="3">
        <f t="shared" si="9"/>
        <v>12.079436368912098</v>
      </c>
      <c r="N61" s="1">
        <f t="shared" si="10"/>
        <v>2.2611899817614134E-2</v>
      </c>
      <c r="O61" s="1">
        <f t="shared" si="11"/>
        <v>0.13074030263095887</v>
      </c>
      <c r="P61" s="1">
        <f t="shared" si="12"/>
        <v>1.2764507236175416E-2</v>
      </c>
    </row>
    <row r="62" spans="3:25">
      <c r="G62">
        <f t="shared" si="8"/>
        <v>13</v>
      </c>
      <c r="H62" s="1">
        <f>Interpolate_Range($D$17:$D$31,$E$17:$E$31,G62)</f>
        <v>1.2675000000000001E-2</v>
      </c>
      <c r="I62">
        <f>(1-H62*J60)/(1+H62*0.5)</f>
        <v>0.84446387609322948</v>
      </c>
      <c r="J62">
        <f>J60+0.5*I62</f>
        <v>12.271094588305361</v>
      </c>
      <c r="K62" s="1">
        <f>(I60/I62-1)/0.5</f>
        <v>2.5303102500450869E-2</v>
      </c>
      <c r="L62" s="1">
        <f>Interpolate_Range($A$17:$A$31,$B$17:$B$31,'試算番号2-1'!G62)</f>
        <v>1.627E-3</v>
      </c>
      <c r="M62" s="3">
        <f t="shared" si="9"/>
        <v>12.290552337935406</v>
      </c>
      <c r="N62" s="1">
        <f t="shared" si="10"/>
        <v>2.2732020908664271E-2</v>
      </c>
      <c r="O62" s="1">
        <f t="shared" si="11"/>
        <v>0.13553939525294961</v>
      </c>
      <c r="P62" s="1">
        <f t="shared" si="12"/>
        <v>1.3004101472742448E-2</v>
      </c>
    </row>
    <row r="63" spans="3:25">
      <c r="G63">
        <f t="shared" si="8"/>
        <v>13.25</v>
      </c>
      <c r="H63" s="1"/>
      <c r="I63">
        <f>Interpolate_Interval(G62,G64,I62,I64,G63)</f>
        <v>0.8389680490821898</v>
      </c>
      <c r="K63" s="1">
        <f>Interpolate_Interval(G62,G64,K62,K64,G63)</f>
        <v>2.5839338114634014E-2</v>
      </c>
      <c r="L63" s="1">
        <f>Interpolate_Range($A$17:$A$31,$B$17:$B$31,'試算番号2-1'!G63)</f>
        <v>1.6435E-3</v>
      </c>
      <c r="M63" s="3">
        <f t="shared" si="9"/>
        <v>12.500294350205953</v>
      </c>
      <c r="N63" s="1">
        <f t="shared" si="10"/>
        <v>2.3592421216566871E-2</v>
      </c>
      <c r="O63" s="1">
        <f t="shared" si="11"/>
        <v>0.14048771715324671</v>
      </c>
      <c r="P63" s="1">
        <f t="shared" si="12"/>
        <v>1.3251521160971717E-2</v>
      </c>
    </row>
    <row r="64" spans="3:25">
      <c r="G64">
        <f t="shared" si="8"/>
        <v>13.5</v>
      </c>
      <c r="H64" s="1">
        <f>Interpolate_Range($D$17:$D$31,$E$17:$E$31,G64)</f>
        <v>1.3125000000000001E-2</v>
      </c>
      <c r="I64">
        <f>(1-H64*J62)/(1+H64*0.5)</f>
        <v>0.83347222207115013</v>
      </c>
      <c r="J64">
        <f>J62+0.5*I64</f>
        <v>12.687830699340937</v>
      </c>
      <c r="K64" s="1">
        <f>(I62/I64-1)/0.5</f>
        <v>2.6375573728817159E-2</v>
      </c>
      <c r="L64" s="1">
        <f>Interpolate_Range($A$17:$A$31,$B$17:$B$31,'試算番号2-1'!G64)</f>
        <v>1.66E-3</v>
      </c>
      <c r="M64" s="3">
        <f t="shared" si="9"/>
        <v>12.708662405723741</v>
      </c>
      <c r="N64" s="1">
        <f t="shared" si="10"/>
        <v>2.3725715392490829E-2</v>
      </c>
      <c r="O64" s="1">
        <f t="shared" si="11"/>
        <v>0.14543139833534846</v>
      </c>
      <c r="P64" s="1">
        <f t="shared" si="12"/>
        <v>1.3492955866362233E-2</v>
      </c>
    </row>
    <row r="65" spans="7:16">
      <c r="G65">
        <f t="shared" si="8"/>
        <v>13.75</v>
      </c>
      <c r="H65" s="1"/>
      <c r="I65">
        <f>Interpolate_Interval(G64,G66,I64,I66,G65)</f>
        <v>0.82782717953634943</v>
      </c>
      <c r="K65" s="1">
        <f>Interpolate_Interval(G64,G66,K64,K66,G65)</f>
        <v>2.6919640867921091E-2</v>
      </c>
      <c r="L65" s="1">
        <f>Interpolate_Range($A$17:$A$31,$B$17:$B$31,'試算番号2-1'!G65)</f>
        <v>1.6764999999999998E-3</v>
      </c>
      <c r="M65" s="3">
        <f t="shared" si="9"/>
        <v>12.915619200607829</v>
      </c>
      <c r="N65" s="1">
        <f t="shared" si="10"/>
        <v>2.4586709227561249E-2</v>
      </c>
      <c r="O65" s="1">
        <f t="shared" si="11"/>
        <v>0.15051978487383155</v>
      </c>
      <c r="P65" s="1">
        <f t="shared" si="12"/>
        <v>1.3741881218089617E-2</v>
      </c>
    </row>
    <row r="66" spans="7:16">
      <c r="G66">
        <f t="shared" si="8"/>
        <v>14</v>
      </c>
      <c r="H66" s="1">
        <f>Interpolate_Range($D$17:$D$31,$E$17:$E$31,G66)</f>
        <v>1.3575E-2</v>
      </c>
      <c r="I66">
        <f>(1-H66*J64)/(1+H66*0.5)</f>
        <v>0.82218213700154885</v>
      </c>
      <c r="J66">
        <f>J64+I66*0.5</f>
        <v>13.098921767841711</v>
      </c>
      <c r="K66" s="1">
        <f>(I64/I66-1)/0.5</f>
        <v>2.7463708007025023E-2</v>
      </c>
      <c r="L66" s="1">
        <f>Interpolate_Range($A$17:$A$31,$B$17:$B$31,'試算番号2-1'!G66)</f>
        <v>1.6929999999999998E-3</v>
      </c>
      <c r="M66" s="3">
        <f t="shared" si="9"/>
        <v>13.121164734858215</v>
      </c>
      <c r="N66" s="1">
        <f t="shared" si="10"/>
        <v>2.4733917217153359E-2</v>
      </c>
      <c r="O66" s="1">
        <f t="shared" si="11"/>
        <v>0.15560373110233619</v>
      </c>
      <c r="P66" s="1">
        <f t="shared" si="12"/>
        <v>1.3985237900710046E-2</v>
      </c>
    </row>
    <row r="67" spans="7:16">
      <c r="G67">
        <f t="shared" si="8"/>
        <v>14.25</v>
      </c>
      <c r="H67" s="1"/>
      <c r="I67">
        <f>Interpolate_Interval(G66,G68,I66,I68,G67)</f>
        <v>0.81639270189957536</v>
      </c>
      <c r="K67" s="1">
        <f>Interpolate_Interval(G66,G68,K66,K68,G67)</f>
        <v>2.8016116944730385E-2</v>
      </c>
      <c r="L67" s="1">
        <f>Interpolate_Range($A$17:$A$31,$B$17:$B$31,'試算番号2-1'!G67)</f>
        <v>1.7094999999999999E-3</v>
      </c>
      <c r="M67" s="3">
        <f t="shared" si="9"/>
        <v>13.325262910333109</v>
      </c>
      <c r="N67" s="1">
        <f t="shared" si="10"/>
        <v>2.5595672478300083E-2</v>
      </c>
      <c r="O67" s="1">
        <f t="shared" si="11"/>
        <v>0.16082776115521019</v>
      </c>
      <c r="P67" s="1">
        <f t="shared" si="12"/>
        <v>1.4235774558237244E-2</v>
      </c>
    </row>
    <row r="68" spans="7:16">
      <c r="G68">
        <f t="shared" si="8"/>
        <v>14.5</v>
      </c>
      <c r="H68" s="1">
        <f>Interpolate_Range($D$17:$D$31,$E$17:$E$31,G68)</f>
        <v>1.4024999999999999E-2</v>
      </c>
      <c r="I68">
        <f>(1-H68*J66)/(1+H68*0.5)</f>
        <v>0.81060326679760175</v>
      </c>
      <c r="J68">
        <f>J66+0.5*I68</f>
        <v>13.504223401240512</v>
      </c>
      <c r="K68" s="1">
        <f>(I66/I68-1)/0.5</f>
        <v>2.8568525882435747E-2</v>
      </c>
      <c r="L68" s="1">
        <f>Interpolate_Range($A$17:$A$31,$B$17:$B$31,'試算番号2-1'!G68)</f>
        <v>1.7259999999999999E-3</v>
      </c>
      <c r="M68" s="3">
        <f t="shared" si="9"/>
        <v>13.527913727032509</v>
      </c>
      <c r="N68" s="1">
        <f t="shared" si="10"/>
        <v>2.5757571764799075E-2</v>
      </c>
      <c r="O68" s="1">
        <f t="shared" si="11"/>
        <v>0.16604755410954014</v>
      </c>
      <c r="P68" s="1">
        <f t="shared" si="12"/>
        <v>1.4481140323989564E-2</v>
      </c>
    </row>
    <row r="69" spans="7:16">
      <c r="G69">
        <f t="shared" si="8"/>
        <v>14.75</v>
      </c>
      <c r="H69" s="1"/>
      <c r="I69">
        <f>Interpolate_Interval(G68,G70,I68,I70,G69)</f>
        <v>0.80467435644924512</v>
      </c>
      <c r="K69" s="1">
        <f>Interpolate_Interval(G68,G70,K68,K70,G69)</f>
        <v>2.9129819500692378E-2</v>
      </c>
      <c r="L69" s="1">
        <f>Interpolate_Range($A$17:$A$31,$B$17:$B$31,'試算番号2-1'!G69)</f>
        <v>1.7424999999999999E-3</v>
      </c>
      <c r="M69" s="3">
        <f t="shared" si="9"/>
        <v>13.729082316144821</v>
      </c>
      <c r="N69" s="1">
        <f t="shared" si="10"/>
        <v>2.662027669907565E-2</v>
      </c>
      <c r="O69" s="1">
        <f t="shared" si="11"/>
        <v>0.17140271761487252</v>
      </c>
      <c r="P69" s="1">
        <f t="shared" si="12"/>
        <v>1.473339725805798E-2</v>
      </c>
    </row>
    <row r="70" spans="7:16">
      <c r="G70">
        <f t="shared" si="8"/>
        <v>15</v>
      </c>
      <c r="H70" s="1">
        <f>Interpolate_Range($D$17:$D$31,$E$17:$E$31,G70)</f>
        <v>1.4475E-2</v>
      </c>
      <c r="I70">
        <f>(1-H70*J68)/(1+H70*0.5)</f>
        <v>0.79874544610088838</v>
      </c>
      <c r="J70">
        <f>J68+0.5*I70</f>
        <v>13.903596124290956</v>
      </c>
      <c r="K70" s="1">
        <f>(I68/I70-1)/0.5</f>
        <v>2.9691113118949009E-2</v>
      </c>
      <c r="L70" s="1">
        <f>Interpolate_Range($A$17:$A$31,$B$17:$B$31,'試算番号2-1'!G70)</f>
        <v>1.7589999999999999E-3</v>
      </c>
      <c r="M70" s="3">
        <f t="shared" si="9"/>
        <v>13.928768677670043</v>
      </c>
      <c r="N70" s="1">
        <f t="shared" si="10"/>
        <v>2.6797684826069579E-2</v>
      </c>
      <c r="O70" s="1">
        <f t="shared" si="11"/>
        <v>0.17675384979509001</v>
      </c>
      <c r="P70" s="1">
        <f t="shared" si="12"/>
        <v>1.498086497258585E-2</v>
      </c>
    </row>
    <row r="71" spans="7:16">
      <c r="G71">
        <f t="shared" si="8"/>
        <v>15.25</v>
      </c>
      <c r="H71" s="1"/>
      <c r="I71">
        <f>Interpolate_Interval(G70,G72,I70,I72,G71)</f>
        <v>0.79372872924630966</v>
      </c>
      <c r="K71" s="1">
        <f>Interpolate_Interval(G70,G72,K70,K72,G71)</f>
        <v>2.7566845891345615E-2</v>
      </c>
      <c r="L71" s="1">
        <f>Interpolate_Range($A$17:$A$31,$B$17:$B$31,'試算番号2-1'!G71)</f>
        <v>1.76775E-3</v>
      </c>
      <c r="M71" s="3">
        <f t="shared" si="9"/>
        <v>14.12720085998162</v>
      </c>
      <c r="N71" s="1">
        <f t="shared" si="10"/>
        <v>2.2899821921187922E-2</v>
      </c>
      <c r="O71" s="1">
        <f t="shared" si="11"/>
        <v>0.18129791143345783</v>
      </c>
      <c r="P71" s="1">
        <f t="shared" si="12"/>
        <v>1.5148427995687079E-2</v>
      </c>
    </row>
    <row r="72" spans="7:16">
      <c r="G72">
        <f t="shared" si="8"/>
        <v>15.5</v>
      </c>
      <c r="H72" s="1">
        <f>Interpolate_Range($D$17:$D$31,$E$17:$E$31,G72)</f>
        <v>1.4777500000000001E-2</v>
      </c>
      <c r="I72">
        <f>(1-H72*J70)/(1+H72*0.5)</f>
        <v>0.78871201239173094</v>
      </c>
      <c r="J72">
        <f>J70+0.5*I72</f>
        <v>14.297952130486822</v>
      </c>
      <c r="K72" s="1">
        <f>(I70/I72-1)/0.5</f>
        <v>2.5442578663742221E-2</v>
      </c>
      <c r="L72" s="1">
        <f>Interpolate_Range($A$17:$A$31,$B$17:$B$31,'試算番号2-1'!G72)</f>
        <v>1.7764999999999999E-3</v>
      </c>
      <c r="M72" s="3">
        <f t="shared" si="9"/>
        <v>14.324378863079554</v>
      </c>
      <c r="N72" s="1">
        <f t="shared" si="10"/>
        <v>2.3039167925309162E-2</v>
      </c>
      <c r="O72" s="1">
        <f t="shared" si="11"/>
        <v>0.18584072855800823</v>
      </c>
      <c r="P72" s="1">
        <f t="shared" si="12"/>
        <v>1.5313163101417695E-2</v>
      </c>
    </row>
    <row r="73" spans="7:16">
      <c r="G73">
        <f t="shared" si="8"/>
        <v>15.75</v>
      </c>
      <c r="H73" s="1"/>
      <c r="I73">
        <f>Interpolate_Interval(G72,G74,I72,I74,G73)</f>
        <v>0.78361443855202939</v>
      </c>
      <c r="K73" s="1">
        <f>Interpolate_Interval(G72,G74,K72,K74,G73)</f>
        <v>2.5816892190995366E-2</v>
      </c>
      <c r="L73" s="1">
        <f>Interpolate_Range($A$17:$A$31,$B$17:$B$31,'試算番号2-1'!G73)</f>
        <v>1.7852499999999999E-3</v>
      </c>
      <c r="M73" s="3">
        <f t="shared" si="9"/>
        <v>14.520282472717561</v>
      </c>
      <c r="N73" s="1">
        <f t="shared" si="10"/>
        <v>2.3595780670324758E-2</v>
      </c>
      <c r="O73" s="1">
        <f t="shared" si="11"/>
        <v>0.19046322716355157</v>
      </c>
      <c r="P73" s="1">
        <f t="shared" si="12"/>
        <v>1.5481788391116229E-2</v>
      </c>
    </row>
    <row r="74" spans="7:16">
      <c r="G74">
        <f t="shared" si="8"/>
        <v>16</v>
      </c>
      <c r="H74" s="1">
        <f>Interpolate_Range($D$17:$D$31,$E$17:$E$31,G74)</f>
        <v>1.508E-2</v>
      </c>
      <c r="I74">
        <f>(1-H74*J72)/(1+H74*0.5)</f>
        <v>0.77851686471232773</v>
      </c>
      <c r="J74">
        <f>J72+I74*0.5</f>
        <v>14.687210562842985</v>
      </c>
      <c r="K74" s="1">
        <f>(I72/I74-1)/0.5</f>
        <v>2.6191205718248511E-2</v>
      </c>
      <c r="L74" s="1">
        <f>Interpolate_Range($A$17:$A$31,$B$17:$B$31,'試算番号2-1'!G74)</f>
        <v>1.794E-3</v>
      </c>
      <c r="M74" s="3">
        <f t="shared" si="9"/>
        <v>14.714911688895643</v>
      </c>
      <c r="N74" s="1">
        <f t="shared" si="10"/>
        <v>2.3744413325969892E-2</v>
      </c>
      <c r="O74" s="1">
        <f t="shared" si="11"/>
        <v>0.1950845837177935</v>
      </c>
      <c r="P74" s="1">
        <f t="shared" si="12"/>
        <v>1.5647789053555228E-2</v>
      </c>
    </row>
    <row r="75" spans="7:16">
      <c r="G75">
        <f t="shared" si="8"/>
        <v>16.25</v>
      </c>
      <c r="H75" s="1"/>
      <c r="I75">
        <f>Interpolate_Interval(G74,G76,I74,I76,G75)</f>
        <v>0.77334134640204244</v>
      </c>
      <c r="K75" s="1">
        <f>Interpolate_Interval(G74,G76,K74,K76,G75)</f>
        <v>2.6570605576029971E-2</v>
      </c>
      <c r="L75" s="1">
        <f>Interpolate_Range($A$17:$A$31,$B$17:$B$31,'試算番号2-1'!G75)</f>
        <v>1.8027499999999999E-3</v>
      </c>
      <c r="M75" s="3">
        <f t="shared" ref="M75:M106" si="13">M74+I75*0.25</f>
        <v>14.908247025496154</v>
      </c>
      <c r="N75" s="1">
        <f t="shared" ref="N75:N106" si="14">(1-I75-L75*M75-O74)/(I75*0.25)</f>
        <v>2.4300925208819039E-2</v>
      </c>
      <c r="O75" s="1">
        <f t="shared" ref="O75:O106" si="15">O74+N75*I75*0.25</f>
        <v>0.19978281127274436</v>
      </c>
      <c r="P75" s="1">
        <f t="shared" ref="P75:P106" si="16">-LN(I75)/G75</f>
        <v>1.581752254257196E-2</v>
      </c>
    </row>
    <row r="76" spans="7:16">
      <c r="G76">
        <f t="shared" si="8"/>
        <v>16.5</v>
      </c>
      <c r="H76" s="1">
        <f>Interpolate_Range($D$17:$D$31,$E$17:$E$31,G76)</f>
        <v>1.53825E-2</v>
      </c>
      <c r="I76">
        <f>(1-H76*J74)/(1+H76*0.5)</f>
        <v>0.76816582809175715</v>
      </c>
      <c r="J76">
        <f>J74+0.5*I76</f>
        <v>15.071293476888863</v>
      </c>
      <c r="K76" s="1">
        <f>(I74/I76-1)/0.5</f>
        <v>2.695000543381143E-2</v>
      </c>
      <c r="L76" s="1">
        <f>Interpolate_Range($A$17:$A$31,$B$17:$B$31,'試算番号2-1'!G76)</f>
        <v>1.8115E-3</v>
      </c>
      <c r="M76" s="3">
        <f t="shared" si="13"/>
        <v>15.100288482519094</v>
      </c>
      <c r="N76" s="1">
        <f t="shared" si="14"/>
        <v>2.4459239802862357E-2</v>
      </c>
      <c r="O76" s="1">
        <f t="shared" si="15"/>
        <v>0.20447999932215952</v>
      </c>
      <c r="P76" s="1">
        <f t="shared" si="16"/>
        <v>1.5984827099865952E-2</v>
      </c>
    </row>
    <row r="77" spans="7:16">
      <c r="G77">
        <f t="shared" ref="G77:G130" si="17">G76+0.25</f>
        <v>16.75</v>
      </c>
      <c r="H77" s="1"/>
      <c r="I77">
        <f>Interpolate_Interval(G76,G78,I76,I78,G77)</f>
        <v>0.76291530195123003</v>
      </c>
      <c r="K77" s="1">
        <f>Interpolate_Interval(G76,G78,K76,K78,G77)</f>
        <v>2.7334763149635677E-2</v>
      </c>
      <c r="L77" s="1">
        <f>Interpolate_Range($A$17:$A$31,$B$17:$B$31,'試算番号2-1'!G77)</f>
        <v>1.82025E-3</v>
      </c>
      <c r="M77" s="3">
        <f t="shared" si="13"/>
        <v>15.291017308006902</v>
      </c>
      <c r="N77" s="1">
        <f t="shared" si="14"/>
        <v>2.5015749242454637E-2</v>
      </c>
      <c r="O77" s="1">
        <f t="shared" si="15"/>
        <v>0.2092512237938704</v>
      </c>
      <c r="P77" s="1">
        <f t="shared" si="16"/>
        <v>1.6155717043365325E-2</v>
      </c>
    </row>
    <row r="78" spans="7:16">
      <c r="G78">
        <f t="shared" si="17"/>
        <v>17</v>
      </c>
      <c r="H78" s="1">
        <f>Interpolate_Range($D$17:$D$31,$E$17:$E$31,G78)</f>
        <v>1.5685000000000001E-2</v>
      </c>
      <c r="I78">
        <f>(1-H78*J76)/(1+H78*0.5)</f>
        <v>0.7576647758107028</v>
      </c>
      <c r="J78">
        <f>J76+0.5*I78</f>
        <v>15.450125864794215</v>
      </c>
      <c r="K78" s="1">
        <f>(I76/I78-1)/0.5</f>
        <v>2.7719520865459923E-2</v>
      </c>
      <c r="L78" s="1">
        <f>Interpolate_Range($A$17:$A$31,$B$17:$B$31,'試算番号2-1'!G78)</f>
        <v>1.8289999999999999E-3</v>
      </c>
      <c r="M78" s="3">
        <f t="shared" si="13"/>
        <v>15.480433501959578</v>
      </c>
      <c r="N78" s="1">
        <f t="shared" si="14"/>
        <v>2.518415886624021E-2</v>
      </c>
      <c r="O78" s="1">
        <f t="shared" si="15"/>
        <v>0.21402151131421315</v>
      </c>
      <c r="P78" s="1">
        <f t="shared" si="16"/>
        <v>1.6324367025365546E-2</v>
      </c>
    </row>
    <row r="79" spans="7:16">
      <c r="G79">
        <f t="shared" si="17"/>
        <v>17.25</v>
      </c>
      <c r="H79" s="1"/>
      <c r="I79">
        <f>Interpolate_Interval(G78,G80,I78,I80,G79)</f>
        <v>0.75234220021153009</v>
      </c>
      <c r="K79" s="1">
        <f>Interpolate_Interval(G78,G80,K78,K80,G79)</f>
        <v>2.8109923142805249E-2</v>
      </c>
      <c r="L79" s="1">
        <f>Interpolate_Range($A$17:$A$31,$B$17:$B$31,'試算番号2-1'!G79)</f>
        <v>1.83775E-3</v>
      </c>
      <c r="M79" s="3">
        <f t="shared" si="13"/>
        <v>15.66851905201246</v>
      </c>
      <c r="N79" s="1">
        <f t="shared" si="14"/>
        <v>2.574077373333377E-2</v>
      </c>
      <c r="O79" s="1">
        <f t="shared" si="15"/>
        <v>0.21886297890063403</v>
      </c>
      <c r="P79" s="1">
        <f t="shared" si="16"/>
        <v>1.6496464061736247E-2</v>
      </c>
    </row>
    <row r="80" spans="7:16">
      <c r="G80">
        <f t="shared" si="17"/>
        <v>17.5</v>
      </c>
      <c r="H80" s="1">
        <f>Interpolate_Range($D$17:$D$31,$E$17:$E$31,G80)</f>
        <v>1.5987500000000002E-2</v>
      </c>
      <c r="I80">
        <f>(1-H80*J78)/(1+H80*0.5)</f>
        <v>0.74701962461235738</v>
      </c>
      <c r="J80">
        <f>J78+0.5*I80</f>
        <v>15.823635677100393</v>
      </c>
      <c r="K80" s="1">
        <f>(I78/I80-1)/0.5</f>
        <v>2.8500325420150574E-2</v>
      </c>
      <c r="L80" s="1">
        <f>Interpolate_Range($A$17:$A$31,$B$17:$B$31,'試算番号2-1'!G80)</f>
        <v>1.8465000000000001E-3</v>
      </c>
      <c r="M80" s="3">
        <f t="shared" si="13"/>
        <v>15.855273958165549</v>
      </c>
      <c r="N80" s="1">
        <f t="shared" si="14"/>
        <v>2.5919710614123757E-2</v>
      </c>
      <c r="O80" s="1">
        <f t="shared" si="15"/>
        <v>0.22370361202388994</v>
      </c>
      <c r="P80" s="1">
        <f t="shared" si="16"/>
        <v>1.6666504169123072E-2</v>
      </c>
    </row>
    <row r="81" spans="7:16">
      <c r="G81">
        <f t="shared" si="17"/>
        <v>17.75</v>
      </c>
      <c r="H81" s="1"/>
      <c r="I81">
        <f>Interpolate_Interval(G80,G82,I80,I82,G81)</f>
        <v>0.74162797726262575</v>
      </c>
      <c r="K81" s="1">
        <f>Interpolate_Interval(G80,G82,K80,K82,G81)</f>
        <v>2.8896675332916288E-2</v>
      </c>
      <c r="L81" s="1">
        <f>Interpolate_Range($A$17:$A$31,$B$17:$B$31,'試算番号2-1'!G81)</f>
        <v>1.8552499999999999E-3</v>
      </c>
      <c r="M81" s="3">
        <f t="shared" si="13"/>
        <v>16.040680952481207</v>
      </c>
      <c r="N81" s="1">
        <f t="shared" si="14"/>
        <v>2.6476549034801049E-2</v>
      </c>
      <c r="O81" s="1">
        <f t="shared" si="15"/>
        <v>0.2286125494002835</v>
      </c>
      <c r="P81" s="1">
        <f t="shared" si="16"/>
        <v>1.6839861402769975E-2</v>
      </c>
    </row>
    <row r="82" spans="7:16">
      <c r="G82">
        <f t="shared" si="17"/>
        <v>18</v>
      </c>
      <c r="H82" s="1">
        <f>Interpolate_Range($D$17:$D$31,$E$17:$E$31,G82)</f>
        <v>1.6290000000000002E-2</v>
      </c>
      <c r="I82">
        <f>(1-H82*J80)/(1+H82*0.5)</f>
        <v>0.73623632991289401</v>
      </c>
      <c r="J82">
        <f>J80+I82*0.5</f>
        <v>16.191753842056841</v>
      </c>
      <c r="K82" s="1">
        <f>(I80/I82-1)/0.5</f>
        <v>2.9293025245682003E-2</v>
      </c>
      <c r="L82" s="1">
        <f>Interpolate_Range($A$17:$A$31,$B$17:$B$31,'試算番号2-1'!G82)</f>
        <v>1.864E-3</v>
      </c>
      <c r="M82" s="3">
        <f t="shared" si="13"/>
        <v>16.224740034959432</v>
      </c>
      <c r="N82" s="1">
        <f t="shared" si="14"/>
        <v>2.6666465982404387E-2</v>
      </c>
      <c r="O82" s="1">
        <f t="shared" si="15"/>
        <v>0.23352075466194161</v>
      </c>
      <c r="P82" s="1">
        <f t="shared" si="16"/>
        <v>1.7011339520546748E-2</v>
      </c>
    </row>
    <row r="83" spans="7:16">
      <c r="G83">
        <f t="shared" si="17"/>
        <v>18.25</v>
      </c>
      <c r="H83" s="1"/>
      <c r="I83">
        <f>Interpolate_Interval(G82,G84,I82,I84,G83)</f>
        <v>0.73077860546471629</v>
      </c>
      <c r="K83" s="1">
        <f>Interpolate_Interval(G82,G84,K82,K84,G83)</f>
        <v>2.9695643541362671E-2</v>
      </c>
      <c r="L83" s="1">
        <f>Interpolate_Range($A$17:$A$31,$B$17:$B$31,'試算番号2-1'!G83)</f>
        <v>1.8727499999999998E-3</v>
      </c>
      <c r="M83" s="3">
        <f t="shared" si="13"/>
        <v>16.407434686325612</v>
      </c>
      <c r="N83" s="1">
        <f t="shared" si="14"/>
        <v>2.7223657218935587E-2</v>
      </c>
      <c r="O83" s="1">
        <f t="shared" si="15"/>
        <v>0.23849437122646741</v>
      </c>
      <c r="P83" s="1">
        <f t="shared" si="16"/>
        <v>1.7186012625022579E-2</v>
      </c>
    </row>
    <row r="84" spans="7:16">
      <c r="G84">
        <f t="shared" si="17"/>
        <v>18.5</v>
      </c>
      <c r="H84" s="1">
        <f>Interpolate_Range($D$17:$D$31,$E$17:$E$31,G84)</f>
        <v>1.65925E-2</v>
      </c>
      <c r="I84">
        <f>(1-H84*J82)/(1+H84*0.5)</f>
        <v>0.72532088101653858</v>
      </c>
      <c r="J84">
        <f>J82+0.5*I84</f>
        <v>16.554414282565109</v>
      </c>
      <c r="K84" s="1">
        <f>(I82/I84-1)/0.5</f>
        <v>3.0098261837043339E-2</v>
      </c>
      <c r="L84" s="1">
        <f>Interpolate_Range($A$17:$A$31,$B$17:$B$31,'試算番号2-1'!G84)</f>
        <v>1.8814999999999999E-3</v>
      </c>
      <c r="M84" s="3">
        <f t="shared" si="13"/>
        <v>16.588764906579748</v>
      </c>
      <c r="N84" s="1">
        <f t="shared" si="14"/>
        <v>2.7425029199736044E-2</v>
      </c>
      <c r="O84" s="1">
        <f t="shared" si="15"/>
        <v>0.24346735781173162</v>
      </c>
      <c r="P84" s="1">
        <f t="shared" si="16"/>
        <v>1.7358979866916199E-2</v>
      </c>
    </row>
    <row r="85" spans="7:16">
      <c r="G85">
        <f t="shared" si="17"/>
        <v>18.75</v>
      </c>
      <c r="H85" s="1"/>
      <c r="I85">
        <f>Interpolate_Interval(G84,G86,I84,I86,G85)</f>
        <v>0.71980008867838352</v>
      </c>
      <c r="K85" s="1">
        <f>Interpolate_Interval(G84,G86,K84,K86,G85)</f>
        <v>3.0507488360609347E-2</v>
      </c>
      <c r="L85" s="1">
        <f>Interpolate_Range($A$17:$A$31,$B$17:$B$31,'試算番号2-1'!G85)</f>
        <v>1.89025E-3</v>
      </c>
      <c r="M85" s="3">
        <f t="shared" si="13"/>
        <v>16.768714928749343</v>
      </c>
      <c r="N85" s="1">
        <f t="shared" si="14"/>
        <v>2.7982714617676804E-2</v>
      </c>
      <c r="O85" s="1">
        <f t="shared" si="15"/>
        <v>0.24850284792754804</v>
      </c>
      <c r="P85" s="1">
        <f t="shared" si="16"/>
        <v>1.753502720739045E-2</v>
      </c>
    </row>
    <row r="86" spans="7:16">
      <c r="G86">
        <f t="shared" si="17"/>
        <v>19</v>
      </c>
      <c r="H86" s="1">
        <f>Interpolate_Range($D$17:$D$31,$E$17:$E$31,G86)</f>
        <v>1.6895E-2</v>
      </c>
      <c r="I86">
        <f>(1-H86*J84)/(1+H86*0.5)</f>
        <v>0.71427929634022846</v>
      </c>
      <c r="J86">
        <f>J84+0.5*I86</f>
        <v>16.911553930735224</v>
      </c>
      <c r="K86" s="1">
        <f>(I84/I86-1)/0.5</f>
        <v>3.0916714884175356E-2</v>
      </c>
      <c r="L86" s="1">
        <f>Interpolate_Range($A$17:$A$31,$B$17:$B$31,'試算番号2-1'!G86)</f>
        <v>1.8989999999999999E-3</v>
      </c>
      <c r="M86" s="3">
        <f t="shared" si="13"/>
        <v>16.947284752834399</v>
      </c>
      <c r="N86" s="1">
        <f t="shared" si="14"/>
        <v>2.8196040469820244E-2</v>
      </c>
      <c r="O86" s="1">
        <f t="shared" si="15"/>
        <v>0.25353780991413899</v>
      </c>
      <c r="P86" s="1">
        <f t="shared" si="16"/>
        <v>1.7709537988697871E-2</v>
      </c>
    </row>
    <row r="87" spans="7:16">
      <c r="G87">
        <f t="shared" si="17"/>
        <v>19.25</v>
      </c>
      <c r="H87" s="1"/>
      <c r="I87">
        <f>Interpolate_Interval(G86,G88,I86,I88,G87)</f>
        <v>0.70869845749650939</v>
      </c>
      <c r="K87" s="1">
        <f>Interpolate_Interval(G86,G88,K86,K88,G87)</f>
        <v>3.1332910136165459E-2</v>
      </c>
      <c r="L87" s="1">
        <f>Interpolate_Range($A$17:$A$31,$B$17:$B$31,'試算番号2-1'!G87)</f>
        <v>1.9077499999999999E-3</v>
      </c>
      <c r="M87" s="3">
        <f t="shared" si="13"/>
        <v>17.124459367208527</v>
      </c>
      <c r="N87" s="1">
        <f t="shared" si="14"/>
        <v>2.8754374601328368E-2</v>
      </c>
      <c r="O87" s="1">
        <f t="shared" si="15"/>
        <v>0.25863235514569854</v>
      </c>
      <c r="P87" s="1">
        <f t="shared" si="16"/>
        <v>1.7887020763304423E-2</v>
      </c>
    </row>
    <row r="88" spans="7:16">
      <c r="G88">
        <f t="shared" si="17"/>
        <v>19.5</v>
      </c>
      <c r="H88" s="1">
        <f>Interpolate_Range($D$17:$D$31,$E$17:$E$31,G88)</f>
        <v>1.7197500000000001E-2</v>
      </c>
      <c r="I88">
        <f>(1-H88*J86)/(1+H88*0.5)</f>
        <v>0.70311761865279021</v>
      </c>
      <c r="J88">
        <f>J86+0.5*I88</f>
        <v>17.263112740061619</v>
      </c>
      <c r="K88" s="1">
        <f>(I86/I88-1)/0.5</f>
        <v>3.1749105388155563E-2</v>
      </c>
      <c r="L88" s="1">
        <f>Interpolate_Range($A$17:$A$31,$B$17:$B$31,'試算番号2-1'!G88)</f>
        <v>1.9165E-3</v>
      </c>
      <c r="M88" s="3">
        <f t="shared" si="13"/>
        <v>17.300238771871726</v>
      </c>
      <c r="N88" s="1">
        <f t="shared" si="14"/>
        <v>2.8980178906508829E-2</v>
      </c>
      <c r="O88" s="1">
        <f t="shared" si="15"/>
        <v>0.26372647374091762</v>
      </c>
      <c r="P88" s="1">
        <f t="shared" si="16"/>
        <v>1.806313290053781E-2</v>
      </c>
    </row>
    <row r="89" spans="7:16">
      <c r="G89">
        <f t="shared" si="17"/>
        <v>19.75</v>
      </c>
      <c r="H89" s="1"/>
      <c r="I89">
        <f>Interpolate_Interval(G88,G90,I88,I90,G89)</f>
        <v>0.69747976449314686</v>
      </c>
      <c r="K89" s="1">
        <f>Interpolate_Interval(G88,G90,K88,K90,G89)</f>
        <v>3.217265223223853E-2</v>
      </c>
      <c r="L89" s="1">
        <f>Interpolate_Range($A$17:$A$31,$B$17:$B$31,'試算番号2-1'!G89)</f>
        <v>1.9252499999999999E-3</v>
      </c>
      <c r="M89" s="3">
        <f t="shared" si="13"/>
        <v>17.474608712995014</v>
      </c>
      <c r="N89" s="1">
        <f t="shared" si="14"/>
        <v>2.9539330621211023E-2</v>
      </c>
      <c r="O89" s="1">
        <f t="shared" si="15"/>
        <v>0.26887724508215949</v>
      </c>
      <c r="P89" s="1">
        <f t="shared" si="16"/>
        <v>1.824211530059832E-2</v>
      </c>
    </row>
    <row r="90" spans="7:16">
      <c r="G90">
        <f t="shared" si="17"/>
        <v>20</v>
      </c>
      <c r="H90" s="1">
        <f>Interpolate_Range($D$17:$D$31,$E$17:$E$31,G90)</f>
        <v>1.7500000000000002E-2</v>
      </c>
      <c r="I90">
        <f>(1-H90*J88)/(1+H90*0.5)</f>
        <v>0.69184191033350351</v>
      </c>
      <c r="J90">
        <f>J88+I90*0.5</f>
        <v>17.609033695228369</v>
      </c>
      <c r="K90" s="1">
        <f>(I88/I90-1)/0.5</f>
        <v>3.2596199076321497E-2</v>
      </c>
      <c r="L90" s="1">
        <f>Interpolate_Range($A$17:$A$31,$B$17:$B$31,'試算番号2-1'!G90)</f>
        <v>1.934E-3</v>
      </c>
      <c r="M90" s="3">
        <f t="shared" si="13"/>
        <v>17.647569190578391</v>
      </c>
      <c r="N90" s="1">
        <f t="shared" si="14"/>
        <v>2.9778165750471212E-2</v>
      </c>
      <c r="O90" s="1">
        <f t="shared" si="15"/>
        <v>0.27402769085191792</v>
      </c>
      <c r="P90" s="1">
        <f t="shared" si="16"/>
        <v>1.84198901369588E-2</v>
      </c>
    </row>
    <row r="91" spans="7:16">
      <c r="G91">
        <f t="shared" si="17"/>
        <v>20.25</v>
      </c>
      <c r="H91" s="1"/>
      <c r="I91">
        <f>Interpolate_Interval(G90,G92,I90,I92,G91)</f>
        <v>0.68759570666660874</v>
      </c>
      <c r="K91" s="1">
        <f>Interpolate_Interval(G90,G92,K90,K92,G91)</f>
        <v>2.8725718635723929E-2</v>
      </c>
      <c r="L91" s="1">
        <f>Interpolate_Range($A$17:$A$31,$B$17:$B$31,'試算番号2-1'!G91)</f>
        <v>1.9383499999999999E-3</v>
      </c>
      <c r="M91" s="3">
        <f t="shared" si="13"/>
        <v>17.819468117245044</v>
      </c>
      <c r="N91" s="1">
        <f t="shared" si="14"/>
        <v>2.2316814483959304E-2</v>
      </c>
      <c r="O91" s="1">
        <f t="shared" si="15"/>
        <v>0.27786392730832932</v>
      </c>
      <c r="P91" s="1">
        <f t="shared" si="16"/>
        <v>1.8496506144854121E-2</v>
      </c>
    </row>
    <row r="92" spans="7:16">
      <c r="G92">
        <f t="shared" si="17"/>
        <v>20.5</v>
      </c>
      <c r="H92" s="1">
        <f>Interpolate_Range($D$17:$D$31,$E$17:$E$31,G92)</f>
        <v>1.7640000000000003E-2</v>
      </c>
      <c r="I92">
        <f>(1-H92*J90)/(1+H92*0.5)</f>
        <v>0.68334950299971398</v>
      </c>
      <c r="J92">
        <f>J90+0.5*I92</f>
        <v>17.950708446728225</v>
      </c>
      <c r="K92" s="1">
        <f>(I90/I92-1)/0.5</f>
        <v>2.4855238195126361E-2</v>
      </c>
      <c r="L92" s="1">
        <f>Interpolate_Range($A$17:$A$31,$B$17:$B$31,'試算番号2-1'!G92)</f>
        <v>1.9426999999999999E-3</v>
      </c>
      <c r="M92" s="3">
        <f t="shared" si="13"/>
        <v>17.990305492994974</v>
      </c>
      <c r="N92" s="1">
        <f t="shared" si="14"/>
        <v>2.2458804426565861E-2</v>
      </c>
      <c r="O92" s="1">
        <f t="shared" si="15"/>
        <v>0.28170073051904471</v>
      </c>
      <c r="P92" s="1">
        <f t="shared" si="16"/>
        <v>1.8573113798602187E-2</v>
      </c>
    </row>
    <row r="93" spans="7:16">
      <c r="G93">
        <f t="shared" si="17"/>
        <v>20.75</v>
      </c>
      <c r="H93" s="1"/>
      <c r="I93">
        <f>Interpolate_Interval(G92,G94,I92,I94,G93)</f>
        <v>0.67909330249013944</v>
      </c>
      <c r="K93" s="1">
        <f>Interpolate_Interval(G92,G94,K92,K94,G93)</f>
        <v>2.5041627714111003E-2</v>
      </c>
      <c r="L93" s="1">
        <f>Interpolate_Range($A$17:$A$31,$B$17:$B$31,'試算番号2-1'!G93)</f>
        <v>1.9470500000000001E-3</v>
      </c>
      <c r="M93" s="3">
        <f t="shared" si="13"/>
        <v>18.16007881861751</v>
      </c>
      <c r="N93" s="1">
        <f t="shared" si="14"/>
        <v>2.2661896460582396E-2</v>
      </c>
      <c r="O93" s="1">
        <f t="shared" si="15"/>
        <v>0.28554811604607133</v>
      </c>
      <c r="P93" s="1">
        <f t="shared" si="16"/>
        <v>1.8650445746665929E-2</v>
      </c>
    </row>
    <row r="94" spans="7:16">
      <c r="G94">
        <f t="shared" si="17"/>
        <v>21</v>
      </c>
      <c r="H94" s="1">
        <f>Interpolate_Range($D$17:$D$31,$E$17:$E$31,G94)</f>
        <v>1.7780000000000001E-2</v>
      </c>
      <c r="I94">
        <f>(1-H94*J92)/(1+H94*0.5)</f>
        <v>0.6748371019805649</v>
      </c>
      <c r="J94">
        <f>J92+0.5*I94</f>
        <v>18.288126997718507</v>
      </c>
      <c r="K94" s="1">
        <f>(I92/I94-1)/0.5</f>
        <v>2.5228017233095645E-2</v>
      </c>
      <c r="L94" s="1">
        <f>Interpolate_Range($A$17:$A$31,$B$17:$B$31,'試算番号2-1'!G94)</f>
        <v>1.9514000000000001E-3</v>
      </c>
      <c r="M94" s="3">
        <f t="shared" si="13"/>
        <v>18.328788094112653</v>
      </c>
      <c r="N94" s="1">
        <f t="shared" si="14"/>
        <v>2.2808377756462803E-2</v>
      </c>
      <c r="O94" s="1">
        <f t="shared" si="15"/>
        <v>0.28939610093258367</v>
      </c>
      <c r="P94" s="1">
        <f t="shared" si="16"/>
        <v>1.8727807030173189E-2</v>
      </c>
    </row>
    <row r="95" spans="7:16">
      <c r="G95">
        <f t="shared" si="17"/>
        <v>21.25</v>
      </c>
      <c r="H95" s="1"/>
      <c r="I95">
        <f>Interpolate_Interval(G94,G96,I94,I96,G95)</f>
        <v>0.67057187926934425</v>
      </c>
      <c r="K95" s="1">
        <f>Interpolate_Interval(G94,G96,K94,K96,G95)</f>
        <v>2.5416590338462886E-2</v>
      </c>
      <c r="L95" s="1">
        <f>Interpolate_Range($A$17:$A$31,$B$17:$B$31,'試算番号2-1'!G95)</f>
        <v>1.95575E-3</v>
      </c>
      <c r="M95" s="3">
        <f t="shared" si="13"/>
        <v>18.49643106392999</v>
      </c>
      <c r="N95" s="1">
        <f t="shared" si="14"/>
        <v>2.3010954464683382E-2</v>
      </c>
      <c r="O95" s="1">
        <f t="shared" si="15"/>
        <v>0.29325372567737468</v>
      </c>
      <c r="P95" s="1">
        <f t="shared" si="16"/>
        <v>1.8805853153716683E-2</v>
      </c>
    </row>
    <row r="96" spans="7:16">
      <c r="G96">
        <f t="shared" si="17"/>
        <v>21.5</v>
      </c>
      <c r="H96" s="1">
        <f>Interpolate_Range($D$17:$D$31,$E$17:$E$31,G96)</f>
        <v>1.7920000000000002E-2</v>
      </c>
      <c r="I96">
        <f>(1-H96*J94)/(1+H96*0.5)</f>
        <v>0.66630665655812349</v>
      </c>
      <c r="J96">
        <f>J94+0.5*I96</f>
        <v>18.621280325997567</v>
      </c>
      <c r="K96" s="1">
        <f>(I94/I96-1)/0.5</f>
        <v>2.5605163443830126E-2</v>
      </c>
      <c r="L96" s="1">
        <f>Interpolate_Range($A$17:$A$31,$B$17:$B$31,'試算番号2-1'!G96)</f>
        <v>1.9601000000000002E-3</v>
      </c>
      <c r="M96" s="3">
        <f t="shared" si="13"/>
        <v>18.66300772806952</v>
      </c>
      <c r="N96" s="1">
        <f t="shared" si="14"/>
        <v>2.3162045756186779E-2</v>
      </c>
      <c r="O96" s="1">
        <f t="shared" si="15"/>
        <v>0.29711198199408745</v>
      </c>
      <c r="P96" s="1">
        <f t="shared" si="16"/>
        <v>1.8883966006124693E-2</v>
      </c>
    </row>
    <row r="97" spans="7:16">
      <c r="G97">
        <f t="shared" si="17"/>
        <v>21.75</v>
      </c>
      <c r="H97" s="1"/>
      <c r="I97">
        <f>Interpolate_Interval(G96,G98,I96,I98,G97)</f>
        <v>0.66203338006765278</v>
      </c>
      <c r="K97" s="1">
        <f>Interpolate_Interval(G96,G98,K96,K98,G97)</f>
        <v>2.579600125961834E-2</v>
      </c>
      <c r="L97" s="1">
        <f>Interpolate_Range($A$17:$A$31,$B$17:$B$31,'試算番号2-1'!G97)</f>
        <v>1.96445E-3</v>
      </c>
      <c r="M97" s="3">
        <f t="shared" si="13"/>
        <v>18.828516073086433</v>
      </c>
      <c r="N97" s="1">
        <f t="shared" si="14"/>
        <v>2.3364136340617667E-2</v>
      </c>
      <c r="O97" s="1">
        <f t="shared" si="15"/>
        <v>0.3009789415325726</v>
      </c>
      <c r="P97" s="1">
        <f t="shared" si="16"/>
        <v>1.8962726494409617E-2</v>
      </c>
    </row>
    <row r="98" spans="7:16">
      <c r="G98">
        <f t="shared" si="17"/>
        <v>22</v>
      </c>
      <c r="H98" s="1">
        <f>Interpolate_Range($D$17:$D$31,$E$17:$E$31,G98)</f>
        <v>1.806E-2</v>
      </c>
      <c r="I98">
        <f>(1-H98*J96)/(1+H98*0.5)</f>
        <v>0.65776010357718195</v>
      </c>
      <c r="J98">
        <f>J96+I98*0.5</f>
        <v>18.950160377786158</v>
      </c>
      <c r="K98" s="1">
        <f>(I96/I98-1)/0.5</f>
        <v>2.5986839075406554E-2</v>
      </c>
      <c r="L98" s="1">
        <f>Interpolate_Range($A$17:$A$31,$B$17:$B$31,'試算番号2-1'!G98)</f>
        <v>1.9688000000000002E-3</v>
      </c>
      <c r="M98" s="3">
        <f t="shared" si="13"/>
        <v>18.992956098980727</v>
      </c>
      <c r="N98" s="1">
        <f t="shared" si="14"/>
        <v>2.351996055424101E-2</v>
      </c>
      <c r="O98" s="1">
        <f t="shared" si="15"/>
        <v>0.3048465644551448</v>
      </c>
      <c r="P98" s="1">
        <f t="shared" si="16"/>
        <v>1.904159083468249E-2</v>
      </c>
    </row>
    <row r="99" spans="7:16">
      <c r="G99">
        <f t="shared" si="17"/>
        <v>22.25</v>
      </c>
      <c r="H99" s="1"/>
      <c r="I99">
        <f>Interpolate_Interval(G98,G100,I98,I100,G99)</f>
        <v>0.65347973523140723</v>
      </c>
      <c r="K99" s="1">
        <f>Interpolate_Interval(G98,G100,K98,K100,G99)</f>
        <v>2.6180026192323735E-2</v>
      </c>
      <c r="L99" s="1">
        <f>Interpolate_Range($A$17:$A$31,$B$17:$B$31,'試算番号2-1'!G99)</f>
        <v>1.9731499999999999E-3</v>
      </c>
      <c r="M99" s="3">
        <f t="shared" si="13"/>
        <v>19.156326032788577</v>
      </c>
      <c r="N99" s="1">
        <f t="shared" si="14"/>
        <v>2.3721596205145346E-2</v>
      </c>
      <c r="O99" s="1">
        <f t="shared" si="15"/>
        <v>0.30872196005699598</v>
      </c>
      <c r="P99" s="1">
        <f t="shared" si="16"/>
        <v>1.9121067684989015E-2</v>
      </c>
    </row>
    <row r="100" spans="7:16">
      <c r="G100">
        <f t="shared" si="17"/>
        <v>22.5</v>
      </c>
      <c r="H100" s="1">
        <f>Interpolate_Range($D$17:$D$31,$E$17:$E$31,G100)</f>
        <v>1.8200000000000001E-2</v>
      </c>
      <c r="I100">
        <f>(1-H100*J98)/(1+H100*0.5)</f>
        <v>0.64919936688563251</v>
      </c>
      <c r="J100">
        <f>J98+0.5*I100</f>
        <v>19.274760061228974</v>
      </c>
      <c r="K100" s="1">
        <f>(I98/I100-1)/0.5</f>
        <v>2.6373213309240917E-2</v>
      </c>
      <c r="L100" s="1">
        <f>Interpolate_Range($A$17:$A$31,$B$17:$B$31,'試算番号2-1'!G100)</f>
        <v>1.9775000000000001E-3</v>
      </c>
      <c r="M100" s="3">
        <f t="shared" si="13"/>
        <v>19.318625874509987</v>
      </c>
      <c r="N100" s="1">
        <f t="shared" si="14"/>
        <v>2.3882280779924644E-2</v>
      </c>
      <c r="O100" s="1">
        <f t="shared" si="15"/>
        <v>0.31259805044752398</v>
      </c>
      <c r="P100" s="1">
        <f t="shared" si="16"/>
        <v>1.9200685269535729E-2</v>
      </c>
    </row>
    <row r="101" spans="7:16">
      <c r="G101">
        <f t="shared" si="17"/>
        <v>22.75</v>
      </c>
      <c r="H101" s="1"/>
      <c r="I101">
        <f>Interpolate_Interval(G100,G102,I100,I102,G101)</f>
        <v>0.6449128618354858</v>
      </c>
      <c r="K101" s="1">
        <f>Interpolate_Interval(G100,G102,K100,K102,G101)</f>
        <v>2.6568837981025384E-2</v>
      </c>
      <c r="L101" s="1">
        <f>Interpolate_Range($A$17:$A$31,$B$17:$B$31,'試算番号2-1'!G101)</f>
        <v>1.9818500000000003E-3</v>
      </c>
      <c r="M101" s="3">
        <f t="shared" si="13"/>
        <v>19.479854089968857</v>
      </c>
      <c r="N101" s="1">
        <f t="shared" si="14"/>
        <v>2.4083494801044648E-2</v>
      </c>
      <c r="O101" s="1">
        <f t="shared" si="15"/>
        <v>0.31648098933630942</v>
      </c>
      <c r="P101" s="1">
        <f t="shared" si="16"/>
        <v>1.9280882164500714E-2</v>
      </c>
    </row>
    <row r="102" spans="7:16">
      <c r="G102">
        <f t="shared" si="17"/>
        <v>23</v>
      </c>
      <c r="H102" s="1">
        <f>Interpolate_Range($D$17:$D$31,$E$17:$E$31,G102)</f>
        <v>1.8340000000000002E-2</v>
      </c>
      <c r="I102">
        <f>(1-H102*J100)/(1+H102*0.5)</f>
        <v>0.64062635678533908</v>
      </c>
      <c r="J102">
        <f>J100+0.5*I102</f>
        <v>19.595073239621644</v>
      </c>
      <c r="K102" s="1">
        <f>(I100/I102-1)/0.5</f>
        <v>2.6764462652809851E-2</v>
      </c>
      <c r="L102" s="1">
        <f>Interpolate_Range($A$17:$A$31,$B$17:$B$31,'試算番号2-1'!G102)</f>
        <v>1.9862E-3</v>
      </c>
      <c r="M102" s="3">
        <f t="shared" si="13"/>
        <v>19.64001067916519</v>
      </c>
      <c r="N102" s="1">
        <f t="shared" si="14"/>
        <v>2.4249171931556547E-2</v>
      </c>
      <c r="O102" s="1">
        <f t="shared" si="15"/>
        <v>0.32036465400370301</v>
      </c>
      <c r="P102" s="1">
        <f t="shared" si="16"/>
        <v>1.936125646733847E-2</v>
      </c>
    </row>
    <row r="103" spans="7:16">
      <c r="G103">
        <f t="shared" si="17"/>
        <v>23.25</v>
      </c>
      <c r="H103" s="1"/>
      <c r="I103">
        <f>Interpolate_Interval(G102,G104,I102,I104,G103)</f>
        <v>0.63633466313950482</v>
      </c>
      <c r="K103" s="1">
        <f>Interpolate_Interval(G102,G104,K102,K104,G103)</f>
        <v>2.6962617005791278E-2</v>
      </c>
      <c r="L103" s="1">
        <f>Interpolate_Range($A$17:$A$31,$B$17:$B$31,'試算番号2-1'!G103)</f>
        <v>1.9905500000000002E-3</v>
      </c>
      <c r="M103" s="3">
        <f t="shared" si="13"/>
        <v>19.799094344950067</v>
      </c>
      <c r="N103" s="1">
        <f t="shared" si="14"/>
        <v>2.444999987435284E-2</v>
      </c>
      <c r="O103" s="1">
        <f t="shared" si="15"/>
        <v>0.32425424961215482</v>
      </c>
      <c r="P103" s="1">
        <f t="shared" si="16"/>
        <v>1.9442178672333606E-2</v>
      </c>
    </row>
    <row r="104" spans="7:16">
      <c r="G104">
        <f t="shared" si="17"/>
        <v>23.5</v>
      </c>
      <c r="H104" s="1">
        <f>Interpolate_Range($D$17:$D$31,$E$17:$E$31,G104)</f>
        <v>1.848E-2</v>
      </c>
      <c r="I104">
        <f>(1-H104*J102)/(1+H104*0.5)</f>
        <v>0.63204296949367045</v>
      </c>
      <c r="J104">
        <f>J102+0.5*I104</f>
        <v>19.911094724368478</v>
      </c>
      <c r="K104" s="1">
        <f>(I102/I104-1)/0.5</f>
        <v>2.7160771358772706E-2</v>
      </c>
      <c r="L104" s="1">
        <f>Interpolate_Range($A$17:$A$31,$B$17:$B$31,'試算番号2-1'!G104)</f>
        <v>1.9949E-3</v>
      </c>
      <c r="M104" s="3">
        <f t="shared" si="13"/>
        <v>19.957105087323484</v>
      </c>
      <c r="N104" s="1">
        <f t="shared" si="14"/>
        <v>2.462080676944901E-2</v>
      </c>
      <c r="O104" s="1">
        <f t="shared" si="15"/>
        <v>0.32814460156762792</v>
      </c>
      <c r="P104" s="1">
        <f t="shared" si="16"/>
        <v>1.9523314784736175E-2</v>
      </c>
    </row>
    <row r="105" spans="7:16">
      <c r="G105">
        <f t="shared" si="17"/>
        <v>23.75</v>
      </c>
      <c r="H105" s="1"/>
      <c r="I105">
        <f>Interpolate_Interval(G104,G106,I104,I106,G105)</f>
        <v>0.6277470280547679</v>
      </c>
      <c r="K105" s="1">
        <f>Interpolate_Interval(G104,G106,K104,K106,G105)</f>
        <v>2.7361551615662894E-2</v>
      </c>
      <c r="L105" s="1">
        <f>Interpolate_Range($A$17:$A$31,$B$17:$B$31,'試算番号2-1'!G105)</f>
        <v>1.9992500000000002E-3</v>
      </c>
      <c r="M105" s="3">
        <f t="shared" si="13"/>
        <v>20.114041844337176</v>
      </c>
      <c r="N105" s="1">
        <f t="shared" si="14"/>
        <v>2.4821286577071305E-2</v>
      </c>
      <c r="O105" s="1">
        <f t="shared" si="15"/>
        <v>0.33203997378794098</v>
      </c>
      <c r="P105" s="1">
        <f t="shared" si="16"/>
        <v>1.9604969062618192E-2</v>
      </c>
    </row>
    <row r="106" spans="7:16">
      <c r="G106">
        <f t="shared" si="17"/>
        <v>24</v>
      </c>
      <c r="H106" s="1">
        <f>Interpolate_Range($D$17:$D$31,$E$17:$E$31,G106)</f>
        <v>1.8620000000000001E-2</v>
      </c>
      <c r="I106">
        <f>(1-H106*J104)/(1+H106*0.5)</f>
        <v>0.62345108661586524</v>
      </c>
      <c r="J106">
        <f>J104+I106*0.5</f>
        <v>20.222820267676411</v>
      </c>
      <c r="K106" s="1">
        <f>(I104/I106-1)/0.5</f>
        <v>2.7562331872553081E-2</v>
      </c>
      <c r="L106" s="1">
        <f>Interpolate_Range($A$17:$A$31,$B$17:$B$31,'試算番号2-1'!G106)</f>
        <v>2.0036000000000003E-3</v>
      </c>
      <c r="M106" s="3">
        <f t="shared" si="13"/>
        <v>20.269904615991141</v>
      </c>
      <c r="N106" s="1">
        <f t="shared" si="14"/>
        <v>2.4997365735570529E-2</v>
      </c>
      <c r="O106" s="1">
        <f t="shared" si="15"/>
        <v>0.33593613249553489</v>
      </c>
      <c r="P106" s="1">
        <f t="shared" si="16"/>
        <v>1.9686873609719376E-2</v>
      </c>
    </row>
    <row r="107" spans="7:16">
      <c r="G107">
        <f t="shared" si="17"/>
        <v>24.25</v>
      </c>
      <c r="H107" s="1"/>
      <c r="I107">
        <f>Interpolate_Interval(G106,G108,I106,I108,G107)</f>
        <v>0.61915183062212087</v>
      </c>
      <c r="K107" s="1">
        <f>Interpolate_Interval(G106,G108,K106,K108,G107)</f>
        <v>2.776583859164572E-2</v>
      </c>
      <c r="L107" s="1">
        <f>Interpolate_Range($A$17:$A$31,$B$17:$B$31,'試算番号2-1'!G107)</f>
        <v>2.0079500000000001E-3</v>
      </c>
      <c r="M107" s="3">
        <f t="shared" ref="M107:M130" si="18">M106+I107*0.25</f>
        <v>20.42469257364667</v>
      </c>
      <c r="N107" s="1">
        <f t="shared" ref="N107:N130" si="19">(1-I107-L107*M107-O106)/(I107*0.25)</f>
        <v>2.5197537897426289E-2</v>
      </c>
      <c r="O107" s="1">
        <f t="shared" ref="O107:O130" si="20">O106+N107*I107*0.25</f>
        <v>0.33983640792462533</v>
      </c>
      <c r="P107" s="1">
        <f t="shared" ref="P107:P130" si="21">-LN(I107)/G107</f>
        <v>1.9769268150745464E-2</v>
      </c>
    </row>
    <row r="108" spans="7:16">
      <c r="G108">
        <f t="shared" si="17"/>
        <v>24.5</v>
      </c>
      <c r="H108" s="1">
        <f>Interpolate_Range($D$17:$D$31,$E$17:$E$31,G108)</f>
        <v>1.8759999999999999E-2</v>
      </c>
      <c r="I108">
        <f>(1-H108*J106)/(1+H108*0.5)</f>
        <v>0.61485257462837639</v>
      </c>
      <c r="J108">
        <f>J106+0.5*I108</f>
        <v>20.530246554990601</v>
      </c>
      <c r="K108" s="1">
        <f>(I106/I108-1)/0.5</f>
        <v>2.7969345310738358E-2</v>
      </c>
      <c r="L108" s="1">
        <f>Interpolate_Range($A$17:$A$31,$B$17:$B$31,'試算番号2-1'!G108)</f>
        <v>2.0123000000000003E-3</v>
      </c>
      <c r="M108" s="3">
        <f t="shared" si="18"/>
        <v>20.578405717303763</v>
      </c>
      <c r="N108" s="1">
        <f t="shared" si="19"/>
        <v>2.5379037402101033E-2</v>
      </c>
      <c r="O108" s="1">
        <f t="shared" si="20"/>
        <v>0.34373749954669325</v>
      </c>
      <c r="P108" s="1">
        <f t="shared" si="21"/>
        <v>1.9851949223001014E-2</v>
      </c>
    </row>
    <row r="109" spans="7:16">
      <c r="G109">
        <f t="shared" si="17"/>
        <v>24.75</v>
      </c>
      <c r="H109" s="1"/>
      <c r="I109">
        <f>Interpolate_Interval(G108,G110,I108,I110,G109)</f>
        <v>0.61055092950086287</v>
      </c>
      <c r="K109" s="1">
        <f>Interpolate_Interval(G108,G110,K108,K110,G109)</f>
        <v>2.8175683641748606E-2</v>
      </c>
      <c r="L109" s="1">
        <f>Interpolate_Range($A$17:$A$31,$B$17:$B$31,'試算番号2-1'!G109)</f>
        <v>2.01665E-3</v>
      </c>
      <c r="M109" s="3">
        <f t="shared" si="18"/>
        <v>20.731043449678978</v>
      </c>
      <c r="N109" s="1">
        <f t="shared" si="19"/>
        <v>2.5578945119881229E-2</v>
      </c>
      <c r="O109" s="1">
        <f t="shared" si="20"/>
        <v>0.34764181172634201</v>
      </c>
      <c r="P109" s="1">
        <f t="shared" si="21"/>
        <v>1.9935093588081362E-2</v>
      </c>
    </row>
    <row r="110" spans="7:16">
      <c r="G110">
        <f t="shared" si="17"/>
        <v>25</v>
      </c>
      <c r="H110" s="1">
        <f>Interpolate_Range($D$17:$D$31,$E$17:$E$31,G110)</f>
        <v>1.89E-2</v>
      </c>
      <c r="I110">
        <f>(1-H110*J108)/(1+H110*0.5)</f>
        <v>0.60624928437334946</v>
      </c>
      <c r="J110">
        <f>J108+0.5*I110</f>
        <v>20.833371197177275</v>
      </c>
      <c r="K110" s="1">
        <f>(I108/I110-1)/0.5</f>
        <v>2.8382021972758853E-2</v>
      </c>
      <c r="L110" s="1">
        <f>Interpolate_Range($A$17:$A$31,$B$17:$B$31,'試算番号2-1'!G110)</f>
        <v>2.0210000000000002E-3</v>
      </c>
      <c r="M110" s="3">
        <f t="shared" si="18"/>
        <v>20.882605770772315</v>
      </c>
      <c r="N110" s="1">
        <f t="shared" si="19"/>
        <v>2.5766018951192841E-2</v>
      </c>
      <c r="O110" s="1">
        <f t="shared" si="20"/>
        <v>0.35154696936391971</v>
      </c>
      <c r="P110" s="1">
        <f t="shared" si="21"/>
        <v>2.0018560685849379E-2</v>
      </c>
    </row>
    <row r="111" spans="7:16">
      <c r="G111">
        <f t="shared" si="17"/>
        <v>25.25</v>
      </c>
      <c r="H111" s="1"/>
      <c r="I111">
        <f>Interpolate_Interval(G110,G112,I110,I112,G111)</f>
        <v>0.60269841841744953</v>
      </c>
      <c r="K111" s="1">
        <f>Interpolate_Interval(G110,G112,K110,K112,G111)</f>
        <v>2.6044071025802307E-2</v>
      </c>
      <c r="L111" s="1">
        <f>Interpolate_Range($A$17:$A$31,$B$17:$B$31,'試算番号2-1'!G111)</f>
        <v>2.0249500000000002E-3</v>
      </c>
      <c r="M111" s="3">
        <f t="shared" si="18"/>
        <v>21.033280375376677</v>
      </c>
      <c r="N111" s="1">
        <f t="shared" si="19"/>
        <v>2.0994056236734681E-2</v>
      </c>
      <c r="O111" s="1">
        <f t="shared" si="20"/>
        <v>0.35471024048643146</v>
      </c>
      <c r="P111" s="1">
        <f t="shared" si="21"/>
        <v>2.0053003669654231E-2</v>
      </c>
    </row>
    <row r="112" spans="7:16">
      <c r="G112">
        <f t="shared" si="17"/>
        <v>25.5</v>
      </c>
      <c r="H112" s="1">
        <f>Interpolate_Range($D$17:$D$31,$E$17:$E$31,G112)</f>
        <v>1.896813E-2</v>
      </c>
      <c r="I112">
        <f>(1-H112*J110)/(1+H112*0.5)</f>
        <v>0.59914755246154949</v>
      </c>
      <c r="J112">
        <f>J110+0.5*I112</f>
        <v>21.132944973408051</v>
      </c>
      <c r="K112" s="1">
        <f>(I110/I112-1)/0.5</f>
        <v>2.370612007884576E-2</v>
      </c>
      <c r="L112" s="1">
        <f>Interpolate_Range($A$17:$A$31,$B$17:$B$31,'試算番号2-1'!G112)</f>
        <v>2.0289000000000001E-3</v>
      </c>
      <c r="M112" s="3">
        <f t="shared" si="18"/>
        <v>21.183067263492063</v>
      </c>
      <c r="N112" s="1">
        <f t="shared" si="19"/>
        <v>2.1122555658427949E-2</v>
      </c>
      <c r="O112" s="1">
        <f t="shared" si="20"/>
        <v>0.35787412236755145</v>
      </c>
      <c r="P112" s="1">
        <f t="shared" si="21"/>
        <v>2.0088132544306456E-2</v>
      </c>
    </row>
    <row r="113" spans="7:16">
      <c r="G113">
        <f t="shared" si="17"/>
        <v>25.75</v>
      </c>
      <c r="H113" s="1"/>
      <c r="I113">
        <f>Interpolate_Interval(G112,G114,I112,I114,G113)</f>
        <v>0.59560994792415056</v>
      </c>
      <c r="K113" s="1">
        <f>Interpolate_Interval(G112,G114,K112,K114,G113)</f>
        <v>2.3802966421346827E-2</v>
      </c>
      <c r="L113" s="1">
        <f>Interpolate_Range($A$17:$A$31,$B$17:$B$31,'試算番号2-1'!G113)</f>
        <v>2.0328500000000001E-3</v>
      </c>
      <c r="M113" s="3">
        <f t="shared" si="18"/>
        <v>21.3319697504731</v>
      </c>
      <c r="N113" s="1">
        <f t="shared" si="19"/>
        <v>2.1163078367187033E-2</v>
      </c>
      <c r="O113" s="1">
        <f t="shared" si="20"/>
        <v>0.3610253573686002</v>
      </c>
      <c r="P113" s="1">
        <f t="shared" si="21"/>
        <v>2.0123078677834035E-2</v>
      </c>
    </row>
    <row r="114" spans="7:16">
      <c r="G114">
        <f t="shared" si="17"/>
        <v>26</v>
      </c>
      <c r="H114" s="1">
        <f>Interpolate_Range($D$17:$D$31,$E$17:$E$31,G114)</f>
        <v>1.9036259999999999E-2</v>
      </c>
      <c r="I114">
        <f>(1-H114*J112)/(1+H114*0.5)</f>
        <v>0.59207234338675152</v>
      </c>
      <c r="J114">
        <f>J112+I114*0.5</f>
        <v>21.428981145101428</v>
      </c>
      <c r="K114" s="1">
        <f>(I112/I114-1)/0.5</f>
        <v>2.3899812763847894E-2</v>
      </c>
      <c r="L114" s="1">
        <f>Interpolate_Range($A$17:$A$31,$B$17:$B$31,'試算番号2-1'!G114)</f>
        <v>2.0368000000000001E-3</v>
      </c>
      <c r="M114" s="3">
        <f t="shared" si="18"/>
        <v>21.479987836319786</v>
      </c>
      <c r="N114" s="1">
        <f t="shared" si="19"/>
        <v>2.1293749352337427E-2</v>
      </c>
      <c r="O114" s="1">
        <f t="shared" si="20"/>
        <v>0.36417721738823233</v>
      </c>
      <c r="P114" s="1">
        <f t="shared" si="21"/>
        <v>2.0158709611436031E-2</v>
      </c>
    </row>
    <row r="115" spans="7:16">
      <c r="G115">
        <f t="shared" si="17"/>
        <v>26.25</v>
      </c>
      <c r="H115" s="1"/>
      <c r="I115">
        <f>Interpolate_Interval(G114,G116,I114,I116,G115)</f>
        <v>0.58854823289558822</v>
      </c>
      <c r="K115" s="1">
        <f>Interpolate_Interval(G114,G116,K114,K116,G115)</f>
        <v>2.399765059007497E-2</v>
      </c>
      <c r="L115" s="1">
        <f>Interpolate_Range($A$17:$A$31,$B$17:$B$31,'試算番号2-1'!G115)</f>
        <v>2.04075E-3</v>
      </c>
      <c r="M115" s="3">
        <f t="shared" si="18"/>
        <v>21.627124894543684</v>
      </c>
      <c r="N115" s="1">
        <f t="shared" si="19"/>
        <v>2.1333813694051604E-2</v>
      </c>
      <c r="O115" s="1">
        <f t="shared" si="20"/>
        <v>0.36731621197587178</v>
      </c>
      <c r="P115" s="1">
        <f t="shared" si="21"/>
        <v>2.0194148441879348E-2</v>
      </c>
    </row>
    <row r="116" spans="7:16">
      <c r="G116">
        <f t="shared" si="17"/>
        <v>26.5</v>
      </c>
      <c r="H116" s="1">
        <f>Interpolate_Range($D$17:$D$31,$E$17:$E$31,G116)</f>
        <v>1.9104389999999999E-2</v>
      </c>
      <c r="I116">
        <f>(1-H116*J114)/(1+H116*0.5)</f>
        <v>0.58502412240442492</v>
      </c>
      <c r="J116">
        <f>J114+0.5*I116</f>
        <v>21.721493206303641</v>
      </c>
      <c r="K116" s="1">
        <f>(I114/I116-1)/0.5</f>
        <v>2.4095488416302047E-2</v>
      </c>
      <c r="L116" s="1">
        <f>Interpolate_Range($A$17:$A$31,$B$17:$B$31,'試算番号2-1'!G116)</f>
        <v>2.0447E-3</v>
      </c>
      <c r="M116" s="3">
        <f t="shared" si="18"/>
        <v>21.773380925144789</v>
      </c>
      <c r="N116" s="1">
        <f t="shared" si="19"/>
        <v>2.1466695281938154E-2</v>
      </c>
      <c r="O116" s="1">
        <f t="shared" si="20"/>
        <v>0.37045584561793155</v>
      </c>
      <c r="P116" s="1">
        <f t="shared" si="21"/>
        <v>2.0230271612115318E-2</v>
      </c>
    </row>
    <row r="117" spans="7:16">
      <c r="G117">
        <f t="shared" si="17"/>
        <v>26.75</v>
      </c>
      <c r="H117" s="1"/>
      <c r="I117">
        <f>Interpolate_Interval(G116,G118,I116,I118,G117)</f>
        <v>0.58151373455713673</v>
      </c>
      <c r="K117" s="1">
        <f>Interpolate_Interval(G116,G118,K116,K118,G117)</f>
        <v>2.4194344629308695E-2</v>
      </c>
      <c r="L117" s="1">
        <f>Interpolate_Range($A$17:$A$31,$B$17:$B$31,'試算番号2-1'!G117)</f>
        <v>2.04865E-3</v>
      </c>
      <c r="M117" s="3">
        <f t="shared" si="18"/>
        <v>21.918759358784072</v>
      </c>
      <c r="N117" s="1">
        <f t="shared" si="19"/>
        <v>2.1506308647652805E-2</v>
      </c>
      <c r="O117" s="1">
        <f t="shared" si="20"/>
        <v>0.3735823990824903</v>
      </c>
      <c r="P117" s="1">
        <f t="shared" si="21"/>
        <v>2.0266193948243923E-2</v>
      </c>
    </row>
    <row r="118" spans="7:16">
      <c r="G118">
        <f t="shared" si="17"/>
        <v>27</v>
      </c>
      <c r="H118" s="1">
        <f>Interpolate_Range($D$17:$D$31,$E$17:$E$31,G118)</f>
        <v>1.9172519999999998E-2</v>
      </c>
      <c r="I118">
        <f>(1-H118*J116)/(1+H118*0.5)</f>
        <v>0.57800334670984854</v>
      </c>
      <c r="J118">
        <f>J116+0.5*I118</f>
        <v>22.010494879658566</v>
      </c>
      <c r="K118" s="1">
        <f>(I116/I118-1)/0.5</f>
        <v>2.4293200842315343E-2</v>
      </c>
      <c r="L118" s="1">
        <f>Interpolate_Range($A$17:$A$31,$B$17:$B$31,'試算番号2-1'!G118)</f>
        <v>2.0525999999999999E-3</v>
      </c>
      <c r="M118" s="3">
        <f t="shared" si="18"/>
        <v>22.063260195461535</v>
      </c>
      <c r="N118" s="1">
        <f t="shared" si="19"/>
        <v>2.1641440993431797E-2</v>
      </c>
      <c r="O118" s="1">
        <f t="shared" si="20"/>
        <v>0.37670960541294712</v>
      </c>
      <c r="P118" s="1">
        <f t="shared" si="21"/>
        <v>2.0302800747076858E-2</v>
      </c>
    </row>
    <row r="119" spans="7:16">
      <c r="G119">
        <f t="shared" si="17"/>
        <v>27.25</v>
      </c>
      <c r="H119" s="1"/>
      <c r="I119">
        <f>Interpolate_Interval(G118,G120,I118,I120,G119)</f>
        <v>0.5745069060738166</v>
      </c>
      <c r="K119" s="1">
        <f>Interpolate_Interval(G118,G120,K118,K120,G119)</f>
        <v>2.4393103235607061E-2</v>
      </c>
      <c r="L119" s="1">
        <f>Interpolate_Range($A$17:$A$31,$B$17:$B$31,'試算番号2-1'!G119)</f>
        <v>2.0565499999999999E-3</v>
      </c>
      <c r="M119" s="3">
        <f t="shared" si="18"/>
        <v>22.20688692197999</v>
      </c>
      <c r="N119" s="1">
        <f t="shared" si="19"/>
        <v>2.1680611187905936E-2</v>
      </c>
      <c r="O119" s="1">
        <f t="shared" si="20"/>
        <v>0.37982352062678543</v>
      </c>
      <c r="P119" s="1">
        <f t="shared" si="21"/>
        <v>2.0339198559609601E-2</v>
      </c>
    </row>
    <row r="120" spans="7:16">
      <c r="G120">
        <f t="shared" si="17"/>
        <v>27.5</v>
      </c>
      <c r="H120" s="1">
        <f>Interpolate_Range($D$17:$D$31,$E$17:$E$31,G120)</f>
        <v>1.9240649999999998E-2</v>
      </c>
      <c r="I120">
        <f>(1-H120*J118)/(1+H120*0.5)</f>
        <v>0.57101046543778466</v>
      </c>
      <c r="J120">
        <f>J118+0.5*I120</f>
        <v>22.29600011237746</v>
      </c>
      <c r="K120" s="1">
        <f>(I118/I120-1)/0.5</f>
        <v>2.4493005628898779E-2</v>
      </c>
      <c r="L120" s="1">
        <f>Interpolate_Range($A$17:$A$31,$B$17:$B$31,'試算番号2-1'!G120)</f>
        <v>2.0604999999999998E-3</v>
      </c>
      <c r="M120" s="3">
        <f t="shared" si="18"/>
        <v>22.349639538339435</v>
      </c>
      <c r="N120" s="1">
        <f t="shared" si="19"/>
        <v>2.1818035606710588E-2</v>
      </c>
      <c r="O120" s="1">
        <f t="shared" si="20"/>
        <v>0.38293810229346692</v>
      </c>
      <c r="P120" s="1">
        <f t="shared" si="21"/>
        <v>2.0376281499336998E-2</v>
      </c>
    </row>
    <row r="121" spans="7:16">
      <c r="G121">
        <f t="shared" si="17"/>
        <v>27.75</v>
      </c>
      <c r="H121" s="1"/>
      <c r="I121">
        <f>Interpolate_Interval(G120,G122,I120,I122,G121)</f>
        <v>0.56752819255078513</v>
      </c>
      <c r="K121" s="1">
        <f>Interpolate_Interval(G120,G122,K120,K122,G121)</f>
        <v>2.4593982924137281E-2</v>
      </c>
      <c r="L121" s="1">
        <f>Interpolate_Range($A$17:$A$31,$B$17:$B$31,'試算番号2-1'!G121)</f>
        <v>2.0644500000000002E-3</v>
      </c>
      <c r="M121" s="3">
        <f t="shared" si="18"/>
        <v>22.491521586477131</v>
      </c>
      <c r="N121" s="1">
        <f t="shared" si="19"/>
        <v>2.1856770868825145E-2</v>
      </c>
      <c r="O121" s="1">
        <f t="shared" si="20"/>
        <v>0.38603918571001217</v>
      </c>
      <c r="P121" s="1">
        <f t="shared" si="21"/>
        <v>2.0413147832682135E-2</v>
      </c>
    </row>
    <row r="122" spans="7:16">
      <c r="G122">
        <f t="shared" si="17"/>
        <v>28</v>
      </c>
      <c r="H122" s="1">
        <f>Interpolate_Range($D$17:$D$31,$E$17:$E$31,G122)</f>
        <v>1.9308780000000001E-2</v>
      </c>
      <c r="I122">
        <f>(1-H122*J120)/(1+H122*0.5)</f>
        <v>0.56404591966378548</v>
      </c>
      <c r="J122">
        <f>J120+I122*0.5</f>
        <v>22.578023072209351</v>
      </c>
      <c r="K122" s="1">
        <f>(I120/I122-1)/0.5</f>
        <v>2.4694960219375783E-2</v>
      </c>
      <c r="L122" s="1">
        <f>Interpolate_Range($A$17:$A$31,$B$17:$B$31,'試算番号2-1'!G122)</f>
        <v>2.0684000000000002E-3</v>
      </c>
      <c r="M122" s="3">
        <f t="shared" si="18"/>
        <v>22.632533066393076</v>
      </c>
      <c r="N122" s="1">
        <f t="shared" si="19"/>
        <v>2.199652988199095E-2</v>
      </c>
      <c r="O122" s="1">
        <f t="shared" si="20"/>
        <v>0.38914094894168705</v>
      </c>
      <c r="P122" s="1">
        <f t="shared" si="21"/>
        <v>2.0450700462669273E-2</v>
      </c>
    </row>
    <row r="123" spans="7:16">
      <c r="G123">
        <f t="shared" si="17"/>
        <v>28.25</v>
      </c>
      <c r="H123" s="1"/>
      <c r="I123">
        <f>Interpolate_Interval(G122,G124,I122,I124,G123)</f>
        <v>0.56057803103545312</v>
      </c>
      <c r="K123" s="1">
        <f>Interpolate_Interval(G122,G124,K122,K124,G123)</f>
        <v>2.4797042105987321E-2</v>
      </c>
      <c r="L123" s="1">
        <f>Interpolate_Range($A$17:$A$31,$B$17:$B$31,'試算番号2-1'!G123)</f>
        <v>2.0723500000000001E-3</v>
      </c>
      <c r="M123" s="3">
        <f t="shared" si="18"/>
        <v>22.772677574151938</v>
      </c>
      <c r="N123" s="1">
        <f t="shared" si="19"/>
        <v>2.2034838906277027E-2</v>
      </c>
      <c r="O123" s="1">
        <f t="shared" si="20"/>
        <v>0.39222901059375309</v>
      </c>
      <c r="P123" s="1">
        <f t="shared" si="21"/>
        <v>2.0488029356661715E-2</v>
      </c>
    </row>
    <row r="124" spans="7:16">
      <c r="G124">
        <f t="shared" si="17"/>
        <v>28.5</v>
      </c>
      <c r="H124" s="1">
        <f>Interpolate_Range($D$17:$D$31,$E$17:$E$31,G124)</f>
        <v>1.9376910000000001E-2</v>
      </c>
      <c r="I124">
        <f>(1-H124*J122)/(1+H124*0.5)</f>
        <v>0.55711014240712087</v>
      </c>
      <c r="J124">
        <f>J122+0.5*I124</f>
        <v>22.856578143412911</v>
      </c>
      <c r="K124" s="1">
        <f>(I122/I124-1)/0.5</f>
        <v>2.4899123992598859E-2</v>
      </c>
      <c r="L124" s="1">
        <f>Interpolate_Range($A$17:$A$31,$B$17:$B$31,'試算番号2-1'!G124)</f>
        <v>2.0763000000000001E-3</v>
      </c>
      <c r="M124" s="3">
        <f t="shared" si="18"/>
        <v>22.91195510975372</v>
      </c>
      <c r="N124" s="1">
        <f t="shared" si="19"/>
        <v>2.217697628981391E-2</v>
      </c>
      <c r="O124" s="1">
        <f t="shared" si="20"/>
        <v>0.39531776519849748</v>
      </c>
      <c r="P124" s="1">
        <f t="shared" si="21"/>
        <v>2.0526046189479855E-2</v>
      </c>
    </row>
    <row r="125" spans="7:16">
      <c r="G125">
        <f t="shared" si="17"/>
        <v>28.75</v>
      </c>
      <c r="H125" s="1"/>
      <c r="I125">
        <f>Interpolate_Interval(G124,G126,I124,I126,G125)</f>
        <v>0.55365685052121405</v>
      </c>
      <c r="K125" s="1">
        <f>Interpolate_Interval(G124,G126,K124,K126,G125)</f>
        <v>2.5002341169419129E-2</v>
      </c>
      <c r="L125" s="1">
        <f>Interpolate_Range($A$17:$A$31,$B$17:$B$31,'試算番号2-1'!G125)</f>
        <v>2.0802500000000001E-3</v>
      </c>
      <c r="M125" s="3">
        <f t="shared" si="18"/>
        <v>23.050369322384022</v>
      </c>
      <c r="N125" s="1">
        <f t="shared" si="19"/>
        <v>2.2214868249201179E-2</v>
      </c>
      <c r="O125" s="1">
        <f t="shared" si="20"/>
        <v>0.39839261869589659</v>
      </c>
      <c r="P125" s="1">
        <f t="shared" si="21"/>
        <v>2.0563832609937202E-2</v>
      </c>
    </row>
    <row r="126" spans="7:16">
      <c r="G126">
        <f t="shared" si="17"/>
        <v>29</v>
      </c>
      <c r="H126" s="1">
        <f>Interpolate_Range($D$17:$D$31,$E$17:$E$31,G126)</f>
        <v>1.944504E-2</v>
      </c>
      <c r="I126">
        <f>(1-H126*J124)/(1+H126*0.5)</f>
        <v>0.55020355863530723</v>
      </c>
      <c r="J126">
        <f>J124+0.5*I126</f>
        <v>23.131679922730566</v>
      </c>
      <c r="K126" s="1">
        <f>(I124/I126-1)/0.5</f>
        <v>2.5105558346239398E-2</v>
      </c>
      <c r="L126" s="1">
        <f>Interpolate_Range($A$17:$A$31,$B$17:$B$31,'試算番号2-1'!G126)</f>
        <v>2.0842E-3</v>
      </c>
      <c r="M126" s="3">
        <f t="shared" si="18"/>
        <v>23.187920212042847</v>
      </c>
      <c r="N126" s="1">
        <f t="shared" si="19"/>
        <v>2.2359429084645766E-2</v>
      </c>
      <c r="O126" s="1">
        <f t="shared" si="20"/>
        <v>0.40146817805875307</v>
      </c>
      <c r="P126" s="1">
        <f t="shared" si="21"/>
        <v>2.060230905581131E-2</v>
      </c>
    </row>
    <row r="127" spans="7:16">
      <c r="G127">
        <f t="shared" si="17"/>
        <v>29.25</v>
      </c>
      <c r="H127" s="1"/>
      <c r="I127">
        <f>Interpolate_Interval(G126,G128,I126,I128,G127)</f>
        <v>0.54676507195276502</v>
      </c>
      <c r="K127" s="1">
        <f>Interpolate_Interval(G126,G128,K126,K128,G127)</f>
        <v>2.5209942565306953E-2</v>
      </c>
      <c r="L127" s="1">
        <f>Interpolate_Range($A$17:$A$31,$B$17:$B$31,'試算番号2-1'!G127)</f>
        <v>2.08815E-3</v>
      </c>
      <c r="M127" s="3">
        <f t="shared" si="18"/>
        <v>23.324611480031038</v>
      </c>
      <c r="N127" s="1">
        <f t="shared" si="19"/>
        <v>2.2396913654496173E-2</v>
      </c>
      <c r="O127" s="1">
        <f t="shared" si="20"/>
        <v>0.40452964058520818</v>
      </c>
      <c r="P127" s="1">
        <f t="shared" si="21"/>
        <v>2.0640548832892548E-2</v>
      </c>
    </row>
    <row r="128" spans="7:16">
      <c r="G128">
        <f t="shared" si="17"/>
        <v>29.5</v>
      </c>
      <c r="H128" s="1">
        <f>Interpolate_Range($D$17:$D$31,$E$17:$E$31,G128)</f>
        <v>1.951317E-2</v>
      </c>
      <c r="I128">
        <f>(1-H128*J126)/(1+H128*0.5)</f>
        <v>0.54332658527022282</v>
      </c>
      <c r="J128">
        <f>J126+0.5*I128</f>
        <v>23.403343215365677</v>
      </c>
      <c r="K128" s="1">
        <f>(I126/I128-1)/0.5</f>
        <v>2.5314326784374508E-2</v>
      </c>
      <c r="L128" s="1">
        <f>Interpolate_Range($A$17:$A$31,$B$17:$B$31,'試算番号2-1'!G128)</f>
        <v>2.0920999999999999E-3</v>
      </c>
      <c r="M128" s="3">
        <f t="shared" si="18"/>
        <v>23.460443126348594</v>
      </c>
      <c r="N128" s="1">
        <f t="shared" si="19"/>
        <v>2.2543944382269747E-2</v>
      </c>
      <c r="O128" s="1">
        <f t="shared" si="20"/>
        <v>0.40759182166514329</v>
      </c>
      <c r="P128" s="1">
        <f t="shared" si="21"/>
        <v>2.0679481141512562E-2</v>
      </c>
    </row>
    <row r="129" spans="7:16">
      <c r="G129">
        <f t="shared" si="17"/>
        <v>29.75</v>
      </c>
      <c r="H129" s="1"/>
      <c r="I129">
        <f>Interpolate_Interval(G128,G130,I128,I130,G129)</f>
        <v>0.53990310823300791</v>
      </c>
      <c r="K129" s="1">
        <f>Interpolate_Interval(G128,G130,K128,K130,G129)</f>
        <v>2.5419910897005238E-2</v>
      </c>
      <c r="L129" s="1">
        <f>Interpolate_Range($A$17:$A$31,$B$17:$B$31,'試算番号2-1'!G129)</f>
        <v>2.0960499999999999E-3</v>
      </c>
      <c r="M129" s="3">
        <f t="shared" si="18"/>
        <v>23.595418903406845</v>
      </c>
      <c r="N129" s="1">
        <f t="shared" si="19"/>
        <v>2.2581031765777318E-2</v>
      </c>
      <c r="O129" s="1">
        <f t="shared" si="20"/>
        <v>0.41063971397450616</v>
      </c>
      <c r="P129" s="1">
        <f t="shared" si="21"/>
        <v>2.071817091500151E-2</v>
      </c>
    </row>
    <row r="130" spans="7:16">
      <c r="G130">
        <f t="shared" si="17"/>
        <v>30</v>
      </c>
      <c r="H130" s="1">
        <f>Interpolate_Range($D$17:$D$31,$E$17:$E$31,G130)</f>
        <v>1.9581299999999999E-2</v>
      </c>
      <c r="I130">
        <f>(1-H130*J128)/(1+H130*0.5)</f>
        <v>0.53647963119579301</v>
      </c>
      <c r="J130">
        <f>J128+I130*0.5</f>
        <v>23.671583030963575</v>
      </c>
      <c r="K130" s="1">
        <f>(I128/I130-1)/0.5</f>
        <v>2.5525495009635968E-2</v>
      </c>
      <c r="L130" s="1">
        <f>Interpolate_Range($A$17:$A$31,$B$17:$B$31,'試算番号2-1'!G130)</f>
        <v>2.0999999999999999E-3</v>
      </c>
      <c r="M130" s="3">
        <f t="shared" si="18"/>
        <v>23.729538811205792</v>
      </c>
      <c r="N130" s="1">
        <f t="shared" si="19"/>
        <v>2.2730580241217425E-2</v>
      </c>
      <c r="O130" s="1">
        <f t="shared" si="20"/>
        <v>0.41368833730067484</v>
      </c>
      <c r="P130" s="1">
        <f t="shared" si="21"/>
        <v>2.0757556123879226E-2</v>
      </c>
    </row>
    <row r="131" spans="7:16">
      <c r="H131" s="1"/>
      <c r="K131" s="1"/>
      <c r="P131" s="1"/>
    </row>
    <row r="132" spans="7:16">
      <c r="H132" s="1"/>
      <c r="P132" s="1"/>
    </row>
    <row r="133" spans="7:16">
      <c r="H133" s="1"/>
      <c r="P133" s="1"/>
    </row>
    <row r="134" spans="7:16">
      <c r="H134" s="1"/>
    </row>
    <row r="135" spans="7:16">
      <c r="H135" s="1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35"/>
  <sheetViews>
    <sheetView zoomScale="85" zoomScaleNormal="85" workbookViewId="0"/>
  </sheetViews>
  <sheetFormatPr defaultRowHeight="13.5"/>
  <cols>
    <col min="7" max="7" width="9" customWidth="1"/>
    <col min="9" max="9" width="9.375" customWidth="1"/>
    <col min="10" max="10" width="12.875" customWidth="1"/>
    <col min="11" max="11" width="8.875" customWidth="1"/>
    <col min="12" max="12" width="9" style="3" customWidth="1"/>
    <col min="13" max="13" width="11.75" style="3" customWidth="1"/>
    <col min="14" max="14" width="9.375" customWidth="1"/>
    <col min="15" max="15" width="14" customWidth="1"/>
    <col min="16" max="16" width="8.875" customWidth="1"/>
    <col min="18" max="18" width="21.875" bestFit="1" customWidth="1"/>
    <col min="19" max="19" width="10" bestFit="1" customWidth="1"/>
    <col min="23" max="23" width="14.625" bestFit="1" customWidth="1"/>
    <col min="25" max="25" width="14.625" bestFit="1" customWidth="1"/>
  </cols>
  <sheetData>
    <row r="1" spans="1:25">
      <c r="A1" t="s">
        <v>51</v>
      </c>
    </row>
    <row r="2" spans="1:25">
      <c r="A2" s="22" t="s">
        <v>152</v>
      </c>
      <c r="B2" s="19"/>
      <c r="C2" s="19"/>
      <c r="D2" s="19"/>
      <c r="R2" s="22" t="s">
        <v>44</v>
      </c>
      <c r="S2" s="20"/>
    </row>
    <row r="3" spans="1:25" s="29" customFormat="1">
      <c r="L3" s="30"/>
      <c r="M3" s="30"/>
      <c r="R3" s="20"/>
      <c r="S3" s="20"/>
    </row>
    <row r="4" spans="1:25" s="29" customFormat="1">
      <c r="L4" s="30"/>
      <c r="M4" s="30"/>
      <c r="R4" s="20"/>
      <c r="S4" s="20"/>
    </row>
    <row r="5" spans="1:25" s="29" customFormat="1">
      <c r="L5" s="30"/>
      <c r="M5" s="30"/>
      <c r="R5" s="20"/>
      <c r="S5" s="20"/>
    </row>
    <row r="6" spans="1:25" s="29" customFormat="1">
      <c r="L6" s="30"/>
      <c r="M6" s="30"/>
      <c r="R6" s="20"/>
      <c r="S6" s="20"/>
    </row>
    <row r="7" spans="1:25" s="29" customFormat="1">
      <c r="L7" s="30"/>
      <c r="M7" s="30"/>
      <c r="R7" s="20"/>
      <c r="S7" s="20"/>
    </row>
    <row r="8" spans="1:25" s="29" customFormat="1">
      <c r="A8"/>
      <c r="B8"/>
      <c r="C8"/>
      <c r="D8"/>
      <c r="E8"/>
      <c r="F8"/>
      <c r="G8" s="23" t="s">
        <v>49</v>
      </c>
      <c r="L8" s="30"/>
      <c r="M8" s="30"/>
      <c r="R8" s="23" t="s">
        <v>30</v>
      </c>
      <c r="S8"/>
      <c r="U8" s="23" t="s">
        <v>50</v>
      </c>
      <c r="V8"/>
      <c r="W8"/>
      <c r="X8"/>
      <c r="Y8"/>
    </row>
    <row r="9" spans="1:25">
      <c r="A9" s="23" t="s">
        <v>23</v>
      </c>
      <c r="G9" t="s">
        <v>2</v>
      </c>
      <c r="H9" t="s">
        <v>21</v>
      </c>
      <c r="I9" t="s">
        <v>3</v>
      </c>
      <c r="J9" t="s">
        <v>27</v>
      </c>
      <c r="K9" t="s">
        <v>9</v>
      </c>
      <c r="L9" t="s">
        <v>6</v>
      </c>
      <c r="M9" s="3" t="s">
        <v>27</v>
      </c>
      <c r="N9" t="s">
        <v>8</v>
      </c>
      <c r="O9" t="s">
        <v>55</v>
      </c>
      <c r="P9" t="s">
        <v>4</v>
      </c>
      <c r="R9" t="s">
        <v>40</v>
      </c>
      <c r="S9">
        <v>1</v>
      </c>
      <c r="U9" t="s">
        <v>33</v>
      </c>
      <c r="V9" t="s">
        <v>32</v>
      </c>
      <c r="W9" t="s">
        <v>41</v>
      </c>
      <c r="X9" t="s">
        <v>42</v>
      </c>
      <c r="Y9" t="s">
        <v>41</v>
      </c>
    </row>
    <row r="10" spans="1:25">
      <c r="G10">
        <v>0</v>
      </c>
      <c r="H10" s="1"/>
      <c r="I10">
        <v>1</v>
      </c>
      <c r="L10" s="1"/>
      <c r="P10" s="1">
        <f>P11</f>
        <v>2.7515534021951187E-3</v>
      </c>
      <c r="R10" t="s">
        <v>34</v>
      </c>
      <c r="S10" s="26">
        <v>0.02</v>
      </c>
      <c r="U10">
        <v>0</v>
      </c>
    </row>
    <row r="11" spans="1:25">
      <c r="B11" t="s">
        <v>52</v>
      </c>
      <c r="E11" t="s">
        <v>77</v>
      </c>
      <c r="G11">
        <v>0.25</v>
      </c>
      <c r="H11" s="1"/>
      <c r="I11">
        <f>1/(1+B12*G11)</f>
        <v>0.9993123481904016</v>
      </c>
      <c r="K11" s="1">
        <f t="shared" ref="K11:K42" si="0">(I10/I11-1)/0.25</f>
        <v>2.7524999999997135E-3</v>
      </c>
      <c r="L11" s="1">
        <f>Interpolate_Range($A$17:$A$31,$B$17:$B$31,G11)</f>
        <v>1.075E-3</v>
      </c>
      <c r="O11" s="1"/>
      <c r="P11" s="1">
        <f t="shared" ref="P11:P42" si="1">-LN(I11)/G11</f>
        <v>2.7515534021951187E-3</v>
      </c>
      <c r="R11" t="s">
        <v>31</v>
      </c>
      <c r="S11" s="12" t="s">
        <v>56</v>
      </c>
      <c r="U11">
        <v>0.5</v>
      </c>
      <c r="V11" s="1">
        <f>$S$10/2</f>
        <v>0.01</v>
      </c>
      <c r="W11" s="1">
        <f>V11*Interpolate_Range($G$10:$G$130,$I$10:$I$130,U11)</f>
        <v>9.9846854893963638E-3</v>
      </c>
      <c r="X11" s="1">
        <f t="shared" ref="X11:X30" si="2">Interpolate_Range($G$12:$G$130,$N$12:$N$130,U11)/2</f>
        <v>2.0713000000000615E-3</v>
      </c>
      <c r="Y11" s="1">
        <f>X11*Interpolate_Range($G$10:$G$130,$I$10:$I$130,U11)</f>
        <v>2.0681279054187299E-3</v>
      </c>
    </row>
    <row r="12" spans="1:25">
      <c r="A12" t="s">
        <v>0</v>
      </c>
      <c r="B12" s="1">
        <v>2.7525000000000006E-3</v>
      </c>
      <c r="D12" s="13">
        <v>0</v>
      </c>
      <c r="E12" s="35">
        <v>97.63</v>
      </c>
      <c r="G12">
        <f>G11+0.25</f>
        <v>0.5</v>
      </c>
      <c r="H12" s="1"/>
      <c r="I12">
        <f>1/(1+(B13-Interpolate_Range($A$17:$A$31,$B$17:$B$31,G12))*G12)</f>
        <v>0.99846854893963632</v>
      </c>
      <c r="J12">
        <f>J10+0.5*I12</f>
        <v>0.49923427446981816</v>
      </c>
      <c r="K12" s="1">
        <f t="shared" si="0"/>
        <v>3.3803738802244965E-3</v>
      </c>
      <c r="L12" s="1">
        <f t="shared" ref="L12:L75" si="3">Interpolate_Range($A$17:$A$31,$B$17:$B$31,G12)</f>
        <v>1.075E-3</v>
      </c>
      <c r="M12" s="3">
        <f>M10+I12*0.5</f>
        <v>0.49923427446981816</v>
      </c>
      <c r="N12" s="1">
        <f>(1-I12+L12*M12-O10)/(I12*0.5)</f>
        <v>4.1426000000001229E-3</v>
      </c>
      <c r="O12" s="1">
        <f>O10+N12*I12*0.5</f>
        <v>2.0681279054187299E-3</v>
      </c>
      <c r="P12" s="1">
        <f t="shared" si="1"/>
        <v>3.065249860349349E-3</v>
      </c>
      <c r="R12" t="s">
        <v>159</v>
      </c>
      <c r="S12" s="41">
        <f>$E$12</f>
        <v>97.63</v>
      </c>
      <c r="U12">
        <v>1</v>
      </c>
      <c r="V12" s="1">
        <f t="shared" ref="V12:V30" si="4">$S$10/2</f>
        <v>0.01</v>
      </c>
      <c r="W12" s="1">
        <f t="shared" ref="W12:W30" si="5">V12*Interpolate_Range($G$10:$G$130,$I$10:$I$130,U12)</f>
        <v>9.9669401563050736E-3</v>
      </c>
      <c r="X12" s="1">
        <f t="shared" si="2"/>
        <v>2.3179193476635411E-3</v>
      </c>
      <c r="Y12" s="1">
        <f t="shared" ref="Y12:Y30" si="6">X12*Interpolate_Range($G$10:$G$130,$I$10:$I$130,U12)</f>
        <v>2.3102563425304208E-3</v>
      </c>
    </row>
    <row r="13" spans="1:25">
      <c r="A13" t="s">
        <v>1</v>
      </c>
      <c r="B13" s="1">
        <v>4.1425999999999998E-3</v>
      </c>
      <c r="C13" s="1"/>
      <c r="G13">
        <f t="shared" ref="G13:G76" si="7">G12+0.25</f>
        <v>0.75</v>
      </c>
      <c r="H13" s="1"/>
      <c r="I13">
        <f>Interpolate_Interval(G12,G14,I12,I14,G13)</f>
        <v>0.99758128228507181</v>
      </c>
      <c r="K13" s="1">
        <f t="shared" si="0"/>
        <v>3.5576716216327853E-3</v>
      </c>
      <c r="L13" s="1">
        <f t="shared" si="3"/>
        <v>1.075E-3</v>
      </c>
      <c r="N13" s="1">
        <f>Interpolate_Interval(G12,G14,N12,N14,G13)</f>
        <v>4.3892193476636025E-3</v>
      </c>
      <c r="O13" s="1"/>
      <c r="P13" s="1">
        <f t="shared" si="1"/>
        <v>3.2288633838003962E-3</v>
      </c>
      <c r="R13" t="s">
        <v>38</v>
      </c>
      <c r="S13" s="12" t="s">
        <v>57</v>
      </c>
      <c r="U13">
        <v>1.5</v>
      </c>
      <c r="V13" s="1">
        <f t="shared" si="4"/>
        <v>0.01</v>
      </c>
      <c r="W13" s="1">
        <f t="shared" si="5"/>
        <v>9.9393661231967894E-3</v>
      </c>
      <c r="X13" s="1">
        <f t="shared" si="2"/>
        <v>3.302326591392994E-3</v>
      </c>
      <c r="Y13" s="1">
        <f t="shared" si="6"/>
        <v>3.2823033050223454E-3</v>
      </c>
    </row>
    <row r="14" spans="1:25">
      <c r="G14">
        <f t="shared" si="7"/>
        <v>1</v>
      </c>
      <c r="H14" s="1">
        <f>Interpolate_Range($D$17:$D$31,$E$17:$E$31,G14)</f>
        <v>3.3140000000000001E-3</v>
      </c>
      <c r="I14">
        <f>(1-H14*J12)/(1+H14*0.5)</f>
        <v>0.9966940156305073</v>
      </c>
      <c r="J14">
        <f>J12+0.5*I14</f>
        <v>0.99758128228507181</v>
      </c>
      <c r="K14" s="1">
        <f t="shared" si="0"/>
        <v>3.5608386953267512E-3</v>
      </c>
      <c r="L14" s="1">
        <f t="shared" si="3"/>
        <v>1.075E-3</v>
      </c>
      <c r="M14" s="3">
        <f>M12+I14*0.5</f>
        <v>0.99758128228507181</v>
      </c>
      <c r="N14" s="1">
        <f>(1-I14+L14*M14-O12)/(I14*0.5)</f>
        <v>4.6358386953270821E-3</v>
      </c>
      <c r="O14" s="1">
        <f>O12+N14*I14*0.5</f>
        <v>4.3783842479491507E-3</v>
      </c>
      <c r="P14" s="1">
        <f t="shared" si="1"/>
        <v>3.3114612100492726E-3</v>
      </c>
      <c r="R14" t="s">
        <v>35</v>
      </c>
      <c r="S14" s="12" t="s">
        <v>39</v>
      </c>
      <c r="U14">
        <v>2</v>
      </c>
      <c r="V14" s="1">
        <f t="shared" si="4"/>
        <v>0.01</v>
      </c>
      <c r="W14" s="1">
        <f t="shared" si="5"/>
        <v>9.9044908417344826E-3</v>
      </c>
      <c r="X14" s="1">
        <f t="shared" si="2"/>
        <v>4.0429774243386394E-3</v>
      </c>
      <c r="Y14" s="1">
        <f t="shared" si="6"/>
        <v>4.0043632872701317E-3</v>
      </c>
    </row>
    <row r="15" spans="1:25">
      <c r="G15">
        <f t="shared" si="7"/>
        <v>1.25</v>
      </c>
      <c r="H15" s="1"/>
      <c r="I15">
        <f>Interpolate_Interval(G14,G16,I14,I16,G15)</f>
        <v>0.99531531397509321</v>
      </c>
      <c r="K15" s="1">
        <f t="shared" si="0"/>
        <v>5.5407633583284266E-3</v>
      </c>
      <c r="L15" s="1">
        <f t="shared" si="3"/>
        <v>1.0718749999999999E-3</v>
      </c>
      <c r="N15" s="1">
        <f>Interpolate_Interval(G14,G16,N14,N16,G15)</f>
        <v>5.6202459390565351E-3</v>
      </c>
      <c r="O15" s="1"/>
      <c r="P15" s="1">
        <f t="shared" si="1"/>
        <v>3.7565548462621078E-3</v>
      </c>
      <c r="U15">
        <v>2.5</v>
      </c>
      <c r="V15" s="1">
        <f t="shared" si="4"/>
        <v>0.01</v>
      </c>
      <c r="W15" s="1">
        <f t="shared" si="5"/>
        <v>9.8442800644881461E-3</v>
      </c>
      <c r="X15" s="1">
        <f t="shared" si="2"/>
        <v>6.6318132300750227E-3</v>
      </c>
      <c r="Y15" s="1">
        <f t="shared" si="6"/>
        <v>6.5285426772236279E-3</v>
      </c>
    </row>
    <row r="16" spans="1:25">
      <c r="B16" t="s">
        <v>145</v>
      </c>
      <c r="E16" t="s">
        <v>54</v>
      </c>
      <c r="G16">
        <f t="shared" si="7"/>
        <v>1.5</v>
      </c>
      <c r="H16" s="1">
        <f>Interpolate_Range($D$17:$D$31,$E$17:$E$31,G16)</f>
        <v>4.0569999999999998E-3</v>
      </c>
      <c r="I16">
        <f>(1-H16*J14)/(1+H16*0.5)</f>
        <v>0.993936612319679</v>
      </c>
      <c r="J16">
        <f>J14+0.5*I16</f>
        <v>1.4945495884449114</v>
      </c>
      <c r="K16" s="1">
        <f t="shared" si="0"/>
        <v>5.548449019084245E-3</v>
      </c>
      <c r="L16" s="1">
        <f t="shared" si="3"/>
        <v>1.06875E-3</v>
      </c>
      <c r="M16" s="3">
        <f>M14+I16*0.5</f>
        <v>1.4945495884449114</v>
      </c>
      <c r="N16" s="1">
        <f>(1-I16+L16*M16-O14)/(I16*0.5)</f>
        <v>6.604653182785988E-3</v>
      </c>
      <c r="O16" s="1">
        <f>O14+N16*I16*0.5</f>
        <v>7.6606875529714961E-3</v>
      </c>
      <c r="P16" s="1">
        <f t="shared" si="1"/>
        <v>4.0545631074059875E-3</v>
      </c>
      <c r="U16">
        <v>3</v>
      </c>
      <c r="V16" s="1">
        <f t="shared" si="4"/>
        <v>0.01</v>
      </c>
      <c r="W16" s="1">
        <f t="shared" si="5"/>
        <v>9.7698471714543697E-3</v>
      </c>
      <c r="X16" s="1">
        <f t="shared" si="2"/>
        <v>8.1277564681300762E-3</v>
      </c>
      <c r="Y16" s="1">
        <f t="shared" si="6"/>
        <v>7.9406938540430572E-3</v>
      </c>
    </row>
    <row r="17" spans="1:25">
      <c r="A17">
        <v>1</v>
      </c>
      <c r="B17" s="1">
        <v>1.075E-3</v>
      </c>
      <c r="C17" s="32"/>
      <c r="D17">
        <v>1</v>
      </c>
      <c r="E17" s="1">
        <v>3.3140000000000001E-3</v>
      </c>
      <c r="G17">
        <f t="shared" si="7"/>
        <v>1.75</v>
      </c>
      <c r="H17" s="1"/>
      <c r="I17">
        <f>Interpolate_Interval(G16,G18,I16,I18,G17)</f>
        <v>0.99219284824656362</v>
      </c>
      <c r="K17" s="1">
        <f t="shared" si="0"/>
        <v>7.0299401016526986E-3</v>
      </c>
      <c r="L17" s="1">
        <f t="shared" si="3"/>
        <v>1.0656250000000002E-3</v>
      </c>
      <c r="N17" s="1">
        <f>Interpolate_Interval(G16,G18,N16,N18,G17)</f>
        <v>7.3453040157316334E-3</v>
      </c>
      <c r="O17" s="1"/>
      <c r="P17" s="1">
        <f t="shared" si="1"/>
        <v>4.4787354953214507E-3</v>
      </c>
      <c r="R17" s="23" t="s">
        <v>43</v>
      </c>
      <c r="U17">
        <v>3.5</v>
      </c>
      <c r="V17" s="1">
        <f t="shared" si="4"/>
        <v>0.01</v>
      </c>
      <c r="W17" s="1">
        <f t="shared" si="5"/>
        <v>9.66411176025638E-3</v>
      </c>
      <c r="X17" s="1">
        <f t="shared" si="2"/>
        <v>1.1443701939263216E-2</v>
      </c>
      <c r="Y17" s="1">
        <f t="shared" si="6"/>
        <v>1.1059321449210239E-2</v>
      </c>
    </row>
    <row r="18" spans="1:25">
      <c r="A18">
        <v>2</v>
      </c>
      <c r="B18" s="1">
        <v>1.0625000000000001E-3</v>
      </c>
      <c r="C18" s="32"/>
      <c r="D18">
        <v>2</v>
      </c>
      <c r="E18" s="1">
        <v>4.7999999999999996E-3</v>
      </c>
      <c r="G18">
        <f t="shared" si="7"/>
        <v>2</v>
      </c>
      <c r="H18" s="1">
        <f>Interpolate_Range($D$17:$D$31,$E$17:$E$31,G18)</f>
        <v>4.7999999999999996E-3</v>
      </c>
      <c r="I18">
        <f>(1-H18*J16)/(1+H18*0.5)</f>
        <v>0.99044908417344824</v>
      </c>
      <c r="J18">
        <f>J16+I18*0.5</f>
        <v>1.9897741305316354</v>
      </c>
      <c r="K18" s="1">
        <f t="shared" si="0"/>
        <v>7.0423168680928683E-3</v>
      </c>
      <c r="L18" s="1">
        <f t="shared" si="3"/>
        <v>1.0625000000000001E-3</v>
      </c>
      <c r="M18" s="3">
        <f>M16+I18*0.5</f>
        <v>1.9897741305316354</v>
      </c>
      <c r="N18" s="1">
        <f>(1-I18+L18*M18-O16)/(I18*0.5)</f>
        <v>8.0859548486772789E-3</v>
      </c>
      <c r="O18" s="1">
        <f>O16+N18*I18*0.5</f>
        <v>1.1665050840241628E-2</v>
      </c>
      <c r="P18" s="1">
        <f t="shared" si="1"/>
        <v>4.7984091654504285E-3</v>
      </c>
      <c r="R18" t="s">
        <v>45</v>
      </c>
      <c r="S18" s="15">
        <f>$S$9*SUM(W11:W30)</f>
        <v>0.17999825727476657</v>
      </c>
      <c r="U18">
        <v>4</v>
      </c>
      <c r="V18" s="1">
        <f t="shared" si="4"/>
        <v>0.01</v>
      </c>
      <c r="W18" s="1">
        <f t="shared" si="5"/>
        <v>9.539991855674149E-3</v>
      </c>
      <c r="X18" s="1">
        <f t="shared" si="2"/>
        <v>1.3506606916095178E-2</v>
      </c>
      <c r="Y18" s="1">
        <f t="shared" si="6"/>
        <v>1.2885291997734014E-2</v>
      </c>
    </row>
    <row r="19" spans="1:25">
      <c r="A19">
        <v>3</v>
      </c>
      <c r="B19" s="1">
        <v>1.0499999999999999E-3</v>
      </c>
      <c r="C19" s="32"/>
      <c r="D19">
        <v>3</v>
      </c>
      <c r="E19" s="1">
        <v>7.7479999999999997E-3</v>
      </c>
      <c r="G19">
        <f t="shared" si="7"/>
        <v>2.25</v>
      </c>
      <c r="H19" s="1"/>
      <c r="I19">
        <f>Interpolate_Interval(G18,G20,I18,I20,G19)</f>
        <v>0.9874385453111314</v>
      </c>
      <c r="K19" s="1">
        <f t="shared" si="0"/>
        <v>1.2195346744817037E-2</v>
      </c>
      <c r="L19" s="1">
        <f t="shared" si="3"/>
        <v>1.059375E-3</v>
      </c>
      <c r="N19" s="1">
        <f>Interpolate_Interval(G18,G20,N18,N20,G19)</f>
        <v>1.0674790654413662E-2</v>
      </c>
      <c r="O19" s="1"/>
      <c r="P19" s="1">
        <f t="shared" si="1"/>
        <v>5.61822966209383E-3</v>
      </c>
      <c r="R19" t="s">
        <v>46</v>
      </c>
      <c r="S19" s="15">
        <f>$S$9*SUM(Y11:Y30)</f>
        <v>0.26153746782023585</v>
      </c>
      <c r="U19">
        <v>4.5</v>
      </c>
      <c r="V19" s="1">
        <f t="shared" si="4"/>
        <v>0.01</v>
      </c>
      <c r="W19" s="1">
        <f t="shared" si="5"/>
        <v>9.3976065203771591E-3</v>
      </c>
      <c r="X19" s="1">
        <f t="shared" si="2"/>
        <v>1.5669983985829299E-2</v>
      </c>
      <c r="Y19" s="1">
        <f t="shared" si="6"/>
        <v>1.472603436794351E-2</v>
      </c>
    </row>
    <row r="20" spans="1:25">
      <c r="A20">
        <v>4</v>
      </c>
      <c r="B20" s="1">
        <v>1.0375E-3</v>
      </c>
      <c r="C20" s="32"/>
      <c r="D20">
        <v>4</v>
      </c>
      <c r="E20" s="1">
        <v>1.1703E-2</v>
      </c>
      <c r="G20">
        <f t="shared" si="7"/>
        <v>2.5</v>
      </c>
      <c r="H20" s="1">
        <f>Interpolate_Range($D$17:$D$31,$E$17:$E$31,G20)</f>
        <v>6.2740000000000001E-3</v>
      </c>
      <c r="I20">
        <f>(1-H20*J18)/(1+H20*0.5)</f>
        <v>0.98442800644881456</v>
      </c>
      <c r="J20">
        <f>J18+0.5*I20</f>
        <v>2.4819881337560425</v>
      </c>
      <c r="K20" s="1">
        <f t="shared" si="0"/>
        <v>1.2232642072738109E-2</v>
      </c>
      <c r="L20" s="1">
        <f t="shared" si="3"/>
        <v>1.0562499999999999E-3</v>
      </c>
      <c r="M20" s="3">
        <f>M18+I20*0.5</f>
        <v>2.4819881337560425</v>
      </c>
      <c r="N20" s="1">
        <f>(1-I20+L20*M20-O18)/(I20*0.5)</f>
        <v>1.3263626460150045E-2</v>
      </c>
      <c r="O20" s="1">
        <f>O18+N20*I20*0.5</f>
        <v>1.8193593517465256E-2</v>
      </c>
      <c r="P20" s="1">
        <f t="shared" si="1"/>
        <v>6.2778042387452281E-3</v>
      </c>
      <c r="R20" t="s">
        <v>47</v>
      </c>
      <c r="S20" s="28">
        <f>$S$12*(S18-S19)</f>
        <v>-7.9606731255541652</v>
      </c>
      <c r="U20">
        <v>5</v>
      </c>
      <c r="V20" s="1">
        <f t="shared" si="4"/>
        <v>0.01</v>
      </c>
      <c r="W20" s="1">
        <f t="shared" si="5"/>
        <v>9.2378099441965157E-3</v>
      </c>
      <c r="X20" s="1">
        <f t="shared" si="2"/>
        <v>1.781685173038183E-2</v>
      </c>
      <c r="Y20" s="1">
        <f t="shared" si="6"/>
        <v>1.6458869008919616E-2</v>
      </c>
    </row>
    <row r="21" spans="1:25">
      <c r="A21">
        <v>5</v>
      </c>
      <c r="B21" s="1">
        <v>1.0375E-3</v>
      </c>
      <c r="C21" s="32"/>
      <c r="D21">
        <v>5</v>
      </c>
      <c r="E21" s="1">
        <v>1.5675000000000001E-2</v>
      </c>
      <c r="G21">
        <f t="shared" si="7"/>
        <v>2.75</v>
      </c>
      <c r="H21" s="1"/>
      <c r="I21">
        <f>Interpolate_Interval(G20,G22,I20,I22,G21)</f>
        <v>0.98070636179712567</v>
      </c>
      <c r="K21" s="1">
        <f t="shared" si="0"/>
        <v>1.5179445333133756E-2</v>
      </c>
      <c r="L21" s="1">
        <f t="shared" si="3"/>
        <v>1.053125E-3</v>
      </c>
      <c r="N21" s="1">
        <f>Interpolate_Interval(G20,G22,N20,N22,G21)</f>
        <v>1.4759569698205098E-2</v>
      </c>
      <c r="O21" s="1"/>
      <c r="P21" s="1">
        <f t="shared" si="1"/>
        <v>7.084432585000547E-3</v>
      </c>
      <c r="U21">
        <v>5.5</v>
      </c>
      <c r="V21" s="1">
        <f t="shared" si="4"/>
        <v>0.01</v>
      </c>
      <c r="W21" s="1">
        <f t="shared" si="5"/>
        <v>9.0741896943960024E-3</v>
      </c>
      <c r="X21" s="1">
        <f t="shared" si="2"/>
        <v>1.8550139612844588E-2</v>
      </c>
      <c r="Y21" s="1">
        <f t="shared" si="6"/>
        <v>1.6832748570448142E-2</v>
      </c>
    </row>
    <row r="22" spans="1:25">
      <c r="A22">
        <v>6</v>
      </c>
      <c r="B22" s="1">
        <v>1.0375E-3</v>
      </c>
      <c r="C22" s="32"/>
      <c r="D22">
        <v>6</v>
      </c>
      <c r="E22" s="1">
        <v>1.9154999999999998E-2</v>
      </c>
      <c r="G22">
        <f t="shared" si="7"/>
        <v>3</v>
      </c>
      <c r="H22" s="1">
        <f>Interpolate_Range($D$17:$D$31,$E$17:$E$31,G22)</f>
        <v>7.7479999999999997E-3</v>
      </c>
      <c r="I22">
        <f>(1-H22*J20)/(1+H22*0.5)</f>
        <v>0.97698471714543689</v>
      </c>
      <c r="J22">
        <f>J20+0.5*I22</f>
        <v>2.9704804923287611</v>
      </c>
      <c r="K22" s="1">
        <f t="shared" si="0"/>
        <v>1.5237268654775704E-2</v>
      </c>
      <c r="L22" s="1">
        <f t="shared" si="3"/>
        <v>1.0499999999999999E-3</v>
      </c>
      <c r="M22" s="3">
        <f>M20+I22*0.5</f>
        <v>2.9704804923287611</v>
      </c>
      <c r="N22" s="1">
        <f>(1-I22+L22*M22-O20)/(I22*0.5)</f>
        <v>1.6255512936260152E-2</v>
      </c>
      <c r="O22" s="1">
        <f>O20+N22*I22*0.5</f>
        <v>2.6134287371508313E-2</v>
      </c>
      <c r="P22" s="1">
        <f t="shared" si="1"/>
        <v>7.7614232322912253E-3</v>
      </c>
      <c r="U22">
        <v>6</v>
      </c>
      <c r="V22" s="1">
        <f t="shared" si="4"/>
        <v>0.01</v>
      </c>
      <c r="W22" s="1">
        <f t="shared" si="5"/>
        <v>8.8964823466502752E-3</v>
      </c>
      <c r="X22" s="1">
        <f t="shared" si="2"/>
        <v>2.0493762687192899E-2</v>
      </c>
      <c r="Y22" s="1">
        <f t="shared" si="6"/>
        <v>1.8232239796305172E-2</v>
      </c>
    </row>
    <row r="23" spans="1:25">
      <c r="A23">
        <v>7</v>
      </c>
      <c r="B23" s="1">
        <v>1.0499999999999999E-3</v>
      </c>
      <c r="C23" s="32"/>
      <c r="D23">
        <v>7</v>
      </c>
      <c r="E23" s="1">
        <v>2.206E-2</v>
      </c>
      <c r="G23">
        <f t="shared" si="7"/>
        <v>3.25</v>
      </c>
      <c r="H23" s="1"/>
      <c r="I23">
        <f>Interpolate_Interval(G22,G24,I22,I24,G23)</f>
        <v>0.97169794658553743</v>
      </c>
      <c r="K23" s="1">
        <f t="shared" si="0"/>
        <v>2.1763020405576761E-2</v>
      </c>
      <c r="L23" s="1">
        <f t="shared" si="3"/>
        <v>1.0468750000000001E-3</v>
      </c>
      <c r="N23" s="1">
        <f>Interpolate_Interval(G22,G24,N22,N24,G23)</f>
        <v>1.9571458407393293E-2</v>
      </c>
      <c r="O23" s="1"/>
      <c r="P23" s="1">
        <f t="shared" si="1"/>
        <v>8.8339314946227869E-3</v>
      </c>
      <c r="U23">
        <v>6.5</v>
      </c>
      <c r="V23" s="1">
        <f t="shared" si="4"/>
        <v>0.01</v>
      </c>
      <c r="W23" s="1">
        <f t="shared" si="5"/>
        <v>8.7229251257069217E-3</v>
      </c>
      <c r="X23" s="1">
        <f t="shared" si="2"/>
        <v>2.0459829335061346E-2</v>
      </c>
      <c r="Y23" s="1">
        <f t="shared" si="6"/>
        <v>1.7846955937448214E-2</v>
      </c>
    </row>
    <row r="24" spans="1:25">
      <c r="A24">
        <v>8</v>
      </c>
      <c r="B24" s="1">
        <v>1.0499999999999999E-3</v>
      </c>
      <c r="C24" s="32"/>
      <c r="D24">
        <v>8</v>
      </c>
      <c r="E24" s="1">
        <v>2.4395E-2</v>
      </c>
      <c r="G24">
        <f t="shared" si="7"/>
        <v>3.5</v>
      </c>
      <c r="H24" s="1">
        <f>Interpolate_Range($D$17:$D$31,$E$17:$E$31,G24)</f>
        <v>9.7254999999999998E-3</v>
      </c>
      <c r="I24">
        <f>(1-H24*J22)/(1+H24*0.5)</f>
        <v>0.96641117602563797</v>
      </c>
      <c r="J24">
        <f>J22+0.5*I24</f>
        <v>3.4536860803415799</v>
      </c>
      <c r="K24" s="1">
        <f t="shared" si="0"/>
        <v>2.1882075419041414E-2</v>
      </c>
      <c r="L24" s="1">
        <f t="shared" si="3"/>
        <v>1.04375E-3</v>
      </c>
      <c r="M24" s="3">
        <f>M22+I24*0.5</f>
        <v>3.4536860803415799</v>
      </c>
      <c r="N24" s="1">
        <f>(1-I24+L24*M24-O22)/(I24*0.5)</f>
        <v>2.2887403878526433E-2</v>
      </c>
      <c r="O24" s="1">
        <f>O22+N24*I24*0.5</f>
        <v>3.7193608820718552E-2</v>
      </c>
      <c r="P24" s="1">
        <f t="shared" si="1"/>
        <v>9.7616820778257691E-3</v>
      </c>
      <c r="U24">
        <v>7</v>
      </c>
      <c r="V24" s="1">
        <f t="shared" si="4"/>
        <v>0.01</v>
      </c>
      <c r="W24" s="1">
        <f t="shared" si="5"/>
        <v>8.538729533401606E-3</v>
      </c>
      <c r="X24" s="1">
        <f t="shared" si="2"/>
        <v>2.2142140185250875E-2</v>
      </c>
      <c r="Y24" s="1">
        <f t="shared" si="6"/>
        <v>1.8906574633252016E-2</v>
      </c>
    </row>
    <row r="25" spans="1:25">
      <c r="A25">
        <v>9</v>
      </c>
      <c r="B25" s="1">
        <v>1.0375E-3</v>
      </c>
      <c r="C25" s="32"/>
      <c r="D25">
        <v>9</v>
      </c>
      <c r="E25" s="1">
        <v>2.6349999999999998E-2</v>
      </c>
      <c r="G25">
        <f t="shared" si="7"/>
        <v>3.75</v>
      </c>
      <c r="H25" s="1"/>
      <c r="I25">
        <f>Interpolate_Interval(G24,G26,I24,I26,G25)</f>
        <v>0.96020518079652639</v>
      </c>
      <c r="K25" s="1">
        <f t="shared" si="0"/>
        <v>2.5852787938359434E-2</v>
      </c>
      <c r="L25" s="1">
        <f t="shared" si="3"/>
        <v>1.0406249999999999E-3</v>
      </c>
      <c r="N25" s="1">
        <f>Interpolate_Interval(G24,G26,N24,N26,G25)</f>
        <v>2.4950308855358393E-2</v>
      </c>
      <c r="O25" s="1"/>
      <c r="P25" s="1">
        <f t="shared" si="1"/>
        <v>1.082887662956673E-2</v>
      </c>
      <c r="U25">
        <v>7.5</v>
      </c>
      <c r="V25" s="1">
        <f t="shared" si="4"/>
        <v>0.01</v>
      </c>
      <c r="W25" s="1">
        <f t="shared" si="5"/>
        <v>8.3642531382115536E-3</v>
      </c>
      <c r="X25" s="1">
        <f t="shared" si="2"/>
        <v>2.1384769821284795E-2</v>
      </c>
      <c r="Y25" s="1">
        <f t="shared" si="6"/>
        <v>1.7886762808761308E-2</v>
      </c>
    </row>
    <row r="26" spans="1:25">
      <c r="A26">
        <v>10</v>
      </c>
      <c r="B26" s="1">
        <v>1.0499999999999999E-3</v>
      </c>
      <c r="C26" s="32"/>
      <c r="D26">
        <v>10</v>
      </c>
      <c r="E26" s="1">
        <v>2.801E-2</v>
      </c>
      <c r="G26">
        <f t="shared" si="7"/>
        <v>4</v>
      </c>
      <c r="H26" s="1">
        <f>Interpolate_Range($D$17:$D$31,$E$17:$E$31,G26)</f>
        <v>1.1703E-2</v>
      </c>
      <c r="I26">
        <f>(1-H26*J24)/(1+H26*0.5)</f>
        <v>0.95399918556741492</v>
      </c>
      <c r="J26">
        <f>J24+I26*0.5</f>
        <v>3.9306856731252875</v>
      </c>
      <c r="K26" s="1">
        <f t="shared" si="0"/>
        <v>2.6020966571036475E-2</v>
      </c>
      <c r="L26" s="1">
        <f t="shared" si="3"/>
        <v>1.0375E-3</v>
      </c>
      <c r="M26" s="3">
        <f>M24+I26*0.5</f>
        <v>3.9306856731252875</v>
      </c>
      <c r="N26" s="1">
        <f>(1-I26+L26*M26-O24)/(I26*0.5)</f>
        <v>2.7013213832190356E-2</v>
      </c>
      <c r="O26" s="1">
        <f>O24+N26*I26*0.5</f>
        <v>5.0078900818452565E-2</v>
      </c>
      <c r="P26" s="1">
        <f t="shared" si="1"/>
        <v>1.1773115309283575E-2</v>
      </c>
      <c r="U26">
        <v>8</v>
      </c>
      <c r="V26" s="1">
        <f t="shared" si="4"/>
        <v>0.01</v>
      </c>
      <c r="W26" s="1">
        <f t="shared" si="5"/>
        <v>8.1822316841683312E-3</v>
      </c>
      <c r="X26" s="1">
        <f t="shared" si="2"/>
        <v>2.2770942313686045E-2</v>
      </c>
      <c r="Y26" s="1">
        <f t="shared" si="6"/>
        <v>1.8631712567741127E-2</v>
      </c>
    </row>
    <row r="27" spans="1:25">
      <c r="A27">
        <v>12</v>
      </c>
      <c r="B27" s="1">
        <v>1.0499999999999999E-3</v>
      </c>
      <c r="C27" s="32"/>
      <c r="D27">
        <v>12</v>
      </c>
      <c r="E27" s="1">
        <v>3.0665000000000001E-2</v>
      </c>
      <c r="G27">
        <f t="shared" si="7"/>
        <v>4.25</v>
      </c>
      <c r="H27" s="1"/>
      <c r="I27">
        <f>Interpolate_Interval(G26,G28,I26,I28,G27)</f>
        <v>0.94687991880256539</v>
      </c>
      <c r="K27" s="1">
        <f t="shared" si="0"/>
        <v>3.0074634062796868E-2</v>
      </c>
      <c r="L27" s="1">
        <f t="shared" si="3"/>
        <v>1.0375E-3</v>
      </c>
      <c r="N27" s="1">
        <f>Interpolate_Interval(G26,G28,N26,N28,G27)</f>
        <v>2.9176590901924475E-2</v>
      </c>
      <c r="O27" s="1"/>
      <c r="P27" s="1">
        <f t="shared" si="1"/>
        <v>1.2843057770096315E-2</v>
      </c>
      <c r="U27">
        <v>8.5</v>
      </c>
      <c r="V27" s="1">
        <f t="shared" si="4"/>
        <v>0.01</v>
      </c>
      <c r="W27" s="1">
        <f t="shared" si="5"/>
        <v>8.0078052583263896E-3</v>
      </c>
      <c r="X27" s="1">
        <f t="shared" si="2"/>
        <v>2.224576911493617E-2</v>
      </c>
      <c r="Y27" s="1">
        <f t="shared" si="6"/>
        <v>1.7813978689410065E-2</v>
      </c>
    </row>
    <row r="28" spans="1:25">
      <c r="A28">
        <v>15</v>
      </c>
      <c r="B28" s="1">
        <v>1.0625000000000001E-3</v>
      </c>
      <c r="C28" s="32"/>
      <c r="D28">
        <v>15</v>
      </c>
      <c r="E28" s="1">
        <v>3.3140999999999997E-2</v>
      </c>
      <c r="G28">
        <f t="shared" si="7"/>
        <v>4.5</v>
      </c>
      <c r="H28" s="1">
        <f>Interpolate_Range($D$17:$D$31,$E$17:$E$31,G28)</f>
        <v>1.3689E-2</v>
      </c>
      <c r="I28">
        <f>(1-H28*J26)/(1+H28*0.5)</f>
        <v>0.93976065203771597</v>
      </c>
      <c r="J28">
        <f>J26+0.5*I28</f>
        <v>4.4005659991441455</v>
      </c>
      <c r="K28" s="1">
        <f t="shared" si="0"/>
        <v>3.0302467971658587E-2</v>
      </c>
      <c r="L28" s="1">
        <f t="shared" si="3"/>
        <v>1.0375E-3</v>
      </c>
      <c r="M28" s="3">
        <f>M26+I28*0.5</f>
        <v>4.4005659991441455</v>
      </c>
      <c r="N28" s="1">
        <f>(1-I28+L28*M28-O26)/(I28*0.5)</f>
        <v>3.1339967971658597E-2</v>
      </c>
      <c r="O28" s="1">
        <f>O26+N28*I28*0.5</f>
        <v>6.4804935186396073E-2</v>
      </c>
      <c r="P28" s="1">
        <f t="shared" si="1"/>
        <v>1.380668036276742E-2</v>
      </c>
      <c r="U28">
        <v>9</v>
      </c>
      <c r="V28" s="1">
        <f t="shared" si="4"/>
        <v>0.01</v>
      </c>
      <c r="W28" s="1">
        <f t="shared" si="5"/>
        <v>7.8279211756339083E-3</v>
      </c>
      <c r="X28" s="1">
        <f t="shared" si="2"/>
        <v>2.3435861958462093E-2</v>
      </c>
      <c r="Y28" s="1">
        <f t="shared" si="6"/>
        <v>1.8345408009387859E-2</v>
      </c>
    </row>
    <row r="29" spans="1:25">
      <c r="A29">
        <v>20</v>
      </c>
      <c r="B29" s="1">
        <v>1.0625000000000001E-3</v>
      </c>
      <c r="C29" s="32"/>
      <c r="D29">
        <v>20</v>
      </c>
      <c r="E29" s="1">
        <v>3.5104000000000003E-2</v>
      </c>
      <c r="G29">
        <f t="shared" si="7"/>
        <v>4.75</v>
      </c>
      <c r="H29" s="1"/>
      <c r="I29">
        <f>Interpolate_Interval(G28,G30,I28,I30,G29)</f>
        <v>0.93177082322868376</v>
      </c>
      <c r="K29" s="1">
        <f t="shared" si="0"/>
        <v>3.4299544951822192E-2</v>
      </c>
      <c r="L29" s="1">
        <f t="shared" si="3"/>
        <v>1.0375E-3</v>
      </c>
      <c r="N29" s="1">
        <f>Interpolate_Interval(G28,G30,N28,N30,G29)</f>
        <v>3.3486835716211125E-2</v>
      </c>
      <c r="O29" s="1"/>
      <c r="P29" s="1">
        <f t="shared" si="1"/>
        <v>1.4877556285825967E-2</v>
      </c>
      <c r="U29">
        <v>9.5</v>
      </c>
      <c r="V29" s="1">
        <f t="shared" si="4"/>
        <v>0.01</v>
      </c>
      <c r="W29" s="1">
        <f t="shared" si="5"/>
        <v>7.6554649843252444E-3</v>
      </c>
      <c r="X29" s="1">
        <f t="shared" si="2"/>
        <v>2.3116373260388283E-2</v>
      </c>
      <c r="Y29" s="1">
        <f t="shared" si="6"/>
        <v>1.7696658605949489E-2</v>
      </c>
    </row>
    <row r="30" spans="1:25">
      <c r="A30">
        <v>25</v>
      </c>
      <c r="B30" s="1">
        <v>1.0625000000000001E-3</v>
      </c>
      <c r="C30" s="32"/>
      <c r="D30">
        <v>25</v>
      </c>
      <c r="E30" s="1">
        <v>3.6501499999999999E-2</v>
      </c>
      <c r="G30">
        <f t="shared" si="7"/>
        <v>5</v>
      </c>
      <c r="H30" s="1">
        <f>Interpolate_Range($D$17:$D$31,$E$17:$E$31,G30)</f>
        <v>1.5675000000000001E-2</v>
      </c>
      <c r="I30">
        <f>(1-H30*J28)/(1+H30*0.5)</f>
        <v>0.92378099441965156</v>
      </c>
      <c r="J30">
        <f>J28+0.5*I30</f>
        <v>4.8624564963539711</v>
      </c>
      <c r="K30" s="1">
        <f t="shared" si="0"/>
        <v>3.4596203460763419E-2</v>
      </c>
      <c r="L30" s="1">
        <f t="shared" si="3"/>
        <v>1.0375E-3</v>
      </c>
      <c r="M30" s="3">
        <f>M28+I30*0.5</f>
        <v>4.8624564963539711</v>
      </c>
      <c r="N30" s="1">
        <f>(1-I30+L30*M30-O28)/(I30*0.5)</f>
        <v>3.5633703460763659E-2</v>
      </c>
      <c r="O30" s="1">
        <f>O28+N30*I30*0.5</f>
        <v>8.1263804195315689E-2</v>
      </c>
      <c r="P30" s="1">
        <f t="shared" si="1"/>
        <v>1.5856050892050531E-2</v>
      </c>
      <c r="U30">
        <v>10</v>
      </c>
      <c r="V30" s="1">
        <f t="shared" si="4"/>
        <v>0.01</v>
      </c>
      <c r="W30" s="1">
        <f t="shared" si="5"/>
        <v>7.4791244068668937E-3</v>
      </c>
      <c r="X30" s="1">
        <f t="shared" si="2"/>
        <v>2.4174787077503614E-2</v>
      </c>
      <c r="Y30" s="1">
        <f t="shared" si="6"/>
        <v>1.8080624006216767E-2</v>
      </c>
    </row>
    <row r="31" spans="1:25">
      <c r="A31">
        <v>30</v>
      </c>
      <c r="B31" s="1">
        <v>1.0499999999999999E-3</v>
      </c>
      <c r="C31" s="32"/>
      <c r="D31">
        <v>30</v>
      </c>
      <c r="E31" s="1">
        <v>3.6510000000000001E-2</v>
      </c>
      <c r="G31">
        <f t="shared" si="7"/>
        <v>5.25</v>
      </c>
      <c r="H31" s="1"/>
      <c r="I31">
        <f>Interpolate_Interval(G30,G32,I30,I32,G31)</f>
        <v>0.91559998192962588</v>
      </c>
      <c r="K31" s="1">
        <f t="shared" si="0"/>
        <v>3.5740553304879796E-2</v>
      </c>
      <c r="L31" s="1">
        <f t="shared" si="3"/>
        <v>1.0375E-3</v>
      </c>
      <c r="N31" s="1">
        <f>Interpolate_Interval(G30,G32,N30,N32,G31)</f>
        <v>3.6366991343226421E-2</v>
      </c>
      <c r="O31" s="1"/>
      <c r="P31" s="1">
        <f t="shared" si="1"/>
        <v>1.6795373455205077E-2</v>
      </c>
      <c r="V31" s="1"/>
      <c r="W31" s="1"/>
      <c r="X31" s="1"/>
      <c r="Y31" s="1"/>
    </row>
    <row r="32" spans="1:25">
      <c r="G32">
        <f t="shared" si="7"/>
        <v>5.5</v>
      </c>
      <c r="H32" s="1">
        <f>Interpolate_Range($D$17:$D$31,$E$17:$E$31,G32)</f>
        <v>1.7415E-2</v>
      </c>
      <c r="I32">
        <f>(1-H32*J30)/(1+H32*0.5)</f>
        <v>0.90741896943960021</v>
      </c>
      <c r="J32">
        <f>J30+0.5*I32</f>
        <v>5.3161659810737714</v>
      </c>
      <c r="K32" s="1">
        <f t="shared" si="0"/>
        <v>3.6062779225689567E-2</v>
      </c>
      <c r="L32" s="1">
        <f t="shared" si="3"/>
        <v>1.0375E-3</v>
      </c>
      <c r="M32" s="3">
        <f>M30+I32*0.5</f>
        <v>5.3161659810737714</v>
      </c>
      <c r="N32" s="1">
        <f>(1-I32+L32*M32-O30)/(I32*0.5)</f>
        <v>3.7100279225689176E-2</v>
      </c>
      <c r="O32" s="1">
        <f>O30+N32*I32*0.5</f>
        <v>9.8096552765763831E-2</v>
      </c>
      <c r="P32" s="1">
        <f t="shared" si="1"/>
        <v>1.7663819400623285E-2</v>
      </c>
      <c r="V32" s="1"/>
      <c r="W32" s="1"/>
      <c r="X32" s="1"/>
      <c r="Y32" s="1"/>
    </row>
    <row r="33" spans="3:25">
      <c r="G33">
        <f t="shared" si="7"/>
        <v>5.75</v>
      </c>
      <c r="H33" s="1"/>
      <c r="I33">
        <f>Interpolate_Interval(G32,G34,I32,I34,G33)</f>
        <v>0.89853360205231381</v>
      </c>
      <c r="K33" s="1">
        <f t="shared" si="0"/>
        <v>3.9554969861969269E-2</v>
      </c>
      <c r="L33" s="1">
        <f t="shared" si="3"/>
        <v>1.0375E-3</v>
      </c>
      <c r="N33" s="1">
        <f>Interpolate_Interval(G32,G34,N32,N34,G33)</f>
        <v>3.9043902300037486E-2</v>
      </c>
      <c r="O33" s="1"/>
      <c r="P33" s="1">
        <f t="shared" si="1"/>
        <v>1.8607160958994954E-2</v>
      </c>
      <c r="V33" s="1"/>
      <c r="W33" s="1"/>
      <c r="X33" s="1"/>
      <c r="Y33" s="1"/>
    </row>
    <row r="34" spans="3:25">
      <c r="G34">
        <f t="shared" si="7"/>
        <v>6</v>
      </c>
      <c r="H34" s="1">
        <f>Interpolate_Range($D$17:$D$31,$E$17:$E$31,G34)</f>
        <v>1.9154999999999998E-2</v>
      </c>
      <c r="I34">
        <f>(1-H34*J32)/(1+H34*0.5)</f>
        <v>0.88964823466502752</v>
      </c>
      <c r="J34">
        <f>J32+I34*0.5</f>
        <v>5.7609900984062854</v>
      </c>
      <c r="K34" s="1">
        <f t="shared" si="0"/>
        <v>3.9950025374385412E-2</v>
      </c>
      <c r="L34" s="1">
        <f t="shared" si="3"/>
        <v>1.0375E-3</v>
      </c>
      <c r="M34" s="3">
        <f>M32+I34*0.5</f>
        <v>5.7609900984062854</v>
      </c>
      <c r="N34" s="1">
        <f>(1-I34+L34*M34-O32)/(I34*0.5)</f>
        <v>4.0987525374385797E-2</v>
      </c>
      <c r="O34" s="1">
        <f>O32+N34*I34*0.5</f>
        <v>0.116328792562069</v>
      </c>
      <c r="P34" s="1">
        <f t="shared" si="1"/>
        <v>1.9488189389007544E-2</v>
      </c>
      <c r="V34" s="1"/>
      <c r="W34" s="1"/>
      <c r="X34" s="1"/>
      <c r="Y34" s="1"/>
    </row>
    <row r="35" spans="3:25">
      <c r="C35" s="1"/>
      <c r="G35">
        <f t="shared" si="7"/>
        <v>6.25</v>
      </c>
      <c r="H35" s="1"/>
      <c r="I35">
        <f>Interpolate_Interval(G34,G36,I34,I36,G35)</f>
        <v>0.88097037361785979</v>
      </c>
      <c r="K35" s="1">
        <f t="shared" si="0"/>
        <v>3.9401375151950191E-2</v>
      </c>
      <c r="L35" s="1">
        <f t="shared" si="3"/>
        <v>1.0406249999999999E-3</v>
      </c>
      <c r="N35" s="1">
        <f>Interpolate_Interval(G34,G36,N34,N36,G35)</f>
        <v>4.0953592022254244E-2</v>
      </c>
      <c r="O35" s="1"/>
      <c r="P35" s="1">
        <f t="shared" si="1"/>
        <v>2.0277005078552533E-2</v>
      </c>
      <c r="V35" s="1"/>
      <c r="W35" s="1"/>
      <c r="X35" s="1"/>
      <c r="Y35" s="1"/>
    </row>
    <row r="36" spans="3:25">
      <c r="G36">
        <f t="shared" si="7"/>
        <v>6.5</v>
      </c>
      <c r="H36" s="1">
        <f>Interpolate_Range($D$17:$D$31,$E$17:$E$31,G36)</f>
        <v>2.0607500000000001E-2</v>
      </c>
      <c r="I36">
        <f>(1-H36*J34)/(1+H36*0.5)</f>
        <v>0.87229251257069218</v>
      </c>
      <c r="J36">
        <f>J34+0.5*I36</f>
        <v>6.1971363546916312</v>
      </c>
      <c r="K36" s="1">
        <f t="shared" si="0"/>
        <v>3.979335336305212E-2</v>
      </c>
      <c r="L36" s="1">
        <f t="shared" si="3"/>
        <v>1.04375E-3</v>
      </c>
      <c r="M36" s="3">
        <f>M34+I36*0.5</f>
        <v>6.1971363546916312</v>
      </c>
      <c r="N36" s="1">
        <f>(1-I36+L36*M36-O34)/(I36*0.5)</f>
        <v>4.0919658670122691E-2</v>
      </c>
      <c r="O36" s="1">
        <f>O34+N36*I36*0.5</f>
        <v>0.13417574849951722</v>
      </c>
      <c r="P36" s="1">
        <f t="shared" si="1"/>
        <v>2.1020070942807261E-2</v>
      </c>
      <c r="V36" s="1"/>
      <c r="W36" s="1"/>
      <c r="X36" s="1"/>
      <c r="Y36" s="1"/>
    </row>
    <row r="37" spans="3:25">
      <c r="G37">
        <f t="shared" si="7"/>
        <v>6.75</v>
      </c>
      <c r="H37" s="1"/>
      <c r="I37">
        <f>Interpolate_Interval(G36,G38,I36,I38,G37)</f>
        <v>0.86308273295542637</v>
      </c>
      <c r="K37" s="1">
        <f t="shared" si="0"/>
        <v>4.2683183262067992E-2</v>
      </c>
      <c r="L37" s="1">
        <f t="shared" si="3"/>
        <v>1.0468750000000001E-3</v>
      </c>
      <c r="N37" s="1">
        <f>Interpolate_Interval(G36,G38,N36,N38,G37)</f>
        <v>4.260196952031222E-2</v>
      </c>
      <c r="O37" s="1"/>
      <c r="P37" s="1">
        <f t="shared" si="1"/>
        <v>2.1814033452053311E-2</v>
      </c>
      <c r="V37" s="1"/>
      <c r="W37" s="1"/>
      <c r="X37" s="1"/>
      <c r="Y37" s="1"/>
    </row>
    <row r="38" spans="3:25">
      <c r="G38">
        <f t="shared" si="7"/>
        <v>7</v>
      </c>
      <c r="H38" s="1">
        <f>Interpolate_Range($D$17:$D$31,$E$17:$E$31,G38)</f>
        <v>2.206E-2</v>
      </c>
      <c r="I38">
        <f>(1-H38*J36)/(1+H38*0.5)</f>
        <v>0.85387295334016056</v>
      </c>
      <c r="J38">
        <f>J36+0.5*I38</f>
        <v>6.6240728313617119</v>
      </c>
      <c r="K38" s="1">
        <f t="shared" si="0"/>
        <v>4.3143559374912321E-2</v>
      </c>
      <c r="L38" s="1">
        <f t="shared" si="3"/>
        <v>1.0499999999999999E-3</v>
      </c>
      <c r="M38" s="3">
        <f>M36+I38*0.5</f>
        <v>6.6240728313617119</v>
      </c>
      <c r="N38" s="1">
        <f>(1-I38+L38*M38-O36)/(I38*0.5)</f>
        <v>4.428428037050175E-2</v>
      </c>
      <c r="O38" s="1">
        <f>O36+N38*I38*0.5</f>
        <v>0.15308232313276923</v>
      </c>
      <c r="P38" s="1">
        <f t="shared" si="1"/>
        <v>2.2567551834431543E-2</v>
      </c>
      <c r="V38" s="1"/>
      <c r="W38" s="1"/>
      <c r="X38" s="1"/>
      <c r="Y38" s="1"/>
    </row>
    <row r="39" spans="3:25">
      <c r="G39">
        <f t="shared" si="7"/>
        <v>7.25</v>
      </c>
      <c r="H39" s="1"/>
      <c r="I39">
        <f>Interpolate_Interval(G38,G40,I38,I40,G39)</f>
        <v>0.84514913358065802</v>
      </c>
      <c r="K39" s="1">
        <f t="shared" si="0"/>
        <v>4.1288901155430935E-2</v>
      </c>
      <c r="L39" s="1">
        <f t="shared" si="3"/>
        <v>1.0499999999999999E-3</v>
      </c>
      <c r="N39" s="1">
        <f>Interpolate_Interval(G38,G40,N38,N40,G39)</f>
        <v>4.352691000653567E-2</v>
      </c>
      <c r="O39" s="1"/>
      <c r="P39" s="1">
        <f t="shared" si="1"/>
        <v>2.3205817621079625E-2</v>
      </c>
      <c r="V39" s="1"/>
      <c r="W39" s="1"/>
      <c r="X39" s="1"/>
      <c r="Y39" s="1"/>
    </row>
    <row r="40" spans="3:25">
      <c r="G40">
        <f t="shared" si="7"/>
        <v>7.5</v>
      </c>
      <c r="H40" s="1">
        <f>Interpolate_Range($D$17:$D$31,$E$17:$E$31,G40)</f>
        <v>2.3227499999999998E-2</v>
      </c>
      <c r="I40">
        <f>(1-H40*J38)/(1+H40*0.5)</f>
        <v>0.83642531382115537</v>
      </c>
      <c r="J40">
        <f>J38+0.5*I40</f>
        <v>7.0422854882722898</v>
      </c>
      <c r="K40" s="1">
        <f t="shared" si="0"/>
        <v>4.1719539642570247E-2</v>
      </c>
      <c r="L40" s="1">
        <f t="shared" si="3"/>
        <v>1.0499999999999999E-3</v>
      </c>
      <c r="M40" s="3">
        <f>M38+I40*0.5</f>
        <v>7.0422854882722898</v>
      </c>
      <c r="N40" s="1">
        <f>(1-I40+L40*M40-O38)/(I40*0.5)</f>
        <v>4.276953964256959E-2</v>
      </c>
      <c r="O40" s="1">
        <f>O38+N40*I40*0.5</f>
        <v>0.17096908594153054</v>
      </c>
      <c r="P40" s="1">
        <f t="shared" si="1"/>
        <v>2.3815739556829994E-2</v>
      </c>
      <c r="V40" s="1"/>
      <c r="W40" s="1"/>
      <c r="X40" s="1"/>
      <c r="Y40" s="1"/>
    </row>
    <row r="41" spans="3:25">
      <c r="G41">
        <f t="shared" si="7"/>
        <v>7.75</v>
      </c>
      <c r="H41" s="1"/>
      <c r="I41">
        <f>Interpolate_Interval(G40,G42,I40,I42,G41)</f>
        <v>0.82732424111899427</v>
      </c>
      <c r="K41" s="1">
        <f t="shared" si="0"/>
        <v>4.4002446682096519E-2</v>
      </c>
      <c r="L41" s="1">
        <f t="shared" si="3"/>
        <v>1.0499999999999999E-3</v>
      </c>
      <c r="N41" s="1">
        <f>Interpolate_Interval(G40,G42,N40,N42,G41)</f>
        <v>4.415571213497084E-2</v>
      </c>
      <c r="O41" s="1"/>
      <c r="P41" s="1">
        <f t="shared" si="1"/>
        <v>2.4459173126416968E-2</v>
      </c>
      <c r="V41" s="1"/>
      <c r="W41" s="1"/>
      <c r="X41" s="1"/>
      <c r="Y41" s="1"/>
    </row>
    <row r="42" spans="3:25">
      <c r="G42">
        <f t="shared" si="7"/>
        <v>8</v>
      </c>
      <c r="H42" s="1">
        <f>Interpolate_Range($D$17:$D$31,$E$17:$E$31,G42)</f>
        <v>2.4395E-2</v>
      </c>
      <c r="I42">
        <f>(1-H42*J40)/(1+H42*0.5)</f>
        <v>0.81822316841683307</v>
      </c>
      <c r="J42">
        <f>J40+I42*0.5</f>
        <v>7.4513970724807059</v>
      </c>
      <c r="K42" s="1">
        <f t="shared" si="0"/>
        <v>4.449188462737208E-2</v>
      </c>
      <c r="L42" s="1">
        <f t="shared" si="3"/>
        <v>1.0499999999999999E-3</v>
      </c>
      <c r="M42" s="3">
        <f>M40+I42*0.5</f>
        <v>7.4513970724807059</v>
      </c>
      <c r="N42" s="1">
        <f>(1-I42+L42*M42-O40)/(I42*0.5)</f>
        <v>4.554188462737209E-2</v>
      </c>
      <c r="O42" s="1">
        <f>O40+N42*I42*0.5</f>
        <v>0.18960079850927167</v>
      </c>
      <c r="P42" s="1">
        <f t="shared" si="1"/>
        <v>2.5077519695385374E-2</v>
      </c>
      <c r="V42" s="1"/>
      <c r="W42" s="1"/>
      <c r="X42" s="1"/>
      <c r="Y42" s="1"/>
    </row>
    <row r="43" spans="3:25">
      <c r="G43">
        <f t="shared" si="7"/>
        <v>8.25</v>
      </c>
      <c r="H43" s="1"/>
      <c r="I43">
        <f>Interpolate_Interval(G42,G44,I42,I44,G43)</f>
        <v>0.80950184712473594</v>
      </c>
      <c r="K43" s="1">
        <f t="shared" ref="K43:K74" si="8">(I42/I43-1)/0.25</f>
        <v>4.309475672266494E-2</v>
      </c>
      <c r="L43" s="1">
        <f t="shared" si="3"/>
        <v>1.0468750000000001E-3</v>
      </c>
      <c r="N43" s="1">
        <f>Interpolate_Interval(G42,G44,N42,N44,G43)</f>
        <v>4.5016711428622215E-2</v>
      </c>
      <c r="O43" s="1"/>
      <c r="P43" s="1">
        <f t="shared" ref="P43:P74" si="9">-LN(I43)/G43</f>
        <v>2.5616512006983956E-2</v>
      </c>
      <c r="V43" s="1"/>
      <c r="W43" s="1"/>
      <c r="X43" s="1"/>
      <c r="Y43" s="1"/>
    </row>
    <row r="44" spans="3:25">
      <c r="G44">
        <f t="shared" si="7"/>
        <v>8.5</v>
      </c>
      <c r="H44" s="1">
        <f>Interpolate_Range($D$17:$D$31,$E$17:$E$31,G44)</f>
        <v>2.5372499999999999E-2</v>
      </c>
      <c r="I44">
        <f>(1-H44*J42)/(1+H44*0.5)</f>
        <v>0.80078052583263892</v>
      </c>
      <c r="J44">
        <f>J42+0.5*I44</f>
        <v>7.8517873353970256</v>
      </c>
      <c r="K44" s="1">
        <f t="shared" si="8"/>
        <v>4.3564102825945916E-2</v>
      </c>
      <c r="L44" s="1">
        <f t="shared" si="3"/>
        <v>1.04375E-3</v>
      </c>
      <c r="M44" s="3">
        <f>M42+I44*0.5</f>
        <v>7.8517873353970256</v>
      </c>
      <c r="N44" s="1">
        <f>(1-I44+L44*M44-O42)/(I44*0.5)</f>
        <v>4.4491538229872341E-2</v>
      </c>
      <c r="O44" s="1">
        <f>O42+N44*I44*0.5</f>
        <v>0.20741477719868173</v>
      </c>
      <c r="P44" s="1">
        <f t="shared" si="9"/>
        <v>2.6137455255015721E-2</v>
      </c>
      <c r="V44" s="1"/>
      <c r="W44" s="1"/>
      <c r="X44" s="1"/>
      <c r="Y44" s="1"/>
    </row>
    <row r="45" spans="3:25">
      <c r="G45">
        <f t="shared" si="7"/>
        <v>8.75</v>
      </c>
      <c r="H45" s="1"/>
      <c r="I45">
        <f>Interpolate_Interval(G44,G46,I44,I46,G45)</f>
        <v>0.79178632169801488</v>
      </c>
      <c r="K45" s="1">
        <f t="shared" si="8"/>
        <v>4.5437532264188008E-2</v>
      </c>
      <c r="L45" s="1">
        <f t="shared" si="3"/>
        <v>1.0406249999999999E-3</v>
      </c>
      <c r="N45" s="1">
        <f>Interpolate_Interval(G44,G46,N44,N46,G45)</f>
        <v>4.568163107339826E-2</v>
      </c>
      <c r="O45" s="1"/>
      <c r="P45" s="1">
        <f t="shared" si="9"/>
        <v>2.6681567931999425E-2</v>
      </c>
      <c r="V45" s="1"/>
      <c r="W45" s="1"/>
      <c r="X45" s="1"/>
      <c r="Y45" s="1"/>
    </row>
    <row r="46" spans="3:25">
      <c r="G46">
        <f t="shared" si="7"/>
        <v>9</v>
      </c>
      <c r="H46" s="1">
        <f>Interpolate_Range($D$17:$D$31,$E$17:$E$31,G46)</f>
        <v>2.6349999999999998E-2</v>
      </c>
      <c r="I46">
        <f>(1-H46*J44)/(1+H46*0.5)</f>
        <v>0.78279211756339084</v>
      </c>
      <c r="J46">
        <f>J44+0.5*I46</f>
        <v>8.2431833941787218</v>
      </c>
      <c r="K46" s="1">
        <f t="shared" si="8"/>
        <v>4.5959605023210948E-2</v>
      </c>
      <c r="L46" s="1">
        <f t="shared" si="3"/>
        <v>1.0375E-3</v>
      </c>
      <c r="M46" s="3">
        <f>M44+I46*0.5</f>
        <v>8.2431833941787218</v>
      </c>
      <c r="N46" s="1">
        <f>(1-I46+L46*M46-O44)/(I46*0.5)</f>
        <v>4.6871723916924186E-2</v>
      </c>
      <c r="O46" s="1">
        <f>O44+N46*I46*0.5</f>
        <v>0.22576018520806959</v>
      </c>
      <c r="P46" s="1">
        <f t="shared" si="9"/>
        <v>2.7209790339089403E-2</v>
      </c>
      <c r="V46" s="1"/>
      <c r="W46" s="1"/>
      <c r="X46" s="1"/>
      <c r="Y46" s="1"/>
    </row>
    <row r="47" spans="3:25">
      <c r="G47">
        <f t="shared" si="7"/>
        <v>9.25</v>
      </c>
      <c r="H47" s="1"/>
      <c r="I47">
        <f>Interpolate_Interval(G46,G48,I46,I48,G47)</f>
        <v>0.77416930799795769</v>
      </c>
      <c r="K47" s="1">
        <f t="shared" si="8"/>
        <v>4.4552577718340203E-2</v>
      </c>
      <c r="L47" s="1">
        <f t="shared" si="3"/>
        <v>1.0406249999999999E-3</v>
      </c>
      <c r="N47" s="1">
        <f>Interpolate_Interval(G46,G48,N46,N48,G47)</f>
        <v>4.655223521885038E-2</v>
      </c>
      <c r="O47" s="1"/>
      <c r="P47" s="1">
        <f t="shared" si="9"/>
        <v>2.7671857851894337E-2</v>
      </c>
      <c r="V47" s="1"/>
      <c r="W47" s="1"/>
      <c r="X47" s="1"/>
      <c r="Y47" s="1"/>
    </row>
    <row r="48" spans="3:25">
      <c r="G48">
        <f t="shared" si="7"/>
        <v>9.5</v>
      </c>
      <c r="H48" s="1">
        <f>Interpolate_Range($D$17:$D$31,$E$17:$E$31,G48)</f>
        <v>2.7179999999999999E-2</v>
      </c>
      <c r="I48">
        <f>(1-H48*J46)/(1+H48*0.5)</f>
        <v>0.76554649843252442</v>
      </c>
      <c r="J48">
        <f>J46+0.5*I48</f>
        <v>8.6259566433949839</v>
      </c>
      <c r="K48" s="1">
        <f t="shared" si="8"/>
        <v>4.5054400134223904E-2</v>
      </c>
      <c r="L48" s="1">
        <f t="shared" si="3"/>
        <v>1.04375E-3</v>
      </c>
      <c r="M48" s="3">
        <f>M46+I48*0.5</f>
        <v>8.6259566433949839</v>
      </c>
      <c r="N48" s="1">
        <f>(1-I48+L48*M48-O46)/(I48*0.5)</f>
        <v>4.6232746520776566E-2</v>
      </c>
      <c r="O48" s="1">
        <f>O46+N48*I48*0.5</f>
        <v>0.24345684381401908</v>
      </c>
      <c r="P48" s="1">
        <f t="shared" si="9"/>
        <v>2.8122665596361861E-2</v>
      </c>
      <c r="V48" s="1"/>
      <c r="W48" s="1"/>
      <c r="X48" s="1"/>
      <c r="Y48" s="1"/>
    </row>
    <row r="49" spans="7:25">
      <c r="G49">
        <f t="shared" si="7"/>
        <v>9.75</v>
      </c>
      <c r="H49" s="1"/>
      <c r="I49">
        <f>Interpolate_Interval(G48,G50,I48,I50,G49)</f>
        <v>0.75672946955960696</v>
      </c>
      <c r="K49" s="1">
        <f t="shared" si="8"/>
        <v>4.6605975993236903E-2</v>
      </c>
      <c r="L49" s="1">
        <f t="shared" si="3"/>
        <v>1.0468750000000001E-3</v>
      </c>
      <c r="N49" s="1">
        <f>Interpolate_Interval(G48,G50,N48,N50,G49)</f>
        <v>4.7291160337891894E-2</v>
      </c>
      <c r="O49" s="1"/>
      <c r="P49" s="1">
        <f t="shared" si="9"/>
        <v>2.8589688328315564E-2</v>
      </c>
      <c r="V49" s="1"/>
      <c r="W49" s="1"/>
      <c r="X49" s="1"/>
      <c r="Y49" s="1"/>
    </row>
    <row r="50" spans="7:25">
      <c r="G50">
        <f t="shared" si="7"/>
        <v>10</v>
      </c>
      <c r="H50" s="1">
        <f>Interpolate_Range($D$17:$D$31,$E$17:$E$31,G50)</f>
        <v>2.801E-2</v>
      </c>
      <c r="I50">
        <f>(1-H50*J48)/(1+H50*0.5)</f>
        <v>0.74791244068668938</v>
      </c>
      <c r="J50">
        <f>J48+I50*0.5</f>
        <v>8.999912863738329</v>
      </c>
      <c r="K50" s="1">
        <f t="shared" si="8"/>
        <v>4.715540693411846E-2</v>
      </c>
      <c r="L50" s="1">
        <f t="shared" si="3"/>
        <v>1.0499999999999999E-3</v>
      </c>
      <c r="M50" s="3">
        <f>M48+I50*0.5</f>
        <v>8.999912863738329</v>
      </c>
      <c r="N50" s="1">
        <f>(1-I50+L50*M50-O48)/(I50*0.5)</f>
        <v>4.8349574155007229E-2</v>
      </c>
      <c r="O50" s="1">
        <f>O48+N50*I50*0.5</f>
        <v>0.26153746782023585</v>
      </c>
      <c r="P50" s="1">
        <f t="shared" si="9"/>
        <v>2.9046936576496662E-2</v>
      </c>
      <c r="V50" s="1"/>
      <c r="W50" s="1"/>
      <c r="X50" s="1"/>
      <c r="Y50" s="1"/>
    </row>
    <row r="51" spans="7:25">
      <c r="G51">
        <f t="shared" si="7"/>
        <v>10.25</v>
      </c>
      <c r="H51" s="1"/>
      <c r="I51">
        <f>Interpolate_Interval(G50,G52,I50,I52,G51)</f>
        <v>0.73968222656952232</v>
      </c>
      <c r="K51" s="1">
        <f t="shared" si="8"/>
        <v>4.4506756126002855E-2</v>
      </c>
      <c r="L51" s="1">
        <f t="shared" si="3"/>
        <v>1.0499999999999999E-3</v>
      </c>
      <c r="N51" s="1">
        <f>Interpolate_Interval(G50,G52,N50,N52,G51)</f>
        <v>4.7203557597112838E-2</v>
      </c>
      <c r="O51" s="1"/>
      <c r="P51" s="1">
        <f t="shared" si="9"/>
        <v>2.9418010591933681E-2</v>
      </c>
    </row>
    <row r="52" spans="7:25">
      <c r="G52">
        <f t="shared" si="7"/>
        <v>10.5</v>
      </c>
      <c r="H52" s="1">
        <f>Interpolate_Range($D$17:$D$31,$E$17:$E$31,G52)</f>
        <v>2.8673750000000001E-2</v>
      </c>
      <c r="I52">
        <f>(1-H52*J50)/(1+H52*0.5)</f>
        <v>0.73145201245235525</v>
      </c>
      <c r="J52">
        <f>J50+0.5*I52</f>
        <v>9.3656388699645063</v>
      </c>
      <c r="K52" s="1">
        <f t="shared" si="8"/>
        <v>4.5007541039218779E-2</v>
      </c>
      <c r="L52" s="1">
        <f t="shared" si="3"/>
        <v>1.0499999999999999E-3</v>
      </c>
      <c r="M52" s="3">
        <f>M50+I52*0.5</f>
        <v>9.3656388699645063</v>
      </c>
      <c r="N52" s="1">
        <f>(1-I52+L52*M52-O50)/(I52*0.5)</f>
        <v>4.6057541039218455E-2</v>
      </c>
      <c r="O52" s="1">
        <f>O50+N52*I52*0.5</f>
        <v>0.27838190836110749</v>
      </c>
      <c r="P52" s="1">
        <f t="shared" si="9"/>
        <v>2.9783205927878802E-2</v>
      </c>
    </row>
    <row r="53" spans="7:25">
      <c r="G53">
        <f t="shared" si="7"/>
        <v>10.75</v>
      </c>
      <c r="H53" s="1"/>
      <c r="I53">
        <f>Interpolate_Interval(G52,G54,I52,I54,G53)</f>
        <v>0.72310153871025984</v>
      </c>
      <c r="K53" s="1">
        <f t="shared" si="8"/>
        <v>4.6192537534849976E-2</v>
      </c>
      <c r="L53" s="1">
        <f t="shared" si="3"/>
        <v>1.0499999999999999E-3</v>
      </c>
      <c r="N53" s="1">
        <f>Interpolate_Interval(G52,G54,N52,N54,G53)</f>
        <v>4.6919874192269999E-2</v>
      </c>
      <c r="O53" s="1"/>
      <c r="P53" s="1">
        <f t="shared" si="9"/>
        <v>3.0158662871428554E-2</v>
      </c>
    </row>
    <row r="54" spans="7:25">
      <c r="G54">
        <f t="shared" si="7"/>
        <v>11</v>
      </c>
      <c r="H54" s="1">
        <f>Interpolate_Range($D$17:$D$31,$E$17:$E$31,G54)</f>
        <v>2.9337500000000002E-2</v>
      </c>
      <c r="I54">
        <f>(1-H54*J52)/(1+H54*0.5)</f>
        <v>0.71475106496816443</v>
      </c>
      <c r="J54">
        <f>J52+0.5*I54</f>
        <v>9.7230144024485892</v>
      </c>
      <c r="K54" s="1">
        <f t="shared" si="8"/>
        <v>4.6732207345321797E-2</v>
      </c>
      <c r="L54" s="1">
        <f t="shared" si="3"/>
        <v>1.0499999999999999E-3</v>
      </c>
      <c r="M54" s="3">
        <f>M52+I54*0.5</f>
        <v>9.7230144024485892</v>
      </c>
      <c r="N54" s="1">
        <f>(1-I54+L54*M54-O52)/(I54*0.5)</f>
        <v>4.7782207345321542E-2</v>
      </c>
      <c r="O54" s="1">
        <f>O52+N54*I54*0.5</f>
        <v>0.2954581001544066</v>
      </c>
      <c r="P54" s="1">
        <f t="shared" si="9"/>
        <v>3.0529177981262475E-2</v>
      </c>
    </row>
    <row r="55" spans="7:25">
      <c r="G55">
        <f t="shared" si="7"/>
        <v>11.25</v>
      </c>
      <c r="H55" s="1"/>
      <c r="I55">
        <f>Interpolate_Interval(G54,G56,I54,I56,G55)</f>
        <v>0.70629029997919535</v>
      </c>
      <c r="K55" s="1">
        <f t="shared" si="8"/>
        <v>4.7916642713163426E-2</v>
      </c>
      <c r="L55" s="1">
        <f t="shared" si="3"/>
        <v>1.0499999999999999E-3</v>
      </c>
      <c r="N55" s="1">
        <f>Interpolate_Interval(G54,G56,N54,N56,G55)</f>
        <v>4.8664905320437171E-2</v>
      </c>
      <c r="O55" s="1"/>
      <c r="P55" s="1">
        <f t="shared" si="9"/>
        <v>3.0909238776178745E-2</v>
      </c>
    </row>
    <row r="56" spans="7:25">
      <c r="G56">
        <f t="shared" si="7"/>
        <v>11.5</v>
      </c>
      <c r="H56" s="1">
        <f>Interpolate_Range($D$17:$D$31,$E$17:$E$31,G56)</f>
        <v>3.000125E-2</v>
      </c>
      <c r="I56">
        <f>(1-H56*J54)/(1+H56*0.5)</f>
        <v>0.69782953499022637</v>
      </c>
      <c r="J56">
        <f>J54+0.5*I56</f>
        <v>10.071929169943703</v>
      </c>
      <c r="K56" s="1">
        <f t="shared" si="8"/>
        <v>4.8497603295552416E-2</v>
      </c>
      <c r="L56" s="1">
        <f t="shared" si="3"/>
        <v>1.0499999999999999E-3</v>
      </c>
      <c r="M56" s="3">
        <f>M54+I56*0.5</f>
        <v>10.071929169943703</v>
      </c>
      <c r="N56" s="1">
        <f>(1-I56+L56*M56-O54)/(I56*0.5)</f>
        <v>4.9547603295552807E-2</v>
      </c>
      <c r="O56" s="1">
        <f>O54+N56*I56*0.5</f>
        <v>0.31274599063821451</v>
      </c>
      <c r="P56" s="1">
        <f t="shared" si="9"/>
        <v>3.1285254370247179E-2</v>
      </c>
    </row>
    <row r="57" spans="7:25">
      <c r="G57">
        <f t="shared" si="7"/>
        <v>11.75</v>
      </c>
      <c r="H57" s="1"/>
      <c r="I57">
        <f>Interpolate_Interval(G56,G58,I56,I58,G57)</f>
        <v>0.68926844080098904</v>
      </c>
      <c r="K57" s="1">
        <f t="shared" si="8"/>
        <v>4.9682206133149442E-2</v>
      </c>
      <c r="L57" s="1">
        <f t="shared" si="3"/>
        <v>1.0499999999999999E-3</v>
      </c>
      <c r="N57" s="1">
        <f>Interpolate_Interval(G56,G58,N56,N58,G57)</f>
        <v>5.0452325351760301E-2</v>
      </c>
      <c r="O57" s="1"/>
      <c r="P57" s="1">
        <f t="shared" si="9"/>
        <v>3.1670168047337043E-2</v>
      </c>
    </row>
    <row r="58" spans="7:25">
      <c r="G58">
        <f t="shared" si="7"/>
        <v>12</v>
      </c>
      <c r="H58" s="1">
        <f>Interpolate_Range($D$17:$D$31,$E$17:$E$31,G58)</f>
        <v>3.0665000000000001E-2</v>
      </c>
      <c r="I58">
        <f>(1-H58*J56)/(1+H58*0.5)</f>
        <v>0.6807073466117517</v>
      </c>
      <c r="J58">
        <f>J56+I58*0.5</f>
        <v>10.412282843249578</v>
      </c>
      <c r="K58" s="1">
        <f t="shared" si="8"/>
        <v>5.0307047407967431E-2</v>
      </c>
      <c r="L58" s="1">
        <f t="shared" si="3"/>
        <v>1.0499999999999999E-3</v>
      </c>
      <c r="M58" s="3">
        <f>M56+I58*0.5</f>
        <v>10.412282843249578</v>
      </c>
      <c r="N58" s="1">
        <f>(1-I58+L58*M58-O56)/(I58*0.5)</f>
        <v>5.1357047407967794E-2</v>
      </c>
      <c r="O58" s="1">
        <f>O56+N58*I58*0.5</f>
        <v>0.33022555037366036</v>
      </c>
      <c r="P58" s="1">
        <f t="shared" si="9"/>
        <v>3.2051900487985417E-2</v>
      </c>
    </row>
    <row r="59" spans="7:25">
      <c r="G59">
        <f t="shared" si="7"/>
        <v>12.25</v>
      </c>
      <c r="H59" s="1"/>
      <c r="I59">
        <f>Interpolate_Interval(G58,G60,I58,I60,G59)</f>
        <v>0.67338404218809522</v>
      </c>
      <c r="K59" s="1">
        <f t="shared" si="8"/>
        <v>4.3501502648385149E-2</v>
      </c>
      <c r="L59" s="1">
        <f t="shared" si="3"/>
        <v>1.0510416666666667E-3</v>
      </c>
      <c r="N59" s="1">
        <f>Interpolate_Interval(G58,G60,N58,N60,G59)</f>
        <v>4.8227033100048597E-2</v>
      </c>
      <c r="O59" s="1"/>
      <c r="P59" s="1">
        <f t="shared" si="9"/>
        <v>3.2280773053904172E-2</v>
      </c>
    </row>
    <row r="60" spans="7:25">
      <c r="G60">
        <f t="shared" si="7"/>
        <v>12.5</v>
      </c>
      <c r="H60" s="1">
        <f>Interpolate_Range($D$17:$D$31,$E$17:$E$31,G60)</f>
        <v>3.1077666666666667E-2</v>
      </c>
      <c r="I60">
        <f>(1-H60*J58)/(1+H60*0.5)</f>
        <v>0.66606073776443875</v>
      </c>
      <c r="J60">
        <f>J58+0.5*I60</f>
        <v>10.745313212131798</v>
      </c>
      <c r="K60" s="1">
        <f t="shared" si="8"/>
        <v>4.3979799489376248E-2</v>
      </c>
      <c r="L60" s="1">
        <f t="shared" si="3"/>
        <v>1.0520833333333333E-3</v>
      </c>
      <c r="M60" s="3">
        <f>M58+I60*0.5</f>
        <v>10.745313212131798</v>
      </c>
      <c r="N60" s="1">
        <f>(1-I60+L60*M60-O58)/(I60*0.5)</f>
        <v>4.5097018792129399E-2</v>
      </c>
      <c r="O60" s="1">
        <f>O58+N60*I60*0.5</f>
        <v>0.34524422717749159</v>
      </c>
      <c r="P60" s="1">
        <f t="shared" si="9"/>
        <v>3.2509953180441274E-2</v>
      </c>
    </row>
    <row r="61" spans="7:25">
      <c r="G61">
        <f t="shared" si="7"/>
        <v>12.75</v>
      </c>
      <c r="H61" s="1"/>
      <c r="I61">
        <f>Interpolate_Interval(G60,G62,I60,I62,G61)</f>
        <v>0.65871565240177299</v>
      </c>
      <c r="K61" s="1">
        <f t="shared" si="8"/>
        <v>4.4602464422300869E-2</v>
      </c>
      <c r="L61" s="1">
        <f t="shared" si="3"/>
        <v>1.053125E-3</v>
      </c>
      <c r="N61" s="1">
        <f>Interpolate_Interval(G60,G62,N60,N62,G61)</f>
        <v>4.566266917867861E-2</v>
      </c>
      <c r="O61" s="1"/>
      <c r="P61" s="1">
        <f t="shared" si="9"/>
        <v>3.2742221259019613E-2</v>
      </c>
    </row>
    <row r="62" spans="7:25">
      <c r="G62">
        <f t="shared" si="7"/>
        <v>13</v>
      </c>
      <c r="H62" s="1">
        <f>Interpolate_Range($D$17:$D$31,$E$17:$E$31,G62)</f>
        <v>3.1490333333333335E-2</v>
      </c>
      <c r="I62">
        <f>(1-H62*J60)/(1+H62*0.5)</f>
        <v>0.65137056703910712</v>
      </c>
      <c r="J62">
        <f>J60+0.5*I62</f>
        <v>11.070998495651351</v>
      </c>
      <c r="K62" s="1">
        <f t="shared" si="8"/>
        <v>4.5105417618446886E-2</v>
      </c>
      <c r="L62" s="1">
        <f t="shared" si="3"/>
        <v>1.0541666666666666E-3</v>
      </c>
      <c r="M62" s="3">
        <f>M60+I62*0.5</f>
        <v>11.070998495651351</v>
      </c>
      <c r="N62" s="1">
        <f>(1-I62+L62*M62-O60)/(I62*0.5)</f>
        <v>4.622831956522782E-2</v>
      </c>
      <c r="O62" s="1">
        <f>O60+N62*I62*0.5</f>
        <v>0.36030011054172534</v>
      </c>
      <c r="P62" s="1">
        <f t="shared" si="9"/>
        <v>3.2975120870723802E-2</v>
      </c>
    </row>
    <row r="63" spans="7:25">
      <c r="G63">
        <f t="shared" si="7"/>
        <v>13.25</v>
      </c>
      <c r="H63" s="1"/>
      <c r="I63">
        <f>Interpolate_Interval(G62,G64,I62,I64,G63)</f>
        <v>0.64400851794227698</v>
      </c>
      <c r="K63" s="1">
        <f t="shared" si="8"/>
        <v>4.572640821803553E-2</v>
      </c>
      <c r="L63" s="1">
        <f t="shared" si="3"/>
        <v>1.0552083333333333E-3</v>
      </c>
      <c r="N63" s="1">
        <f>Interpolate_Interval(G62,G64,N62,N64,G63)</f>
        <v>4.6806102530010343E-2</v>
      </c>
      <c r="O63" s="1"/>
      <c r="P63" s="1">
        <f t="shared" si="9"/>
        <v>3.3210817082778253E-2</v>
      </c>
    </row>
    <row r="64" spans="7:25">
      <c r="G64">
        <f t="shared" si="7"/>
        <v>13.5</v>
      </c>
      <c r="H64" s="1">
        <f>Interpolate_Range($D$17:$D$31,$E$17:$E$31,G64)</f>
        <v>3.1903000000000001E-2</v>
      </c>
      <c r="I64">
        <f>(1-H64*J62)/(1+H64*0.5)</f>
        <v>0.63664646884544696</v>
      </c>
      <c r="J64">
        <f>J62+0.5*I64</f>
        <v>11.389321730074075</v>
      </c>
      <c r="K64" s="1">
        <f t="shared" si="8"/>
        <v>4.6255179017522963E-2</v>
      </c>
      <c r="L64" s="1">
        <f t="shared" si="3"/>
        <v>1.0562499999999999E-3</v>
      </c>
      <c r="M64" s="3">
        <f>M62+I64*0.5</f>
        <v>11.389321730074075</v>
      </c>
      <c r="N64" s="1">
        <f>(1-I64+L64*M64-O62)/(I64*0.5)</f>
        <v>4.7383885494792874E-2</v>
      </c>
      <c r="O64" s="1">
        <f>O62+N64*I64*0.5</f>
        <v>0.37538350223194378</v>
      </c>
      <c r="P64" s="1">
        <f t="shared" si="9"/>
        <v>3.3447464551060839E-2</v>
      </c>
    </row>
    <row r="65" spans="7:16">
      <c r="G65">
        <f t="shared" si="7"/>
        <v>13.75</v>
      </c>
      <c r="H65" s="1"/>
      <c r="I65">
        <f>Interpolate_Interval(G64,G66,I64,I66,G65)</f>
        <v>0.6292722103994719</v>
      </c>
      <c r="K65" s="1">
        <f t="shared" si="8"/>
        <v>4.6874839372256893E-2</v>
      </c>
      <c r="L65" s="1">
        <f t="shared" si="3"/>
        <v>1.0572916666666667E-3</v>
      </c>
      <c r="N65" s="1">
        <f>Interpolate_Interval(G64,G66,N64,N66,G65)</f>
        <v>4.7974595977496814E-2</v>
      </c>
      <c r="O65" s="1"/>
      <c r="P65" s="1">
        <f t="shared" si="9"/>
        <v>3.3686643561272607E-2</v>
      </c>
    </row>
    <row r="66" spans="7:16">
      <c r="G66">
        <f t="shared" si="7"/>
        <v>14</v>
      </c>
      <c r="H66" s="1">
        <f>Interpolate_Range($D$17:$D$31,$E$17:$E$31,G66)</f>
        <v>3.2315666666666666E-2</v>
      </c>
      <c r="I66">
        <f>(1-H66*J64)/(1+H66*0.5)</f>
        <v>0.62189795195349695</v>
      </c>
      <c r="J66">
        <f>J64+I66*0.5</f>
        <v>11.700270706050823</v>
      </c>
      <c r="K66" s="1">
        <f t="shared" si="8"/>
        <v>4.7430665579849318E-2</v>
      </c>
      <c r="L66" s="1">
        <f t="shared" si="3"/>
        <v>1.0583333333333334E-3</v>
      </c>
      <c r="M66" s="3">
        <f>M64+I66*0.5</f>
        <v>11.700270706050823</v>
      </c>
      <c r="N66" s="1">
        <f>(1-I66+L66*M66-O64)/(I66*0.5)</f>
        <v>4.8565306460200748E-2</v>
      </c>
      <c r="O66" s="1">
        <f>O64+N66*I66*0.5</f>
        <v>0.39048483454374017</v>
      </c>
      <c r="P66" s="1">
        <f t="shared" si="9"/>
        <v>3.3927090291888298E-2</v>
      </c>
    </row>
    <row r="67" spans="7:16">
      <c r="G67">
        <f t="shared" si="7"/>
        <v>14.25</v>
      </c>
      <c r="H67" s="1"/>
      <c r="I67">
        <f>Interpolate_Interval(G66,G68,I66,I68,G67)</f>
        <v>0.61451617190904639</v>
      </c>
      <c r="K67" s="1">
        <f t="shared" si="8"/>
        <v>4.804937856407232E-2</v>
      </c>
      <c r="L67" s="1">
        <f t="shared" si="3"/>
        <v>1.059375E-3</v>
      </c>
      <c r="N67" s="1">
        <f>Interpolate_Interval(G66,G68,N66,N68,G67)</f>
        <v>4.9169801066491992E-2</v>
      </c>
      <c r="O67" s="1"/>
      <c r="P67" s="1">
        <f t="shared" si="9"/>
        <v>3.4169826886960519E-2</v>
      </c>
    </row>
    <row r="68" spans="7:16">
      <c r="G68">
        <f t="shared" si="7"/>
        <v>14.5</v>
      </c>
      <c r="H68" s="1">
        <f>Interpolate_Range($D$17:$D$31,$E$17:$E$31,G68)</f>
        <v>3.2728333333333332E-2</v>
      </c>
      <c r="I68">
        <f>(1-H68*J66)/(1+H68*0.5)</f>
        <v>0.60713439186459583</v>
      </c>
      <c r="J68">
        <f>J66+0.5*I68</f>
        <v>12.00383790198312</v>
      </c>
      <c r="K68" s="1">
        <f t="shared" si="8"/>
        <v>4.8633581911115442E-2</v>
      </c>
      <c r="L68" s="1">
        <f t="shared" si="3"/>
        <v>1.0604166666666668E-3</v>
      </c>
      <c r="M68" s="3">
        <f>M66+I68*0.5</f>
        <v>12.00383790198312</v>
      </c>
      <c r="N68" s="1">
        <f>(1-I68+L68*M68-O66)/(I68*0.5)</f>
        <v>4.9774295672783235E-2</v>
      </c>
      <c r="O68" s="1">
        <f>O66+N68*I68*0.5</f>
        <v>0.40559467791063208</v>
      </c>
      <c r="P68" s="1">
        <f t="shared" si="9"/>
        <v>3.4414145450168528E-2</v>
      </c>
    </row>
    <row r="69" spans="7:16">
      <c r="G69">
        <f t="shared" si="7"/>
        <v>14.75</v>
      </c>
      <c r="H69" s="1"/>
      <c r="I69">
        <f>Interpolate_Interval(G68,G70,I68,I70,G69)</f>
        <v>0.59974970766679014</v>
      </c>
      <c r="K69" s="1">
        <f t="shared" si="8"/>
        <v>4.9251773554233935E-2</v>
      </c>
      <c r="L69" s="1">
        <f t="shared" si="3"/>
        <v>1.0614583333333333E-3</v>
      </c>
      <c r="N69" s="1">
        <f>Interpolate_Interval(G68,G70,N68,N70,G69)</f>
        <v>5.039349900729162E-2</v>
      </c>
      <c r="O69" s="1"/>
      <c r="P69" s="1">
        <f t="shared" si="9"/>
        <v>3.4660533199156754E-2</v>
      </c>
    </row>
    <row r="70" spans="7:16">
      <c r="G70">
        <f t="shared" si="7"/>
        <v>15</v>
      </c>
      <c r="H70" s="1">
        <f>Interpolate_Range($D$17:$D$31,$E$17:$E$31,G70)</f>
        <v>3.3140999999999997E-2</v>
      </c>
      <c r="I70">
        <f>(1-H70*J68)/(1+H70*0.5)</f>
        <v>0.59236502346898456</v>
      </c>
      <c r="J70">
        <f>J68+0.5*I70</f>
        <v>12.300020413717613</v>
      </c>
      <c r="K70" s="1">
        <f t="shared" si="8"/>
        <v>4.9865767931804861E-2</v>
      </c>
      <c r="L70" s="1">
        <f t="shared" si="3"/>
        <v>1.0625000000000001E-3</v>
      </c>
      <c r="M70" s="3">
        <f>M68+I70*0.5</f>
        <v>12.300020413717613</v>
      </c>
      <c r="N70" s="1">
        <f>(1-I70+L70*M70-O68)/(I70*0.5)</f>
        <v>5.1012702341799998E-2</v>
      </c>
      <c r="O70" s="1">
        <f>O68+N70*I70*0.5</f>
        <v>0.42070374822059042</v>
      </c>
      <c r="P70" s="1">
        <f t="shared" si="9"/>
        <v>3.4908816027754128E-2</v>
      </c>
    </row>
    <row r="71" spans="7:16">
      <c r="G71">
        <f t="shared" si="7"/>
        <v>15.25</v>
      </c>
      <c r="H71" s="1"/>
      <c r="I71">
        <f>Interpolate_Interval(G70,G72,I70,I72,G71)</f>
        <v>0.58632155037887845</v>
      </c>
      <c r="K71" s="1">
        <f t="shared" si="8"/>
        <v>4.1229752419646104E-2</v>
      </c>
      <c r="L71" s="1">
        <f t="shared" si="3"/>
        <v>1.0625000000000001E-3</v>
      </c>
      <c r="N71" s="1">
        <f>Interpolate_Interval(G70,G72,N70,N72,G71)</f>
        <v>4.6867176943753489E-2</v>
      </c>
      <c r="O71" s="1"/>
      <c r="P71" s="1">
        <f t="shared" si="9"/>
        <v>3.500897830257408E-2</v>
      </c>
    </row>
    <row r="72" spans="7:16">
      <c r="G72">
        <f t="shared" si="7"/>
        <v>15.5</v>
      </c>
      <c r="H72" s="1">
        <f>Interpolate_Range($D$17:$D$31,$E$17:$E$31,G72)</f>
        <v>3.33373E-2</v>
      </c>
      <c r="I72">
        <f>(1-H72*J70)/(1+H72*0.5)</f>
        <v>0.58027807728877234</v>
      </c>
      <c r="J72">
        <f>J70+0.5*I72</f>
        <v>12.590159452361998</v>
      </c>
      <c r="K72" s="1">
        <f t="shared" si="8"/>
        <v>4.1659151545706763E-2</v>
      </c>
      <c r="L72" s="1">
        <f t="shared" si="3"/>
        <v>1.0625000000000001E-3</v>
      </c>
      <c r="M72" s="3">
        <f>M70+I72*0.5</f>
        <v>12.590159452361998</v>
      </c>
      <c r="N72" s="1">
        <f>(1-I72+L72*M72-O70)/(I72*0.5)</f>
        <v>4.2721651545706979E-2</v>
      </c>
      <c r="O72" s="1">
        <f>O70+N72*I72*0.5</f>
        <v>0.4330989671293623</v>
      </c>
      <c r="P72" s="1">
        <f t="shared" si="9"/>
        <v>3.5112764305593618E-2</v>
      </c>
    </row>
    <row r="73" spans="7:16">
      <c r="G73">
        <f t="shared" si="7"/>
        <v>15.75</v>
      </c>
      <c r="H73" s="1"/>
      <c r="I73">
        <f>Interpolate_Interval(G72,G74,I72,I74,G73)</f>
        <v>0.57427824784568671</v>
      </c>
      <c r="K73" s="1">
        <f t="shared" si="8"/>
        <v>4.1790400145525375E-2</v>
      </c>
      <c r="L73" s="1">
        <f t="shared" si="3"/>
        <v>1.0625000000000001E-3</v>
      </c>
      <c r="N73" s="1">
        <f>Interpolate_Interval(G72,G74,N72,N74,G73)</f>
        <v>4.3007885378823982E-2</v>
      </c>
      <c r="O73" s="1"/>
      <c r="P73" s="1">
        <f t="shared" si="9"/>
        <v>3.5215317318897169E-2</v>
      </c>
    </row>
    <row r="74" spans="7:16">
      <c r="G74">
        <f t="shared" si="7"/>
        <v>16</v>
      </c>
      <c r="H74" s="1">
        <f>Interpolate_Range($D$17:$D$31,$E$17:$E$31,G74)</f>
        <v>3.3533599999999997E-2</v>
      </c>
      <c r="I74">
        <f>(1-H74*J72)/(1+H74*0.5)</f>
        <v>0.56827841840260096</v>
      </c>
      <c r="J74">
        <f>J72+I74*0.5</f>
        <v>12.8742986615633</v>
      </c>
      <c r="K74" s="1">
        <f t="shared" si="8"/>
        <v>4.2231619211941407E-2</v>
      </c>
      <c r="L74" s="1">
        <f t="shared" si="3"/>
        <v>1.0625000000000001E-3</v>
      </c>
      <c r="M74" s="3">
        <f>M72+I74*0.5</f>
        <v>12.8742986615633</v>
      </c>
      <c r="N74" s="1">
        <f>(1-I74+L74*M74-O72)/(I74*0.5)</f>
        <v>4.3294119211940991E-2</v>
      </c>
      <c r="O74" s="1">
        <f>O72+N74*I74*0.5</f>
        <v>0.44540052392531004</v>
      </c>
      <c r="P74" s="1">
        <f t="shared" si="9"/>
        <v>3.5321487944539438E-2</v>
      </c>
    </row>
    <row r="75" spans="7:16">
      <c r="G75">
        <f t="shared" si="7"/>
        <v>16.25</v>
      </c>
      <c r="H75" s="1"/>
      <c r="I75">
        <f>Interpolate_Interval(G74,G76,I74,I76,G75)</f>
        <v>0.56232324611561046</v>
      </c>
      <c r="K75" s="1">
        <f t="shared" ref="K75:K106" si="10">(I74/I75-1)/0.25</f>
        <v>4.2361202942452714E-2</v>
      </c>
      <c r="L75" s="1">
        <f t="shared" si="3"/>
        <v>1.0625000000000001E-3</v>
      </c>
      <c r="N75" s="1">
        <f>Interpolate_Interval(G74,G76,N74,N76,G75)</f>
        <v>4.3585620942187958E-2</v>
      </c>
      <c r="O75" s="1"/>
      <c r="P75" s="1">
        <f t="shared" ref="P75:P106" si="11">-LN(I75)/G75</f>
        <v>3.5426364517642008E-2</v>
      </c>
    </row>
    <row r="76" spans="7:16">
      <c r="G76">
        <f t="shared" si="7"/>
        <v>16.5</v>
      </c>
      <c r="H76" s="1">
        <f>Interpolate_Range($D$17:$D$31,$E$17:$E$31,G76)</f>
        <v>3.37299E-2</v>
      </c>
      <c r="I76">
        <f>(1-H76*J74)/(1+H76*0.5)</f>
        <v>0.55636807382862008</v>
      </c>
      <c r="J76">
        <f>J74+0.5*I76</f>
        <v>13.152482698477609</v>
      </c>
      <c r="K76" s="1">
        <f t="shared" si="10"/>
        <v>4.281462267243441E-2</v>
      </c>
      <c r="L76" s="1">
        <f t="shared" ref="L76:L130" si="12">Interpolate_Range($A$17:$A$31,$B$17:$B$31,G76)</f>
        <v>1.0625000000000001E-3</v>
      </c>
      <c r="M76" s="3">
        <f>M74+I76*0.5</f>
        <v>13.152482698477609</v>
      </c>
      <c r="N76" s="1">
        <f>(1-I76+L76*M76-O74)/(I76*0.5)</f>
        <v>4.3877122672434925E-2</v>
      </c>
      <c r="O76" s="1">
        <f>O74+N76*I76*0.5</f>
        <v>0.45760643903851239</v>
      </c>
      <c r="P76" s="1">
        <f t="shared" si="11"/>
        <v>3.5534860634556818E-2</v>
      </c>
    </row>
    <row r="77" spans="7:16">
      <c r="G77">
        <f t="shared" ref="G77:G130" si="13">G76+0.25</f>
        <v>16.75</v>
      </c>
      <c r="H77" s="1"/>
      <c r="I77">
        <f>Interpolate_Interval(G76,G78,I76,I78,G77)</f>
        <v>0.55045853806135714</v>
      </c>
      <c r="K77" s="1">
        <f t="shared" si="10"/>
        <v>4.2942640425384759E-2</v>
      </c>
      <c r="L77" s="1">
        <f t="shared" si="12"/>
        <v>1.0625000000000001E-3</v>
      </c>
      <c r="N77" s="1">
        <f>Interpolate_Interval(G76,G78,N76,N78,G77)</f>
        <v>4.4174141864295184E-2</v>
      </c>
      <c r="O77" s="1"/>
      <c r="P77" s="1">
        <f t="shared" si="11"/>
        <v>3.5642008509191817E-2</v>
      </c>
    </row>
    <row r="78" spans="7:16">
      <c r="G78">
        <f t="shared" si="13"/>
        <v>17</v>
      </c>
      <c r="H78" s="1">
        <f>Interpolate_Range($D$17:$D$31,$E$17:$E$31,G78)</f>
        <v>3.3926199999999997E-2</v>
      </c>
      <c r="I78">
        <f>(1-H78*J76)/(1+H78*0.5)</f>
        <v>0.54454900229409409</v>
      </c>
      <c r="J78">
        <f>J76+0.5*I78</f>
        <v>13.424757199624656</v>
      </c>
      <c r="K78" s="1">
        <f t="shared" si="10"/>
        <v>4.3408661056155928E-2</v>
      </c>
      <c r="L78" s="1">
        <f t="shared" si="12"/>
        <v>1.0625000000000001E-3</v>
      </c>
      <c r="M78" s="3">
        <f>M76+I78*0.5</f>
        <v>13.424757199624656</v>
      </c>
      <c r="N78" s="1">
        <f>(1-I78+L78*M78-O76)/(I78*0.5)</f>
        <v>4.4471161056155444E-2</v>
      </c>
      <c r="O78" s="1">
        <f>O76+N78*I78*0.5</f>
        <v>0.4697148022305071</v>
      </c>
      <c r="P78" s="1">
        <f t="shared" si="11"/>
        <v>3.5752785036938579E-2</v>
      </c>
    </row>
    <row r="79" spans="7:16">
      <c r="G79">
        <f t="shared" si="13"/>
        <v>17.25</v>
      </c>
      <c r="H79" s="1"/>
      <c r="I79">
        <f>Interpolate_Interval(G78,G80,I78,I80,G79)</f>
        <v>0.53868604836497891</v>
      </c>
      <c r="K79" s="1">
        <f t="shared" si="10"/>
        <v>4.353522016700051E-2</v>
      </c>
      <c r="L79" s="1">
        <f t="shared" si="12"/>
        <v>1.0625000000000001E-3</v>
      </c>
      <c r="N79" s="1">
        <f>Interpolate_Interval(G78,G80,N78,N80,G79)</f>
        <v>4.4773961939386507E-2</v>
      </c>
      <c r="O79" s="1"/>
      <c r="P79" s="1">
        <f t="shared" si="11"/>
        <v>3.5862165121212902E-2</v>
      </c>
    </row>
    <row r="80" spans="7:16">
      <c r="G80">
        <f t="shared" si="13"/>
        <v>17.5</v>
      </c>
      <c r="H80" s="1">
        <f>Interpolate_Range($D$17:$D$31,$E$17:$E$31,G80)</f>
        <v>3.41225E-2</v>
      </c>
      <c r="I80">
        <f>(1-H80*J78)/(1+H80*0.5)</f>
        <v>0.53282309443586384</v>
      </c>
      <c r="J80">
        <f>J78+0.5*I80</f>
        <v>13.691168746842587</v>
      </c>
      <c r="K80" s="1">
        <f t="shared" si="10"/>
        <v>4.4014262822616779E-2</v>
      </c>
      <c r="L80" s="1">
        <f t="shared" si="12"/>
        <v>1.0625000000000001E-3</v>
      </c>
      <c r="M80" s="3">
        <f>M78+I80*0.5</f>
        <v>13.691168746842587</v>
      </c>
      <c r="N80" s="1">
        <f>(1-I80+L80*M80-O78)/(I80*0.5)</f>
        <v>4.5076762822617571E-2</v>
      </c>
      <c r="O80" s="1">
        <f>O78+N80*I80*0.5</f>
        <v>0.4817237723576564</v>
      </c>
      <c r="P80" s="1">
        <f t="shared" si="11"/>
        <v>3.5975189444724887E-2</v>
      </c>
    </row>
    <row r="81" spans="7:16">
      <c r="G81">
        <f t="shared" si="13"/>
        <v>17.75</v>
      </c>
      <c r="H81" s="1"/>
      <c r="I81">
        <f>Interpolate_Interval(G80,G82,I80,I82,G81)</f>
        <v>0.52700763373635695</v>
      </c>
      <c r="K81" s="1">
        <f t="shared" si="10"/>
        <v>4.4139479789138569E-2</v>
      </c>
      <c r="L81" s="1">
        <f t="shared" si="12"/>
        <v>1.0625000000000001E-3</v>
      </c>
      <c r="N81" s="1">
        <f>Interpolate_Interval(G80,G82,N80,N82,G81)</f>
        <v>4.5385625397257295E-2</v>
      </c>
      <c r="O81" s="1"/>
      <c r="P81" s="1">
        <f t="shared" si="11"/>
        <v>3.6086774381828488E-2</v>
      </c>
    </row>
    <row r="82" spans="7:16">
      <c r="G82">
        <f t="shared" si="13"/>
        <v>18</v>
      </c>
      <c r="H82" s="1">
        <f>Interpolate_Range($D$17:$D$31,$E$17:$E$31,G82)</f>
        <v>3.4318800000000003E-2</v>
      </c>
      <c r="I82">
        <f>(1-H82*J80)/(1+H82*0.5)</f>
        <v>0.52119217303685006</v>
      </c>
      <c r="J82">
        <f>J80+I82*0.5</f>
        <v>13.951764833361013</v>
      </c>
      <c r="K82" s="1">
        <f t="shared" si="10"/>
        <v>4.4631987971897047E-2</v>
      </c>
      <c r="L82" s="1">
        <f t="shared" si="12"/>
        <v>1.0625000000000001E-3</v>
      </c>
      <c r="M82" s="3">
        <f>M80+I82*0.5</f>
        <v>13.951764833361013</v>
      </c>
      <c r="N82" s="1">
        <f>(1-I82+L82*M82-O80)/(I82*0.5)</f>
        <v>4.5694487971897027E-2</v>
      </c>
      <c r="O82" s="1">
        <f>O80+N82*I82*0.5</f>
        <v>0.49363157709859601</v>
      </c>
      <c r="P82" s="1">
        <f t="shared" si="11"/>
        <v>3.6202025057852631E-2</v>
      </c>
    </row>
    <row r="83" spans="7:16">
      <c r="G83">
        <f t="shared" si="13"/>
        <v>18.25</v>
      </c>
      <c r="H83" s="1"/>
      <c r="I83">
        <f>Interpolate_Interval(G82,G84,I82,I84,G83)</f>
        <v>0.51542508316733726</v>
      </c>
      <c r="K83" s="1">
        <f t="shared" si="10"/>
        <v>4.4755989243468797E-2</v>
      </c>
      <c r="L83" s="1">
        <f t="shared" si="12"/>
        <v>1.0625000000000001E-3</v>
      </c>
      <c r="N83" s="1">
        <f>Interpolate_Interval(G82,G84,N82,N84,G83)</f>
        <v>4.600970921401145E-2</v>
      </c>
      <c r="O83" s="1"/>
      <c r="P83" s="1">
        <f t="shared" si="11"/>
        <v>3.6315798058558987E-2</v>
      </c>
    </row>
    <row r="84" spans="7:16">
      <c r="G84">
        <f t="shared" si="13"/>
        <v>18.5</v>
      </c>
      <c r="H84" s="1">
        <f>Interpolate_Range($D$17:$D$31,$E$17:$E$31,G84)</f>
        <v>3.45151E-2</v>
      </c>
      <c r="I84">
        <f>(1-H84*J82)/(1+H84*0.5)</f>
        <v>0.50965799329782435</v>
      </c>
      <c r="J84">
        <f>J82+0.5*I84</f>
        <v>14.206593830009925</v>
      </c>
      <c r="K84" s="1">
        <f t="shared" si="10"/>
        <v>4.526243045612599E-2</v>
      </c>
      <c r="L84" s="1">
        <f t="shared" si="12"/>
        <v>1.0625000000000001E-3</v>
      </c>
      <c r="M84" s="3">
        <f>M82+I84*0.5</f>
        <v>14.206593830009925</v>
      </c>
      <c r="N84" s="1">
        <f>(1-I84+L84*M84-O82)/(I84*0.5)</f>
        <v>4.6324930456125873E-2</v>
      </c>
      <c r="O84" s="1">
        <f>O82+N84*I84*0.5</f>
        <v>0.5054365126465612</v>
      </c>
      <c r="P84" s="1">
        <f t="shared" si="11"/>
        <v>3.6433263761851839E-2</v>
      </c>
    </row>
    <row r="85" spans="7:16">
      <c r="G85">
        <f t="shared" si="13"/>
        <v>18.75</v>
      </c>
      <c r="H85" s="1"/>
      <c r="I85">
        <f>Interpolate_Interval(G84,G86,I84,I86,G85)</f>
        <v>0.50394011822074469</v>
      </c>
      <c r="K85" s="1">
        <f t="shared" si="10"/>
        <v>4.5385353301639952E-2</v>
      </c>
      <c r="L85" s="1">
        <f t="shared" si="12"/>
        <v>1.0625000000000001E-3</v>
      </c>
      <c r="N85" s="1">
        <f>Interpolate_Interval(G84,G86,N84,N86,G85)</f>
        <v>4.6646825635182715E-2</v>
      </c>
      <c r="O85" s="1"/>
      <c r="P85" s="1">
        <f t="shared" si="11"/>
        <v>3.6549217654596081E-2</v>
      </c>
    </row>
    <row r="86" spans="7:16">
      <c r="G86">
        <f t="shared" si="13"/>
        <v>19</v>
      </c>
      <c r="H86" s="1">
        <f>Interpolate_Range($D$17:$D$31,$E$17:$E$31,G86)</f>
        <v>3.4711400000000003E-2</v>
      </c>
      <c r="I86">
        <f>(1-H86*J84)/(1+H86*0.5)</f>
        <v>0.49822224314366498</v>
      </c>
      <c r="J86">
        <f>J84+0.5*I86</f>
        <v>14.455704951581758</v>
      </c>
      <c r="K86" s="1">
        <f t="shared" si="10"/>
        <v>4.590622081423934E-2</v>
      </c>
      <c r="L86" s="1">
        <f t="shared" si="12"/>
        <v>1.0625000000000001E-3</v>
      </c>
      <c r="M86" s="3">
        <f>M84+I86*0.5</f>
        <v>14.455704951581758</v>
      </c>
      <c r="N86" s="1">
        <f>(1-I86+L86*M86-O84)/(I86*0.5)</f>
        <v>4.6968720814239563E-2</v>
      </c>
      <c r="O86" s="1">
        <f>O84+N86*I86*0.5</f>
        <v>0.51713694336739069</v>
      </c>
      <c r="P86" s="1">
        <f t="shared" si="11"/>
        <v>3.6668896322848192E-2</v>
      </c>
    </row>
    <row r="87" spans="7:16">
      <c r="G87">
        <f t="shared" si="13"/>
        <v>19.25</v>
      </c>
      <c r="H87" s="1"/>
      <c r="I87">
        <f>Interpolate_Interval(G86,G88,I86,I88,G87)</f>
        <v>0.49255439335348106</v>
      </c>
      <c r="K87" s="1">
        <f t="shared" si="10"/>
        <v>4.6028214277779256E-2</v>
      </c>
      <c r="L87" s="1">
        <f t="shared" si="12"/>
        <v>1.0625000000000001E-3</v>
      </c>
      <c r="N87" s="1">
        <f>Interpolate_Interval(G86,G88,N86,N88,G87)</f>
        <v>4.7297624934379133E-2</v>
      </c>
      <c r="O87" s="1"/>
      <c r="P87" s="1">
        <f t="shared" si="11"/>
        <v>3.6787032784991694E-2</v>
      </c>
    </row>
    <row r="88" spans="7:16">
      <c r="G88">
        <f t="shared" si="13"/>
        <v>19.5</v>
      </c>
      <c r="H88" s="1">
        <f>Interpolate_Range($D$17:$D$31,$E$17:$E$31,G88)</f>
        <v>3.49077E-2</v>
      </c>
      <c r="I88">
        <f>(1-H88*J86)/(1+H88*0.5)</f>
        <v>0.48688654356329714</v>
      </c>
      <c r="J88">
        <f>J86+0.5*I88</f>
        <v>14.699148223363407</v>
      </c>
      <c r="K88" s="1">
        <f t="shared" si="10"/>
        <v>4.6564029054518841E-2</v>
      </c>
      <c r="L88" s="1">
        <f t="shared" si="12"/>
        <v>1.0625000000000001E-3</v>
      </c>
      <c r="M88" s="3">
        <f>M86+I88*0.5</f>
        <v>14.699148223363407</v>
      </c>
      <c r="N88" s="1">
        <f>(1-I88+L88*M88-O86)/(I88*0.5)</f>
        <v>4.7626529054518703E-2</v>
      </c>
      <c r="O88" s="1">
        <f>O86+N88*I88*0.5</f>
        <v>0.52873130142402647</v>
      </c>
      <c r="P88" s="1">
        <f t="shared" si="11"/>
        <v>3.6908930930112549E-2</v>
      </c>
    </row>
    <row r="89" spans="7:16">
      <c r="G89">
        <f t="shared" si="13"/>
        <v>19.75</v>
      </c>
      <c r="H89" s="1"/>
      <c r="I89">
        <f>Interpolate_Interval(G88,G90,I88,I90,G89)</f>
        <v>0.4812694962729035</v>
      </c>
      <c r="K89" s="1">
        <f t="shared" si="10"/>
        <v>4.6685255009044191E-2</v>
      </c>
      <c r="L89" s="1">
        <f t="shared" si="12"/>
        <v>1.0625000000000001E-3</v>
      </c>
      <c r="N89" s="1">
        <f>Interpolate_Interval(G88,G90,N88,N90,G89)</f>
        <v>4.7962798433541398E-2</v>
      </c>
      <c r="O89" s="1"/>
      <c r="P89" s="1">
        <f t="shared" si="11"/>
        <v>3.7029259871636348E-2</v>
      </c>
    </row>
    <row r="90" spans="7:16">
      <c r="G90">
        <f t="shared" si="13"/>
        <v>20</v>
      </c>
      <c r="H90" s="1">
        <f>Interpolate_Range($D$17:$D$31,$E$17:$E$31,G90)</f>
        <v>3.5104000000000003E-2</v>
      </c>
      <c r="I90">
        <f>(1-H90*J88)/(1+H90*0.5)</f>
        <v>0.47565244898250991</v>
      </c>
      <c r="J90">
        <f>J88+I90*0.5</f>
        <v>14.936974447854661</v>
      </c>
      <c r="K90" s="1">
        <f t="shared" si="10"/>
        <v>4.7236567812563912E-2</v>
      </c>
      <c r="L90" s="1">
        <f t="shared" si="12"/>
        <v>1.0625000000000001E-3</v>
      </c>
      <c r="M90" s="3">
        <f>M88+I90*0.5</f>
        <v>14.936974447854661</v>
      </c>
      <c r="N90" s="1">
        <f>(1-I90+L90*M90-O88)/(I90*0.5)</f>
        <v>4.8299067812564093E-2</v>
      </c>
      <c r="O90" s="1">
        <f>O88+N90*I90*0.5</f>
        <v>0.54021808636833568</v>
      </c>
      <c r="P90" s="1">
        <f t="shared" si="11"/>
        <v>3.7153392031793617E-2</v>
      </c>
    </row>
    <row r="91" spans="7:16">
      <c r="G91">
        <f t="shared" si="13"/>
        <v>20.25</v>
      </c>
      <c r="H91" s="1"/>
      <c r="I91">
        <f>Interpolate_Interval(G90,G92,I90,I92,G91)</f>
        <v>0.47050843113280449</v>
      </c>
      <c r="K91" s="1">
        <f t="shared" si="10"/>
        <v>4.3731567889830458E-2</v>
      </c>
      <c r="L91" s="1">
        <f t="shared" si="12"/>
        <v>1.0625000000000001E-3</v>
      </c>
      <c r="N91" s="1">
        <f>Interpolate_Interval(G90,G92,N90,N92,G91)</f>
        <v>4.6788266570952641E-2</v>
      </c>
      <c r="O91" s="1"/>
      <c r="P91" s="1">
        <f t="shared" si="11"/>
        <v>3.7231674103710435E-2</v>
      </c>
    </row>
    <row r="92" spans="7:16">
      <c r="G92">
        <f t="shared" si="13"/>
        <v>20.5</v>
      </c>
      <c r="H92" s="1">
        <f>Interpolate_Range($D$17:$D$31,$E$17:$E$31,G92)</f>
        <v>3.5243750000000004E-2</v>
      </c>
      <c r="I92">
        <f>(1-H92*J90)/(1+H92*0.5)</f>
        <v>0.46536441328309913</v>
      </c>
      <c r="J92">
        <f>J90+0.5*I92</f>
        <v>15.16965665449621</v>
      </c>
      <c r="K92" s="1">
        <f t="shared" si="10"/>
        <v>4.4214965329341105E-2</v>
      </c>
      <c r="L92" s="1">
        <f t="shared" si="12"/>
        <v>1.0625000000000001E-3</v>
      </c>
      <c r="M92" s="3">
        <f>M90+I92*0.5</f>
        <v>15.16965665449621</v>
      </c>
      <c r="N92" s="1">
        <f>(1-I92+L92*M92-O90)/(I92*0.5)</f>
        <v>4.5277465329341189E-2</v>
      </c>
      <c r="O92" s="1">
        <f>O90+N92*I92*0.5</f>
        <v>0.55075334691230304</v>
      </c>
      <c r="P92" s="1">
        <f t="shared" si="11"/>
        <v>3.7313877845626224E-2</v>
      </c>
    </row>
    <row r="93" spans="7:16">
      <c r="G93">
        <f t="shared" si="13"/>
        <v>20.75</v>
      </c>
      <c r="H93" s="1"/>
      <c r="I93">
        <f>Interpolate_Interval(G92,G94,I92,I94,G93)</f>
        <v>0.46027786798283155</v>
      </c>
      <c r="K93" s="1">
        <f t="shared" si="10"/>
        <v>4.4204126716405945E-2</v>
      </c>
      <c r="L93" s="1">
        <f t="shared" si="12"/>
        <v>1.0625000000000001E-3</v>
      </c>
      <c r="N93" s="1">
        <f>Interpolate_Interval(G92,G94,N92,N94,G93)</f>
        <v>4.5519026008867897E-2</v>
      </c>
      <c r="O93" s="1"/>
      <c r="P93" s="1">
        <f t="shared" si="11"/>
        <v>3.7393971616292043E-2</v>
      </c>
    </row>
    <row r="94" spans="7:16">
      <c r="G94">
        <f t="shared" si="13"/>
        <v>21</v>
      </c>
      <c r="H94" s="1">
        <f>Interpolate_Range($D$17:$D$31,$E$17:$E$31,G94)</f>
        <v>3.5383500000000005E-2</v>
      </c>
      <c r="I94">
        <f>(1-H94*J92)/(1+H94*0.5)</f>
        <v>0.45519132268256401</v>
      </c>
      <c r="J94">
        <f>J92+0.5*I94</f>
        <v>15.397252315837491</v>
      </c>
      <c r="K94" s="1">
        <f t="shared" si="10"/>
        <v>4.4698086688394589E-2</v>
      </c>
      <c r="L94" s="1">
        <f t="shared" si="12"/>
        <v>1.0625000000000001E-3</v>
      </c>
      <c r="M94" s="3">
        <f>M92+I94*0.5</f>
        <v>15.397252315837491</v>
      </c>
      <c r="N94" s="1">
        <f>(1-I94+L94*M94-O92)/(I94*0.5)</f>
        <v>4.5760586688394604E-2</v>
      </c>
      <c r="O94" s="1">
        <f>O92+N94*I94*0.5</f>
        <v>0.56116825790301328</v>
      </c>
      <c r="P94" s="1">
        <f t="shared" si="11"/>
        <v>3.7477974238088393E-2</v>
      </c>
    </row>
    <row r="95" spans="7:16">
      <c r="G95">
        <f t="shared" si="13"/>
        <v>21.25</v>
      </c>
      <c r="H95" s="1"/>
      <c r="I95">
        <f>Interpolate_Interval(G94,G96,I94,I96,G95)</f>
        <v>0.45016229459954904</v>
      </c>
      <c r="K95" s="1">
        <f t="shared" si="10"/>
        <v>4.4686355506416753E-2</v>
      </c>
      <c r="L95" s="1">
        <f t="shared" si="12"/>
        <v>1.0625000000000001E-3</v>
      </c>
      <c r="N95" s="1">
        <f>Interpolate_Interval(G94,G96,N94,N96,G95)</f>
        <v>4.6007149924538665E-2</v>
      </c>
      <c r="O95" s="1"/>
      <c r="P95" s="1">
        <f t="shared" si="11"/>
        <v>3.7559863838699678E-2</v>
      </c>
    </row>
    <row r="96" spans="7:16">
      <c r="G96">
        <f t="shared" si="13"/>
        <v>21.5</v>
      </c>
      <c r="H96" s="1">
        <f>Interpolate_Range($D$17:$D$31,$E$17:$E$31,G96)</f>
        <v>3.5523249999999999E-2</v>
      </c>
      <c r="I96">
        <f>(1-H96*J94)/(1+H96*0.5)</f>
        <v>0.44513326651653412</v>
      </c>
      <c r="J96">
        <f>J94+0.5*I96</f>
        <v>15.619818949095759</v>
      </c>
      <c r="K96" s="1">
        <f t="shared" si="10"/>
        <v>4.5191213160682864E-2</v>
      </c>
      <c r="L96" s="1">
        <f t="shared" si="12"/>
        <v>1.0625000000000001E-3</v>
      </c>
      <c r="M96" s="3">
        <f>M94+I96*0.5</f>
        <v>15.619818949095759</v>
      </c>
      <c r="N96" s="1">
        <f>(1-I96+L96*M96-O94)/(I96*0.5)</f>
        <v>4.6253713160682726E-2</v>
      </c>
      <c r="O96" s="1">
        <f>O94+N96*I96*0.5</f>
        <v>0.57146279111688003</v>
      </c>
      <c r="P96" s="1">
        <f t="shared" si="11"/>
        <v>3.7645654247982552E-2</v>
      </c>
    </row>
    <row r="97" spans="7:16">
      <c r="G97">
        <f t="shared" si="13"/>
        <v>21.75</v>
      </c>
      <c r="H97" s="1"/>
      <c r="I97">
        <f>Interpolate_Interval(G96,G98,I96,I98,G97)</f>
        <v>0.44016178374162207</v>
      </c>
      <c r="K97" s="1">
        <f t="shared" si="10"/>
        <v>4.5178686188079631E-2</v>
      </c>
      <c r="L97" s="1">
        <f t="shared" si="12"/>
        <v>1.0625000000000001E-3</v>
      </c>
      <c r="N97" s="1">
        <f>Interpolate_Interval(G96,G98,N96,N98,G97)</f>
        <v>4.6505503518502384E-2</v>
      </c>
      <c r="O97" s="1"/>
      <c r="P97" s="1">
        <f t="shared" si="11"/>
        <v>3.7729330084114145E-2</v>
      </c>
    </row>
    <row r="98" spans="7:16">
      <c r="G98">
        <f t="shared" si="13"/>
        <v>22</v>
      </c>
      <c r="H98" s="1">
        <f>Interpolate_Range($D$17:$D$31,$E$17:$E$31,G98)</f>
        <v>3.5663E-2</v>
      </c>
      <c r="I98">
        <f>(1-H98*J96)/(1+H98*0.5)</f>
        <v>0.43519030096671008</v>
      </c>
      <c r="J98">
        <f>J96+I98*0.5</f>
        <v>15.837414099579114</v>
      </c>
      <c r="K98" s="1">
        <f t="shared" si="10"/>
        <v>4.5694793876321249E-2</v>
      </c>
      <c r="L98" s="1">
        <f t="shared" si="12"/>
        <v>1.0625000000000001E-3</v>
      </c>
      <c r="M98" s="3">
        <f>M96+I98*0.5</f>
        <v>15.837414099579114</v>
      </c>
      <c r="N98" s="1">
        <f>(1-I98+L98*M98-O96)/(I98*0.5)</f>
        <v>4.6757293876322048E-2</v>
      </c>
      <c r="O98" s="1">
        <f>O96+N98*I98*0.5</f>
        <v>0.58163695151409278</v>
      </c>
      <c r="P98" s="1">
        <f t="shared" si="11"/>
        <v>3.7816903185017715E-2</v>
      </c>
    </row>
    <row r="99" spans="7:16">
      <c r="G99">
        <f t="shared" si="13"/>
        <v>22.25</v>
      </c>
      <c r="H99" s="1"/>
      <c r="I99">
        <f>Interpolate_Interval(G98,G100,I98,I100,G99)</f>
        <v>0.4302763752956773</v>
      </c>
      <c r="K99" s="1">
        <f t="shared" si="10"/>
        <v>4.5681575407490627E-2</v>
      </c>
      <c r="L99" s="1">
        <f t="shared" si="12"/>
        <v>1.0625000000000001E-3</v>
      </c>
      <c r="N99" s="1">
        <f>Interpolate_Interval(G98,G100,N98,N100,G99)</f>
        <v>4.7014548866741085E-2</v>
      </c>
      <c r="O99" s="1"/>
      <c r="P99" s="1">
        <f t="shared" si="11"/>
        <v>3.7902361506216516E-2</v>
      </c>
    </row>
    <row r="100" spans="7:16">
      <c r="G100">
        <f t="shared" si="13"/>
        <v>22.5</v>
      </c>
      <c r="H100" s="1">
        <f>Interpolate_Range($D$17:$D$31,$E$17:$E$31,G100)</f>
        <v>3.5802750000000001E-2</v>
      </c>
      <c r="I100">
        <f>(1-H100*J98)/(1+H100*0.5)</f>
        <v>0.42536244962464448</v>
      </c>
      <c r="J100">
        <f>J98+0.5*I100</f>
        <v>16.050095324391435</v>
      </c>
      <c r="K100" s="1">
        <f t="shared" si="10"/>
        <v>4.6209303857160045E-2</v>
      </c>
      <c r="L100" s="1">
        <f t="shared" si="12"/>
        <v>1.0625000000000001E-3</v>
      </c>
      <c r="M100" s="3">
        <f>M98+I100*0.5</f>
        <v>16.050095324391435</v>
      </c>
      <c r="N100" s="1">
        <f>(1-I100+L100*M100-O98)/(I100*0.5)</f>
        <v>4.7271803857160122E-2</v>
      </c>
      <c r="O100" s="1">
        <f>O98+N100*I100*0.5</f>
        <v>0.59169077665752146</v>
      </c>
      <c r="P100" s="1">
        <f t="shared" si="11"/>
        <v>3.7991717815915933E-2</v>
      </c>
    </row>
    <row r="101" spans="7:16">
      <c r="G101">
        <f t="shared" si="13"/>
        <v>22.75</v>
      </c>
      <c r="H101" s="1"/>
      <c r="I101">
        <f>Interpolate_Interval(G100,G102,I100,I102,G101)</f>
        <v>0.42050607684181762</v>
      </c>
      <c r="K101" s="1">
        <f t="shared" si="10"/>
        <v>4.6195506322289859E-2</v>
      </c>
      <c r="L101" s="1">
        <f t="shared" si="12"/>
        <v>1.0625000000000001E-3</v>
      </c>
      <c r="N101" s="1">
        <f>Interpolate_Interval(G100,G102,N100,N102,G101)</f>
        <v>4.753477488320941E-2</v>
      </c>
      <c r="O101" s="1"/>
      <c r="P101" s="1">
        <f t="shared" si="11"/>
        <v>3.807896036073357E-2</v>
      </c>
    </row>
    <row r="102" spans="7:16">
      <c r="G102">
        <f t="shared" si="13"/>
        <v>23</v>
      </c>
      <c r="H102" s="1">
        <f>Interpolate_Range($D$17:$D$31,$E$17:$E$31,G102)</f>
        <v>3.5942500000000002E-2</v>
      </c>
      <c r="I102">
        <f>(1-H102*J100)/(1+H102*0.5)</f>
        <v>0.41564970405899071</v>
      </c>
      <c r="J102">
        <f>J100+0.5*I102</f>
        <v>16.257920176420932</v>
      </c>
      <c r="K102" s="1">
        <f t="shared" si="10"/>
        <v>4.6735245909259149E-2</v>
      </c>
      <c r="L102" s="1">
        <f t="shared" si="12"/>
        <v>1.0625000000000001E-3</v>
      </c>
      <c r="M102" s="3">
        <f>M100+I102*0.5</f>
        <v>16.257920176420932</v>
      </c>
      <c r="N102" s="1">
        <f>(1-I102+L102*M102-O100)/(I102*0.5)</f>
        <v>4.7797745909258692E-2</v>
      </c>
      <c r="O102" s="1">
        <f>O100+N102*I102*0.5</f>
        <v>0.60162433612845656</v>
      </c>
      <c r="P102" s="1">
        <f t="shared" si="11"/>
        <v>3.8170105695695004E-2</v>
      </c>
    </row>
    <row r="103" spans="7:16">
      <c r="G103">
        <f t="shared" si="13"/>
        <v>23.25</v>
      </c>
      <c r="H103" s="1"/>
      <c r="I103">
        <f>Interpolate_Interval(G102,G104,I102,I104,G103)</f>
        <v>0.41085086422243883</v>
      </c>
      <c r="K103" s="1">
        <f t="shared" si="10"/>
        <v>4.6720990553436259E-2</v>
      </c>
      <c r="L103" s="1">
        <f t="shared" si="12"/>
        <v>1.0625000000000001E-3</v>
      </c>
      <c r="N103" s="1">
        <f>Interpolate_Interval(G102,G104,N102,N104,G103)</f>
        <v>4.8066699296341282E-2</v>
      </c>
      <c r="O103" s="1"/>
      <c r="P103" s="1">
        <f t="shared" si="11"/>
        <v>3.8259139402514304E-2</v>
      </c>
    </row>
    <row r="104" spans="7:16">
      <c r="G104">
        <f t="shared" si="13"/>
        <v>23.5</v>
      </c>
      <c r="H104" s="1">
        <f>Interpolate_Range($D$17:$D$31,$E$17:$E$31,G104)</f>
        <v>3.6082250000000003E-2</v>
      </c>
      <c r="I104">
        <f>(1-H104*J102)/(1+H104*0.5)</f>
        <v>0.40605202438588694</v>
      </c>
      <c r="J104">
        <f>J102+0.5*I104</f>
        <v>16.460946188613875</v>
      </c>
      <c r="K104" s="1">
        <f t="shared" si="10"/>
        <v>4.7273152683423803E-2</v>
      </c>
      <c r="L104" s="1">
        <f t="shared" si="12"/>
        <v>1.0625000000000001E-3</v>
      </c>
      <c r="M104" s="3">
        <f>M102+I104*0.5</f>
        <v>16.460946188613875</v>
      </c>
      <c r="N104" s="1">
        <f>(1-I104+L104*M104-O102)/(I104*0.5)</f>
        <v>4.8335652683423873E-2</v>
      </c>
      <c r="O104" s="1">
        <f>O102+N104*I104*0.5</f>
        <v>0.61143773093951526</v>
      </c>
      <c r="P104" s="1">
        <f t="shared" si="11"/>
        <v>3.8352084625872113E-2</v>
      </c>
    </row>
    <row r="105" spans="7:16">
      <c r="G105">
        <f t="shared" si="13"/>
        <v>23.75</v>
      </c>
      <c r="H105" s="1"/>
      <c r="I105">
        <f>Interpolate_Interval(G104,G106,I104,I106,G105)</f>
        <v>0.4013106821140171</v>
      </c>
      <c r="K105" s="1">
        <f t="shared" si="10"/>
        <v>4.7258570311594639E-2</v>
      </c>
      <c r="L105" s="1">
        <f t="shared" si="12"/>
        <v>1.0625000000000001E-3</v>
      </c>
      <c r="N105" s="1">
        <f>Interpolate_Interval(G104,G106,N104,N106,G105)</f>
        <v>4.8610870802459308E-2</v>
      </c>
      <c r="O105" s="1"/>
      <c r="P105" s="1">
        <f t="shared" si="11"/>
        <v>3.8442921401663672E-2</v>
      </c>
    </row>
    <row r="106" spans="7:16">
      <c r="G106">
        <f t="shared" si="13"/>
        <v>24</v>
      </c>
      <c r="H106" s="1">
        <f>Interpolate_Range($D$17:$D$31,$E$17:$E$31,G106)</f>
        <v>3.6221999999999997E-2</v>
      </c>
      <c r="I106">
        <f>(1-H106*J104)/(1+H106*0.5)</f>
        <v>0.39656933984214721</v>
      </c>
      <c r="J106">
        <f>J104+I106*0.5</f>
        <v>16.659230858534947</v>
      </c>
      <c r="K106" s="1">
        <f t="shared" si="10"/>
        <v>4.7823588921494853E-2</v>
      </c>
      <c r="L106" s="1">
        <f t="shared" si="12"/>
        <v>1.0625000000000001E-3</v>
      </c>
      <c r="M106" s="3">
        <f>M104+I106*0.5</f>
        <v>16.659230858534947</v>
      </c>
      <c r="N106" s="1">
        <f>(1-I106+L106*M106-O104)/(I106*0.5)</f>
        <v>4.8886088921494736E-2</v>
      </c>
      <c r="O106" s="1">
        <f>O104+N106*I106*0.5</f>
        <v>0.62113109294504609</v>
      </c>
      <c r="P106" s="1">
        <f t="shared" si="11"/>
        <v>3.8537682224719781E-2</v>
      </c>
    </row>
    <row r="107" spans="7:16">
      <c r="G107">
        <f t="shared" si="13"/>
        <v>24.25</v>
      </c>
      <c r="H107" s="1"/>
      <c r="I107">
        <f>Interpolate_Interval(G106,G108,I106,I108,G107)</f>
        <v>0.39188544460153835</v>
      </c>
      <c r="K107" s="1">
        <f t="shared" ref="K107:K130" si="14">(I106/I107-1)/0.25</f>
        <v>4.7808820716690015E-2</v>
      </c>
      <c r="L107" s="1">
        <f t="shared" si="12"/>
        <v>1.0625000000000001E-3</v>
      </c>
      <c r="N107" s="1">
        <f>Interpolate_Interval(G106,G108,N106,N108,G107)</f>
        <v>4.9167871414866324E-2</v>
      </c>
      <c r="O107" s="1"/>
      <c r="P107" s="1">
        <f t="shared" ref="P107:P130" si="15">-LN(I107)/G107</f>
        <v>3.8630338765337981E-2</v>
      </c>
    </row>
    <row r="108" spans="7:16">
      <c r="G108">
        <f t="shared" si="13"/>
        <v>24.5</v>
      </c>
      <c r="H108" s="1">
        <f>Interpolate_Range($D$17:$D$31,$E$17:$E$31,G108)</f>
        <v>3.6361749999999998E-2</v>
      </c>
      <c r="I108">
        <f>(1-H108*J106)/(1+H108*0.5)</f>
        <v>0.38720154936092949</v>
      </c>
      <c r="J108">
        <f>J106+0.5*I108</f>
        <v>16.852831633215413</v>
      </c>
      <c r="K108" s="1">
        <f t="shared" si="14"/>
        <v>4.8387153908238112E-2</v>
      </c>
      <c r="L108" s="1">
        <f t="shared" si="12"/>
        <v>1.0625000000000001E-3</v>
      </c>
      <c r="M108" s="3">
        <f>M106+I108*0.5</f>
        <v>16.852831633215413</v>
      </c>
      <c r="N108" s="1">
        <f>(1-I108+L108*M108-O106)/(I108*0.5)</f>
        <v>4.9449653908237905E-2</v>
      </c>
      <c r="O108" s="1">
        <f>O106+N108*I108*0.5</f>
        <v>0.63070458424936182</v>
      </c>
      <c r="P108" s="1">
        <f t="shared" si="15"/>
        <v>3.8726935597511808E-2</v>
      </c>
    </row>
    <row r="109" spans="7:16">
      <c r="G109">
        <f t="shared" si="13"/>
        <v>24.75</v>
      </c>
      <c r="H109" s="1"/>
      <c r="I109">
        <f>Interpolate_Interval(G108,G110,I108,I110,G109)</f>
        <v>0.38257503575524798</v>
      </c>
      <c r="K109" s="1">
        <f t="shared" si="14"/>
        <v>4.83723523313353E-2</v>
      </c>
      <c r="L109" s="1">
        <f t="shared" si="12"/>
        <v>1.0625000000000001E-3</v>
      </c>
      <c r="N109" s="1">
        <f>Interpolate_Interval(G108,G110,N108,N110,G109)</f>
        <v>4.9738319029671796E-2</v>
      </c>
      <c r="O109" s="1"/>
      <c r="P109" s="1">
        <f t="shared" si="15"/>
        <v>3.8821433254367446E-2</v>
      </c>
    </row>
    <row r="110" spans="7:16">
      <c r="G110">
        <f t="shared" si="13"/>
        <v>25</v>
      </c>
      <c r="H110" s="1">
        <f>Interpolate_Range($D$17:$D$31,$E$17:$E$31,G110)</f>
        <v>3.6501499999999999E-2</v>
      </c>
      <c r="I110">
        <f>(1-H110*J108)/(1+H110*0.5)</f>
        <v>0.37794852214956642</v>
      </c>
      <c r="J110">
        <f>J108+0.5*I110</f>
        <v>17.041805894290196</v>
      </c>
      <c r="K110" s="1">
        <f t="shared" si="14"/>
        <v>4.8964484151105658E-2</v>
      </c>
      <c r="L110" s="1">
        <f t="shared" si="12"/>
        <v>1.0625000000000001E-3</v>
      </c>
      <c r="M110" s="3">
        <f>M108+I110*0.5</f>
        <v>17.041805894290196</v>
      </c>
      <c r="N110" s="1">
        <f>(1-I110+L110*M110-O108)/(I110*0.5)</f>
        <v>5.0026984151105687E-2</v>
      </c>
      <c r="O110" s="1">
        <f>O108+N110*I110*0.5</f>
        <v>0.64015839661311691</v>
      </c>
      <c r="P110" s="1">
        <f t="shared" si="15"/>
        <v>3.8919891097041866E-2</v>
      </c>
    </row>
    <row r="111" spans="7:16">
      <c r="G111">
        <f t="shared" si="13"/>
        <v>25.25</v>
      </c>
      <c r="H111" s="1"/>
      <c r="I111">
        <f>Interpolate_Interval(G110,G112,I110,I112,G111)</f>
        <v>0.37455422694840779</v>
      </c>
      <c r="K111" s="1">
        <f t="shared" si="14"/>
        <v>3.6248905573036616E-2</v>
      </c>
      <c r="L111" s="1">
        <f t="shared" si="12"/>
        <v>1.0618750000000001E-3</v>
      </c>
      <c r="N111" s="1">
        <f>Interpolate_Interval(G110,G112,N110,N112,G111)</f>
        <v>4.3776926078109027E-2</v>
      </c>
      <c r="O111" s="1"/>
      <c r="P111" s="1">
        <f t="shared" si="15"/>
        <v>3.8891829237505671E-2</v>
      </c>
    </row>
    <row r="112" spans="7:16">
      <c r="G112">
        <f t="shared" si="13"/>
        <v>25.5</v>
      </c>
      <c r="H112" s="1">
        <f>Interpolate_Range($D$17:$D$31,$E$17:$E$31,G112)</f>
        <v>3.6502350000000003E-2</v>
      </c>
      <c r="I112">
        <f>(1-H112*J110)/(1+H112*0.5)</f>
        <v>0.37115993174724915</v>
      </c>
      <c r="J112">
        <f>J110+0.5*I112</f>
        <v>17.227385860163821</v>
      </c>
      <c r="K112" s="1">
        <f t="shared" si="14"/>
        <v>3.6580405489136325E-2</v>
      </c>
      <c r="L112" s="1">
        <f t="shared" si="12"/>
        <v>1.0612500000000001E-3</v>
      </c>
      <c r="M112" s="3">
        <f>M110+I112*0.5</f>
        <v>17.227385860163821</v>
      </c>
      <c r="N112" s="1">
        <f>(1-I112+L112*M112-O110)/(I112*0.5)</f>
        <v>3.7526868005112367E-2</v>
      </c>
      <c r="O112" s="1">
        <f>O110+N112*I112*0.5</f>
        <v>0.64712263149684968</v>
      </c>
      <c r="P112" s="1">
        <f t="shared" si="15"/>
        <v>3.8867538289707779E-2</v>
      </c>
    </row>
    <row r="113" spans="7:16">
      <c r="G113">
        <f t="shared" si="13"/>
        <v>25.75</v>
      </c>
      <c r="H113" s="1"/>
      <c r="I113">
        <f>Interpolate_Interval(G112,G114,I112,I114,G113)</f>
        <v>0.36782632250555525</v>
      </c>
      <c r="K113" s="1">
        <f t="shared" si="14"/>
        <v>3.6251992179201054E-2</v>
      </c>
      <c r="L113" s="1">
        <f t="shared" si="12"/>
        <v>1.0606250000000002E-3</v>
      </c>
      <c r="N113" s="1">
        <f>Interpolate_Interval(G112,G114,N112,N114,G113)</f>
        <v>3.7526128400075617E-2</v>
      </c>
      <c r="O113" s="1"/>
      <c r="P113" s="1">
        <f t="shared" si="15"/>
        <v>3.8840559298240374E-2</v>
      </c>
    </row>
    <row r="114" spans="7:16">
      <c r="G114">
        <f t="shared" si="13"/>
        <v>26</v>
      </c>
      <c r="H114" s="1">
        <f>Interpolate_Range($D$17:$D$31,$E$17:$E$31,G114)</f>
        <v>3.65032E-2</v>
      </c>
      <c r="I114">
        <f>(1-H114*J112)/(1+H114*0.5)</f>
        <v>0.36449271326386129</v>
      </c>
      <c r="J114">
        <f>J112+I114*0.5</f>
        <v>17.409632216795753</v>
      </c>
      <c r="K114" s="1">
        <f t="shared" si="14"/>
        <v>3.6583548810543043E-2</v>
      </c>
      <c r="L114" s="1">
        <f t="shared" si="12"/>
        <v>1.06E-3</v>
      </c>
      <c r="M114" s="3">
        <f>M112+I114*0.5</f>
        <v>17.409632216795753</v>
      </c>
      <c r="N114" s="1">
        <f>(1-I114+L114*M114-O112)/(I114*0.5)</f>
        <v>3.7525388795038868E-2</v>
      </c>
      <c r="O114" s="1">
        <f>O112+N114*I114*0.5</f>
        <v>0.65396149688594218</v>
      </c>
      <c r="P114" s="1">
        <f t="shared" si="15"/>
        <v>3.8817258414572918E-2</v>
      </c>
    </row>
    <row r="115" spans="7:16">
      <c r="G115">
        <f t="shared" si="13"/>
        <v>26.25</v>
      </c>
      <c r="H115" s="1"/>
      <c r="I115">
        <f>Interpolate_Interval(G114,G116,I114,I116,G115)</f>
        <v>0.36121870636846914</v>
      </c>
      <c r="K115" s="1">
        <f t="shared" si="14"/>
        <v>3.6255120099482951E-2</v>
      </c>
      <c r="L115" s="1">
        <f t="shared" si="12"/>
        <v>1.059375E-3</v>
      </c>
      <c r="N115" s="1">
        <f>Interpolate_Interval(G114,G116,N114,N116,G115)</f>
        <v>3.752463928923841E-2</v>
      </c>
      <c r="O115" s="1"/>
      <c r="P115" s="1">
        <f t="shared" si="15"/>
        <v>3.8791301686757214E-2</v>
      </c>
    </row>
    <row r="116" spans="7:16">
      <c r="G116">
        <f t="shared" si="13"/>
        <v>26.5</v>
      </c>
      <c r="H116" s="1">
        <f>Interpolate_Range($D$17:$D$31,$E$17:$E$31,G116)</f>
        <v>3.6504049999999996E-2</v>
      </c>
      <c r="I116">
        <f>(1-H116*J114)/(1+H116*0.5)</f>
        <v>0.357944699473077</v>
      </c>
      <c r="J116">
        <f>J114+0.5*I116</f>
        <v>17.588604566532293</v>
      </c>
      <c r="K116" s="1">
        <f t="shared" si="14"/>
        <v>3.6586734210191985E-2</v>
      </c>
      <c r="L116" s="1">
        <f t="shared" si="12"/>
        <v>1.05875E-3</v>
      </c>
      <c r="M116" s="3">
        <f>M114+I116*0.5</f>
        <v>17.588604566532293</v>
      </c>
      <c r="N116" s="1">
        <f>(1-I116+L116*M116-O114)/(I116*0.5)</f>
        <v>3.7523889783437958E-2</v>
      </c>
      <c r="O116" s="1">
        <f>O114+N116*I116*0.5</f>
        <v>0.66067723561173897</v>
      </c>
      <c r="P116" s="1">
        <f t="shared" si="15"/>
        <v>3.8768934915428911E-2</v>
      </c>
    </row>
    <row r="117" spans="7:16">
      <c r="G117">
        <f t="shared" si="13"/>
        <v>26.75</v>
      </c>
      <c r="H117" s="1"/>
      <c r="I117">
        <f>Interpolate_Interval(G116,G118,I116,I118,G117)</f>
        <v>0.3547292306353742</v>
      </c>
      <c r="K117" s="1">
        <f t="shared" si="14"/>
        <v>3.6258290098545309E-2</v>
      </c>
      <c r="L117" s="1">
        <f t="shared" si="12"/>
        <v>1.058125E-3</v>
      </c>
      <c r="N117" s="1">
        <f>Interpolate_Interval(G116,G118,N116,N118,G117)</f>
        <v>3.7523130193602136E-2</v>
      </c>
      <c r="O117" s="1"/>
      <c r="P117" s="1">
        <f t="shared" si="15"/>
        <v>3.8743944341618E-2</v>
      </c>
    </row>
    <row r="118" spans="7:16">
      <c r="G118">
        <f t="shared" si="13"/>
        <v>27</v>
      </c>
      <c r="H118" s="1">
        <f>Interpolate_Range($D$17:$D$31,$E$17:$E$31,G118)</f>
        <v>3.65049E-2</v>
      </c>
      <c r="I118">
        <f>(1-H118*J116)/(1+H118*0.5)</f>
        <v>0.35151376179767135</v>
      </c>
      <c r="J118">
        <f>J116+0.5*I118</f>
        <v>17.764361447431128</v>
      </c>
      <c r="K118" s="1">
        <f t="shared" si="14"/>
        <v>3.6589962467001413E-2</v>
      </c>
      <c r="L118" s="1">
        <f t="shared" si="12"/>
        <v>1.0575000000000001E-3</v>
      </c>
      <c r="M118" s="3">
        <f>M116+I118*0.5</f>
        <v>17.764361447431128</v>
      </c>
      <c r="N118" s="1">
        <f>(1-I118+L118*M118-O116)/(I118*0.5)</f>
        <v>3.7522370603766314E-2</v>
      </c>
      <c r="O118" s="1">
        <f>O116+N118*I118*0.5</f>
        <v>0.6672720504329871</v>
      </c>
      <c r="P118" s="1">
        <f t="shared" si="15"/>
        <v>3.8722459884022259E-2</v>
      </c>
    </row>
    <row r="119" spans="7:16">
      <c r="G119">
        <f t="shared" si="13"/>
        <v>27.25</v>
      </c>
      <c r="H119" s="1"/>
      <c r="I119">
        <f>Interpolate_Interval(G118,G120,I118,I120,G119)</f>
        <v>0.34835578570941184</v>
      </c>
      <c r="K119" s="1">
        <f t="shared" si="14"/>
        <v>3.6261502955415637E-2</v>
      </c>
      <c r="L119" s="1">
        <f t="shared" si="12"/>
        <v>1.0568750000000001E-3</v>
      </c>
      <c r="N119" s="1">
        <f>Interpolate_Interval(G118,G120,N118,N120,G119)</f>
        <v>3.7521600743172338E-2</v>
      </c>
      <c r="O119" s="1"/>
      <c r="P119" s="1">
        <f t="shared" si="15"/>
        <v>3.8698383440239556E-2</v>
      </c>
    </row>
    <row r="120" spans="7:16">
      <c r="G120">
        <f t="shared" si="13"/>
        <v>27.5</v>
      </c>
      <c r="H120" s="1">
        <f>Interpolate_Range($D$17:$D$31,$E$17:$E$31,G120)</f>
        <v>3.6505750000000003E-2</v>
      </c>
      <c r="I120">
        <f>(1-H120*J118)/(1+H120*0.5)</f>
        <v>0.34519780962115232</v>
      </c>
      <c r="J120">
        <f>J118+0.5*I120</f>
        <v>17.936960352241705</v>
      </c>
      <c r="K120" s="1">
        <f t="shared" si="14"/>
        <v>3.6593234374520556E-2</v>
      </c>
      <c r="L120" s="1">
        <f t="shared" si="12"/>
        <v>1.0562499999999999E-3</v>
      </c>
      <c r="M120" s="3">
        <f>M118+I120*0.5</f>
        <v>17.936960352241705</v>
      </c>
      <c r="N120" s="1">
        <f>(1-I120+L120*M120-O118)/(I120*0.5)</f>
        <v>3.7520830882578363E-2</v>
      </c>
      <c r="O120" s="1">
        <f>O118+N120*I120*0.5</f>
        <v>0.67374810475090297</v>
      </c>
      <c r="P120" s="1">
        <f t="shared" si="15"/>
        <v>3.8677733274137753E-2</v>
      </c>
    </row>
    <row r="121" spans="7:16">
      <c r="G121">
        <f t="shared" si="13"/>
        <v>27.75</v>
      </c>
      <c r="H121" s="1"/>
      <c r="I121">
        <f>Interpolate_Interval(G120,G122,I120,I122,G121)</f>
        <v>0.34209629961639365</v>
      </c>
      <c r="K121" s="1">
        <f t="shared" si="14"/>
        <v>3.6264759463771057E-2</v>
      </c>
      <c r="L121" s="1">
        <f t="shared" si="12"/>
        <v>1.0556249999999999E-3</v>
      </c>
      <c r="N121" s="1">
        <f>Interpolate_Interval(G120,G122,N120,N122,G121)</f>
        <v>3.7520050560999343E-2</v>
      </c>
      <c r="O121" s="1"/>
      <c r="P121" s="1">
        <f t="shared" si="15"/>
        <v>3.8654522656915866E-2</v>
      </c>
    </row>
    <row r="122" spans="7:16">
      <c r="G122">
        <f t="shared" si="13"/>
        <v>28</v>
      </c>
      <c r="H122" s="1">
        <f>Interpolate_Range($D$17:$D$31,$E$17:$E$31,G122)</f>
        <v>3.65066E-2</v>
      </c>
      <c r="I122">
        <f>(1-H122*J120)/(1+H122*0.5)</f>
        <v>0.33899478961163493</v>
      </c>
      <c r="J122">
        <f>J120+I122*0.5</f>
        <v>18.106457747047521</v>
      </c>
      <c r="K122" s="1">
        <f t="shared" si="14"/>
        <v>3.6596550741230693E-2</v>
      </c>
      <c r="L122" s="1">
        <f t="shared" si="12"/>
        <v>1.0549999999999999E-3</v>
      </c>
      <c r="M122" s="3">
        <f>M120+I122*0.5</f>
        <v>18.106457747047521</v>
      </c>
      <c r="N122" s="1">
        <f>(1-I122+L122*M122-O120)/(I122*0.5)</f>
        <v>3.7519270239420331E-2</v>
      </c>
      <c r="O122" s="1">
        <f>O120+N122*I122*0.5</f>
        <v>0.68010752331150015</v>
      </c>
      <c r="P122" s="1">
        <f t="shared" si="15"/>
        <v>3.8634662199892415E-2</v>
      </c>
    </row>
    <row r="123" spans="7:16">
      <c r="G123">
        <f t="shared" si="13"/>
        <v>28.25</v>
      </c>
      <c r="H123" s="1"/>
      <c r="I123">
        <f>Interpolate_Interval(G122,G124,I122,I124,G123)</f>
        <v>0.33594873733468966</v>
      </c>
      <c r="K123" s="1">
        <f t="shared" si="14"/>
        <v>3.6268060432215421E-2</v>
      </c>
      <c r="L123" s="1">
        <f t="shared" si="12"/>
        <v>1.054375E-3</v>
      </c>
      <c r="N123" s="1">
        <f>Interpolate_Interval(G122,G124,N122,N124,G123)</f>
        <v>3.7518479263047029E-2</v>
      </c>
      <c r="O123" s="1"/>
      <c r="P123" s="1">
        <f t="shared" si="15"/>
        <v>3.8612272499639354E-2</v>
      </c>
    </row>
    <row r="124" spans="7:16">
      <c r="G124">
        <f t="shared" si="13"/>
        <v>28.5</v>
      </c>
      <c r="H124" s="1">
        <f>Interpolate_Range($D$17:$D$31,$E$17:$E$31,G124)</f>
        <v>3.6507449999999997E-2</v>
      </c>
      <c r="I124">
        <f>(1-H124*J122)/(1+H124*0.5)</f>
        <v>0.33290268505774434</v>
      </c>
      <c r="J124">
        <f>J122+0.5*I124</f>
        <v>18.272909089576395</v>
      </c>
      <c r="K124" s="1">
        <f t="shared" si="14"/>
        <v>3.6599912390816947E-2</v>
      </c>
      <c r="L124" s="1">
        <f t="shared" si="12"/>
        <v>1.05375E-3</v>
      </c>
      <c r="M124" s="3">
        <f>M122+I124*0.5</f>
        <v>18.272909089576395</v>
      </c>
      <c r="N124" s="1">
        <f>(1-I124+L124*M124-O122)/(I124*0.5)</f>
        <v>3.7517688286673727E-2</v>
      </c>
      <c r="O124" s="1">
        <f>O122+N124*I124*0.5</f>
        <v>0.68635239289539673</v>
      </c>
      <c r="P124" s="1">
        <f t="shared" si="15"/>
        <v>3.8593160307898097E-2</v>
      </c>
    </row>
    <row r="125" spans="7:16">
      <c r="G125">
        <f t="shared" si="13"/>
        <v>28.75</v>
      </c>
      <c r="H125" s="1"/>
      <c r="I125">
        <f>Interpolate_Interval(G124,G126,I124,I126,G125)</f>
        <v>0.32991110013703817</v>
      </c>
      <c r="K125" s="1">
        <f t="shared" si="14"/>
        <v>3.6271406684570628E-2</v>
      </c>
      <c r="L125" s="1">
        <f t="shared" si="12"/>
        <v>1.053125E-3</v>
      </c>
      <c r="N125" s="1">
        <f>Interpolate_Interval(G124,G126,N124,N126,G125)</f>
        <v>3.7516886458048779E-2</v>
      </c>
      <c r="O125" s="1"/>
      <c r="P125" s="1">
        <f t="shared" si="15"/>
        <v>3.8571549716128403E-2</v>
      </c>
    </row>
    <row r="126" spans="7:16">
      <c r="G126">
        <f t="shared" si="13"/>
        <v>29</v>
      </c>
      <c r="H126" s="1">
        <f>Interpolate_Range($D$17:$D$31,$E$17:$E$31,G126)</f>
        <v>3.65083E-2</v>
      </c>
      <c r="I126">
        <f>(1-H126*J124)/(1+H126*0.5)</f>
        <v>0.32691951521633195</v>
      </c>
      <c r="J126">
        <f>J124+0.5*I126</f>
        <v>18.436368847184561</v>
      </c>
      <c r="K126" s="1">
        <f t="shared" si="14"/>
        <v>3.6603320162476471E-2</v>
      </c>
      <c r="L126" s="1">
        <f t="shared" si="12"/>
        <v>1.0525000000000001E-3</v>
      </c>
      <c r="M126" s="3">
        <f>M124+I126*0.5</f>
        <v>18.436368847184561</v>
      </c>
      <c r="N126" s="1">
        <f>(1-I126+L126*M126-O124)/(I126*0.5)</f>
        <v>3.7516084629423824E-2</v>
      </c>
      <c r="O126" s="1">
        <f>O124+N126*I126*0.5</f>
        <v>0.69248476299532979</v>
      </c>
      <c r="P126" s="1">
        <f t="shared" si="15"/>
        <v>3.8553147214377741E-2</v>
      </c>
    </row>
    <row r="127" spans="7:16">
      <c r="G127">
        <f t="shared" si="13"/>
        <v>29.25</v>
      </c>
      <c r="H127" s="1"/>
      <c r="I127">
        <f>Interpolate_Interval(G126,G128,I126,I128,G127)</f>
        <v>0.32398142494406362</v>
      </c>
      <c r="K127" s="1">
        <f t="shared" si="14"/>
        <v>3.6274799060169727E-2</v>
      </c>
      <c r="L127" s="1">
        <f t="shared" si="12"/>
        <v>1.0518749999999999E-3</v>
      </c>
      <c r="N127" s="1">
        <f>Interpolate_Interval(G126,G128,N126,N128,G127)</f>
        <v>3.7515271747370113E-2</v>
      </c>
      <c r="O127" s="1"/>
      <c r="P127" s="1">
        <f t="shared" si="15"/>
        <v>3.8532276760780027E-2</v>
      </c>
    </row>
    <row r="128" spans="7:16">
      <c r="G128">
        <f t="shared" si="13"/>
        <v>29.5</v>
      </c>
      <c r="H128" s="1">
        <f>Interpolate_Range($D$17:$D$31,$E$17:$E$31,G128)</f>
        <v>3.6509150000000004E-2</v>
      </c>
      <c r="I128">
        <f>(1-H128*J126)/(1+H128*0.5)</f>
        <v>0.3210433346717953</v>
      </c>
      <c r="J128">
        <f>J126+0.5*I128</f>
        <v>18.596890514520457</v>
      </c>
      <c r="K128" s="1">
        <f t="shared" si="14"/>
        <v>3.6606774911205342E-2</v>
      </c>
      <c r="L128" s="1">
        <f t="shared" si="12"/>
        <v>1.0512499999999999E-3</v>
      </c>
      <c r="M128" s="3">
        <f>M126+I128*0.5</f>
        <v>18.596890514520457</v>
      </c>
      <c r="N128" s="1">
        <f>(1-I128+L128*M128-O126)/(I128*0.5)</f>
        <v>3.7514458865316395E-2</v>
      </c>
      <c r="O128" s="1">
        <f>O126+N128*I128*0.5</f>
        <v>0.69850664648159433</v>
      </c>
      <c r="P128" s="1">
        <f t="shared" si="15"/>
        <v>3.8514547999529074E-2</v>
      </c>
    </row>
    <row r="129" spans="5:16">
      <c r="G129">
        <f t="shared" si="13"/>
        <v>29.75</v>
      </c>
      <c r="H129" s="1"/>
      <c r="I129">
        <f>Interpolate_Interval(G128,G130,I128,I130,G129)</f>
        <v>0.31815778368929543</v>
      </c>
      <c r="K129" s="1">
        <f t="shared" si="14"/>
        <v>3.6278238414155339E-2</v>
      </c>
      <c r="L129" s="1">
        <f t="shared" si="12"/>
        <v>1.0506249999999999E-3</v>
      </c>
      <c r="N129" s="1">
        <f>Interpolate_Interval(G128,G130,N128,N130,G129)</f>
        <v>3.7513634724864901E-2</v>
      </c>
      <c r="O129" s="1"/>
      <c r="P129" s="1">
        <f t="shared" si="15"/>
        <v>3.8494381315380292E-2</v>
      </c>
    </row>
    <row r="130" spans="5:16">
      <c r="G130">
        <f t="shared" si="13"/>
        <v>30</v>
      </c>
      <c r="H130" s="1">
        <f>Interpolate_Range($D$17:$D$31,$E$17:$E$31,G130)</f>
        <v>3.6510000000000001E-2</v>
      </c>
      <c r="I130">
        <f>(1-H130*J128)/(1+H130*0.5)</f>
        <v>0.31527223270679555</v>
      </c>
      <c r="J130">
        <f>J128+I130*0.5</f>
        <v>18.754526630873855</v>
      </c>
      <c r="K130" s="1">
        <f t="shared" si="14"/>
        <v>3.6610277508117406E-2</v>
      </c>
      <c r="L130" s="1">
        <f t="shared" si="12"/>
        <v>1.0499999999999999E-3</v>
      </c>
      <c r="M130" s="3">
        <f>M128+I130*0.5</f>
        <v>18.754526630873855</v>
      </c>
      <c r="N130" s="1">
        <f>(1-I130+L130*M130-O128)/(I130*0.5)</f>
        <v>3.7512810584413407E-2</v>
      </c>
      <c r="O130" s="1">
        <f>O128+N130*I130*0.5</f>
        <v>0.70442002025562189</v>
      </c>
      <c r="P130" s="1">
        <f t="shared" si="15"/>
        <v>3.8477292752456906E-2</v>
      </c>
    </row>
    <row r="131" spans="5:16">
      <c r="E131" s="1"/>
    </row>
    <row r="132" spans="5:16">
      <c r="E132" s="1"/>
    </row>
    <row r="133" spans="5:16">
      <c r="E133" s="1"/>
    </row>
    <row r="134" spans="5:16">
      <c r="E134" s="1"/>
    </row>
    <row r="135" spans="5:16">
      <c r="E135" s="1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69"/>
  <sheetViews>
    <sheetView zoomScale="85" zoomScaleNormal="85" workbookViewId="0"/>
  </sheetViews>
  <sheetFormatPr defaultRowHeight="13.5"/>
  <cols>
    <col min="7" max="7" width="13" customWidth="1"/>
    <col min="9" max="9" width="9.375" customWidth="1"/>
    <col min="10" max="10" width="13.875" customWidth="1"/>
    <col min="11" max="11" width="13" style="3" customWidth="1"/>
    <col min="12" max="12" width="11" customWidth="1"/>
    <col min="13" max="13" width="12.625" customWidth="1"/>
    <col min="14" max="14" width="11.625" customWidth="1"/>
    <col min="15" max="15" width="15.375" customWidth="1"/>
    <col min="16" max="16" width="12.375" customWidth="1"/>
    <col min="18" max="18" width="21.875" bestFit="1" customWidth="1"/>
    <col min="19" max="19" width="10.5" customWidth="1"/>
    <col min="23" max="23" width="14.625" bestFit="1" customWidth="1"/>
    <col min="25" max="25" width="14.625" bestFit="1" customWidth="1"/>
  </cols>
  <sheetData>
    <row r="1" spans="1:26">
      <c r="A1" t="s">
        <v>62</v>
      </c>
    </row>
    <row r="2" spans="1:26">
      <c r="A2" s="22" t="s">
        <v>153</v>
      </c>
      <c r="B2" s="19"/>
      <c r="C2" s="19"/>
      <c r="D2" s="19"/>
      <c r="R2" s="22" t="s">
        <v>44</v>
      </c>
      <c r="S2" s="20"/>
    </row>
    <row r="3" spans="1:26">
      <c r="Q3" s="29"/>
      <c r="R3" s="20"/>
      <c r="S3" s="20"/>
      <c r="T3" s="29"/>
      <c r="U3" s="29"/>
      <c r="V3" s="29"/>
      <c r="W3" s="29"/>
      <c r="X3" s="29"/>
      <c r="Y3" s="29"/>
      <c r="Z3" s="29"/>
    </row>
    <row r="4" spans="1:26">
      <c r="Q4" s="29"/>
      <c r="R4" s="20"/>
      <c r="S4" s="20"/>
      <c r="T4" s="29"/>
      <c r="U4" s="29"/>
      <c r="V4" s="29"/>
      <c r="W4" s="29"/>
      <c r="X4" s="29"/>
      <c r="Y4" s="29"/>
      <c r="Z4" s="29"/>
    </row>
    <row r="5" spans="1:26">
      <c r="Q5" s="29"/>
      <c r="R5" s="20"/>
      <c r="S5" s="20"/>
      <c r="T5" s="29"/>
      <c r="U5" s="29"/>
      <c r="V5" s="29"/>
      <c r="W5" s="29"/>
      <c r="X5" s="29"/>
      <c r="Y5" s="29"/>
      <c r="Z5" s="29"/>
    </row>
    <row r="6" spans="1:26">
      <c r="Q6" s="29"/>
      <c r="R6" s="20"/>
      <c r="S6" s="20"/>
      <c r="T6" s="29"/>
      <c r="U6" s="29"/>
      <c r="V6" s="29"/>
      <c r="W6" s="29"/>
      <c r="X6" s="29"/>
      <c r="Y6" s="29"/>
      <c r="Z6" s="29"/>
    </row>
    <row r="7" spans="1:26">
      <c r="Q7" s="29"/>
      <c r="R7" s="20"/>
      <c r="S7" s="20"/>
      <c r="T7" s="29"/>
      <c r="U7" s="29"/>
      <c r="V7" s="29"/>
      <c r="W7" s="29"/>
      <c r="X7" s="29"/>
      <c r="Y7" s="29"/>
      <c r="Z7" s="29"/>
    </row>
    <row r="8" spans="1:26">
      <c r="G8" s="23" t="s">
        <v>49</v>
      </c>
      <c r="Q8" s="29"/>
      <c r="R8" s="23" t="s">
        <v>30</v>
      </c>
      <c r="T8" s="29"/>
      <c r="U8" s="23" t="s">
        <v>50</v>
      </c>
      <c r="Z8" s="29"/>
    </row>
    <row r="9" spans="1:26">
      <c r="A9" s="23" t="s">
        <v>23</v>
      </c>
      <c r="G9" t="s">
        <v>2</v>
      </c>
      <c r="H9" t="s">
        <v>21</v>
      </c>
      <c r="I9" t="s">
        <v>3</v>
      </c>
      <c r="J9" t="s">
        <v>61</v>
      </c>
      <c r="K9" t="s">
        <v>94</v>
      </c>
      <c r="L9" t="s">
        <v>6</v>
      </c>
      <c r="M9" s="3" t="s">
        <v>28</v>
      </c>
      <c r="N9" t="s">
        <v>93</v>
      </c>
      <c r="O9" t="s">
        <v>60</v>
      </c>
      <c r="P9" t="s">
        <v>4</v>
      </c>
      <c r="R9" t="s">
        <v>40</v>
      </c>
      <c r="S9">
        <v>1</v>
      </c>
      <c r="U9" t="s">
        <v>33</v>
      </c>
      <c r="V9" t="s">
        <v>32</v>
      </c>
      <c r="W9" t="s">
        <v>41</v>
      </c>
      <c r="X9" t="s">
        <v>42</v>
      </c>
      <c r="Y9" t="s">
        <v>41</v>
      </c>
    </row>
    <row r="10" spans="1:26">
      <c r="G10">
        <v>0</v>
      </c>
      <c r="H10" s="1"/>
      <c r="I10">
        <v>1</v>
      </c>
      <c r="L10" s="1"/>
      <c r="M10" s="3"/>
      <c r="P10" s="1">
        <f>P11</f>
        <v>3.3785727539587698E-3</v>
      </c>
      <c r="R10" t="s">
        <v>34</v>
      </c>
      <c r="S10" s="26">
        <v>1.4999999999999999E-2</v>
      </c>
      <c r="U10">
        <v>0</v>
      </c>
    </row>
    <row r="11" spans="1:26">
      <c r="B11" t="s">
        <v>58</v>
      </c>
      <c r="E11" t="s">
        <v>92</v>
      </c>
      <c r="G11">
        <v>0.25</v>
      </c>
      <c r="H11" s="1"/>
      <c r="I11">
        <f>1/(1+(B12+Interpolate_Range($A$17:$A$31,$B$17:$B$31,G11))*G11)</f>
        <v>0.99915571342215825</v>
      </c>
      <c r="L11" s="1">
        <f>Interpolate_Range($A$17:$A$31,$B$17:$B$31,G11)</f>
        <v>1.08E-3</v>
      </c>
      <c r="M11" s="3">
        <f t="shared" ref="M11:M42" si="0">M10+I11*0.25</f>
        <v>0.24978892835553956</v>
      </c>
      <c r="N11" s="1">
        <f t="shared" ref="N11:N42" si="1">(1-I11-L11*M11-O10)/(I11*0.25)</f>
        <v>2.3000000000000906E-3</v>
      </c>
      <c r="O11" s="1">
        <f t="shared" ref="O11:O42" si="2">O10+N11*I11*0.25</f>
        <v>5.7451453521776359E-4</v>
      </c>
      <c r="P11" s="1">
        <f t="shared" ref="P11:P42" si="3">-LN(I11)/G11</f>
        <v>3.3785727539587698E-3</v>
      </c>
      <c r="R11" t="s">
        <v>31</v>
      </c>
      <c r="S11" s="12" t="s">
        <v>91</v>
      </c>
      <c r="U11">
        <v>0.25</v>
      </c>
      <c r="V11" s="1">
        <f>$S$10/4</f>
        <v>3.7499999999999999E-3</v>
      </c>
      <c r="W11" s="1">
        <f>V11*Interpolate_Range($G$10:$G$130,$I$10:$I$130,U11)</f>
        <v>3.7468339253330933E-3</v>
      </c>
      <c r="X11" s="1">
        <f t="shared" ref="X11:X50" si="4">Interpolate_Range($G$11:$G$130,$N$11:$N$130,U11)/4</f>
        <v>5.7500000000002265E-4</v>
      </c>
      <c r="Y11" s="1">
        <f>X11*Interpolate_Range($G$10:$G$130,$I$10:$I$130,U11)</f>
        <v>5.7451453521776359E-4</v>
      </c>
    </row>
    <row r="12" spans="1:26">
      <c r="A12" t="s">
        <v>0</v>
      </c>
      <c r="B12" s="1">
        <v>2.3E-3</v>
      </c>
      <c r="D12" s="13">
        <v>0</v>
      </c>
      <c r="E12">
        <v>129.38999999999999</v>
      </c>
      <c r="G12">
        <f>G11+0.25</f>
        <v>0.5</v>
      </c>
      <c r="H12" s="1"/>
      <c r="I12">
        <f>1/(1+B13*G12)</f>
        <v>0.99803247877135015</v>
      </c>
      <c r="K12" s="1">
        <f>(I10/I12-1)/0.5</f>
        <v>3.942799999999913E-3</v>
      </c>
      <c r="L12" s="1">
        <f t="shared" ref="L12:L75" si="5">Interpolate_Range($A$17:$A$31,$B$17:$B$31,G12)</f>
        <v>1.08E-3</v>
      </c>
      <c r="M12" s="3">
        <f t="shared" si="0"/>
        <v>0.4992970480483771</v>
      </c>
      <c r="N12" s="1">
        <f t="shared" si="1"/>
        <v>3.4217959823948227E-3</v>
      </c>
      <c r="O12" s="1">
        <f t="shared" si="2"/>
        <v>1.4282804167576016E-3</v>
      </c>
      <c r="P12" s="1">
        <f t="shared" si="3"/>
        <v>3.9389186822893652E-3</v>
      </c>
      <c r="R12" t="s">
        <v>160</v>
      </c>
      <c r="S12">
        <f>$E$12</f>
        <v>129.38999999999999</v>
      </c>
      <c r="U12">
        <v>0.5</v>
      </c>
      <c r="V12" s="1">
        <f t="shared" ref="V12:V50" si="6">$S$10/4</f>
        <v>3.7499999999999999E-3</v>
      </c>
      <c r="W12" s="1">
        <f t="shared" ref="W12:W50" si="7">V12*Interpolate_Range($G$10:$G$130,$I$10:$I$130,U12)</f>
        <v>3.7426217953925628E-3</v>
      </c>
      <c r="X12" s="1">
        <f t="shared" si="4"/>
        <v>8.5544899559870566E-4</v>
      </c>
      <c r="Y12" s="1">
        <f t="shared" ref="Y12:Y50" si="8">X12*Interpolate_Range($G$10:$G$130,$I$10:$I$130,U12)</f>
        <v>8.5376588153983802E-4</v>
      </c>
    </row>
    <row r="13" spans="1:26">
      <c r="A13" t="s">
        <v>1</v>
      </c>
      <c r="B13" s="1">
        <v>3.9427999999999998E-3</v>
      </c>
      <c r="G13">
        <f t="shared" ref="G13:G76" si="9">G12+0.25</f>
        <v>0.75</v>
      </c>
      <c r="H13" s="1"/>
      <c r="I13">
        <f>Interpolate_Interval(G12,G14,I12,I14,G13)</f>
        <v>0.99694485633914864</v>
      </c>
      <c r="K13" s="1">
        <f>Interpolate_Interval(G12,G14,K12,K14,G13)</f>
        <v>4.1556938830389356E-3</v>
      </c>
      <c r="L13" s="1">
        <f t="shared" si="5"/>
        <v>1.08E-3</v>
      </c>
      <c r="M13" s="3">
        <f t="shared" si="0"/>
        <v>0.74853326213316429</v>
      </c>
      <c r="N13" s="1">
        <f t="shared" si="1"/>
        <v>3.2838218314113488E-3</v>
      </c>
      <c r="O13" s="1">
        <f t="shared" si="2"/>
        <v>2.2467277377475384E-3</v>
      </c>
      <c r="P13" s="1">
        <f t="shared" si="3"/>
        <v>4.079760186067591E-3</v>
      </c>
      <c r="R13" t="s">
        <v>38</v>
      </c>
      <c r="S13" s="12" t="s">
        <v>37</v>
      </c>
      <c r="U13">
        <v>0.75</v>
      </c>
      <c r="V13" s="1">
        <f t="shared" si="6"/>
        <v>3.7499999999999999E-3</v>
      </c>
      <c r="W13" s="1">
        <f t="shared" si="7"/>
        <v>3.7385432112718073E-3</v>
      </c>
      <c r="X13" s="1">
        <f t="shared" si="4"/>
        <v>8.2095545785283719E-4</v>
      </c>
      <c r="Y13" s="1">
        <f t="shared" si="8"/>
        <v>8.1844732098993681E-4</v>
      </c>
    </row>
    <row r="14" spans="1:26">
      <c r="G14">
        <f t="shared" si="9"/>
        <v>1</v>
      </c>
      <c r="H14" s="1">
        <f>Interpolate_Range($D$17:$D$31,$E$17:$E$31,G14)</f>
        <v>4.1599999999999996E-3</v>
      </c>
      <c r="I14">
        <f>1/(1+H14*G14)</f>
        <v>0.99585723390694714</v>
      </c>
      <c r="J14">
        <f>J10+I14</f>
        <v>0.99585723390694714</v>
      </c>
      <c r="K14" s="1">
        <f>(I12/I14-1)/0.5</f>
        <v>4.3685877660779582E-3</v>
      </c>
      <c r="L14" s="1">
        <f t="shared" si="5"/>
        <v>1.08E-3</v>
      </c>
      <c r="M14" s="3">
        <f t="shared" si="0"/>
        <v>0.99749757060990107</v>
      </c>
      <c r="N14" s="1">
        <f t="shared" si="1"/>
        <v>3.2885877660778621E-3</v>
      </c>
      <c r="O14" s="1">
        <f t="shared" si="2"/>
        <v>3.06546871679417E-3</v>
      </c>
      <c r="P14" s="1">
        <f t="shared" si="3"/>
        <v>4.1513711224759921E-3</v>
      </c>
      <c r="R14" t="s">
        <v>35</v>
      </c>
      <c r="S14" s="12" t="s">
        <v>39</v>
      </c>
      <c r="U14">
        <v>1</v>
      </c>
      <c r="V14" s="1">
        <f t="shared" si="6"/>
        <v>3.7499999999999999E-3</v>
      </c>
      <c r="W14" s="1">
        <f t="shared" si="7"/>
        <v>3.7344646271510514E-3</v>
      </c>
      <c r="X14" s="1">
        <f t="shared" si="4"/>
        <v>8.2214694151946553E-4</v>
      </c>
      <c r="Y14" s="1">
        <f t="shared" si="8"/>
        <v>8.1874097904663162E-4</v>
      </c>
    </row>
    <row r="15" spans="1:26">
      <c r="G15">
        <f t="shared" si="9"/>
        <v>1.25</v>
      </c>
      <c r="H15" s="1"/>
      <c r="I15">
        <f>Interpolate_Interval(G14,G18,I14,I18,G15)</f>
        <v>0.99415968470901284</v>
      </c>
      <c r="K15" s="1">
        <f>Interpolate_Interval(G14,G16,K14,K16,G15)</f>
        <v>5.6051784431538909E-3</v>
      </c>
      <c r="L15" s="1">
        <f t="shared" si="5"/>
        <v>1.1175E-3</v>
      </c>
      <c r="M15" s="3">
        <f t="shared" si="0"/>
        <v>1.2460374917871544</v>
      </c>
      <c r="N15" s="1">
        <f t="shared" si="1"/>
        <v>5.5620830270359314E-3</v>
      </c>
      <c r="O15" s="1">
        <f t="shared" si="2"/>
        <v>4.4478683939150184E-3</v>
      </c>
      <c r="P15" s="1">
        <f t="shared" si="3"/>
        <v>4.6859493020408654E-3</v>
      </c>
      <c r="U15">
        <v>1.25</v>
      </c>
      <c r="V15" s="1">
        <f t="shared" si="6"/>
        <v>3.7499999999999999E-3</v>
      </c>
      <c r="W15" s="1">
        <f t="shared" si="7"/>
        <v>3.7280988176587979E-3</v>
      </c>
      <c r="X15" s="1">
        <f t="shared" si="4"/>
        <v>1.3905207567589829E-3</v>
      </c>
      <c r="Y15" s="1">
        <f t="shared" si="8"/>
        <v>1.3823996771208484E-3</v>
      </c>
    </row>
    <row r="16" spans="1:26">
      <c r="B16" t="s">
        <v>146</v>
      </c>
      <c r="E16" t="s">
        <v>149</v>
      </c>
      <c r="G16">
        <f t="shared" si="9"/>
        <v>1.5</v>
      </c>
      <c r="H16" s="1"/>
      <c r="I16">
        <f>Interpolate_Interval(G14,G18,I14,I18,G16)</f>
        <v>0.99246213551107854</v>
      </c>
      <c r="K16" s="1">
        <f>(I14/I16-1)/0.5</f>
        <v>6.8417691202298236E-3</v>
      </c>
      <c r="L16" s="1">
        <f t="shared" si="5"/>
        <v>1.155E-3</v>
      </c>
      <c r="M16" s="3">
        <f t="shared" si="0"/>
        <v>1.494153025664924</v>
      </c>
      <c r="N16" s="1">
        <f t="shared" si="1"/>
        <v>5.4984439266730278E-3</v>
      </c>
      <c r="O16" s="1">
        <f t="shared" si="2"/>
        <v>5.8121177442784768E-3</v>
      </c>
      <c r="P16" s="1">
        <f t="shared" si="3"/>
        <v>5.0442785114037337E-3</v>
      </c>
      <c r="U16">
        <v>1.5</v>
      </c>
      <c r="V16" s="1">
        <f t="shared" si="6"/>
        <v>3.7499999999999999E-3</v>
      </c>
      <c r="W16" s="1">
        <f t="shared" si="7"/>
        <v>3.7217330081665443E-3</v>
      </c>
      <c r="X16" s="1">
        <f t="shared" si="4"/>
        <v>1.374610981668257E-3</v>
      </c>
      <c r="Y16" s="1">
        <f t="shared" si="8"/>
        <v>1.3642493503634584E-3</v>
      </c>
    </row>
    <row r="17" spans="1:25">
      <c r="A17">
        <v>1</v>
      </c>
      <c r="B17" s="1">
        <v>1.08E-3</v>
      </c>
      <c r="D17">
        <v>1</v>
      </c>
      <c r="E17" s="1">
        <v>4.1599999999999996E-3</v>
      </c>
      <c r="G17">
        <f t="shared" si="9"/>
        <v>1.75</v>
      </c>
      <c r="H17" s="1"/>
      <c r="I17">
        <f>Interpolate_Interval(G14,G18,I14,I18,G17)</f>
        <v>0.99076458631314412</v>
      </c>
      <c r="K17" s="1">
        <f>Interpolate_Interval(G16,G18,K16,K18,G17)</f>
        <v>6.8535117415555735E-3</v>
      </c>
      <c r="L17" s="1">
        <f t="shared" si="5"/>
        <v>1.1925E-3</v>
      </c>
      <c r="M17" s="3">
        <f t="shared" si="0"/>
        <v>1.7418441722432101</v>
      </c>
      <c r="N17" s="1">
        <f t="shared" si="1"/>
        <v>5.4347795057418545E-3</v>
      </c>
      <c r="O17" s="1">
        <f t="shared" si="2"/>
        <v>7.1582645114558474E-3</v>
      </c>
      <c r="P17" s="1">
        <f t="shared" si="3"/>
        <v>5.3018997278475727E-3</v>
      </c>
      <c r="R17" s="23" t="s">
        <v>43</v>
      </c>
      <c r="U17">
        <v>1.75</v>
      </c>
      <c r="V17" s="1">
        <f t="shared" si="6"/>
        <v>3.7499999999999999E-3</v>
      </c>
      <c r="W17" s="1">
        <f t="shared" si="7"/>
        <v>3.7153671986742904E-3</v>
      </c>
      <c r="X17" s="1">
        <f t="shared" si="4"/>
        <v>1.3586948764354636E-3</v>
      </c>
      <c r="Y17" s="1">
        <f t="shared" si="8"/>
        <v>1.3461467671773706E-3</v>
      </c>
    </row>
    <row r="18" spans="1:25">
      <c r="A18">
        <v>2</v>
      </c>
      <c r="B18" s="1">
        <v>1.23E-3</v>
      </c>
      <c r="D18">
        <v>2</v>
      </c>
      <c r="E18" s="1">
        <v>5.5079999999999999E-3</v>
      </c>
      <c r="G18">
        <f t="shared" si="9"/>
        <v>2</v>
      </c>
      <c r="H18" s="1">
        <f>Interpolate_Range($D$17:$D$31,$E$17:$E$31,G18)</f>
        <v>5.5079999999999999E-3</v>
      </c>
      <c r="I18">
        <f>(1-H18*J14)/(1+H18)</f>
        <v>0.98906703711520982</v>
      </c>
      <c r="J18">
        <f>J14+I18</f>
        <v>1.9849242710221571</v>
      </c>
      <c r="K18" s="1">
        <f>(I16/I18-1)/0.5</f>
        <v>6.8652543628813234E-3</v>
      </c>
      <c r="L18" s="1">
        <f t="shared" si="5"/>
        <v>1.23E-3</v>
      </c>
      <c r="M18" s="3">
        <f t="shared" si="0"/>
        <v>1.9891109315220126</v>
      </c>
      <c r="N18" s="1">
        <f t="shared" si="1"/>
        <v>5.3710896338669597E-3</v>
      </c>
      <c r="O18" s="1">
        <f t="shared" si="2"/>
        <v>8.4863564390181001E-3</v>
      </c>
      <c r="P18" s="1">
        <f t="shared" si="3"/>
        <v>5.4965834656915853E-3</v>
      </c>
      <c r="R18" t="s">
        <v>45</v>
      </c>
      <c r="S18" s="15">
        <f>$S$9*SUM(W11:W50)</f>
        <v>0.13935375391740876</v>
      </c>
      <c r="U18">
        <v>2</v>
      </c>
      <c r="V18" s="1">
        <f t="shared" si="6"/>
        <v>3.7499999999999999E-3</v>
      </c>
      <c r="W18" s="1">
        <f t="shared" si="7"/>
        <v>3.7090013891820368E-3</v>
      </c>
      <c r="X18" s="1">
        <f t="shared" si="4"/>
        <v>1.3427724084667399E-3</v>
      </c>
      <c r="Y18" s="1">
        <f t="shared" si="8"/>
        <v>1.3280919275622527E-3</v>
      </c>
    </row>
    <row r="19" spans="1:25">
      <c r="A19">
        <v>3</v>
      </c>
      <c r="B19" s="1">
        <v>1.25E-3</v>
      </c>
      <c r="D19">
        <v>3</v>
      </c>
      <c r="E19" s="1">
        <v>7.2649999999999998E-3</v>
      </c>
      <c r="G19">
        <f t="shared" si="9"/>
        <v>2.25</v>
      </c>
      <c r="H19" s="1"/>
      <c r="I19">
        <f>Interpolate_Interval(G18,G22,I18,I22,G19)</f>
        <v>0.98641801129558249</v>
      </c>
      <c r="K19" s="1">
        <f>Interpolate_Interval(G18,G20,K18,K20,G19)</f>
        <v>8.8180903516295039E-3</v>
      </c>
      <c r="L19" s="1">
        <f t="shared" si="5"/>
        <v>1.235E-3</v>
      </c>
      <c r="M19" s="3">
        <f t="shared" si="0"/>
        <v>2.235715434345908</v>
      </c>
      <c r="N19" s="1">
        <f t="shared" si="1"/>
        <v>9.4666710349946039E-3</v>
      </c>
      <c r="O19" s="1">
        <f t="shared" si="2"/>
        <v>1.0820880143000318E-2</v>
      </c>
      <c r="P19" s="1">
        <f t="shared" si="3"/>
        <v>6.0778078543131265E-3</v>
      </c>
      <c r="R19" t="s">
        <v>46</v>
      </c>
      <c r="S19" s="15">
        <f>$S$9*SUM(Y11:Y50)</f>
        <v>0.17196850673162323</v>
      </c>
      <c r="U19">
        <v>2.25</v>
      </c>
      <c r="V19" s="1">
        <f t="shared" si="6"/>
        <v>3.7499999999999999E-3</v>
      </c>
      <c r="W19" s="1">
        <f t="shared" si="7"/>
        <v>3.6990675423584341E-3</v>
      </c>
      <c r="X19" s="1">
        <f t="shared" si="4"/>
        <v>2.366667758748651E-3</v>
      </c>
      <c r="Y19" s="1">
        <f t="shared" si="8"/>
        <v>2.3345237039822178E-3</v>
      </c>
    </row>
    <row r="20" spans="1:25">
      <c r="A20">
        <v>4</v>
      </c>
      <c r="B20" s="1">
        <v>1.23E-3</v>
      </c>
      <c r="D20">
        <v>4</v>
      </c>
      <c r="E20" s="1">
        <v>9.4649999999999995E-3</v>
      </c>
      <c r="G20">
        <f t="shared" si="9"/>
        <v>2.5</v>
      </c>
      <c r="H20" s="1"/>
      <c r="I20">
        <f>Interpolate_Interval(G18,G22,I18,I22,G20)</f>
        <v>0.98376898547595504</v>
      </c>
      <c r="K20" s="1">
        <f>(I18/I20-1)/0.5</f>
        <v>1.0770926340377684E-2</v>
      </c>
      <c r="L20" s="1">
        <f t="shared" si="5"/>
        <v>1.24E-3</v>
      </c>
      <c r="M20" s="3">
        <f t="shared" si="0"/>
        <v>2.4816576807148967</v>
      </c>
      <c r="N20" s="1">
        <f t="shared" si="1"/>
        <v>9.4854742989463441E-3</v>
      </c>
      <c r="O20" s="1">
        <f t="shared" si="2"/>
        <v>1.3153758999958491E-2</v>
      </c>
      <c r="P20" s="1">
        <f t="shared" si="3"/>
        <v>6.5456721402579214E-3</v>
      </c>
      <c r="R20" t="s">
        <v>47</v>
      </c>
      <c r="S20" s="28">
        <f>$S$12*(S18-S19)</f>
        <v>-4.2200228666312096</v>
      </c>
      <c r="U20">
        <v>2.5</v>
      </c>
      <c r="V20" s="1">
        <f t="shared" si="6"/>
        <v>3.7499999999999999E-3</v>
      </c>
      <c r="W20" s="1">
        <f t="shared" si="7"/>
        <v>3.6891336955348314E-3</v>
      </c>
      <c r="X20" s="1">
        <f t="shared" si="4"/>
        <v>2.371368574736586E-3</v>
      </c>
      <c r="Y20" s="1">
        <f t="shared" si="8"/>
        <v>2.3328788569581729E-3</v>
      </c>
    </row>
    <row r="21" spans="1:25">
      <c r="A21">
        <v>5</v>
      </c>
      <c r="B21" s="1">
        <v>1.225E-3</v>
      </c>
      <c r="D21">
        <v>5</v>
      </c>
      <c r="E21" s="1">
        <v>1.1690000000000001E-2</v>
      </c>
      <c r="G21">
        <f t="shared" si="9"/>
        <v>2.75</v>
      </c>
      <c r="H21" s="1"/>
      <c r="I21">
        <f>Interpolate_Interval(G18,G22,I18,I22,G21)</f>
        <v>0.98111995965632759</v>
      </c>
      <c r="K21" s="1">
        <f>Interpolate_Interval(G20,G22,K20,K22,G21)</f>
        <v>1.080008659541476E-2</v>
      </c>
      <c r="L21" s="1">
        <f t="shared" si="5"/>
        <v>1.245E-3</v>
      </c>
      <c r="M21" s="3">
        <f t="shared" si="0"/>
        <v>2.7269376706289785</v>
      </c>
      <c r="N21" s="1">
        <f t="shared" si="1"/>
        <v>9.5044196006263838E-3</v>
      </c>
      <c r="O21" s="1">
        <f t="shared" si="2"/>
        <v>1.5485002943739333E-2</v>
      </c>
      <c r="P21" s="1">
        <f t="shared" si="3"/>
        <v>6.9311068577315059E-3</v>
      </c>
      <c r="U21">
        <v>2.75</v>
      </c>
      <c r="V21" s="1">
        <f t="shared" si="6"/>
        <v>3.7499999999999999E-3</v>
      </c>
      <c r="W21" s="1">
        <f t="shared" si="7"/>
        <v>3.6791998487112282E-3</v>
      </c>
      <c r="X21" s="1">
        <f t="shared" si="4"/>
        <v>2.3761049001565959E-3</v>
      </c>
      <c r="Y21" s="1">
        <f t="shared" si="8"/>
        <v>2.3312439437808419E-3</v>
      </c>
    </row>
    <row r="22" spans="1:25">
      <c r="A22">
        <v>6</v>
      </c>
      <c r="B22" s="1">
        <v>1.1900000000000001E-3</v>
      </c>
      <c r="D22">
        <v>6</v>
      </c>
      <c r="E22" s="1">
        <v>1.3690000000000001E-2</v>
      </c>
      <c r="G22">
        <f t="shared" si="9"/>
        <v>3</v>
      </c>
      <c r="H22" s="1">
        <f>Interpolate_Range($D$17:$D$31,$E$17:$E$31,G22)</f>
        <v>7.2649999999999998E-3</v>
      </c>
      <c r="I22">
        <f>(1-H22*J18)/(1+H22)</f>
        <v>0.97847093383670025</v>
      </c>
      <c r="J22">
        <f>J18+I22</f>
        <v>2.9633952048588572</v>
      </c>
      <c r="K22" s="1">
        <f>(I20/I22-1)/0.5</f>
        <v>1.0829246850451835E-2</v>
      </c>
      <c r="L22" s="1">
        <f t="shared" si="5"/>
        <v>1.25E-3</v>
      </c>
      <c r="M22" s="3">
        <f t="shared" si="0"/>
        <v>2.9715554040881536</v>
      </c>
      <c r="N22" s="1">
        <f t="shared" si="1"/>
        <v>9.5235080936559389E-3</v>
      </c>
      <c r="O22" s="1">
        <f t="shared" si="2"/>
        <v>1.7814621908189558E-2</v>
      </c>
      <c r="P22" s="1">
        <f t="shared" si="3"/>
        <v>7.2547324680217427E-3</v>
      </c>
      <c r="U22">
        <v>3</v>
      </c>
      <c r="V22" s="1">
        <f t="shared" si="6"/>
        <v>3.7499999999999999E-3</v>
      </c>
      <c r="W22" s="1">
        <f t="shared" si="7"/>
        <v>3.6692660018876259E-3</v>
      </c>
      <c r="X22" s="1">
        <f t="shared" si="4"/>
        <v>2.3808770234139847E-3</v>
      </c>
      <c r="Y22" s="1">
        <f t="shared" si="8"/>
        <v>2.3296189644502249E-3</v>
      </c>
    </row>
    <row r="23" spans="1:25">
      <c r="A23">
        <v>7</v>
      </c>
      <c r="B23" s="1">
        <v>1.15E-3</v>
      </c>
      <c r="D23">
        <v>7</v>
      </c>
      <c r="E23" s="1">
        <v>1.5429999999999999E-2</v>
      </c>
      <c r="G23">
        <f t="shared" si="9"/>
        <v>3.25</v>
      </c>
      <c r="H23" s="1"/>
      <c r="I23">
        <f>Interpolate_Interval(G22,G26,I22,I26,G23)</f>
        <v>0.97456275058134867</v>
      </c>
      <c r="K23" s="1">
        <f>Interpolate_Interval(G22,G24,K22,K24,G23)</f>
        <v>1.3467299190442761E-2</v>
      </c>
      <c r="L23" s="1">
        <f t="shared" si="5"/>
        <v>1.245E-3</v>
      </c>
      <c r="M23" s="3">
        <f t="shared" si="0"/>
        <v>3.2151960917334907</v>
      </c>
      <c r="N23" s="1">
        <f t="shared" si="1"/>
        <v>1.4856748317517116E-2</v>
      </c>
      <c r="O23" s="1">
        <f t="shared" si="2"/>
        <v>2.1434330284443134E-2</v>
      </c>
      <c r="P23" s="1">
        <f t="shared" si="3"/>
        <v>7.9281136969782257E-3</v>
      </c>
      <c r="U23">
        <v>3.25</v>
      </c>
      <c r="V23" s="1">
        <f t="shared" si="6"/>
        <v>3.7499999999999999E-3</v>
      </c>
      <c r="W23" s="1">
        <f t="shared" si="7"/>
        <v>3.6546103146800572E-3</v>
      </c>
      <c r="X23" s="1">
        <f t="shared" si="4"/>
        <v>3.7141870793792791E-3</v>
      </c>
      <c r="Y23" s="1">
        <f t="shared" si="8"/>
        <v>3.6197083762535762E-3</v>
      </c>
    </row>
    <row r="24" spans="1:25">
      <c r="A24">
        <v>8</v>
      </c>
      <c r="B24" s="1">
        <v>1.1099999999999999E-3</v>
      </c>
      <c r="D24">
        <v>8</v>
      </c>
      <c r="E24" s="1">
        <v>1.6997999999999999E-2</v>
      </c>
      <c r="G24">
        <f t="shared" si="9"/>
        <v>3.5</v>
      </c>
      <c r="H24" s="1"/>
      <c r="I24">
        <f>Interpolate_Interval(G22,G26,I22,I26,G24)</f>
        <v>0.9706545673259972</v>
      </c>
      <c r="K24" s="1">
        <f>(I22/I24-1)/0.5</f>
        <v>1.6105351530433687E-2</v>
      </c>
      <c r="L24" s="1">
        <f t="shared" si="5"/>
        <v>1.24E-3</v>
      </c>
      <c r="M24" s="3">
        <f t="shared" si="0"/>
        <v>3.4578597335649901</v>
      </c>
      <c r="N24" s="1">
        <f t="shared" si="1"/>
        <v>1.4931599528433126E-2</v>
      </c>
      <c r="O24" s="1">
        <f t="shared" si="2"/>
        <v>2.5057686604382214E-2</v>
      </c>
      <c r="P24" s="1">
        <f t="shared" si="3"/>
        <v>8.5098923975554207E-3</v>
      </c>
      <c r="U24">
        <v>3.5</v>
      </c>
      <c r="V24" s="1">
        <f t="shared" si="6"/>
        <v>3.7499999999999999E-3</v>
      </c>
      <c r="W24" s="1">
        <f t="shared" si="7"/>
        <v>3.6399546274724893E-3</v>
      </c>
      <c r="X24" s="1">
        <f t="shared" si="4"/>
        <v>3.7328998821082814E-3</v>
      </c>
      <c r="Y24" s="1">
        <f t="shared" si="8"/>
        <v>3.6233563199390799E-3</v>
      </c>
    </row>
    <row r="25" spans="1:25">
      <c r="A25">
        <v>9</v>
      </c>
      <c r="B25" s="1">
        <v>1.065E-3</v>
      </c>
      <c r="D25">
        <v>9</v>
      </c>
      <c r="E25" s="1">
        <v>1.8419999999999999E-2</v>
      </c>
      <c r="G25">
        <f t="shared" si="9"/>
        <v>3.75</v>
      </c>
      <c r="H25" s="1"/>
      <c r="I25">
        <f>Interpolate_Interval(G22,G26,I22,I26,G25)</f>
        <v>0.96674638407064561</v>
      </c>
      <c r="K25" s="1">
        <f>Interpolate_Interval(G24,G26,K24,K26,G25)</f>
        <v>1.6170723536986342E-2</v>
      </c>
      <c r="L25" s="1">
        <f t="shared" si="5"/>
        <v>1.235E-3</v>
      </c>
      <c r="M25" s="3">
        <f t="shared" si="0"/>
        <v>3.6995463295826516</v>
      </c>
      <c r="N25" s="1">
        <f t="shared" si="1"/>
        <v>1.500699528935627E-2</v>
      </c>
      <c r="O25" s="1">
        <f t="shared" si="2"/>
        <v>2.868467621231981E-2</v>
      </c>
      <c r="P25" s="1">
        <f t="shared" si="3"/>
        <v>9.0184236788959631E-3</v>
      </c>
      <c r="U25">
        <v>3.75</v>
      </c>
      <c r="V25" s="1">
        <f t="shared" si="6"/>
        <v>3.7499999999999999E-3</v>
      </c>
      <c r="W25" s="1">
        <f t="shared" si="7"/>
        <v>3.6252989402649209E-3</v>
      </c>
      <c r="X25" s="1">
        <f t="shared" si="4"/>
        <v>3.7517488223390676E-3</v>
      </c>
      <c r="Y25" s="1">
        <f t="shared" si="8"/>
        <v>3.6269896079375967E-3</v>
      </c>
    </row>
    <row r="26" spans="1:25">
      <c r="A26">
        <v>10</v>
      </c>
      <c r="B26" s="1">
        <v>1.0250000000000001E-3</v>
      </c>
      <c r="D26">
        <v>10</v>
      </c>
      <c r="E26" s="1">
        <v>1.968E-2</v>
      </c>
      <c r="G26">
        <f t="shared" si="9"/>
        <v>4</v>
      </c>
      <c r="H26" s="1">
        <f>Interpolate_Range($D$17:$D$31,$E$17:$E$31,G26)</f>
        <v>9.4649999999999995E-3</v>
      </c>
      <c r="I26">
        <f>(1-H26*J22)/(1+H26)</f>
        <v>0.96283820081529403</v>
      </c>
      <c r="J26">
        <f>J22+I26</f>
        <v>3.926233405674151</v>
      </c>
      <c r="K26" s="1">
        <f>(I24/I26-1)/0.5</f>
        <v>1.6236095543538998E-2</v>
      </c>
      <c r="L26" s="1">
        <f t="shared" si="5"/>
        <v>1.23E-3</v>
      </c>
      <c r="M26" s="3">
        <f t="shared" si="0"/>
        <v>3.9402558797864753</v>
      </c>
      <c r="N26" s="1">
        <f t="shared" si="1"/>
        <v>1.5082942231309638E-2</v>
      </c>
      <c r="O26" s="1">
        <f t="shared" si="2"/>
        <v>3.2315284452568607E-2</v>
      </c>
      <c r="P26" s="1">
        <f t="shared" si="3"/>
        <v>9.4674742670921262E-3</v>
      </c>
      <c r="U26">
        <v>4</v>
      </c>
      <c r="V26" s="1">
        <f t="shared" si="6"/>
        <v>3.7499999999999999E-3</v>
      </c>
      <c r="W26" s="1">
        <f t="shared" si="7"/>
        <v>3.6106432530573526E-3</v>
      </c>
      <c r="X26" s="1">
        <f t="shared" si="4"/>
        <v>3.7707355578274096E-3</v>
      </c>
      <c r="Y26" s="1">
        <f t="shared" si="8"/>
        <v>3.630608240248797E-3</v>
      </c>
    </row>
    <row r="27" spans="1:25">
      <c r="A27">
        <v>12</v>
      </c>
      <c r="B27" s="1">
        <v>9.6500000000000004E-4</v>
      </c>
      <c r="D27">
        <v>12</v>
      </c>
      <c r="E27" s="1">
        <v>2.1760000000000002E-2</v>
      </c>
      <c r="G27">
        <f t="shared" si="9"/>
        <v>4.25</v>
      </c>
      <c r="H27" s="1"/>
      <c r="I27">
        <f>Interpolate_Interval(G26,G30,I26,I30,G27)</f>
        <v>0.95789808875153049</v>
      </c>
      <c r="K27" s="1">
        <f>Interpolate_Interval(G26,G28,K26,K28,G27)</f>
        <v>1.8486001416344822E-2</v>
      </c>
      <c r="L27" s="1">
        <f t="shared" si="5"/>
        <v>1.22875E-3</v>
      </c>
      <c r="M27" s="3">
        <f t="shared" si="0"/>
        <v>4.179730401974358</v>
      </c>
      <c r="N27" s="1">
        <f t="shared" si="1"/>
        <v>1.9420784399043874E-2</v>
      </c>
      <c r="O27" s="1">
        <f t="shared" si="2"/>
        <v>3.6966067517043524E-2</v>
      </c>
      <c r="P27" s="1">
        <f t="shared" si="3"/>
        <v>1.0120914316167032E-2</v>
      </c>
      <c r="U27">
        <v>4.25</v>
      </c>
      <c r="V27" s="1">
        <f t="shared" si="6"/>
        <v>3.7499999999999999E-3</v>
      </c>
      <c r="W27" s="1">
        <f t="shared" si="7"/>
        <v>3.592117832818239E-3</v>
      </c>
      <c r="X27" s="1">
        <f t="shared" si="4"/>
        <v>4.8551960997609686E-3</v>
      </c>
      <c r="Y27" s="1">
        <f t="shared" si="8"/>
        <v>4.6507830644749171E-3</v>
      </c>
    </row>
    <row r="28" spans="1:25">
      <c r="A28">
        <v>15</v>
      </c>
      <c r="B28" s="1">
        <v>8.5999999999999998E-4</v>
      </c>
      <c r="D28">
        <v>15</v>
      </c>
      <c r="E28" s="1">
        <v>2.3720000000000001E-2</v>
      </c>
      <c r="G28">
        <f t="shared" si="9"/>
        <v>4.5</v>
      </c>
      <c r="H28" s="1"/>
      <c r="I28">
        <f>Interpolate_Interval(G26,G30,I26,I30,G28)</f>
        <v>0.95295797668776705</v>
      </c>
      <c r="K28" s="1">
        <f>(I26/I28-1)/0.5</f>
        <v>2.0735907289150646E-2</v>
      </c>
      <c r="L28" s="1">
        <f t="shared" si="5"/>
        <v>1.2274999999999999E-3</v>
      </c>
      <c r="M28" s="3">
        <f t="shared" si="0"/>
        <v>4.4179698961462996</v>
      </c>
      <c r="N28" s="1">
        <f t="shared" si="1"/>
        <v>1.9530337586730121E-2</v>
      </c>
      <c r="O28" s="1">
        <f t="shared" si="2"/>
        <v>4.161896526471337E-2</v>
      </c>
      <c r="P28" s="1">
        <f t="shared" si="3"/>
        <v>1.0707660470166329E-2</v>
      </c>
      <c r="U28">
        <v>4.5</v>
      </c>
      <c r="V28" s="1">
        <f t="shared" si="6"/>
        <v>3.7499999999999999E-3</v>
      </c>
      <c r="W28" s="1">
        <f t="shared" si="7"/>
        <v>3.5735924125791262E-3</v>
      </c>
      <c r="X28" s="1">
        <f t="shared" si="4"/>
        <v>4.8825843966825303E-3</v>
      </c>
      <c r="Y28" s="1">
        <f t="shared" si="8"/>
        <v>4.6528977476698458E-3</v>
      </c>
    </row>
    <row r="29" spans="1:25">
      <c r="A29">
        <v>20</v>
      </c>
      <c r="B29" s="1">
        <v>7.2999999999999996E-4</v>
      </c>
      <c r="D29">
        <v>20</v>
      </c>
      <c r="E29" s="1">
        <v>2.4853E-2</v>
      </c>
      <c r="G29">
        <f t="shared" si="9"/>
        <v>4.75</v>
      </c>
      <c r="H29" s="1"/>
      <c r="I29">
        <f>Interpolate_Interval(G26,G30,I26,I30,G29)</f>
        <v>0.94801786462400361</v>
      </c>
      <c r="K29" s="1">
        <f>Interpolate_Interval(G28,G30,K28,K30,G29)</f>
        <v>2.0844527925650613E-2</v>
      </c>
      <c r="L29" s="1">
        <f t="shared" si="5"/>
        <v>1.2262499999999999E-3</v>
      </c>
      <c r="M29" s="3">
        <f t="shared" si="0"/>
        <v>4.6549743623023003</v>
      </c>
      <c r="N29" s="1">
        <f t="shared" si="1"/>
        <v>1.9641012994437861E-2</v>
      </c>
      <c r="O29" s="1">
        <f t="shared" si="2"/>
        <v>4.6273973064223192E-2</v>
      </c>
      <c r="P29" s="1">
        <f t="shared" si="3"/>
        <v>1.123830155043856E-2</v>
      </c>
      <c r="U29">
        <v>4.75</v>
      </c>
      <c r="V29" s="1">
        <f t="shared" si="6"/>
        <v>3.7499999999999999E-3</v>
      </c>
      <c r="W29" s="1">
        <f t="shared" si="7"/>
        <v>3.5550669923400135E-3</v>
      </c>
      <c r="X29" s="1">
        <f t="shared" si="4"/>
        <v>4.9102532486094653E-3</v>
      </c>
      <c r="Y29" s="1">
        <f t="shared" si="8"/>
        <v>4.6550077995098221E-3</v>
      </c>
    </row>
    <row r="30" spans="1:25">
      <c r="A30">
        <v>25</v>
      </c>
      <c r="B30" s="1">
        <v>6.3000000000000003E-4</v>
      </c>
      <c r="D30">
        <v>25</v>
      </c>
      <c r="E30" s="1">
        <v>2.5020000000000001E-2</v>
      </c>
      <c r="G30">
        <f t="shared" si="9"/>
        <v>5</v>
      </c>
      <c r="H30" s="1">
        <f>Interpolate_Range($D$17:$D$31,$E$17:$E$31,G30)</f>
        <v>1.1690000000000001E-2</v>
      </c>
      <c r="I30">
        <f>(1-H30*J26)/(1+H30)</f>
        <v>0.94307775256024007</v>
      </c>
      <c r="J30">
        <f>J26+I30</f>
        <v>4.8693111582343906</v>
      </c>
      <c r="K30" s="1">
        <f>(I28/I30-1)/0.5</f>
        <v>2.0953148562150581E-2</v>
      </c>
      <c r="L30" s="1">
        <f t="shared" si="5"/>
        <v>1.225E-3</v>
      </c>
      <c r="M30" s="3">
        <f t="shared" si="0"/>
        <v>4.89074380044236</v>
      </c>
      <c r="N30" s="1">
        <f t="shared" si="1"/>
        <v>1.9752828257699223E-2</v>
      </c>
      <c r="O30" s="1">
        <f t="shared" si="2"/>
        <v>5.0931086284218038E-2</v>
      </c>
      <c r="P30" s="1">
        <f t="shared" si="3"/>
        <v>1.1721309480769668E-2</v>
      </c>
      <c r="U30">
        <v>5</v>
      </c>
      <c r="V30" s="1">
        <f t="shared" si="6"/>
        <v>3.7499999999999999E-3</v>
      </c>
      <c r="W30" s="1">
        <f t="shared" si="7"/>
        <v>3.5365415721009003E-3</v>
      </c>
      <c r="X30" s="1">
        <f t="shared" si="4"/>
        <v>4.9382070644248058E-3</v>
      </c>
      <c r="Y30" s="1">
        <f t="shared" si="8"/>
        <v>4.6571132199948462E-3</v>
      </c>
    </row>
    <row r="31" spans="1:25">
      <c r="A31">
        <v>30</v>
      </c>
      <c r="B31" s="1">
        <v>5.9500000000000004E-4</v>
      </c>
      <c r="D31">
        <v>30</v>
      </c>
      <c r="E31" s="1">
        <v>2.4943E-2</v>
      </c>
      <c r="G31">
        <f t="shared" si="9"/>
        <v>5.25</v>
      </c>
      <c r="H31" s="1"/>
      <c r="I31">
        <f>Interpolate_Interval(G30,G34,I30,I34,G31)</f>
        <v>0.93749188391474236</v>
      </c>
      <c r="K31" s="1">
        <f>Interpolate_Interval(G30,G32,K30,K32,G31)</f>
        <v>2.2464625766897894E-2</v>
      </c>
      <c r="L31" s="1">
        <f t="shared" si="5"/>
        <v>1.2162499999999999E-3</v>
      </c>
      <c r="M31" s="3">
        <f t="shared" si="0"/>
        <v>5.1251167714210455</v>
      </c>
      <c r="N31" s="1">
        <f t="shared" si="1"/>
        <v>2.2799585231544083E-2</v>
      </c>
      <c r="O31" s="1">
        <f t="shared" si="2"/>
        <v>5.6274692812016788E-2</v>
      </c>
      <c r="P31" s="1">
        <f t="shared" si="3"/>
        <v>1.2294700634790994E-2</v>
      </c>
      <c r="U31">
        <v>5.25</v>
      </c>
      <c r="V31" s="1">
        <f>$S$10/4</f>
        <v>3.7499999999999999E-3</v>
      </c>
      <c r="W31" s="1">
        <f>V31*Interpolate_Range($G$10:$G$130,$I$10:$I$130,U31)</f>
        <v>3.5155945646802838E-3</v>
      </c>
      <c r="X31" s="1">
        <f t="shared" si="4"/>
        <v>5.6998963078860208E-3</v>
      </c>
      <c r="Y31" s="1">
        <f t="shared" si="8"/>
        <v>5.3436065277987499E-3</v>
      </c>
    </row>
    <row r="32" spans="1:25">
      <c r="G32">
        <f t="shared" si="9"/>
        <v>5.5</v>
      </c>
      <c r="H32" s="1"/>
      <c r="I32">
        <f>Interpolate_Interval(G30,G34,I30,I34,G32)</f>
        <v>0.93190601526924455</v>
      </c>
      <c r="K32" s="1">
        <f>(I30/I32-1)/0.5</f>
        <v>2.3976102971645208E-2</v>
      </c>
      <c r="L32" s="1">
        <f t="shared" si="5"/>
        <v>1.2075E-3</v>
      </c>
      <c r="M32" s="3">
        <f t="shared" si="0"/>
        <v>5.3580932752383568</v>
      </c>
      <c r="N32" s="1">
        <f t="shared" si="1"/>
        <v>2.2961089213885219E-2</v>
      </c>
      <c r="O32" s="1">
        <f t="shared" si="2"/>
        <v>6.1624087100905139E-2</v>
      </c>
      <c r="P32" s="1">
        <f t="shared" si="3"/>
        <v>1.2822420248587251E-2</v>
      </c>
      <c r="U32">
        <v>5.5</v>
      </c>
      <c r="V32" s="1">
        <f t="shared" si="6"/>
        <v>3.7499999999999999E-3</v>
      </c>
      <c r="W32" s="1">
        <f t="shared" si="7"/>
        <v>3.4946475572596668E-3</v>
      </c>
      <c r="X32" s="1">
        <f t="shared" si="4"/>
        <v>5.7402723034713048E-3</v>
      </c>
      <c r="Y32" s="1">
        <f t="shared" si="8"/>
        <v>5.3493942888883511E-3</v>
      </c>
    </row>
    <row r="33" spans="7:25">
      <c r="G33">
        <f t="shared" si="9"/>
        <v>5.75</v>
      </c>
      <c r="H33" s="1"/>
      <c r="I33">
        <f>Interpolate_Interval(G30,G34,I30,I34,G33)</f>
        <v>0.92632014662374673</v>
      </c>
      <c r="K33" s="1">
        <f>Interpolate_Interval(G32,G34,K32,K34,G33)</f>
        <v>2.4121560097586814E-2</v>
      </c>
      <c r="L33" s="1">
        <f t="shared" si="5"/>
        <v>1.1987500000000002E-3</v>
      </c>
      <c r="M33" s="3">
        <f t="shared" si="0"/>
        <v>5.5896733118942938</v>
      </c>
      <c r="N33" s="1">
        <f t="shared" si="1"/>
        <v>2.3124382697421758E-2</v>
      </c>
      <c r="O33" s="1">
        <f t="shared" si="2"/>
        <v>6.6979232493619978E-2</v>
      </c>
      <c r="P33" s="1">
        <f t="shared" si="3"/>
        <v>1.3310499720322113E-2</v>
      </c>
      <c r="U33">
        <v>5.75</v>
      </c>
      <c r="V33" s="1">
        <f t="shared" si="6"/>
        <v>3.7499999999999999E-3</v>
      </c>
      <c r="W33" s="1">
        <f t="shared" si="7"/>
        <v>3.4737005498390503E-3</v>
      </c>
      <c r="X33" s="1">
        <f t="shared" si="4"/>
        <v>5.7810956743554395E-3</v>
      </c>
      <c r="Y33" s="1">
        <f t="shared" si="8"/>
        <v>5.3551453927148385E-3</v>
      </c>
    </row>
    <row r="34" spans="7:25">
      <c r="G34">
        <f t="shared" si="9"/>
        <v>6</v>
      </c>
      <c r="H34" s="1">
        <f>Interpolate_Range($D$17:$D$31,$E$17:$E$31,G34)</f>
        <v>1.3690000000000001E-2</v>
      </c>
      <c r="I34">
        <f>(1-H34*J30)/(1+H34)</f>
        <v>0.92073427797824903</v>
      </c>
      <c r="J34">
        <f>J30+I34</f>
        <v>5.7900454362126395</v>
      </c>
      <c r="K34" s="1">
        <f>(I32/I34-1)/0.5</f>
        <v>2.426701722352842E-2</v>
      </c>
      <c r="L34" s="1">
        <f t="shared" si="5"/>
        <v>1.1900000000000001E-3</v>
      </c>
      <c r="M34" s="3">
        <f t="shared" si="0"/>
        <v>5.8198568813888558</v>
      </c>
      <c r="N34" s="1">
        <f t="shared" si="1"/>
        <v>2.3289498251546126E-2</v>
      </c>
      <c r="O34" s="1">
        <f t="shared" si="2"/>
        <v>7.2340092332898231E-2</v>
      </c>
      <c r="P34" s="1">
        <f t="shared" si="3"/>
        <v>1.3763966506132536E-2</v>
      </c>
      <c r="U34">
        <v>6</v>
      </c>
      <c r="V34" s="1">
        <f t="shared" si="6"/>
        <v>3.7499999999999999E-3</v>
      </c>
      <c r="W34" s="1">
        <f t="shared" si="7"/>
        <v>3.4527535424184338E-3</v>
      </c>
      <c r="X34" s="1">
        <f t="shared" si="4"/>
        <v>5.8223745628865316E-3</v>
      </c>
      <c r="Y34" s="1">
        <f t="shared" si="8"/>
        <v>5.3608598392782536E-3</v>
      </c>
    </row>
    <row r="35" spans="7:25">
      <c r="G35">
        <f t="shared" si="9"/>
        <v>6.25</v>
      </c>
      <c r="H35" s="1"/>
      <c r="I35">
        <f>Interpolate_Interval(G34,G38,I34,I38,G35)</f>
        <v>0.91475611873334428</v>
      </c>
      <c r="K35" s="1">
        <f>Interpolate_Interval(G34,G36,K34,K36,G35)</f>
        <v>2.5289987997047625E-2</v>
      </c>
      <c r="L35" s="1">
        <f t="shared" si="5"/>
        <v>1.1800000000000001E-3</v>
      </c>
      <c r="M35" s="3">
        <f t="shared" si="0"/>
        <v>6.0485459110721917</v>
      </c>
      <c r="N35" s="1">
        <f t="shared" si="1"/>
        <v>2.5215484829670797E-2</v>
      </c>
      <c r="O35" s="1">
        <f t="shared" si="2"/>
        <v>7.8106597091590527E-2</v>
      </c>
      <c r="P35" s="1">
        <f t="shared" si="3"/>
        <v>1.4255645781974094E-2</v>
      </c>
      <c r="U35">
        <v>6.25</v>
      </c>
      <c r="V35" s="1">
        <f t="shared" si="6"/>
        <v>3.7499999999999999E-3</v>
      </c>
      <c r="W35" s="1">
        <f t="shared" si="7"/>
        <v>3.4303354452500409E-3</v>
      </c>
      <c r="X35" s="1">
        <f t="shared" si="4"/>
        <v>6.3038712074176993E-3</v>
      </c>
      <c r="Y35" s="1">
        <f t="shared" si="8"/>
        <v>5.7665047586922952E-3</v>
      </c>
    </row>
    <row r="36" spans="7:25">
      <c r="G36">
        <f t="shared" si="9"/>
        <v>6.5</v>
      </c>
      <c r="H36" s="1"/>
      <c r="I36">
        <f>Interpolate_Interval(G34,G38,I34,I38,G36)</f>
        <v>0.90877795948843954</v>
      </c>
      <c r="K36" s="1">
        <f>(I34/I36-1)/0.5</f>
        <v>2.631295877056683E-2</v>
      </c>
      <c r="L36" s="1">
        <f t="shared" si="5"/>
        <v>1.17E-3</v>
      </c>
      <c r="M36" s="3">
        <f t="shared" si="0"/>
        <v>6.2757404009443016</v>
      </c>
      <c r="N36" s="1">
        <f t="shared" si="1"/>
        <v>2.5409186438080829E-2</v>
      </c>
      <c r="O36" s="1">
        <f t="shared" si="2"/>
        <v>8.3879424242455633E-2</v>
      </c>
      <c r="P36" s="1">
        <f t="shared" si="3"/>
        <v>1.4716074405046541E-2</v>
      </c>
      <c r="U36">
        <v>6.5</v>
      </c>
      <c r="V36" s="1">
        <f t="shared" si="6"/>
        <v>3.7499999999999999E-3</v>
      </c>
      <c r="W36" s="1">
        <f t="shared" si="7"/>
        <v>3.407917348081648E-3</v>
      </c>
      <c r="X36" s="1">
        <f t="shared" si="4"/>
        <v>6.3522966095202072E-3</v>
      </c>
      <c r="Y36" s="1">
        <f t="shared" si="8"/>
        <v>5.7728271508651063E-3</v>
      </c>
    </row>
    <row r="37" spans="7:25">
      <c r="G37">
        <f t="shared" si="9"/>
        <v>6.75</v>
      </c>
      <c r="H37" s="1"/>
      <c r="I37">
        <f>Interpolate_Interval(G34,G38,I34,I38,G37)</f>
        <v>0.90279980024353479</v>
      </c>
      <c r="K37" s="1">
        <f>Interpolate_Interval(G36,G38,K36,K38,G37)</f>
        <v>2.6488359374816195E-2</v>
      </c>
      <c r="L37" s="1">
        <f t="shared" si="5"/>
        <v>1.16E-3</v>
      </c>
      <c r="M37" s="3">
        <f t="shared" si="0"/>
        <v>6.5014403510051855</v>
      </c>
      <c r="N37" s="1">
        <f t="shared" si="1"/>
        <v>2.5605254698924926E-2</v>
      </c>
      <c r="O37" s="1">
        <f t="shared" si="2"/>
        <v>8.9658528949299196E-2</v>
      </c>
      <c r="P37" s="1">
        <f t="shared" si="3"/>
        <v>1.5148808192893978E-2</v>
      </c>
      <c r="U37">
        <v>6.75</v>
      </c>
      <c r="V37" s="1">
        <f t="shared" si="6"/>
        <v>3.7499999999999999E-3</v>
      </c>
      <c r="W37" s="1">
        <f t="shared" si="7"/>
        <v>3.3854992509132552E-3</v>
      </c>
      <c r="X37" s="1">
        <f t="shared" si="4"/>
        <v>6.4013136747312314E-3</v>
      </c>
      <c r="Y37" s="1">
        <f t="shared" si="8"/>
        <v>5.779104706843563E-3</v>
      </c>
    </row>
    <row r="38" spans="7:25">
      <c r="G38">
        <f t="shared" si="9"/>
        <v>7</v>
      </c>
      <c r="H38" s="1">
        <f>Interpolate_Range($D$17:$D$31,$E$17:$E$31,G38)</f>
        <v>1.5429999999999999E-2</v>
      </c>
      <c r="I38">
        <f>(1-H38*J34)/(1+H38)</f>
        <v>0.89682164099863004</v>
      </c>
      <c r="J38">
        <f>J34+I38</f>
        <v>6.6868670772112697</v>
      </c>
      <c r="K38" s="1">
        <f>(I36/I38-1)/0.5</f>
        <v>2.666375997906556E-2</v>
      </c>
      <c r="L38" s="1">
        <f t="shared" si="5"/>
        <v>1.15E-3</v>
      </c>
      <c r="M38" s="3">
        <f t="shared" si="0"/>
        <v>6.7256457612548433</v>
      </c>
      <c r="N38" s="1">
        <f t="shared" si="1"/>
        <v>2.5803736940092553E-2</v>
      </c>
      <c r="O38" s="1">
        <f t="shared" si="2"/>
        <v>9.5443866375926889E-2</v>
      </c>
      <c r="P38" s="1">
        <f t="shared" si="3"/>
        <v>1.5556896594419821E-2</v>
      </c>
      <c r="U38">
        <v>7</v>
      </c>
      <c r="V38" s="1">
        <f t="shared" si="6"/>
        <v>3.7499999999999999E-3</v>
      </c>
      <c r="W38" s="1">
        <f t="shared" si="7"/>
        <v>3.3630811537448627E-3</v>
      </c>
      <c r="X38" s="1">
        <f t="shared" si="4"/>
        <v>6.4509342350231383E-3</v>
      </c>
      <c r="Y38" s="1">
        <f t="shared" si="8"/>
        <v>5.785337426627693E-3</v>
      </c>
    </row>
    <row r="39" spans="7:25">
      <c r="G39">
        <f t="shared" si="9"/>
        <v>7.25</v>
      </c>
      <c r="H39" s="1"/>
      <c r="I39">
        <f>Interpolate_Interval(G38,G42,I38,I42,G39)</f>
        <v>0.89049685426582381</v>
      </c>
      <c r="K39" s="1">
        <f>Interpolate_Interval(G38,G40,K38,K40,G39)</f>
        <v>2.7638567488615262E-2</v>
      </c>
      <c r="L39" s="1">
        <f t="shared" si="5"/>
        <v>1.14E-3</v>
      </c>
      <c r="M39" s="3">
        <f t="shared" si="0"/>
        <v>6.948269974821299</v>
      </c>
      <c r="N39" s="1">
        <f t="shared" si="1"/>
        <v>2.7572255005948329E-2</v>
      </c>
      <c r="O39" s="1">
        <f t="shared" si="2"/>
        <v>0.10158211796287991</v>
      </c>
      <c r="P39" s="1">
        <f t="shared" si="3"/>
        <v>1.5996649490602036E-2</v>
      </c>
      <c r="U39">
        <v>7.25</v>
      </c>
      <c r="V39" s="1">
        <f t="shared" si="6"/>
        <v>3.7499999999999999E-3</v>
      </c>
      <c r="W39" s="1">
        <f t="shared" si="7"/>
        <v>3.3393632034968393E-3</v>
      </c>
      <c r="X39" s="1">
        <f t="shared" si="4"/>
        <v>6.8930637514870823E-3</v>
      </c>
      <c r="Y39" s="1">
        <f t="shared" si="8"/>
        <v>6.1382515869530252E-3</v>
      </c>
    </row>
    <row r="40" spans="7:25">
      <c r="G40">
        <f t="shared" si="9"/>
        <v>7.5</v>
      </c>
      <c r="H40" s="1"/>
      <c r="I40">
        <f>Interpolate_Interval(G38,G42,I38,I42,G40)</f>
        <v>0.88417206753301758</v>
      </c>
      <c r="K40" s="1">
        <f>(I38/I40-1)/0.5</f>
        <v>2.8613374998164964E-2</v>
      </c>
      <c r="L40" s="1">
        <f t="shared" si="5"/>
        <v>1.1299999999999999E-3</v>
      </c>
      <c r="M40" s="3">
        <f t="shared" si="0"/>
        <v>7.1693129917045537</v>
      </c>
      <c r="N40" s="1">
        <f t="shared" si="1"/>
        <v>2.7797715169267798E-2</v>
      </c>
      <c r="O40" s="1">
        <f t="shared" si="2"/>
        <v>0.10772660878635627</v>
      </c>
      <c r="P40" s="1">
        <f t="shared" si="3"/>
        <v>1.6413811834014511E-2</v>
      </c>
      <c r="U40">
        <v>7.5</v>
      </c>
      <c r="V40" s="1">
        <f t="shared" si="6"/>
        <v>3.7499999999999999E-3</v>
      </c>
      <c r="W40" s="1">
        <f t="shared" si="7"/>
        <v>3.3156452532488159E-3</v>
      </c>
      <c r="X40" s="1">
        <f t="shared" si="4"/>
        <v>6.9494287923169496E-3</v>
      </c>
      <c r="Y40" s="1">
        <f t="shared" si="8"/>
        <v>6.144490823476359E-3</v>
      </c>
    </row>
    <row r="41" spans="7:25">
      <c r="G41">
        <f t="shared" si="9"/>
        <v>7.75</v>
      </c>
      <c r="H41" s="1"/>
      <c r="I41">
        <f>Interpolate_Interval(G38,G42,I38,I42,G41)</f>
        <v>0.87784728080021135</v>
      </c>
      <c r="K41" s="1">
        <f>Interpolate_Interval(G40,G42,K40,K42,G41)</f>
        <v>2.8821027119367848E-2</v>
      </c>
      <c r="L41" s="1">
        <f t="shared" si="5"/>
        <v>1.1199999999999999E-3</v>
      </c>
      <c r="M41" s="3">
        <f t="shared" si="0"/>
        <v>7.3887748119046064</v>
      </c>
      <c r="N41" s="1">
        <f t="shared" si="1"/>
        <v>2.8026208014188977E-2</v>
      </c>
      <c r="O41" s="1">
        <f t="shared" si="2"/>
        <v>0.11387729141045549</v>
      </c>
      <c r="P41" s="1">
        <f t="shared" si="3"/>
        <v>1.6810663269599718E-2</v>
      </c>
      <c r="U41">
        <v>7.75</v>
      </c>
      <c r="V41" s="1">
        <f t="shared" si="6"/>
        <v>3.7499999999999999E-3</v>
      </c>
      <c r="W41" s="1">
        <f t="shared" si="7"/>
        <v>3.2919273030007925E-3</v>
      </c>
      <c r="X41" s="1">
        <f t="shared" si="4"/>
        <v>7.0065520035472442E-3</v>
      </c>
      <c r="Y41" s="1">
        <f t="shared" si="8"/>
        <v>6.1506826240992213E-3</v>
      </c>
    </row>
    <row r="42" spans="7:25">
      <c r="G42">
        <f t="shared" si="9"/>
        <v>8</v>
      </c>
      <c r="H42" s="1">
        <f>Interpolate_Range($D$17:$D$31,$E$17:$E$31,G42)</f>
        <v>1.6997999999999999E-2</v>
      </c>
      <c r="I42">
        <f>(1-H42*J38)/(1+H42)</f>
        <v>0.87152249406740512</v>
      </c>
      <c r="J42">
        <f>J38+I42</f>
        <v>7.5583895712786751</v>
      </c>
      <c r="K42" s="1">
        <f>(I40/I42-1)/0.5</f>
        <v>2.9028679240570732E-2</v>
      </c>
      <c r="L42" s="1">
        <f t="shared" si="5"/>
        <v>1.1099999999999999E-3</v>
      </c>
      <c r="M42" s="3">
        <f t="shared" si="0"/>
        <v>7.6066554354214579</v>
      </c>
      <c r="N42" s="1">
        <f t="shared" si="1"/>
        <v>2.8257799566767765E-2</v>
      </c>
      <c r="O42" s="1">
        <f t="shared" si="2"/>
        <v>0.12003411839927706</v>
      </c>
      <c r="P42" s="1">
        <f t="shared" si="3"/>
        <v>1.7189200450819103E-2</v>
      </c>
      <c r="U42">
        <v>8</v>
      </c>
      <c r="V42" s="1">
        <f t="shared" si="6"/>
        <v>3.7499999999999999E-3</v>
      </c>
      <c r="W42" s="1">
        <f t="shared" si="7"/>
        <v>3.2682093527527691E-3</v>
      </c>
      <c r="X42" s="1">
        <f t="shared" si="4"/>
        <v>7.0644498916919412E-3</v>
      </c>
      <c r="Y42" s="1">
        <f t="shared" si="8"/>
        <v>6.1568269888215704E-3</v>
      </c>
    </row>
    <row r="43" spans="7:25">
      <c r="G43">
        <f t="shared" si="9"/>
        <v>8.25</v>
      </c>
      <c r="H43" s="1"/>
      <c r="I43">
        <f>Interpolate_Interval(G42,G46,I42,I46,G43)</f>
        <v>0.86494331398672131</v>
      </c>
      <c r="K43" s="1">
        <f>Interpolate_Interval(G42,G44,K42,K44,G43)</f>
        <v>2.9843917874551096E-2</v>
      </c>
      <c r="L43" s="1">
        <f t="shared" si="5"/>
        <v>1.0987499999999999E-3</v>
      </c>
      <c r="M43" s="3">
        <f t="shared" ref="M43:M74" si="10">M42+I43*0.25</f>
        <v>7.8228912639181383</v>
      </c>
      <c r="N43" s="1">
        <f t="shared" ref="N43:N74" si="11">(1-I43-L43*M43-O42)/(I43*0.25)</f>
        <v>2.9722945926466775E-2</v>
      </c>
      <c r="O43" s="1">
        <f t="shared" ref="O43:O74" si="12">O42+N43*I43*0.25</f>
        <v>0.12646128423704864</v>
      </c>
      <c r="P43" s="1">
        <f t="shared" ref="P43:P74" si="13">-LN(I43)/G43</f>
        <v>1.7586825110419899E-2</v>
      </c>
      <c r="U43">
        <v>8.25</v>
      </c>
      <c r="V43" s="1">
        <f t="shared" si="6"/>
        <v>3.7499999999999999E-3</v>
      </c>
      <c r="W43" s="1">
        <f t="shared" si="7"/>
        <v>3.2435374274502049E-3</v>
      </c>
      <c r="X43" s="1">
        <f t="shared" si="4"/>
        <v>7.4307364816166939E-3</v>
      </c>
      <c r="Y43" s="1">
        <f t="shared" si="8"/>
        <v>6.4271658377715729E-3</v>
      </c>
    </row>
    <row r="44" spans="7:25">
      <c r="G44">
        <f t="shared" si="9"/>
        <v>8.5</v>
      </c>
      <c r="H44" s="1"/>
      <c r="I44">
        <f>Interpolate_Interval(G42,G46,I42,I46,G44)</f>
        <v>0.8583641339060375</v>
      </c>
      <c r="K44" s="1">
        <f>(I42/I44-1)/0.5</f>
        <v>3.065915650853146E-2</v>
      </c>
      <c r="L44" s="1">
        <f t="shared" si="5"/>
        <v>1.0874999999999999E-3</v>
      </c>
      <c r="M44" s="3">
        <f t="shared" si="10"/>
        <v>8.0374822973946483</v>
      </c>
      <c r="N44" s="1">
        <f t="shared" si="11"/>
        <v>2.9981773955161495E-2</v>
      </c>
      <c r="O44" s="1">
        <f t="shared" si="12"/>
        <v>0.13289510409554584</v>
      </c>
      <c r="P44" s="1">
        <f t="shared" si="13"/>
        <v>1.7967867180453834E-2</v>
      </c>
      <c r="U44">
        <v>8.5</v>
      </c>
      <c r="V44" s="1">
        <f t="shared" si="6"/>
        <v>3.7499999999999999E-3</v>
      </c>
      <c r="W44" s="1">
        <f t="shared" si="7"/>
        <v>3.2188655021476403E-3</v>
      </c>
      <c r="X44" s="1">
        <f t="shared" si="4"/>
        <v>7.4954434887903737E-3</v>
      </c>
      <c r="Y44" s="1">
        <f t="shared" si="8"/>
        <v>6.4338198584971973E-3</v>
      </c>
    </row>
    <row r="45" spans="7:25">
      <c r="G45">
        <f t="shared" si="9"/>
        <v>8.75</v>
      </c>
      <c r="H45" s="1"/>
      <c r="I45">
        <f>Interpolate_Interval(G42,G46,I42,I46,G45)</f>
        <v>0.85178495382535369</v>
      </c>
      <c r="K45" s="1">
        <f>Interpolate_Interval(G44,G46,K44,K46,G45)</f>
        <v>3.0897810949920057E-2</v>
      </c>
      <c r="L45" s="1">
        <f t="shared" si="5"/>
        <v>1.0762499999999999E-3</v>
      </c>
      <c r="M45" s="3">
        <f t="shared" si="10"/>
        <v>8.2504285358509861</v>
      </c>
      <c r="N45" s="1">
        <f t="shared" si="11"/>
        <v>3.0244339670321807E-2</v>
      </c>
      <c r="O45" s="1">
        <f t="shared" si="12"/>
        <v>0.13933552246293668</v>
      </c>
      <c r="P45" s="1">
        <f t="shared" si="13"/>
        <v>1.8333849785703325E-2</v>
      </c>
      <c r="U45">
        <v>8.75</v>
      </c>
      <c r="V45" s="1">
        <f t="shared" si="6"/>
        <v>3.7499999999999999E-3</v>
      </c>
      <c r="W45" s="1">
        <f t="shared" si="7"/>
        <v>3.1941935768450762E-3</v>
      </c>
      <c r="X45" s="1">
        <f t="shared" si="4"/>
        <v>7.5610849175804518E-3</v>
      </c>
      <c r="Y45" s="1">
        <f t="shared" si="8"/>
        <v>6.4404183673908433E-3</v>
      </c>
    </row>
    <row r="46" spans="7:25">
      <c r="G46">
        <f t="shared" si="9"/>
        <v>9</v>
      </c>
      <c r="H46" s="1">
        <f>Interpolate_Range($D$17:$D$31,$E$17:$E$31,G46)</f>
        <v>1.8419999999999999E-2</v>
      </c>
      <c r="I46">
        <f>(1-H46*J42)/(1+H46)</f>
        <v>0.84520577374466987</v>
      </c>
      <c r="J46">
        <f>J42+I46</f>
        <v>8.4035953450233443</v>
      </c>
      <c r="K46" s="1">
        <f>(I44/I46-1)/0.5</f>
        <v>3.1136465391308654E-2</v>
      </c>
      <c r="L46" s="1">
        <f t="shared" si="5"/>
        <v>1.065E-3</v>
      </c>
      <c r="M46" s="3">
        <f t="shared" si="10"/>
        <v>8.4617299792871528</v>
      </c>
      <c r="N46" s="1">
        <f t="shared" si="11"/>
        <v>3.0510730355707262E-2</v>
      </c>
      <c r="O46" s="1">
        <f t="shared" si="12"/>
        <v>0.14578248382738931</v>
      </c>
      <c r="P46" s="1">
        <f t="shared" si="13"/>
        <v>1.8686129116277261E-2</v>
      </c>
      <c r="U46">
        <v>9</v>
      </c>
      <c r="V46" s="1">
        <f t="shared" si="6"/>
        <v>3.7499999999999999E-3</v>
      </c>
      <c r="W46" s="1">
        <f t="shared" si="7"/>
        <v>3.169521651542512E-3</v>
      </c>
      <c r="X46" s="1">
        <f t="shared" si="4"/>
        <v>7.6276825889268155E-3</v>
      </c>
      <c r="Y46" s="1">
        <f t="shared" si="8"/>
        <v>6.4469613644526358E-3</v>
      </c>
    </row>
    <row r="47" spans="7:25">
      <c r="G47">
        <f t="shared" si="9"/>
        <v>9.25</v>
      </c>
      <c r="H47" s="1"/>
      <c r="I47">
        <f>Interpolate_Interval(G46,G50,I46,I50,G47)</f>
        <v>0.8385315769961742</v>
      </c>
      <c r="K47" s="1">
        <f>Interpolate_Interval(G46,G48,K46,K48,G47)</f>
        <v>3.1614725536791344E-2</v>
      </c>
      <c r="L47" s="1">
        <f t="shared" si="5"/>
        <v>1.0549999999999999E-3</v>
      </c>
      <c r="M47" s="3">
        <f t="shared" si="10"/>
        <v>8.6713628735361965</v>
      </c>
      <c r="N47" s="1">
        <f t="shared" si="11"/>
        <v>3.1186190355646518E-2</v>
      </c>
      <c r="O47" s="1">
        <f t="shared" si="12"/>
        <v>0.1523201351722451</v>
      </c>
      <c r="P47" s="1">
        <f t="shared" si="13"/>
        <v>1.9038166434355294E-2</v>
      </c>
      <c r="U47">
        <v>9.25</v>
      </c>
      <c r="V47" s="1">
        <f t="shared" si="6"/>
        <v>3.7499999999999999E-3</v>
      </c>
      <c r="W47" s="1">
        <f t="shared" si="7"/>
        <v>3.1444934137356533E-3</v>
      </c>
      <c r="X47" s="1">
        <f t="shared" si="4"/>
        <v>7.7965475889116296E-3</v>
      </c>
      <c r="Y47" s="1">
        <f t="shared" si="8"/>
        <v>6.5376513448557882E-3</v>
      </c>
    </row>
    <row r="48" spans="7:25">
      <c r="G48">
        <f t="shared" si="9"/>
        <v>9.5</v>
      </c>
      <c r="H48" s="1"/>
      <c r="I48">
        <f>Interpolate_Interval(G46,G50,I46,I50,G48)</f>
        <v>0.83185738024767852</v>
      </c>
      <c r="K48" s="1">
        <f>(I46/I48-1)/0.5</f>
        <v>3.2092985682274033E-2</v>
      </c>
      <c r="L48" s="1">
        <f t="shared" si="5"/>
        <v>1.0449999999999999E-3</v>
      </c>
      <c r="M48" s="3">
        <f t="shared" si="10"/>
        <v>8.8793272185981156</v>
      </c>
      <c r="N48" s="1">
        <f t="shared" si="11"/>
        <v>3.1464949603226662E-2</v>
      </c>
      <c r="O48" s="1">
        <f t="shared" si="12"/>
        <v>0.15886372280888644</v>
      </c>
      <c r="P48" s="1">
        <f t="shared" si="13"/>
        <v>1.9378344297495621E-2</v>
      </c>
      <c r="U48">
        <v>9.5</v>
      </c>
      <c r="V48" s="1">
        <f t="shared" si="6"/>
        <v>3.7499999999999999E-3</v>
      </c>
      <c r="W48" s="1">
        <f t="shared" si="7"/>
        <v>3.1194651759287942E-3</v>
      </c>
      <c r="X48" s="1">
        <f t="shared" si="4"/>
        <v>7.8662374008066655E-3</v>
      </c>
      <c r="Y48" s="1">
        <f t="shared" si="8"/>
        <v>6.5435876366413404E-3</v>
      </c>
    </row>
    <row r="49" spans="7:25">
      <c r="G49">
        <f t="shared" si="9"/>
        <v>9.75</v>
      </c>
      <c r="H49" s="1"/>
      <c r="I49">
        <f>Interpolate_Interval(G46,G50,I46,I50,G49)</f>
        <v>0.82518318349918285</v>
      </c>
      <c r="K49" s="1">
        <f>Interpolate_Interval(G48,G50,K48,K50,G49)</f>
        <v>3.2354674807448358E-2</v>
      </c>
      <c r="L49" s="1">
        <f t="shared" si="5"/>
        <v>1.0350000000000001E-3</v>
      </c>
      <c r="M49" s="3">
        <f t="shared" si="10"/>
        <v>9.0856230144729118</v>
      </c>
      <c r="N49" s="1">
        <f t="shared" si="11"/>
        <v>3.1747975494014508E-2</v>
      </c>
      <c r="O49" s="1">
        <f t="shared" si="12"/>
        <v>0.16541319668083768</v>
      </c>
      <c r="P49" s="1">
        <f t="shared" si="13"/>
        <v>1.9707679660487455E-2</v>
      </c>
      <c r="U49">
        <v>9.75</v>
      </c>
      <c r="V49" s="1">
        <f t="shared" si="6"/>
        <v>3.7499999999999999E-3</v>
      </c>
      <c r="W49" s="1">
        <f t="shared" si="7"/>
        <v>3.0944369381219355E-3</v>
      </c>
      <c r="X49" s="1">
        <f t="shared" si="4"/>
        <v>7.9369938735036269E-3</v>
      </c>
      <c r="Y49" s="1">
        <f t="shared" si="8"/>
        <v>6.5494738719512335E-3</v>
      </c>
    </row>
    <row r="50" spans="7:25">
      <c r="G50">
        <f t="shared" si="9"/>
        <v>10</v>
      </c>
      <c r="H50" s="1">
        <f>Interpolate_Range($D$17:$D$31,$E$17:$E$31,G50)</f>
        <v>1.968E-2</v>
      </c>
      <c r="I50">
        <f>(1-H50*J46)/(1+H50)</f>
        <v>0.81850898675068717</v>
      </c>
      <c r="J50">
        <f>J46+I50</f>
        <v>9.2221043317740321</v>
      </c>
      <c r="K50" s="1">
        <f>(I48/I50-1)/0.5</f>
        <v>3.2616363932622683E-2</v>
      </c>
      <c r="L50" s="1">
        <f t="shared" si="5"/>
        <v>1.0250000000000001E-3</v>
      </c>
      <c r="M50" s="3">
        <f t="shared" si="10"/>
        <v>9.2902502611605833</v>
      </c>
      <c r="N50" s="1">
        <f t="shared" si="11"/>
        <v>3.2035372399801192E-2</v>
      </c>
      <c r="O50" s="1">
        <f t="shared" si="12"/>
        <v>0.17196850673162323</v>
      </c>
      <c r="P50" s="1">
        <f t="shared" si="13"/>
        <v>2.0027090269464649E-2</v>
      </c>
      <c r="U50">
        <v>10</v>
      </c>
      <c r="V50" s="1">
        <f t="shared" si="6"/>
        <v>3.7499999999999999E-3</v>
      </c>
      <c r="W50" s="1">
        <f t="shared" si="7"/>
        <v>3.0694087003150768E-3</v>
      </c>
      <c r="X50" s="1">
        <f t="shared" si="4"/>
        <v>8.0088430999502979E-3</v>
      </c>
      <c r="Y50" s="1">
        <f t="shared" si="8"/>
        <v>6.5553100507855511E-3</v>
      </c>
    </row>
    <row r="51" spans="7:25">
      <c r="G51">
        <f t="shared" si="9"/>
        <v>10.25</v>
      </c>
      <c r="H51" s="1"/>
      <c r="I51">
        <f>Interpolate_Interval(G50,G54,I50,I54,G51)</f>
        <v>0.81200610282793673</v>
      </c>
      <c r="K51" s="1">
        <f>Interpolate_Interval(G50,G52,K50,K52,G51)</f>
        <v>3.2454322093693921E-2</v>
      </c>
      <c r="L51" s="1">
        <f t="shared" si="5"/>
        <v>1.0175000000000002E-3</v>
      </c>
      <c r="M51" s="3">
        <f t="shared" si="10"/>
        <v>9.4932517868675674</v>
      </c>
      <c r="N51" s="1">
        <f t="shared" si="11"/>
        <v>3.1359403458332054E-2</v>
      </c>
      <c r="O51" s="1">
        <f t="shared" si="12"/>
        <v>0.17833451347892551</v>
      </c>
      <c r="P51" s="1">
        <f t="shared" si="13"/>
        <v>2.0316821761048872E-2</v>
      </c>
    </row>
    <row r="52" spans="7:25">
      <c r="G52">
        <f t="shared" si="9"/>
        <v>10.5</v>
      </c>
      <c r="H52" s="1"/>
      <c r="I52">
        <f>Interpolate_Interval(G50,G54,I50,I54,G52)</f>
        <v>0.80550321890518628</v>
      </c>
      <c r="K52" s="1">
        <f>(I50/I52-1)/0.5</f>
        <v>3.229228025476516E-2</v>
      </c>
      <c r="L52" s="1">
        <f t="shared" si="5"/>
        <v>1.01E-3</v>
      </c>
      <c r="M52" s="3">
        <f t="shared" si="10"/>
        <v>9.6946275915938642</v>
      </c>
      <c r="N52" s="1">
        <f t="shared" si="11"/>
        <v>3.1635845016422089E-2</v>
      </c>
      <c r="O52" s="1">
        <f t="shared" si="12"/>
        <v>0.18470520722730391</v>
      </c>
      <c r="P52" s="1">
        <f t="shared" si="13"/>
        <v>2.0598864782399553E-2</v>
      </c>
    </row>
    <row r="53" spans="7:25">
      <c r="G53">
        <f t="shared" si="9"/>
        <v>10.75</v>
      </c>
      <c r="H53" s="1"/>
      <c r="I53">
        <f>Interpolate_Interval(G50,G54,I50,I54,G53)</f>
        <v>0.79900033498243572</v>
      </c>
      <c r="K53" s="1">
        <f>Interpolate_Interval(G52,G54,K52,K54,G53)</f>
        <v>3.2557256438369375E-2</v>
      </c>
      <c r="L53" s="1">
        <f t="shared" si="5"/>
        <v>1.0025000000000001E-3</v>
      </c>
      <c r="M53" s="3">
        <f t="shared" si="10"/>
        <v>9.8943776753394737</v>
      </c>
      <c r="N53" s="1">
        <f t="shared" si="11"/>
        <v>3.191660324334003E-2</v>
      </c>
      <c r="O53" s="1">
        <f t="shared" si="12"/>
        <v>0.19108055139803645</v>
      </c>
      <c r="P53" s="1">
        <f t="shared" si="13"/>
        <v>2.0873852461752603E-2</v>
      </c>
    </row>
    <row r="54" spans="7:25">
      <c r="G54">
        <f t="shared" si="9"/>
        <v>11</v>
      </c>
      <c r="H54" s="1">
        <f>Interpolate_Range($D$17:$D$31,$E$17:$E$31,G54)</f>
        <v>2.0720000000000002E-2</v>
      </c>
      <c r="I54">
        <f>(1-H54*J50)/(1+H54)</f>
        <v>0.79249745105968528</v>
      </c>
      <c r="J54">
        <f>J50+I54</f>
        <v>10.014601782833717</v>
      </c>
      <c r="K54" s="1">
        <f>(I52/I54-1)/0.5</f>
        <v>3.282223262197359E-2</v>
      </c>
      <c r="L54" s="1">
        <f t="shared" si="5"/>
        <v>9.9500000000000001E-4</v>
      </c>
      <c r="M54" s="3">
        <f t="shared" si="10"/>
        <v>10.092502038104396</v>
      </c>
      <c r="N54" s="1">
        <f t="shared" si="11"/>
        <v>3.2201784401115492E-2</v>
      </c>
      <c r="O54" s="1">
        <f t="shared" si="12"/>
        <v>0.19746050941240084</v>
      </c>
      <c r="P54" s="1">
        <f t="shared" si="13"/>
        <v>2.1142362687667872E-2</v>
      </c>
    </row>
    <row r="55" spans="7:25">
      <c r="G55">
        <f t="shared" si="9"/>
        <v>11.25</v>
      </c>
      <c r="H55" s="1"/>
      <c r="I55">
        <f>Interpolate_Interval(G54,G58,I54,I58,G55)</f>
        <v>0.78572973398590928</v>
      </c>
      <c r="K55" s="1">
        <f>Interpolate_Interval(G54,G56,K54,K56,G55)</f>
        <v>3.3787360407210754E-2</v>
      </c>
      <c r="L55" s="1">
        <f t="shared" si="5"/>
        <v>9.875000000000001E-4</v>
      </c>
      <c r="M55" s="3">
        <f t="shared" si="10"/>
        <v>10.288934471600873</v>
      </c>
      <c r="N55" s="1">
        <f t="shared" si="11"/>
        <v>3.3850997478495619E-2</v>
      </c>
      <c r="O55" s="1">
        <f t="shared" si="12"/>
        <v>0.20410994322338485</v>
      </c>
      <c r="P55" s="1">
        <f t="shared" si="13"/>
        <v>2.1434879606538646E-2</v>
      </c>
    </row>
    <row r="56" spans="7:25">
      <c r="G56">
        <f t="shared" si="9"/>
        <v>11.5</v>
      </c>
      <c r="H56" s="1"/>
      <c r="I56">
        <f>Interpolate_Interval(G54,G58,I54,I58,G56)</f>
        <v>0.77896201691213318</v>
      </c>
      <c r="K56" s="1">
        <f>(I54/I56-1)/0.5</f>
        <v>3.4752488192447917E-2</v>
      </c>
      <c r="L56" s="1">
        <f t="shared" si="5"/>
        <v>9.7999999999999997E-4</v>
      </c>
      <c r="M56" s="3">
        <f t="shared" si="10"/>
        <v>10.483674975828906</v>
      </c>
      <c r="N56" s="1">
        <f t="shared" si="11"/>
        <v>3.4168743757477513E-2</v>
      </c>
      <c r="O56" s="1">
        <f t="shared" si="12"/>
        <v>0.21076398161155449</v>
      </c>
      <c r="P56" s="1">
        <f t="shared" si="13"/>
        <v>2.1721129832859658E-2</v>
      </c>
    </row>
    <row r="57" spans="7:25">
      <c r="G57">
        <f t="shared" si="9"/>
        <v>11.75</v>
      </c>
      <c r="H57" s="1"/>
      <c r="I57">
        <f>Interpolate_Interval(G54,G58,I54,I58,G57)</f>
        <v>0.77219429983835708</v>
      </c>
      <c r="K57" s="1">
        <f>Interpolate_Interval(G56,G58,K56,K58,G57)</f>
        <v>3.5059761303928738E-2</v>
      </c>
      <c r="L57" s="1">
        <f t="shared" si="5"/>
        <v>9.7250000000000006E-4</v>
      </c>
      <c r="M57" s="3">
        <f t="shared" si="10"/>
        <v>10.676723550788495</v>
      </c>
      <c r="N57" s="1">
        <f t="shared" si="11"/>
        <v>3.4491862466948818E-2</v>
      </c>
      <c r="O57" s="1">
        <f t="shared" si="12"/>
        <v>0.2174225865085011</v>
      </c>
      <c r="P57" s="1">
        <f t="shared" si="13"/>
        <v>2.2001623565613224E-2</v>
      </c>
    </row>
    <row r="58" spans="7:25">
      <c r="G58">
        <f t="shared" si="9"/>
        <v>12</v>
      </c>
      <c r="H58" s="1">
        <f>Interpolate_Range($D$17:$D$31,$E$17:$E$31,G58)</f>
        <v>2.1760000000000002E-2</v>
      </c>
      <c r="I58">
        <f>(1-H58*J54)/(1+H58)</f>
        <v>0.76542658276458109</v>
      </c>
      <c r="J58">
        <f>J54+I58</f>
        <v>10.780028365598298</v>
      </c>
      <c r="K58" s="1">
        <f>(I56/I58-1)/0.5</f>
        <v>3.536703441540956E-2</v>
      </c>
      <c r="L58" s="1">
        <f t="shared" si="5"/>
        <v>9.6500000000000004E-4</v>
      </c>
      <c r="M58" s="3">
        <f t="shared" si="10"/>
        <v>10.868080196479641</v>
      </c>
      <c r="N58" s="1">
        <f t="shared" si="11"/>
        <v>3.4820496112110036E-2</v>
      </c>
      <c r="O58" s="1">
        <f t="shared" si="12"/>
        <v>0.22408571984581604</v>
      </c>
      <c r="P58" s="1">
        <f t="shared" si="13"/>
        <v>2.2276831336793493E-2</v>
      </c>
    </row>
    <row r="59" spans="7:25">
      <c r="G59">
        <f t="shared" si="9"/>
        <v>12.25</v>
      </c>
      <c r="H59" s="1"/>
      <c r="I59">
        <f>Interpolate_Interval(G58,G62,I58,I62,G59)</f>
        <v>0.75950952548982731</v>
      </c>
      <c r="K59" s="1">
        <f>Interpolate_Interval(G58,G60,K58,K60,G59)</f>
        <v>3.3387117029419322E-2</v>
      </c>
      <c r="L59" s="1">
        <f t="shared" si="5"/>
        <v>9.5625000000000007E-4</v>
      </c>
      <c r="M59" s="3">
        <f t="shared" si="10"/>
        <v>11.057957577852097</v>
      </c>
      <c r="N59" s="1">
        <f t="shared" si="11"/>
        <v>3.0707094696542661E-2</v>
      </c>
      <c r="O59" s="1">
        <f t="shared" si="12"/>
        <v>0.22991630257635162</v>
      </c>
      <c r="P59" s="1">
        <f t="shared" si="13"/>
        <v>2.2455707366084307E-2</v>
      </c>
    </row>
    <row r="60" spans="7:25">
      <c r="G60">
        <f t="shared" si="9"/>
        <v>12.5</v>
      </c>
      <c r="H60" s="1"/>
      <c r="I60">
        <f>Interpolate_Interval(G58,G62,I58,I62,G60)</f>
        <v>0.75359246821507342</v>
      </c>
      <c r="K60" s="1">
        <f>(I58/I60-1)/0.5</f>
        <v>3.1407199643429085E-2</v>
      </c>
      <c r="L60" s="1">
        <f t="shared" si="5"/>
        <v>9.4749999999999999E-4</v>
      </c>
      <c r="M60" s="3">
        <f t="shared" si="10"/>
        <v>11.246355694905866</v>
      </c>
      <c r="N60" s="1">
        <f t="shared" si="11"/>
        <v>3.0973277646858189E-2</v>
      </c>
      <c r="O60" s="1">
        <f t="shared" si="12"/>
        <v>0.23575160976400328</v>
      </c>
      <c r="P60" s="1">
        <f t="shared" si="13"/>
        <v>2.2632284014134231E-2</v>
      </c>
    </row>
    <row r="61" spans="7:25">
      <c r="G61">
        <f t="shared" si="9"/>
        <v>12.75</v>
      </c>
      <c r="H61" s="1"/>
      <c r="I61">
        <f>Interpolate_Interval(G58,G62,I58,I62,G61)</f>
        <v>0.74767541094031964</v>
      </c>
      <c r="K61" s="1">
        <f>Interpolate_Interval(G60,G62,K60,K62,G61)</f>
        <v>3.1657737029642918E-2</v>
      </c>
      <c r="L61" s="1">
        <f t="shared" si="5"/>
        <v>9.3875000000000002E-4</v>
      </c>
      <c r="M61" s="3">
        <f t="shared" si="10"/>
        <v>11.433274547640945</v>
      </c>
      <c r="N61" s="1">
        <f t="shared" si="11"/>
        <v>3.1243465967320992E-2</v>
      </c>
      <c r="O61" s="1">
        <f t="shared" si="12"/>
        <v>0.24159160257808243</v>
      </c>
      <c r="P61" s="1">
        <f t="shared" si="13"/>
        <v>2.2806771590678378E-2</v>
      </c>
    </row>
    <row r="62" spans="7:25">
      <c r="G62">
        <f t="shared" si="9"/>
        <v>13</v>
      </c>
      <c r="H62" s="1">
        <f>Interpolate_Range($D$17:$D$31,$E$17:$E$31,G62)</f>
        <v>2.2413333333333334E-2</v>
      </c>
      <c r="I62">
        <f>(1-H62*J58)/(1+H62)</f>
        <v>0.74175835366556586</v>
      </c>
      <c r="J62">
        <f>J58+I62</f>
        <v>11.521786719263863</v>
      </c>
      <c r="K62" s="1">
        <f>(I60/I62-1)/0.5</f>
        <v>3.1908274415856752E-2</v>
      </c>
      <c r="L62" s="1">
        <f t="shared" si="5"/>
        <v>9.3000000000000005E-4</v>
      </c>
      <c r="M62" s="3">
        <f t="shared" si="10"/>
        <v>11.618714136057337</v>
      </c>
      <c r="N62" s="1">
        <f t="shared" si="11"/>
        <v>3.1517755511270069E-2</v>
      </c>
      <c r="O62" s="1">
        <f t="shared" si="12"/>
        <v>0.24743624218790081</v>
      </c>
      <c r="P62" s="1">
        <f t="shared" si="13"/>
        <v>2.2979365982363501E-2</v>
      </c>
    </row>
    <row r="63" spans="7:25">
      <c r="G63">
        <f t="shared" si="9"/>
        <v>13.25</v>
      </c>
      <c r="H63" s="1"/>
      <c r="I63">
        <f>Interpolate_Interval(G62,G66,I62,I66,G63)</f>
        <v>0.73573786135132968</v>
      </c>
      <c r="K63" s="1">
        <f>Interpolate_Interval(G62,G64,K62,K64,G63)</f>
        <v>3.2455025276909133E-2</v>
      </c>
      <c r="L63" s="1">
        <f t="shared" si="5"/>
        <v>9.2124999999999998E-4</v>
      </c>
      <c r="M63" s="3">
        <f t="shared" si="10"/>
        <v>11.80264860139517</v>
      </c>
      <c r="N63" s="1">
        <f t="shared" si="11"/>
        <v>3.2363192106497664E-2</v>
      </c>
      <c r="O63" s="1">
        <f t="shared" si="12"/>
        <v>0.25338894862463501</v>
      </c>
      <c r="P63" s="1">
        <f t="shared" si="13"/>
        <v>2.3160859648141807E-2</v>
      </c>
    </row>
    <row r="64" spans="7:25">
      <c r="G64">
        <f t="shared" si="9"/>
        <v>13.5</v>
      </c>
      <c r="H64" s="1"/>
      <c r="I64">
        <f>Interpolate_Interval(G62,G66,I62,I66,G64)</f>
        <v>0.72971736903709361</v>
      </c>
      <c r="K64" s="1">
        <f>(I62/I64-1)/0.5</f>
        <v>3.3001776137961514E-2</v>
      </c>
      <c r="L64" s="1">
        <f t="shared" si="5"/>
        <v>9.1250000000000001E-4</v>
      </c>
      <c r="M64" s="3">
        <f t="shared" si="10"/>
        <v>11.985077943654444</v>
      </c>
      <c r="N64" s="1">
        <f t="shared" si="11"/>
        <v>3.2655375724701285E-2</v>
      </c>
      <c r="O64" s="1">
        <f t="shared" si="12"/>
        <v>0.25934624733932171</v>
      </c>
      <c r="P64" s="1">
        <f t="shared" si="13"/>
        <v>2.3340591519281702E-2</v>
      </c>
    </row>
    <row r="65" spans="7:16">
      <c r="G65">
        <f t="shared" si="9"/>
        <v>13.75</v>
      </c>
      <c r="H65" s="1"/>
      <c r="I65">
        <f>Interpolate_Interval(G62,G66,I62,I66,G65)</f>
        <v>0.72369687672285754</v>
      </c>
      <c r="K65" s="1">
        <f>Interpolate_Interval(G64,G66,K64,K66,G65)</f>
        <v>3.3278623675251584E-2</v>
      </c>
      <c r="L65" s="1">
        <f t="shared" si="5"/>
        <v>9.0375000000000004E-4</v>
      </c>
      <c r="M65" s="3">
        <f t="shared" si="10"/>
        <v>12.166002162835158</v>
      </c>
      <c r="N65" s="1">
        <f t="shared" si="11"/>
        <v>3.2952202364922405E-2</v>
      </c>
      <c r="O65" s="1">
        <f t="shared" si="12"/>
        <v>0.26530809882248019</v>
      </c>
      <c r="P65" s="1">
        <f t="shared" si="13"/>
        <v>2.3518738387370848E-2</v>
      </c>
    </row>
    <row r="66" spans="7:16">
      <c r="G66">
        <f t="shared" si="9"/>
        <v>14</v>
      </c>
      <c r="H66" s="1">
        <f>Interpolate_Range($D$17:$D$31,$E$17:$E$31,G66)</f>
        <v>2.3066666666666669E-2</v>
      </c>
      <c r="I66">
        <f>(1-H66*J62)/(1+H66)</f>
        <v>0.71767638440862136</v>
      </c>
      <c r="J66">
        <f>J62+I66</f>
        <v>12.239463103672485</v>
      </c>
      <c r="K66" s="1">
        <f>(I64/I66-1)/0.5</f>
        <v>3.3555471212541654E-2</v>
      </c>
      <c r="L66" s="1">
        <f t="shared" si="5"/>
        <v>8.9499999999999996E-4</v>
      </c>
      <c r="M66" s="3">
        <f t="shared" si="10"/>
        <v>12.345421258937312</v>
      </c>
      <c r="N66" s="1">
        <f t="shared" si="11"/>
        <v>3.3253788876254922E-2</v>
      </c>
      <c r="O66" s="1">
        <f t="shared" si="12"/>
        <v>0.27127446356462975</v>
      </c>
      <c r="P66" s="1">
        <f t="shared" si="13"/>
        <v>2.3695466402263287E-2</v>
      </c>
    </row>
    <row r="67" spans="7:16">
      <c r="G67">
        <f t="shared" si="9"/>
        <v>14.25</v>
      </c>
      <c r="H67" s="1"/>
      <c r="I67">
        <f>Interpolate_Interval(G66,G70,I66,I70,G67)</f>
        <v>0.711566380436367</v>
      </c>
      <c r="K67" s="1">
        <f>Interpolate_Interval(G66,G68,K66,K68,G67)</f>
        <v>3.4099866856622363E-2</v>
      </c>
      <c r="L67" s="1">
        <f t="shared" si="5"/>
        <v>8.8624999999999999E-4</v>
      </c>
      <c r="M67" s="3">
        <f t="shared" si="10"/>
        <v>12.523312854046404</v>
      </c>
      <c r="N67" s="1">
        <f t="shared" si="11"/>
        <v>3.4067770196720748E-2</v>
      </c>
      <c r="O67" s="1">
        <f t="shared" si="12"/>
        <v>0.27733483354673438</v>
      </c>
      <c r="P67" s="1">
        <f t="shared" si="13"/>
        <v>2.3879759251715024E-2</v>
      </c>
    </row>
    <row r="68" spans="7:16">
      <c r="G68">
        <f t="shared" si="9"/>
        <v>14.5</v>
      </c>
      <c r="H68" s="1"/>
      <c r="I68">
        <f>Interpolate_Interval(G66,G70,I66,I70,G68)</f>
        <v>0.70545637646411252</v>
      </c>
      <c r="K68" s="1">
        <f>(I66/I68-1)/0.5</f>
        <v>3.4644262500703071E-2</v>
      </c>
      <c r="L68" s="1">
        <f t="shared" si="5"/>
        <v>8.7750000000000002E-4</v>
      </c>
      <c r="M68" s="3">
        <f t="shared" si="10"/>
        <v>12.699676948162432</v>
      </c>
      <c r="N68" s="1">
        <f t="shared" si="11"/>
        <v>3.4388085043833019E-2</v>
      </c>
      <c r="O68" s="1">
        <f t="shared" si="12"/>
        <v>0.28339965701387493</v>
      </c>
      <c r="P68" s="1">
        <f t="shared" si="13"/>
        <v>2.4062782282990289E-2</v>
      </c>
    </row>
    <row r="69" spans="7:16">
      <c r="G69">
        <f t="shared" si="9"/>
        <v>14.75</v>
      </c>
      <c r="H69" s="1"/>
      <c r="I69">
        <f>Interpolate_Interval(G66,G70,I66,I70,G69)</f>
        <v>0.69934637249185805</v>
      </c>
      <c r="K69" s="1">
        <f>Interpolate_Interval(G68,G70,K68,K70,G69)</f>
        <v>3.4949607965983898E-2</v>
      </c>
      <c r="L69" s="1">
        <f t="shared" si="5"/>
        <v>8.6874999999999995E-4</v>
      </c>
      <c r="M69" s="3">
        <f t="shared" si="10"/>
        <v>12.874513541285397</v>
      </c>
      <c r="N69" s="1">
        <f t="shared" si="11"/>
        <v>3.4713767563560149E-2</v>
      </c>
      <c r="O69" s="1">
        <f t="shared" si="12"/>
        <v>0.28946889386915026</v>
      </c>
      <c r="P69" s="1">
        <f t="shared" si="13"/>
        <v>2.4244687033304273E-2</v>
      </c>
    </row>
    <row r="70" spans="7:16">
      <c r="G70">
        <f t="shared" si="9"/>
        <v>15</v>
      </c>
      <c r="H70" s="1">
        <f>Interpolate_Range($D$17:$D$31,$E$17:$E$31,G70)</f>
        <v>2.3720000000000001E-2</v>
      </c>
      <c r="I70">
        <f>(1-H70*J66)/(1+H70)</f>
        <v>0.69323636851960369</v>
      </c>
      <c r="J70">
        <f>J66+I70</f>
        <v>12.932699472192088</v>
      </c>
      <c r="K70" s="1">
        <f>(I68/I70-1)/0.5</f>
        <v>3.5254953431264724E-2</v>
      </c>
      <c r="L70" s="1">
        <f t="shared" si="5"/>
        <v>8.5999999999999998E-4</v>
      </c>
      <c r="M70" s="3">
        <f t="shared" si="10"/>
        <v>13.047822633415299</v>
      </c>
      <c r="N70" s="1">
        <f t="shared" si="11"/>
        <v>3.5044959683687864E-2</v>
      </c>
      <c r="O70" s="1">
        <f t="shared" si="12"/>
        <v>0.29554250401565918</v>
      </c>
      <c r="P70" s="1">
        <f t="shared" si="13"/>
        <v>2.4425617188797651E-2</v>
      </c>
    </row>
    <row r="71" spans="7:16">
      <c r="G71">
        <f t="shared" si="9"/>
        <v>15.25</v>
      </c>
      <c r="H71" s="1"/>
      <c r="I71">
        <f>Interpolate_Interval(G70,G74,I70,I74,G71)</f>
        <v>0.68846775956021311</v>
      </c>
      <c r="K71" s="1">
        <f>Interpolate_Interval(G70,G72,K70,K72,G71)</f>
        <v>3.1576913262979289E-2</v>
      </c>
      <c r="L71" s="1">
        <f t="shared" si="5"/>
        <v>8.5349999999999998E-4</v>
      </c>
      <c r="M71" s="3">
        <f t="shared" si="10"/>
        <v>13.219939573305352</v>
      </c>
      <c r="N71" s="1">
        <f t="shared" si="11"/>
        <v>2.7344885409408548E-2</v>
      </c>
      <c r="O71" s="1">
        <f t="shared" si="12"/>
        <v>0.30024902201397075</v>
      </c>
      <c r="P71" s="1">
        <f t="shared" si="13"/>
        <v>2.4477822228386063E-2</v>
      </c>
    </row>
    <row r="72" spans="7:16">
      <c r="G72">
        <f t="shared" si="9"/>
        <v>15.5</v>
      </c>
      <c r="H72" s="1"/>
      <c r="I72">
        <f>Interpolate_Interval(G70,G74,I70,I74,G72)</f>
        <v>0.68369915060082254</v>
      </c>
      <c r="K72" s="1">
        <f>(I70/I72-1)/0.5</f>
        <v>2.7898873094693855E-2</v>
      </c>
      <c r="L72" s="1">
        <f t="shared" si="5"/>
        <v>8.4699999999999999E-4</v>
      </c>
      <c r="M72" s="3">
        <f t="shared" si="10"/>
        <v>13.390864360955558</v>
      </c>
      <c r="N72" s="1">
        <f t="shared" si="11"/>
        <v>2.7554606539080914E-2</v>
      </c>
      <c r="O72" s="1">
        <f t="shared" si="12"/>
        <v>0.30495878728544812</v>
      </c>
      <c r="P72" s="1">
        <f t="shared" si="13"/>
        <v>2.4531438478691402E-2</v>
      </c>
    </row>
    <row r="73" spans="7:16">
      <c r="G73">
        <f t="shared" si="9"/>
        <v>15.75</v>
      </c>
      <c r="H73" s="1"/>
      <c r="I73">
        <f>Interpolate_Interval(G70,G74,I70,I74,G73)</f>
        <v>0.67893054164143185</v>
      </c>
      <c r="K73" s="1">
        <f>Interpolate_Interval(G72,G74,K72,K74,G73)</f>
        <v>2.8096212650291497E-2</v>
      </c>
      <c r="L73" s="1">
        <f t="shared" si="5"/>
        <v>8.4049999999999999E-4</v>
      </c>
      <c r="M73" s="3">
        <f t="shared" si="10"/>
        <v>13.560596996365916</v>
      </c>
      <c r="N73" s="1">
        <f t="shared" si="11"/>
        <v>2.7767136745859341E-2</v>
      </c>
      <c r="O73" s="1">
        <f t="shared" si="12"/>
        <v>0.30967177658312262</v>
      </c>
      <c r="P73" s="1">
        <f t="shared" si="13"/>
        <v>2.4586441379989339E-2</v>
      </c>
    </row>
    <row r="74" spans="7:16">
      <c r="G74">
        <f t="shared" si="9"/>
        <v>16</v>
      </c>
      <c r="H74" s="1">
        <f>Interpolate_Range($D$17:$D$31,$E$17:$E$31,G74)</f>
        <v>2.3946600000000002E-2</v>
      </c>
      <c r="I74">
        <f>(1-H74*J70)/(1+H74)</f>
        <v>0.67416193268204128</v>
      </c>
      <c r="J74">
        <f>J70+I74</f>
        <v>13.606861404874129</v>
      </c>
      <c r="K74" s="1">
        <f>(I72/I74-1)/0.5</f>
        <v>2.8293552205889139E-2</v>
      </c>
      <c r="L74" s="1">
        <f t="shared" si="5"/>
        <v>8.34E-4</v>
      </c>
      <c r="M74" s="3">
        <f t="shared" si="10"/>
        <v>13.729137479536426</v>
      </c>
      <c r="N74" s="1">
        <f t="shared" si="11"/>
        <v>2.7982535638819809E-2</v>
      </c>
      <c r="O74" s="1">
        <f t="shared" si="12"/>
        <v>0.31438796666002533</v>
      </c>
      <c r="P74" s="1">
        <f t="shared" si="13"/>
        <v>2.4642808795120066E-2</v>
      </c>
    </row>
    <row r="75" spans="7:16">
      <c r="G75">
        <f t="shared" si="9"/>
        <v>16.25</v>
      </c>
      <c r="H75" s="1"/>
      <c r="I75">
        <f>Interpolate_Interval(G74,G78,I74,I78,G75)</f>
        <v>0.6694312958069859</v>
      </c>
      <c r="K75" s="1">
        <f>Interpolate_Interval(G74,G76,K74,K76,G75)</f>
        <v>2.8380662624606368E-2</v>
      </c>
      <c r="L75" s="1">
        <f t="shared" si="5"/>
        <v>8.275E-4</v>
      </c>
      <c r="M75" s="3">
        <f t="shared" ref="M75:M106" si="14">M74+I75*0.25</f>
        <v>13.896495303488173</v>
      </c>
      <c r="N75" s="1">
        <f t="shared" ref="N75:N106" si="15">(1-I75-L75*M75-O74)/(I75*0.25)</f>
        <v>2.7972326353275484E-2</v>
      </c>
      <c r="O75" s="1">
        <f t="shared" ref="O75:O106" si="16">O74+N75*I75*0.25</f>
        <v>0.31906935432937761</v>
      </c>
      <c r="P75" s="1">
        <f t="shared" ref="P75:P106" si="17">-LN(I75)/G75</f>
        <v>2.4697030108959097E-2</v>
      </c>
    </row>
    <row r="76" spans="7:16">
      <c r="G76">
        <f t="shared" si="9"/>
        <v>16.5</v>
      </c>
      <c r="H76" s="1"/>
      <c r="I76">
        <f>Interpolate_Interval(G74,G78,I74,I78,G76)</f>
        <v>0.66470065893193042</v>
      </c>
      <c r="K76" s="1">
        <f>(I74/I76-1)/0.5</f>
        <v>2.8467773043323596E-2</v>
      </c>
      <c r="L76" s="1">
        <f t="shared" ref="L76:L130" si="18">Interpolate_Range($A$17:$A$31,$B$17:$B$31,G76)</f>
        <v>8.2100000000000001E-4</v>
      </c>
      <c r="M76" s="3">
        <f t="shared" si="14"/>
        <v>14.062670468221155</v>
      </c>
      <c r="N76" s="1">
        <f t="shared" si="15"/>
        <v>2.8190339343485558E-2</v>
      </c>
      <c r="O76" s="1">
        <f t="shared" si="16"/>
        <v>0.32375388861366</v>
      </c>
      <c r="P76" s="1">
        <f t="shared" si="17"/>
        <v>2.4752634946230052E-2</v>
      </c>
    </row>
    <row r="77" spans="7:16">
      <c r="G77">
        <f t="shared" ref="G77:G130" si="19">G76+0.25</f>
        <v>16.75</v>
      </c>
      <c r="H77" s="1"/>
      <c r="I77">
        <f>Interpolate_Interval(G74,G78,I74,I78,G77)</f>
        <v>0.65997002205687494</v>
      </c>
      <c r="K77" s="1">
        <f>Interpolate_Interval(G76,G78,K76,K78,G77)</f>
        <v>2.8673302045326476E-2</v>
      </c>
      <c r="L77" s="1">
        <f t="shared" si="18"/>
        <v>8.1450000000000001E-4</v>
      </c>
      <c r="M77" s="3">
        <f t="shared" si="14"/>
        <v>14.227662973735374</v>
      </c>
      <c r="N77" s="1">
        <f t="shared" si="15"/>
        <v>2.8411337974097318E-2</v>
      </c>
      <c r="O77" s="1">
        <f t="shared" si="16"/>
        <v>0.32844154645101759</v>
      </c>
      <c r="P77" s="1">
        <f t="shared" si="17"/>
        <v>2.4809603947413938E-2</v>
      </c>
    </row>
    <row r="78" spans="7:16">
      <c r="G78">
        <f t="shared" si="19"/>
        <v>17</v>
      </c>
      <c r="H78" s="1">
        <f>Interpolate_Range($D$17:$D$31,$E$17:$E$31,G78)</f>
        <v>2.4173200000000002E-2</v>
      </c>
      <c r="I78">
        <f>(1-H78*J74)/(1+H78)</f>
        <v>0.65523938518181957</v>
      </c>
      <c r="J78">
        <f>J74+I78</f>
        <v>14.262100790055948</v>
      </c>
      <c r="K78" s="1">
        <f>(I76/I78-1)/0.5</f>
        <v>2.8878831047329356E-2</v>
      </c>
      <c r="L78" s="1">
        <f t="shared" si="18"/>
        <v>8.0800000000000002E-4</v>
      </c>
      <c r="M78" s="3">
        <f t="shared" si="14"/>
        <v>14.391472820030829</v>
      </c>
      <c r="N78" s="1">
        <f t="shared" si="15"/>
        <v>2.8635386911464982E-2</v>
      </c>
      <c r="O78" s="1">
        <f t="shared" si="16"/>
        <v>0.33313230477959554</v>
      </c>
      <c r="P78" s="1">
        <f t="shared" si="17"/>
        <v>2.486791979741465E-2</v>
      </c>
    </row>
    <row r="79" spans="7:16">
      <c r="G79">
        <f t="shared" si="19"/>
        <v>17.25</v>
      </c>
      <c r="H79" s="1"/>
      <c r="I79">
        <f>Interpolate_Interval(G78,G82,I78,I82,G79)</f>
        <v>0.65054895523699086</v>
      </c>
      <c r="K79" s="1">
        <f>Interpolate_Interval(G78,G80,K78,K80,G79)</f>
        <v>2.8964051372380561E-2</v>
      </c>
      <c r="L79" s="1">
        <f t="shared" si="18"/>
        <v>8.0150000000000002E-4</v>
      </c>
      <c r="M79" s="3">
        <f t="shared" si="14"/>
        <v>14.554110058840077</v>
      </c>
      <c r="N79" s="1">
        <f t="shared" si="15"/>
        <v>2.861350085211016E-2</v>
      </c>
      <c r="O79" s="1">
        <f t="shared" si="16"/>
        <v>0.3377859255508488</v>
      </c>
      <c r="P79" s="1">
        <f t="shared" si="17"/>
        <v>2.4923984116101531E-2</v>
      </c>
    </row>
    <row r="80" spans="7:16">
      <c r="G80">
        <f t="shared" si="19"/>
        <v>17.5</v>
      </c>
      <c r="H80" s="1"/>
      <c r="I80">
        <f>Interpolate_Interval(G78,G82,I78,I82,G80)</f>
        <v>0.64585852529216226</v>
      </c>
      <c r="K80" s="1">
        <f>(I78/I80-1)/0.5</f>
        <v>2.9049271697431767E-2</v>
      </c>
      <c r="L80" s="1">
        <f t="shared" si="18"/>
        <v>7.9499999999999992E-4</v>
      </c>
      <c r="M80" s="3">
        <f t="shared" si="14"/>
        <v>14.715574690163118</v>
      </c>
      <c r="N80" s="1">
        <f t="shared" si="15"/>
        <v>2.8840169145109701E-2</v>
      </c>
      <c r="O80" s="1">
        <f t="shared" si="16"/>
        <v>0.34244259282915807</v>
      </c>
      <c r="P80" s="1">
        <f t="shared" si="17"/>
        <v>2.498141715882863E-2</v>
      </c>
    </row>
    <row r="81" spans="7:16">
      <c r="G81">
        <f t="shared" si="19"/>
        <v>17.75</v>
      </c>
      <c r="H81" s="1"/>
      <c r="I81">
        <f>Interpolate_Interval(G78,G82,I78,I82,G81)</f>
        <v>0.64116809534733354</v>
      </c>
      <c r="K81" s="1">
        <f>Interpolate_Interval(G80,G82,K80,K82,G81)</f>
        <v>2.9263346096663145E-2</v>
      </c>
      <c r="L81" s="1">
        <f t="shared" si="18"/>
        <v>7.8849999999999992E-4</v>
      </c>
      <c r="M81" s="3">
        <f t="shared" si="14"/>
        <v>14.875866713999951</v>
      </c>
      <c r="N81" s="1">
        <f t="shared" si="15"/>
        <v>2.9070011145799182E-2</v>
      </c>
      <c r="O81" s="1">
        <f t="shared" si="16"/>
        <v>0.34710228374867752</v>
      </c>
      <c r="P81" s="1">
        <f t="shared" si="17"/>
        <v>2.5040203786408703E-2</v>
      </c>
    </row>
    <row r="82" spans="7:16">
      <c r="G82">
        <f t="shared" si="19"/>
        <v>18</v>
      </c>
      <c r="H82" s="1">
        <f>Interpolate_Range($D$17:$D$31,$E$17:$E$31,G82)</f>
        <v>2.4399799999999999E-2</v>
      </c>
      <c r="I82">
        <f>(1-H82*J78)/(1+H82)</f>
        <v>0.63647766540250483</v>
      </c>
      <c r="J82">
        <f>J78+I82</f>
        <v>14.898578455458452</v>
      </c>
      <c r="K82" s="1">
        <f>(I80/I82-1)/0.5</f>
        <v>2.9477420495894524E-2</v>
      </c>
      <c r="L82" s="1">
        <f t="shared" si="18"/>
        <v>7.8199999999999993E-4</v>
      </c>
      <c r="M82" s="3">
        <f t="shared" si="14"/>
        <v>15.034986130350577</v>
      </c>
      <c r="N82" s="1">
        <f t="shared" si="15"/>
        <v>2.9303097018713586E-2</v>
      </c>
      <c r="O82" s="1">
        <f t="shared" si="16"/>
        <v>0.351764975443561</v>
      </c>
      <c r="P82" s="1">
        <f t="shared" si="17"/>
        <v>2.5100330628097037E-2</v>
      </c>
    </row>
    <row r="83" spans="7:16">
      <c r="G83">
        <f t="shared" si="19"/>
        <v>18.25</v>
      </c>
      <c r="H83" s="1"/>
      <c r="I83">
        <f>Interpolate_Interval(G82,G86,I82,I86,G83)</f>
        <v>0.63182958795269606</v>
      </c>
      <c r="K83" s="1">
        <f>Interpolate_Interval(G82,G84,K82,K84,G83)</f>
        <v>2.9560822736824477E-2</v>
      </c>
      <c r="L83" s="1">
        <f t="shared" si="18"/>
        <v>7.7549999999999993E-4</v>
      </c>
      <c r="M83" s="3">
        <f t="shared" si="14"/>
        <v>15.19294352733875</v>
      </c>
      <c r="N83" s="1">
        <f t="shared" si="15"/>
        <v>2.9269340888403637E-2</v>
      </c>
      <c r="O83" s="1">
        <f t="shared" si="16"/>
        <v>0.35638828434185277</v>
      </c>
      <c r="P83" s="1">
        <f t="shared" si="17"/>
        <v>2.5158112904649328E-2</v>
      </c>
    </row>
    <row r="84" spans="7:16">
      <c r="G84">
        <f t="shared" si="19"/>
        <v>18.5</v>
      </c>
      <c r="H84" s="1"/>
      <c r="I84">
        <f>Interpolate_Interval(G82,G86,I82,I86,G84)</f>
        <v>0.62718151050288717</v>
      </c>
      <c r="K84" s="1">
        <f>(I82/I84-1)/0.5</f>
        <v>2.964422497775443E-2</v>
      </c>
      <c r="L84" s="1">
        <f t="shared" si="18"/>
        <v>7.6899999999999994E-4</v>
      </c>
      <c r="M84" s="3">
        <f t="shared" si="14"/>
        <v>15.349738904964472</v>
      </c>
      <c r="N84" s="1">
        <f t="shared" si="15"/>
        <v>2.9505053065948743E-2</v>
      </c>
      <c r="O84" s="1">
        <f t="shared" si="16"/>
        <v>0.36101454027919516</v>
      </c>
      <c r="P84" s="1">
        <f t="shared" si="17"/>
        <v>2.5217258908554623E-2</v>
      </c>
    </row>
    <row r="85" spans="7:16">
      <c r="G85">
        <f t="shared" si="19"/>
        <v>18.75</v>
      </c>
      <c r="H85" s="1"/>
      <c r="I85">
        <f>Interpolate_Interval(G82,G86,I82,I86,G85)</f>
        <v>0.62253343305307829</v>
      </c>
      <c r="K85" s="1">
        <f>Interpolate_Interval(G84,G86,K84,K86,G85)</f>
        <v>2.9867225332733893E-2</v>
      </c>
      <c r="L85" s="1">
        <f t="shared" si="18"/>
        <v>7.6249999999999994E-4</v>
      </c>
      <c r="M85" s="3">
        <f t="shared" si="14"/>
        <v>15.505372263227741</v>
      </c>
      <c r="N85" s="1">
        <f t="shared" si="15"/>
        <v>2.9744139487015642E-2</v>
      </c>
      <c r="O85" s="1">
        <f t="shared" si="16"/>
        <v>0.36564372059621053</v>
      </c>
      <c r="P85" s="1">
        <f t="shared" si="17"/>
        <v>2.5277757033050331E-2</v>
      </c>
    </row>
    <row r="86" spans="7:16">
      <c r="G86">
        <f t="shared" si="19"/>
        <v>19</v>
      </c>
      <c r="H86" s="1">
        <f>Interpolate_Range($D$17:$D$31,$E$17:$E$31,G86)</f>
        <v>2.46264E-2</v>
      </c>
      <c r="I86">
        <f>(1-H86*J82)/(1+H86)</f>
        <v>0.61788535560326951</v>
      </c>
      <c r="J86">
        <f>J82+I86</f>
        <v>15.516463811061721</v>
      </c>
      <c r="K86" s="1">
        <f>(I84/I86-1)/0.5</f>
        <v>3.0090225687713357E-2</v>
      </c>
      <c r="L86" s="1">
        <f t="shared" si="18"/>
        <v>7.5599999999999994E-4</v>
      </c>
      <c r="M86" s="3">
        <f t="shared" si="14"/>
        <v>15.659843602128559</v>
      </c>
      <c r="N86" s="1">
        <f t="shared" si="15"/>
        <v>2.9986676300416511E-2</v>
      </c>
      <c r="O86" s="1">
        <f t="shared" si="16"/>
        <v>0.37027580263352128</v>
      </c>
      <c r="P86" s="1">
        <f t="shared" si="17"/>
        <v>2.5339597235047005E-2</v>
      </c>
    </row>
    <row r="87" spans="7:16">
      <c r="G87">
        <f t="shared" si="19"/>
        <v>19.25</v>
      </c>
      <c r="H87" s="1"/>
      <c r="I87">
        <f>Interpolate_Interval(G86,G90,I86,I90,G87)</f>
        <v>0.61328168672529515</v>
      </c>
      <c r="K87" s="1">
        <f>Interpolate_Interval(G86,G88,K86,K88,G87)</f>
        <v>3.0171891675975226E-2</v>
      </c>
      <c r="L87" s="1">
        <f t="shared" si="18"/>
        <v>7.4949999999999995E-4</v>
      </c>
      <c r="M87" s="3">
        <f t="shared" si="14"/>
        <v>15.813164023809883</v>
      </c>
      <c r="N87" s="1">
        <f t="shared" si="15"/>
        <v>2.9940852986169657E-2</v>
      </c>
      <c r="O87" s="1">
        <f t="shared" si="16"/>
        <v>0.37486634683885933</v>
      </c>
      <c r="P87" s="1">
        <f t="shared" si="17"/>
        <v>2.5399009195788302E-2</v>
      </c>
    </row>
    <row r="88" spans="7:16">
      <c r="G88">
        <f t="shared" si="19"/>
        <v>19.5</v>
      </c>
      <c r="H88" s="1"/>
      <c r="I88">
        <f>Interpolate_Interval(G86,G90,I86,I90,G88)</f>
        <v>0.60867801784732078</v>
      </c>
      <c r="K88" s="1">
        <f>(I86/I88-1)/0.5</f>
        <v>3.0253557664237096E-2</v>
      </c>
      <c r="L88" s="1">
        <f t="shared" si="18"/>
        <v>7.4299999999999995E-4</v>
      </c>
      <c r="M88" s="3">
        <f t="shared" si="14"/>
        <v>15.965333528271712</v>
      </c>
      <c r="N88" s="1">
        <f t="shared" si="15"/>
        <v>3.0186025239151596E-2</v>
      </c>
      <c r="O88" s="1">
        <f t="shared" si="16"/>
        <v>0.37945973934117333</v>
      </c>
      <c r="P88" s="1">
        <f t="shared" si="17"/>
        <v>2.5459787559638507E-2</v>
      </c>
    </row>
    <row r="89" spans="7:16">
      <c r="G89">
        <f t="shared" si="19"/>
        <v>19.75</v>
      </c>
      <c r="H89" s="1"/>
      <c r="I89">
        <f>Interpolate_Interval(G86,G90,I86,I90,G89)</f>
        <v>0.60407434896934653</v>
      </c>
      <c r="K89" s="1">
        <f>Interpolate_Interval(G88,G90,K88,K90,G89)</f>
        <v>3.0485891565614098E-2</v>
      </c>
      <c r="L89" s="1">
        <f t="shared" si="18"/>
        <v>7.3649999999999996E-4</v>
      </c>
      <c r="M89" s="3">
        <f t="shared" si="14"/>
        <v>16.116352115514047</v>
      </c>
      <c r="N89" s="1">
        <f t="shared" si="15"/>
        <v>3.043478581234901E-2</v>
      </c>
      <c r="O89" s="1">
        <f t="shared" si="16"/>
        <v>0.38405595769757739</v>
      </c>
      <c r="P89" s="1">
        <f t="shared" si="17"/>
        <v>2.5521923762161832E-2</v>
      </c>
    </row>
    <row r="90" spans="7:16">
      <c r="G90">
        <f t="shared" si="19"/>
        <v>20</v>
      </c>
      <c r="H90" s="1">
        <f>Interpolate_Range($D$17:$D$31,$E$17:$E$31,G90)</f>
        <v>2.4853E-2</v>
      </c>
      <c r="I90">
        <f>(1-H90*J86)/(1+H90)</f>
        <v>0.59947068009137217</v>
      </c>
      <c r="J90">
        <f>J86+I90</f>
        <v>16.115934491153094</v>
      </c>
      <c r="K90" s="1">
        <f>(I88/I90-1)/0.5</f>
        <v>3.07182254669911E-2</v>
      </c>
      <c r="L90" s="1">
        <f t="shared" si="18"/>
        <v>7.2999999999999996E-4</v>
      </c>
      <c r="M90" s="3">
        <f t="shared" si="14"/>
        <v>16.26621978553689</v>
      </c>
      <c r="N90" s="1">
        <f t="shared" si="15"/>
        <v>3.0687217375885832E-2</v>
      </c>
      <c r="O90" s="1">
        <f t="shared" si="16"/>
        <v>0.3886549794651859</v>
      </c>
      <c r="P90" s="1">
        <f t="shared" si="17"/>
        <v>2.5585410649050306E-2</v>
      </c>
    </row>
    <row r="91" spans="7:16">
      <c r="G91">
        <f t="shared" si="19"/>
        <v>20.25</v>
      </c>
      <c r="H91" s="1"/>
      <c r="I91">
        <f>Interpolate_Interval(G90,G94,I90,I94,G91)</f>
        <v>0.59570027701425299</v>
      </c>
      <c r="K91" s="1">
        <f>Interpolate_Interval(G90,G92,K90,K92,G91)</f>
        <v>2.8098470022699162E-2</v>
      </c>
      <c r="L91" s="1">
        <f t="shared" si="18"/>
        <v>7.2499999999999995E-4</v>
      </c>
      <c r="M91" s="3">
        <f t="shared" si="14"/>
        <v>16.415144854790455</v>
      </c>
      <c r="N91" s="1">
        <f t="shared" si="15"/>
        <v>2.5138571495063943E-2</v>
      </c>
      <c r="O91" s="1">
        <f t="shared" si="16"/>
        <v>0.39239874296602395</v>
      </c>
      <c r="P91" s="1">
        <f t="shared" si="17"/>
        <v>2.558111749750698E-2</v>
      </c>
    </row>
    <row r="92" spans="7:16">
      <c r="G92">
        <f t="shared" si="19"/>
        <v>20.5</v>
      </c>
      <c r="H92" s="1"/>
      <c r="I92">
        <f>Interpolate_Interval(G90,G94,I90,I94,G92)</f>
        <v>0.59192987393713381</v>
      </c>
      <c r="K92" s="1">
        <f>(I90/I92-1)/0.5</f>
        <v>2.5478714578407224E-2</v>
      </c>
      <c r="L92" s="1">
        <f t="shared" si="18"/>
        <v>7.1999999999999994E-4</v>
      </c>
      <c r="M92" s="3">
        <f t="shared" si="14"/>
        <v>16.563127323274738</v>
      </c>
      <c r="N92" s="1">
        <f t="shared" si="15"/>
        <v>2.5313345982482058E-2</v>
      </c>
      <c r="O92" s="1">
        <f t="shared" si="16"/>
        <v>0.39614467439010836</v>
      </c>
      <c r="P92" s="1">
        <f t="shared" si="17"/>
        <v>2.5578883283019202E-2</v>
      </c>
    </row>
    <row r="93" spans="7:16">
      <c r="G93">
        <f t="shared" si="19"/>
        <v>20.75</v>
      </c>
      <c r="H93" s="1"/>
      <c r="I93">
        <f>Interpolate_Interval(G90,G94,I90,I94,G93)</f>
        <v>0.58815947086001463</v>
      </c>
      <c r="K93" s="1">
        <f>Interpolate_Interval(G92,G94,K92,K94,G93)</f>
        <v>2.5643099966744298E-2</v>
      </c>
      <c r="L93" s="1">
        <f t="shared" si="18"/>
        <v>7.1499999999999992E-4</v>
      </c>
      <c r="M93" s="3">
        <f t="shared" si="14"/>
        <v>16.710167190989743</v>
      </c>
      <c r="N93" s="1">
        <f t="shared" si="15"/>
        <v>2.5490265099965614E-2</v>
      </c>
      <c r="O93" s="1">
        <f t="shared" si="16"/>
        <v>0.39989275959842768</v>
      </c>
      <c r="P93" s="1">
        <f t="shared" si="17"/>
        <v>2.5578658260646019E-2</v>
      </c>
    </row>
    <row r="94" spans="7:16">
      <c r="G94">
        <f t="shared" si="19"/>
        <v>21</v>
      </c>
      <c r="H94" s="1">
        <f>Interpolate_Range($D$17:$D$31,$E$17:$E$31,G94)</f>
        <v>2.4886399999999999E-2</v>
      </c>
      <c r="I94">
        <f>(1-H94*J90)/(1+H94)</f>
        <v>0.58438906778289545</v>
      </c>
      <c r="J94">
        <f>J90+I94</f>
        <v>16.700323558935988</v>
      </c>
      <c r="K94" s="1">
        <f>(I92/I94-1)/0.5</f>
        <v>2.5807485355081372E-2</v>
      </c>
      <c r="L94" s="1">
        <f t="shared" si="18"/>
        <v>7.1000000000000002E-4</v>
      </c>
      <c r="M94" s="3">
        <f t="shared" si="14"/>
        <v>16.856264457935467</v>
      </c>
      <c r="N94" s="1">
        <f t="shared" si="15"/>
        <v>2.5669370358145985E-2</v>
      </c>
      <c r="O94" s="1">
        <f t="shared" si="16"/>
        <v>0.40364298445197039</v>
      </c>
      <c r="P94" s="1">
        <f t="shared" si="17"/>
        <v>2.5580395524646134E-2</v>
      </c>
    </row>
    <row r="95" spans="7:16">
      <c r="G95">
        <f t="shared" si="19"/>
        <v>21.25</v>
      </c>
      <c r="H95" s="1"/>
      <c r="I95">
        <f>Interpolate_Interval(G94,G98,I94,I98,G95)</f>
        <v>0.5807008159074305</v>
      </c>
      <c r="K95" s="1">
        <f>Interpolate_Interval(G94,G96,K94,K96,G95)</f>
        <v>2.5687699580290602E-2</v>
      </c>
      <c r="L95" s="1">
        <f t="shared" si="18"/>
        <v>7.0500000000000001E-4</v>
      </c>
      <c r="M95" s="3">
        <f t="shared" si="14"/>
        <v>17.001439661912325</v>
      </c>
      <c r="N95" s="1">
        <f t="shared" si="15"/>
        <v>2.528107127396205E-2</v>
      </c>
      <c r="O95" s="1">
        <f t="shared" si="16"/>
        <v>0.4073131691309213</v>
      </c>
      <c r="P95" s="1">
        <f t="shared" si="17"/>
        <v>2.5577393014772246E-2</v>
      </c>
    </row>
    <row r="96" spans="7:16">
      <c r="G96">
        <f t="shared" si="19"/>
        <v>21.5</v>
      </c>
      <c r="H96" s="1"/>
      <c r="I96">
        <f>Interpolate_Interval(G94,G98,I94,I98,G96)</f>
        <v>0.57701256403196555</v>
      </c>
      <c r="K96" s="1">
        <f>(I94/I96-1)/0.5</f>
        <v>2.5567913805499831E-2</v>
      </c>
      <c r="L96" s="1">
        <f t="shared" si="18"/>
        <v>6.9999999999999999E-4</v>
      </c>
      <c r="M96" s="3">
        <f t="shared" si="14"/>
        <v>17.145692802920316</v>
      </c>
      <c r="N96" s="1">
        <f t="shared" si="15"/>
        <v>2.5457205641473465E-2</v>
      </c>
      <c r="O96" s="1">
        <f t="shared" si="16"/>
        <v>0.41098545100599021</v>
      </c>
      <c r="P96" s="1">
        <f t="shared" si="17"/>
        <v>2.5576336649255689E-2</v>
      </c>
    </row>
    <row r="97" spans="7:16">
      <c r="G97">
        <f t="shared" si="19"/>
        <v>21.75</v>
      </c>
      <c r="H97" s="1"/>
      <c r="I97">
        <f>Interpolate_Interval(G94,G98,I94,I98,G97)</f>
        <v>0.57332431215650059</v>
      </c>
      <c r="K97" s="1">
        <f>Interpolate_Interval(G96,G98,K96,K98,G97)</f>
        <v>2.573345969105767E-2</v>
      </c>
      <c r="L97" s="1">
        <f t="shared" si="18"/>
        <v>6.9499999999999998E-4</v>
      </c>
      <c r="M97" s="3">
        <f t="shared" si="14"/>
        <v>17.289023880959441</v>
      </c>
      <c r="N97" s="1">
        <f t="shared" si="15"/>
        <v>2.5635509692039024E-2</v>
      </c>
      <c r="O97" s="1">
        <f t="shared" si="16"/>
        <v>0.4146598162462326</v>
      </c>
      <c r="P97" s="1">
        <f t="shared" si="17"/>
        <v>2.557718310700198E-2</v>
      </c>
    </row>
    <row r="98" spans="7:16">
      <c r="G98">
        <f t="shared" si="19"/>
        <v>22</v>
      </c>
      <c r="H98" s="1">
        <f>Interpolate_Range($D$17:$D$31,$E$17:$E$31,G98)</f>
        <v>2.4919799999999999E-2</v>
      </c>
      <c r="I98">
        <f>(1-H98*J94)/(1+H98)</f>
        <v>0.56963606028103564</v>
      </c>
      <c r="J98">
        <f>J94+I98</f>
        <v>17.269959619217023</v>
      </c>
      <c r="K98" s="1">
        <f>(I96/I98-1)/0.5</f>
        <v>2.5899005576615508E-2</v>
      </c>
      <c r="L98" s="1">
        <f t="shared" si="18"/>
        <v>6.8999999999999997E-4</v>
      </c>
      <c r="M98" s="3">
        <f t="shared" si="14"/>
        <v>17.431432896029701</v>
      </c>
      <c r="N98" s="1">
        <f t="shared" si="15"/>
        <v>2.5816025570133079E-2</v>
      </c>
      <c r="O98" s="1">
        <f t="shared" si="16"/>
        <v>0.41833625102070388</v>
      </c>
      <c r="P98" s="1">
        <f t="shared" si="17"/>
        <v>2.5579891491390085E-2</v>
      </c>
    </row>
    <row r="99" spans="7:16">
      <c r="G99">
        <f t="shared" si="19"/>
        <v>22.25</v>
      </c>
      <c r="H99" s="1"/>
      <c r="I99">
        <f>Interpolate_Interval(G98,G102,I98,I102,G99)</f>
        <v>0.56602832014453797</v>
      </c>
      <c r="K99" s="1">
        <f>Interpolate_Interval(G98,G100,K98,K100,G99)</f>
        <v>2.5778834661071226E-2</v>
      </c>
      <c r="L99" s="1">
        <f t="shared" si="18"/>
        <v>6.8499999999999995E-4</v>
      </c>
      <c r="M99" s="3">
        <f t="shared" si="14"/>
        <v>17.572939976065836</v>
      </c>
      <c r="N99" s="1">
        <f t="shared" si="15"/>
        <v>2.5426041935387948E-2</v>
      </c>
      <c r="O99" s="1">
        <f t="shared" si="16"/>
        <v>0.42193421597185693</v>
      </c>
      <c r="P99" s="1">
        <f t="shared" si="17"/>
        <v>2.5578029952343196E-2</v>
      </c>
    </row>
    <row r="100" spans="7:16">
      <c r="G100">
        <f t="shared" si="19"/>
        <v>22.5</v>
      </c>
      <c r="H100" s="1"/>
      <c r="I100">
        <f>Interpolate_Interval(G98,G102,I98,I102,G100)</f>
        <v>0.5624205800080404</v>
      </c>
      <c r="K100" s="1">
        <f>(I98/I100-1)/0.5</f>
        <v>2.5658663745526944E-2</v>
      </c>
      <c r="L100" s="1">
        <f t="shared" si="18"/>
        <v>6.8000000000000005E-4</v>
      </c>
      <c r="M100" s="3">
        <f t="shared" si="14"/>
        <v>17.713545121067845</v>
      </c>
      <c r="N100" s="1">
        <f t="shared" si="15"/>
        <v>2.5603567619983513E-2</v>
      </c>
      <c r="O100" s="1">
        <f t="shared" si="16"/>
        <v>0.42553420930963348</v>
      </c>
      <c r="P100" s="1">
        <f t="shared" si="17"/>
        <v>2.5578015376390227E-2</v>
      </c>
    </row>
    <row r="101" spans="7:16">
      <c r="G101">
        <f t="shared" si="19"/>
        <v>22.75</v>
      </c>
      <c r="H101" s="1"/>
      <c r="I101">
        <f>Interpolate_Interval(G98,G102,I98,I102,G101)</f>
        <v>0.55881283987154284</v>
      </c>
      <c r="K101" s="1">
        <f>Interpolate_Interval(G100,G102,K100,K102,G101)</f>
        <v>2.5825394546608926E-2</v>
      </c>
      <c r="L101" s="1">
        <f t="shared" si="18"/>
        <v>6.7500000000000004E-4</v>
      </c>
      <c r="M101" s="3">
        <f t="shared" si="14"/>
        <v>17.853248331035733</v>
      </c>
      <c r="N101" s="1">
        <f t="shared" si="15"/>
        <v>2.5783288703262807E-2</v>
      </c>
      <c r="O101" s="1">
        <f t="shared" si="16"/>
        <v>0.42913621750500802</v>
      </c>
      <c r="P101" s="1">
        <f t="shared" si="17"/>
        <v>2.5579809858619743E-2</v>
      </c>
    </row>
    <row r="102" spans="7:16">
      <c r="G102">
        <f t="shared" si="19"/>
        <v>23</v>
      </c>
      <c r="H102" s="1">
        <f>Interpolate_Range($D$17:$D$31,$E$17:$E$31,G102)</f>
        <v>2.4953200000000002E-2</v>
      </c>
      <c r="I102">
        <f>(1-H102*J98)/(1+H102)</f>
        <v>0.55520509973504517</v>
      </c>
      <c r="J102">
        <f>J98+I102</f>
        <v>17.825164718952067</v>
      </c>
      <c r="K102" s="1">
        <f>(I100/I102-1)/0.5</f>
        <v>2.5992125347690909E-2</v>
      </c>
      <c r="L102" s="1">
        <f t="shared" si="18"/>
        <v>6.7000000000000002E-4</v>
      </c>
      <c r="M102" s="3">
        <f t="shared" si="14"/>
        <v>17.992049605969495</v>
      </c>
      <c r="N102" s="1">
        <f t="shared" si="15"/>
        <v>2.5965247982535768E-2</v>
      </c>
      <c r="O102" s="1">
        <f t="shared" si="16"/>
        <v>0.43274022702895526</v>
      </c>
      <c r="P102" s="1">
        <f t="shared" si="17"/>
        <v>2.5583377583912582E-2</v>
      </c>
    </row>
    <row r="103" spans="7:16">
      <c r="G103">
        <f t="shared" si="19"/>
        <v>23.25</v>
      </c>
      <c r="H103" s="1"/>
      <c r="I103">
        <f>Interpolate_Interval(G102,G106,I102,I106,G103)</f>
        <v>0.55167626134665726</v>
      </c>
      <c r="K103" s="1">
        <f>Interpolate_Interval(G102,G104,K102,K104,G103)</f>
        <v>2.5871571124996162E-2</v>
      </c>
      <c r="L103" s="1">
        <f t="shared" si="18"/>
        <v>6.6500000000000001E-4</v>
      </c>
      <c r="M103" s="3">
        <f t="shared" si="14"/>
        <v>18.129968671306159</v>
      </c>
      <c r="N103" s="1">
        <f t="shared" si="15"/>
        <v>2.5573567000031449E-2</v>
      </c>
      <c r="O103" s="1">
        <f t="shared" si="16"/>
        <v>0.43626730948692416</v>
      </c>
      <c r="P103" s="1">
        <f t="shared" si="17"/>
        <v>2.5582532809512185E-2</v>
      </c>
    </row>
    <row r="104" spans="7:16">
      <c r="G104">
        <f t="shared" si="19"/>
        <v>23.5</v>
      </c>
      <c r="H104" s="1"/>
      <c r="I104">
        <f>Interpolate_Interval(G102,G106,I102,I106,G104)</f>
        <v>0.54814742295826946</v>
      </c>
      <c r="K104" s="1">
        <f>(I102/I104-1)/0.5</f>
        <v>2.5751016902301416E-2</v>
      </c>
      <c r="L104" s="1">
        <f t="shared" si="18"/>
        <v>6.6E-4</v>
      </c>
      <c r="M104" s="3">
        <f t="shared" si="14"/>
        <v>18.267005527045725</v>
      </c>
      <c r="N104" s="1">
        <f t="shared" si="15"/>
        <v>2.5752516634378872E-2</v>
      </c>
      <c r="O104" s="1">
        <f t="shared" si="16"/>
        <v>0.43979635339388035</v>
      </c>
      <c r="P104" s="1">
        <f t="shared" si="17"/>
        <v>2.5583447158156181E-2</v>
      </c>
    </row>
    <row r="105" spans="7:16">
      <c r="G105">
        <f t="shared" si="19"/>
        <v>23.75</v>
      </c>
      <c r="H105" s="1"/>
      <c r="I105">
        <f>Interpolate_Interval(G102,G106,I102,I106,G105)</f>
        <v>0.54461858456988166</v>
      </c>
      <c r="K105" s="1">
        <f>Interpolate_Interval(G104,G106,K104,K106,G105)</f>
        <v>2.5918957946511112E-2</v>
      </c>
      <c r="L105" s="1">
        <f t="shared" si="18"/>
        <v>6.5499999999999998E-4</v>
      </c>
      <c r="M105" s="3">
        <f t="shared" si="14"/>
        <v>18.403160173188194</v>
      </c>
      <c r="N105" s="1">
        <f t="shared" si="15"/>
        <v>2.5933688073376079E-2</v>
      </c>
      <c r="O105" s="1">
        <f t="shared" si="16"/>
        <v>0.44332734551668007</v>
      </c>
      <c r="P105" s="1">
        <f t="shared" si="17"/>
        <v>2.5586087332652871E-2</v>
      </c>
    </row>
    <row r="106" spans="7:16">
      <c r="G106">
        <f t="shared" si="19"/>
        <v>24</v>
      </c>
      <c r="H106" s="1">
        <f>Interpolate_Range($D$17:$D$31,$E$17:$E$31,G106)</f>
        <v>2.4986600000000001E-2</v>
      </c>
      <c r="I106">
        <f>(1-H106*J102)/(1+H106)</f>
        <v>0.54108974618149375</v>
      </c>
      <c r="J106">
        <f>J102+I106</f>
        <v>18.366254465133562</v>
      </c>
      <c r="K106" s="1">
        <f>(I104/I106-1)/0.5</f>
        <v>2.6086898990720808E-2</v>
      </c>
      <c r="L106" s="1">
        <f t="shared" si="18"/>
        <v>6.4999999999999997E-4</v>
      </c>
      <c r="M106" s="3">
        <f t="shared" si="14"/>
        <v>18.538432609733569</v>
      </c>
      <c r="N106" s="1">
        <f t="shared" si="15"/>
        <v>2.6117124787016954E-2</v>
      </c>
      <c r="O106" s="1">
        <f t="shared" si="16"/>
        <v>0.44686027262217942</v>
      </c>
      <c r="P106" s="1">
        <f t="shared" si="17"/>
        <v>2.5590421852668219E-2</v>
      </c>
    </row>
    <row r="107" spans="7:16">
      <c r="G107">
        <f t="shared" si="19"/>
        <v>24.25</v>
      </c>
      <c r="H107" s="1"/>
      <c r="I107">
        <f>Interpolate_Interval(G106,G110,I106,I110,G107)</f>
        <v>0.53763822856510668</v>
      </c>
      <c r="K107" s="1">
        <f>Interpolate_Interval(G106,G108,K106,K108,G107)</f>
        <v>2.5965963461524799E-2</v>
      </c>
      <c r="L107" s="1">
        <f t="shared" si="18"/>
        <v>6.4500000000000007E-4</v>
      </c>
      <c r="M107" s="3">
        <f t="shared" ref="M107:M130" si="20">M106+I107*0.25</f>
        <v>18.672842166874844</v>
      </c>
      <c r="N107" s="1">
        <f t="shared" ref="N107:N130" si="21">(1-I107-L107*M107-O106)/(I107*0.25)</f>
        <v>2.5723733405694189E-2</v>
      </c>
      <c r="O107" s="1">
        <f t="shared" ref="O107:O130" si="22">O106+N107*I107*0.25</f>
        <v>0.45031778823725904</v>
      </c>
      <c r="P107" s="1">
        <f t="shared" ref="P107:P130" si="23">-LN(I107)/G107</f>
        <v>2.559049000491764E-2</v>
      </c>
    </row>
    <row r="108" spans="7:16">
      <c r="G108">
        <f t="shared" si="19"/>
        <v>24.5</v>
      </c>
      <c r="H108" s="1"/>
      <c r="I108">
        <f>Interpolate_Interval(G106,G110,I106,I110,G108)</f>
        <v>0.5341867109487195</v>
      </c>
      <c r="K108" s="1">
        <f>(I106/I108-1)/0.5</f>
        <v>2.584502793232879E-2</v>
      </c>
      <c r="L108" s="1">
        <f t="shared" si="18"/>
        <v>6.4000000000000005E-4</v>
      </c>
      <c r="M108" s="3">
        <f t="shared" si="20"/>
        <v>18.806388844612023</v>
      </c>
      <c r="N108" s="1">
        <f t="shared" si="21"/>
        <v>2.5904140874832546E-2</v>
      </c>
      <c r="O108" s="1">
        <f t="shared" si="22"/>
        <v>0.45377720019072881</v>
      </c>
      <c r="P108" s="1">
        <f t="shared" si="23"/>
        <v>2.5592238986223079E-2</v>
      </c>
    </row>
    <row r="109" spans="7:16">
      <c r="G109">
        <f t="shared" si="19"/>
        <v>24.75</v>
      </c>
      <c r="H109" s="1"/>
      <c r="I109">
        <f>Interpolate_Interval(G106,G110,I106,I110,G109)</f>
        <v>0.53073519333233232</v>
      </c>
      <c r="K109" s="1">
        <f>Interpolate_Interval(G108,G110,K108,K110,G109)</f>
        <v>2.6014205499002685E-2</v>
      </c>
      <c r="L109" s="1">
        <f t="shared" si="18"/>
        <v>6.3500000000000004E-4</v>
      </c>
      <c r="M109" s="3">
        <f t="shared" si="20"/>
        <v>18.939072642945106</v>
      </c>
      <c r="N109" s="1">
        <f t="shared" si="21"/>
        <v>2.6086797274070081E-2</v>
      </c>
      <c r="O109" s="1">
        <f t="shared" si="22"/>
        <v>0.45723849553939755</v>
      </c>
      <c r="P109" s="1">
        <f t="shared" si="23"/>
        <v>2.55956394512705E-2</v>
      </c>
    </row>
    <row r="110" spans="7:16">
      <c r="G110">
        <f t="shared" si="19"/>
        <v>25</v>
      </c>
      <c r="H110" s="1">
        <f>Interpolate_Range($D$17:$D$31,$E$17:$E$31,G110)</f>
        <v>2.5020000000000001E-2</v>
      </c>
      <c r="I110">
        <f>(1-H110*J106)/(1+H110)</f>
        <v>0.52728367571594525</v>
      </c>
      <c r="J110">
        <f>J106+I110</f>
        <v>18.893538140849508</v>
      </c>
      <c r="K110" s="1">
        <f>(I108/I110-1)/0.5</f>
        <v>2.618338306567658E-2</v>
      </c>
      <c r="L110" s="1">
        <f t="shared" si="18"/>
        <v>6.3000000000000003E-4</v>
      </c>
      <c r="M110" s="3">
        <f t="shared" si="20"/>
        <v>19.070893561874094</v>
      </c>
      <c r="N110" s="1">
        <f t="shared" si="21"/>
        <v>2.6271746766855487E-2</v>
      </c>
      <c r="O110" s="1">
        <f t="shared" si="22"/>
        <v>0.46070166134007406</v>
      </c>
      <c r="P110" s="1">
        <f t="shared" si="23"/>
        <v>2.5600663646908401E-2</v>
      </c>
    </row>
    <row r="111" spans="7:16">
      <c r="G111">
        <f t="shared" si="19"/>
        <v>25.25</v>
      </c>
      <c r="H111" s="1"/>
      <c r="I111">
        <f>Interpolate_Interval(G110,G114,I110,I114,G111)</f>
        <v>0.52413891985084038</v>
      </c>
      <c r="K111" s="1">
        <f>Interpolate_Interval(G110,G112,K110,K112,G111)</f>
        <v>2.5163826241782594E-2</v>
      </c>
      <c r="L111" s="1">
        <f t="shared" si="18"/>
        <v>6.2825000000000001E-4</v>
      </c>
      <c r="M111" s="3">
        <f t="shared" si="20"/>
        <v>19.201928291836804</v>
      </c>
      <c r="N111" s="1">
        <f t="shared" si="21"/>
        <v>2.3625853700160893E-2</v>
      </c>
      <c r="O111" s="1">
        <f t="shared" si="22"/>
        <v>0.46379746869981314</v>
      </c>
      <c r="P111" s="1">
        <f t="shared" si="23"/>
        <v>2.5584099626871224E-2</v>
      </c>
    </row>
    <row r="112" spans="7:16">
      <c r="G112">
        <f t="shared" si="19"/>
        <v>25.5</v>
      </c>
      <c r="H112" s="1"/>
      <c r="I112">
        <f>Interpolate_Interval(G110,G114,I110,I114,G112)</f>
        <v>0.52099416398573561</v>
      </c>
      <c r="K112" s="1">
        <f>(I110/I112-1)/0.5</f>
        <v>2.4144269417888609E-2</v>
      </c>
      <c r="L112" s="1">
        <f t="shared" si="18"/>
        <v>6.265E-4</v>
      </c>
      <c r="M112" s="3">
        <f t="shared" si="20"/>
        <v>19.332176832833238</v>
      </c>
      <c r="N112" s="1">
        <f t="shared" si="21"/>
        <v>2.3775763666834697E-2</v>
      </c>
      <c r="O112" s="1">
        <f t="shared" si="22"/>
        <v>0.46689422722849439</v>
      </c>
      <c r="P112" s="1">
        <f t="shared" si="23"/>
        <v>2.5569272111937085E-2</v>
      </c>
    </row>
    <row r="113" spans="7:16">
      <c r="G113">
        <f t="shared" si="19"/>
        <v>25.75</v>
      </c>
      <c r="H113" s="1"/>
      <c r="I113">
        <f>Interpolate_Interval(G110,G114,I110,I114,G113)</f>
        <v>0.51784940812063074</v>
      </c>
      <c r="K113" s="1">
        <f>Interpolate_Interval(G112,G114,K112,K114,G113)</f>
        <v>2.4291786702855811E-2</v>
      </c>
      <c r="L113" s="1">
        <f t="shared" si="18"/>
        <v>6.2474999999999998E-4</v>
      </c>
      <c r="M113" s="3">
        <f t="shared" si="20"/>
        <v>19.461639184863394</v>
      </c>
      <c r="N113" s="1">
        <f t="shared" si="21"/>
        <v>2.3927462475035612E-2</v>
      </c>
      <c r="O113" s="1">
        <f t="shared" si="22"/>
        <v>0.46999193279862583</v>
      </c>
      <c r="P113" s="1">
        <f t="shared" si="23"/>
        <v>2.5556147452549086E-2</v>
      </c>
    </row>
    <row r="114" spans="7:16">
      <c r="G114">
        <f t="shared" si="19"/>
        <v>26</v>
      </c>
      <c r="H114" s="1">
        <f>Interpolate_Range($D$17:$D$31,$E$17:$E$31,G114)</f>
        <v>2.5004600000000002E-2</v>
      </c>
      <c r="I114">
        <f>(1-H114*J110)/(1+H114)</f>
        <v>0.51470465225552586</v>
      </c>
      <c r="J114">
        <f>J110+I114</f>
        <v>19.408242793105032</v>
      </c>
      <c r="K114" s="1">
        <f>(I112/I114-1)/0.5</f>
        <v>2.4439303987823013E-2</v>
      </c>
      <c r="L114" s="1">
        <f t="shared" si="18"/>
        <v>6.2300000000000007E-4</v>
      </c>
      <c r="M114" s="3">
        <f t="shared" si="20"/>
        <v>19.590315347927277</v>
      </c>
      <c r="N114" s="1">
        <f t="shared" si="21"/>
        <v>2.4080982913294167E-2</v>
      </c>
      <c r="O114" s="1">
        <f t="shared" si="22"/>
        <v>0.47309058128271542</v>
      </c>
      <c r="P114" s="1">
        <f t="shared" si="23"/>
        <v>2.5544693599734561E-2</v>
      </c>
    </row>
    <row r="115" spans="7:16">
      <c r="G115">
        <f t="shared" si="19"/>
        <v>26.25</v>
      </c>
      <c r="H115" s="1"/>
      <c r="I115">
        <f>Interpolate_Interval(G114,G118,I114,I118,G115)</f>
        <v>0.51164043202834453</v>
      </c>
      <c r="K115" s="1">
        <f>Interpolate_Interval(G114,G116,K114,K116,G115)</f>
        <v>2.426984292332679E-2</v>
      </c>
      <c r="L115" s="1">
        <f t="shared" si="18"/>
        <v>6.2125000000000006E-4</v>
      </c>
      <c r="M115" s="3">
        <f t="shared" si="20"/>
        <v>19.718225455934363</v>
      </c>
      <c r="N115" s="1">
        <f t="shared" si="21"/>
        <v>2.360281897560117E-2</v>
      </c>
      <c r="O115" s="1">
        <f t="shared" si="22"/>
        <v>0.47610962040715626</v>
      </c>
      <c r="P115" s="1">
        <f t="shared" si="23"/>
        <v>2.5528883118179909E-2</v>
      </c>
    </row>
    <row r="116" spans="7:16">
      <c r="G116">
        <f t="shared" si="19"/>
        <v>26.5</v>
      </c>
      <c r="H116" s="1"/>
      <c r="I116">
        <f>Interpolate_Interval(G114,G118,I114,I118,G116)</f>
        <v>0.50857621180116308</v>
      </c>
      <c r="K116" s="1">
        <f>(I114/I116-1)/0.5</f>
        <v>2.4100381858830566E-2</v>
      </c>
      <c r="L116" s="1">
        <f t="shared" si="18"/>
        <v>6.1950000000000004E-4</v>
      </c>
      <c r="M116" s="3">
        <f t="shared" si="20"/>
        <v>19.845369508884655</v>
      </c>
      <c r="N116" s="1">
        <f t="shared" si="21"/>
        <v>2.3752281847640104E-2</v>
      </c>
      <c r="O116" s="1">
        <f t="shared" si="22"/>
        <v>0.47912958178808285</v>
      </c>
      <c r="P116" s="1">
        <f t="shared" si="23"/>
        <v>2.5514724490890452E-2</v>
      </c>
    </row>
    <row r="117" spans="7:16">
      <c r="G117">
        <f t="shared" si="19"/>
        <v>26.75</v>
      </c>
      <c r="H117" s="1"/>
      <c r="I117">
        <f>Interpolate_Interval(G114,G118,I114,I118,G117)</f>
        <v>0.50551199157398163</v>
      </c>
      <c r="K117" s="1">
        <f>Interpolate_Interval(G116,G118,K116,K118,G117)</f>
        <v>2.4247360075843494E-2</v>
      </c>
      <c r="L117" s="1">
        <f t="shared" si="18"/>
        <v>6.1775000000000003E-4</v>
      </c>
      <c r="M117" s="3">
        <f t="shared" si="20"/>
        <v>19.971747506778151</v>
      </c>
      <c r="N117" s="1">
        <f t="shared" si="21"/>
        <v>2.3903524869646548E-2</v>
      </c>
      <c r="O117" s="1">
        <f t="shared" si="22"/>
        <v>0.48215046140370615</v>
      </c>
      <c r="P117" s="1">
        <f t="shared" si="23"/>
        <v>2.5502187611187128E-2</v>
      </c>
    </row>
    <row r="118" spans="7:16">
      <c r="G118">
        <f t="shared" si="19"/>
        <v>27</v>
      </c>
      <c r="H118" s="1">
        <f>Interpolate_Range($D$17:$D$31,$E$17:$E$31,G118)</f>
        <v>2.49892E-2</v>
      </c>
      <c r="I118">
        <f>(1-H118*J114)/(1+H118)</f>
        <v>0.5024477713468003</v>
      </c>
      <c r="J118">
        <f>J114+I118</f>
        <v>19.910690564451833</v>
      </c>
      <c r="K118" s="1">
        <f>(I116/I118-1)/0.5</f>
        <v>2.4394338292856421E-2</v>
      </c>
      <c r="L118" s="1">
        <f t="shared" si="18"/>
        <v>6.1600000000000001E-4</v>
      </c>
      <c r="M118" s="3">
        <f t="shared" si="20"/>
        <v>20.097359449614849</v>
      </c>
      <c r="N118" s="1">
        <f t="shared" si="21"/>
        <v>2.405658061080412E-2</v>
      </c>
      <c r="O118" s="1">
        <f t="shared" si="22"/>
        <v>0.48517225523223695</v>
      </c>
      <c r="P118" s="1">
        <f t="shared" si="23"/>
        <v>2.5491243780337135E-2</v>
      </c>
    </row>
    <row r="119" spans="7:16">
      <c r="G119">
        <f t="shared" si="19"/>
        <v>27.25</v>
      </c>
      <c r="H119" s="1"/>
      <c r="I119">
        <f>Interpolate_Interval(G118,G122,I118,I122,G119)</f>
        <v>0.49946198636445049</v>
      </c>
      <c r="K119" s="1">
        <f>Interpolate_Interval(G118,G120,K118,K120,G119)</f>
        <v>2.422507692544329E-2</v>
      </c>
      <c r="L119" s="1">
        <f t="shared" si="18"/>
        <v>6.1425E-4</v>
      </c>
      <c r="M119" s="3">
        <f t="shared" si="20"/>
        <v>20.222224946205962</v>
      </c>
      <c r="N119" s="1">
        <f t="shared" si="21"/>
        <v>2.3579425946199495E-2</v>
      </c>
      <c r="O119" s="1">
        <f t="shared" si="22"/>
        <v>0.48811651196234251</v>
      </c>
      <c r="P119" s="1">
        <f t="shared" si="23"/>
        <v>2.5476102281248112E-2</v>
      </c>
    </row>
    <row r="120" spans="7:16">
      <c r="G120">
        <f t="shared" si="19"/>
        <v>27.5</v>
      </c>
      <c r="H120" s="1"/>
      <c r="I120">
        <f>Interpolate_Interval(G118,G122,I118,I122,G120)</f>
        <v>0.49647620138210063</v>
      </c>
      <c r="K120" s="1">
        <f>(I118/I120-1)/0.5</f>
        <v>2.4055815558030158E-2</v>
      </c>
      <c r="L120" s="1">
        <f t="shared" si="18"/>
        <v>6.1249999999999998E-4</v>
      </c>
      <c r="M120" s="3">
        <f t="shared" si="20"/>
        <v>20.346343996551486</v>
      </c>
      <c r="N120" s="1">
        <f t="shared" si="21"/>
        <v>2.3728436122176535E-2</v>
      </c>
      <c r="O120" s="1">
        <f t="shared" si="22"/>
        <v>0.49106166292001152</v>
      </c>
      <c r="P120" s="1">
        <f t="shared" si="23"/>
        <v>2.5462535614940957E-2</v>
      </c>
    </row>
    <row r="121" spans="7:16">
      <c r="G121">
        <f t="shared" si="19"/>
        <v>27.75</v>
      </c>
      <c r="H121" s="1"/>
      <c r="I121">
        <f>Interpolate_Interval(G118,G122,I118,I122,G121)</f>
        <v>0.49349041639975078</v>
      </c>
      <c r="K121" s="1">
        <f>Interpolate_Interval(G120,G122,K120,K122,G121)</f>
        <v>2.4202247392167697E-2</v>
      </c>
      <c r="L121" s="1">
        <f t="shared" si="18"/>
        <v>6.1075000000000007E-4</v>
      </c>
      <c r="M121" s="3">
        <f t="shared" si="20"/>
        <v>20.469716600651424</v>
      </c>
      <c r="N121" s="1">
        <f t="shared" si="21"/>
        <v>2.387921765843113E-2</v>
      </c>
      <c r="O121" s="1">
        <f t="shared" si="22"/>
        <v>0.49400770418640139</v>
      </c>
      <c r="P121" s="1">
        <f t="shared" si="23"/>
        <v>2.5450516755069964E-2</v>
      </c>
    </row>
    <row r="122" spans="7:16">
      <c r="G122">
        <f t="shared" si="19"/>
        <v>28</v>
      </c>
      <c r="H122" s="1">
        <f>Interpolate_Range($D$17:$D$31,$E$17:$E$31,G122)</f>
        <v>2.4973800000000001E-2</v>
      </c>
      <c r="I122">
        <f>(1-H122*J118)/(1+H122)</f>
        <v>0.49050463141740097</v>
      </c>
      <c r="J122">
        <f>J118+I122</f>
        <v>20.401195195869235</v>
      </c>
      <c r="K122" s="1">
        <f>(I120/I122-1)/0.5</f>
        <v>2.4348679226305237E-2</v>
      </c>
      <c r="L122" s="1">
        <f t="shared" si="18"/>
        <v>6.0900000000000006E-4</v>
      </c>
      <c r="M122" s="3">
        <f t="shared" si="20"/>
        <v>20.592342758505772</v>
      </c>
      <c r="N122" s="1">
        <f t="shared" si="21"/>
        <v>2.4031802902671595E-2</v>
      </c>
      <c r="O122" s="1">
        <f t="shared" si="22"/>
        <v>0.49695463184266903</v>
      </c>
      <c r="P122" s="1">
        <f t="shared" si="23"/>
        <v>2.5440019920856646E-2</v>
      </c>
    </row>
    <row r="123" spans="7:16">
      <c r="G123">
        <f t="shared" si="19"/>
        <v>28.25</v>
      </c>
      <c r="H123" s="1"/>
      <c r="I123">
        <f>Interpolate_Interval(G122,G126,I122,I126,G123)</f>
        <v>0.48759523714667941</v>
      </c>
      <c r="K123" s="1">
        <f>Interpolate_Interval(G122,G124,K122,K124,G123)</f>
        <v>2.4179618139375858E-2</v>
      </c>
      <c r="L123" s="1">
        <f t="shared" si="18"/>
        <v>6.0725000000000004E-4</v>
      </c>
      <c r="M123" s="3">
        <f t="shared" si="20"/>
        <v>20.714241567792442</v>
      </c>
      <c r="N123" s="1">
        <f t="shared" si="21"/>
        <v>2.3555667486931043E-2</v>
      </c>
      <c r="O123" s="1">
        <f t="shared" si="22"/>
        <v>0.49982603966127864</v>
      </c>
      <c r="P123" s="1">
        <f t="shared" si="23"/>
        <v>2.5425474314144225E-2</v>
      </c>
    </row>
    <row r="124" spans="7:16">
      <c r="G124">
        <f t="shared" si="19"/>
        <v>28.5</v>
      </c>
      <c r="H124" s="1"/>
      <c r="I124">
        <f>Interpolate_Interval(G122,G126,I122,I126,G124)</f>
        <v>0.48468584287595784</v>
      </c>
      <c r="K124" s="1">
        <f>(I122/I124-1)/0.5</f>
        <v>2.401055705244648E-2</v>
      </c>
      <c r="L124" s="1">
        <f t="shared" si="18"/>
        <v>6.0550000000000003E-4</v>
      </c>
      <c r="M124" s="3">
        <f t="shared" si="20"/>
        <v>20.835413028511432</v>
      </c>
      <c r="N124" s="1">
        <f t="shared" si="21"/>
        <v>2.370421926876792E-2</v>
      </c>
      <c r="O124" s="1">
        <f t="shared" si="22"/>
        <v>0.50269831453527847</v>
      </c>
      <c r="P124" s="1">
        <f t="shared" si="23"/>
        <v>2.5412433142830176E-2</v>
      </c>
    </row>
    <row r="125" spans="7:16">
      <c r="G125">
        <f t="shared" si="19"/>
        <v>28.75</v>
      </c>
      <c r="H125" s="1"/>
      <c r="I125">
        <f>Interpolate_Interval(G122,G126,I122,I126,G125)</f>
        <v>0.48177644860523627</v>
      </c>
      <c r="K125" s="1">
        <f>Interpolate_Interval(G124,G126,K124,K126,G125)</f>
        <v>2.4156435071184479E-2</v>
      </c>
      <c r="L125" s="1">
        <f t="shared" si="18"/>
        <v>6.0375000000000001E-4</v>
      </c>
      <c r="M125" s="3">
        <f t="shared" si="20"/>
        <v>20.95585714066274</v>
      </c>
      <c r="N125" s="1">
        <f t="shared" si="21"/>
        <v>2.3854533521744332E-2</v>
      </c>
      <c r="O125" s="1">
        <f t="shared" si="22"/>
        <v>0.5055714526460886</v>
      </c>
      <c r="P125" s="1">
        <f t="shared" si="23"/>
        <v>2.5400872072835666E-2</v>
      </c>
    </row>
    <row r="126" spans="7:16">
      <c r="G126">
        <f t="shared" si="19"/>
        <v>29</v>
      </c>
      <c r="H126" s="1">
        <f>Interpolate_Range($D$17:$D$31,$E$17:$E$31,G126)</f>
        <v>2.4958399999999999E-2</v>
      </c>
      <c r="I126">
        <f>(1-H126*J122)/(1+H126)</f>
        <v>0.47886705433451471</v>
      </c>
      <c r="J126">
        <f>J122+I126</f>
        <v>20.88006225020375</v>
      </c>
      <c r="K126" s="1">
        <f>(I124/I126-1)/0.5</f>
        <v>2.4302313089922478E-2</v>
      </c>
      <c r="L126" s="1">
        <f t="shared" si="18"/>
        <v>6.02E-4</v>
      </c>
      <c r="M126" s="3">
        <f t="shared" si="20"/>
        <v>21.075573904246369</v>
      </c>
      <c r="N126" s="1">
        <f t="shared" si="21"/>
        <v>2.400664236995298E-2</v>
      </c>
      <c r="O126" s="1">
        <f t="shared" si="22"/>
        <v>0.50844545017512899</v>
      </c>
      <c r="P126" s="1">
        <f t="shared" si="23"/>
        <v>2.539076787783031E-2</v>
      </c>
    </row>
    <row r="127" spans="7:16">
      <c r="G127">
        <f t="shared" si="19"/>
        <v>29.25</v>
      </c>
      <c r="H127" s="1"/>
      <c r="I127">
        <f>Interpolate_Interval(G126,G130,I126,I130,G127)</f>
        <v>0.47603206058910336</v>
      </c>
      <c r="K127" s="1">
        <f>Interpolate_Interval(G126,G128,K126,K128,G127)</f>
        <v>2.4133452903310371E-2</v>
      </c>
      <c r="L127" s="1">
        <f t="shared" si="18"/>
        <v>6.0025000000000009E-4</v>
      </c>
      <c r="M127" s="3">
        <f t="shared" si="20"/>
        <v>21.194581919393645</v>
      </c>
      <c r="N127" s="1">
        <f t="shared" si="21"/>
        <v>2.3531536385898298E-2</v>
      </c>
      <c r="O127" s="1">
        <f t="shared" si="22"/>
        <v>0.51124589161378065</v>
      </c>
      <c r="P127" s="1">
        <f t="shared" si="23"/>
        <v>2.5376754627012627E-2</v>
      </c>
    </row>
    <row r="128" spans="7:16">
      <c r="G128">
        <f t="shared" si="19"/>
        <v>29.5</v>
      </c>
      <c r="H128" s="1"/>
      <c r="I128">
        <f>Interpolate_Interval(G126,G130,I126,I130,G128)</f>
        <v>0.473197066843692</v>
      </c>
      <c r="K128" s="1">
        <f>(I126/I128-1)/0.5</f>
        <v>2.3964592716698263E-2</v>
      </c>
      <c r="L128" s="1">
        <f t="shared" si="18"/>
        <v>5.9850000000000007E-4</v>
      </c>
      <c r="M128" s="3">
        <f t="shared" si="20"/>
        <v>21.312881186104569</v>
      </c>
      <c r="N128" s="1">
        <f t="shared" si="21"/>
        <v>2.3679623978473018E-2</v>
      </c>
      <c r="O128" s="1">
        <f t="shared" si="22"/>
        <v>0.51404717376642439</v>
      </c>
      <c r="P128" s="1">
        <f t="shared" si="23"/>
        <v>2.5364181201772536E-2</v>
      </c>
    </row>
    <row r="129" spans="5:16">
      <c r="G129">
        <f t="shared" si="19"/>
        <v>29.75</v>
      </c>
      <c r="H129" s="1"/>
      <c r="I129">
        <f>Interpolate_Interval(G126,G130,I126,I130,G129)</f>
        <v>0.47036207309828071</v>
      </c>
      <c r="K129" s="1">
        <f>Interpolate_Interval(G128,G130,K128,K130,G129)</f>
        <v>2.4109909369922189E-2</v>
      </c>
      <c r="L129" s="1">
        <f t="shared" si="18"/>
        <v>5.9675000000000006E-4</v>
      </c>
      <c r="M129" s="3">
        <f t="shared" si="20"/>
        <v>21.430471704379141</v>
      </c>
      <c r="N129" s="1">
        <f t="shared" si="21"/>
        <v>2.3829465052307576E-2</v>
      </c>
      <c r="O129" s="1">
        <f t="shared" si="22"/>
        <v>0.516849292912131</v>
      </c>
      <c r="P129" s="1">
        <f t="shared" si="23"/>
        <v>2.5353025632442513E-2</v>
      </c>
    </row>
    <row r="130" spans="5:16">
      <c r="G130">
        <f t="shared" si="19"/>
        <v>30</v>
      </c>
      <c r="H130" s="1">
        <f>Interpolate_Range($D$17:$D$31,$E$17:$E$31,G130)</f>
        <v>2.4943E-2</v>
      </c>
      <c r="I130">
        <f>(1-H130*J126)/(1+H130)</f>
        <v>0.46752707935286936</v>
      </c>
      <c r="J130">
        <f>J126+I130</f>
        <v>21.347589329556619</v>
      </c>
      <c r="K130" s="1">
        <f>(I128/I130-1)/0.5</f>
        <v>2.4255226023146115E-2</v>
      </c>
      <c r="L130" s="1">
        <f t="shared" si="18"/>
        <v>5.9500000000000004E-4</v>
      </c>
      <c r="M130" s="3">
        <f t="shared" si="20"/>
        <v>21.547353474217356</v>
      </c>
      <c r="N130" s="1">
        <f t="shared" si="21"/>
        <v>2.3981091505715191E-2</v>
      </c>
      <c r="O130" s="1">
        <f t="shared" si="22"/>
        <v>0.51965224532997123</v>
      </c>
      <c r="P130" s="1">
        <f t="shared" si="23"/>
        <v>2.5343266939381926E-2</v>
      </c>
    </row>
    <row r="131" spans="5:16">
      <c r="H131" s="1"/>
      <c r="K131"/>
      <c r="M131" s="3"/>
      <c r="P131" s="1"/>
    </row>
    <row r="132" spans="5:16">
      <c r="H132" s="1"/>
      <c r="K132"/>
      <c r="M132" s="3"/>
      <c r="P132" s="1"/>
    </row>
    <row r="133" spans="5:16">
      <c r="H133" s="1"/>
      <c r="K133"/>
      <c r="M133" s="3"/>
      <c r="P133" s="1"/>
    </row>
    <row r="134" spans="5:16">
      <c r="H134" s="1"/>
      <c r="K134"/>
      <c r="M134" s="3"/>
      <c r="P134" s="1"/>
    </row>
    <row r="135" spans="5:16">
      <c r="H135" s="1"/>
      <c r="K135"/>
      <c r="M135" s="3"/>
      <c r="P135" s="1"/>
    </row>
    <row r="136" spans="5:16">
      <c r="K136"/>
    </row>
    <row r="137" spans="5:16">
      <c r="K137"/>
    </row>
    <row r="138" spans="5:16">
      <c r="K138"/>
    </row>
    <row r="139" spans="5:16">
      <c r="K139"/>
    </row>
    <row r="140" spans="5:16">
      <c r="K140"/>
    </row>
    <row r="141" spans="5:16">
      <c r="K141"/>
    </row>
    <row r="142" spans="5:16">
      <c r="K142"/>
    </row>
    <row r="143" spans="5:16">
      <c r="E143" s="1"/>
      <c r="K143"/>
    </row>
    <row r="144" spans="5:16">
      <c r="E144" s="1"/>
      <c r="K144"/>
    </row>
    <row r="145" spans="5:11">
      <c r="E145" s="1"/>
      <c r="K145"/>
    </row>
    <row r="146" spans="5:11">
      <c r="E146" s="1"/>
      <c r="K146"/>
    </row>
    <row r="147" spans="5:11">
      <c r="E147" s="1"/>
      <c r="K147"/>
    </row>
    <row r="148" spans="5:11">
      <c r="E148" s="1"/>
      <c r="K148"/>
    </row>
    <row r="149" spans="5:11">
      <c r="K149"/>
    </row>
    <row r="150" spans="5:11">
      <c r="K150"/>
    </row>
    <row r="151" spans="5:11">
      <c r="K151"/>
    </row>
    <row r="152" spans="5:11">
      <c r="K152"/>
    </row>
    <row r="153" spans="5:11">
      <c r="K153"/>
    </row>
    <row r="154" spans="5:11">
      <c r="K154"/>
    </row>
    <row r="155" spans="5:11">
      <c r="K155"/>
    </row>
    <row r="156" spans="5:11">
      <c r="K156"/>
    </row>
    <row r="157" spans="5:11">
      <c r="K157"/>
    </row>
    <row r="158" spans="5:11">
      <c r="K158"/>
    </row>
    <row r="159" spans="5:11">
      <c r="K159"/>
    </row>
    <row r="160" spans="5:11">
      <c r="K160"/>
    </row>
    <row r="161" spans="11:11">
      <c r="K161"/>
    </row>
    <row r="162" spans="11:11">
      <c r="K162"/>
    </row>
    <row r="163" spans="11:11">
      <c r="K163"/>
    </row>
    <row r="164" spans="11:11">
      <c r="K164"/>
    </row>
    <row r="165" spans="11:11">
      <c r="K165"/>
    </row>
    <row r="166" spans="11:11">
      <c r="K166"/>
    </row>
    <row r="167" spans="11:11">
      <c r="K167"/>
    </row>
    <row r="168" spans="11:11">
      <c r="K168"/>
    </row>
    <row r="169" spans="11:11">
      <c r="K169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50"/>
  <sheetViews>
    <sheetView zoomScale="85" zoomScaleNormal="85" workbookViewId="0"/>
  </sheetViews>
  <sheetFormatPr defaultRowHeight="13.5"/>
  <cols>
    <col min="5" max="5" width="11.75" bestFit="1" customWidth="1"/>
    <col min="6" max="6" width="6.25" customWidth="1"/>
    <col min="7" max="7" width="13" customWidth="1"/>
    <col min="8" max="9" width="13" style="7" customWidth="1"/>
    <col min="10" max="10" width="13.75" style="6" bestFit="1" customWidth="1"/>
    <col min="11" max="11" width="17" style="10" customWidth="1"/>
    <col min="12" max="12" width="19.125" style="1" customWidth="1"/>
    <col min="13" max="13" width="13.875" customWidth="1"/>
    <col min="14" max="14" width="18.25" customWidth="1"/>
    <col min="15" max="15" width="13.25" customWidth="1"/>
    <col min="17" max="17" width="19.625" customWidth="1"/>
    <col min="18" max="18" width="11.625" customWidth="1"/>
    <col min="20" max="20" width="21.875" bestFit="1" customWidth="1"/>
    <col min="21" max="21" width="13.375" customWidth="1"/>
    <col min="24" max="24" width="9.875" bestFit="1" customWidth="1"/>
    <col min="25" max="25" width="14.625" bestFit="1" customWidth="1"/>
    <col min="27" max="27" width="14.625" bestFit="1" customWidth="1"/>
  </cols>
  <sheetData>
    <row r="1" spans="1:28">
      <c r="A1" t="s">
        <v>66</v>
      </c>
    </row>
    <row r="2" spans="1:28">
      <c r="A2" s="22" t="s">
        <v>154</v>
      </c>
      <c r="B2" s="19"/>
      <c r="C2" s="19"/>
      <c r="D2" s="19"/>
      <c r="T2" s="22" t="s">
        <v>44</v>
      </c>
      <c r="U2" s="20"/>
    </row>
    <row r="3" spans="1:28">
      <c r="T3" s="20"/>
      <c r="U3" s="20"/>
      <c r="V3" s="29"/>
      <c r="W3" s="29"/>
      <c r="X3" s="29"/>
      <c r="Y3" s="29"/>
      <c r="Z3" s="29"/>
      <c r="AA3" s="29"/>
      <c r="AB3" s="29"/>
    </row>
    <row r="4" spans="1:28">
      <c r="T4" s="20"/>
      <c r="U4" s="20"/>
      <c r="V4" s="29"/>
      <c r="W4" s="29"/>
      <c r="X4" s="29"/>
      <c r="Y4" s="29"/>
      <c r="Z4" s="29"/>
      <c r="AA4" s="29"/>
      <c r="AB4" s="29"/>
    </row>
    <row r="5" spans="1:28">
      <c r="T5" s="20"/>
      <c r="U5" s="20"/>
      <c r="V5" s="29"/>
      <c r="W5" s="29"/>
      <c r="X5" s="29"/>
      <c r="Y5" s="29"/>
      <c r="Z5" s="29"/>
      <c r="AA5" s="29"/>
      <c r="AB5" s="29"/>
    </row>
    <row r="6" spans="1:28">
      <c r="T6" s="20"/>
      <c r="U6" s="20"/>
      <c r="V6" s="29"/>
      <c r="W6" s="29"/>
      <c r="X6" s="29"/>
      <c r="Y6" s="29"/>
      <c r="Z6" s="29"/>
      <c r="AA6" s="29"/>
      <c r="AB6" s="29"/>
    </row>
    <row r="7" spans="1:28">
      <c r="H7"/>
      <c r="I7"/>
      <c r="J7"/>
      <c r="K7" s="4"/>
      <c r="L7"/>
      <c r="M7" s="7"/>
      <c r="N7" s="7"/>
      <c r="O7" s="7"/>
      <c r="P7" s="10"/>
      <c r="Q7" s="1"/>
      <c r="T7" s="20"/>
      <c r="U7" s="20"/>
      <c r="V7" s="29"/>
      <c r="W7" s="29"/>
      <c r="X7" s="29"/>
      <c r="Y7" s="29"/>
      <c r="Z7" s="29"/>
      <c r="AA7" s="29"/>
      <c r="AB7" s="29"/>
    </row>
    <row r="8" spans="1:28">
      <c r="H8" s="23" t="s">
        <v>49</v>
      </c>
      <c r="I8"/>
      <c r="J8"/>
      <c r="K8" s="4"/>
      <c r="L8"/>
      <c r="M8" s="7"/>
      <c r="N8" s="7"/>
      <c r="O8" s="7"/>
      <c r="P8" s="10"/>
      <c r="Q8" s="1"/>
      <c r="T8" s="23" t="s">
        <v>30</v>
      </c>
      <c r="V8" s="29"/>
      <c r="W8" s="23" t="s">
        <v>50</v>
      </c>
      <c r="AB8" s="29"/>
    </row>
    <row r="9" spans="1:28">
      <c r="A9" s="23" t="s">
        <v>23</v>
      </c>
      <c r="H9" t="s">
        <v>2</v>
      </c>
      <c r="I9" t="s">
        <v>69</v>
      </c>
      <c r="J9" t="s">
        <v>10</v>
      </c>
      <c r="K9" s="4" t="s">
        <v>85</v>
      </c>
      <c r="L9" s="4" t="s">
        <v>70</v>
      </c>
      <c r="M9" s="7" t="s">
        <v>11</v>
      </c>
      <c r="N9" s="7" t="s">
        <v>71</v>
      </c>
      <c r="O9" s="7" t="s">
        <v>76</v>
      </c>
      <c r="P9" s="10" t="s">
        <v>12</v>
      </c>
      <c r="Q9" s="1" t="s">
        <v>84</v>
      </c>
      <c r="R9" t="s">
        <v>81</v>
      </c>
      <c r="T9" t="s">
        <v>78</v>
      </c>
      <c r="U9" t="s">
        <v>79</v>
      </c>
      <c r="W9" t="s">
        <v>17</v>
      </c>
      <c r="X9" t="s">
        <v>32</v>
      </c>
      <c r="Y9" t="s">
        <v>41</v>
      </c>
      <c r="Z9" t="s">
        <v>42</v>
      </c>
      <c r="AA9" t="s">
        <v>41</v>
      </c>
    </row>
    <row r="10" spans="1:28">
      <c r="H10" s="2">
        <v>0</v>
      </c>
      <c r="I10" s="2">
        <f>Interpolate_Range('試算番号2-1'!$G$10:$G$130,'試算番号2-1'!$I$10:$I$130,H10)</f>
        <v>1</v>
      </c>
      <c r="J10" s="1"/>
      <c r="K10" s="5"/>
      <c r="M10" s="8"/>
      <c r="N10" s="8"/>
      <c r="O10" s="9">
        <f>I10*Interpolate_Range($D$35:$D$45,$E$35:$E$45,H10)/$E$35</f>
        <v>1</v>
      </c>
      <c r="P10" s="10"/>
      <c r="Q10" s="1"/>
      <c r="R10" s="1">
        <f>R11</f>
        <v>3.8758752600459726E-3</v>
      </c>
      <c r="T10" t="s">
        <v>74</v>
      </c>
      <c r="U10">
        <v>100</v>
      </c>
      <c r="W10">
        <v>0</v>
      </c>
    </row>
    <row r="11" spans="1:28">
      <c r="H11" s="2">
        <f>7/365</f>
        <v>1.9178082191780823E-2</v>
      </c>
      <c r="I11" s="2">
        <f>Interpolate_Range('試算番号2-1'!$G$10:$G$130,'試算番号2-1'!$I$10:$I$130,H11)</f>
        <v>0.99995844635665232</v>
      </c>
      <c r="J11" s="1"/>
      <c r="K11" s="5"/>
      <c r="M11" s="8"/>
      <c r="N11" s="8"/>
      <c r="O11" s="9">
        <f t="shared" ref="O11:O20" si="0">I11*Interpolate_Range($D$35:$D$45,$E$35:$E$45,H11)/$E$35</f>
        <v>0.99992567090824158</v>
      </c>
      <c r="P11" s="10"/>
      <c r="Q11" s="1"/>
      <c r="R11" s="1">
        <f>-LN(O11)/H11</f>
        <v>3.8758752600459726E-3</v>
      </c>
      <c r="T11" t="s">
        <v>75</v>
      </c>
      <c r="U11">
        <v>1</v>
      </c>
      <c r="W11">
        <v>0.25</v>
      </c>
      <c r="X11" s="1">
        <f>J16/4</f>
        <v>3.8572499999991832E-4</v>
      </c>
      <c r="Y11" s="1">
        <f>X11*Interpolate_Range($H$10:$H$137,$I$10:$I$137,W11)</f>
        <v>3.8551605993333599E-4</v>
      </c>
      <c r="Z11" s="1">
        <f>P16/4</f>
        <v>6.8812499999992838E-4</v>
      </c>
      <c r="AA11" s="1">
        <f>Z11*Interpolate_Range($H$10:$H$137,$O$10:$O$137,W11)</f>
        <v>6.874028494293625E-4</v>
      </c>
    </row>
    <row r="12" spans="1:28">
      <c r="B12" s="1"/>
      <c r="H12" s="2">
        <f>14/365</f>
        <v>3.8356164383561646E-2</v>
      </c>
      <c r="I12" s="2">
        <f>Interpolate_Range('試算番号2-1'!$G$10:$G$130,'試算番号2-1'!$I$10:$I$130,H12)</f>
        <v>0.99991689271330464</v>
      </c>
      <c r="J12" s="1"/>
      <c r="K12" s="5"/>
      <c r="M12" s="8"/>
      <c r="N12" s="8"/>
      <c r="O12" s="9">
        <f t="shared" si="0"/>
        <v>0.99985032035027444</v>
      </c>
      <c r="P12" s="10"/>
      <c r="Q12" s="1"/>
      <c r="R12" s="1">
        <f t="shared" ref="R12:R75" si="1">-LN(O12)/H12</f>
        <v>3.9026543776734361E-3</v>
      </c>
      <c r="T12" t="s">
        <v>34</v>
      </c>
      <c r="U12" s="26" t="s">
        <v>72</v>
      </c>
      <c r="W12">
        <v>0.5</v>
      </c>
      <c r="X12" s="1">
        <f>Interpolate_Range($H$19:$H$137,$J$19:$J$137,W12)/4</f>
        <v>5.1211276409095707E-4</v>
      </c>
      <c r="Y12" s="1">
        <f t="shared" ref="Y12:Y50" si="2">X12*Interpolate_Range($H$10:$H$137,$I$10:$I$137,W12)</f>
        <v>5.1149349891182452E-4</v>
      </c>
      <c r="Z12" s="1">
        <f t="shared" ref="Z12:Z49" si="3">Interpolate_Range($H$19:$H$137,$P$19:$P$137,W12)/4</f>
        <v>8.4509347005612412E-4</v>
      </c>
      <c r="AA12" s="1">
        <f t="shared" ref="AA12:AA50" si="4">Z12*Interpolate_Range($H$10:$H$137,$O$10:$O$137,W12)</f>
        <v>8.4297788212231515E-4</v>
      </c>
    </row>
    <row r="13" spans="1:28">
      <c r="B13" s="1"/>
      <c r="C13" s="1"/>
      <c r="H13" s="2">
        <f>21/365</f>
        <v>5.7534246575342465E-2</v>
      </c>
      <c r="I13" s="2">
        <f>Interpolate_Range('試算番号2-1'!$G$10:$G$130,'試算番号2-1'!$I$10:$I$130,H13)</f>
        <v>0.99987533906995685</v>
      </c>
      <c r="J13" s="1"/>
      <c r="K13" s="5"/>
      <c r="M13" s="8"/>
      <c r="N13" s="8"/>
      <c r="O13" s="9">
        <f t="shared" si="0"/>
        <v>0.99977394845378575</v>
      </c>
      <c r="P13" s="10"/>
      <c r="Q13" s="1"/>
      <c r="R13" s="1">
        <f t="shared" si="1"/>
        <v>3.9294353045881397E-3</v>
      </c>
      <c r="T13" t="s">
        <v>31</v>
      </c>
      <c r="U13" s="12" t="s">
        <v>73</v>
      </c>
      <c r="W13">
        <v>0.75</v>
      </c>
      <c r="X13" s="1">
        <f t="shared" ref="X13:X49" si="5">Interpolate_Range($H$19:$H$137,$J$19:$J$137,W13)/4</f>
        <v>4.317940275480431E-4</v>
      </c>
      <c r="Y13" s="1">
        <f t="shared" si="2"/>
        <v>4.3101842886199043E-4</v>
      </c>
      <c r="Z13" s="1">
        <f t="shared" si="3"/>
        <v>8.8941790540819632E-4</v>
      </c>
      <c r="AA13" s="1">
        <f t="shared" si="4"/>
        <v>8.8578513632790203E-4</v>
      </c>
    </row>
    <row r="14" spans="1:28">
      <c r="H14" s="2">
        <f>1/12</f>
        <v>8.3333333333333329E-2</v>
      </c>
      <c r="I14" s="2">
        <f>Interpolate_Range('試算番号2-1'!$G$10:$G$130,'試算番号2-1'!$I$10:$I$130,H14)</f>
        <v>0.99981943952592967</v>
      </c>
      <c r="J14" s="1"/>
      <c r="K14" s="5"/>
      <c r="M14" s="8"/>
      <c r="N14" s="8"/>
      <c r="O14" s="9">
        <f t="shared" si="0"/>
        <v>0.99965660915526011</v>
      </c>
      <c r="P14" s="10"/>
      <c r="Q14" s="1"/>
      <c r="R14" s="1">
        <f t="shared" si="1"/>
        <v>4.1213978025207371E-3</v>
      </c>
      <c r="T14" t="s">
        <v>77</v>
      </c>
      <c r="U14">
        <f>E35</f>
        <v>97.63</v>
      </c>
      <c r="W14">
        <v>1</v>
      </c>
      <c r="X14" s="1">
        <f t="shared" si="5"/>
        <v>4.3214002678905385E-4</v>
      </c>
      <c r="Y14" s="1">
        <f t="shared" si="2"/>
        <v>4.311101457007702E-4</v>
      </c>
      <c r="Z14" s="1">
        <f t="shared" si="3"/>
        <v>8.9020967383168781E-4</v>
      </c>
      <c r="AA14" s="1">
        <f t="shared" si="4"/>
        <v>8.8496722694441092E-4</v>
      </c>
    </row>
    <row r="15" spans="1:28">
      <c r="H15" s="2">
        <f>2/12</f>
        <v>0.16666666666666666</v>
      </c>
      <c r="I15" s="2">
        <f>Interpolate_Range('試算番号2-1'!$G$10:$G$130,'試算番号2-1'!$I$10:$I$130,H15)</f>
        <v>0.99963887905185922</v>
      </c>
      <c r="J15" s="1"/>
      <c r="K15" s="5"/>
      <c r="M15" s="8"/>
      <c r="N15" s="8"/>
      <c r="O15" s="9">
        <f t="shared" si="0"/>
        <v>0.99932863570416619</v>
      </c>
      <c r="P15" s="10"/>
      <c r="Q15" s="1"/>
      <c r="R15" s="1">
        <f t="shared" si="1"/>
        <v>4.0295385705690009E-3</v>
      </c>
      <c r="T15" t="s">
        <v>38</v>
      </c>
      <c r="U15" s="12" t="s">
        <v>37</v>
      </c>
      <c r="W15">
        <v>1.25</v>
      </c>
      <c r="X15" s="1">
        <f t="shared" si="5"/>
        <v>5.0356839446960176E-4</v>
      </c>
      <c r="Y15" s="1">
        <f t="shared" si="2"/>
        <v>5.0202410497714027E-4</v>
      </c>
      <c r="Z15" s="1">
        <f t="shared" si="3"/>
        <v>1.3851908395821066E-3</v>
      </c>
      <c r="AA15" s="1">
        <f t="shared" si="4"/>
        <v>1.3741083025742599E-3</v>
      </c>
    </row>
    <row r="16" spans="1:28">
      <c r="B16" t="s">
        <v>150</v>
      </c>
      <c r="H16" s="2">
        <f>3/12</f>
        <v>0.25</v>
      </c>
      <c r="I16" s="2">
        <f>Interpolate_Range('試算番号2-1'!$G$10:$G$130,'試算番号2-1'!$I$10:$I$130,H16)</f>
        <v>0.99945831857778888</v>
      </c>
      <c r="J16" s="1">
        <f>Interpolate_Range('試算番号2-1'!$G$11:$G$130,'試算番号2-1'!$N$11:$N$130,H16)</f>
        <v>1.5428999999996733E-3</v>
      </c>
      <c r="K16" s="5">
        <f>K10+I16*0.25</f>
        <v>0.24986457964444722</v>
      </c>
      <c r="L16" s="1">
        <f>L10+J16*I16*0.25</f>
        <v>3.8551605993333599E-4</v>
      </c>
      <c r="M16" s="1">
        <f>Interpolate_Range($A$35:$A$49,$B$35:$B$49,H16)</f>
        <v>-1.9675000000000001E-3</v>
      </c>
      <c r="N16" s="1">
        <f>M16*K16</f>
        <v>-4.9160856045044987E-4</v>
      </c>
      <c r="O16" s="9">
        <f t="shared" si="0"/>
        <v>0.99895055321261983</v>
      </c>
      <c r="P16" s="10">
        <f>Interpolate_Range('試算番号2-2'!$G$11:$G$130,'試算番号2-2'!$K$11:$K$130,H16)</f>
        <v>2.7524999999997135E-3</v>
      </c>
      <c r="Q16" s="1">
        <f>Q10+P16*O16*0.25</f>
        <v>6.874028494293625E-4</v>
      </c>
      <c r="R16" s="1">
        <f t="shared" si="1"/>
        <v>4.1999913689153507E-3</v>
      </c>
      <c r="T16" t="s">
        <v>35</v>
      </c>
      <c r="U16" s="12" t="s">
        <v>39</v>
      </c>
      <c r="W16">
        <v>1.5</v>
      </c>
      <c r="X16" s="1">
        <f t="shared" si="5"/>
        <v>4.9372806548717149E-4</v>
      </c>
      <c r="Y16" s="1">
        <f t="shared" si="2"/>
        <v>4.918764994426574E-4</v>
      </c>
      <c r="Z16" s="1">
        <f t="shared" si="3"/>
        <v>1.3871122547710613E-3</v>
      </c>
      <c r="AA16" s="1">
        <f t="shared" si="4"/>
        <v>1.3714088951033677E-3</v>
      </c>
    </row>
    <row r="17" spans="1:27">
      <c r="A17">
        <v>1</v>
      </c>
      <c r="B17" s="1">
        <v>1.075E-3</v>
      </c>
      <c r="C17" s="32"/>
      <c r="E17" s="1"/>
      <c r="F17" s="1"/>
      <c r="H17" s="2">
        <f>4/12</f>
        <v>0.33333333333333331</v>
      </c>
      <c r="I17" s="2">
        <f>Interpolate_Range('試算番号2-1'!$G$10:$G$130,'試算番号2-1'!$I$10:$I$130,H17)</f>
        <v>0.99923580039252546</v>
      </c>
      <c r="J17" s="1"/>
      <c r="K17" s="5"/>
      <c r="M17" s="8"/>
      <c r="N17" s="8"/>
      <c r="O17" s="9">
        <f t="shared" si="0"/>
        <v>0.99853061400875975</v>
      </c>
      <c r="P17" s="10"/>
      <c r="Q17" s="1"/>
      <c r="R17" s="1">
        <f t="shared" si="1"/>
        <v>4.4113997925522303E-3</v>
      </c>
      <c r="W17">
        <v>1.75</v>
      </c>
      <c r="X17" s="1">
        <f t="shared" si="5"/>
        <v>5.4236455128775746E-4</v>
      </c>
      <c r="Y17" s="1">
        <f t="shared" si="2"/>
        <v>5.3992833985714141E-4</v>
      </c>
      <c r="Z17" s="1">
        <f t="shared" si="3"/>
        <v>1.7574850254131746E-3</v>
      </c>
      <c r="AA17" s="1">
        <f t="shared" si="4"/>
        <v>1.7322104640798575E-3</v>
      </c>
    </row>
    <row r="18" spans="1:27">
      <c r="A18">
        <v>2</v>
      </c>
      <c r="B18" s="1">
        <v>1.0625000000000001E-3</v>
      </c>
      <c r="C18" s="32"/>
      <c r="E18" s="1"/>
      <c r="F18" s="1"/>
      <c r="H18" s="2">
        <f>5/12</f>
        <v>0.41666666666666669</v>
      </c>
      <c r="I18" s="2">
        <f>Interpolate_Range('試算番号2-1'!$G$10:$G$130,'試算番号2-1'!$I$10:$I$130,H18)</f>
        <v>0.99901328220726204</v>
      </c>
      <c r="J18" s="1"/>
      <c r="K18" s="5"/>
      <c r="M18" s="8"/>
      <c r="N18" s="8"/>
      <c r="O18" s="9">
        <f t="shared" si="0"/>
        <v>0.9979623894070706</v>
      </c>
      <c r="P18" s="10"/>
      <c r="Q18" s="1"/>
      <c r="R18" s="1">
        <f t="shared" si="1"/>
        <v>4.8952544295984149E-3</v>
      </c>
      <c r="T18" s="23" t="s">
        <v>43</v>
      </c>
      <c r="W18">
        <v>2</v>
      </c>
      <c r="X18" s="1">
        <f t="shared" si="5"/>
        <v>5.3260008576943598E-4</v>
      </c>
      <c r="Y18" s="1">
        <f t="shared" si="2"/>
        <v>5.2981272649663558E-4</v>
      </c>
      <c r="Z18" s="1">
        <f t="shared" si="3"/>
        <v>1.7605792170232171E-3</v>
      </c>
      <c r="AA18" s="1">
        <f t="shared" si="4"/>
        <v>1.7281957123068119E-3</v>
      </c>
    </row>
    <row r="19" spans="1:27">
      <c r="A19">
        <v>3</v>
      </c>
      <c r="B19" s="1">
        <v>1.0499999999999999E-3</v>
      </c>
      <c r="C19" s="32"/>
      <c r="E19" s="1"/>
      <c r="F19" s="1"/>
      <c r="H19" s="2">
        <f>6/12</f>
        <v>0.5</v>
      </c>
      <c r="I19" s="2">
        <f>Interpolate_Range('試算番号2-1'!$G$10:$G$130,'試算番号2-1'!$I$10:$I$130,H19)</f>
        <v>0.99879076402199862</v>
      </c>
      <c r="J19" s="1">
        <f>Interpolate_Range('試算番号2-1'!$G$11:$G$130,'試算番号2-1'!$N$11:$N$130,H19)</f>
        <v>2.0484510563638283E-3</v>
      </c>
      <c r="K19" s="5">
        <f>K16+I19*0.25</f>
        <v>0.49956227064994685</v>
      </c>
      <c r="L19" s="1">
        <f>L16+J19*I19*0.25</f>
        <v>8.9700955884516051E-4</v>
      </c>
      <c r="M19" s="1">
        <f>Interpolate_Range($A$35:$A$49,$B$35:$B$49,H19)</f>
        <v>-1.9675000000000001E-3</v>
      </c>
      <c r="N19" s="1">
        <f>M19*K19</f>
        <v>-9.8288876750377051E-4</v>
      </c>
      <c r="O19" s="9">
        <f t="shared" si="0"/>
        <v>0.99749662255268823</v>
      </c>
      <c r="P19" s="10">
        <f>Interpolate_Range('試算番号2-2'!$G$11:$G$130,'試算番号2-2'!$K$11:$K$130,H19)</f>
        <v>3.3803738802244965E-3</v>
      </c>
      <c r="Q19" s="1">
        <f>Q16+P19*O19*0.25</f>
        <v>1.5303807315516778E-3</v>
      </c>
      <c r="R19" s="1">
        <f t="shared" si="1"/>
        <v>5.0130322718854913E-3</v>
      </c>
      <c r="T19" t="s">
        <v>45</v>
      </c>
      <c r="U19" s="34">
        <f>$U$10*SUM(Y11:Y50)</f>
        <v>98.636284208792233</v>
      </c>
      <c r="W19">
        <v>2.25</v>
      </c>
      <c r="X19" s="1">
        <f t="shared" si="5"/>
        <v>6.9233437319552197E-4</v>
      </c>
      <c r="Y19" s="1">
        <f t="shared" si="2"/>
        <v>6.8808749257385018E-4</v>
      </c>
      <c r="Z19" s="1">
        <f t="shared" si="3"/>
        <v>3.0488366862042593E-3</v>
      </c>
      <c r="AA19" s="1">
        <f t="shared" si="4"/>
        <v>2.9818725939715907E-3</v>
      </c>
    </row>
    <row r="20" spans="1:27">
      <c r="A20">
        <v>4</v>
      </c>
      <c r="B20" s="1">
        <v>1.0375E-3</v>
      </c>
      <c r="C20" s="32"/>
      <c r="E20" s="1"/>
      <c r="F20" s="1"/>
      <c r="H20" s="2">
        <f>9/12</f>
        <v>0.75</v>
      </c>
      <c r="I20" s="2">
        <f>Interpolate_Range('試算番号2-1'!$G$10:$G$130,'試算番号2-1'!$I$10:$I$130,H20)</f>
        <v>0.99820377625309709</v>
      </c>
      <c r="J20" s="1">
        <f>Interpolate_Range('試算番号2-1'!$G$11:$G$130,'試算番号2-1'!$N$11:$N$130,H20)</f>
        <v>1.7271761101921724E-3</v>
      </c>
      <c r="K20" s="5">
        <f t="shared" ref="K20:K51" si="6">K19+I20*0.25</f>
        <v>0.74911321471322112</v>
      </c>
      <c r="L20" s="1">
        <f>L19+J20*I20*0.25</f>
        <v>1.3280279877071509E-3</v>
      </c>
      <c r="M20" s="1">
        <f t="shared" ref="M20:M83" si="7">Interpolate_Range($A$35:$A$49,$B$35:$B$49,H20)</f>
        <v>-1.9675000000000001E-3</v>
      </c>
      <c r="N20" s="1">
        <f t="shared" ref="N20:N83" si="8">M20*K20</f>
        <v>-1.4738802499482625E-3</v>
      </c>
      <c r="O20" s="9">
        <f t="shared" si="0"/>
        <v>0.9959155656095916</v>
      </c>
      <c r="P20" s="10">
        <f>Interpolate_Range('試算番号2-2'!$G$11:$G$130,'試算番号2-2'!$K$11:$K$130,H20)</f>
        <v>3.5576716216327853E-3</v>
      </c>
      <c r="Q20" s="1">
        <f t="shared" ref="Q20:Q51" si="9">Q19+P20*O20*0.25</f>
        <v>2.4161658678795799E-3</v>
      </c>
      <c r="R20" s="1">
        <f t="shared" si="1"/>
        <v>5.4570646338126831E-3</v>
      </c>
      <c r="T20" t="s">
        <v>46</v>
      </c>
      <c r="U20" s="34">
        <f>$U$14*$U$11*SUM(AA11:AA50)</f>
        <v>89.503186444469989</v>
      </c>
      <c r="W20">
        <v>2.5</v>
      </c>
      <c r="X20" s="1">
        <f t="shared" si="5"/>
        <v>6.8491573998634588E-4</v>
      </c>
      <c r="Y20" s="1">
        <f t="shared" si="2"/>
        <v>6.8009749502431251E-4</v>
      </c>
      <c r="Z20" s="1">
        <f t="shared" si="3"/>
        <v>3.0581605181845273E-3</v>
      </c>
      <c r="AA20" s="1">
        <f t="shared" si="4"/>
        <v>2.9719382565100904E-3</v>
      </c>
    </row>
    <row r="21" spans="1:27">
      <c r="A21">
        <v>5</v>
      </c>
      <c r="B21" s="1">
        <v>1.0375E-3</v>
      </c>
      <c r="C21" s="32"/>
      <c r="E21" s="1"/>
      <c r="F21" s="1"/>
      <c r="H21" s="13">
        <f>H20+0.25</f>
        <v>1</v>
      </c>
      <c r="I21" s="2">
        <f>Interpolate_Range('試算番号2-1'!$G$10:$G$130,'試算番号2-1'!$I$10:$I$130,H21)</f>
        <v>0.99761678848419566</v>
      </c>
      <c r="J21" s="1">
        <f>Interpolate_Range('試算番号2-1'!$G$11:$G$130,'試算番号2-1'!$N$11:$N$130,H21)</f>
        <v>1.7285601071562154E-3</v>
      </c>
      <c r="K21" s="5">
        <f t="shared" si="6"/>
        <v>0.99851741183427001</v>
      </c>
      <c r="L21" s="1">
        <f t="shared" ref="L21:L84" si="10">L20+J21*I21*0.25</f>
        <v>1.7591381334079211E-3</v>
      </c>
      <c r="M21" s="1">
        <f t="shared" si="7"/>
        <v>-1.9675000000000001E-3</v>
      </c>
      <c r="N21" s="1">
        <f t="shared" si="8"/>
        <v>-1.9645830077839265E-3</v>
      </c>
      <c r="O21" s="18">
        <f t="shared" ref="O21:O52" si="11">(I21+L21+N21-Q20)/(1+P20*0.25)</f>
        <v>0.99411099762069299</v>
      </c>
      <c r="P21" s="10">
        <f>Interpolate_Range('試算番号2-2'!$G$11:$G$130,'試算番号2-2'!$K$11:$K$130,H21)</f>
        <v>3.5608386953267512E-3</v>
      </c>
      <c r="Q21" s="1">
        <f t="shared" si="9"/>
        <v>3.301133094823991E-3</v>
      </c>
      <c r="R21" s="1">
        <f t="shared" si="1"/>
        <v>5.9064109334765981E-3</v>
      </c>
      <c r="T21" t="s">
        <v>47</v>
      </c>
      <c r="U21" s="28">
        <f>U19-U20</f>
        <v>9.133097764322244</v>
      </c>
      <c r="W21">
        <v>2.75</v>
      </c>
      <c r="X21" s="1">
        <f t="shared" si="5"/>
        <v>7.7615852842254844E-4</v>
      </c>
      <c r="Y21" s="1">
        <f t="shared" si="2"/>
        <v>7.6992346159324588E-4</v>
      </c>
      <c r="Z21" s="1">
        <f t="shared" si="3"/>
        <v>3.7948613332834391E-3</v>
      </c>
      <c r="AA21" s="1">
        <f t="shared" si="4"/>
        <v>3.6683827908848246E-3</v>
      </c>
    </row>
    <row r="22" spans="1:27">
      <c r="A22">
        <v>6</v>
      </c>
      <c r="B22" s="1">
        <v>1.0375E-3</v>
      </c>
      <c r="C22" s="32"/>
      <c r="E22" s="1"/>
      <c r="F22" s="1"/>
      <c r="H22" s="13">
        <f t="shared" ref="H22:H85" si="12">H21+0.25</f>
        <v>1.25</v>
      </c>
      <c r="I22" s="2">
        <f>Interpolate_Range('試算番号2-1'!$G$10:$G$130,'試算番号2-1'!$I$10:$I$130,H22)</f>
        <v>0.99693330735323826</v>
      </c>
      <c r="J22" s="1">
        <f>Interpolate_Range('試算番号2-1'!$G$11:$G$130,'試算番号2-1'!$N$11:$N$130,H22)</f>
        <v>2.014273577878407E-3</v>
      </c>
      <c r="K22" s="5">
        <f t="shared" si="6"/>
        <v>1.2477507386725795</v>
      </c>
      <c r="L22" s="1">
        <f t="shared" si="10"/>
        <v>2.2611622383850614E-3</v>
      </c>
      <c r="M22" s="1">
        <f t="shared" si="7"/>
        <v>-2.4131249999999999E-3</v>
      </c>
      <c r="N22" s="1">
        <f t="shared" si="8"/>
        <v>-3.0109785012592681E-3</v>
      </c>
      <c r="O22" s="18">
        <f t="shared" si="11"/>
        <v>0.9919992706483749</v>
      </c>
      <c r="P22" s="10">
        <f>Interpolate_Range('試算番号2-2'!$G$11:$G$130,'試算番号2-2'!$K$11:$K$130,H22)</f>
        <v>5.5407633583284266E-3</v>
      </c>
      <c r="Q22" s="1">
        <f t="shared" si="9"/>
        <v>4.6752413973982507E-3</v>
      </c>
      <c r="R22" s="1">
        <f t="shared" si="1"/>
        <v>6.4263255448220712E-3</v>
      </c>
      <c r="W22">
        <v>3</v>
      </c>
      <c r="X22" s="1">
        <f t="shared" si="5"/>
        <v>7.6891997646444225E-4</v>
      </c>
      <c r="Y22" s="1">
        <f t="shared" si="2"/>
        <v>7.6197533876895106E-4</v>
      </c>
      <c r="Z22" s="1">
        <f t="shared" si="3"/>
        <v>3.809317163693926E-3</v>
      </c>
      <c r="AA22" s="1">
        <f t="shared" si="4"/>
        <v>3.6568866105062725E-3</v>
      </c>
    </row>
    <row r="23" spans="1:27">
      <c r="A23">
        <v>7</v>
      </c>
      <c r="B23" s="1">
        <v>1.0499999999999999E-3</v>
      </c>
      <c r="C23" s="32"/>
      <c r="E23" s="1"/>
      <c r="F23" s="1"/>
      <c r="H23" s="13">
        <f t="shared" si="12"/>
        <v>1.5</v>
      </c>
      <c r="I23" s="2">
        <f>Interpolate_Range('試算番号2-1'!$G$10:$G$130,'試算番号2-1'!$I$10:$I$130,H23)</f>
        <v>0.99624982622228075</v>
      </c>
      <c r="J23" s="1">
        <f>Interpolate_Range('試算番号2-1'!$G$11:$G$130,'試算番号2-1'!$N$11:$N$130,H23)</f>
        <v>1.9749122619486859E-3</v>
      </c>
      <c r="K23" s="5">
        <f t="shared" si="6"/>
        <v>1.4968131952281496</v>
      </c>
      <c r="L23" s="1">
        <f t="shared" si="10"/>
        <v>2.7530387378277188E-3</v>
      </c>
      <c r="M23" s="1">
        <f t="shared" si="7"/>
        <v>-2.8587500000000002E-3</v>
      </c>
      <c r="N23" s="1">
        <f t="shared" si="8"/>
        <v>-4.2790147218584726E-3</v>
      </c>
      <c r="O23" s="18">
        <f t="shared" si="11"/>
        <v>0.98867909960878742</v>
      </c>
      <c r="P23" s="10">
        <f>Interpolate_Range('試算番号2-2'!$G$11:$G$130,'試算番号2-2'!$K$11:$K$130,H23)</f>
        <v>5.548449019084245E-3</v>
      </c>
      <c r="Q23" s="1">
        <f t="shared" si="9"/>
        <v>6.0466502925016182E-3</v>
      </c>
      <c r="R23" s="1">
        <f t="shared" si="1"/>
        <v>7.5903130449288094E-3</v>
      </c>
      <c r="W23">
        <v>3.25</v>
      </c>
      <c r="X23" s="1">
        <f t="shared" si="5"/>
        <v>9.5473928528312603E-4</v>
      </c>
      <c r="Y23" s="1">
        <f t="shared" si="2"/>
        <v>9.4492509205120617E-4</v>
      </c>
      <c r="Z23" s="1">
        <f t="shared" si="3"/>
        <v>5.4407551013941902E-3</v>
      </c>
      <c r="AA23" s="1">
        <f t="shared" si="4"/>
        <v>5.190471645540989E-3</v>
      </c>
    </row>
    <row r="24" spans="1:27">
      <c r="A24">
        <v>8</v>
      </c>
      <c r="B24" s="1">
        <v>1.0499999999999999E-3</v>
      </c>
      <c r="C24" s="32"/>
      <c r="E24" s="1"/>
      <c r="F24" s="1"/>
      <c r="H24" s="13">
        <f t="shared" si="12"/>
        <v>1.75</v>
      </c>
      <c r="I24" s="2">
        <f>Interpolate_Range('試算番号2-1'!$G$10:$G$130,'試算番号2-1'!$I$10:$I$130,H24)</f>
        <v>0.99550816618668814</v>
      </c>
      <c r="J24" s="1">
        <f>Interpolate_Range('試算番号2-1'!$G$11:$G$130,'試算番号2-1'!$N$11:$N$130,H24)</f>
        <v>2.1694582051510298E-3</v>
      </c>
      <c r="K24" s="5">
        <f t="shared" si="6"/>
        <v>1.7456902367748217</v>
      </c>
      <c r="L24" s="1">
        <f t="shared" si="10"/>
        <v>3.2929670776848602E-3</v>
      </c>
      <c r="M24" s="1">
        <f t="shared" si="7"/>
        <v>-3.304375E-3</v>
      </c>
      <c r="N24" s="1">
        <f t="shared" si="8"/>
        <v>-5.7684151761428016E-3</v>
      </c>
      <c r="O24" s="18">
        <f t="shared" si="11"/>
        <v>0.98561890373582262</v>
      </c>
      <c r="P24" s="10">
        <f>Interpolate_Range('試算番号2-2'!$G$11:$G$130,'試算番号2-2'!$K$11:$K$130,H24)</f>
        <v>7.0299401016526986E-3</v>
      </c>
      <c r="Q24" s="1">
        <f t="shared" si="9"/>
        <v>7.7788607565814757E-3</v>
      </c>
      <c r="R24" s="1">
        <f t="shared" si="1"/>
        <v>8.2774322628834784E-3</v>
      </c>
      <c r="W24">
        <v>3.5</v>
      </c>
      <c r="X24" s="1">
        <f t="shared" si="5"/>
        <v>9.3893841671379363E-4</v>
      </c>
      <c r="Y24" s="1">
        <f t="shared" si="2"/>
        <v>9.2811506819188289E-4</v>
      </c>
      <c r="Z24" s="1">
        <f t="shared" si="3"/>
        <v>5.4705188547603534E-3</v>
      </c>
      <c r="AA24" s="1">
        <f t="shared" si="4"/>
        <v>5.1686869447485758E-3</v>
      </c>
    </row>
    <row r="25" spans="1:27">
      <c r="A25">
        <v>9</v>
      </c>
      <c r="B25" s="1">
        <v>1.0375E-3</v>
      </c>
      <c r="C25" s="32"/>
      <c r="E25" s="1"/>
      <c r="F25" s="1"/>
      <c r="H25" s="13">
        <f t="shared" si="12"/>
        <v>2</v>
      </c>
      <c r="I25" s="2">
        <f>Interpolate_Range('試算番号2-1'!$G$10:$G$130,'試算番号2-1'!$I$10:$I$130,H25)</f>
        <v>0.99476650615109552</v>
      </c>
      <c r="J25" s="1">
        <f>Interpolate_Range('試算番号2-1'!$G$11:$G$130,'試算番号2-1'!$N$11:$N$130,H25)</f>
        <v>2.1304003430777439E-3</v>
      </c>
      <c r="K25" s="5">
        <f t="shared" si="6"/>
        <v>1.9943818633125956</v>
      </c>
      <c r="L25" s="1">
        <f t="shared" si="10"/>
        <v>3.8227798041814958E-3</v>
      </c>
      <c r="M25" s="1">
        <f t="shared" si="7"/>
        <v>-3.7499999999999999E-3</v>
      </c>
      <c r="N25" s="1">
        <f t="shared" si="8"/>
        <v>-7.4789319874222328E-3</v>
      </c>
      <c r="O25" s="18">
        <f t="shared" si="11"/>
        <v>0.98160633477705184</v>
      </c>
      <c r="P25" s="10">
        <f>Interpolate_Range('試算番号2-2'!$G$11:$G$130,'試算番号2-2'!$K$11:$K$130,H25)</f>
        <v>7.0423168680928683E-3</v>
      </c>
      <c r="Q25" s="1">
        <f t="shared" si="9"/>
        <v>9.5070564688882874E-3</v>
      </c>
      <c r="R25" s="1">
        <f t="shared" si="1"/>
        <v>9.2824660422026525E-3</v>
      </c>
      <c r="W25">
        <v>3.75</v>
      </c>
      <c r="X25" s="1">
        <f t="shared" si="5"/>
        <v>1.0647139614643614E-3</v>
      </c>
      <c r="Y25" s="1">
        <f t="shared" si="2"/>
        <v>1.0509636227333148E-3</v>
      </c>
      <c r="Z25" s="1">
        <f t="shared" si="3"/>
        <v>6.4631969845898585E-3</v>
      </c>
      <c r="AA25" s="1">
        <f t="shared" si="4"/>
        <v>6.0563963693556315E-3</v>
      </c>
    </row>
    <row r="26" spans="1:27">
      <c r="A26">
        <v>10</v>
      </c>
      <c r="B26" s="1">
        <v>1.0499999999999999E-3</v>
      </c>
      <c r="C26" s="32"/>
      <c r="E26" s="1"/>
      <c r="F26" s="1"/>
      <c r="H26" s="13">
        <f t="shared" si="12"/>
        <v>2.25</v>
      </c>
      <c r="I26" s="2">
        <f>Interpolate_Range('試算番号2-1'!$G$10:$G$130,'試算番号2-1'!$I$10:$I$130,H26)</f>
        <v>0.99386585328405697</v>
      </c>
      <c r="J26" s="1">
        <f>Interpolate_Range('試算番号2-1'!$G$11:$G$130,'試算番号2-1'!$N$11:$N$130,H26)</f>
        <v>2.7693374927820879E-3</v>
      </c>
      <c r="K26" s="5">
        <f t="shared" si="6"/>
        <v>2.2428483266336099</v>
      </c>
      <c r="L26" s="1">
        <f t="shared" si="10"/>
        <v>4.510867296755346E-3</v>
      </c>
      <c r="M26" s="1">
        <f t="shared" si="7"/>
        <v>-4.0625000000000001E-3</v>
      </c>
      <c r="N26" s="1">
        <f t="shared" si="8"/>
        <v>-9.1115713269490396E-3</v>
      </c>
      <c r="O26" s="18">
        <f t="shared" si="11"/>
        <v>0.97803618260837788</v>
      </c>
      <c r="P26" s="10">
        <f>Interpolate_Range('試算番号2-2'!$G$11:$G$130,'試算番号2-2'!$K$11:$K$130,H26)</f>
        <v>1.2195346744817037E-2</v>
      </c>
      <c r="Q26" s="1">
        <f t="shared" si="9"/>
        <v>1.2488929062859878E-2</v>
      </c>
      <c r="R26" s="1">
        <f t="shared" si="1"/>
        <v>9.8704947109292483E-3</v>
      </c>
      <c r="W26">
        <v>4</v>
      </c>
      <c r="X26" s="1">
        <f t="shared" si="5"/>
        <v>1.0492588199852186E-3</v>
      </c>
      <c r="Y26" s="1">
        <f t="shared" si="2"/>
        <v>1.0342523719362035E-3</v>
      </c>
      <c r="Z26" s="1">
        <f t="shared" si="3"/>
        <v>6.5052416427591186E-3</v>
      </c>
      <c r="AA26" s="1">
        <f t="shared" si="4"/>
        <v>6.032869220467865E-3</v>
      </c>
    </row>
    <row r="27" spans="1:27">
      <c r="A27">
        <v>12</v>
      </c>
      <c r="B27" s="1">
        <v>1.0499999999999999E-3</v>
      </c>
      <c r="C27" s="32"/>
      <c r="E27" s="1"/>
      <c r="F27" s="1"/>
      <c r="H27" s="13">
        <f t="shared" si="12"/>
        <v>2.5</v>
      </c>
      <c r="I27" s="2">
        <f>Interpolate_Range('試算番号2-1'!$G$10:$G$130,'試算番号2-1'!$I$10:$I$130,H27)</f>
        <v>0.99296520041701852</v>
      </c>
      <c r="J27" s="1">
        <f>Interpolate_Range('試算番号2-1'!$G$11:$G$130,'試算番号2-1'!$N$11:$N$130,H27)</f>
        <v>2.7396629599453835E-3</v>
      </c>
      <c r="K27" s="5">
        <f t="shared" si="6"/>
        <v>2.4910896267378644</v>
      </c>
      <c r="L27" s="1">
        <f t="shared" si="10"/>
        <v>5.1909647917796585E-3</v>
      </c>
      <c r="M27" s="1">
        <f t="shared" si="7"/>
        <v>-4.3750000000000004E-3</v>
      </c>
      <c r="N27" s="1">
        <f t="shared" si="8"/>
        <v>-1.0898517116978158E-2</v>
      </c>
      <c r="O27" s="18">
        <f t="shared" si="11"/>
        <v>0.9718058417268356</v>
      </c>
      <c r="P27" s="10">
        <f>Interpolate_Range('試算番号2-2'!$G$11:$G$130,'試算番号2-2'!$K$11:$K$130,H27)</f>
        <v>1.2232642072738109E-2</v>
      </c>
      <c r="Q27" s="1">
        <f t="shared" si="9"/>
        <v>1.5460867319369968E-2</v>
      </c>
      <c r="R27" s="1">
        <f t="shared" si="1"/>
        <v>1.1439698313795169E-2</v>
      </c>
      <c r="W27">
        <v>4.25</v>
      </c>
      <c r="X27" s="1">
        <f t="shared" si="5"/>
        <v>1.5093091703565803E-3</v>
      </c>
      <c r="Y27" s="1">
        <f t="shared" si="2"/>
        <v>1.4849048593076619E-3</v>
      </c>
      <c r="Z27" s="1">
        <f t="shared" si="3"/>
        <v>7.5186585156992169E-3</v>
      </c>
      <c r="AA27" s="1">
        <f t="shared" si="4"/>
        <v>6.9079464575258131E-3</v>
      </c>
    </row>
    <row r="28" spans="1:27">
      <c r="A28">
        <v>15</v>
      </c>
      <c r="B28" s="1">
        <v>1.0625000000000001E-3</v>
      </c>
      <c r="C28" s="32"/>
      <c r="E28" s="1"/>
      <c r="F28" s="1"/>
      <c r="H28" s="13">
        <f t="shared" si="12"/>
        <v>2.75</v>
      </c>
      <c r="I28" s="2">
        <f>Interpolate_Range('試算番号2-1'!$G$10:$G$130,'試算番号2-1'!$I$10:$I$130,H28)</f>
        <v>0.99196676116930049</v>
      </c>
      <c r="J28" s="1">
        <f>Interpolate_Range('試算番号2-1'!$G$11:$G$130,'試算番号2-1'!$N$11:$N$130,H28)</f>
        <v>3.1046341136901938E-3</v>
      </c>
      <c r="K28" s="5">
        <f t="shared" si="6"/>
        <v>2.7390813170301893</v>
      </c>
      <c r="L28" s="1">
        <f t="shared" si="10"/>
        <v>5.9608882533729044E-3</v>
      </c>
      <c r="M28" s="1">
        <f t="shared" si="7"/>
        <v>-4.6874999999999998E-3</v>
      </c>
      <c r="N28" s="1">
        <f t="shared" si="8"/>
        <v>-1.2839443673579013E-2</v>
      </c>
      <c r="O28" s="18">
        <f t="shared" si="11"/>
        <v>0.96667110302837311</v>
      </c>
      <c r="P28" s="10">
        <f>Interpolate_Range('試算番号2-2'!$G$11:$G$130,'試算番号2-2'!$K$11:$K$130,H28)</f>
        <v>1.5179445333133756E-2</v>
      </c>
      <c r="Q28" s="1">
        <f t="shared" si="9"/>
        <v>1.9129250110254792E-2</v>
      </c>
      <c r="R28" s="1">
        <f t="shared" si="1"/>
        <v>1.2326168126005822E-2</v>
      </c>
      <c r="W28">
        <v>4.5</v>
      </c>
      <c r="X28" s="1">
        <f t="shared" si="5"/>
        <v>1.4938622561296592E-3</v>
      </c>
      <c r="Y28" s="1">
        <f t="shared" si="2"/>
        <v>1.466918306832635E-3</v>
      </c>
      <c r="Z28" s="1">
        <f t="shared" si="3"/>
        <v>7.5756169929146466E-3</v>
      </c>
      <c r="AA28" s="1">
        <f t="shared" si="4"/>
        <v>6.8810520396929307E-3</v>
      </c>
    </row>
    <row r="29" spans="1:27">
      <c r="A29">
        <v>20</v>
      </c>
      <c r="B29" s="1">
        <v>1.0625000000000001E-3</v>
      </c>
      <c r="C29" s="32"/>
      <c r="E29" s="1"/>
      <c r="F29" s="1"/>
      <c r="H29" s="13">
        <f t="shared" si="12"/>
        <v>3</v>
      </c>
      <c r="I29" s="2">
        <f>Interpolate_Range('試算番号2-1'!$G$10:$G$130,'試算番号2-1'!$I$10:$I$130,H29)</f>
        <v>0.99096832192158246</v>
      </c>
      <c r="J29" s="1">
        <f>Interpolate_Range('試算番号2-1'!$G$11:$G$130,'試算番号2-1'!$N$11:$N$130,H29)</f>
        <v>3.075679905857769E-3</v>
      </c>
      <c r="K29" s="5">
        <f t="shared" si="6"/>
        <v>2.9868233975105851</v>
      </c>
      <c r="L29" s="1">
        <f t="shared" si="10"/>
        <v>6.7228635921418554E-3</v>
      </c>
      <c r="M29" s="1">
        <f t="shared" si="7"/>
        <v>-5.0000000000000001E-3</v>
      </c>
      <c r="N29" s="1">
        <f t="shared" si="8"/>
        <v>-1.4934116987552926E-2</v>
      </c>
      <c r="O29" s="18">
        <f t="shared" si="11"/>
        <v>0.95998480918300844</v>
      </c>
      <c r="P29" s="10">
        <f>Interpolate_Range('試算番号2-2'!$G$11:$G$130,'試算番号2-2'!$K$11:$K$130,H29)</f>
        <v>1.5237268654775704E-2</v>
      </c>
      <c r="Q29" s="1">
        <f t="shared" si="9"/>
        <v>2.2786136720761064E-2</v>
      </c>
      <c r="R29" s="1">
        <f t="shared" si="1"/>
        <v>1.3612606137717269E-2</v>
      </c>
      <c r="W29">
        <v>4.75</v>
      </c>
      <c r="X29" s="1">
        <f t="shared" si="5"/>
        <v>1.6948233937030292E-3</v>
      </c>
      <c r="Y29" s="1">
        <f t="shared" si="2"/>
        <v>1.6607313942954248E-3</v>
      </c>
      <c r="Z29" s="1">
        <f t="shared" si="3"/>
        <v>8.5748862379555479E-3</v>
      </c>
      <c r="AA29" s="1">
        <f t="shared" si="4"/>
        <v>7.7058877171884317E-3</v>
      </c>
    </row>
    <row r="30" spans="1:27">
      <c r="A30">
        <v>25</v>
      </c>
      <c r="B30" s="1">
        <v>1.0625000000000001E-3</v>
      </c>
      <c r="C30" s="32"/>
      <c r="E30" s="1"/>
      <c r="F30" s="1"/>
      <c r="H30" s="13">
        <f t="shared" si="12"/>
        <v>3.25</v>
      </c>
      <c r="I30" s="2">
        <f>Interpolate_Range('試算番号2-1'!$G$10:$G$130,'試算番号2-1'!$I$10:$I$130,H30)</f>
        <v>0.98972055158596572</v>
      </c>
      <c r="J30" s="1">
        <f>Interpolate_Range('試算番号2-1'!$G$11:$G$130,'試算番号2-1'!$N$11:$N$130,H30)</f>
        <v>3.8189571411325041E-3</v>
      </c>
      <c r="K30" s="5">
        <f t="shared" si="6"/>
        <v>3.2342535354070767</v>
      </c>
      <c r="L30" s="1">
        <f t="shared" si="10"/>
        <v>7.6677886841930616E-3</v>
      </c>
      <c r="M30" s="1">
        <f t="shared" si="7"/>
        <v>-5.2468749999999998E-3</v>
      </c>
      <c r="N30" s="1">
        <f t="shared" si="8"/>
        <v>-1.6969724018589004E-2</v>
      </c>
      <c r="O30" s="18">
        <f t="shared" si="11"/>
        <v>0.95399839706274114</v>
      </c>
      <c r="P30" s="10">
        <f>Interpolate_Range('試算番号2-2'!$G$11:$G$130,'試算番号2-2'!$K$11:$K$130,H30)</f>
        <v>2.1763020405576761E-2</v>
      </c>
      <c r="Q30" s="1">
        <f t="shared" si="9"/>
        <v>2.7976608366302051E-2</v>
      </c>
      <c r="R30" s="1">
        <f t="shared" si="1"/>
        <v>1.4490242388614388E-2</v>
      </c>
      <c r="W30">
        <v>5</v>
      </c>
      <c r="X30" s="1">
        <f t="shared" si="5"/>
        <v>1.6802008856298622E-3</v>
      </c>
      <c r="Y30" s="1">
        <f t="shared" si="2"/>
        <v>1.6429099949838936E-3</v>
      </c>
      <c r="Z30" s="1">
        <f t="shared" si="3"/>
        <v>8.6490508651908549E-3</v>
      </c>
      <c r="AA30" s="1">
        <f t="shared" si="4"/>
        <v>7.6738950703778876E-3</v>
      </c>
    </row>
    <row r="31" spans="1:27">
      <c r="A31">
        <v>30</v>
      </c>
      <c r="B31" s="1">
        <v>1.0499999999999999E-3</v>
      </c>
      <c r="C31" s="32"/>
      <c r="E31" s="1"/>
      <c r="F31" s="1"/>
      <c r="H31" s="13">
        <f t="shared" si="12"/>
        <v>3.5</v>
      </c>
      <c r="I31" s="2">
        <f>Interpolate_Range('試算番号2-1'!$G$10:$G$130,'試算番号2-1'!$I$10:$I$130,H31)</f>
        <v>0.9884727812503491</v>
      </c>
      <c r="J31" s="1">
        <f>Interpolate_Range('試算番号2-1'!$G$11:$G$130,'試算番号2-1'!$N$11:$N$130,H31)</f>
        <v>3.7557536668551745E-3</v>
      </c>
      <c r="K31" s="5">
        <f t="shared" si="6"/>
        <v>3.4813717307196641</v>
      </c>
      <c r="L31" s="1">
        <f t="shared" si="10"/>
        <v>8.5959037523849445E-3</v>
      </c>
      <c r="M31" s="1">
        <f t="shared" si="7"/>
        <v>-5.4937500000000004E-3</v>
      </c>
      <c r="N31" s="1">
        <f t="shared" si="8"/>
        <v>-1.9125785945641155E-2</v>
      </c>
      <c r="O31" s="18">
        <f t="shared" si="11"/>
        <v>0.94482572530590425</v>
      </c>
      <c r="P31" s="10">
        <f>Interpolate_Range('試算番号2-2'!$G$11:$G$130,'試算番号2-2'!$K$11:$K$130,H31)</f>
        <v>2.1882075419041414E-2</v>
      </c>
      <c r="Q31" s="1">
        <f t="shared" si="9"/>
        <v>3.3145295311050628E-2</v>
      </c>
      <c r="R31" s="1">
        <f t="shared" si="1"/>
        <v>1.6215653188895073E-2</v>
      </c>
      <c r="W31">
        <v>5.25</v>
      </c>
      <c r="X31" s="1">
        <f t="shared" si="5"/>
        <v>2.1913733086886475E-3</v>
      </c>
      <c r="Y31" s="1">
        <f t="shared" si="2"/>
        <v>2.1372391008775242E-3</v>
      </c>
      <c r="Z31" s="1">
        <f t="shared" si="3"/>
        <v>8.9351383262199491E-3</v>
      </c>
      <c r="AA31" s="1">
        <f t="shared" si="4"/>
        <v>7.8362543001939296E-3</v>
      </c>
    </row>
    <row r="32" spans="1:27">
      <c r="H32" s="13">
        <f t="shared" si="12"/>
        <v>3.75</v>
      </c>
      <c r="I32" s="2">
        <f>Interpolate_Range('試算番号2-1'!$G$10:$G$130,'試算番号2-1'!$I$10:$I$130,H32)</f>
        <v>0.98708541521129778</v>
      </c>
      <c r="J32" s="1">
        <f>Interpolate_Range('試算番号2-1'!$G$11:$G$130,'試算番号2-1'!$N$11:$N$130,H32)</f>
        <v>4.2588558458574455E-3</v>
      </c>
      <c r="K32" s="5">
        <f t="shared" si="6"/>
        <v>3.7281430845224888</v>
      </c>
      <c r="L32" s="1">
        <f t="shared" si="10"/>
        <v>9.6468673751182593E-3</v>
      </c>
      <c r="M32" s="1">
        <f t="shared" si="7"/>
        <v>-5.7406250000000001E-3</v>
      </c>
      <c r="N32" s="1">
        <f t="shared" si="8"/>
        <v>-2.1401871394586911E-2</v>
      </c>
      <c r="O32" s="18">
        <f t="shared" si="11"/>
        <v>0.93705891740509262</v>
      </c>
      <c r="P32" s="10">
        <f>Interpolate_Range('試算番号2-2'!$G$11:$G$130,'試算番号2-2'!$K$11:$K$130,H32)</f>
        <v>2.5852787938359434E-2</v>
      </c>
      <c r="Q32" s="1">
        <f t="shared" si="9"/>
        <v>3.9201691680406256E-2</v>
      </c>
      <c r="R32" s="1">
        <f t="shared" si="1"/>
        <v>1.7335765320816075E-2</v>
      </c>
      <c r="W32">
        <v>5.5</v>
      </c>
      <c r="X32" s="1">
        <f t="shared" si="5"/>
        <v>2.1868344481817369E-3</v>
      </c>
      <c r="Y32" s="1">
        <f t="shared" si="2"/>
        <v>2.1273255528299201E-3</v>
      </c>
      <c r="Z32" s="1">
        <f t="shared" si="3"/>
        <v>9.0156948064223918E-3</v>
      </c>
      <c r="AA32" s="1">
        <f t="shared" si="4"/>
        <v>7.8109888314142652E-3</v>
      </c>
    </row>
    <row r="33" spans="1:27">
      <c r="H33" s="13">
        <f t="shared" si="12"/>
        <v>4</v>
      </c>
      <c r="I33" s="2">
        <f>Interpolate_Range('試算番号2-1'!$G$10:$G$130,'試算番号2-1'!$I$10:$I$130,H33)</f>
        <v>0.98569804917224657</v>
      </c>
      <c r="J33" s="1">
        <f>Interpolate_Range('試算番号2-1'!$G$11:$G$130,'試算番号2-1'!$N$11:$N$130,H33)</f>
        <v>4.1970352799408743E-3</v>
      </c>
      <c r="K33" s="5">
        <f t="shared" si="6"/>
        <v>3.9745675968155503</v>
      </c>
      <c r="L33" s="1">
        <f t="shared" si="10"/>
        <v>1.0681119747054463E-2</v>
      </c>
      <c r="M33" s="1">
        <f t="shared" si="7"/>
        <v>-5.9874999999999998E-3</v>
      </c>
      <c r="N33" s="1">
        <f t="shared" si="8"/>
        <v>-2.3797723485933106E-2</v>
      </c>
      <c r="O33" s="18">
        <f t="shared" si="11"/>
        <v>0.92738587615464774</v>
      </c>
      <c r="P33" s="10">
        <f>Interpolate_Range('試算番号2-2'!$G$11:$G$130,'試算番号2-2'!$K$11:$K$130,H33)</f>
        <v>2.6020966571036475E-2</v>
      </c>
      <c r="Q33" s="1">
        <f t="shared" si="9"/>
        <v>4.5234560900874118E-2</v>
      </c>
      <c r="R33" s="1">
        <f t="shared" si="1"/>
        <v>1.8846384162087764E-2</v>
      </c>
      <c r="W33">
        <v>5.75</v>
      </c>
      <c r="X33" s="1">
        <f t="shared" si="5"/>
        <v>2.4367593219955666E-3</v>
      </c>
      <c r="Y33" s="1">
        <f t="shared" si="2"/>
        <v>2.3637355428957479E-3</v>
      </c>
      <c r="Z33" s="1">
        <f t="shared" si="3"/>
        <v>9.8887424654923173E-3</v>
      </c>
      <c r="AA33" s="1">
        <f t="shared" si="4"/>
        <v>8.4636218261130557E-3</v>
      </c>
    </row>
    <row r="34" spans="1:27">
      <c r="B34" t="s">
        <v>67</v>
      </c>
      <c r="E34" t="s">
        <v>68</v>
      </c>
      <c r="H34" s="13">
        <f t="shared" si="12"/>
        <v>4.25</v>
      </c>
      <c r="I34" s="2">
        <f>Interpolate_Range('試算番号2-1'!$G$10:$G$130,'試算番号2-1'!$I$10:$I$130,H34)</f>
        <v>0.98383080714791338</v>
      </c>
      <c r="J34" s="1">
        <f>Interpolate_Range('試算番号2-1'!$G$11:$G$130,'試算番号2-1'!$N$11:$N$130,H34)</f>
        <v>6.0372366814263213E-3</v>
      </c>
      <c r="K34" s="5">
        <f t="shared" si="6"/>
        <v>4.2205252986025288</v>
      </c>
      <c r="L34" s="1">
        <f t="shared" si="10"/>
        <v>1.2166024606362125E-2</v>
      </c>
      <c r="M34" s="1">
        <f t="shared" si="7"/>
        <v>-6.1631250000000002E-3</v>
      </c>
      <c r="N34" s="1">
        <f t="shared" si="8"/>
        <v>-2.6011624980949711E-2</v>
      </c>
      <c r="O34" s="18">
        <f t="shared" si="11"/>
        <v>0.91877380028655165</v>
      </c>
      <c r="P34" s="10">
        <f>Interpolate_Range('試算番号2-2'!$G$11:$G$130,'試算番号2-2'!$K$11:$K$130,H34)</f>
        <v>3.0074634062796868E-2</v>
      </c>
      <c r="Q34" s="1">
        <f t="shared" si="9"/>
        <v>5.2142507358399932E-2</v>
      </c>
      <c r="R34" s="1">
        <f t="shared" si="1"/>
        <v>1.9933017345134949E-2</v>
      </c>
      <c r="W34">
        <v>6</v>
      </c>
      <c r="X34" s="1">
        <f t="shared" si="5"/>
        <v>2.4336118179793483E-3</v>
      </c>
      <c r="Y34" s="1">
        <f t="shared" si="2"/>
        <v>2.3539771924246215E-3</v>
      </c>
      <c r="Z34" s="1">
        <f t="shared" si="3"/>
        <v>9.9875063435963529E-3</v>
      </c>
      <c r="AA34" s="1">
        <f t="shared" si="4"/>
        <v>8.4297113978768299E-3</v>
      </c>
    </row>
    <row r="35" spans="1:27">
      <c r="A35">
        <v>1</v>
      </c>
      <c r="B35" s="1">
        <v>-1.9675000000000001E-3</v>
      </c>
      <c r="D35" s="13">
        <v>0</v>
      </c>
      <c r="E35" s="35">
        <v>97.63</v>
      </c>
      <c r="F35" s="32"/>
      <c r="H35" s="13">
        <f t="shared" si="12"/>
        <v>4.5</v>
      </c>
      <c r="I35" s="2">
        <f>Interpolate_Range('試算番号2-1'!$G$10:$G$130,'試算番号2-1'!$I$10:$I$130,H35)</f>
        <v>0.98196356512358018</v>
      </c>
      <c r="J35" s="1">
        <f>Interpolate_Range('試算番号2-1'!$G$11:$G$130,'試算番号2-1'!$N$11:$N$130,H35)</f>
        <v>5.975449024518637E-3</v>
      </c>
      <c r="K35" s="5">
        <f t="shared" si="6"/>
        <v>4.4660161898834234</v>
      </c>
      <c r="L35" s="1">
        <f t="shared" si="10"/>
        <v>1.363294291319476E-2</v>
      </c>
      <c r="M35" s="1">
        <f t="shared" si="7"/>
        <v>-6.3387500000000006E-3</v>
      </c>
      <c r="N35" s="1">
        <f t="shared" si="8"/>
        <v>-2.8308960123623553E-2</v>
      </c>
      <c r="O35" s="18">
        <f t="shared" si="11"/>
        <v>0.90831572479557354</v>
      </c>
      <c r="P35" s="10">
        <f>Interpolate_Range('試算番号2-2'!$G$11:$G$130,'試算番号2-2'!$K$11:$K$130,H35)</f>
        <v>3.0302467971658587E-2</v>
      </c>
      <c r="Q35" s="1">
        <f t="shared" si="9"/>
        <v>5.9023559398092861E-2</v>
      </c>
      <c r="R35" s="1">
        <f t="shared" si="1"/>
        <v>2.1369610285991554E-2</v>
      </c>
      <c r="W35">
        <v>6.25</v>
      </c>
      <c r="X35" s="1">
        <f t="shared" si="5"/>
        <v>2.9175815823262933E-3</v>
      </c>
      <c r="Y35" s="1">
        <f t="shared" si="2"/>
        <v>2.8128666063816574E-3</v>
      </c>
      <c r="Z35" s="1">
        <f t="shared" si="3"/>
        <v>9.8503437879875477E-3</v>
      </c>
      <c r="AA35" s="1">
        <f t="shared" si="4"/>
        <v>8.2068147899624997E-3</v>
      </c>
    </row>
    <row r="36" spans="1:27">
      <c r="A36">
        <v>2</v>
      </c>
      <c r="B36" s="1">
        <v>-3.7499999999999999E-3</v>
      </c>
      <c r="D36" s="13">
        <f>7/365</f>
        <v>1.9178082191780823E-2</v>
      </c>
      <c r="E36" s="35">
        <v>97.626799999999989</v>
      </c>
      <c r="F36" s="32"/>
      <c r="G36" s="40"/>
      <c r="H36" s="13">
        <f t="shared" si="12"/>
        <v>4.75</v>
      </c>
      <c r="I36" s="2">
        <f>Interpolate_Range('試算番号2-1'!$G$10:$G$130,'試算番号2-1'!$I$10:$I$130,H36)</f>
        <v>0.97988463014242644</v>
      </c>
      <c r="J36" s="1">
        <f>Interpolate_Range('試算番号2-1'!$G$11:$G$130,'試算番号2-1'!$N$11:$N$130,H36)</f>
        <v>6.7792935748121168E-3</v>
      </c>
      <c r="K36" s="5">
        <f t="shared" si="6"/>
        <v>4.7109873474190298</v>
      </c>
      <c r="L36" s="1">
        <f t="shared" si="10"/>
        <v>1.5293674307490185E-2</v>
      </c>
      <c r="M36" s="1">
        <f t="shared" si="7"/>
        <v>-6.5143750000000002E-3</v>
      </c>
      <c r="N36" s="1">
        <f t="shared" si="8"/>
        <v>-3.0689138201342843E-2</v>
      </c>
      <c r="O36" s="18">
        <f t="shared" si="11"/>
        <v>0.89865772015486167</v>
      </c>
      <c r="P36" s="10">
        <f>Interpolate_Range('試算番号2-2'!$G$11:$G$130,'試算番号2-2'!$K$11:$K$130,H36)</f>
        <v>3.4299544951822192E-2</v>
      </c>
      <c r="Q36" s="1">
        <f t="shared" si="9"/>
        <v>6.6729447115281296E-2</v>
      </c>
      <c r="R36" s="1">
        <f t="shared" si="1"/>
        <v>2.2495379154714529E-2</v>
      </c>
      <c r="W36">
        <v>6.5</v>
      </c>
      <c r="X36" s="1">
        <f t="shared" si="5"/>
        <v>2.9217720337187704E-3</v>
      </c>
      <c r="Y36" s="1">
        <f t="shared" si="2"/>
        <v>2.8076498839217298E-3</v>
      </c>
      <c r="Z36" s="1">
        <f t="shared" si="3"/>
        <v>9.9483383407630299E-3</v>
      </c>
      <c r="AA36" s="1">
        <f t="shared" si="4"/>
        <v>8.1840945067233745E-3</v>
      </c>
    </row>
    <row r="37" spans="1:27">
      <c r="A37">
        <v>3</v>
      </c>
      <c r="B37" s="1">
        <v>-5.0000000000000001E-3</v>
      </c>
      <c r="D37" s="13">
        <f>14/365</f>
        <v>3.8356164383561646E-2</v>
      </c>
      <c r="E37" s="35">
        <v>97.623499999999993</v>
      </c>
      <c r="F37" s="32"/>
      <c r="G37" s="40"/>
      <c r="H37" s="13">
        <f t="shared" si="12"/>
        <v>5</v>
      </c>
      <c r="I37" s="2">
        <f>Interpolate_Range('試算番号2-1'!$G$10:$G$130,'試算番号2-1'!$I$10:$I$130,H37)</f>
        <v>0.9778056951612728</v>
      </c>
      <c r="J37" s="1">
        <f>Interpolate_Range('試算番号2-1'!$G$11:$G$130,'試算番号2-1'!$N$11:$N$130,H37)</f>
        <v>6.7208035425194487E-3</v>
      </c>
      <c r="K37" s="5">
        <f t="shared" si="6"/>
        <v>4.9554387712093479</v>
      </c>
      <c r="L37" s="1">
        <f t="shared" si="10"/>
        <v>1.6936584302474078E-2</v>
      </c>
      <c r="M37" s="1">
        <f t="shared" si="7"/>
        <v>-6.6900000000000006E-3</v>
      </c>
      <c r="N37" s="1">
        <f t="shared" si="8"/>
        <v>-3.3151885379390539E-2</v>
      </c>
      <c r="O37" s="18">
        <f t="shared" si="11"/>
        <v>0.88725285467592763</v>
      </c>
      <c r="P37" s="10">
        <f>Interpolate_Range('試算番号2-2'!$G$11:$G$130,'試算番号2-2'!$K$11:$K$130,H37)</f>
        <v>3.4596203460763419E-2</v>
      </c>
      <c r="Q37" s="1">
        <f t="shared" si="9"/>
        <v>7.440334218565918E-2</v>
      </c>
      <c r="R37" s="1">
        <f t="shared" si="1"/>
        <v>2.3925054003625764E-2</v>
      </c>
      <c r="W37">
        <v>6.75</v>
      </c>
      <c r="X37" s="1">
        <f t="shared" si="5"/>
        <v>3.20347771835321E-3</v>
      </c>
      <c r="Y37" s="1">
        <f t="shared" si="2"/>
        <v>3.0673547653686448E-3</v>
      </c>
      <c r="Z37" s="1">
        <f t="shared" si="3"/>
        <v>1.0670795815516998E-2</v>
      </c>
      <c r="AA37" s="1">
        <f t="shared" si="4"/>
        <v>8.6643665099230324E-3</v>
      </c>
    </row>
    <row r="38" spans="1:27">
      <c r="A38">
        <v>4</v>
      </c>
      <c r="B38" s="1">
        <v>-5.9874999999999998E-3</v>
      </c>
      <c r="D38" s="13">
        <f>21/365</f>
        <v>5.7534246575342465E-2</v>
      </c>
      <c r="E38" s="35">
        <v>97.620099999999994</v>
      </c>
      <c r="F38" s="32"/>
      <c r="G38" s="40"/>
      <c r="H38" s="13">
        <f t="shared" si="12"/>
        <v>5.25</v>
      </c>
      <c r="I38" s="2">
        <f>Interpolate_Range('試算番号2-1'!$G$10:$G$130,'試算番号2-1'!$I$10:$I$130,H38)</f>
        <v>0.97529667464850256</v>
      </c>
      <c r="J38" s="1">
        <f>Interpolate_Range('試算番号2-1'!$G$11:$G$130,'試算番号2-1'!$N$11:$N$130,H38)</f>
        <v>8.76549323475459E-3</v>
      </c>
      <c r="K38" s="5">
        <f t="shared" si="6"/>
        <v>5.199262939871474</v>
      </c>
      <c r="L38" s="1">
        <f t="shared" si="10"/>
        <v>1.9073823403351602E-2</v>
      </c>
      <c r="M38" s="1">
        <f t="shared" si="7"/>
        <v>-6.8021875000000009E-3</v>
      </c>
      <c r="N38" s="1">
        <f t="shared" si="8"/>
        <v>-3.5366361378806999E-2</v>
      </c>
      <c r="O38" s="18">
        <f t="shared" si="11"/>
        <v>0.87701544330865355</v>
      </c>
      <c r="P38" s="10">
        <f>Interpolate_Range('試算番号2-2'!$G$11:$G$130,'試算番号2-2'!$K$11:$K$130,H38)</f>
        <v>3.5740553304879796E-2</v>
      </c>
      <c r="Q38" s="1">
        <f t="shared" si="9"/>
        <v>8.2239596485853106E-2</v>
      </c>
      <c r="R38" s="1">
        <f t="shared" si="1"/>
        <v>2.4996319527446822E-2</v>
      </c>
      <c r="W38">
        <v>7</v>
      </c>
      <c r="X38" s="1">
        <f t="shared" si="5"/>
        <v>3.2096853377866098E-3</v>
      </c>
      <c r="Y38" s="1">
        <f t="shared" si="2"/>
        <v>3.0622797006498309E-3</v>
      </c>
      <c r="Z38" s="1">
        <f t="shared" si="3"/>
        <v>1.078588984372808E-2</v>
      </c>
      <c r="AA38" s="1">
        <f t="shared" si="4"/>
        <v>8.6317678579900525E-3</v>
      </c>
    </row>
    <row r="39" spans="1:27">
      <c r="A39">
        <v>5</v>
      </c>
      <c r="B39" s="1">
        <v>-6.6900000000000006E-3</v>
      </c>
      <c r="D39" s="13">
        <f>1/12</f>
        <v>8.3333333333333329E-2</v>
      </c>
      <c r="E39" s="35">
        <v>97.614099999999993</v>
      </c>
      <c r="F39" s="32"/>
      <c r="G39" s="40"/>
      <c r="H39" s="13">
        <f t="shared" si="12"/>
        <v>5.5</v>
      </c>
      <c r="I39" s="2">
        <f>Interpolate_Range('試算番号2-1'!$G$10:$G$130,'試算番号2-1'!$I$10:$I$130,H39)</f>
        <v>0.9727876541357322</v>
      </c>
      <c r="J39" s="1">
        <f>Interpolate_Range('試算番号2-1'!$G$11:$G$130,'試算番号2-1'!$N$11:$N$130,H39)</f>
        <v>8.7473377927269474E-3</v>
      </c>
      <c r="K39" s="5">
        <f t="shared" si="6"/>
        <v>5.4424598534054072</v>
      </c>
      <c r="L39" s="1">
        <f t="shared" si="10"/>
        <v>2.1201148956181522E-2</v>
      </c>
      <c r="M39" s="1">
        <f t="shared" si="7"/>
        <v>-6.9143750000000004E-3</v>
      </c>
      <c r="N39" s="1">
        <f t="shared" si="8"/>
        <v>-3.7631208348890013E-2</v>
      </c>
      <c r="O39" s="18">
        <f t="shared" si="11"/>
        <v>0.86637680169142972</v>
      </c>
      <c r="P39" s="10">
        <f>Interpolate_Range('試算番号2-2'!$G$11:$G$130,'試算番号2-2'!$K$11:$K$130,H39)</f>
        <v>3.6062779225689567E-2</v>
      </c>
      <c r="Q39" s="1">
        <f t="shared" si="9"/>
        <v>9.0050585317267368E-2</v>
      </c>
      <c r="R39" s="1">
        <f t="shared" si="1"/>
        <v>2.6079156213012211E-2</v>
      </c>
      <c r="W39">
        <v>7.25</v>
      </c>
      <c r="X39" s="1">
        <f t="shared" si="5"/>
        <v>3.3257730133755721E-3</v>
      </c>
      <c r="Y39" s="1">
        <f t="shared" si="2"/>
        <v>3.1612077713113959E-3</v>
      </c>
      <c r="Z39" s="1">
        <f t="shared" si="3"/>
        <v>1.0322225288857734E-2</v>
      </c>
      <c r="AA39" s="1">
        <f t="shared" si="4"/>
        <v>8.1484512459050959E-3</v>
      </c>
    </row>
    <row r="40" spans="1:27">
      <c r="A40">
        <v>6</v>
      </c>
      <c r="B40" s="1">
        <v>-7.1387500000000001E-3</v>
      </c>
      <c r="D40" s="13">
        <f>2/12</f>
        <v>0.16666666666666666</v>
      </c>
      <c r="E40" s="35">
        <v>97.599699999999999</v>
      </c>
      <c r="F40" s="32"/>
      <c r="G40" s="40"/>
      <c r="H40" s="13">
        <f t="shared" si="12"/>
        <v>5.75</v>
      </c>
      <c r="I40" s="2">
        <f>Interpolate_Range('試算番号2-1'!$G$10:$G$130,'試算番号2-1'!$I$10:$I$130,H40)</f>
        <v>0.97003242033767356</v>
      </c>
      <c r="J40" s="1">
        <f>Interpolate_Range('試算番号2-1'!$G$11:$G$130,'試算番号2-1'!$N$11:$N$130,H40)</f>
        <v>9.7470372879822666E-3</v>
      </c>
      <c r="K40" s="5">
        <f t="shared" si="6"/>
        <v>5.6849679584898256</v>
      </c>
      <c r="L40" s="1">
        <f t="shared" si="10"/>
        <v>2.356488449907727E-2</v>
      </c>
      <c r="M40" s="1">
        <f t="shared" si="7"/>
        <v>-7.0265624999999998E-3</v>
      </c>
      <c r="N40" s="1">
        <f t="shared" si="8"/>
        <v>-3.9945782670826165E-2</v>
      </c>
      <c r="O40" s="18">
        <f t="shared" si="11"/>
        <v>0.85588454301926131</v>
      </c>
      <c r="P40" s="10">
        <f>Interpolate_Range('試算番号2-2'!$G$11:$G$130,'試算番号2-2'!$K$11:$K$130,H40)</f>
        <v>3.9554969861969269E-2</v>
      </c>
      <c r="Q40" s="1">
        <f t="shared" si="9"/>
        <v>9.8514207143380425E-2</v>
      </c>
      <c r="R40" s="1">
        <f t="shared" si="1"/>
        <v>2.70643115804989E-2</v>
      </c>
      <c r="W40">
        <v>7.5</v>
      </c>
      <c r="X40" s="1">
        <f t="shared" si="5"/>
        <v>3.3316395322616917E-3</v>
      </c>
      <c r="Y40" s="1">
        <f t="shared" si="2"/>
        <v>3.1549348916386985E-3</v>
      </c>
      <c r="Z40" s="1">
        <f t="shared" si="3"/>
        <v>1.0429884910642562E-2</v>
      </c>
      <c r="AA40" s="1">
        <f t="shared" si="4"/>
        <v>8.129604748019258E-3</v>
      </c>
    </row>
    <row r="41" spans="1:27">
      <c r="A41">
        <v>7</v>
      </c>
      <c r="B41" s="1">
        <v>-7.3950000000000005E-3</v>
      </c>
      <c r="D41" s="13">
        <f>3/12</f>
        <v>0.25</v>
      </c>
      <c r="E41" s="35">
        <v>97.580399999999997</v>
      </c>
      <c r="F41" s="32"/>
      <c r="G41" s="40"/>
      <c r="H41" s="13">
        <f t="shared" si="12"/>
        <v>6</v>
      </c>
      <c r="I41" s="2">
        <f>Interpolate_Range('試算番号2-1'!$G$10:$G$130,'試算番号2-1'!$I$10:$I$130,H41)</f>
        <v>0.96727718653961492</v>
      </c>
      <c r="J41" s="1">
        <f>Interpolate_Range('試算番号2-1'!$G$11:$G$130,'試算番号2-1'!$N$11:$N$130,H41)</f>
        <v>9.7344472719173934E-3</v>
      </c>
      <c r="K41" s="5">
        <f t="shared" si="6"/>
        <v>5.9267872551247294</v>
      </c>
      <c r="L41" s="1">
        <f t="shared" si="10"/>
        <v>2.5918861691501892E-2</v>
      </c>
      <c r="M41" s="1">
        <f t="shared" si="7"/>
        <v>-7.1387500000000001E-3</v>
      </c>
      <c r="N41" s="1">
        <f t="shared" si="8"/>
        <v>-4.2309852517521659E-2</v>
      </c>
      <c r="O41" s="18">
        <f t="shared" si="11"/>
        <v>0.8440256364174098</v>
      </c>
      <c r="P41" s="10">
        <f>Interpolate_Range('試算番号2-2'!$G$11:$G$130,'試算番号2-2'!$K$11:$K$130,H41)</f>
        <v>3.9950025374385412E-2</v>
      </c>
      <c r="Q41" s="1">
        <f t="shared" si="9"/>
        <v>0.10694391854125726</v>
      </c>
      <c r="R41" s="1">
        <f t="shared" si="1"/>
        <v>2.8262068324223937E-2</v>
      </c>
      <c r="W41">
        <v>7.75</v>
      </c>
      <c r="X41" s="1">
        <f t="shared" si="5"/>
        <v>3.59275631839154E-3</v>
      </c>
      <c r="Y41" s="1">
        <f t="shared" si="2"/>
        <v>3.3885632011585037E-3</v>
      </c>
      <c r="Z41" s="1">
        <f t="shared" si="3"/>
        <v>1.100061167052413E-2</v>
      </c>
      <c r="AA41" s="1">
        <f t="shared" si="4"/>
        <v>8.4601881683823155E-3</v>
      </c>
    </row>
    <row r="42" spans="1:27">
      <c r="A42">
        <v>8</v>
      </c>
      <c r="B42" s="1">
        <v>-7.4599999999999996E-3</v>
      </c>
      <c r="D42" s="13">
        <f>4/12</f>
        <v>0.33333333333333331</v>
      </c>
      <c r="E42" s="35">
        <v>97.561099999999996</v>
      </c>
      <c r="F42" s="32"/>
      <c r="G42" s="40"/>
      <c r="H42" s="13">
        <f t="shared" si="12"/>
        <v>6.25</v>
      </c>
      <c r="I42" s="2">
        <f>Interpolate_Range('試算番号2-1'!$G$10:$G$130,'試算番号2-1'!$I$10:$I$130,H42)</f>
        <v>0.96410898102080045</v>
      </c>
      <c r="J42" s="1">
        <f>Interpolate_Range('試算番号2-1'!$G$11:$G$130,'試算番号2-1'!$N$11:$N$130,H42)</f>
        <v>1.1670326329305173E-2</v>
      </c>
      <c r="K42" s="5">
        <f t="shared" si="6"/>
        <v>6.1678145003799294</v>
      </c>
      <c r="L42" s="1">
        <f t="shared" si="10"/>
        <v>2.8731728297883549E-2</v>
      </c>
      <c r="M42" s="1">
        <f t="shared" si="7"/>
        <v>-7.2028125E-3</v>
      </c>
      <c r="N42" s="1">
        <f t="shared" si="8"/>
        <v>-4.4425611381017811E-2</v>
      </c>
      <c r="O42" s="18">
        <f t="shared" si="11"/>
        <v>0.83315008761122389</v>
      </c>
      <c r="P42" s="10">
        <f>Interpolate_Range('試算番号2-2'!$G$11:$G$130,'試算番号2-2'!$K$11:$K$130,H42)</f>
        <v>3.9401375151950191E-2</v>
      </c>
      <c r="Q42" s="1">
        <f t="shared" si="9"/>
        <v>0.11515073333121977</v>
      </c>
      <c r="R42" s="1">
        <f t="shared" si="1"/>
        <v>2.9206636134545116E-2</v>
      </c>
      <c r="W42">
        <v>8</v>
      </c>
      <c r="X42" s="1">
        <f t="shared" si="5"/>
        <v>3.600768649434529E-3</v>
      </c>
      <c r="Y42" s="1">
        <f t="shared" si="2"/>
        <v>3.3824504616780035E-3</v>
      </c>
      <c r="Z42" s="1">
        <f t="shared" si="3"/>
        <v>1.112297115684302E-2</v>
      </c>
      <c r="AA42" s="1">
        <f t="shared" si="4"/>
        <v>8.4311970084127216E-3</v>
      </c>
    </row>
    <row r="43" spans="1:27">
      <c r="A43">
        <v>9</v>
      </c>
      <c r="B43" s="1">
        <v>-7.4000000000000003E-3</v>
      </c>
      <c r="D43" s="13">
        <f>5/12</f>
        <v>0.41666666666666669</v>
      </c>
      <c r="E43" s="35">
        <v>97.527299999999997</v>
      </c>
      <c r="F43" s="32"/>
      <c r="G43" s="40"/>
      <c r="H43" s="13">
        <f t="shared" si="12"/>
        <v>6.5</v>
      </c>
      <c r="I43" s="2">
        <f>Interpolate_Range('試算番号2-1'!$G$10:$G$130,'試算番号2-1'!$I$10:$I$130,H43)</f>
        <v>0.96094077550198598</v>
      </c>
      <c r="J43" s="1">
        <f>Interpolate_Range('試算番号2-1'!$G$11:$G$130,'試算番号2-1'!$N$11:$N$130,H43)</f>
        <v>1.1687088134875082E-2</v>
      </c>
      <c r="K43" s="5">
        <f t="shared" si="6"/>
        <v>6.4080496942554257</v>
      </c>
      <c r="L43" s="1">
        <f t="shared" si="10"/>
        <v>3.1539378181805279E-2</v>
      </c>
      <c r="M43" s="1">
        <f t="shared" si="7"/>
        <v>-7.2668750000000008E-3</v>
      </c>
      <c r="N43" s="1">
        <f t="shared" si="8"/>
        <v>-4.65664961219424E-2</v>
      </c>
      <c r="O43" s="18">
        <f t="shared" si="11"/>
        <v>0.82265944586839013</v>
      </c>
      <c r="P43" s="10">
        <f>Interpolate_Range('試算番号2-2'!$G$11:$G$130,'試算番号2-2'!$K$11:$K$130,H43)</f>
        <v>3.979335336305212E-2</v>
      </c>
      <c r="Q43" s="1">
        <f t="shared" si="9"/>
        <v>0.12333482783794314</v>
      </c>
      <c r="R43" s="1">
        <f t="shared" si="1"/>
        <v>3.0032763072454852E-2</v>
      </c>
      <c r="W43">
        <v>8.25</v>
      </c>
      <c r="X43" s="1">
        <f t="shared" si="5"/>
        <v>3.8360617810627396E-3</v>
      </c>
      <c r="Y43" s="1">
        <f t="shared" si="2"/>
        <v>3.5880102526554131E-3</v>
      </c>
      <c r="Z43" s="1">
        <f t="shared" si="3"/>
        <v>1.0773689180666235E-2</v>
      </c>
      <c r="AA43" s="1">
        <f t="shared" si="4"/>
        <v>8.0535881260606988E-3</v>
      </c>
    </row>
    <row r="44" spans="1:27">
      <c r="A44">
        <v>10</v>
      </c>
      <c r="B44" s="1">
        <v>-7.20625E-3</v>
      </c>
      <c r="D44" s="13">
        <f>6/12</f>
        <v>0.5</v>
      </c>
      <c r="E44" s="35">
        <v>97.503500000000003</v>
      </c>
      <c r="F44" s="32"/>
      <c r="G44" s="40"/>
      <c r="H44" s="13">
        <f t="shared" si="12"/>
        <v>6.75</v>
      </c>
      <c r="I44" s="2">
        <f>Interpolate_Range('試算番号2-1'!$G$10:$G$130,'試算番号2-1'!$I$10:$I$130,H44)</f>
        <v>0.95750775720876835</v>
      </c>
      <c r="J44" s="1">
        <f>Interpolate_Range('試算番号2-1'!$G$11:$G$130,'試算番号2-1'!$N$11:$N$130,H44)</f>
        <v>1.281391087341284E-2</v>
      </c>
      <c r="K44" s="5">
        <f t="shared" si="6"/>
        <v>6.6474266335576182</v>
      </c>
      <c r="L44" s="1">
        <f t="shared" si="10"/>
        <v>3.4606732947173924E-2</v>
      </c>
      <c r="M44" s="1">
        <f t="shared" si="7"/>
        <v>-7.3309375000000006E-3</v>
      </c>
      <c r="N44" s="1">
        <f t="shared" si="8"/>
        <v>-4.8731869186446307E-2</v>
      </c>
      <c r="O44" s="18">
        <f t="shared" si="11"/>
        <v>0.81197004044662668</v>
      </c>
      <c r="P44" s="10">
        <f>Interpolate_Range('試算番号2-2'!$G$11:$G$130,'試算番号2-2'!$K$11:$K$130,H44)</f>
        <v>4.2683183262067992E-2</v>
      </c>
      <c r="Q44" s="1">
        <f t="shared" si="9"/>
        <v>0.13199919434786617</v>
      </c>
      <c r="R44" s="1">
        <f t="shared" si="1"/>
        <v>3.0858049704122162E-2</v>
      </c>
      <c r="W44">
        <v>8.5</v>
      </c>
      <c r="X44" s="1">
        <f t="shared" si="5"/>
        <v>3.8447848378509943E-3</v>
      </c>
      <c r="Y44" s="1">
        <f t="shared" si="2"/>
        <v>3.5806667939635717E-3</v>
      </c>
      <c r="Z44" s="1">
        <f t="shared" si="3"/>
        <v>1.0891025706486479E-2</v>
      </c>
      <c r="AA44" s="1">
        <f t="shared" si="4"/>
        <v>8.0351363591585224E-3</v>
      </c>
    </row>
    <row r="45" spans="1:27">
      <c r="A45">
        <v>12</v>
      </c>
      <c r="B45" s="1">
        <v>-6.6387500000000006E-3</v>
      </c>
      <c r="D45" s="13">
        <f>9/12</f>
        <v>0.75</v>
      </c>
      <c r="E45" s="35">
        <v>97.406199999999998</v>
      </c>
      <c r="F45" s="32"/>
      <c r="G45" s="40"/>
      <c r="H45" s="13">
        <f t="shared" si="12"/>
        <v>7</v>
      </c>
      <c r="I45" s="2">
        <f>Interpolate_Range('試算番号2-1'!$G$10:$G$130,'試算番号2-1'!$I$10:$I$130,H45)</f>
        <v>0.95407473891555072</v>
      </c>
      <c r="J45" s="1">
        <f>Interpolate_Range('試算番号2-1'!$G$11:$G$130,'試算番号2-1'!$N$11:$N$130,H45)</f>
        <v>1.2838741351146439E-2</v>
      </c>
      <c r="K45" s="5">
        <f t="shared" si="6"/>
        <v>6.885945318286506</v>
      </c>
      <c r="L45" s="1">
        <f t="shared" si="10"/>
        <v>3.7669012647823755E-2</v>
      </c>
      <c r="M45" s="1">
        <f t="shared" si="7"/>
        <v>-7.3950000000000005E-3</v>
      </c>
      <c r="N45" s="1">
        <f t="shared" si="8"/>
        <v>-5.0921565628728717E-2</v>
      </c>
      <c r="O45" s="18">
        <f t="shared" si="11"/>
        <v>0.80028333156112896</v>
      </c>
      <c r="P45" s="10">
        <f>Interpolate_Range('試算番号2-2'!$G$11:$G$130,'試算番号2-2'!$K$11:$K$130,H45)</f>
        <v>4.3143559374912321E-2</v>
      </c>
      <c r="Q45" s="1">
        <f t="shared" si="9"/>
        <v>0.14063096220585622</v>
      </c>
      <c r="R45" s="1">
        <f t="shared" si="1"/>
        <v>3.1827064223460558E-2</v>
      </c>
      <c r="W45">
        <v>8.75</v>
      </c>
      <c r="X45" s="1">
        <f t="shared" si="5"/>
        <v>4.1043810041351174E-3</v>
      </c>
      <c r="Y45" s="1">
        <f t="shared" si="2"/>
        <v>3.8049307350713352E-3</v>
      </c>
      <c r="Z45" s="1">
        <f t="shared" si="3"/>
        <v>1.1359383066047002E-2</v>
      </c>
      <c r="AA45" s="1">
        <f t="shared" si="4"/>
        <v>8.2663498298768869E-3</v>
      </c>
    </row>
    <row r="46" spans="1:27">
      <c r="A46">
        <v>15</v>
      </c>
      <c r="B46" s="1">
        <v>-5.6662500000000003E-3</v>
      </c>
      <c r="H46" s="13">
        <f t="shared" si="12"/>
        <v>7.25</v>
      </c>
      <c r="I46" s="2">
        <f>Interpolate_Range('試算番号2-1'!$G$10:$G$130,'試算番号2-1'!$I$10:$I$130,H46)</f>
        <v>0.9505181979039673</v>
      </c>
      <c r="J46" s="1">
        <f>Interpolate_Range('試算番号2-1'!$G$11:$G$130,'試算番号2-1'!$N$11:$N$130,H46)</f>
        <v>1.3303092053502288E-2</v>
      </c>
      <c r="K46" s="5">
        <f t="shared" si="6"/>
        <v>7.1235748677624979</v>
      </c>
      <c r="L46" s="1">
        <f t="shared" si="10"/>
        <v>4.0830220419135151E-2</v>
      </c>
      <c r="M46" s="1">
        <f t="shared" si="7"/>
        <v>-7.4112500000000003E-3</v>
      </c>
      <c r="N46" s="1">
        <f t="shared" si="8"/>
        <v>-5.2794594238704813E-2</v>
      </c>
      <c r="O46" s="18">
        <f t="shared" si="11"/>
        <v>0.78940838994290252</v>
      </c>
      <c r="P46" s="10">
        <f>Interpolate_Range('試算番号2-2'!$G$11:$G$130,'試算番号2-2'!$K$11:$K$130,H46)</f>
        <v>4.1288901155430935E-2</v>
      </c>
      <c r="Q46" s="1">
        <f t="shared" si="9"/>
        <v>0.14877941345176132</v>
      </c>
      <c r="R46" s="1">
        <f t="shared" si="1"/>
        <v>3.2616756904398574E-2</v>
      </c>
      <c r="W46">
        <v>9</v>
      </c>
      <c r="X46" s="1">
        <f t="shared" si="5"/>
        <v>4.1155939497268855E-3</v>
      </c>
      <c r="Y46" s="1">
        <f t="shared" si="2"/>
        <v>3.7977785624427676E-3</v>
      </c>
      <c r="Z46" s="1">
        <f t="shared" si="3"/>
        <v>1.1489901255802737E-2</v>
      </c>
      <c r="AA46" s="1">
        <f t="shared" si="4"/>
        <v>8.2403119344489923E-3</v>
      </c>
    </row>
    <row r="47" spans="1:27">
      <c r="A47">
        <v>20</v>
      </c>
      <c r="B47" s="1">
        <v>-4.0887500000000004E-3</v>
      </c>
      <c r="H47" s="13">
        <f t="shared" si="12"/>
        <v>7.5</v>
      </c>
      <c r="I47" s="2">
        <f>Interpolate_Range('試算番号2-1'!$G$10:$G$130,'試算番号2-1'!$I$10:$I$130,H47)</f>
        <v>0.94696165689238387</v>
      </c>
      <c r="J47" s="1">
        <f>Interpolate_Range('試算番号2-1'!$G$11:$G$130,'試算番号2-1'!$N$11:$N$130,H47)</f>
        <v>1.3326558129046767E-2</v>
      </c>
      <c r="K47" s="5">
        <f t="shared" si="6"/>
        <v>7.3603152819855939</v>
      </c>
      <c r="L47" s="1">
        <f t="shared" si="10"/>
        <v>4.3985155310773849E-2</v>
      </c>
      <c r="M47" s="1">
        <f t="shared" si="7"/>
        <v>-7.4275000000000001E-3</v>
      </c>
      <c r="N47" s="1">
        <f t="shared" si="8"/>
        <v>-5.4668741756947997E-2</v>
      </c>
      <c r="O47" s="18">
        <f t="shared" si="11"/>
        <v>0.77945296785814788</v>
      </c>
      <c r="P47" s="10">
        <f>Interpolate_Range('試算番号2-2'!$G$11:$G$130,'試算番号2-2'!$K$11:$K$130,H47)</f>
        <v>4.1719539642570247E-2</v>
      </c>
      <c r="Q47" s="1">
        <f t="shared" si="9"/>
        <v>0.15690901819978059</v>
      </c>
      <c r="R47" s="1">
        <f t="shared" si="1"/>
        <v>3.3221723813264603E-2</v>
      </c>
      <c r="W47">
        <v>9.25</v>
      </c>
      <c r="X47" s="1">
        <f t="shared" si="5"/>
        <v>4.2474820111151777E-3</v>
      </c>
      <c r="Y47" s="1">
        <f t="shared" si="2"/>
        <v>3.9008950872722742E-3</v>
      </c>
      <c r="Z47" s="1">
        <f t="shared" si="3"/>
        <v>1.1138144429585051E-2</v>
      </c>
      <c r="AA47" s="1">
        <f t="shared" si="4"/>
        <v>7.8771238268034345E-3</v>
      </c>
    </row>
    <row r="48" spans="1:27">
      <c r="A48">
        <v>25</v>
      </c>
      <c r="B48" s="1">
        <v>-3.0500000000000002E-3</v>
      </c>
      <c r="H48" s="13">
        <f t="shared" si="12"/>
        <v>7.75</v>
      </c>
      <c r="I48" s="2">
        <f>Interpolate_Range('試算番号2-1'!$G$10:$G$130,'試算番号2-1'!$I$10:$I$130,H48)</f>
        <v>0.94316533069950803</v>
      </c>
      <c r="J48" s="1">
        <f>Interpolate_Range('試算番号2-1'!$G$11:$G$130,'試算番号2-1'!$N$11:$N$130,H48)</f>
        <v>1.437102527356616E-2</v>
      </c>
      <c r="K48" s="5">
        <f t="shared" si="6"/>
        <v>7.5961066146604708</v>
      </c>
      <c r="L48" s="1">
        <f t="shared" si="10"/>
        <v>4.7373718511932353E-2</v>
      </c>
      <c r="M48" s="1">
        <f t="shared" si="7"/>
        <v>-7.4437499999999998E-3</v>
      </c>
      <c r="N48" s="1">
        <f t="shared" si="8"/>
        <v>-5.6543518612878881E-2</v>
      </c>
      <c r="O48" s="18">
        <f t="shared" si="11"/>
        <v>0.76906525034886775</v>
      </c>
      <c r="P48" s="10">
        <f>Interpolate_Range('試算番号2-2'!$G$11:$G$130,'試算番号2-2'!$K$11:$K$130,H48)</f>
        <v>4.4002446682096519E-2</v>
      </c>
      <c r="Q48" s="1">
        <f t="shared" si="9"/>
        <v>0.16536920636816291</v>
      </c>
      <c r="R48" s="1">
        <f t="shared" si="1"/>
        <v>3.3881220924816401E-2</v>
      </c>
      <c r="W48">
        <v>9.5</v>
      </c>
      <c r="X48" s="1">
        <f t="shared" si="5"/>
        <v>4.2600400065384977E-3</v>
      </c>
      <c r="Y48" s="1">
        <f t="shared" si="2"/>
        <v>3.8937865744634735E-3</v>
      </c>
      <c r="Z48" s="1">
        <f t="shared" si="3"/>
        <v>1.1263600033555976E-2</v>
      </c>
      <c r="AA48" s="1">
        <f t="shared" si="4"/>
        <v>7.861761868723725E-3</v>
      </c>
    </row>
    <row r="49" spans="1:27">
      <c r="A49">
        <v>30</v>
      </c>
      <c r="B49" s="1">
        <v>-2.4437500000000002E-3</v>
      </c>
      <c r="H49" s="13">
        <f t="shared" si="12"/>
        <v>8</v>
      </c>
      <c r="I49" s="2">
        <f>Interpolate_Range('試算番号2-1'!$G$10:$G$130,'試算番号2-1'!$I$10:$I$130,H49)</f>
        <v>0.93936900450663208</v>
      </c>
      <c r="J49" s="1">
        <f>Interpolate_Range('試算番号2-1'!$G$11:$G$130,'試算番号2-1'!$N$11:$N$130,H49)</f>
        <v>1.4403074597738116E-2</v>
      </c>
      <c r="K49" s="5">
        <f t="shared" si="6"/>
        <v>7.8309488657871285</v>
      </c>
      <c r="L49" s="1">
        <f t="shared" si="10"/>
        <v>5.0756168973610356E-2</v>
      </c>
      <c r="M49" s="1">
        <f t="shared" si="7"/>
        <v>-7.4599999999999996E-3</v>
      </c>
      <c r="N49" s="1">
        <f t="shared" si="8"/>
        <v>-5.8418878538771972E-2</v>
      </c>
      <c r="O49" s="18">
        <f t="shared" si="11"/>
        <v>0.7579986398891021</v>
      </c>
      <c r="P49" s="10">
        <f>Interpolate_Range('試算番号2-2'!$G$11:$G$130,'試算番号2-2'!$K$11:$K$130,H49)</f>
        <v>4.449188462737208E-2</v>
      </c>
      <c r="Q49" s="1">
        <f t="shared" si="9"/>
        <v>0.17380040337657562</v>
      </c>
      <c r="R49" s="1">
        <f t="shared" si="1"/>
        <v>3.4634210960366146E-2</v>
      </c>
      <c r="W49">
        <v>9.75</v>
      </c>
      <c r="X49" s="1">
        <f t="shared" si="5"/>
        <v>4.5065605222022465E-3</v>
      </c>
      <c r="Y49" s="1">
        <f t="shared" si="2"/>
        <v>4.0984384257356787E-3</v>
      </c>
      <c r="Z49" s="1">
        <f t="shared" si="3"/>
        <v>1.1651493998309226E-2</v>
      </c>
      <c r="AA49" s="1">
        <f t="shared" si="4"/>
        <v>8.0214184179812631E-3</v>
      </c>
    </row>
    <row r="50" spans="1:27">
      <c r="H50" s="13">
        <f t="shared" si="12"/>
        <v>8.25</v>
      </c>
      <c r="I50" s="2">
        <f>Interpolate_Range('試算番号2-1'!$G$10:$G$130,'試算番号2-1'!$I$10:$I$130,H50)</f>
        <v>0.9353369307992202</v>
      </c>
      <c r="J50" s="1">
        <f>Interpolate_Range('試算番号2-1'!$G$11:$G$130,'試算番号2-1'!$N$11:$N$130,H50)</f>
        <v>1.5344247124250959E-2</v>
      </c>
      <c r="K50" s="5">
        <f t="shared" si="6"/>
        <v>8.0647830984869326</v>
      </c>
      <c r="L50" s="1">
        <f t="shared" si="10"/>
        <v>5.4344179226265769E-2</v>
      </c>
      <c r="M50" s="1">
        <f t="shared" si="7"/>
        <v>-7.4450000000000002E-3</v>
      </c>
      <c r="N50" s="1">
        <f t="shared" si="8"/>
        <v>-6.0042310168235212E-2</v>
      </c>
      <c r="O50" s="18">
        <f t="shared" si="11"/>
        <v>0.74752371179531951</v>
      </c>
      <c r="P50" s="10">
        <f>Interpolate_Range('試算番号2-2'!$G$11:$G$130,'試算番号2-2'!$K$11:$K$130,H50)</f>
        <v>4.309475672266494E-2</v>
      </c>
      <c r="Q50" s="1">
        <f t="shared" si="9"/>
        <v>0.18185399150263631</v>
      </c>
      <c r="R50" s="1">
        <f t="shared" si="1"/>
        <v>3.5271424576375783E-2</v>
      </c>
      <c r="W50">
        <v>10</v>
      </c>
      <c r="X50" s="33">
        <f>1+Interpolate_Range($H$19:$H$137,$J$19:$J$137,W50)/4</f>
        <v>1.0045217734298684</v>
      </c>
      <c r="Y50" s="32">
        <f t="shared" si="2"/>
        <v>0.90894216668270744</v>
      </c>
      <c r="Z50" s="33">
        <f>1+Interpolate_Range($H$19:$H$137,$P$19:$P$137,W50)/4</f>
        <v>1.0117888517335296</v>
      </c>
      <c r="AA50" s="32">
        <f t="shared" si="4"/>
        <v>0.68660296028546541</v>
      </c>
    </row>
    <row r="51" spans="1:27">
      <c r="H51" s="13">
        <f t="shared" si="12"/>
        <v>8.5</v>
      </c>
      <c r="I51" s="2">
        <f>Interpolate_Range('試算番号2-1'!$G$10:$G$130,'試算番号2-1'!$I$10:$I$130,H51)</f>
        <v>0.93130485709180832</v>
      </c>
      <c r="J51" s="1">
        <f>Interpolate_Range('試算番号2-1'!$G$11:$G$130,'試算番号2-1'!$N$11:$N$130,H51)</f>
        <v>1.5379139351403977E-2</v>
      </c>
      <c r="K51" s="5">
        <f t="shared" si="6"/>
        <v>8.2976093127598851</v>
      </c>
      <c r="L51" s="1">
        <f t="shared" si="10"/>
        <v>5.7924846020229341E-2</v>
      </c>
      <c r="M51" s="1">
        <f t="shared" si="7"/>
        <v>-7.43E-3</v>
      </c>
      <c r="N51" s="1">
        <f t="shared" si="8"/>
        <v>-6.1651237193805948E-2</v>
      </c>
      <c r="O51" s="18">
        <f t="shared" si="11"/>
        <v>0.73777590611809452</v>
      </c>
      <c r="P51" s="10">
        <f>Interpolate_Range('試算番号2-2'!$G$11:$G$130,'試算番号2-2'!$K$11:$K$130,H51)</f>
        <v>4.3564102825945916E-2</v>
      </c>
      <c r="Q51" s="1">
        <f t="shared" si="9"/>
        <v>0.18988912786179485</v>
      </c>
      <c r="R51" s="1">
        <f t="shared" si="1"/>
        <v>3.577825302814349E-2</v>
      </c>
    </row>
    <row r="52" spans="1:27">
      <c r="H52" s="13">
        <f t="shared" si="12"/>
        <v>8.75</v>
      </c>
      <c r="I52" s="2">
        <f>Interpolate_Range('試算番号2-1'!$G$10:$G$130,'試算番号2-1'!$I$10:$I$130,H52)</f>
        <v>0.92704130811391794</v>
      </c>
      <c r="J52" s="1">
        <f>Interpolate_Range('試算番号2-1'!$G$11:$G$130,'試算番号2-1'!$N$11:$N$130,H52)</f>
        <v>1.641752401654047E-2</v>
      </c>
      <c r="K52" s="5">
        <f t="shared" ref="K52:K83" si="13">K51+I52*0.25</f>
        <v>8.5293696397883654</v>
      </c>
      <c r="L52" s="1">
        <f t="shared" si="10"/>
        <v>6.1729776755300676E-2</v>
      </c>
      <c r="M52" s="1">
        <f t="shared" si="7"/>
        <v>-7.4149999999999997E-3</v>
      </c>
      <c r="N52" s="1">
        <f t="shared" si="8"/>
        <v>-6.3245275879030727E-2</v>
      </c>
      <c r="O52" s="18">
        <f t="shared" si="11"/>
        <v>0.72771116017601889</v>
      </c>
      <c r="P52" s="10">
        <f>Interpolate_Range('試算番号2-2'!$G$11:$G$130,'試算番号2-2'!$K$11:$K$130,H52)</f>
        <v>4.5437532264188008E-2</v>
      </c>
      <c r="Q52" s="1">
        <f t="shared" ref="Q52:Q83" si="14">Q51+P52*O52*0.25</f>
        <v>0.19815547769167174</v>
      </c>
      <c r="R52" s="1">
        <f t="shared" si="1"/>
        <v>3.6325836287394907E-2</v>
      </c>
    </row>
    <row r="53" spans="1:27">
      <c r="H53" s="13">
        <f t="shared" si="12"/>
        <v>9</v>
      </c>
      <c r="I53" s="2">
        <f>Interpolate_Range('試算番号2-1'!$G$10:$G$130,'試算番号2-1'!$I$10:$I$130,H53)</f>
        <v>0.92277775913602744</v>
      </c>
      <c r="J53" s="1">
        <f>Interpolate_Range('試算番号2-1'!$G$11:$G$130,'試算番号2-1'!$N$11:$N$130,H53)</f>
        <v>1.6462375798907542E-2</v>
      </c>
      <c r="K53" s="5">
        <f t="shared" si="13"/>
        <v>8.7600640795723717</v>
      </c>
      <c r="L53" s="1">
        <f t="shared" si="10"/>
        <v>6.5527555317743444E-2</v>
      </c>
      <c r="M53" s="1">
        <f t="shared" si="7"/>
        <v>-7.4000000000000003E-3</v>
      </c>
      <c r="N53" s="1">
        <f t="shared" si="8"/>
        <v>-6.4824474188835551E-2</v>
      </c>
      <c r="O53" s="18">
        <f t="shared" ref="O53:O84" si="15">(I53+L53+N53-Q52)/(1+P52*0.25)</f>
        <v>0.71717865549866178</v>
      </c>
      <c r="P53" s="10">
        <f>Interpolate_Range('試算番号2-2'!$G$11:$G$130,'試算番号2-2'!$K$11:$K$130,H53)</f>
        <v>4.5959605023210948E-2</v>
      </c>
      <c r="Q53" s="1">
        <f t="shared" si="14"/>
        <v>0.20639578962612073</v>
      </c>
      <c r="R53" s="1">
        <f t="shared" si="1"/>
        <v>3.6936699841279591E-2</v>
      </c>
    </row>
    <row r="54" spans="1:27">
      <c r="H54" s="13">
        <f t="shared" si="12"/>
        <v>9.25</v>
      </c>
      <c r="I54" s="2">
        <f>Interpolate_Range('試算番号2-1'!$G$10:$G$130,'試算番号2-1'!$I$10:$I$130,H54)</f>
        <v>0.91840179124104004</v>
      </c>
      <c r="J54" s="1">
        <f>Interpolate_Range('試算番号2-1'!$G$11:$G$130,'試算番号2-1'!$N$11:$N$130,H54)</f>
        <v>1.6989928044460711E-2</v>
      </c>
      <c r="K54" s="5">
        <f t="shared" si="13"/>
        <v>8.9896645273826312</v>
      </c>
      <c r="L54" s="1">
        <f t="shared" si="10"/>
        <v>6.9428450405015718E-2</v>
      </c>
      <c r="M54" s="1">
        <f t="shared" si="7"/>
        <v>-7.3515625000000005E-3</v>
      </c>
      <c r="N54" s="1">
        <f t="shared" si="8"/>
        <v>-6.6088080627086376E-2</v>
      </c>
      <c r="O54" s="18">
        <f t="shared" si="15"/>
        <v>0.70722047793529064</v>
      </c>
      <c r="P54" s="10">
        <f>Interpolate_Range('試算番号2-2'!$G$11:$G$130,'試算番号2-2'!$K$11:$K$130,H54)</f>
        <v>4.4552577718340203E-2</v>
      </c>
      <c r="Q54" s="1">
        <f t="shared" si="14"/>
        <v>0.21427291345292418</v>
      </c>
      <c r="R54" s="1">
        <f t="shared" si="1"/>
        <v>3.7450033699618114E-2</v>
      </c>
    </row>
    <row r="55" spans="1:27">
      <c r="H55" s="13">
        <f t="shared" si="12"/>
        <v>9.5</v>
      </c>
      <c r="I55" s="2">
        <f>Interpolate_Range('試算番号2-1'!$G$10:$G$130,'試算番号2-1'!$I$10:$I$130,H55)</f>
        <v>0.91402582334605254</v>
      </c>
      <c r="J55" s="1">
        <f>Interpolate_Range('試算番号2-1'!$G$11:$G$130,'試算番号2-1'!$N$11:$N$130,H55)</f>
        <v>1.7040160026153991E-2</v>
      </c>
      <c r="K55" s="5">
        <f t="shared" si="13"/>
        <v>9.2181709832191441</v>
      </c>
      <c r="L55" s="1">
        <f t="shared" si="10"/>
        <v>7.3322236979479191E-2</v>
      </c>
      <c r="M55" s="1">
        <f t="shared" si="7"/>
        <v>-7.3031250000000006E-3</v>
      </c>
      <c r="N55" s="1">
        <f t="shared" si="8"/>
        <v>-6.7321454961822319E-2</v>
      </c>
      <c r="O55" s="18">
        <f t="shared" si="15"/>
        <v>0.6979794954812264</v>
      </c>
      <c r="P55" s="10">
        <f>Interpolate_Range('試算番号2-2'!$G$11:$G$130,'試算番号2-2'!$K$11:$K$130,H55)</f>
        <v>4.5054400134223904E-2</v>
      </c>
      <c r="Q55" s="1">
        <f t="shared" si="14"/>
        <v>0.22213467532164791</v>
      </c>
      <c r="R55" s="1">
        <f t="shared" si="1"/>
        <v>3.7849005552910063E-2</v>
      </c>
    </row>
    <row r="56" spans="1:27">
      <c r="H56" s="13">
        <f t="shared" si="12"/>
        <v>9.75</v>
      </c>
      <c r="I56" s="2">
        <f>Interpolate_Range('試算番号2-1'!$G$10:$G$130,'試算番号2-1'!$I$10:$I$130,H56)</f>
        <v>0.90943823022992964</v>
      </c>
      <c r="J56" s="1">
        <f>Interpolate_Range('試算番号2-1'!$G$11:$G$130,'試算番号2-1'!$N$11:$N$130,H56)</f>
        <v>1.8026242088808986E-2</v>
      </c>
      <c r="K56" s="5">
        <f t="shared" si="13"/>
        <v>9.4455305407766268</v>
      </c>
      <c r="L56" s="1">
        <f t="shared" si="10"/>
        <v>7.742067540521487E-2</v>
      </c>
      <c r="M56" s="1">
        <f t="shared" si="7"/>
        <v>-7.2546874999999999E-3</v>
      </c>
      <c r="N56" s="1">
        <f t="shared" si="8"/>
        <v>-6.8524372345040427E-2</v>
      </c>
      <c r="O56" s="18">
        <f t="shared" si="15"/>
        <v>0.68844548339854694</v>
      </c>
      <c r="P56" s="10">
        <f>Interpolate_Range('試算番号2-2'!$G$11:$G$130,'試算番号2-2'!$K$11:$K$130,H56)</f>
        <v>4.6605975993236903E-2</v>
      </c>
      <c r="Q56" s="1">
        <f t="shared" si="14"/>
        <v>0.23015609373962917</v>
      </c>
      <c r="R56" s="1">
        <f t="shared" si="1"/>
        <v>3.8289143143581623E-2</v>
      </c>
    </row>
    <row r="57" spans="1:27">
      <c r="H57" s="13">
        <f t="shared" si="12"/>
        <v>10</v>
      </c>
      <c r="I57" s="2">
        <f>Interpolate_Range('試算番号2-1'!$G$10:$G$130,'試算番号2-1'!$I$10:$I$130,H57)</f>
        <v>0.90485063711380675</v>
      </c>
      <c r="J57" s="1">
        <f>Interpolate_Range('試算番号2-1'!$G$11:$G$130,'試算番号2-1'!$N$11:$N$130,H57)</f>
        <v>1.8087093719473642E-2</v>
      </c>
      <c r="K57" s="5">
        <f t="shared" si="13"/>
        <v>9.6717432000550794</v>
      </c>
      <c r="L57" s="1">
        <f t="shared" si="10"/>
        <v>8.1512204974115585E-2</v>
      </c>
      <c r="M57" s="1">
        <f t="shared" si="7"/>
        <v>-7.20625E-3</v>
      </c>
      <c r="N57" s="1">
        <f t="shared" si="8"/>
        <v>-6.9696999435396922E-2</v>
      </c>
      <c r="O57" s="18">
        <f t="shared" si="15"/>
        <v>0.67860301001447787</v>
      </c>
      <c r="P57" s="10">
        <f>Interpolate_Range('試算番号2-2'!$G$11:$G$130,'試算番号2-2'!$K$11:$K$130,H57)</f>
        <v>4.715540693411846E-2</v>
      </c>
      <c r="Q57" s="1">
        <f t="shared" si="14"/>
        <v>0.23815604401061677</v>
      </c>
      <c r="R57" s="1">
        <f t="shared" si="1"/>
        <v>3.8771899101779826E-2</v>
      </c>
    </row>
    <row r="58" spans="1:27">
      <c r="H58" s="13">
        <f t="shared" si="12"/>
        <v>10.25</v>
      </c>
      <c r="I58" s="2">
        <f>Interpolate_Range('試算番号2-1'!$G$10:$G$130,'試算番号2-1'!$I$10:$I$130,H58)</f>
        <v>0.90021313566400796</v>
      </c>
      <c r="J58" s="1">
        <f>Interpolate_Range('試算番号2-1'!$G$11:$G$130,'試算番号2-1'!$N$11:$N$130,H58)</f>
        <v>1.8366202945010124E-2</v>
      </c>
      <c r="K58" s="5">
        <f t="shared" si="13"/>
        <v>9.896796483971082</v>
      </c>
      <c r="L58" s="1">
        <f t="shared" si="10"/>
        <v>8.564557925995786E-2</v>
      </c>
      <c r="M58" s="1">
        <f t="shared" si="7"/>
        <v>-7.1353125000000002E-3</v>
      </c>
      <c r="N58" s="1">
        <f t="shared" si="8"/>
        <v>-7.0616735662034913E-2</v>
      </c>
      <c r="O58" s="18">
        <f t="shared" si="15"/>
        <v>0.66919687254039373</v>
      </c>
      <c r="P58" s="10">
        <f>Interpolate_Range('試算番号2-2'!$G$11:$G$130,'試算番号2-2'!$K$11:$K$130,H58)</f>
        <v>4.4506756126002855E-2</v>
      </c>
      <c r="Q58" s="1">
        <f t="shared" si="14"/>
        <v>0.24560198951222656</v>
      </c>
      <c r="R58" s="1">
        <f t="shared" si="1"/>
        <v>3.9187998371781718E-2</v>
      </c>
    </row>
    <row r="59" spans="1:27">
      <c r="H59" s="13">
        <f t="shared" si="12"/>
        <v>10.5</v>
      </c>
      <c r="I59" s="2">
        <f>Interpolate_Range('試算番号2-1'!$G$10:$G$130,'試算番号2-1'!$I$10:$I$130,H59)</f>
        <v>0.89557563421420927</v>
      </c>
      <c r="J59" s="1">
        <f>Interpolate_Range('試算番号2-1'!$G$11:$G$130,'試算番号2-1'!$N$11:$N$130,H59)</f>
        <v>1.8430858779118233E-2</v>
      </c>
      <c r="K59" s="5">
        <f t="shared" si="13"/>
        <v>10.120690392524635</v>
      </c>
      <c r="L59" s="1">
        <f t="shared" si="10"/>
        <v>8.9772136270013195E-2</v>
      </c>
      <c r="M59" s="1">
        <f t="shared" si="7"/>
        <v>-7.0643750000000003E-3</v>
      </c>
      <c r="N59" s="1">
        <f t="shared" si="8"/>
        <v>-7.1496352191691218E-2</v>
      </c>
      <c r="O59" s="18">
        <f t="shared" si="15"/>
        <v>0.66089584621723496</v>
      </c>
      <c r="P59" s="10">
        <f>Interpolate_Range('試算番号2-2'!$G$11:$G$130,'試算番号2-2'!$K$11:$K$130,H59)</f>
        <v>4.5007541039218779E-2</v>
      </c>
      <c r="Q59" s="1">
        <f t="shared" si="14"/>
        <v>0.25303831374254443</v>
      </c>
      <c r="R59" s="1">
        <f t="shared" si="1"/>
        <v>3.9443716339544965E-2</v>
      </c>
    </row>
    <row r="60" spans="1:27">
      <c r="H60" s="13">
        <f t="shared" si="12"/>
        <v>10.75</v>
      </c>
      <c r="I60" s="2">
        <f>Interpolate_Range('試算番号2-1'!$G$10:$G$130,'試算番号2-1'!$I$10:$I$130,H60)</f>
        <v>0.89074873032657031</v>
      </c>
      <c r="J60" s="1">
        <f>Interpolate_Range('試算番号2-1'!$G$11:$G$130,'試算番号2-1'!$N$11:$N$130,H60)</f>
        <v>1.9351258646178964E-2</v>
      </c>
      <c r="K60" s="5">
        <f t="shared" si="13"/>
        <v>10.343377575106278</v>
      </c>
      <c r="L60" s="1">
        <f t="shared" si="10"/>
        <v>9.4081413537339439E-2</v>
      </c>
      <c r="M60" s="1">
        <f t="shared" si="7"/>
        <v>-6.9934375000000005E-3</v>
      </c>
      <c r="N60" s="1">
        <f t="shared" si="8"/>
        <v>-7.2335764610407319E-2</v>
      </c>
      <c r="O60" s="18">
        <f t="shared" si="15"/>
        <v>0.65211850294008067</v>
      </c>
      <c r="P60" s="10">
        <f>Interpolate_Range('試算番号2-2'!$G$11:$G$130,'試算番号2-2'!$K$11:$K$130,H60)</f>
        <v>4.6192537534849976E-2</v>
      </c>
      <c r="Q60" s="1">
        <f t="shared" si="14"/>
        <v>0.2605690658486019</v>
      </c>
      <c r="R60" s="1">
        <f t="shared" si="1"/>
        <v>3.9770137729764767E-2</v>
      </c>
    </row>
    <row r="61" spans="1:27">
      <c r="H61" s="13">
        <f t="shared" si="12"/>
        <v>11</v>
      </c>
      <c r="I61" s="2">
        <f>Interpolate_Range('試算番号2-1'!$G$10:$G$130,'試算番号2-1'!$I$10:$I$130,H61)</f>
        <v>0.88592182643893136</v>
      </c>
      <c r="J61" s="1">
        <f>Interpolate_Range('試算番号2-1'!$G$11:$G$130,'試算番号2-1'!$N$11:$N$130,H61)</f>
        <v>1.9426831077907339E-2</v>
      </c>
      <c r="K61" s="5">
        <f t="shared" si="13"/>
        <v>10.56485803171601</v>
      </c>
      <c r="L61" s="1">
        <f t="shared" si="10"/>
        <v>9.8384076954954505E-2</v>
      </c>
      <c r="M61" s="1">
        <f t="shared" si="7"/>
        <v>-6.9224999999999998E-3</v>
      </c>
      <c r="N61" s="1">
        <f t="shared" si="8"/>
        <v>-7.3135229724554079E-2</v>
      </c>
      <c r="O61" s="18">
        <f t="shared" si="15"/>
        <v>0.64317414634658998</v>
      </c>
      <c r="P61" s="10">
        <f>Interpolate_Range('試算番号2-2'!$G$11:$G$130,'試算番号2-2'!$K$11:$K$130,H61)</f>
        <v>4.6732207345321797E-2</v>
      </c>
      <c r="Q61" s="1">
        <f t="shared" si="14"/>
        <v>0.26808330274015668</v>
      </c>
      <c r="R61" s="1">
        <f t="shared" si="1"/>
        <v>4.0121796116536837E-2</v>
      </c>
    </row>
    <row r="62" spans="1:27">
      <c r="H62" s="13">
        <f t="shared" si="12"/>
        <v>11.25</v>
      </c>
      <c r="I62" s="2">
        <f>Interpolate_Range('試算番号2-1'!$G$10:$G$130,'試算番号2-1'!$I$10:$I$130,H62)</f>
        <v>0.88091004849538046</v>
      </c>
      <c r="J62" s="1">
        <f>Interpolate_Range('試算番号2-1'!$G$11:$G$130,'試算番号2-1'!$N$11:$N$130,H62)</f>
        <v>2.0347419091448594E-2</v>
      </c>
      <c r="K62" s="5">
        <f t="shared" si="13"/>
        <v>10.785085543839855</v>
      </c>
      <c r="L62" s="1">
        <f t="shared" si="10"/>
        <v>0.10286513843960546</v>
      </c>
      <c r="M62" s="1">
        <f t="shared" si="7"/>
        <v>-6.8515625E-3</v>
      </c>
      <c r="N62" s="1">
        <f t="shared" si="8"/>
        <v>-7.3894687671465259E-2</v>
      </c>
      <c r="O62" s="18">
        <f t="shared" si="15"/>
        <v>0.63438563625082212</v>
      </c>
      <c r="P62" s="10">
        <f>Interpolate_Range('試算番号2-2'!$G$11:$G$130,'試算番号2-2'!$K$11:$K$130,H62)</f>
        <v>4.7916642713163426E-2</v>
      </c>
      <c r="Q62" s="1">
        <f t="shared" si="14"/>
        <v>0.27568271020880508</v>
      </c>
      <c r="R62" s="1">
        <f t="shared" si="1"/>
        <v>4.0453177812336191E-2</v>
      </c>
    </row>
    <row r="63" spans="1:27">
      <c r="H63" s="13">
        <f t="shared" si="12"/>
        <v>11.5</v>
      </c>
      <c r="I63" s="2">
        <f>Interpolate_Range('試算番号2-1'!$G$10:$G$130,'試算番号2-1'!$I$10:$I$130,H63)</f>
        <v>0.87589827055182967</v>
      </c>
      <c r="J63" s="1">
        <f>Interpolate_Range('試算番号2-1'!$G$11:$G$130,'試算番号2-1'!$N$11:$N$130,H63)</f>
        <v>2.0434594263725101E-2</v>
      </c>
      <c r="K63" s="5">
        <f t="shared" si="13"/>
        <v>11.004060111477813</v>
      </c>
      <c r="L63" s="1">
        <f t="shared" si="10"/>
        <v>0.10733979488336175</v>
      </c>
      <c r="M63" s="1">
        <f t="shared" si="7"/>
        <v>-6.7806250000000002E-3</v>
      </c>
      <c r="N63" s="1">
        <f t="shared" si="8"/>
        <v>-7.4614405093389249E-2</v>
      </c>
      <c r="O63" s="18">
        <f t="shared" si="15"/>
        <v>0.62544860084743348</v>
      </c>
      <c r="P63" s="10">
        <f>Interpolate_Range('試算番号2-2'!$G$11:$G$130,'試算番号2-2'!$K$11:$K$130,H63)</f>
        <v>4.8497603295552416E-2</v>
      </c>
      <c r="Q63" s="1">
        <f t="shared" si="14"/>
        <v>0.28326589974021937</v>
      </c>
      <c r="R63" s="1">
        <f t="shared" si="1"/>
        <v>4.080748916150706E-2</v>
      </c>
    </row>
    <row r="64" spans="1:27">
      <c r="H64" s="13">
        <f t="shared" si="12"/>
        <v>11.75</v>
      </c>
      <c r="I64" s="2">
        <f>Interpolate_Range('試算番号2-1'!$G$10:$G$130,'試算番号2-1'!$I$10:$I$130,H64)</f>
        <v>0.87070629732927507</v>
      </c>
      <c r="J64" s="1">
        <f>Interpolate_Range('試算番号2-1'!$G$11:$G$130,'試算番号2-1'!$N$11:$N$130,H64)</f>
        <v>2.1355477111016111E-2</v>
      </c>
      <c r="K64" s="5">
        <f t="shared" si="13"/>
        <v>11.221736685810132</v>
      </c>
      <c r="L64" s="1">
        <f t="shared" si="10"/>
        <v>0.11198838198411998</v>
      </c>
      <c r="M64" s="1">
        <f t="shared" si="7"/>
        <v>-6.7096875000000004E-3</v>
      </c>
      <c r="N64" s="1">
        <f t="shared" si="8"/>
        <v>-7.5294346369071674E-2</v>
      </c>
      <c r="O64" s="18">
        <f t="shared" si="15"/>
        <v>0.61665782654389822</v>
      </c>
      <c r="P64" s="10">
        <f>Interpolate_Range('試算番号2-2'!$G$11:$G$130,'試算番号2-2'!$K$11:$K$130,H64)</f>
        <v>4.9682206133149442E-2</v>
      </c>
      <c r="Q64" s="1">
        <f t="shared" si="14"/>
        <v>0.29092513005321285</v>
      </c>
      <c r="R64" s="1">
        <f t="shared" si="1"/>
        <v>4.1143913618284872E-2</v>
      </c>
    </row>
    <row r="65" spans="8:18">
      <c r="H65" s="13">
        <f t="shared" si="12"/>
        <v>12</v>
      </c>
      <c r="I65" s="2">
        <f>Interpolate_Range('試算番号2-1'!$G$10:$G$130,'試算番号2-1'!$I$10:$I$130,H65)</f>
        <v>0.86551432410672047</v>
      </c>
      <c r="J65" s="1">
        <f>Interpolate_Range('試算番号2-1'!$G$11:$G$130,'試算番号2-1'!$N$11:$N$130,H65)</f>
        <v>2.1454970060344702E-2</v>
      </c>
      <c r="K65" s="5">
        <f t="shared" si="13"/>
        <v>11.438115266836812</v>
      </c>
      <c r="L65" s="1">
        <f t="shared" si="10"/>
        <v>0.11663077796174727</v>
      </c>
      <c r="M65" s="1">
        <f t="shared" si="7"/>
        <v>-6.6387500000000006E-3</v>
      </c>
      <c r="N65" s="1">
        <f t="shared" si="8"/>
        <v>-7.5934787727712894E-2</v>
      </c>
      <c r="O65" s="18">
        <f t="shared" si="15"/>
        <v>0.60773675855918463</v>
      </c>
      <c r="P65" s="10">
        <f>Interpolate_Range('試算番号2-2'!$G$11:$G$130,'試算番号2-2'!$K$11:$K$130,H65)</f>
        <v>5.0307047407967431E-2</v>
      </c>
      <c r="Q65" s="1">
        <f t="shared" si="14"/>
        <v>0.29856849053431317</v>
      </c>
      <c r="R65" s="1">
        <f t="shared" si="1"/>
        <v>4.1501121138962115E-2</v>
      </c>
    </row>
    <row r="66" spans="8:18">
      <c r="H66" s="13">
        <f t="shared" si="12"/>
        <v>12.25</v>
      </c>
      <c r="I66" s="2">
        <f>Interpolate_Range('試算番号2-1'!$G$10:$G$130,'試算番号2-1'!$I$10:$I$130,H66)</f>
        <v>0.86033098910365369</v>
      </c>
      <c r="J66" s="1">
        <f>Interpolate_Range('試算番号2-1'!$G$11:$G$130,'試算番号2-1'!$N$11:$N$130,H66)</f>
        <v>2.1644288657724269E-2</v>
      </c>
      <c r="K66" s="5">
        <f t="shared" si="13"/>
        <v>11.653198014112725</v>
      </c>
      <c r="L66" s="1">
        <f t="shared" si="10"/>
        <v>0.1212860910290835</v>
      </c>
      <c r="M66" s="1">
        <f t="shared" si="7"/>
        <v>-6.5577083333333338E-3</v>
      </c>
      <c r="N66" s="1">
        <f t="shared" si="8"/>
        <v>-7.6418273727130476E-2</v>
      </c>
      <c r="O66" s="18">
        <f t="shared" si="15"/>
        <v>0.5990956327713598</v>
      </c>
      <c r="P66" s="10">
        <f>Interpolate_Range('試算番号2-2'!$G$11:$G$130,'試算番号2-2'!$K$11:$K$130,H66)</f>
        <v>4.3501502648385149E-2</v>
      </c>
      <c r="Q66" s="1">
        <f t="shared" si="14"/>
        <v>0.305083880598223</v>
      </c>
      <c r="R66" s="1">
        <f t="shared" si="1"/>
        <v>4.1823186903485798E-2</v>
      </c>
    </row>
    <row r="67" spans="8:18">
      <c r="H67" s="13">
        <f t="shared" si="12"/>
        <v>12.5</v>
      </c>
      <c r="I67" s="2">
        <f>Interpolate_Range('試算番号2-1'!$G$10:$G$130,'試算番号2-1'!$I$10:$I$130,H67)</f>
        <v>0.85514765410058691</v>
      </c>
      <c r="J67" s="1">
        <f>Interpolate_Range('試算番号2-1'!$G$11:$G$130,'試算番号2-1'!$N$11:$N$130,H67)</f>
        <v>2.1751943647981189E-2</v>
      </c>
      <c r="K67" s="5">
        <f t="shared" si="13"/>
        <v>11.866984927637871</v>
      </c>
      <c r="L67" s="1">
        <f t="shared" si="10"/>
        <v>0.12593637192475832</v>
      </c>
      <c r="M67" s="1">
        <f t="shared" si="7"/>
        <v>-6.476666666666667E-3</v>
      </c>
      <c r="N67" s="1">
        <f t="shared" si="8"/>
        <v>-7.6858505714667943E-2</v>
      </c>
      <c r="O67" s="18">
        <f t="shared" si="15"/>
        <v>0.5926958496936704</v>
      </c>
      <c r="P67" s="10">
        <f>Interpolate_Range('試算番号2-2'!$G$11:$G$130,'試算番号2-2'!$K$11:$K$130,H67)</f>
        <v>4.3979799489376248E-2</v>
      </c>
      <c r="Q67" s="1">
        <f t="shared" si="14"/>
        <v>0.31160054175515128</v>
      </c>
      <c r="R67" s="1">
        <f t="shared" si="1"/>
        <v>4.1845913006848992E-2</v>
      </c>
    </row>
    <row r="68" spans="8:18">
      <c r="H68" s="13">
        <f t="shared" si="12"/>
        <v>12.75</v>
      </c>
      <c r="I68" s="2">
        <f>Interpolate_Range('試算番号2-1'!$G$10:$G$130,'試算番号2-1'!$I$10:$I$130,H68)</f>
        <v>0.84980576509690819</v>
      </c>
      <c r="J68" s="1">
        <f>Interpolate_Range('試算番号2-1'!$G$11:$G$130,'試算番号2-1'!$N$11:$N$130,H68)</f>
        <v>2.2611899817614134E-2</v>
      </c>
      <c r="K68" s="5">
        <f t="shared" si="13"/>
        <v>12.079436368912098</v>
      </c>
      <c r="L68" s="1">
        <f t="shared" si="10"/>
        <v>0.13074030263095887</v>
      </c>
      <c r="M68" s="1">
        <f t="shared" si="7"/>
        <v>-6.3956250000000003E-3</v>
      </c>
      <c r="N68" s="1">
        <f t="shared" si="8"/>
        <v>-7.7255545226923447E-2</v>
      </c>
      <c r="O68" s="18">
        <f t="shared" si="15"/>
        <v>0.5852551299296832</v>
      </c>
      <c r="P68" s="10">
        <f>Interpolate_Range('試算番号2-2'!$G$11:$G$130,'試算番号2-2'!$K$11:$K$130,H68)</f>
        <v>4.4602464422300869E-2</v>
      </c>
      <c r="Q68" s="1">
        <f t="shared" si="14"/>
        <v>0.3181264970328157</v>
      </c>
      <c r="R68" s="1">
        <f t="shared" si="1"/>
        <v>4.2016267238027073E-2</v>
      </c>
    </row>
    <row r="69" spans="8:18">
      <c r="H69" s="13">
        <f t="shared" si="12"/>
        <v>13</v>
      </c>
      <c r="I69" s="2">
        <f>Interpolate_Range('試算番号2-1'!$G$10:$G$130,'試算番号2-1'!$I$10:$I$130,H69)</f>
        <v>0.84446387609322948</v>
      </c>
      <c r="J69" s="1">
        <f>Interpolate_Range('試算番号2-1'!$G$11:$G$130,'試算番号2-1'!$N$11:$N$130,H69)</f>
        <v>2.2732020908664271E-2</v>
      </c>
      <c r="K69" s="5">
        <f t="shared" si="13"/>
        <v>12.290552337935406</v>
      </c>
      <c r="L69" s="1">
        <f t="shared" si="10"/>
        <v>0.13553939525294961</v>
      </c>
      <c r="M69" s="1">
        <f t="shared" si="7"/>
        <v>-6.3145833333333335E-3</v>
      </c>
      <c r="N69" s="1">
        <f t="shared" si="8"/>
        <v>-7.7609716950587951E-2</v>
      </c>
      <c r="O69" s="18">
        <f t="shared" si="15"/>
        <v>0.57782396416180548</v>
      </c>
      <c r="P69" s="10">
        <f>Interpolate_Range('試算番号2-2'!$G$11:$G$130,'試算番号2-2'!$K$11:$K$130,H69)</f>
        <v>4.5105417618446886E-2</v>
      </c>
      <c r="Q69" s="1">
        <f t="shared" si="14"/>
        <v>0.32464224483618187</v>
      </c>
      <c r="R69" s="1">
        <f t="shared" si="1"/>
        <v>4.2191232074719351E-2</v>
      </c>
    </row>
    <row r="70" spans="8:18">
      <c r="H70" s="13">
        <f t="shared" si="12"/>
        <v>13.25</v>
      </c>
      <c r="I70" s="2">
        <f>Interpolate_Range('試算番号2-1'!$G$10:$G$130,'試算番号2-1'!$I$10:$I$130,H70)</f>
        <v>0.8389680490821898</v>
      </c>
      <c r="J70" s="1">
        <f>Interpolate_Range('試算番号2-1'!$G$11:$G$130,'試算番号2-1'!$N$11:$N$130,H70)</f>
        <v>2.3592421216566871E-2</v>
      </c>
      <c r="K70" s="5">
        <f t="shared" si="13"/>
        <v>12.500294350205953</v>
      </c>
      <c r="L70" s="1">
        <f t="shared" si="10"/>
        <v>0.14048771715324671</v>
      </c>
      <c r="M70" s="1">
        <f t="shared" si="7"/>
        <v>-6.2335416666666667E-3</v>
      </c>
      <c r="N70" s="1">
        <f t="shared" si="8"/>
        <v>-7.7921105677606739E-2</v>
      </c>
      <c r="O70" s="18">
        <f t="shared" si="15"/>
        <v>0.57045970985971783</v>
      </c>
      <c r="P70" s="10">
        <f>Interpolate_Range('試算番号2-2'!$G$11:$G$130,'試算番号2-2'!$K$11:$K$130,H70)</f>
        <v>4.572640821803553E-2</v>
      </c>
      <c r="Q70" s="1">
        <f t="shared" si="14"/>
        <v>0.33116351322742876</v>
      </c>
      <c r="R70" s="1">
        <f t="shared" si="1"/>
        <v>4.2363225258940471E-2</v>
      </c>
    </row>
    <row r="71" spans="8:18">
      <c r="H71" s="13">
        <f t="shared" si="12"/>
        <v>13.5</v>
      </c>
      <c r="I71" s="2">
        <f>Interpolate_Range('試算番号2-1'!$G$10:$G$130,'試算番号2-1'!$I$10:$I$130,H71)</f>
        <v>0.83347222207115013</v>
      </c>
      <c r="J71" s="1">
        <f>Interpolate_Range('試算番号2-1'!$G$11:$G$130,'試算番号2-1'!$N$11:$N$130,H71)</f>
        <v>2.3725715392490829E-2</v>
      </c>
      <c r="K71" s="5">
        <f t="shared" si="13"/>
        <v>12.708662405723741</v>
      </c>
      <c r="L71" s="1">
        <f t="shared" si="10"/>
        <v>0.14543139833534846</v>
      </c>
      <c r="M71" s="1">
        <f t="shared" si="7"/>
        <v>-6.1525E-3</v>
      </c>
      <c r="N71" s="1">
        <f t="shared" si="8"/>
        <v>-7.8190045451215315E-2</v>
      </c>
      <c r="O71" s="18">
        <f t="shared" si="15"/>
        <v>0.56311278050926461</v>
      </c>
      <c r="P71" s="10">
        <f>Interpolate_Range('試算番号2-2'!$G$11:$G$130,'試算番号2-2'!$K$11:$K$130,H71)</f>
        <v>4.6255179017522963E-2</v>
      </c>
      <c r="Q71" s="1">
        <f t="shared" si="14"/>
        <v>0.33767523384480658</v>
      </c>
      <c r="R71" s="1">
        <f t="shared" si="1"/>
        <v>4.2538914835820708E-2</v>
      </c>
    </row>
    <row r="72" spans="8:18">
      <c r="H72" s="13">
        <f t="shared" si="12"/>
        <v>13.75</v>
      </c>
      <c r="I72" s="2">
        <f>Interpolate_Range('試算番号2-1'!$G$10:$G$130,'試算番号2-1'!$I$10:$I$130,H72)</f>
        <v>0.82782717953634943</v>
      </c>
      <c r="J72" s="1">
        <f>Interpolate_Range('試算番号2-1'!$G$11:$G$130,'試算番号2-1'!$N$11:$N$130,H72)</f>
        <v>2.4586709227561249E-2</v>
      </c>
      <c r="K72" s="5">
        <f t="shared" si="13"/>
        <v>12.915619200607829</v>
      </c>
      <c r="L72" s="1">
        <f t="shared" si="10"/>
        <v>0.15051978487383155</v>
      </c>
      <c r="M72" s="1">
        <f t="shared" si="7"/>
        <v>-6.0714583333333341E-3</v>
      </c>
      <c r="N72" s="1">
        <f t="shared" si="8"/>
        <v>-7.8416643825690413E-2</v>
      </c>
      <c r="O72" s="18">
        <f t="shared" si="15"/>
        <v>0.55582761033495276</v>
      </c>
      <c r="P72" s="10">
        <f>Interpolate_Range('試算番号2-2'!$G$11:$G$130,'試算番号2-2'!$K$11:$K$130,H72)</f>
        <v>4.6874839372256893E-2</v>
      </c>
      <c r="Q72" s="1">
        <f t="shared" si="14"/>
        <v>0.34418881633308568</v>
      </c>
      <c r="R72" s="1">
        <f t="shared" si="1"/>
        <v>4.271251535726802E-2</v>
      </c>
    </row>
    <row r="73" spans="8:18">
      <c r="H73" s="13">
        <f t="shared" si="12"/>
        <v>14</v>
      </c>
      <c r="I73" s="2">
        <f>Interpolate_Range('試算番号2-1'!$G$10:$G$130,'試算番号2-1'!$I$10:$I$130,H73)</f>
        <v>0.82218213700154885</v>
      </c>
      <c r="J73" s="1">
        <f>Interpolate_Range('試算番号2-1'!$G$11:$G$130,'試算番号2-1'!$N$11:$N$130,H73)</f>
        <v>2.4733917217153359E-2</v>
      </c>
      <c r="K73" s="5">
        <f t="shared" si="13"/>
        <v>13.121164734858215</v>
      </c>
      <c r="L73" s="1">
        <f t="shared" si="10"/>
        <v>0.15560373110233619</v>
      </c>
      <c r="M73" s="1">
        <f t="shared" si="7"/>
        <v>-5.9904166666666673E-3</v>
      </c>
      <c r="N73" s="1">
        <f t="shared" si="8"/>
        <v>-7.8601243913773572E-2</v>
      </c>
      <c r="O73" s="18">
        <f t="shared" si="15"/>
        <v>0.54856730675971754</v>
      </c>
      <c r="P73" s="10">
        <f>Interpolate_Range('試算番号2-2'!$G$11:$G$130,'試算番号2-2'!$K$11:$K$130,H73)</f>
        <v>4.7430665579849318E-2</v>
      </c>
      <c r="Q73" s="1">
        <f t="shared" si="14"/>
        <v>0.35069354445182538</v>
      </c>
      <c r="R73" s="1">
        <f t="shared" si="1"/>
        <v>4.288894972879792E-2</v>
      </c>
    </row>
    <row r="74" spans="8:18">
      <c r="H74" s="13">
        <f t="shared" si="12"/>
        <v>14.25</v>
      </c>
      <c r="I74" s="2">
        <f>Interpolate_Range('試算番号2-1'!$G$10:$G$130,'試算番号2-1'!$I$10:$I$130,H74)</f>
        <v>0.81639270189957536</v>
      </c>
      <c r="J74" s="1">
        <f>Interpolate_Range('試算番号2-1'!$G$11:$G$130,'試算番号2-1'!$N$11:$N$130,H74)</f>
        <v>2.5595672478300083E-2</v>
      </c>
      <c r="K74" s="5">
        <f t="shared" si="13"/>
        <v>13.325262910333109</v>
      </c>
      <c r="L74" s="1">
        <f t="shared" si="10"/>
        <v>0.16082776115521019</v>
      </c>
      <c r="M74" s="1">
        <f t="shared" si="7"/>
        <v>-5.9093750000000006E-3</v>
      </c>
      <c r="N74" s="1">
        <f t="shared" si="8"/>
        <v>-7.8743975510749728E-2</v>
      </c>
      <c r="O74" s="18">
        <f t="shared" si="15"/>
        <v>0.5413636337251333</v>
      </c>
      <c r="P74" s="10">
        <f>Interpolate_Range('試算番号2-2'!$G$11:$G$130,'試算番号2-2'!$K$11:$K$130,H74)</f>
        <v>4.804937856407232E-2</v>
      </c>
      <c r="Q74" s="1">
        <f t="shared" si="14"/>
        <v>0.35719659099624557</v>
      </c>
      <c r="R74" s="1">
        <f t="shared" si="1"/>
        <v>4.3064145604555536E-2</v>
      </c>
    </row>
    <row r="75" spans="8:18">
      <c r="H75" s="13">
        <f t="shared" si="12"/>
        <v>14.5</v>
      </c>
      <c r="I75" s="2">
        <f>Interpolate_Range('試算番号2-1'!$G$10:$G$130,'試算番号2-1'!$I$10:$I$130,H75)</f>
        <v>0.81060326679760175</v>
      </c>
      <c r="J75" s="1">
        <f>Interpolate_Range('試算番号2-1'!$G$11:$G$130,'試算番号2-1'!$N$11:$N$130,H75)</f>
        <v>2.5757571764799075E-2</v>
      </c>
      <c r="K75" s="5">
        <f t="shared" si="13"/>
        <v>13.527913727032509</v>
      </c>
      <c r="L75" s="1">
        <f t="shared" si="10"/>
        <v>0.16604755410954014</v>
      </c>
      <c r="M75" s="1">
        <f t="shared" si="7"/>
        <v>-5.8283333333333338E-3</v>
      </c>
      <c r="N75" s="1">
        <f t="shared" si="8"/>
        <v>-7.8845190505721141E-2</v>
      </c>
      <c r="O75" s="18">
        <f t="shared" si="15"/>
        <v>0.53419213932310328</v>
      </c>
      <c r="P75" s="10">
        <f>Interpolate_Range('試算番号2-2'!$G$11:$G$130,'試算番号2-2'!$K$11:$K$130,H75)</f>
        <v>4.8633581911115442E-2</v>
      </c>
      <c r="Q75" s="1">
        <f t="shared" si="14"/>
        <v>0.3636915102872566</v>
      </c>
      <c r="R75" s="1">
        <f t="shared" si="1"/>
        <v>4.3241358156695102E-2</v>
      </c>
    </row>
    <row r="76" spans="8:18">
      <c r="H76" s="13">
        <f t="shared" si="12"/>
        <v>14.75</v>
      </c>
      <c r="I76" s="2">
        <f>Interpolate_Range('試算番号2-1'!$G$10:$G$130,'試算番号2-1'!$I$10:$I$130,H76)</f>
        <v>0.80467435644924512</v>
      </c>
      <c r="J76" s="1">
        <f>Interpolate_Range('試算番号2-1'!$G$11:$G$130,'試算番号2-1'!$N$11:$N$130,H76)</f>
        <v>2.662027669907565E-2</v>
      </c>
      <c r="K76" s="5">
        <f t="shared" si="13"/>
        <v>13.729082316144821</v>
      </c>
      <c r="L76" s="1">
        <f t="shared" si="10"/>
        <v>0.17140271761487252</v>
      </c>
      <c r="M76" s="1">
        <f t="shared" si="7"/>
        <v>-5.747291666666667E-3</v>
      </c>
      <c r="N76" s="1">
        <f t="shared" si="8"/>
        <v>-7.8905040386559835E-2</v>
      </c>
      <c r="O76" s="18">
        <f t="shared" si="15"/>
        <v>0.52707217148406615</v>
      </c>
      <c r="P76" s="10">
        <f>Interpolate_Range('試算番号2-2'!$G$11:$G$130,'試算番号2-2'!$K$11:$K$130,H76)</f>
        <v>4.9251773554233935E-2</v>
      </c>
      <c r="Q76" s="1">
        <f t="shared" si="14"/>
        <v>0.37018132009642452</v>
      </c>
      <c r="R76" s="1">
        <f t="shared" ref="R76:R137" si="16">-LN(O76)/H76</f>
        <v>4.3418155391841698E-2</v>
      </c>
    </row>
    <row r="77" spans="8:18">
      <c r="H77" s="13">
        <f t="shared" si="12"/>
        <v>15</v>
      </c>
      <c r="I77" s="2">
        <f>Interpolate_Range('試算番号2-1'!$G$10:$G$130,'試算番号2-1'!$I$10:$I$130,H77)</f>
        <v>0.79874544610088838</v>
      </c>
      <c r="J77" s="1">
        <f>Interpolate_Range('試算番号2-1'!$G$11:$G$130,'試算番号2-1'!$N$11:$N$130,H77)</f>
        <v>2.6797684826069579E-2</v>
      </c>
      <c r="K77" s="5">
        <f t="shared" si="13"/>
        <v>13.928768677670043</v>
      </c>
      <c r="L77" s="1">
        <f t="shared" si="10"/>
        <v>0.17675384979509001</v>
      </c>
      <c r="M77" s="1">
        <f t="shared" si="7"/>
        <v>-5.6662500000000003E-3</v>
      </c>
      <c r="N77" s="1">
        <f t="shared" si="8"/>
        <v>-7.8923885519847886E-2</v>
      </c>
      <c r="O77" s="18">
        <f t="shared" si="15"/>
        <v>0.51999146481095504</v>
      </c>
      <c r="P77" s="10">
        <f>Interpolate_Range('試算番号2-2'!$G$11:$G$130,'試算番号2-2'!$K$11:$K$130,H77)</f>
        <v>4.9865767931804861E-2</v>
      </c>
      <c r="Q77" s="1">
        <f t="shared" si="14"/>
        <v>0.37666376352412012</v>
      </c>
      <c r="R77" s="1">
        <f t="shared" si="16"/>
        <v>4.3596192091097247E-2</v>
      </c>
    </row>
    <row r="78" spans="8:18">
      <c r="H78" s="13">
        <f t="shared" si="12"/>
        <v>15.25</v>
      </c>
      <c r="I78" s="2">
        <f>Interpolate_Range('試算番号2-1'!$G$10:$G$130,'試算番号2-1'!$I$10:$I$130,H78)</f>
        <v>0.79372872924630966</v>
      </c>
      <c r="J78" s="1">
        <f>Interpolate_Range('試算番号2-1'!$G$11:$G$130,'試算番号2-1'!$N$11:$N$130,H78)</f>
        <v>2.2899821921187922E-2</v>
      </c>
      <c r="K78" s="5">
        <f t="shared" si="13"/>
        <v>14.12720085998162</v>
      </c>
      <c r="L78" s="1">
        <f t="shared" si="10"/>
        <v>0.18129791143345783</v>
      </c>
      <c r="M78" s="1">
        <f t="shared" si="7"/>
        <v>-5.5873750000000003E-3</v>
      </c>
      <c r="N78" s="1">
        <f t="shared" si="8"/>
        <v>-7.8933968905039814E-2</v>
      </c>
      <c r="O78" s="18">
        <f t="shared" si="15"/>
        <v>0.51303320950893716</v>
      </c>
      <c r="P78" s="10">
        <f>Interpolate_Range('試算番号2-2'!$G$11:$G$130,'試算番号2-2'!$K$11:$K$130,H78)</f>
        <v>4.1229752419646104E-2</v>
      </c>
      <c r="Q78" s="1">
        <f t="shared" si="14"/>
        <v>0.38195182157689761</v>
      </c>
      <c r="R78" s="1">
        <f t="shared" si="16"/>
        <v>4.3764898362083721E-2</v>
      </c>
    </row>
    <row r="79" spans="8:18">
      <c r="H79" s="13">
        <f t="shared" si="12"/>
        <v>15.5</v>
      </c>
      <c r="I79" s="2">
        <f>Interpolate_Range('試算番号2-1'!$G$10:$G$130,'試算番号2-1'!$I$10:$I$130,H79)</f>
        <v>0.78871201239173094</v>
      </c>
      <c r="J79" s="1">
        <f>Interpolate_Range('試算番号2-1'!$G$11:$G$130,'試算番号2-1'!$N$11:$N$130,H79)</f>
        <v>2.3039167925309162E-2</v>
      </c>
      <c r="K79" s="5">
        <f t="shared" si="13"/>
        <v>14.324378863079554</v>
      </c>
      <c r="L79" s="1">
        <f t="shared" si="10"/>
        <v>0.18584072855800823</v>
      </c>
      <c r="M79" s="1">
        <f t="shared" si="7"/>
        <v>-5.5085000000000004E-3</v>
      </c>
      <c r="N79" s="1">
        <f t="shared" si="8"/>
        <v>-7.8905840967273724E-2</v>
      </c>
      <c r="O79" s="18">
        <f t="shared" si="15"/>
        <v>0.50845421802410318</v>
      </c>
      <c r="P79" s="10">
        <f>Interpolate_Range('試算番号2-2'!$G$11:$G$130,'試算番号2-2'!$K$11:$K$130,H79)</f>
        <v>4.1659151545706763E-2</v>
      </c>
      <c r="Q79" s="1">
        <f t="shared" si="14"/>
        <v>0.38724726440757762</v>
      </c>
      <c r="R79" s="1">
        <f t="shared" si="16"/>
        <v>4.3637425866518198E-2</v>
      </c>
    </row>
    <row r="80" spans="8:18">
      <c r="H80" s="13">
        <f t="shared" si="12"/>
        <v>15.75</v>
      </c>
      <c r="I80" s="2">
        <f>Interpolate_Range('試算番号2-1'!$G$10:$G$130,'試算番号2-1'!$I$10:$I$130,H80)</f>
        <v>0.78361443855202939</v>
      </c>
      <c r="J80" s="1">
        <f>Interpolate_Range('試算番号2-1'!$G$11:$G$130,'試算番号2-1'!$N$11:$N$130,H80)</f>
        <v>2.3595780670324758E-2</v>
      </c>
      <c r="K80" s="5">
        <f t="shared" si="13"/>
        <v>14.520282472717561</v>
      </c>
      <c r="L80" s="1">
        <f t="shared" si="10"/>
        <v>0.19046322716355157</v>
      </c>
      <c r="M80" s="1">
        <f t="shared" si="7"/>
        <v>-5.4296250000000004E-3</v>
      </c>
      <c r="N80" s="1">
        <f t="shared" si="8"/>
        <v>-7.8839688720929099E-2</v>
      </c>
      <c r="O80" s="18">
        <f t="shared" si="15"/>
        <v>0.50275462975921315</v>
      </c>
      <c r="P80" s="10">
        <f>Interpolate_Range('試算番号2-2'!$G$11:$G$130,'試算番号2-2'!$K$11:$K$130,H80)</f>
        <v>4.1790400145525375E-2</v>
      </c>
      <c r="Q80" s="1">
        <f t="shared" si="14"/>
        <v>0.39249984369574087</v>
      </c>
      <c r="R80" s="1">
        <f t="shared" si="16"/>
        <v>4.3660510571564053E-2</v>
      </c>
    </row>
    <row r="81" spans="8:18">
      <c r="H81" s="13">
        <f t="shared" si="12"/>
        <v>16</v>
      </c>
      <c r="I81" s="2">
        <f>Interpolate_Range('試算番号2-1'!$G$10:$G$130,'試算番号2-1'!$I$10:$I$130,H81)</f>
        <v>0.77851686471232773</v>
      </c>
      <c r="J81" s="1">
        <f>Interpolate_Range('試算番号2-1'!$G$11:$G$130,'試算番号2-1'!$N$11:$N$130,H81)</f>
        <v>2.3744413325969892E-2</v>
      </c>
      <c r="K81" s="5">
        <f t="shared" si="13"/>
        <v>14.714911688895643</v>
      </c>
      <c r="L81" s="1">
        <f t="shared" si="10"/>
        <v>0.1950845837177935</v>
      </c>
      <c r="M81" s="1">
        <f t="shared" si="7"/>
        <v>-5.3507500000000005E-3</v>
      </c>
      <c r="N81" s="1">
        <f t="shared" si="8"/>
        <v>-7.8735813719358366E-2</v>
      </c>
      <c r="O81" s="18">
        <f t="shared" si="15"/>
        <v>0.49717154159892529</v>
      </c>
      <c r="P81" s="10">
        <f>Interpolate_Range('試算番号2-2'!$G$11:$G$130,'試算番号2-2'!$K$11:$K$130,H81)</f>
        <v>4.2231619211941407E-2</v>
      </c>
      <c r="Q81" s="1">
        <f t="shared" si="14"/>
        <v>0.3977489335026958</v>
      </c>
      <c r="R81" s="1">
        <f t="shared" si="16"/>
        <v>4.3676259894681484E-2</v>
      </c>
    </row>
    <row r="82" spans="8:18">
      <c r="H82" s="13">
        <f t="shared" si="12"/>
        <v>16.25</v>
      </c>
      <c r="I82" s="2">
        <f>Interpolate_Range('試算番号2-1'!$G$10:$G$130,'試算番号2-1'!$I$10:$I$130,H82)</f>
        <v>0.77334134640204244</v>
      </c>
      <c r="J82" s="1">
        <f>Interpolate_Range('試算番号2-1'!$G$11:$G$130,'試算番号2-1'!$N$11:$N$130,H82)</f>
        <v>2.4300925208819039E-2</v>
      </c>
      <c r="K82" s="5">
        <f t="shared" si="13"/>
        <v>14.908247025496154</v>
      </c>
      <c r="L82" s="1">
        <f t="shared" si="10"/>
        <v>0.19978281127274436</v>
      </c>
      <c r="M82" s="1">
        <f t="shared" si="7"/>
        <v>-5.2718750000000005E-3</v>
      </c>
      <c r="N82" s="1">
        <f t="shared" si="8"/>
        <v>-7.859441478753755E-2</v>
      </c>
      <c r="O82" s="18">
        <f t="shared" si="15"/>
        <v>0.49159064218235365</v>
      </c>
      <c r="P82" s="10">
        <f>Interpolate_Range('試算番号2-2'!$G$11:$G$130,'試算番号2-2'!$K$11:$K$130,H82)</f>
        <v>4.2361202942452714E-2</v>
      </c>
      <c r="Q82" s="1">
        <f t="shared" si="14"/>
        <v>0.40295502624222013</v>
      </c>
      <c r="R82" s="1">
        <f t="shared" si="16"/>
        <v>4.3699011501659016E-2</v>
      </c>
    </row>
    <row r="83" spans="8:18">
      <c r="H83" s="13">
        <f t="shared" si="12"/>
        <v>16.5</v>
      </c>
      <c r="I83" s="2">
        <f>Interpolate_Range('試算番号2-1'!$G$10:$G$130,'試算番号2-1'!$I$10:$I$130,H83)</f>
        <v>0.76816582809175715</v>
      </c>
      <c r="J83" s="1">
        <f>Interpolate_Range('試算番号2-1'!$G$11:$G$130,'試算番号2-1'!$N$11:$N$130,H83)</f>
        <v>2.4459239802862357E-2</v>
      </c>
      <c r="K83" s="5">
        <f t="shared" si="13"/>
        <v>15.100288482519094</v>
      </c>
      <c r="L83" s="1">
        <f t="shared" si="10"/>
        <v>0.20447999932215952</v>
      </c>
      <c r="M83" s="1">
        <f t="shared" si="7"/>
        <v>-5.1930000000000006E-3</v>
      </c>
      <c r="N83" s="1">
        <f t="shared" si="8"/>
        <v>-7.8415798089721669E-2</v>
      </c>
      <c r="O83" s="18">
        <f t="shared" si="15"/>
        <v>0.48612677434601703</v>
      </c>
      <c r="P83" s="10">
        <f>Interpolate_Range('試算番号2-2'!$G$11:$G$130,'試算番号2-2'!$K$11:$K$130,H83)</f>
        <v>4.281462267243441E-2</v>
      </c>
      <c r="Q83" s="1">
        <f t="shared" si="14"/>
        <v>0.40815835984586823</v>
      </c>
      <c r="R83" s="1">
        <f t="shared" si="16"/>
        <v>4.371429312326891E-2</v>
      </c>
    </row>
    <row r="84" spans="8:18">
      <c r="H84" s="13">
        <f t="shared" si="12"/>
        <v>16.75</v>
      </c>
      <c r="I84" s="2">
        <f>Interpolate_Range('試算番号2-1'!$G$10:$G$130,'試算番号2-1'!$I$10:$I$130,H84)</f>
        <v>0.76291530195123003</v>
      </c>
      <c r="J84" s="1">
        <f>Interpolate_Range('試算番号2-1'!$G$11:$G$130,'試算番号2-1'!$N$11:$N$130,H84)</f>
        <v>2.5015749242454637E-2</v>
      </c>
      <c r="K84" s="5">
        <f t="shared" ref="K84:K115" si="17">K83+I84*0.25</f>
        <v>15.291017308006902</v>
      </c>
      <c r="L84" s="1">
        <f t="shared" si="10"/>
        <v>0.2092512237938704</v>
      </c>
      <c r="M84" s="1">
        <f t="shared" ref="M84:M137" si="18">Interpolate_Range($A$35:$A$49,$B$35:$B$49,H84)</f>
        <v>-5.1141250000000006E-3</v>
      </c>
      <c r="N84" s="1">
        <f t="shared" ref="N84:N137" si="19">M84*K84</f>
        <v>-7.8200173890310809E-2</v>
      </c>
      <c r="O84" s="18">
        <f t="shared" si="15"/>
        <v>0.48066313927378262</v>
      </c>
      <c r="P84" s="10">
        <f>Interpolate_Range('試算番号2-2'!$G$11:$G$130,'試算番号2-2'!$K$11:$K$130,H84)</f>
        <v>4.2942640425384759E-2</v>
      </c>
      <c r="Q84" s="1">
        <f t="shared" ref="Q84:Q115" si="20">Q83+P84*O84*0.25</f>
        <v>0.41331859593476089</v>
      </c>
      <c r="R84" s="1">
        <f t="shared" si="16"/>
        <v>4.3736632141793082E-2</v>
      </c>
    </row>
    <row r="85" spans="8:18">
      <c r="H85" s="13">
        <f t="shared" si="12"/>
        <v>17</v>
      </c>
      <c r="I85" s="2">
        <f>Interpolate_Range('試算番号2-1'!$G$10:$G$130,'試算番号2-1'!$I$10:$I$130,H85)</f>
        <v>0.7576647758107028</v>
      </c>
      <c r="J85" s="1">
        <f>Interpolate_Range('試算番号2-1'!$G$11:$G$130,'試算番号2-1'!$N$11:$N$130,H85)</f>
        <v>2.518415886624021E-2</v>
      </c>
      <c r="K85" s="5">
        <f t="shared" si="17"/>
        <v>15.480433501959578</v>
      </c>
      <c r="L85" s="1">
        <f t="shared" ref="L85:L137" si="21">L84+J85*I85*0.25</f>
        <v>0.21402151131421315</v>
      </c>
      <c r="M85" s="1">
        <f t="shared" si="18"/>
        <v>-5.0352500000000007E-3</v>
      </c>
      <c r="N85" s="1">
        <f t="shared" si="19"/>
        <v>-7.794785279074197E-2</v>
      </c>
      <c r="O85" s="18">
        <f t="shared" ref="O85:O116" si="22">(I85+L85+N85-Q84)/(1+P84*0.25)</f>
        <v>0.47531699668028415</v>
      </c>
      <c r="P85" s="10">
        <f>Interpolate_Range('試算番号2-2'!$G$11:$G$130,'試算番号2-2'!$K$11:$K$130,H85)</f>
        <v>4.3408661056155928E-2</v>
      </c>
      <c r="Q85" s="1">
        <f t="shared" si="20"/>
        <v>0.41847681453554197</v>
      </c>
      <c r="R85" s="1">
        <f t="shared" si="16"/>
        <v>4.375137271187849E-2</v>
      </c>
    </row>
    <row r="86" spans="8:18">
      <c r="H86" s="13">
        <f t="shared" ref="H86:H132" si="23">H85+0.25</f>
        <v>17.25</v>
      </c>
      <c r="I86" s="2">
        <f>Interpolate_Range('試算番号2-1'!$G$10:$G$130,'試算番号2-1'!$I$10:$I$130,H86)</f>
        <v>0.75234220021153009</v>
      </c>
      <c r="J86" s="1">
        <f>Interpolate_Range('試算番号2-1'!$G$11:$G$130,'試算番号2-1'!$N$11:$N$130,H86)</f>
        <v>2.574077373333377E-2</v>
      </c>
      <c r="K86" s="5">
        <f t="shared" si="17"/>
        <v>15.66851905201246</v>
      </c>
      <c r="L86" s="1">
        <f t="shared" si="21"/>
        <v>0.21886297890063403</v>
      </c>
      <c r="M86" s="1">
        <f t="shared" si="18"/>
        <v>-4.9563750000000007E-3</v>
      </c>
      <c r="N86" s="1">
        <f t="shared" si="19"/>
        <v>-7.7659056116418268E-2</v>
      </c>
      <c r="O86" s="18">
        <f t="shared" si="22"/>
        <v>0.46996912583761802</v>
      </c>
      <c r="P86" s="10">
        <f>Interpolate_Range('試算番号2-2'!$G$11:$G$130,'試算番号2-2'!$K$11:$K$130,H86)</f>
        <v>4.353522016700051E-2</v>
      </c>
      <c r="Q86" s="1">
        <f t="shared" si="20"/>
        <v>0.42359186687680034</v>
      </c>
      <c r="R86" s="1">
        <f t="shared" si="16"/>
        <v>4.3773233399587927E-2</v>
      </c>
    </row>
    <row r="87" spans="8:18">
      <c r="H87" s="13">
        <f t="shared" si="23"/>
        <v>17.5</v>
      </c>
      <c r="I87" s="2">
        <f>Interpolate_Range('試算番号2-1'!$G$10:$G$130,'試算番号2-1'!$I$10:$I$130,H87)</f>
        <v>0.74701962461235738</v>
      </c>
      <c r="J87" s="1">
        <f>Interpolate_Range('試算番号2-1'!$G$11:$G$130,'試算番号2-1'!$N$11:$N$130,H87)</f>
        <v>2.5919710614123757E-2</v>
      </c>
      <c r="K87" s="5">
        <f t="shared" si="17"/>
        <v>15.855273958165549</v>
      </c>
      <c r="L87" s="1">
        <f t="shared" si="21"/>
        <v>0.22370361202388994</v>
      </c>
      <c r="M87" s="1">
        <f t="shared" si="18"/>
        <v>-4.8774999999999999E-3</v>
      </c>
      <c r="N87" s="1">
        <f t="shared" si="19"/>
        <v>-7.7334098730952469E-2</v>
      </c>
      <c r="O87" s="18">
        <f t="shared" si="22"/>
        <v>0.4647391408244903</v>
      </c>
      <c r="P87" s="10">
        <f>Interpolate_Range('試算番号2-2'!$G$11:$G$130,'試算番号2-2'!$K$11:$K$130,H87)</f>
        <v>4.4014262822616779E-2</v>
      </c>
      <c r="Q87" s="1">
        <f t="shared" si="20"/>
        <v>0.4287056545488519</v>
      </c>
      <c r="R87" s="1">
        <f t="shared" si="16"/>
        <v>4.3787372473219538E-2</v>
      </c>
    </row>
    <row r="88" spans="8:18">
      <c r="H88" s="13">
        <f t="shared" si="23"/>
        <v>17.75</v>
      </c>
      <c r="I88" s="2">
        <f>Interpolate_Range('試算番号2-1'!$G$10:$G$130,'試算番号2-1'!$I$10:$I$130,H88)</f>
        <v>0.74162797726262575</v>
      </c>
      <c r="J88" s="1">
        <f>Interpolate_Range('試算番号2-1'!$G$11:$G$130,'試算番号2-1'!$N$11:$N$130,H88)</f>
        <v>2.6476549034801049E-2</v>
      </c>
      <c r="K88" s="5">
        <f t="shared" si="17"/>
        <v>16.040680952481207</v>
      </c>
      <c r="L88" s="1">
        <f t="shared" si="21"/>
        <v>0.2286125494002835</v>
      </c>
      <c r="M88" s="1">
        <f t="shared" si="18"/>
        <v>-4.7986249999999999E-3</v>
      </c>
      <c r="N88" s="1">
        <f t="shared" si="19"/>
        <v>-7.6973212635600127E-2</v>
      </c>
      <c r="O88" s="18">
        <f t="shared" si="22"/>
        <v>0.45950546094682204</v>
      </c>
      <c r="P88" s="10">
        <f>Interpolate_Range('試算番号2-2'!$G$11:$G$130,'試算番号2-2'!$K$11:$K$130,H88)</f>
        <v>4.4139479789138569E-2</v>
      </c>
      <c r="Q88" s="1">
        <f t="shared" si="20"/>
        <v>0.43377623755046718</v>
      </c>
      <c r="R88" s="1">
        <f t="shared" si="16"/>
        <v>4.3808701561437173E-2</v>
      </c>
    </row>
    <row r="89" spans="8:18">
      <c r="H89" s="13">
        <f t="shared" si="23"/>
        <v>18</v>
      </c>
      <c r="I89" s="2">
        <f>Interpolate_Range('試算番号2-1'!$G$10:$G$130,'試算番号2-1'!$I$10:$I$130,H89)</f>
        <v>0.73623632991289401</v>
      </c>
      <c r="J89" s="1">
        <f>Interpolate_Range('試算番号2-1'!$G$11:$G$130,'試算番号2-1'!$N$11:$N$130,H89)</f>
        <v>2.6666465982404387E-2</v>
      </c>
      <c r="K89" s="5">
        <f t="shared" si="17"/>
        <v>16.224740034959432</v>
      </c>
      <c r="L89" s="1">
        <f t="shared" si="21"/>
        <v>0.23352075466194161</v>
      </c>
      <c r="M89" s="1">
        <f t="shared" si="18"/>
        <v>-4.71975E-3</v>
      </c>
      <c r="N89" s="1">
        <f t="shared" si="19"/>
        <v>-7.6576716779999776E-2</v>
      </c>
      <c r="O89" s="18">
        <f t="shared" si="22"/>
        <v>0.4543899957360738</v>
      </c>
      <c r="P89" s="10">
        <f>Interpolate_Range('試算番号2-2'!$G$11:$G$130,'試算番号2-2'!$K$11:$K$130,H89)</f>
        <v>4.4631987971897047E-2</v>
      </c>
      <c r="Q89" s="1">
        <f t="shared" si="20"/>
        <v>0.43884631975652788</v>
      </c>
      <c r="R89" s="1">
        <f t="shared" si="16"/>
        <v>4.3822190457969687E-2</v>
      </c>
    </row>
    <row r="90" spans="8:18">
      <c r="H90" s="13">
        <f t="shared" si="23"/>
        <v>18.25</v>
      </c>
      <c r="I90" s="2">
        <f>Interpolate_Range('試算番号2-1'!$G$10:$G$130,'試算番号2-1'!$I$10:$I$130,H90)</f>
        <v>0.73077860546471629</v>
      </c>
      <c r="J90" s="1">
        <f>Interpolate_Range('試算番号2-1'!$G$11:$G$130,'試算番号2-1'!$N$11:$N$130,H90)</f>
        <v>2.7223657218935587E-2</v>
      </c>
      <c r="K90" s="5">
        <f t="shared" si="17"/>
        <v>16.407434686325612</v>
      </c>
      <c r="L90" s="1">
        <f t="shared" si="21"/>
        <v>0.23849437122646741</v>
      </c>
      <c r="M90" s="1">
        <f t="shared" si="18"/>
        <v>-4.640875E-3</v>
      </c>
      <c r="N90" s="1">
        <f t="shared" si="19"/>
        <v>-7.6144853449901378E-2</v>
      </c>
      <c r="O90" s="18">
        <f t="shared" si="22"/>
        <v>0.44926886286388229</v>
      </c>
      <c r="P90" s="10">
        <f>Interpolate_Range('試算番号2-2'!$G$11:$G$130,'試算番号2-2'!$K$11:$K$130,H90)</f>
        <v>4.4755989243468797E-2</v>
      </c>
      <c r="Q90" s="1">
        <f t="shared" si="20"/>
        <v>0.44387318785496821</v>
      </c>
      <c r="R90" s="1">
        <f t="shared" si="16"/>
        <v>4.3842946123042875E-2</v>
      </c>
    </row>
    <row r="91" spans="8:18">
      <c r="H91" s="13">
        <f t="shared" si="23"/>
        <v>18.5</v>
      </c>
      <c r="I91" s="2">
        <f>Interpolate_Range('試算番号2-1'!$G$10:$G$130,'試算番号2-1'!$I$10:$I$130,H91)</f>
        <v>0.72532088101653858</v>
      </c>
      <c r="J91" s="1">
        <f>Interpolate_Range('試算番号2-1'!$G$11:$G$130,'試算番号2-1'!$N$11:$N$130,H91)</f>
        <v>2.7425029199736044E-2</v>
      </c>
      <c r="K91" s="5">
        <f t="shared" si="17"/>
        <v>16.588764906579748</v>
      </c>
      <c r="L91" s="1">
        <f t="shared" si="21"/>
        <v>0.24346735781173162</v>
      </c>
      <c r="M91" s="1">
        <f t="shared" si="18"/>
        <v>-4.5620000000000001E-3</v>
      </c>
      <c r="N91" s="1">
        <f t="shared" si="19"/>
        <v>-7.5677945503816804E-2</v>
      </c>
      <c r="O91" s="18">
        <f t="shared" si="22"/>
        <v>0.44426621201790772</v>
      </c>
      <c r="P91" s="10">
        <f>Interpolate_Range('試算番号2-2'!$G$11:$G$130,'試算番号2-2'!$K$11:$K$130,H91)</f>
        <v>4.526243045612599E-2</v>
      </c>
      <c r="Q91" s="1">
        <f t="shared" si="20"/>
        <v>0.448900329986335</v>
      </c>
      <c r="R91" s="1">
        <f t="shared" si="16"/>
        <v>4.3855747005797155E-2</v>
      </c>
    </row>
    <row r="92" spans="8:18">
      <c r="H92" s="13">
        <f t="shared" si="23"/>
        <v>18.75</v>
      </c>
      <c r="I92" s="2">
        <f>Interpolate_Range('試算番号2-1'!$G$10:$G$130,'試算番号2-1'!$I$10:$I$130,H92)</f>
        <v>0.71980008867838352</v>
      </c>
      <c r="J92" s="1">
        <f>Interpolate_Range('試算番号2-1'!$G$11:$G$130,'試算番号2-1'!$N$11:$N$130,H92)</f>
        <v>2.7982714617676804E-2</v>
      </c>
      <c r="K92" s="5">
        <f t="shared" si="17"/>
        <v>16.768714928749343</v>
      </c>
      <c r="L92" s="1">
        <f t="shared" si="21"/>
        <v>0.24850284792754804</v>
      </c>
      <c r="M92" s="1">
        <f t="shared" si="18"/>
        <v>-4.4831250000000001E-3</v>
      </c>
      <c r="N92" s="1">
        <f t="shared" si="19"/>
        <v>-7.51762451149494E-2</v>
      </c>
      <c r="O92" s="18">
        <f t="shared" si="22"/>
        <v>0.4392559139403554</v>
      </c>
      <c r="P92" s="10">
        <f>Interpolate_Range('試算番号2-2'!$G$11:$G$130,'試算番号2-2'!$K$11:$K$130,H92)</f>
        <v>4.5385353301639952E-2</v>
      </c>
      <c r="Q92" s="1">
        <f t="shared" si="20"/>
        <v>0.45388427619733945</v>
      </c>
      <c r="R92" s="1">
        <f t="shared" si="16"/>
        <v>4.3875898041733474E-2</v>
      </c>
    </row>
    <row r="93" spans="8:18">
      <c r="H93" s="13">
        <f t="shared" si="23"/>
        <v>19</v>
      </c>
      <c r="I93" s="2">
        <f>Interpolate_Range('試算番号2-1'!$G$10:$G$130,'試算番号2-1'!$I$10:$I$130,H93)</f>
        <v>0.71427929634022846</v>
      </c>
      <c r="J93" s="1">
        <f>Interpolate_Range('試算番号2-1'!$G$11:$G$130,'試算番号2-1'!$N$11:$N$130,H93)</f>
        <v>2.8196040469820244E-2</v>
      </c>
      <c r="K93" s="5">
        <f t="shared" si="17"/>
        <v>16.947284752834399</v>
      </c>
      <c r="L93" s="1">
        <f t="shared" si="21"/>
        <v>0.25353780991413899</v>
      </c>
      <c r="M93" s="1">
        <f t="shared" si="18"/>
        <v>-4.4042500000000002E-3</v>
      </c>
      <c r="N93" s="1">
        <f t="shared" si="19"/>
        <v>-7.4640078872670906E-2</v>
      </c>
      <c r="O93" s="18">
        <f t="shared" si="22"/>
        <v>0.43436430680288934</v>
      </c>
      <c r="P93" s="10">
        <f>Interpolate_Range('試算番号2-2'!$G$11:$G$130,'試算番号2-2'!$K$11:$K$130,H93)</f>
        <v>4.590622081423934E-2</v>
      </c>
      <c r="Q93" s="1">
        <f t="shared" si="20"/>
        <v>0.4588692821428188</v>
      </c>
      <c r="R93" s="1">
        <f t="shared" si="16"/>
        <v>4.3887983178857455E-2</v>
      </c>
    </row>
    <row r="94" spans="8:18">
      <c r="H94" s="13">
        <f t="shared" si="23"/>
        <v>19.25</v>
      </c>
      <c r="I94" s="2">
        <f>Interpolate_Range('試算番号2-1'!$G$10:$G$130,'試算番号2-1'!$I$10:$I$130,H94)</f>
        <v>0.70869845749650939</v>
      </c>
      <c r="J94" s="1">
        <f>Interpolate_Range('試算番号2-1'!$G$11:$G$130,'試算番号2-1'!$N$11:$N$130,H94)</f>
        <v>2.8754374601328368E-2</v>
      </c>
      <c r="K94" s="5">
        <f t="shared" si="17"/>
        <v>17.124459367208527</v>
      </c>
      <c r="L94" s="1">
        <f t="shared" si="21"/>
        <v>0.25863235514569854</v>
      </c>
      <c r="M94" s="1">
        <f t="shared" si="18"/>
        <v>-4.3253750000000002E-3</v>
      </c>
      <c r="N94" s="1">
        <f t="shared" si="19"/>
        <v>-7.4069708435439585E-2</v>
      </c>
      <c r="O94" s="18">
        <f t="shared" si="22"/>
        <v>0.42946306548502072</v>
      </c>
      <c r="P94" s="10">
        <f>Interpolate_Range('試算番号2-2'!$G$11:$G$130,'試算番号2-2'!$K$11:$K$130,H94)</f>
        <v>4.6028214277779256E-2</v>
      </c>
      <c r="Q94" s="1">
        <f t="shared" si="20"/>
        <v>0.46381113664345291</v>
      </c>
      <c r="R94" s="1">
        <f t="shared" si="16"/>
        <v>4.3907508336088093E-2</v>
      </c>
    </row>
    <row r="95" spans="8:18">
      <c r="H95" s="13">
        <f t="shared" si="23"/>
        <v>19.5</v>
      </c>
      <c r="I95" s="2">
        <f>Interpolate_Range('試算番号2-1'!$G$10:$G$130,'試算番号2-1'!$I$10:$I$130,H95)</f>
        <v>0.70311761865279021</v>
      </c>
      <c r="J95" s="1">
        <f>Interpolate_Range('試算番号2-1'!$G$11:$G$130,'試算番号2-1'!$N$11:$N$130,H95)</f>
        <v>2.8980178906508829E-2</v>
      </c>
      <c r="K95" s="5">
        <f t="shared" si="17"/>
        <v>17.300238771871726</v>
      </c>
      <c r="L95" s="1">
        <f t="shared" si="21"/>
        <v>0.26372647374091762</v>
      </c>
      <c r="M95" s="1">
        <f t="shared" si="18"/>
        <v>-4.2465000000000003E-3</v>
      </c>
      <c r="N95" s="1">
        <f t="shared" si="19"/>
        <v>-7.3465463944753284E-2</v>
      </c>
      <c r="O95" s="18">
        <f t="shared" si="22"/>
        <v>0.42468066860199088</v>
      </c>
      <c r="P95" s="10">
        <f>Interpolate_Range('試算番号2-2'!$G$11:$G$130,'試算番号2-2'!$K$11:$K$130,H95)</f>
        <v>4.6564029054518841E-2</v>
      </c>
      <c r="Q95" s="1">
        <f t="shared" si="20"/>
        <v>0.4687548473913718</v>
      </c>
      <c r="R95" s="1">
        <f t="shared" si="16"/>
        <v>4.391885951135608E-2</v>
      </c>
    </row>
    <row r="96" spans="8:18">
      <c r="H96" s="13">
        <f t="shared" si="23"/>
        <v>19.75</v>
      </c>
      <c r="I96" s="2">
        <f>Interpolate_Range('試算番号2-1'!$G$10:$G$130,'試算番号2-1'!$I$10:$I$130,H96)</f>
        <v>0.69747976449314686</v>
      </c>
      <c r="J96" s="1">
        <f>Interpolate_Range('試算番号2-1'!$G$11:$G$130,'試算番号2-1'!$N$11:$N$130,H96)</f>
        <v>2.9539330621211023E-2</v>
      </c>
      <c r="K96" s="5">
        <f t="shared" si="17"/>
        <v>17.474608712995014</v>
      </c>
      <c r="L96" s="1">
        <f t="shared" si="21"/>
        <v>0.26887724508215949</v>
      </c>
      <c r="M96" s="1">
        <f t="shared" si="18"/>
        <v>-4.1676250000000003E-3</v>
      </c>
      <c r="N96" s="1">
        <f t="shared" si="19"/>
        <v>-7.2827616137495846E-2</v>
      </c>
      <c r="O96" s="18">
        <f t="shared" si="22"/>
        <v>0.41988664259014569</v>
      </c>
      <c r="P96" s="10">
        <f>Interpolate_Range('試算番号2-2'!$G$11:$G$130,'試算番号2-2'!$K$11:$K$130,H96)</f>
        <v>4.6685255009044191E-2</v>
      </c>
      <c r="Q96" s="1">
        <f t="shared" si="20"/>
        <v>0.47365547613742487</v>
      </c>
      <c r="R96" s="1">
        <f t="shared" si="16"/>
        <v>4.3937746973609873E-2</v>
      </c>
    </row>
    <row r="97" spans="8:18">
      <c r="H97" s="13">
        <f t="shared" si="23"/>
        <v>20</v>
      </c>
      <c r="I97" s="2">
        <f>Interpolate_Range('試算番号2-1'!$G$10:$G$130,'試算番号2-1'!$I$10:$I$130,H97)</f>
        <v>0.69184191033350351</v>
      </c>
      <c r="J97" s="1">
        <f>Interpolate_Range('試算番号2-1'!$G$11:$G$130,'試算番号2-1'!$N$11:$N$130,H97)</f>
        <v>2.9778165750471212E-2</v>
      </c>
      <c r="K97" s="5">
        <f t="shared" si="17"/>
        <v>17.647569190578391</v>
      </c>
      <c r="L97" s="1">
        <f t="shared" si="21"/>
        <v>0.27402769085191792</v>
      </c>
      <c r="M97" s="1">
        <f t="shared" si="18"/>
        <v>-4.0887500000000004E-3</v>
      </c>
      <c r="N97" s="1">
        <f t="shared" si="19"/>
        <v>-7.2156498527977397E-2</v>
      </c>
      <c r="O97" s="18">
        <f t="shared" si="22"/>
        <v>0.41521156210512389</v>
      </c>
      <c r="P97" s="10">
        <f>Interpolate_Range('試算番号2-2'!$G$11:$G$130,'試算番号2-2'!$K$11:$K$130,H97)</f>
        <v>4.7236567812563912E-2</v>
      </c>
      <c r="Q97" s="1">
        <f t="shared" si="20"/>
        <v>0.47855876841490969</v>
      </c>
      <c r="R97" s="1">
        <f t="shared" si="16"/>
        <v>4.3948355022209146E-2</v>
      </c>
    </row>
    <row r="98" spans="8:18">
      <c r="H98" s="13">
        <f t="shared" si="23"/>
        <v>20.25</v>
      </c>
      <c r="I98" s="2">
        <f>Interpolate_Range('試算番号2-1'!$G$10:$G$130,'試算番号2-1'!$I$10:$I$130,H98)</f>
        <v>0.68759570666660874</v>
      </c>
      <c r="J98" s="1">
        <f>Interpolate_Range('試算番号2-1'!$G$11:$G$130,'試算番号2-1'!$N$11:$N$130,H98)</f>
        <v>2.2316814483959304E-2</v>
      </c>
      <c r="K98" s="5">
        <f t="shared" si="17"/>
        <v>17.819468117245044</v>
      </c>
      <c r="L98" s="1">
        <f t="shared" si="21"/>
        <v>0.27786392730832932</v>
      </c>
      <c r="M98" s="1">
        <f t="shared" si="18"/>
        <v>-4.0368125000000005E-3</v>
      </c>
      <c r="N98" s="1">
        <f t="shared" si="19"/>
        <v>-7.1933851639046267E-2</v>
      </c>
      <c r="O98" s="18">
        <f t="shared" si="22"/>
        <v>0.4101238037046715</v>
      </c>
      <c r="P98" s="10">
        <f>Interpolate_Range('試算番号2-2'!$G$11:$G$130,'試算番号2-2'!$K$11:$K$130,H98)</f>
        <v>4.3731567889830458E-2</v>
      </c>
      <c r="Q98" s="1">
        <f t="shared" si="20"/>
        <v>0.48304260765614626</v>
      </c>
      <c r="R98" s="1">
        <f t="shared" si="16"/>
        <v>4.4014627388114055E-2</v>
      </c>
    </row>
    <row r="99" spans="8:18">
      <c r="H99" s="13">
        <f t="shared" si="23"/>
        <v>20.5</v>
      </c>
      <c r="I99" s="2">
        <f>Interpolate_Range('試算番号2-1'!$G$10:$G$130,'試算番号2-1'!$I$10:$I$130,H99)</f>
        <v>0.68334950299971398</v>
      </c>
      <c r="J99" s="1">
        <f>Interpolate_Range('試算番号2-1'!$G$11:$G$130,'試算番号2-1'!$N$11:$N$130,H99)</f>
        <v>2.2458804426565861E-2</v>
      </c>
      <c r="K99" s="5">
        <f t="shared" si="17"/>
        <v>17.990305492994974</v>
      </c>
      <c r="L99" s="1">
        <f t="shared" si="21"/>
        <v>0.28170073051904471</v>
      </c>
      <c r="M99" s="1">
        <f t="shared" si="18"/>
        <v>-3.9848750000000006E-3</v>
      </c>
      <c r="N99" s="1">
        <f t="shared" si="19"/>
        <v>-7.1689118601398358E-2</v>
      </c>
      <c r="O99" s="18">
        <f t="shared" si="22"/>
        <v>0.40588105354909459</v>
      </c>
      <c r="P99" s="10">
        <f>Interpolate_Range('試算番号2-2'!$G$11:$G$130,'試算番号2-2'!$K$11:$K$130,H99)</f>
        <v>4.4214965329341105E-2</v>
      </c>
      <c r="Q99" s="1">
        <f t="shared" si="20"/>
        <v>0.48752911183377368</v>
      </c>
      <c r="R99" s="1">
        <f t="shared" si="16"/>
        <v>4.3985128480922356E-2</v>
      </c>
    </row>
    <row r="100" spans="8:18">
      <c r="H100" s="13">
        <f t="shared" si="23"/>
        <v>20.75</v>
      </c>
      <c r="I100" s="2">
        <f>Interpolate_Range('試算番号2-1'!$G$10:$G$130,'試算番号2-1'!$I$10:$I$130,H100)</f>
        <v>0.67909330249013944</v>
      </c>
      <c r="J100" s="1">
        <f>Interpolate_Range('試算番号2-1'!$G$11:$G$130,'試算番号2-1'!$N$11:$N$130,H100)</f>
        <v>2.2661896460582396E-2</v>
      </c>
      <c r="K100" s="5">
        <f t="shared" si="17"/>
        <v>18.16007881861751</v>
      </c>
      <c r="L100" s="1">
        <f t="shared" si="21"/>
        <v>0.28554811604607133</v>
      </c>
      <c r="M100" s="1">
        <f t="shared" si="18"/>
        <v>-3.9329375000000007E-3</v>
      </c>
      <c r="N100" s="1">
        <f t="shared" si="19"/>
        <v>-7.142245498869651E-2</v>
      </c>
      <c r="O100" s="18">
        <f t="shared" si="22"/>
        <v>0.40125448839063205</v>
      </c>
      <c r="P100" s="10">
        <f>Interpolate_Range('試算番号2-2'!$G$11:$G$130,'試算番号2-2'!$K$11:$K$130,H100)</f>
        <v>4.4204126716405945E-2</v>
      </c>
      <c r="Q100" s="1">
        <f t="shared" si="20"/>
        <v>0.49196338789636018</v>
      </c>
      <c r="R100" s="1">
        <f t="shared" si="16"/>
        <v>4.400768282314254E-2</v>
      </c>
    </row>
    <row r="101" spans="8:18">
      <c r="H101" s="13">
        <f t="shared" si="23"/>
        <v>21</v>
      </c>
      <c r="I101" s="2">
        <f>Interpolate_Range('試算番号2-1'!$G$10:$G$130,'試算番号2-1'!$I$10:$I$130,H101)</f>
        <v>0.6748371019805649</v>
      </c>
      <c r="J101" s="1">
        <f>Interpolate_Range('試算番号2-1'!$G$11:$G$130,'試算番号2-1'!$N$11:$N$130,H101)</f>
        <v>2.2808377756462803E-2</v>
      </c>
      <c r="K101" s="5">
        <f t="shared" si="17"/>
        <v>18.328788094112653</v>
      </c>
      <c r="L101" s="1">
        <f t="shared" si="21"/>
        <v>0.28939610093258367</v>
      </c>
      <c r="M101" s="1">
        <f t="shared" si="18"/>
        <v>-3.8810000000000003E-3</v>
      </c>
      <c r="N101" s="1">
        <f t="shared" si="19"/>
        <v>-7.1134026593251215E-2</v>
      </c>
      <c r="O101" s="18">
        <f t="shared" si="22"/>
        <v>0.3967512774873011</v>
      </c>
      <c r="P101" s="10">
        <f>Interpolate_Range('試算番号2-2'!$G$11:$G$130,'試算番号2-2'!$K$11:$K$130,H101)</f>
        <v>4.4698086688394589E-2</v>
      </c>
      <c r="Q101" s="1">
        <f t="shared" si="20"/>
        <v>0.49639689364507483</v>
      </c>
      <c r="R101" s="1">
        <f t="shared" si="16"/>
        <v>4.4021223795286973E-2</v>
      </c>
    </row>
    <row r="102" spans="8:18">
      <c r="H102" s="13">
        <f t="shared" si="23"/>
        <v>21.25</v>
      </c>
      <c r="I102" s="2">
        <f>Interpolate_Range('試算番号2-1'!$G$10:$G$130,'試算番号2-1'!$I$10:$I$130,H102)</f>
        <v>0.67057187926934425</v>
      </c>
      <c r="J102" s="1">
        <f>Interpolate_Range('試算番号2-1'!$G$11:$G$130,'試算番号2-1'!$N$11:$N$130,H102)</f>
        <v>2.3010954464683382E-2</v>
      </c>
      <c r="K102" s="5">
        <f t="shared" si="17"/>
        <v>18.49643106392999</v>
      </c>
      <c r="L102" s="1">
        <f t="shared" si="21"/>
        <v>0.29325372567737468</v>
      </c>
      <c r="M102" s="1">
        <f t="shared" si="18"/>
        <v>-3.8290625000000004E-3</v>
      </c>
      <c r="N102" s="1">
        <f t="shared" si="19"/>
        <v>-7.0823990570729439E-2</v>
      </c>
      <c r="O102" s="18">
        <f t="shared" si="22"/>
        <v>0.39222182939803607</v>
      </c>
      <c r="P102" s="10">
        <f>Interpolate_Range('試算番号2-2'!$G$11:$G$130,'試算番号2-2'!$K$11:$K$130,H102)</f>
        <v>4.4686355506416753E-2</v>
      </c>
      <c r="Q102" s="1">
        <f t="shared" si="20"/>
        <v>0.50077863467153927</v>
      </c>
      <c r="R102" s="1">
        <f t="shared" si="16"/>
        <v>4.4043656843589074E-2</v>
      </c>
    </row>
    <row r="103" spans="8:18">
      <c r="H103" s="13">
        <f t="shared" si="23"/>
        <v>21.5</v>
      </c>
      <c r="I103" s="2">
        <f>Interpolate_Range('試算番号2-1'!$G$10:$G$130,'試算番号2-1'!$I$10:$I$130,H103)</f>
        <v>0.66630665655812349</v>
      </c>
      <c r="J103" s="1">
        <f>Interpolate_Range('試算番号2-1'!$G$11:$G$130,'試算番号2-1'!$N$11:$N$130,H103)</f>
        <v>2.3162045756186779E-2</v>
      </c>
      <c r="K103" s="5">
        <f t="shared" si="17"/>
        <v>18.66300772806952</v>
      </c>
      <c r="L103" s="1">
        <f t="shared" si="21"/>
        <v>0.29711198199408745</v>
      </c>
      <c r="M103" s="1">
        <f t="shared" si="18"/>
        <v>-3.7771250000000001E-3</v>
      </c>
      <c r="N103" s="1">
        <f t="shared" si="19"/>
        <v>-7.049251306488459E-2</v>
      </c>
      <c r="O103" s="18">
        <f t="shared" si="22"/>
        <v>0.38781498128468667</v>
      </c>
      <c r="P103" s="10">
        <f>Interpolate_Range('試算番号2-2'!$G$11:$G$130,'試算番号2-2'!$K$11:$K$130,H103)</f>
        <v>4.5191213160682864E-2</v>
      </c>
      <c r="Q103" s="1">
        <f t="shared" si="20"/>
        <v>0.50516009204307488</v>
      </c>
      <c r="R103" s="1">
        <f t="shared" si="16"/>
        <v>4.4057065369681916E-2</v>
      </c>
    </row>
    <row r="104" spans="8:18">
      <c r="H104" s="13">
        <f t="shared" si="23"/>
        <v>21.75</v>
      </c>
      <c r="I104" s="2">
        <f>Interpolate_Range('試算番号2-1'!$G$10:$G$130,'試算番号2-1'!$I$10:$I$130,H104)</f>
        <v>0.66203338006765278</v>
      </c>
      <c r="J104" s="1">
        <f>Interpolate_Range('試算番号2-1'!$G$11:$G$130,'試算番号2-1'!$N$11:$N$130,H104)</f>
        <v>2.3364136340617667E-2</v>
      </c>
      <c r="K104" s="5">
        <f t="shared" si="17"/>
        <v>18.828516073086433</v>
      </c>
      <c r="L104" s="1">
        <f t="shared" si="21"/>
        <v>0.3009789415325726</v>
      </c>
      <c r="M104" s="1">
        <f t="shared" si="18"/>
        <v>-3.7251875000000002E-3</v>
      </c>
      <c r="N104" s="1">
        <f t="shared" si="19"/>
        <v>-7.013975271901067E-2</v>
      </c>
      <c r="O104" s="18">
        <f t="shared" si="22"/>
        <v>0.38338111244457418</v>
      </c>
      <c r="P104" s="10">
        <f>Interpolate_Range('試算番号2-2'!$G$11:$G$130,'試算番号2-2'!$K$11:$K$130,H104)</f>
        <v>4.5178686188079631E-2</v>
      </c>
      <c r="Q104" s="1">
        <f t="shared" si="20"/>
        <v>0.50949025578546747</v>
      </c>
      <c r="R104" s="1">
        <f t="shared" si="16"/>
        <v>4.4079343121850863E-2</v>
      </c>
    </row>
    <row r="105" spans="8:18">
      <c r="H105" s="13">
        <f t="shared" si="23"/>
        <v>22</v>
      </c>
      <c r="I105" s="2">
        <f>Interpolate_Range('試算番号2-1'!$G$10:$G$130,'試算番号2-1'!$I$10:$I$130,H105)</f>
        <v>0.65776010357718195</v>
      </c>
      <c r="J105" s="1">
        <f>Interpolate_Range('試算番号2-1'!$G$11:$G$130,'試算番号2-1'!$N$11:$N$130,H105)</f>
        <v>2.351996055424101E-2</v>
      </c>
      <c r="K105" s="5">
        <f t="shared" si="17"/>
        <v>18.992956098980727</v>
      </c>
      <c r="L105" s="1">
        <f t="shared" si="21"/>
        <v>0.3048465644551448</v>
      </c>
      <c r="M105" s="1">
        <f t="shared" si="18"/>
        <v>-3.6732500000000003E-3</v>
      </c>
      <c r="N105" s="1">
        <f t="shared" si="19"/>
        <v>-6.9765875990580956E-2</v>
      </c>
      <c r="O105" s="18">
        <f t="shared" si="22"/>
        <v>0.3790690755542605</v>
      </c>
      <c r="P105" s="10">
        <f>Interpolate_Range('試算番号2-2'!$G$11:$G$130,'試算番号2-2'!$K$11:$K$130,H105)</f>
        <v>4.5694793876321249E-2</v>
      </c>
      <c r="Q105" s="1">
        <f t="shared" si="20"/>
        <v>0.51382062660355232</v>
      </c>
      <c r="R105" s="1">
        <f t="shared" si="16"/>
        <v>4.4092583323066752E-2</v>
      </c>
    </row>
    <row r="106" spans="8:18">
      <c r="H106" s="13">
        <f t="shared" si="23"/>
        <v>22.25</v>
      </c>
      <c r="I106" s="2">
        <f>Interpolate_Range('試算番号2-1'!$G$10:$G$130,'試算番号2-1'!$I$10:$I$130,H106)</f>
        <v>0.65347973523140723</v>
      </c>
      <c r="J106" s="1">
        <f>Interpolate_Range('試算番号2-1'!$G$11:$G$130,'試算番号2-1'!$N$11:$N$130,H106)</f>
        <v>2.3721596205145346E-2</v>
      </c>
      <c r="K106" s="5">
        <f t="shared" si="17"/>
        <v>19.156326032788577</v>
      </c>
      <c r="L106" s="1">
        <f t="shared" si="21"/>
        <v>0.30872196005699598</v>
      </c>
      <c r="M106" s="1">
        <f t="shared" si="18"/>
        <v>-3.6213125000000004E-3</v>
      </c>
      <c r="N106" s="1">
        <f t="shared" si="19"/>
        <v>-6.9371042916612696E-2</v>
      </c>
      <c r="O106" s="18">
        <f t="shared" si="22"/>
        <v>0.37472923201415836</v>
      </c>
      <c r="P106" s="10">
        <f>Interpolate_Range('試算番号2-2'!$G$11:$G$130,'試算番号2-2'!$K$11:$K$130,H106)</f>
        <v>4.5681575407490627E-2</v>
      </c>
      <c r="Q106" s="1">
        <f t="shared" si="20"/>
        <v>0.51810018202096375</v>
      </c>
      <c r="R106" s="1">
        <f t="shared" si="16"/>
        <v>4.4114676933759513E-2</v>
      </c>
    </row>
    <row r="107" spans="8:18">
      <c r="H107" s="13">
        <f t="shared" si="23"/>
        <v>22.5</v>
      </c>
      <c r="I107" s="2">
        <f>Interpolate_Range('試算番号2-1'!$G$10:$G$130,'試算番号2-1'!$I$10:$I$130,H107)</f>
        <v>0.64919936688563251</v>
      </c>
      <c r="J107" s="1">
        <f>Interpolate_Range('試算番号2-1'!$G$11:$G$130,'試算番号2-1'!$N$11:$N$130,H107)</f>
        <v>2.3882280779924644E-2</v>
      </c>
      <c r="K107" s="5">
        <f t="shared" si="17"/>
        <v>19.318625874509987</v>
      </c>
      <c r="L107" s="1">
        <f t="shared" si="21"/>
        <v>0.31259805044752398</v>
      </c>
      <c r="M107" s="1">
        <f t="shared" si="18"/>
        <v>-3.5693750000000005E-3</v>
      </c>
      <c r="N107" s="1">
        <f t="shared" si="19"/>
        <v>-6.8955420230829095E-2</v>
      </c>
      <c r="O107" s="18">
        <f t="shared" si="22"/>
        <v>0.37051043993111965</v>
      </c>
      <c r="P107" s="10">
        <f>Interpolate_Range('試算番号2-2'!$G$11:$G$130,'試算番号2-2'!$K$11:$K$130,H107)</f>
        <v>4.6209303857160045E-2</v>
      </c>
      <c r="Q107" s="1">
        <f t="shared" si="20"/>
        <v>0.52238043939622059</v>
      </c>
      <c r="R107" s="1">
        <f t="shared" si="16"/>
        <v>4.4127718075166508E-2</v>
      </c>
    </row>
    <row r="108" spans="8:18">
      <c r="H108" s="13">
        <f t="shared" si="23"/>
        <v>22.75</v>
      </c>
      <c r="I108" s="2">
        <f>Interpolate_Range('試算番号2-1'!$G$10:$G$130,'試算番号2-1'!$I$10:$I$130,H108)</f>
        <v>0.6449128618354858</v>
      </c>
      <c r="J108" s="1">
        <f>Interpolate_Range('試算番号2-1'!$G$11:$G$130,'試算番号2-1'!$N$11:$N$130,H108)</f>
        <v>2.4083494801044648E-2</v>
      </c>
      <c r="K108" s="5">
        <f t="shared" si="17"/>
        <v>19.479854089968857</v>
      </c>
      <c r="L108" s="1">
        <f t="shared" si="21"/>
        <v>0.31648098933630942</v>
      </c>
      <c r="M108" s="1">
        <f t="shared" si="18"/>
        <v>-3.5174375000000002E-3</v>
      </c>
      <c r="N108" s="1">
        <f t="shared" si="19"/>
        <v>-6.8519169270584837E-2</v>
      </c>
      <c r="O108" s="18">
        <f t="shared" si="22"/>
        <v>0.36626305233573159</v>
      </c>
      <c r="P108" s="10">
        <f>Interpolate_Range('試算番号2-2'!$G$11:$G$130,'試算番号2-2'!$K$11:$K$130,H108)</f>
        <v>4.6195506322289859E-2</v>
      </c>
      <c r="Q108" s="1">
        <f t="shared" si="20"/>
        <v>0.52661036618366974</v>
      </c>
      <c r="R108" s="1">
        <f t="shared" si="16"/>
        <v>4.4149603582818858E-2</v>
      </c>
    </row>
    <row r="109" spans="8:18">
      <c r="H109" s="13">
        <f t="shared" si="23"/>
        <v>23</v>
      </c>
      <c r="I109" s="2">
        <f>Interpolate_Range('試算番号2-1'!$G$10:$G$130,'試算番号2-1'!$I$10:$I$130,H109)</f>
        <v>0.64062635678533908</v>
      </c>
      <c r="J109" s="1">
        <f>Interpolate_Range('試算番号2-1'!$G$11:$G$130,'試算番号2-1'!$N$11:$N$130,H109)</f>
        <v>2.4249171931556547E-2</v>
      </c>
      <c r="K109" s="5">
        <f t="shared" si="17"/>
        <v>19.64001067916519</v>
      </c>
      <c r="L109" s="1">
        <f t="shared" si="21"/>
        <v>0.32036465400370301</v>
      </c>
      <c r="M109" s="1">
        <f t="shared" si="18"/>
        <v>-3.4655000000000003E-3</v>
      </c>
      <c r="N109" s="1">
        <f t="shared" si="19"/>
        <v>-6.8062457008646965E-2</v>
      </c>
      <c r="O109" s="18">
        <f t="shared" si="22"/>
        <v>0.36213592449929149</v>
      </c>
      <c r="P109" s="10">
        <f>Interpolate_Range('試算番号2-2'!$G$11:$G$130,'試算番号2-2'!$K$11:$K$130,H109)</f>
        <v>4.6735245909259149E-2</v>
      </c>
      <c r="Q109" s="1">
        <f t="shared" si="20"/>
        <v>0.53084149405468262</v>
      </c>
      <c r="R109" s="1">
        <f t="shared" si="16"/>
        <v>4.4162419808255013E-2</v>
      </c>
    </row>
    <row r="110" spans="8:18">
      <c r="H110" s="13">
        <f t="shared" si="23"/>
        <v>23.25</v>
      </c>
      <c r="I110" s="2">
        <f>Interpolate_Range('試算番号2-1'!$G$10:$G$130,'試算番号2-1'!$I$10:$I$130,H110)</f>
        <v>0.63633466313950482</v>
      </c>
      <c r="J110" s="1">
        <f>Interpolate_Range('試算番号2-1'!$G$11:$G$130,'試算番号2-1'!$N$11:$N$130,H110)</f>
        <v>2.444999987435284E-2</v>
      </c>
      <c r="K110" s="5">
        <f t="shared" si="17"/>
        <v>19.799094344950067</v>
      </c>
      <c r="L110" s="1">
        <f t="shared" si="21"/>
        <v>0.32425424961215482</v>
      </c>
      <c r="M110" s="1">
        <f t="shared" si="18"/>
        <v>-3.4135625000000004E-3</v>
      </c>
      <c r="N110" s="1">
        <f t="shared" si="19"/>
        <v>-6.7585445989883614E-2</v>
      </c>
      <c r="O110" s="18">
        <f t="shared" si="22"/>
        <v>0.35797940878212248</v>
      </c>
      <c r="P110" s="10">
        <f>Interpolate_Range('試算番号2-2'!$G$11:$G$130,'試算番号2-2'!$K$11:$K$130,H110)</f>
        <v>4.6720990553436259E-2</v>
      </c>
      <c r="Q110" s="1">
        <f t="shared" si="20"/>
        <v>0.53502278219869115</v>
      </c>
      <c r="R110" s="1">
        <f t="shared" si="16"/>
        <v>4.4184077918451484E-2</v>
      </c>
    </row>
    <row r="111" spans="8:18">
      <c r="H111" s="13">
        <f t="shared" si="23"/>
        <v>23.5</v>
      </c>
      <c r="I111" s="2">
        <f>Interpolate_Range('試算番号2-1'!$G$10:$G$130,'試算番号2-1'!$I$10:$I$130,H111)</f>
        <v>0.63204296949367045</v>
      </c>
      <c r="J111" s="1">
        <f>Interpolate_Range('試算番号2-1'!$G$11:$G$130,'試算番号2-1'!$N$11:$N$130,H111)</f>
        <v>2.462080676944901E-2</v>
      </c>
      <c r="K111" s="5">
        <f t="shared" si="17"/>
        <v>19.957105087323484</v>
      </c>
      <c r="L111" s="1">
        <f t="shared" si="21"/>
        <v>0.32814460156762792</v>
      </c>
      <c r="M111" s="1">
        <f t="shared" si="18"/>
        <v>-3.361625E-3</v>
      </c>
      <c r="N111" s="1">
        <f t="shared" si="19"/>
        <v>-6.7088303389173806E-2</v>
      </c>
      <c r="O111" s="18">
        <f t="shared" si="22"/>
        <v>0.35394235116215639</v>
      </c>
      <c r="P111" s="10">
        <f>Interpolate_Range('試算番号2-2'!$G$11:$G$130,'試算番号2-2'!$K$11:$K$130,H111)</f>
        <v>4.7273152683423803E-2</v>
      </c>
      <c r="Q111" s="1">
        <f t="shared" si="20"/>
        <v>0.53920577490059585</v>
      </c>
      <c r="R111" s="1">
        <f t="shared" si="16"/>
        <v>4.4196648039755405E-2</v>
      </c>
    </row>
    <row r="112" spans="8:18">
      <c r="H112" s="13">
        <f t="shared" si="23"/>
        <v>23.75</v>
      </c>
      <c r="I112" s="2">
        <f>Interpolate_Range('試算番号2-1'!$G$10:$G$130,'試算番号2-1'!$I$10:$I$130,H112)</f>
        <v>0.6277470280547679</v>
      </c>
      <c r="J112" s="1">
        <f>Interpolate_Range('試算番号2-1'!$G$11:$G$130,'試算番号2-1'!$N$11:$N$130,H112)</f>
        <v>2.4821286577071305E-2</v>
      </c>
      <c r="K112" s="5">
        <f t="shared" si="17"/>
        <v>20.114041844337176</v>
      </c>
      <c r="L112" s="1">
        <f t="shared" si="21"/>
        <v>0.33203997378794098</v>
      </c>
      <c r="M112" s="1">
        <f t="shared" si="18"/>
        <v>-3.3096875000000001E-3</v>
      </c>
      <c r="N112" s="1">
        <f t="shared" si="19"/>
        <v>-6.6571192866679701E-2</v>
      </c>
      <c r="O112" s="18">
        <f t="shared" si="22"/>
        <v>0.34987510921096837</v>
      </c>
      <c r="P112" s="10">
        <f>Interpolate_Range('試算番号2-2'!$G$11:$G$130,'試算番号2-2'!$K$11:$K$130,H112)</f>
        <v>4.7258570311594639E-2</v>
      </c>
      <c r="Q112" s="1">
        <f t="shared" si="20"/>
        <v>0.54333942426282666</v>
      </c>
      <c r="R112" s="1">
        <f t="shared" si="16"/>
        <v>4.4218063958052646E-2</v>
      </c>
    </row>
    <row r="113" spans="8:18">
      <c r="H113" s="13">
        <f t="shared" si="23"/>
        <v>24</v>
      </c>
      <c r="I113" s="2">
        <f>Interpolate_Range('試算番号2-1'!$G$10:$G$130,'試算番号2-1'!$I$10:$I$130,H113)</f>
        <v>0.62345108661586524</v>
      </c>
      <c r="J113" s="1">
        <f>Interpolate_Range('試算番号2-1'!$G$11:$G$130,'試算番号2-1'!$N$11:$N$130,H113)</f>
        <v>2.4997365735570529E-2</v>
      </c>
      <c r="K113" s="5">
        <f t="shared" si="17"/>
        <v>20.269904615991141</v>
      </c>
      <c r="L113" s="1">
        <f t="shared" si="21"/>
        <v>0.33593613249553489</v>
      </c>
      <c r="M113" s="1">
        <f t="shared" si="18"/>
        <v>-3.2577500000000002E-3</v>
      </c>
      <c r="N113" s="1">
        <f t="shared" si="19"/>
        <v>-6.6034281762745145E-2</v>
      </c>
      <c r="O113" s="18">
        <f t="shared" si="22"/>
        <v>0.34592651495343535</v>
      </c>
      <c r="P113" s="10">
        <f>Interpolate_Range('試算番号2-2'!$G$11:$G$130,'試算番号2-2'!$K$11:$K$130,H113)</f>
        <v>4.7823588921494853E-2</v>
      </c>
      <c r="Q113" s="1">
        <f t="shared" si="20"/>
        <v>0.54747528612487129</v>
      </c>
      <c r="R113" s="1">
        <f t="shared" si="16"/>
        <v>4.4230371292035164E-2</v>
      </c>
    </row>
    <row r="114" spans="8:18">
      <c r="H114" s="13">
        <f t="shared" si="23"/>
        <v>24.25</v>
      </c>
      <c r="I114" s="2">
        <f>Interpolate_Range('試算番号2-1'!$G$10:$G$130,'試算番号2-1'!$I$10:$I$130,H114)</f>
        <v>0.61915183062212087</v>
      </c>
      <c r="J114" s="1">
        <f>Interpolate_Range('試算番号2-1'!$G$11:$G$130,'試算番号2-1'!$N$11:$N$130,H114)</f>
        <v>2.5197537897426289E-2</v>
      </c>
      <c r="K114" s="5">
        <f t="shared" si="17"/>
        <v>20.42469257364667</v>
      </c>
      <c r="L114" s="1">
        <f t="shared" si="21"/>
        <v>0.33983640792462533</v>
      </c>
      <c r="M114" s="1">
        <f t="shared" si="18"/>
        <v>-3.2058125000000003E-3</v>
      </c>
      <c r="N114" s="1">
        <f t="shared" si="19"/>
        <v>-6.5477734761253667E-2</v>
      </c>
      <c r="O114" s="18">
        <f t="shared" si="22"/>
        <v>0.34194693524459563</v>
      </c>
      <c r="P114" s="10">
        <f>Interpolate_Range('試算番号2-2'!$G$11:$G$130,'試算番号2-2'!$K$11:$K$130,H114)</f>
        <v>4.7808820716690015E-2</v>
      </c>
      <c r="Q114" s="1">
        <f t="shared" si="20"/>
        <v>0.55156230605530387</v>
      </c>
      <c r="R114" s="1">
        <f t="shared" si="16"/>
        <v>4.4251534600479488E-2</v>
      </c>
    </row>
    <row r="115" spans="8:18">
      <c r="H115" s="13">
        <f t="shared" si="23"/>
        <v>24.5</v>
      </c>
      <c r="I115" s="2">
        <f>Interpolate_Range('試算番号2-1'!$G$10:$G$130,'試算番号2-1'!$I$10:$I$130,H115)</f>
        <v>0.61485257462837639</v>
      </c>
      <c r="J115" s="1">
        <f>Interpolate_Range('試算番号2-1'!$G$11:$G$130,'試算番号2-1'!$N$11:$N$130,H115)</f>
        <v>2.5379037402101033E-2</v>
      </c>
      <c r="K115" s="5">
        <f t="shared" si="17"/>
        <v>20.578405717303763</v>
      </c>
      <c r="L115" s="1">
        <f t="shared" si="21"/>
        <v>0.34373749954669325</v>
      </c>
      <c r="M115" s="1">
        <f t="shared" si="18"/>
        <v>-3.1538750000000004E-3</v>
      </c>
      <c r="N115" s="1">
        <f t="shared" si="19"/>
        <v>-6.4901719331661417E-2</v>
      </c>
      <c r="O115" s="18">
        <f t="shared" si="22"/>
        <v>0.33808518528553311</v>
      </c>
      <c r="P115" s="10">
        <f>Interpolate_Range('試算番号2-2'!$G$11:$G$130,'試算番号2-2'!$K$11:$K$130,H115)</f>
        <v>4.8387153908238112E-2</v>
      </c>
      <c r="Q115" s="1">
        <f t="shared" si="20"/>
        <v>0.55565205102893045</v>
      </c>
      <c r="R115" s="1">
        <f t="shared" si="16"/>
        <v>4.4263566848192451E-2</v>
      </c>
    </row>
    <row r="116" spans="8:18">
      <c r="H116" s="13">
        <f t="shared" si="23"/>
        <v>24.75</v>
      </c>
      <c r="I116" s="2">
        <f>Interpolate_Range('試算番号2-1'!$G$10:$G$130,'試算番号2-1'!$I$10:$I$130,H116)</f>
        <v>0.61055092950086287</v>
      </c>
      <c r="J116" s="1">
        <f>Interpolate_Range('試算番号2-1'!$G$11:$G$130,'試算番号2-1'!$N$11:$N$130,H116)</f>
        <v>2.5578945119881229E-2</v>
      </c>
      <c r="K116" s="5">
        <f t="shared" ref="K116:K137" si="24">K115+I116*0.25</f>
        <v>20.731043449678978</v>
      </c>
      <c r="L116" s="1">
        <f t="shared" si="21"/>
        <v>0.34764181172634201</v>
      </c>
      <c r="M116" s="1">
        <f t="shared" si="18"/>
        <v>-3.1019375000000001E-3</v>
      </c>
      <c r="N116" s="1">
        <f t="shared" si="19"/>
        <v>-6.4306401090688581E-2</v>
      </c>
      <c r="O116" s="18">
        <f t="shared" si="22"/>
        <v>0.33419164348554031</v>
      </c>
      <c r="P116" s="10">
        <f>Interpolate_Range('試算番号2-2'!$G$11:$G$130,'試算番号2-2'!$K$11:$K$130,H116)</f>
        <v>4.83723523313353E-2</v>
      </c>
      <c r="Q116" s="1">
        <f t="shared" ref="Q116:Q137" si="25">Q115+P116*O116*0.25</f>
        <v>0.55969346001014808</v>
      </c>
      <c r="R116" s="1">
        <f t="shared" si="16"/>
        <v>4.4284471420810469E-2</v>
      </c>
    </row>
    <row r="117" spans="8:18">
      <c r="H117" s="13">
        <f t="shared" si="23"/>
        <v>25</v>
      </c>
      <c r="I117" s="2">
        <f>Interpolate_Range('試算番号2-1'!$G$10:$G$130,'試算番号2-1'!$I$10:$I$130,H117)</f>
        <v>0.60624928437334946</v>
      </c>
      <c r="J117" s="1">
        <f>Interpolate_Range('試算番号2-1'!$G$11:$G$130,'試算番号2-1'!$N$11:$N$130,H117)</f>
        <v>2.5766018951192841E-2</v>
      </c>
      <c r="K117" s="5">
        <f t="shared" si="24"/>
        <v>20.882605770772315</v>
      </c>
      <c r="L117" s="1">
        <f t="shared" si="21"/>
        <v>0.35154696936391971</v>
      </c>
      <c r="M117" s="1">
        <f t="shared" si="18"/>
        <v>-3.0500000000000002E-3</v>
      </c>
      <c r="N117" s="1">
        <f t="shared" si="19"/>
        <v>-6.3691947600855559E-2</v>
      </c>
      <c r="O117" s="18">
        <f t="shared" ref="O117:O137" si="26">(I117+L117+N117-Q116)/(1+P116*0.25)</f>
        <v>0.33041510713182137</v>
      </c>
      <c r="P117" s="10">
        <f>Interpolate_Range('試算番号2-2'!$G$11:$G$130,'試算番号2-2'!$K$11:$K$130,H117)</f>
        <v>4.8964484151105658E-2</v>
      </c>
      <c r="Q117" s="1">
        <f t="shared" si="25"/>
        <v>0.56373811132925855</v>
      </c>
      <c r="R117" s="1">
        <f t="shared" si="16"/>
        <v>4.4296220584640833E-2</v>
      </c>
    </row>
    <row r="118" spans="8:18">
      <c r="H118" s="13">
        <f t="shared" si="23"/>
        <v>25.25</v>
      </c>
      <c r="I118" s="2">
        <f>Interpolate_Range('試算番号2-1'!$G$10:$G$130,'試算番号2-1'!$I$10:$I$130,H118)</f>
        <v>0.60269841841744953</v>
      </c>
      <c r="J118" s="1">
        <f>Interpolate_Range('試算番号2-1'!$G$11:$G$130,'試算番号2-1'!$N$11:$N$130,H118)</f>
        <v>2.0994056236734681E-2</v>
      </c>
      <c r="K118" s="5">
        <f t="shared" si="24"/>
        <v>21.033280375376677</v>
      </c>
      <c r="L118" s="1">
        <f t="shared" si="21"/>
        <v>0.35471024048643146</v>
      </c>
      <c r="M118" s="1">
        <f t="shared" si="18"/>
        <v>-3.0196875000000002E-3</v>
      </c>
      <c r="N118" s="1">
        <f t="shared" si="19"/>
        <v>-6.3513933833520261E-2</v>
      </c>
      <c r="O118" s="18">
        <f t="shared" si="26"/>
        <v>0.32616400073000096</v>
      </c>
      <c r="P118" s="10">
        <f>Interpolate_Range('試算番号2-2'!$G$11:$G$130,'試算番号2-2'!$K$11:$K$130,H118)</f>
        <v>3.6248905573036616E-2</v>
      </c>
      <c r="Q118" s="1">
        <f t="shared" si="25"/>
        <v>0.56669388334520499</v>
      </c>
      <c r="R118" s="1">
        <f t="shared" si="16"/>
        <v>4.4370493243114886E-2</v>
      </c>
    </row>
    <row r="119" spans="8:18">
      <c r="H119" s="13">
        <f t="shared" si="23"/>
        <v>25.5</v>
      </c>
      <c r="I119" s="2">
        <f>Interpolate_Range('試算番号2-1'!$G$10:$G$130,'試算番号2-1'!$I$10:$I$130,H119)</f>
        <v>0.59914755246154949</v>
      </c>
      <c r="J119" s="1">
        <f>Interpolate_Range('試算番号2-1'!$G$11:$G$130,'試算番号2-1'!$N$11:$N$130,H119)</f>
        <v>2.1122555658427949E-2</v>
      </c>
      <c r="K119" s="5">
        <f t="shared" si="24"/>
        <v>21.183067263492063</v>
      </c>
      <c r="L119" s="1">
        <f t="shared" si="21"/>
        <v>0.35787412236755145</v>
      </c>
      <c r="M119" s="1">
        <f t="shared" si="18"/>
        <v>-2.9893750000000003E-3</v>
      </c>
      <c r="N119" s="1">
        <f t="shared" si="19"/>
        <v>-6.3324131700801589E-2</v>
      </c>
      <c r="O119" s="18">
        <f t="shared" si="26"/>
        <v>0.3240668922390641</v>
      </c>
      <c r="P119" s="10">
        <f>Interpolate_Range('試算番号2-2'!$G$11:$G$130,'試算番号2-2'!$K$11:$K$130,H119)</f>
        <v>3.6580405489136325E-2</v>
      </c>
      <c r="Q119" s="1">
        <f t="shared" si="25"/>
        <v>0.56965750792613223</v>
      </c>
      <c r="R119" s="1">
        <f t="shared" si="16"/>
        <v>4.418844419495116E-2</v>
      </c>
    </row>
    <row r="120" spans="8:18">
      <c r="H120" s="13">
        <f t="shared" si="23"/>
        <v>25.75</v>
      </c>
      <c r="I120" s="2">
        <f>Interpolate_Range('試算番号2-1'!$G$10:$G$130,'試算番号2-1'!$I$10:$I$130,H120)</f>
        <v>0.59560994792415056</v>
      </c>
      <c r="J120" s="1">
        <f>Interpolate_Range('試算番号2-1'!$G$11:$G$130,'試算番号2-1'!$N$11:$N$130,H120)</f>
        <v>2.1163078367187033E-2</v>
      </c>
      <c r="K120" s="5">
        <f t="shared" si="24"/>
        <v>21.3319697504731</v>
      </c>
      <c r="L120" s="1">
        <f t="shared" si="21"/>
        <v>0.3610253573686002</v>
      </c>
      <c r="M120" s="1">
        <f t="shared" si="18"/>
        <v>-2.9590625000000003E-3</v>
      </c>
      <c r="N120" s="1">
        <f t="shared" si="19"/>
        <v>-6.3122631739759308E-2</v>
      </c>
      <c r="O120" s="18">
        <f t="shared" si="26"/>
        <v>0.32092031679732219</v>
      </c>
      <c r="P120" s="10">
        <f>Interpolate_Range('試算番号2-2'!$G$11:$G$130,'試算番号2-2'!$K$11:$K$130,H120)</f>
        <v>3.6251992179201054E-2</v>
      </c>
      <c r="Q120" s="1">
        <f t="shared" si="25"/>
        <v>0.57256600812980307</v>
      </c>
      <c r="R120" s="1">
        <f t="shared" si="16"/>
        <v>4.4138346444411787E-2</v>
      </c>
    </row>
    <row r="121" spans="8:18">
      <c r="H121" s="13">
        <f t="shared" si="23"/>
        <v>26</v>
      </c>
      <c r="I121" s="2">
        <f>Interpolate_Range('試算番号2-1'!$G$10:$G$130,'試算番号2-1'!$I$10:$I$130,H121)</f>
        <v>0.59207234338675152</v>
      </c>
      <c r="J121" s="1">
        <f>Interpolate_Range('試算番号2-1'!$G$11:$G$130,'試算番号2-1'!$N$11:$N$130,H121)</f>
        <v>2.1293749352337427E-2</v>
      </c>
      <c r="K121" s="5">
        <f t="shared" si="24"/>
        <v>21.479987836319786</v>
      </c>
      <c r="L121" s="1">
        <f t="shared" si="21"/>
        <v>0.36417721738823233</v>
      </c>
      <c r="M121" s="1">
        <f t="shared" si="18"/>
        <v>-2.9287500000000004E-3</v>
      </c>
      <c r="N121" s="1">
        <f t="shared" si="19"/>
        <v>-6.2909514375621575E-2</v>
      </c>
      <c r="O121" s="18">
        <f t="shared" si="26"/>
        <v>0.31789297485994783</v>
      </c>
      <c r="P121" s="10">
        <f>Interpolate_Range('試算番号2-2'!$G$11:$G$130,'試算番号2-2'!$K$11:$K$130,H121)</f>
        <v>3.6583548810543043E-2</v>
      </c>
      <c r="Q121" s="1">
        <f t="shared" si="25"/>
        <v>0.57547342142038249</v>
      </c>
      <c r="R121" s="1">
        <f t="shared" si="16"/>
        <v>4.4078481149776229E-2</v>
      </c>
    </row>
    <row r="122" spans="8:18">
      <c r="H122" s="13">
        <f t="shared" si="23"/>
        <v>26.25</v>
      </c>
      <c r="I122" s="2">
        <f>Interpolate_Range('試算番号2-1'!$G$10:$G$130,'試算番号2-1'!$I$10:$I$130,H122)</f>
        <v>0.58854823289558822</v>
      </c>
      <c r="J122" s="1">
        <f>Interpolate_Range('試算番号2-1'!$G$11:$G$130,'試算番号2-1'!$N$11:$N$130,H122)</f>
        <v>2.1333813694051604E-2</v>
      </c>
      <c r="K122" s="5">
        <f t="shared" si="24"/>
        <v>21.627124894543684</v>
      </c>
      <c r="L122" s="1">
        <f t="shared" si="21"/>
        <v>0.36731621197587178</v>
      </c>
      <c r="M122" s="1">
        <f t="shared" si="18"/>
        <v>-2.8984375E-3</v>
      </c>
      <c r="N122" s="1">
        <f t="shared" si="19"/>
        <v>-6.2684869811528959E-2</v>
      </c>
      <c r="O122" s="18">
        <f t="shared" si="26"/>
        <v>0.31482678339029219</v>
      </c>
      <c r="P122" s="10">
        <f>Interpolate_Range('試算番号2-2'!$G$11:$G$130,'試算番号2-2'!$K$11:$K$130,H122)</f>
        <v>3.6255120099482951E-2</v>
      </c>
      <c r="Q122" s="1">
        <f t="shared" si="25"/>
        <v>0.57832694213096969</v>
      </c>
      <c r="R122" s="1">
        <f t="shared" si="16"/>
        <v>4.4027911824865935E-2</v>
      </c>
    </row>
    <row r="123" spans="8:18">
      <c r="H123" s="13">
        <f t="shared" si="23"/>
        <v>26.5</v>
      </c>
      <c r="I123" s="2">
        <f>Interpolate_Range('試算番号2-1'!$G$10:$G$130,'試算番号2-1'!$I$10:$I$130,H123)</f>
        <v>0.58502412240442492</v>
      </c>
      <c r="J123" s="1">
        <f>Interpolate_Range('試算番号2-1'!$G$11:$G$130,'試算番号2-1'!$N$11:$N$130,H123)</f>
        <v>2.1466695281938154E-2</v>
      </c>
      <c r="K123" s="5">
        <f t="shared" si="24"/>
        <v>21.773380925144789</v>
      </c>
      <c r="L123" s="1">
        <f t="shared" si="21"/>
        <v>0.37045584561793155</v>
      </c>
      <c r="M123" s="1">
        <f t="shared" si="18"/>
        <v>-2.868125E-3</v>
      </c>
      <c r="N123" s="1">
        <f t="shared" si="19"/>
        <v>-6.2448778165930897E-2</v>
      </c>
      <c r="O123" s="18">
        <f t="shared" si="26"/>
        <v>0.31187745904198372</v>
      </c>
      <c r="P123" s="10">
        <f>Interpolate_Range('試算番号2-2'!$G$11:$G$130,'試算番号2-2'!$K$11:$K$130,H123)</f>
        <v>3.6586734210191985E-2</v>
      </c>
      <c r="Q123" s="1">
        <f t="shared" si="25"/>
        <v>0.58117958655599944</v>
      </c>
      <c r="R123" s="1">
        <f t="shared" si="16"/>
        <v>4.3967733124667271E-2</v>
      </c>
    </row>
    <row r="124" spans="8:18">
      <c r="H124" s="13">
        <f t="shared" si="23"/>
        <v>26.75</v>
      </c>
      <c r="I124" s="2">
        <f>Interpolate_Range('試算番号2-1'!$G$10:$G$130,'試算番号2-1'!$I$10:$I$130,H124)</f>
        <v>0.58151373455713673</v>
      </c>
      <c r="J124" s="1">
        <f>Interpolate_Range('試算番号2-1'!$G$11:$G$130,'試算番号2-1'!$N$11:$N$130,H124)</f>
        <v>2.1506308647652805E-2</v>
      </c>
      <c r="K124" s="5">
        <f t="shared" si="24"/>
        <v>21.918759358784072</v>
      </c>
      <c r="L124" s="1">
        <f t="shared" si="21"/>
        <v>0.3735823990824903</v>
      </c>
      <c r="M124" s="1">
        <f t="shared" si="18"/>
        <v>-2.8378125000000001E-3</v>
      </c>
      <c r="N124" s="1">
        <f t="shared" si="19"/>
        <v>-6.2201329292849425E-2</v>
      </c>
      <c r="O124" s="18">
        <f t="shared" si="26"/>
        <v>0.30888989962631802</v>
      </c>
      <c r="P124" s="10">
        <f>Interpolate_Range('試算番号2-2'!$G$11:$G$130,'試算番号2-2'!$K$11:$K$130,H124)</f>
        <v>3.6258290098545309E-2</v>
      </c>
      <c r="Q124" s="1">
        <f t="shared" si="25"/>
        <v>0.58397954145328979</v>
      </c>
      <c r="R124" s="1">
        <f t="shared" si="16"/>
        <v>4.391664962495305E-2</v>
      </c>
    </row>
    <row r="125" spans="8:18">
      <c r="H125" s="13">
        <f t="shared" si="23"/>
        <v>27</v>
      </c>
      <c r="I125" s="2">
        <f>Interpolate_Range('試算番号2-1'!$G$10:$G$130,'試算番号2-1'!$I$10:$I$130,H125)</f>
        <v>0.57800334670984854</v>
      </c>
      <c r="J125" s="1">
        <f>Interpolate_Range('試算番号2-1'!$G$11:$G$130,'試算番号2-1'!$N$11:$N$130,H125)</f>
        <v>2.1641440993431797E-2</v>
      </c>
      <c r="K125" s="5">
        <f t="shared" si="24"/>
        <v>22.063260195461535</v>
      </c>
      <c r="L125" s="1">
        <f t="shared" si="21"/>
        <v>0.37670960541294712</v>
      </c>
      <c r="M125" s="1">
        <f t="shared" si="18"/>
        <v>-2.8075000000000001E-3</v>
      </c>
      <c r="N125" s="1">
        <f t="shared" si="19"/>
        <v>-6.1942602998758263E-2</v>
      </c>
      <c r="O125" s="18">
        <f t="shared" si="26"/>
        <v>0.3060168953292714</v>
      </c>
      <c r="P125" s="10">
        <f>Interpolate_Range('試算番号2-2'!$G$11:$G$130,'試算番号2-2'!$K$11:$K$130,H125)</f>
        <v>3.6589962467001413E-2</v>
      </c>
      <c r="Q125" s="1">
        <f t="shared" si="25"/>
        <v>0.58677882813188142</v>
      </c>
      <c r="R125" s="1">
        <f t="shared" si="16"/>
        <v>4.3856109817022745E-2</v>
      </c>
    </row>
    <row r="126" spans="8:18">
      <c r="H126" s="13">
        <f t="shared" si="23"/>
        <v>27.25</v>
      </c>
      <c r="I126" s="2">
        <f>Interpolate_Range('試算番号2-1'!$G$10:$G$130,'試算番号2-1'!$I$10:$I$130,H126)</f>
        <v>0.5745069060738166</v>
      </c>
      <c r="J126" s="1">
        <f>Interpolate_Range('試算番号2-1'!$G$11:$G$130,'試算番号2-1'!$N$11:$N$130,H126)</f>
        <v>2.1680611187905936E-2</v>
      </c>
      <c r="K126" s="5">
        <f t="shared" si="24"/>
        <v>22.20688692197999</v>
      </c>
      <c r="L126" s="1">
        <f t="shared" si="21"/>
        <v>0.37982352062678543</v>
      </c>
      <c r="M126" s="1">
        <f t="shared" si="18"/>
        <v>-2.7771875000000001E-3</v>
      </c>
      <c r="N126" s="1">
        <f t="shared" si="19"/>
        <v>-6.1672688773636304E-2</v>
      </c>
      <c r="O126" s="18">
        <f t="shared" si="26"/>
        <v>0.30310624823349008</v>
      </c>
      <c r="P126" s="10">
        <f>Interpolate_Range('試算番号2-2'!$G$11:$G$130,'試算番号2-2'!$K$11:$K$130,H126)</f>
        <v>3.6261502955415637E-2</v>
      </c>
      <c r="Q126" s="1">
        <f t="shared" si="25"/>
        <v>0.5895266001609123</v>
      </c>
      <c r="R126" s="1">
        <f t="shared" si="16"/>
        <v>4.3804472686299285E-2</v>
      </c>
    </row>
    <row r="127" spans="8:18">
      <c r="H127" s="13">
        <f t="shared" si="23"/>
        <v>27.5</v>
      </c>
      <c r="I127" s="2">
        <f>Interpolate_Range('試算番号2-1'!$G$10:$G$130,'試算番号2-1'!$I$10:$I$130,H127)</f>
        <v>0.57101046543778466</v>
      </c>
      <c r="J127" s="1">
        <f>Interpolate_Range('試算番号2-1'!$G$11:$G$130,'試算番号2-1'!$N$11:$N$130,H127)</f>
        <v>2.1818035606710588E-2</v>
      </c>
      <c r="K127" s="5">
        <f t="shared" si="24"/>
        <v>22.349639538339435</v>
      </c>
      <c r="L127" s="1">
        <f t="shared" si="21"/>
        <v>0.38293810229346692</v>
      </c>
      <c r="M127" s="1">
        <f t="shared" si="18"/>
        <v>-2.7468750000000002E-3</v>
      </c>
      <c r="N127" s="1">
        <f t="shared" si="19"/>
        <v>-6.1391666106876137E-2</v>
      </c>
      <c r="O127" s="18">
        <f t="shared" si="26"/>
        <v>0.3003078975349634</v>
      </c>
      <c r="P127" s="10">
        <f>Interpolate_Range('試算番号2-2'!$G$11:$G$130,'試算番号2-2'!$K$11:$K$130,H127)</f>
        <v>3.6593234374520556E-2</v>
      </c>
      <c r="Q127" s="1">
        <f t="shared" si="25"/>
        <v>0.59227390948066638</v>
      </c>
      <c r="R127" s="1">
        <f t="shared" si="16"/>
        <v>4.3743527473488489E-2</v>
      </c>
    </row>
    <row r="128" spans="8:18">
      <c r="H128" s="13">
        <f t="shared" si="23"/>
        <v>27.75</v>
      </c>
      <c r="I128" s="2">
        <f>Interpolate_Range('試算番号2-1'!$G$10:$G$130,'試算番号2-1'!$I$10:$I$130,H128)</f>
        <v>0.56752819255078513</v>
      </c>
      <c r="J128" s="1">
        <f>Interpolate_Range('試算番号2-1'!$G$11:$G$130,'試算番号2-1'!$N$11:$N$130,H128)</f>
        <v>2.1856770868825145E-2</v>
      </c>
      <c r="K128" s="5">
        <f t="shared" si="24"/>
        <v>22.491521586477131</v>
      </c>
      <c r="L128" s="1">
        <f t="shared" si="21"/>
        <v>0.38603918571001217</v>
      </c>
      <c r="M128" s="1">
        <f t="shared" si="18"/>
        <v>-2.7165625000000002E-3</v>
      </c>
      <c r="N128" s="1">
        <f t="shared" si="19"/>
        <v>-6.1099624109764286E-2</v>
      </c>
      <c r="O128" s="18">
        <f t="shared" si="26"/>
        <v>0.29747247467393856</v>
      </c>
      <c r="P128" s="10">
        <f>Interpolate_Range('試算番号2-2'!$G$11:$G$130,'試算番号2-2'!$K$11:$K$130,H128)</f>
        <v>3.6264759463771057E-2</v>
      </c>
      <c r="Q128" s="1">
        <f t="shared" si="25"/>
        <v>0.59497085141595218</v>
      </c>
      <c r="R128" s="1">
        <f t="shared" si="16"/>
        <v>4.3691300193920528E-2</v>
      </c>
    </row>
    <row r="129" spans="8:18">
      <c r="H129" s="13">
        <f t="shared" si="23"/>
        <v>28</v>
      </c>
      <c r="I129" s="2">
        <f>Interpolate_Range('試算番号2-1'!$G$10:$G$130,'試算番号2-1'!$I$10:$I$130,H129)</f>
        <v>0.56404591966378548</v>
      </c>
      <c r="J129" s="1">
        <f>Interpolate_Range('試算番号2-1'!$G$11:$G$130,'試算番号2-1'!$N$11:$N$130,H129)</f>
        <v>2.199652988199095E-2</v>
      </c>
      <c r="K129" s="5">
        <f t="shared" si="24"/>
        <v>22.632533066393076</v>
      </c>
      <c r="L129" s="1">
        <f t="shared" si="21"/>
        <v>0.38914094894168705</v>
      </c>
      <c r="M129" s="1">
        <f t="shared" si="18"/>
        <v>-2.6862500000000003E-3</v>
      </c>
      <c r="N129" s="1">
        <f t="shared" si="19"/>
        <v>-6.0796641949598405E-2</v>
      </c>
      <c r="O129" s="18">
        <f t="shared" si="26"/>
        <v>0.29474714169090821</v>
      </c>
      <c r="P129" s="10">
        <f>Interpolate_Range('試算番号2-2'!$G$11:$G$130,'試算番号2-2'!$K$11:$K$130,H129)</f>
        <v>3.6596550741230693E-2</v>
      </c>
      <c r="Q129" s="1">
        <f t="shared" si="25"/>
        <v>0.59766753359763314</v>
      </c>
      <c r="R129" s="1">
        <f t="shared" si="16"/>
        <v>4.3629908464756277E-2</v>
      </c>
    </row>
    <row r="130" spans="8:18">
      <c r="H130" s="13">
        <f t="shared" si="23"/>
        <v>28.25</v>
      </c>
      <c r="I130" s="2">
        <f>Interpolate_Range('試算番号2-1'!$G$10:$G$130,'試算番号2-1'!$I$10:$I$130,H130)</f>
        <v>0.56057803103545312</v>
      </c>
      <c r="J130" s="1">
        <f>Interpolate_Range('試算番号2-1'!$G$11:$G$130,'試算番号2-1'!$N$11:$N$130,H130)</f>
        <v>2.2034838906277027E-2</v>
      </c>
      <c r="K130" s="5">
        <f t="shared" si="24"/>
        <v>22.772677574151938</v>
      </c>
      <c r="L130" s="1">
        <f t="shared" si="21"/>
        <v>0.39222901059375309</v>
      </c>
      <c r="M130" s="1">
        <f t="shared" si="18"/>
        <v>-2.6559375000000003E-3</v>
      </c>
      <c r="N130" s="1">
        <f t="shared" si="19"/>
        <v>-6.0482808344599168E-2</v>
      </c>
      <c r="O130" s="18">
        <f t="shared" si="26"/>
        <v>0.2919852861023397</v>
      </c>
      <c r="P130" s="10">
        <f>Interpolate_Range('試算番号2-2'!$G$11:$G$130,'試算番号2-2'!$K$11:$K$130,H130)</f>
        <v>3.6268060432215421E-2</v>
      </c>
      <c r="Q130" s="1">
        <f t="shared" si="25"/>
        <v>0.60031496859805245</v>
      </c>
      <c r="R130" s="1">
        <f t="shared" si="16"/>
        <v>4.3577057275892297E-2</v>
      </c>
    </row>
    <row r="131" spans="8:18">
      <c r="H131" s="13">
        <f t="shared" si="23"/>
        <v>28.5</v>
      </c>
      <c r="I131" s="2">
        <f>Interpolate_Range('試算番号2-1'!$G$10:$G$130,'試算番号2-1'!$I$10:$I$130,H131)</f>
        <v>0.55711014240712087</v>
      </c>
      <c r="J131" s="1">
        <f>Interpolate_Range('試算番号2-1'!$G$11:$G$130,'試算番号2-1'!$N$11:$N$130,H131)</f>
        <v>2.217697628981391E-2</v>
      </c>
      <c r="K131" s="5">
        <f t="shared" si="24"/>
        <v>22.91195510975372</v>
      </c>
      <c r="L131" s="1">
        <f t="shared" si="21"/>
        <v>0.39531776519849748</v>
      </c>
      <c r="M131" s="1">
        <f t="shared" si="18"/>
        <v>-2.6256250000000004E-3</v>
      </c>
      <c r="N131" s="1">
        <f t="shared" si="19"/>
        <v>-6.015820213504712E-2</v>
      </c>
      <c r="O131" s="18">
        <f t="shared" si="26"/>
        <v>0.28933136501469675</v>
      </c>
      <c r="P131" s="10">
        <f>Interpolate_Range('試算番号2-2'!$G$11:$G$130,'試算番号2-2'!$K$11:$K$130,H131)</f>
        <v>3.6599912390816947E-2</v>
      </c>
      <c r="Q131" s="1">
        <f t="shared" si="25"/>
        <v>0.60296234425091577</v>
      </c>
      <c r="R131" s="1">
        <f t="shared" si="16"/>
        <v>4.3515180910794149E-2</v>
      </c>
    </row>
    <row r="132" spans="8:18">
      <c r="H132" s="13">
        <f t="shared" si="23"/>
        <v>28.75</v>
      </c>
      <c r="I132" s="2">
        <f>Interpolate_Range('試算番号2-1'!$G$10:$G$130,'試算番号2-1'!$I$10:$I$130,H132)</f>
        <v>0.55365685052121405</v>
      </c>
      <c r="J132" s="1">
        <f>Interpolate_Range('試算番号2-1'!$G$11:$G$130,'試算番号2-1'!$N$11:$N$130,H132)</f>
        <v>2.2214868249201179E-2</v>
      </c>
      <c r="K132" s="5">
        <f t="shared" si="24"/>
        <v>23.050369322384022</v>
      </c>
      <c r="L132" s="1">
        <f t="shared" si="21"/>
        <v>0.39839261869589659</v>
      </c>
      <c r="M132" s="1">
        <f t="shared" si="18"/>
        <v>-2.5953125000000004E-3</v>
      </c>
      <c r="N132" s="1">
        <f t="shared" si="19"/>
        <v>-5.9822911631999792E-2</v>
      </c>
      <c r="O132" s="18">
        <f t="shared" si="26"/>
        <v>0.28664145034167454</v>
      </c>
      <c r="P132" s="10">
        <f>Interpolate_Range('試算番号2-2'!$G$11:$G$130,'試算番号2-2'!$K$11:$K$130,H132)</f>
        <v>3.6271406684570628E-2</v>
      </c>
      <c r="Q132" s="1">
        <f t="shared" si="25"/>
        <v>0.60556156640541525</v>
      </c>
      <c r="R132" s="1">
        <f t="shared" si="16"/>
        <v>4.346167465030043E-2</v>
      </c>
    </row>
    <row r="133" spans="8:18">
      <c r="H133" s="13">
        <f>H132+0.25</f>
        <v>29</v>
      </c>
      <c r="I133" s="2">
        <f>Interpolate_Range('試算番号2-1'!$G$10:$G$130,'試算番号2-1'!$I$10:$I$130,H133)</f>
        <v>0.55020355863530723</v>
      </c>
      <c r="J133" s="1">
        <f>Interpolate_Range('試算番号2-1'!$G$11:$G$130,'試算番号2-1'!$N$11:$N$130,H133)</f>
        <v>2.2359429084645766E-2</v>
      </c>
      <c r="K133" s="5">
        <f t="shared" si="24"/>
        <v>23.187920212042847</v>
      </c>
      <c r="L133" s="1">
        <f t="shared" si="21"/>
        <v>0.40146817805875307</v>
      </c>
      <c r="M133" s="1">
        <f t="shared" si="18"/>
        <v>-2.565E-3</v>
      </c>
      <c r="N133" s="1">
        <f t="shared" si="19"/>
        <v>-5.9477015343889904E-2</v>
      </c>
      <c r="O133" s="18">
        <f t="shared" si="26"/>
        <v>0.28405736489380251</v>
      </c>
      <c r="P133" s="10">
        <f>Interpolate_Range('試算番号2-2'!$G$11:$G$130,'試算番号2-2'!$K$11:$K$130,H133)</f>
        <v>3.6603320162476471E-2</v>
      </c>
      <c r="Q133" s="1">
        <f t="shared" si="25"/>
        <v>0.60816092707334457</v>
      </c>
      <c r="R133" s="1">
        <f t="shared" si="16"/>
        <v>4.3399278350182424E-2</v>
      </c>
    </row>
    <row r="134" spans="8:18">
      <c r="H134" s="13">
        <f t="shared" ref="H134:H135" si="27">H133+0.25</f>
        <v>29.25</v>
      </c>
      <c r="I134" s="2">
        <f>Interpolate_Range('試算番号2-1'!$G$10:$G$130,'試算番号2-1'!$I$10:$I$130,H134)</f>
        <v>0.54676507195276502</v>
      </c>
      <c r="J134" s="1">
        <f>Interpolate_Range('試算番号2-1'!$G$11:$G$130,'試算番号2-1'!$N$11:$N$130,H134)</f>
        <v>2.2396913654496173E-2</v>
      </c>
      <c r="K134" s="5">
        <f t="shared" si="24"/>
        <v>23.324611480031038</v>
      </c>
      <c r="L134" s="1">
        <f t="shared" si="21"/>
        <v>0.40452964058520818</v>
      </c>
      <c r="M134" s="1">
        <f t="shared" si="18"/>
        <v>-2.5346875E-3</v>
      </c>
      <c r="N134" s="1">
        <f t="shared" si="19"/>
        <v>-5.9120601160791174E-2</v>
      </c>
      <c r="O134" s="18">
        <f t="shared" si="26"/>
        <v>0.28143779487592119</v>
      </c>
      <c r="P134" s="10">
        <f>Interpolate_Range('試算番号2-2'!$G$11:$G$130,'試算番号2-2'!$K$11:$K$130,H134)</f>
        <v>3.6274799060169727E-2</v>
      </c>
      <c r="Q134" s="1">
        <f t="shared" si="25"/>
        <v>0.61071320193760992</v>
      </c>
      <c r="R134" s="1">
        <f t="shared" si="16"/>
        <v>4.3345088313561549E-2</v>
      </c>
    </row>
    <row r="135" spans="8:18">
      <c r="H135" s="13">
        <f t="shared" si="27"/>
        <v>29.5</v>
      </c>
      <c r="I135" s="2">
        <f>Interpolate_Range('試算番号2-1'!$G$10:$G$130,'試算番号2-1'!$I$10:$I$130,H135)</f>
        <v>0.54332658527022282</v>
      </c>
      <c r="J135" s="1">
        <f>Interpolate_Range('試算番号2-1'!$G$11:$G$130,'試算番号2-1'!$N$11:$N$130,H135)</f>
        <v>2.2543944382269747E-2</v>
      </c>
      <c r="K135" s="5">
        <f t="shared" si="24"/>
        <v>23.460443126348594</v>
      </c>
      <c r="L135" s="1">
        <f t="shared" si="21"/>
        <v>0.40759182166514329</v>
      </c>
      <c r="M135" s="1">
        <f t="shared" si="18"/>
        <v>-2.5043750000000001E-3</v>
      </c>
      <c r="N135" s="1">
        <f t="shared" si="19"/>
        <v>-5.8753747254549259E-2</v>
      </c>
      <c r="O135" s="18">
        <f t="shared" si="26"/>
        <v>0.27892199788650834</v>
      </c>
      <c r="P135" s="10">
        <f>Interpolate_Range('試算番号2-2'!$G$11:$G$130,'試算番号2-2'!$K$11:$K$130,H135)</f>
        <v>3.6606774911205342E-2</v>
      </c>
      <c r="Q135" s="1">
        <f t="shared" si="25"/>
        <v>0.61326581063621366</v>
      </c>
      <c r="R135" s="1">
        <f t="shared" si="16"/>
        <v>4.3282139448052523E-2</v>
      </c>
    </row>
    <row r="136" spans="8:18">
      <c r="H136" s="13">
        <f>H135+0.25</f>
        <v>29.75</v>
      </c>
      <c r="I136" s="2">
        <f>Interpolate_Range('試算番号2-1'!$G$10:$G$130,'試算番号2-1'!$I$10:$I$130,H136)</f>
        <v>0.53990310823300791</v>
      </c>
      <c r="J136" s="1">
        <f>Interpolate_Range('試算番号2-1'!$G$11:$G$130,'試算番号2-1'!$N$11:$N$130,H136)</f>
        <v>2.2581031765777318E-2</v>
      </c>
      <c r="K136" s="5">
        <f t="shared" si="24"/>
        <v>23.595418903406845</v>
      </c>
      <c r="L136" s="1">
        <f t="shared" si="21"/>
        <v>0.41063971397450616</v>
      </c>
      <c r="M136" s="1">
        <f t="shared" si="18"/>
        <v>-2.4740625000000001E-3</v>
      </c>
      <c r="N136" s="1">
        <f t="shared" si="19"/>
        <v>-5.8376541080709998E-2</v>
      </c>
      <c r="O136" s="18">
        <f t="shared" si="26"/>
        <v>0.27637120585938224</v>
      </c>
      <c r="P136" s="10">
        <f>Interpolate_Range('試算番号2-2'!$G$11:$G$130,'試算番号2-2'!$K$11:$K$130,H136)</f>
        <v>3.6278238414155339E-2</v>
      </c>
      <c r="Q136" s="1">
        <f t="shared" si="25"/>
        <v>0.61577237576045718</v>
      </c>
      <c r="R136" s="1">
        <f t="shared" si="16"/>
        <v>4.3227239264960145E-2</v>
      </c>
    </row>
    <row r="137" spans="8:18">
      <c r="H137" s="13">
        <f t="shared" ref="H137" si="28">H136+0.25</f>
        <v>30</v>
      </c>
      <c r="I137" s="2">
        <f>Interpolate_Range('試算番号2-1'!$G$10:$G$130,'試算番号2-1'!$I$10:$I$130,H137)</f>
        <v>0.53647963119579301</v>
      </c>
      <c r="J137" s="1">
        <f>Interpolate_Range('試算番号2-1'!$G$11:$G$130,'試算番号2-1'!$N$11:$N$130,H137)</f>
        <v>2.2730580241217425E-2</v>
      </c>
      <c r="K137" s="5">
        <f t="shared" si="24"/>
        <v>23.729538811205792</v>
      </c>
      <c r="L137" s="1">
        <f t="shared" si="21"/>
        <v>0.41368833730067484</v>
      </c>
      <c r="M137" s="1">
        <f t="shared" si="18"/>
        <v>-2.4437500000000002E-3</v>
      </c>
      <c r="N137" s="1">
        <f t="shared" si="19"/>
        <v>-5.7989060469884161E-2</v>
      </c>
      <c r="O137" s="18">
        <f t="shared" si="26"/>
        <v>0.27392217873931907</v>
      </c>
      <c r="P137" s="10">
        <f>Interpolate_Range('試算番号2-2'!$G$11:$G$130,'試算番号2-2'!$K$11:$K$130,H137)</f>
        <v>3.6610277508117406E-2</v>
      </c>
      <c r="Q137" s="1">
        <f t="shared" si="25"/>
        <v>0.61827946750527585</v>
      </c>
      <c r="R137" s="1">
        <f t="shared" si="16"/>
        <v>4.3163707737824124E-2</v>
      </c>
    </row>
    <row r="138" spans="8:18">
      <c r="H138" s="1"/>
      <c r="I138"/>
      <c r="J138"/>
      <c r="K138"/>
      <c r="L138"/>
    </row>
    <row r="139" spans="8:18">
      <c r="H139" s="1"/>
      <c r="I139"/>
      <c r="J139"/>
      <c r="K139"/>
      <c r="L139"/>
    </row>
    <row r="140" spans="8:18">
      <c r="H140" s="1"/>
      <c r="I140"/>
      <c r="J140"/>
      <c r="K140"/>
      <c r="L140"/>
    </row>
    <row r="141" spans="8:18">
      <c r="H141" s="1"/>
      <c r="I141"/>
      <c r="J141"/>
      <c r="K141"/>
      <c r="L141"/>
    </row>
    <row r="142" spans="8:18">
      <c r="H142" s="1"/>
      <c r="I142"/>
      <c r="J142"/>
      <c r="K142"/>
      <c r="L142"/>
    </row>
    <row r="143" spans="8:18">
      <c r="H143" s="1"/>
      <c r="I143"/>
      <c r="J143"/>
      <c r="K143"/>
      <c r="L143"/>
    </row>
    <row r="144" spans="8:18">
      <c r="H144" s="1"/>
      <c r="I144"/>
      <c r="J144"/>
      <c r="K144"/>
      <c r="L144"/>
    </row>
    <row r="145" spans="8:12">
      <c r="H145" s="1"/>
      <c r="I145"/>
      <c r="J145"/>
      <c r="K145"/>
      <c r="L145"/>
    </row>
    <row r="146" spans="8:12">
      <c r="H146" s="1"/>
      <c r="I146"/>
      <c r="J146"/>
      <c r="K146"/>
      <c r="L146"/>
    </row>
    <row r="147" spans="8:12">
      <c r="H147" s="1"/>
      <c r="I147"/>
      <c r="J147"/>
      <c r="K147"/>
      <c r="L147"/>
    </row>
    <row r="148" spans="8:12">
      <c r="H148" s="1"/>
      <c r="I148"/>
      <c r="J148"/>
      <c r="K148"/>
      <c r="L148"/>
    </row>
    <row r="149" spans="8:12">
      <c r="H149" s="1"/>
      <c r="I149"/>
      <c r="J149"/>
      <c r="K149"/>
      <c r="L149"/>
    </row>
    <row r="150" spans="8:12">
      <c r="H150" s="1"/>
      <c r="I150"/>
      <c r="J150"/>
      <c r="K150"/>
      <c r="L150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147"/>
  <sheetViews>
    <sheetView zoomScale="85" zoomScaleNormal="85" workbookViewId="0"/>
  </sheetViews>
  <sheetFormatPr defaultRowHeight="13.5"/>
  <cols>
    <col min="5" max="5" width="11.75" bestFit="1" customWidth="1"/>
    <col min="6" max="6" width="13" customWidth="1"/>
    <col min="7" max="8" width="13" style="7" customWidth="1"/>
    <col min="9" max="9" width="21" style="6" bestFit="1" customWidth="1"/>
    <col min="10" max="10" width="18" style="10" customWidth="1"/>
    <col min="11" max="11" width="17.5" style="1" bestFit="1" customWidth="1"/>
    <col min="12" max="12" width="18.625" style="7" bestFit="1" customWidth="1"/>
    <col min="13" max="13" width="18.375" customWidth="1"/>
    <col min="14" max="14" width="13.375" customWidth="1"/>
    <col min="15" max="15" width="9" customWidth="1"/>
    <col min="16" max="16" width="19.125" customWidth="1"/>
    <col min="17" max="17" width="17.875" customWidth="1"/>
    <col min="18" max="18" width="17.375" customWidth="1"/>
    <col min="19" max="19" width="10.5" customWidth="1"/>
    <col min="21" max="21" width="21.875" bestFit="1" customWidth="1"/>
    <col min="22" max="22" width="15.625" customWidth="1"/>
    <col min="25" max="25" width="9.875" bestFit="1" customWidth="1"/>
    <col min="26" max="26" width="14.625" bestFit="1" customWidth="1"/>
    <col min="28" max="28" width="14.625" bestFit="1" customWidth="1"/>
  </cols>
  <sheetData>
    <row r="1" spans="1:28">
      <c r="A1" t="s">
        <v>80</v>
      </c>
    </row>
    <row r="2" spans="1:28">
      <c r="A2" s="22" t="s">
        <v>155</v>
      </c>
      <c r="B2" s="19"/>
      <c r="C2" s="19"/>
      <c r="D2" s="19"/>
      <c r="U2" s="22" t="s">
        <v>44</v>
      </c>
    </row>
    <row r="8" spans="1:28">
      <c r="G8" s="23" t="s">
        <v>49</v>
      </c>
      <c r="H8"/>
      <c r="I8"/>
      <c r="J8" s="4"/>
      <c r="K8" s="4"/>
      <c r="M8" s="7"/>
      <c r="N8" s="7"/>
      <c r="O8" s="1"/>
      <c r="U8" s="23" t="s">
        <v>30</v>
      </c>
      <c r="W8" s="29"/>
      <c r="X8" s="23" t="s">
        <v>50</v>
      </c>
    </row>
    <row r="9" spans="1:28">
      <c r="A9" s="23" t="s">
        <v>23</v>
      </c>
      <c r="G9" t="s">
        <v>2</v>
      </c>
      <c r="H9" t="s">
        <v>69</v>
      </c>
      <c r="I9" t="s">
        <v>10</v>
      </c>
      <c r="J9" s="4" t="s">
        <v>85</v>
      </c>
      <c r="K9" s="4" t="s">
        <v>70</v>
      </c>
      <c r="L9" s="7" t="s">
        <v>11</v>
      </c>
      <c r="M9" s="7" t="s">
        <v>71</v>
      </c>
      <c r="N9" s="7" t="s">
        <v>86</v>
      </c>
      <c r="O9" s="10" t="s">
        <v>13</v>
      </c>
      <c r="P9" s="1" t="s">
        <v>87</v>
      </c>
      <c r="Q9" s="7" t="s">
        <v>14</v>
      </c>
      <c r="R9" s="4" t="s">
        <v>89</v>
      </c>
      <c r="S9" t="s">
        <v>88</v>
      </c>
      <c r="U9" t="s">
        <v>78</v>
      </c>
      <c r="V9" t="s">
        <v>90</v>
      </c>
      <c r="X9" t="s">
        <v>17</v>
      </c>
      <c r="Y9" t="s">
        <v>32</v>
      </c>
      <c r="Z9" t="s">
        <v>41</v>
      </c>
      <c r="AA9" t="s">
        <v>42</v>
      </c>
      <c r="AB9" t="s">
        <v>41</v>
      </c>
    </row>
    <row r="10" spans="1:28">
      <c r="G10" s="2">
        <v>0</v>
      </c>
      <c r="H10" s="2">
        <f>Interpolate_Range('試算番号2-1'!$G$10:$G$130,'試算番号2-1'!$I$10:$I$130,G10)</f>
        <v>1</v>
      </c>
      <c r="I10" s="1"/>
      <c r="J10" s="5"/>
      <c r="L10" s="8"/>
      <c r="M10" s="8"/>
      <c r="N10" s="9">
        <f t="shared" ref="N10:N20" si="0">H10*Interpolate_Range($D$53:$D$63,$E$53:$E$63,G10)/$E$53</f>
        <v>1</v>
      </c>
      <c r="O10" s="10"/>
      <c r="P10" s="1"/>
      <c r="Q10" s="7"/>
      <c r="S10" s="10">
        <f>S11</f>
        <v>2.8518579592384389E-3</v>
      </c>
      <c r="U10" t="s">
        <v>74</v>
      </c>
      <c r="V10">
        <v>100</v>
      </c>
      <c r="X10">
        <v>0</v>
      </c>
    </row>
    <row r="11" spans="1:28">
      <c r="G11" s="2">
        <f>7/365</f>
        <v>1.9178082191780823E-2</v>
      </c>
      <c r="H11" s="2">
        <f>Interpolate_Range('試算番号2-1'!$G$10:$G$130,'試算番号2-1'!$I$10:$I$130,G11)</f>
        <v>0.99995844635665232</v>
      </c>
      <c r="I11" s="1"/>
      <c r="J11" s="5"/>
      <c r="L11" s="8"/>
      <c r="M11" s="8"/>
      <c r="N11" s="9">
        <f t="shared" si="0"/>
        <v>0.9999453083293024</v>
      </c>
      <c r="O11" s="10"/>
      <c r="P11" s="1"/>
      <c r="Q11" s="7"/>
      <c r="S11" s="10">
        <f>-LN(N11)/G11</f>
        <v>2.8518579592384389E-3</v>
      </c>
      <c r="U11" t="s">
        <v>133</v>
      </c>
      <c r="V11">
        <v>1</v>
      </c>
      <c r="X11">
        <v>0.25</v>
      </c>
      <c r="Y11" s="1">
        <f>$I$16/4</f>
        <v>3.8572499999991832E-4</v>
      </c>
      <c r="Z11" s="1">
        <f>Y11*Interpolate_Range($G$10:$G$137,$H$10:$H$137,X11)</f>
        <v>3.8551605993333599E-4</v>
      </c>
      <c r="AA11" s="1">
        <f>$O$16/4</f>
        <v>5.7500000000002265E-4</v>
      </c>
      <c r="AB11" s="1">
        <f>AA11*Interpolate_Range($G$10:$G$137,$N$10:$N$137,X11)</f>
        <v>5.7459170800238117E-4</v>
      </c>
    </row>
    <row r="12" spans="1:28">
      <c r="B12" s="1"/>
      <c r="D12" s="13"/>
      <c r="G12" s="2">
        <f>14/365</f>
        <v>3.8356164383561646E-2</v>
      </c>
      <c r="H12" s="2">
        <f>Interpolate_Range('試算番号2-1'!$G$10:$G$130,'試算番号2-1'!$I$10:$I$130,G12)</f>
        <v>0.99991689271330464</v>
      </c>
      <c r="I12" s="1"/>
      <c r="J12" s="5"/>
      <c r="L12" s="8"/>
      <c r="M12" s="8"/>
      <c r="N12" s="9">
        <f t="shared" si="0"/>
        <v>0.9998921633365625</v>
      </c>
      <c r="O12" s="10"/>
      <c r="P12" s="1"/>
      <c r="Q12" s="7"/>
      <c r="S12" s="10">
        <f t="shared" ref="S12:S75" si="1">-LN(N12)/G12</f>
        <v>2.8116074681008465E-3</v>
      </c>
      <c r="U12" t="s">
        <v>34</v>
      </c>
      <c r="V12" s="26" t="s">
        <v>72</v>
      </c>
      <c r="X12">
        <v>0.5</v>
      </c>
      <c r="Y12" s="1">
        <f>Interpolate_Range($G$19:$G$137,$I$19:$I$137,X12)/4</f>
        <v>5.1211276409095707E-4</v>
      </c>
      <c r="Z12" s="1">
        <f t="shared" ref="Z12:Z50" si="2">Y12*Interpolate_Range($G$10:$G$137,$H$10:$H$137,X12)</f>
        <v>5.1149349891182452E-4</v>
      </c>
      <c r="AA12" s="1">
        <f>Interpolate_Range($G$19:$G$137,$O$19:$O$137,X12)/4</f>
        <v>8.5544899559870566E-4</v>
      </c>
      <c r="AB12" s="1">
        <f t="shared" ref="AB12:AB50" si="3">AA12*Interpolate_Range($G$10:$G$137,$N$10:$N$137,X12)</f>
        <v>8.539648640243586E-4</v>
      </c>
    </row>
    <row r="13" spans="1:28">
      <c r="B13" s="1"/>
      <c r="G13" s="2">
        <f>21/365</f>
        <v>5.7534246575342465E-2</v>
      </c>
      <c r="H13" s="2">
        <f>Interpolate_Range('試算番号2-1'!$G$10:$G$130,'試算番号2-1'!$I$10:$I$130,G13)</f>
        <v>0.99987533906995685</v>
      </c>
      <c r="I13" s="1"/>
      <c r="J13" s="5"/>
      <c r="L13" s="8"/>
      <c r="M13" s="8"/>
      <c r="N13" s="9">
        <f t="shared" si="0"/>
        <v>0.99983824654636511</v>
      </c>
      <c r="O13" s="10"/>
      <c r="P13" s="1"/>
      <c r="Q13" s="7"/>
      <c r="S13" s="10">
        <f t="shared" si="1"/>
        <v>2.8116564787865096E-3</v>
      </c>
      <c r="U13" t="s">
        <v>31</v>
      </c>
      <c r="V13" s="12" t="s">
        <v>91</v>
      </c>
      <c r="X13">
        <v>0.75</v>
      </c>
      <c r="Y13" s="1">
        <f t="shared" ref="Y13:Y49" si="4">Interpolate_Range($G$19:$G$137,$I$19:$I$137,X13)/4</f>
        <v>4.317940275480431E-4</v>
      </c>
      <c r="Z13" s="1">
        <f t="shared" si="2"/>
        <v>4.3101842886199043E-4</v>
      </c>
      <c r="AA13" s="1">
        <f t="shared" ref="AA13:AA49" si="5">Interpolate_Range($G$19:$G$137,$O$19:$O$137,X13)/4</f>
        <v>8.2095545785283719E-4</v>
      </c>
      <c r="AB13" s="1">
        <f t="shared" si="3"/>
        <v>8.1865622725827954E-4</v>
      </c>
    </row>
    <row r="14" spans="1:28">
      <c r="G14" s="2">
        <f>1/12</f>
        <v>8.3333333333333329E-2</v>
      </c>
      <c r="H14" s="2">
        <f>Interpolate_Range('試算番号2-1'!$G$10:$G$130,'試算番号2-1'!$I$10:$I$130,G14)</f>
        <v>0.99981943952592967</v>
      </c>
      <c r="I14" s="1"/>
      <c r="J14" s="5"/>
      <c r="L14" s="8"/>
      <c r="M14" s="8"/>
      <c r="N14" s="9">
        <f t="shared" si="0"/>
        <v>0.99975839482717199</v>
      </c>
      <c r="O14" s="10"/>
      <c r="P14" s="1"/>
      <c r="Q14" s="7"/>
      <c r="S14" s="10">
        <f t="shared" si="1"/>
        <v>2.8996123687164733E-3</v>
      </c>
      <c r="U14" t="s">
        <v>92</v>
      </c>
      <c r="V14" s="15">
        <f>E53</f>
        <v>129.38999999999999</v>
      </c>
      <c r="X14">
        <v>1</v>
      </c>
      <c r="Y14" s="1">
        <f t="shared" si="4"/>
        <v>4.3214002678905385E-4</v>
      </c>
      <c r="Z14" s="1">
        <f t="shared" si="2"/>
        <v>4.311101457007702E-4</v>
      </c>
      <c r="AA14" s="1">
        <f t="shared" si="5"/>
        <v>8.2214694151946553E-4</v>
      </c>
      <c r="AB14" s="1">
        <f t="shared" si="3"/>
        <v>8.1881853832770134E-4</v>
      </c>
    </row>
    <row r="15" spans="1:28">
      <c r="G15" s="2">
        <f>2/12</f>
        <v>0.16666666666666666</v>
      </c>
      <c r="H15" s="2">
        <f>Interpolate_Range('試算番号2-1'!$G$10:$G$130,'試算番号2-1'!$I$10:$I$130,G15)</f>
        <v>0.99963887905185922</v>
      </c>
      <c r="I15" s="1"/>
      <c r="J15" s="5"/>
      <c r="L15" s="8"/>
      <c r="M15" s="8"/>
      <c r="N15" s="9">
        <f t="shared" si="0"/>
        <v>0.99953689873496077</v>
      </c>
      <c r="O15" s="10"/>
      <c r="P15" s="1"/>
      <c r="Q15" s="7"/>
      <c r="S15" s="10">
        <f t="shared" si="1"/>
        <v>2.7792511772854354E-3</v>
      </c>
      <c r="U15" t="s">
        <v>38</v>
      </c>
      <c r="V15" s="12" t="s">
        <v>37</v>
      </c>
      <c r="X15">
        <v>1.25</v>
      </c>
      <c r="Y15" s="1">
        <f t="shared" si="4"/>
        <v>5.0356839446960176E-4</v>
      </c>
      <c r="Z15" s="1">
        <f t="shared" si="2"/>
        <v>5.0202410497714027E-4</v>
      </c>
      <c r="AA15" s="1">
        <f t="shared" si="5"/>
        <v>1.3905207567589829E-3</v>
      </c>
      <c r="AB15" s="1">
        <f t="shared" si="3"/>
        <v>1.3818187127730547E-3</v>
      </c>
    </row>
    <row r="16" spans="1:28">
      <c r="B16" t="s">
        <v>146</v>
      </c>
      <c r="G16" s="2">
        <f>3/12</f>
        <v>0.25</v>
      </c>
      <c r="H16" s="2">
        <f>Interpolate_Range('試算番号2-1'!$G$10:$G$130,'試算番号2-1'!$I$10:$I$130,G16)</f>
        <v>0.99945831857778888</v>
      </c>
      <c r="I16" s="1">
        <f>Interpolate_Range('試算番号2-1'!$G$11:$G$130,'試算番号2-1'!$N$11:$N$130,G16)</f>
        <v>1.5428999999996733E-3</v>
      </c>
      <c r="J16" s="5">
        <f>J10+H16*0.25</f>
        <v>0.24986457964444722</v>
      </c>
      <c r="K16" s="1">
        <f>K10+I16*H16*0.25</f>
        <v>3.8551605993333599E-4</v>
      </c>
      <c r="L16" s="1">
        <f>Interpolate_Range($D$35:$D$49,$E$35:$E$49,G16)</f>
        <v>-1.9675000000000001E-3</v>
      </c>
      <c r="M16" s="1">
        <f>L16*J16</f>
        <v>-4.9160856045044987E-4</v>
      </c>
      <c r="N16" s="9">
        <f t="shared" si="0"/>
        <v>0.99928992696062358</v>
      </c>
      <c r="O16" s="10">
        <f>Interpolate_Range('試算番号2-3'!$G$11:$G$130,'試算番号2-3'!$N$11:$N$130,G16)</f>
        <v>2.3000000000000906E-3</v>
      </c>
      <c r="P16" s="1">
        <f>P10+O16*N16*0.25</f>
        <v>5.7459170800238117E-4</v>
      </c>
      <c r="Q16" s="1">
        <f>Interpolate_Range($A$35:$A$49,$B$35:$B$49,L16)</f>
        <v>-1.6100000000000001E-3</v>
      </c>
      <c r="R16" s="5">
        <f>R10+N16*0.25</f>
        <v>0.24982248174015589</v>
      </c>
      <c r="S16" s="10">
        <f t="shared" si="1"/>
        <v>2.8413010425645201E-3</v>
      </c>
      <c r="U16" t="s">
        <v>35</v>
      </c>
      <c r="V16" s="12" t="s">
        <v>39</v>
      </c>
      <c r="X16">
        <v>1.5</v>
      </c>
      <c r="Y16" s="1">
        <f t="shared" si="4"/>
        <v>4.9372806548717149E-4</v>
      </c>
      <c r="Z16" s="1">
        <f t="shared" si="2"/>
        <v>4.918764994426574E-4</v>
      </c>
      <c r="AA16" s="1">
        <f t="shared" si="5"/>
        <v>1.374610981668257E-3</v>
      </c>
      <c r="AB16" s="1">
        <f t="shared" si="3"/>
        <v>1.362677390942927E-3</v>
      </c>
    </row>
    <row r="17" spans="1:28">
      <c r="A17">
        <v>1</v>
      </c>
      <c r="B17" s="1">
        <v>1.08E-3</v>
      </c>
      <c r="E17" s="1"/>
      <c r="G17" s="2">
        <f>4/12</f>
        <v>0.33333333333333331</v>
      </c>
      <c r="H17" s="2">
        <f>Interpolate_Range('試算番号2-1'!$G$10:$G$130,'試算番号2-1'!$I$10:$I$130,G17)</f>
        <v>0.99923580039252546</v>
      </c>
      <c r="I17" s="1"/>
      <c r="J17" s="5"/>
      <c r="L17" s="8"/>
      <c r="M17" s="8"/>
      <c r="N17" s="9">
        <f t="shared" si="0"/>
        <v>0.99898713053571564</v>
      </c>
      <c r="O17" s="10"/>
      <c r="P17" s="1"/>
      <c r="Q17" s="7"/>
      <c r="R17" s="5"/>
      <c r="S17" s="10">
        <f t="shared" si="1"/>
        <v>3.0401482895779952E-3</v>
      </c>
      <c r="X17">
        <v>1.75</v>
      </c>
      <c r="Y17" s="1">
        <f t="shared" si="4"/>
        <v>5.4236455128775746E-4</v>
      </c>
      <c r="Z17" s="1">
        <f t="shared" si="2"/>
        <v>5.3992833985714141E-4</v>
      </c>
      <c r="AA17" s="1">
        <f t="shared" si="5"/>
        <v>1.3586948764354636E-3</v>
      </c>
      <c r="AB17" s="1">
        <f t="shared" si="3"/>
        <v>1.3433172546194914E-3</v>
      </c>
    </row>
    <row r="18" spans="1:28">
      <c r="A18">
        <v>2</v>
      </c>
      <c r="B18" s="1">
        <v>1.23E-3</v>
      </c>
      <c r="E18" s="1"/>
      <c r="G18" s="2">
        <f>5/12</f>
        <v>0.41666666666666669</v>
      </c>
      <c r="H18" s="2">
        <f>Interpolate_Range('試算番号2-1'!$G$10:$G$130,'試算番号2-1'!$I$10:$I$130,G18)</f>
        <v>0.99901328220726204</v>
      </c>
      <c r="I18" s="1"/>
      <c r="J18" s="5"/>
      <c r="L18" s="8"/>
      <c r="M18" s="8"/>
      <c r="N18" s="9">
        <f t="shared" si="0"/>
        <v>0.99859326271153548</v>
      </c>
      <c r="O18" s="10"/>
      <c r="P18" s="1"/>
      <c r="Q18" s="7"/>
      <c r="R18" s="5"/>
      <c r="S18" s="10">
        <f t="shared" si="1"/>
        <v>3.3785464134706202E-3</v>
      </c>
      <c r="U18" s="23" t="s">
        <v>43</v>
      </c>
      <c r="X18">
        <v>2</v>
      </c>
      <c r="Y18" s="1">
        <f t="shared" si="4"/>
        <v>5.3260008576943598E-4</v>
      </c>
      <c r="Z18" s="1">
        <f t="shared" si="2"/>
        <v>5.2981272649663558E-4</v>
      </c>
      <c r="AA18" s="1">
        <f t="shared" si="5"/>
        <v>1.3427724084667399E-3</v>
      </c>
      <c r="AB18" s="1">
        <f t="shared" si="3"/>
        <v>1.3237490139526643E-3</v>
      </c>
    </row>
    <row r="19" spans="1:28">
      <c r="A19">
        <v>3</v>
      </c>
      <c r="B19" s="1">
        <v>1.25E-3</v>
      </c>
      <c r="E19" s="1"/>
      <c r="G19" s="2">
        <f>6/12</f>
        <v>0.5</v>
      </c>
      <c r="H19" s="2">
        <f>Interpolate_Range('試算番号2-1'!$G$10:$G$130,'試算番号2-1'!$I$10:$I$130,G19)</f>
        <v>0.99879076402199862</v>
      </c>
      <c r="I19" s="1">
        <f>Interpolate_Range('試算番号2-1'!$G$11:$G$130,'試算番号2-1'!$N$11:$N$130,G19)</f>
        <v>2.0484510563638283E-3</v>
      </c>
      <c r="J19" s="5">
        <f>J16+H19*0.25</f>
        <v>0.49956227064994685</v>
      </c>
      <c r="K19" s="1">
        <f>K16+I19*H19*0.25</f>
        <v>8.9700955884516051E-4</v>
      </c>
      <c r="L19" s="1">
        <f t="shared" ref="L19:L50" si="6">Interpolate_Range($D$35:$D$49,$E$35:$E$49,G19)</f>
        <v>-1.9675000000000001E-3</v>
      </c>
      <c r="M19" s="1">
        <f>L19*J19</f>
        <v>-9.8288876750377051E-4</v>
      </c>
      <c r="N19" s="9">
        <f t="shared" si="0"/>
        <v>0.99826508467251351</v>
      </c>
      <c r="O19" s="10">
        <f>Interpolate_Range('試算番号2-3'!$G$11:$G$130,'試算番号2-3'!$N$11:$N$130,G19)</f>
        <v>3.4217959823948227E-3</v>
      </c>
      <c r="P19" s="1">
        <f>P16+O19*N19*0.25</f>
        <v>1.4285565720267399E-3</v>
      </c>
      <c r="Q19" s="1">
        <f t="shared" ref="Q19:Q50" si="7">Interpolate_Range($A$35:$A$49,$B$35:$B$49,L19)</f>
        <v>-1.6100000000000001E-3</v>
      </c>
      <c r="R19" s="5">
        <f>R16+N19*0.25</f>
        <v>0.49938875290828427</v>
      </c>
      <c r="S19" s="10">
        <f t="shared" si="1"/>
        <v>3.4728440720198333E-3</v>
      </c>
      <c r="U19" t="s">
        <v>45</v>
      </c>
      <c r="V19" s="34">
        <f>$V$10*SUM(Z11:Z50)</f>
        <v>98.636284208792233</v>
      </c>
      <c r="X19">
        <v>2.25</v>
      </c>
      <c r="Y19" s="1">
        <f t="shared" si="4"/>
        <v>6.9233437319552197E-4</v>
      </c>
      <c r="Z19" s="1">
        <f t="shared" si="2"/>
        <v>6.8808749257385018E-4</v>
      </c>
      <c r="AA19" s="1">
        <f t="shared" si="5"/>
        <v>2.366667758748651E-3</v>
      </c>
      <c r="AB19" s="1">
        <f t="shared" si="3"/>
        <v>2.3242064633193756E-3</v>
      </c>
    </row>
    <row r="20" spans="1:28">
      <c r="A20">
        <v>4</v>
      </c>
      <c r="B20" s="1">
        <v>1.23E-3</v>
      </c>
      <c r="E20" s="1"/>
      <c r="G20" s="2">
        <f>9/12</f>
        <v>0.75</v>
      </c>
      <c r="H20" s="2">
        <f>Interpolate_Range('試算番号2-1'!$G$10:$G$130,'試算番号2-1'!$I$10:$I$130,G20)</f>
        <v>0.99820377625309709</v>
      </c>
      <c r="I20" s="1">
        <f>Interpolate_Range('試算番号2-1'!$G$11:$G$130,'試算番号2-1'!$N$11:$N$130,G20)</f>
        <v>1.7271761101921724E-3</v>
      </c>
      <c r="J20" s="5">
        <f t="shared" ref="J20:J83" si="8">J19+H20*0.25</f>
        <v>0.74911321471322112</v>
      </c>
      <c r="K20" s="1">
        <f>K19+I20*H20*0.25</f>
        <v>1.3280279877071509E-3</v>
      </c>
      <c r="L20" s="1">
        <f t="shared" si="6"/>
        <v>-1.9675000000000001E-3</v>
      </c>
      <c r="M20" s="1">
        <f t="shared" ref="M20:M83" si="9">L20*J20</f>
        <v>-1.4738802499482625E-3</v>
      </c>
      <c r="N20" s="9">
        <f t="shared" si="0"/>
        <v>0.99719932357771135</v>
      </c>
      <c r="O20" s="10">
        <f>Interpolate_Range('試算番号2-3'!$G$11:$G$130,'試算番号2-3'!$N$11:$N$130,G20)</f>
        <v>3.2838218314113488E-3</v>
      </c>
      <c r="P20" s="1">
        <f t="shared" ref="P20:P51" si="10">P19+O20*N20*0.25</f>
        <v>2.2472127992850194E-3</v>
      </c>
      <c r="Q20" s="1">
        <f t="shared" si="7"/>
        <v>-1.6100000000000001E-3</v>
      </c>
      <c r="R20" s="5">
        <f t="shared" ref="R20:R51" si="11">R19+N20*0.25</f>
        <v>0.74868858380271208</v>
      </c>
      <c r="S20" s="10">
        <f t="shared" si="1"/>
        <v>3.7394742060711927E-3</v>
      </c>
      <c r="U20" t="s">
        <v>46</v>
      </c>
      <c r="V20" s="34">
        <f>$V$14*$V$11*SUM(AB11:AB50)</f>
        <v>120.49112162994757</v>
      </c>
      <c r="X20">
        <v>2.5</v>
      </c>
      <c r="Y20" s="1">
        <f t="shared" si="4"/>
        <v>6.8491573998634588E-4</v>
      </c>
      <c r="Z20" s="1">
        <f t="shared" si="2"/>
        <v>6.8009749502431251E-4</v>
      </c>
      <c r="AA20" s="1">
        <f t="shared" si="5"/>
        <v>2.371368574736586E-3</v>
      </c>
      <c r="AB20" s="1">
        <f t="shared" si="3"/>
        <v>2.3194956329314906E-3</v>
      </c>
    </row>
    <row r="21" spans="1:28">
      <c r="A21">
        <v>5</v>
      </c>
      <c r="B21" s="1">
        <v>1.225E-3</v>
      </c>
      <c r="E21" s="1"/>
      <c r="G21" s="13">
        <f>G20+0.25</f>
        <v>1</v>
      </c>
      <c r="H21" s="2">
        <f>Interpolate_Range('試算番号2-1'!$G$10:$G$130,'試算番号2-1'!$I$10:$I$130,G21)</f>
        <v>0.99761678848419566</v>
      </c>
      <c r="I21" s="1">
        <f>Interpolate_Range('試算番号2-1'!$G$11:$G$130,'試算番号2-1'!$N$11:$N$130,G21)</f>
        <v>1.7285601071562154E-3</v>
      </c>
      <c r="J21" s="5">
        <f t="shared" si="8"/>
        <v>0.99851741183427001</v>
      </c>
      <c r="K21" s="1">
        <f t="shared" ref="K21:K84" si="12">K20+I21*H21*0.25</f>
        <v>1.7591381334079211E-3</v>
      </c>
      <c r="L21" s="1">
        <f t="shared" si="6"/>
        <v>-1.9675000000000001E-3</v>
      </c>
      <c r="M21" s="1">
        <f t="shared" si="9"/>
        <v>-1.9645830077839265E-3</v>
      </c>
      <c r="N21" s="18">
        <f>(H21+K21+M21-P20-R20*Q21)/(1+(O21+Q21)*0.25)</f>
        <v>0.99595157139961776</v>
      </c>
      <c r="O21" s="10">
        <f>Interpolate_Range('試算番号2-3'!$G$11:$G$130,'試算番号2-3'!$N$11:$N$130,G21)</f>
        <v>3.2885877660778621E-3</v>
      </c>
      <c r="P21" s="1">
        <f t="shared" si="10"/>
        <v>3.0660313376127206E-3</v>
      </c>
      <c r="Q21" s="1">
        <f t="shared" si="7"/>
        <v>-1.6100000000000001E-3</v>
      </c>
      <c r="R21" s="5">
        <f t="shared" si="11"/>
        <v>0.9976764766526165</v>
      </c>
      <c r="S21" s="10">
        <f t="shared" si="1"/>
        <v>4.056645672432962E-3</v>
      </c>
      <c r="U21" t="s">
        <v>47</v>
      </c>
      <c r="V21" s="28">
        <f>V19-V20</f>
        <v>-21.854837421155338</v>
      </c>
      <c r="X21">
        <v>2.75</v>
      </c>
      <c r="Y21" s="1">
        <f t="shared" si="4"/>
        <v>7.7615852842254844E-4</v>
      </c>
      <c r="Z21" s="1">
        <f t="shared" si="2"/>
        <v>7.6992346159324588E-4</v>
      </c>
      <c r="AA21" s="1">
        <f t="shared" si="5"/>
        <v>2.3761049001565959E-3</v>
      </c>
      <c r="AB21" s="1">
        <f t="shared" si="3"/>
        <v>2.314405807498668E-3</v>
      </c>
    </row>
    <row r="22" spans="1:28">
      <c r="A22">
        <v>6</v>
      </c>
      <c r="B22" s="1">
        <v>1.1900000000000001E-3</v>
      </c>
      <c r="E22" s="1"/>
      <c r="G22" s="13">
        <f t="shared" ref="G22:G85" si="13">G21+0.25</f>
        <v>1.25</v>
      </c>
      <c r="H22" s="2">
        <f>Interpolate_Range('試算番号2-1'!$G$10:$G$130,'試算番号2-1'!$I$10:$I$130,G22)</f>
        <v>0.99693330735323826</v>
      </c>
      <c r="I22" s="1">
        <f>Interpolate_Range('試算番号2-1'!$G$11:$G$130,'試算番号2-1'!$N$11:$N$130,G22)</f>
        <v>2.014273577878407E-3</v>
      </c>
      <c r="J22" s="5">
        <f t="shared" si="8"/>
        <v>1.2477507386725795</v>
      </c>
      <c r="K22" s="1">
        <f t="shared" si="12"/>
        <v>2.2611622383850614E-3</v>
      </c>
      <c r="L22" s="1">
        <f t="shared" si="6"/>
        <v>-2.4131249999999999E-3</v>
      </c>
      <c r="M22" s="1">
        <f t="shared" si="9"/>
        <v>-3.0109785012592681E-3</v>
      </c>
      <c r="N22" s="18">
        <f t="shared" ref="N22:N85" si="14">(H22+K22+M22-P21-R21*Q22)/(1+(O22+Q22)*0.25)</f>
        <v>0.99374188127460195</v>
      </c>
      <c r="O22" s="10">
        <f>Interpolate_Range('試算番号2-3'!$G$11:$G$130,'試算番号2-3'!$N$11:$N$130,G22)</f>
        <v>5.5620830270359314E-3</v>
      </c>
      <c r="P22" s="1">
        <f t="shared" si="10"/>
        <v>4.4478500503857751E-3</v>
      </c>
      <c r="Q22" s="1">
        <f t="shared" si="7"/>
        <v>-1.6100000000000001E-3</v>
      </c>
      <c r="R22" s="5">
        <f t="shared" si="11"/>
        <v>1.2461119469712669</v>
      </c>
      <c r="S22" s="1">
        <f t="shared" si="1"/>
        <v>5.0222262668258907E-3</v>
      </c>
      <c r="X22">
        <v>3</v>
      </c>
      <c r="Y22" s="1">
        <f t="shared" si="4"/>
        <v>7.6891997646444225E-4</v>
      </c>
      <c r="Z22" s="1">
        <f t="shared" si="2"/>
        <v>7.6197533876895106E-4</v>
      </c>
      <c r="AA22" s="1">
        <f t="shared" si="5"/>
        <v>2.3808770234139847E-3</v>
      </c>
      <c r="AB22" s="1">
        <f t="shared" si="3"/>
        <v>2.308935918665747E-3</v>
      </c>
    </row>
    <row r="23" spans="1:28">
      <c r="A23">
        <v>7</v>
      </c>
      <c r="B23" s="1">
        <v>1.15E-3</v>
      </c>
      <c r="E23" s="1"/>
      <c r="G23" s="13">
        <f t="shared" si="13"/>
        <v>1.5</v>
      </c>
      <c r="H23" s="2">
        <f>Interpolate_Range('試算番号2-1'!$G$10:$G$130,'試算番号2-1'!$I$10:$I$130,G23)</f>
        <v>0.99624982622228075</v>
      </c>
      <c r="I23" s="1">
        <f>Interpolate_Range('試算番号2-1'!$G$11:$G$130,'試算番号2-1'!$N$11:$N$130,G23)</f>
        <v>1.9749122619486859E-3</v>
      </c>
      <c r="J23" s="5">
        <f t="shared" si="8"/>
        <v>1.4968131952281496</v>
      </c>
      <c r="K23" s="1">
        <f t="shared" si="12"/>
        <v>2.7530387378277188E-3</v>
      </c>
      <c r="L23" s="1">
        <f t="shared" si="6"/>
        <v>-2.8587500000000002E-3</v>
      </c>
      <c r="M23" s="1">
        <f t="shared" si="9"/>
        <v>-4.2790147218584726E-3</v>
      </c>
      <c r="N23" s="18">
        <f t="shared" si="14"/>
        <v>0.9913185687554692</v>
      </c>
      <c r="O23" s="10">
        <f>Interpolate_Range('試算番号2-3'!$G$11:$G$130,'試算番号2-3'!$N$11:$N$130,G23)</f>
        <v>5.4984439266730278E-3</v>
      </c>
      <c r="P23" s="1">
        <f t="shared" si="10"/>
        <v>5.8105274413287021E-3</v>
      </c>
      <c r="Q23" s="1">
        <f t="shared" si="7"/>
        <v>-1.6100000000000001E-3</v>
      </c>
      <c r="R23" s="5">
        <f t="shared" si="11"/>
        <v>1.4939415891601342</v>
      </c>
      <c r="S23" s="1">
        <f t="shared" si="1"/>
        <v>5.8128895981839901E-3</v>
      </c>
      <c r="X23">
        <v>3.25</v>
      </c>
      <c r="Y23" s="1">
        <f t="shared" si="4"/>
        <v>9.5473928528312603E-4</v>
      </c>
      <c r="Z23" s="1">
        <f t="shared" si="2"/>
        <v>9.4492509205120617E-4</v>
      </c>
      <c r="AA23" s="1">
        <f t="shared" si="5"/>
        <v>3.7141870793792791E-3</v>
      </c>
      <c r="AB23" s="1">
        <f t="shared" si="3"/>
        <v>3.5814124177410869E-3</v>
      </c>
    </row>
    <row r="24" spans="1:28">
      <c r="A24">
        <v>8</v>
      </c>
      <c r="B24" s="1">
        <v>1.1099999999999999E-3</v>
      </c>
      <c r="E24" s="1"/>
      <c r="G24" s="13">
        <f t="shared" si="13"/>
        <v>1.75</v>
      </c>
      <c r="H24" s="2">
        <f>Interpolate_Range('試算番号2-1'!$G$10:$G$130,'試算番号2-1'!$I$10:$I$130,G24)</f>
        <v>0.99550816618668814</v>
      </c>
      <c r="I24" s="1">
        <f>Interpolate_Range('試算番号2-1'!$G$11:$G$130,'試算番号2-1'!$N$11:$N$130,G24)</f>
        <v>2.1694582051510298E-3</v>
      </c>
      <c r="J24" s="5">
        <f t="shared" si="8"/>
        <v>1.7456902367748217</v>
      </c>
      <c r="K24" s="1">
        <f t="shared" si="12"/>
        <v>3.2929670776848602E-3</v>
      </c>
      <c r="L24" s="1">
        <f t="shared" si="6"/>
        <v>-3.304375E-3</v>
      </c>
      <c r="M24" s="1">
        <f t="shared" si="9"/>
        <v>-5.7684151761428016E-3</v>
      </c>
      <c r="N24" s="18">
        <f t="shared" si="14"/>
        <v>0.98868206388154234</v>
      </c>
      <c r="O24" s="10">
        <f>Interpolate_Range('試算番号2-3'!$G$11:$G$130,'試算番号2-3'!$N$11:$N$130,G24)</f>
        <v>5.4347795057418545E-3</v>
      </c>
      <c r="P24" s="1">
        <f t="shared" si="10"/>
        <v>7.1538446959481935E-3</v>
      </c>
      <c r="Q24" s="1">
        <f t="shared" si="7"/>
        <v>-1.6100000000000001E-3</v>
      </c>
      <c r="R24" s="5">
        <f t="shared" si="11"/>
        <v>1.7411121051305198</v>
      </c>
      <c r="S24" s="1">
        <f t="shared" si="1"/>
        <v>6.5042693466495537E-3</v>
      </c>
      <c r="X24">
        <v>3.5</v>
      </c>
      <c r="Y24" s="1">
        <f t="shared" si="4"/>
        <v>9.3893841671379363E-4</v>
      </c>
      <c r="Z24" s="1">
        <f t="shared" si="2"/>
        <v>9.2811506819188289E-4</v>
      </c>
      <c r="AA24" s="1">
        <f t="shared" si="5"/>
        <v>3.7328998821082814E-3</v>
      </c>
      <c r="AB24" s="1">
        <f t="shared" si="3"/>
        <v>3.5782975096645244E-3</v>
      </c>
    </row>
    <row r="25" spans="1:28">
      <c r="A25">
        <v>9</v>
      </c>
      <c r="B25" s="1">
        <v>1.065E-3</v>
      </c>
      <c r="E25" s="1"/>
      <c r="G25" s="13">
        <f t="shared" si="13"/>
        <v>2</v>
      </c>
      <c r="H25" s="2">
        <f>Interpolate_Range('試算番号2-1'!$G$10:$G$130,'試算番号2-1'!$I$10:$I$130,G25)</f>
        <v>0.99476650615109552</v>
      </c>
      <c r="I25" s="1">
        <f>Interpolate_Range('試算番号2-1'!$G$11:$G$130,'試算番号2-1'!$N$11:$N$130,G25)</f>
        <v>2.1304003430777439E-3</v>
      </c>
      <c r="J25" s="5">
        <f t="shared" si="8"/>
        <v>1.9943818633125956</v>
      </c>
      <c r="K25" s="1">
        <f t="shared" si="12"/>
        <v>3.8227798041814958E-3</v>
      </c>
      <c r="L25" s="1">
        <f t="shared" si="6"/>
        <v>-3.7499999999999999E-3</v>
      </c>
      <c r="M25" s="1">
        <f t="shared" si="9"/>
        <v>-7.4789319874222328E-3</v>
      </c>
      <c r="N25" s="18">
        <f t="shared" si="14"/>
        <v>0.98583274842845647</v>
      </c>
      <c r="O25" s="10">
        <f>Interpolate_Range('試算番号2-3'!$G$11:$G$130,'試算番号2-3'!$N$11:$N$130,G25)</f>
        <v>5.3710896338669597E-3</v>
      </c>
      <c r="P25" s="1">
        <f t="shared" si="10"/>
        <v>8.4775937099008571E-3</v>
      </c>
      <c r="Q25" s="1">
        <f t="shared" si="7"/>
        <v>-1.6100000000000001E-3</v>
      </c>
      <c r="R25" s="5">
        <f t="shared" si="11"/>
        <v>1.9875702922376339</v>
      </c>
      <c r="S25" s="1">
        <f t="shared" si="1"/>
        <v>7.1342825539921165E-3</v>
      </c>
      <c r="X25">
        <v>3.75</v>
      </c>
      <c r="Y25" s="1">
        <f t="shared" si="4"/>
        <v>1.0647139614643614E-3</v>
      </c>
      <c r="Z25" s="1">
        <f t="shared" si="2"/>
        <v>1.0509636227333148E-3</v>
      </c>
      <c r="AA25" s="1">
        <f t="shared" si="5"/>
        <v>3.7517488223390676E-3</v>
      </c>
      <c r="AB25" s="1">
        <f t="shared" si="3"/>
        <v>3.5745922022074198E-3</v>
      </c>
    </row>
    <row r="26" spans="1:28">
      <c r="A26">
        <v>10</v>
      </c>
      <c r="B26" s="1">
        <v>1.0250000000000001E-3</v>
      </c>
      <c r="E26" s="1"/>
      <c r="G26" s="13">
        <f t="shared" si="13"/>
        <v>2.25</v>
      </c>
      <c r="H26" s="2">
        <f>Interpolate_Range('試算番号2-1'!$G$10:$G$130,'試算番号2-1'!$I$10:$I$130,G26)</f>
        <v>0.99386585328405697</v>
      </c>
      <c r="I26" s="1">
        <f>Interpolate_Range('試算番号2-1'!$G$11:$G$130,'試算番号2-1'!$N$11:$N$130,G26)</f>
        <v>2.7693374927820879E-3</v>
      </c>
      <c r="J26" s="5">
        <f t="shared" si="8"/>
        <v>2.2428483266336099</v>
      </c>
      <c r="K26" s="1">
        <f t="shared" si="12"/>
        <v>4.510867296755346E-3</v>
      </c>
      <c r="L26" s="1">
        <f t="shared" si="6"/>
        <v>-4.0625000000000001E-3</v>
      </c>
      <c r="M26" s="1">
        <f t="shared" si="9"/>
        <v>-9.1115713269490396E-3</v>
      </c>
      <c r="N26" s="18">
        <f t="shared" si="14"/>
        <v>0.98205861584402265</v>
      </c>
      <c r="O26" s="10">
        <f>Interpolate_Range('試算番号2-3'!$G$11:$G$130,'試算番号2-3'!$N$11:$N$130,G26)</f>
        <v>9.4666710349946039E-3</v>
      </c>
      <c r="P26" s="1">
        <f t="shared" si="10"/>
        <v>1.0801800173220234E-2</v>
      </c>
      <c r="Q26" s="1">
        <f t="shared" si="7"/>
        <v>-1.6100000000000001E-3</v>
      </c>
      <c r="R26" s="5">
        <f t="shared" si="11"/>
        <v>2.2330849461986397</v>
      </c>
      <c r="S26" s="1">
        <f t="shared" si="1"/>
        <v>8.0463476178676465E-3</v>
      </c>
      <c r="X26">
        <v>4</v>
      </c>
      <c r="Y26" s="1">
        <f t="shared" si="4"/>
        <v>1.0492588199852186E-3</v>
      </c>
      <c r="Z26" s="1">
        <f t="shared" si="2"/>
        <v>1.0342523719362035E-3</v>
      </c>
      <c r="AA26" s="1">
        <f t="shared" si="5"/>
        <v>3.7707355578274096E-3</v>
      </c>
      <c r="AB26" s="1">
        <f t="shared" si="3"/>
        <v>3.5702911842493252E-3</v>
      </c>
    </row>
    <row r="27" spans="1:28">
      <c r="A27">
        <v>12</v>
      </c>
      <c r="B27" s="1">
        <v>9.6500000000000004E-4</v>
      </c>
      <c r="E27" s="1"/>
      <c r="G27" s="13">
        <f t="shared" si="13"/>
        <v>2.5</v>
      </c>
      <c r="H27" s="2">
        <f>Interpolate_Range('試算番号2-1'!$G$10:$G$130,'試算番号2-1'!$I$10:$I$130,G27)</f>
        <v>0.99296520041701852</v>
      </c>
      <c r="I27" s="1">
        <f>Interpolate_Range('試算番号2-1'!$G$11:$G$130,'試算番号2-1'!$N$11:$N$130,G27)</f>
        <v>2.7396629599453835E-3</v>
      </c>
      <c r="J27" s="5">
        <f t="shared" si="8"/>
        <v>2.4910896267378644</v>
      </c>
      <c r="K27" s="1">
        <f t="shared" si="12"/>
        <v>5.1909647917796585E-3</v>
      </c>
      <c r="L27" s="1">
        <f t="shared" si="6"/>
        <v>-4.3750000000000004E-3</v>
      </c>
      <c r="M27" s="1">
        <f t="shared" si="9"/>
        <v>-1.0898517116978158E-2</v>
      </c>
      <c r="N27" s="18">
        <f t="shared" si="14"/>
        <v>0.97812531448812956</v>
      </c>
      <c r="O27" s="10">
        <f>Interpolate_Range('試算番号2-3'!$G$11:$G$130,'試算番号2-3'!$N$11:$N$130,G27)</f>
        <v>9.4854742989463441E-3</v>
      </c>
      <c r="P27" s="1">
        <f t="shared" si="10"/>
        <v>1.3121295806151723E-2</v>
      </c>
      <c r="Q27" s="1">
        <f t="shared" si="7"/>
        <v>-1.6100000000000001E-3</v>
      </c>
      <c r="R27" s="5">
        <f t="shared" si="11"/>
        <v>2.4776162748206723</v>
      </c>
      <c r="S27" s="1">
        <f t="shared" si="1"/>
        <v>8.846993492904116E-3</v>
      </c>
      <c r="X27">
        <v>4.25</v>
      </c>
      <c r="Y27" s="1">
        <f t="shared" si="4"/>
        <v>1.5093091703565803E-3</v>
      </c>
      <c r="Z27" s="1">
        <f t="shared" si="2"/>
        <v>1.4849048593076619E-3</v>
      </c>
      <c r="AA27" s="1">
        <f t="shared" si="5"/>
        <v>4.8551960997609686E-3</v>
      </c>
      <c r="AB27" s="1">
        <f t="shared" si="3"/>
        <v>4.5641759477969401E-3</v>
      </c>
    </row>
    <row r="28" spans="1:28">
      <c r="A28">
        <v>15</v>
      </c>
      <c r="B28" s="1">
        <v>8.5999999999999998E-4</v>
      </c>
      <c r="E28" s="1"/>
      <c r="G28" s="13">
        <f t="shared" si="13"/>
        <v>2.75</v>
      </c>
      <c r="H28" s="2">
        <f>Interpolate_Range('試算番号2-1'!$G$10:$G$130,'試算番号2-1'!$I$10:$I$130,G28)</f>
        <v>0.99196676116930049</v>
      </c>
      <c r="I28" s="1">
        <f>Interpolate_Range('試算番号2-1'!$G$11:$G$130,'試算番号2-1'!$N$11:$N$130,G28)</f>
        <v>3.1046341136901938E-3</v>
      </c>
      <c r="J28" s="5">
        <f t="shared" si="8"/>
        <v>2.7390813170301893</v>
      </c>
      <c r="K28" s="1">
        <f t="shared" si="12"/>
        <v>5.9608882533729044E-3</v>
      </c>
      <c r="L28" s="1">
        <f t="shared" si="6"/>
        <v>-4.6874999999999998E-3</v>
      </c>
      <c r="M28" s="1">
        <f t="shared" si="9"/>
        <v>-1.2839443673579013E-2</v>
      </c>
      <c r="N28" s="18">
        <f t="shared" si="14"/>
        <v>0.97403351482762335</v>
      </c>
      <c r="O28" s="10">
        <f>Interpolate_Range('試算番号2-3'!$G$11:$G$130,'試算番号2-3'!$N$11:$N$130,G28)</f>
        <v>9.5044196006263838E-3</v>
      </c>
      <c r="P28" s="1">
        <f t="shared" si="10"/>
        <v>1.5435701613650391E-2</v>
      </c>
      <c r="Q28" s="1">
        <f t="shared" si="7"/>
        <v>-1.6100000000000001E-3</v>
      </c>
      <c r="R28" s="5">
        <f t="shared" si="11"/>
        <v>2.7211246535275779</v>
      </c>
      <c r="S28" s="1">
        <f t="shared" si="1"/>
        <v>9.5671150755085015E-3</v>
      </c>
      <c r="X28">
        <v>4.5</v>
      </c>
      <c r="Y28" s="1">
        <f t="shared" si="4"/>
        <v>1.4938622561296592E-3</v>
      </c>
      <c r="Z28" s="1">
        <f t="shared" si="2"/>
        <v>1.466918306832635E-3</v>
      </c>
      <c r="AA28" s="1">
        <f t="shared" si="5"/>
        <v>4.8825843966825303E-3</v>
      </c>
      <c r="AB28" s="1">
        <f t="shared" si="3"/>
        <v>4.5563382648812932E-3</v>
      </c>
    </row>
    <row r="29" spans="1:28">
      <c r="A29">
        <v>20</v>
      </c>
      <c r="B29" s="1">
        <v>7.2999999999999996E-4</v>
      </c>
      <c r="E29" s="1"/>
      <c r="G29" s="13">
        <f t="shared" si="13"/>
        <v>3</v>
      </c>
      <c r="H29" s="2">
        <f>Interpolate_Range('試算番号2-1'!$G$10:$G$130,'試算番号2-1'!$I$10:$I$130,G29)</f>
        <v>0.99096832192158246</v>
      </c>
      <c r="I29" s="1">
        <f>Interpolate_Range('試算番号2-1'!$G$11:$G$130,'試算番号2-1'!$N$11:$N$130,G29)</f>
        <v>3.075679905857769E-3</v>
      </c>
      <c r="J29" s="5">
        <f t="shared" si="8"/>
        <v>2.9868233975105851</v>
      </c>
      <c r="K29" s="1">
        <f t="shared" si="12"/>
        <v>6.7228635921418554E-3</v>
      </c>
      <c r="L29" s="1">
        <f t="shared" si="6"/>
        <v>-5.0000000000000001E-3</v>
      </c>
      <c r="M29" s="1">
        <f t="shared" si="9"/>
        <v>-1.4934116987552926E-2</v>
      </c>
      <c r="N29" s="18">
        <f t="shared" si="14"/>
        <v>0.96978377965734663</v>
      </c>
      <c r="O29" s="10">
        <f>Interpolate_Range('試算番号2-3'!$G$11:$G$130,'試算番号2-3'!$N$11:$N$130,G29)</f>
        <v>9.5235080936559389E-3</v>
      </c>
      <c r="P29" s="1">
        <f t="shared" si="10"/>
        <v>1.7744637532316136E-2</v>
      </c>
      <c r="Q29" s="1">
        <f t="shared" si="7"/>
        <v>-1.6100000000000001E-3</v>
      </c>
      <c r="R29" s="5">
        <f t="shared" si="11"/>
        <v>2.9635705984419145</v>
      </c>
      <c r="S29" s="1">
        <f t="shared" si="1"/>
        <v>1.0227379967346385E-2</v>
      </c>
      <c r="X29">
        <v>4.75</v>
      </c>
      <c r="Y29" s="1">
        <f t="shared" si="4"/>
        <v>1.6948233937030292E-3</v>
      </c>
      <c r="Z29" s="1">
        <f t="shared" si="2"/>
        <v>1.6607313942954248E-3</v>
      </c>
      <c r="AA29" s="1">
        <f t="shared" si="5"/>
        <v>4.9102532486094653E-3</v>
      </c>
      <c r="AB29" s="1">
        <f t="shared" si="3"/>
        <v>4.5479166814954876E-3</v>
      </c>
    </row>
    <row r="30" spans="1:28">
      <c r="A30">
        <v>25</v>
      </c>
      <c r="B30" s="1">
        <v>6.3000000000000003E-4</v>
      </c>
      <c r="E30" s="1"/>
      <c r="G30" s="13">
        <f t="shared" si="13"/>
        <v>3.25</v>
      </c>
      <c r="H30" s="2">
        <f>Interpolate_Range('試算番号2-1'!$G$10:$G$130,'試算番号2-1'!$I$10:$I$130,G30)</f>
        <v>0.98972055158596572</v>
      </c>
      <c r="I30" s="1">
        <f>Interpolate_Range('試算番号2-1'!$G$11:$G$130,'試算番号2-1'!$N$11:$N$130,G30)</f>
        <v>3.8189571411325041E-3</v>
      </c>
      <c r="J30" s="5">
        <f t="shared" si="8"/>
        <v>3.2342535354070767</v>
      </c>
      <c r="K30" s="1">
        <f t="shared" si="12"/>
        <v>7.6677886841930616E-3</v>
      </c>
      <c r="L30" s="1">
        <f t="shared" si="6"/>
        <v>-5.2468749999999998E-3</v>
      </c>
      <c r="M30" s="1">
        <f t="shared" si="9"/>
        <v>-1.6969724018589004E-2</v>
      </c>
      <c r="N30" s="18">
        <f t="shared" si="14"/>
        <v>0.96425202640563235</v>
      </c>
      <c r="O30" s="10">
        <f>Interpolate_Range('試算番号2-3'!$G$11:$G$130,'試算番号2-3'!$N$11:$N$130,G30)</f>
        <v>1.4856748317517116E-2</v>
      </c>
      <c r="P30" s="1">
        <f t="shared" si="10"/>
        <v>2.1326049950057224E-2</v>
      </c>
      <c r="Q30" s="1">
        <f t="shared" si="7"/>
        <v>-1.6100000000000001E-3</v>
      </c>
      <c r="R30" s="5">
        <f t="shared" si="11"/>
        <v>3.2046336050433224</v>
      </c>
      <c r="S30" s="1">
        <f t="shared" si="1"/>
        <v>1.1200793957070968E-2</v>
      </c>
      <c r="X30">
        <v>5</v>
      </c>
      <c r="Y30" s="1">
        <f t="shared" si="4"/>
        <v>1.6802008856298622E-3</v>
      </c>
      <c r="Z30" s="1">
        <f t="shared" si="2"/>
        <v>1.6429099949838936E-3</v>
      </c>
      <c r="AA30" s="1">
        <f t="shared" si="5"/>
        <v>4.9382070644248058E-3</v>
      </c>
      <c r="AB30" s="1">
        <f t="shared" si="3"/>
        <v>4.5389058496133703E-3</v>
      </c>
    </row>
    <row r="31" spans="1:28">
      <c r="A31">
        <v>30</v>
      </c>
      <c r="B31" s="1">
        <v>5.9500000000000004E-4</v>
      </c>
      <c r="E31" s="1"/>
      <c r="G31" s="13">
        <f t="shared" si="13"/>
        <v>3.5</v>
      </c>
      <c r="H31" s="2">
        <f>Interpolate_Range('試算番号2-1'!$G$10:$G$130,'試算番号2-1'!$I$10:$I$130,G31)</f>
        <v>0.9884727812503491</v>
      </c>
      <c r="I31" s="1">
        <f>Interpolate_Range('試算番号2-1'!$G$11:$G$130,'試算番号2-1'!$N$11:$N$130,G31)</f>
        <v>3.7557536668551745E-3</v>
      </c>
      <c r="J31" s="5">
        <f t="shared" si="8"/>
        <v>3.4813717307196641</v>
      </c>
      <c r="K31" s="1">
        <f t="shared" si="12"/>
        <v>8.5959037523849445E-3</v>
      </c>
      <c r="L31" s="1">
        <f t="shared" si="6"/>
        <v>-5.4937500000000004E-3</v>
      </c>
      <c r="M31" s="1">
        <f t="shared" si="9"/>
        <v>-1.9125785945641155E-2</v>
      </c>
      <c r="N31" s="18">
        <f t="shared" si="14"/>
        <v>0.95858384169777411</v>
      </c>
      <c r="O31" s="10">
        <f>Interpolate_Range('試算番号2-3'!$G$11:$G$130,'試算番号2-3'!$N$11:$N$130,G31)</f>
        <v>1.4931599528433126E-2</v>
      </c>
      <c r="P31" s="1">
        <f t="shared" si="10"/>
        <v>2.4904347459721747E-2</v>
      </c>
      <c r="Q31" s="1">
        <f t="shared" si="7"/>
        <v>-1.6100000000000001E-3</v>
      </c>
      <c r="R31" s="5">
        <f t="shared" si="11"/>
        <v>3.4442795654677658</v>
      </c>
      <c r="S31" s="1">
        <f t="shared" si="1"/>
        <v>1.2085213870106234E-2</v>
      </c>
      <c r="X31">
        <v>5.25</v>
      </c>
      <c r="Y31" s="1">
        <f t="shared" si="4"/>
        <v>2.1913733086886475E-3</v>
      </c>
      <c r="Z31" s="1">
        <f t="shared" si="2"/>
        <v>2.1372391008775242E-3</v>
      </c>
      <c r="AA31" s="1">
        <f t="shared" si="5"/>
        <v>5.6998963078860208E-3</v>
      </c>
      <c r="AB31" s="1">
        <f t="shared" si="3"/>
        <v>5.1967346793105173E-3</v>
      </c>
    </row>
    <row r="32" spans="1:28">
      <c r="G32" s="13">
        <f t="shared" si="13"/>
        <v>3.75</v>
      </c>
      <c r="H32" s="2">
        <f>Interpolate_Range('試算番号2-1'!$G$10:$G$130,'試算番号2-1'!$I$10:$I$130,G32)</f>
        <v>0.98708541521129778</v>
      </c>
      <c r="I32" s="1">
        <f>Interpolate_Range('試算番号2-1'!$G$11:$G$130,'試算番号2-1'!$N$11:$N$130,G32)</f>
        <v>4.2588558458574455E-3</v>
      </c>
      <c r="J32" s="5">
        <f t="shared" si="8"/>
        <v>3.7281430845224888</v>
      </c>
      <c r="K32" s="1">
        <f t="shared" si="12"/>
        <v>9.6468673751182593E-3</v>
      </c>
      <c r="L32" s="1">
        <f t="shared" si="6"/>
        <v>-5.7406250000000001E-3</v>
      </c>
      <c r="M32" s="1">
        <f t="shared" si="9"/>
        <v>-2.1401871394586911E-2</v>
      </c>
      <c r="N32" s="18">
        <f t="shared" si="14"/>
        <v>0.95278025568321556</v>
      </c>
      <c r="O32" s="10">
        <f>Interpolate_Range('試算番号2-3'!$G$11:$G$130,'試算番号2-3'!$N$11:$N$130,G32)</f>
        <v>1.500699528935627E-2</v>
      </c>
      <c r="P32" s="1">
        <f t="shared" si="10"/>
        <v>2.8478939661929166E-2</v>
      </c>
      <c r="Q32" s="1">
        <f t="shared" si="7"/>
        <v>-1.6100000000000001E-3</v>
      </c>
      <c r="R32" s="5">
        <f t="shared" si="11"/>
        <v>3.6824746293885697</v>
      </c>
      <c r="S32" s="1">
        <f t="shared" si="1"/>
        <v>1.2898928952138686E-2</v>
      </c>
      <c r="X32">
        <v>5.5</v>
      </c>
      <c r="Y32" s="1">
        <f t="shared" si="4"/>
        <v>2.1868344481817369E-3</v>
      </c>
      <c r="Z32" s="1">
        <f t="shared" si="2"/>
        <v>2.1273255528299201E-3</v>
      </c>
      <c r="AA32" s="1">
        <f t="shared" si="5"/>
        <v>5.7402723034713048E-3</v>
      </c>
      <c r="AB32" s="1">
        <f t="shared" si="3"/>
        <v>5.1906480916753366E-3</v>
      </c>
    </row>
    <row r="33" spans="1:28">
      <c r="G33" s="13">
        <f t="shared" si="13"/>
        <v>4</v>
      </c>
      <c r="H33" s="2">
        <f>Interpolate_Range('試算番号2-1'!$G$10:$G$130,'試算番号2-1'!$I$10:$I$130,G33)</f>
        <v>0.98569804917224657</v>
      </c>
      <c r="I33" s="1">
        <f>Interpolate_Range('試算番号2-1'!$G$11:$G$130,'試算番号2-1'!$N$11:$N$130,G33)</f>
        <v>4.1970352799408743E-3</v>
      </c>
      <c r="J33" s="5">
        <f t="shared" si="8"/>
        <v>3.9745675968155503</v>
      </c>
      <c r="K33" s="1">
        <f t="shared" si="12"/>
        <v>1.0681119747054463E-2</v>
      </c>
      <c r="L33" s="1">
        <f t="shared" si="6"/>
        <v>-5.9874999999999998E-3</v>
      </c>
      <c r="M33" s="1">
        <f t="shared" si="9"/>
        <v>-2.3797723485933106E-2</v>
      </c>
      <c r="N33" s="18">
        <f t="shared" si="14"/>
        <v>0.94684210268683633</v>
      </c>
      <c r="O33" s="10">
        <f>Interpolate_Range('試算番号2-3'!$G$11:$G$130,'試算番号2-3'!$N$11:$N$130,G33)</f>
        <v>1.5082942231309638E-2</v>
      </c>
      <c r="P33" s="1">
        <f t="shared" si="10"/>
        <v>3.2049230846178493E-2</v>
      </c>
      <c r="Q33" s="1">
        <f t="shared" si="7"/>
        <v>-1.6100000000000001E-3</v>
      </c>
      <c r="R33" s="5">
        <f t="shared" si="11"/>
        <v>3.919185155060279</v>
      </c>
      <c r="S33" s="1">
        <f t="shared" si="1"/>
        <v>1.365573348124023E-2</v>
      </c>
      <c r="X33">
        <v>5.75</v>
      </c>
      <c r="Y33" s="1">
        <f t="shared" si="4"/>
        <v>2.4367593219955666E-3</v>
      </c>
      <c r="Z33" s="1">
        <f t="shared" si="2"/>
        <v>2.3637355428957479E-3</v>
      </c>
      <c r="AA33" s="1">
        <f t="shared" si="5"/>
        <v>5.7810956743554395E-3</v>
      </c>
      <c r="AB33" s="1">
        <f t="shared" si="3"/>
        <v>5.1840357767185558E-3</v>
      </c>
    </row>
    <row r="34" spans="1:28">
      <c r="B34" t="s">
        <v>82</v>
      </c>
      <c r="E34" t="s">
        <v>67</v>
      </c>
      <c r="G34" s="13">
        <f t="shared" si="13"/>
        <v>4.25</v>
      </c>
      <c r="H34" s="2">
        <f>Interpolate_Range('試算番号2-1'!$G$10:$G$130,'試算番号2-1'!$I$10:$I$130,G34)</f>
        <v>0.98383080714791338</v>
      </c>
      <c r="I34" s="1">
        <f>Interpolate_Range('試算番号2-1'!$G$11:$G$130,'試算番号2-1'!$N$11:$N$130,G34)</f>
        <v>6.0372366814263213E-3</v>
      </c>
      <c r="J34" s="5">
        <f t="shared" si="8"/>
        <v>4.2205252986025288</v>
      </c>
      <c r="K34" s="1">
        <f t="shared" si="12"/>
        <v>1.2166024606362125E-2</v>
      </c>
      <c r="L34" s="1">
        <f t="shared" si="6"/>
        <v>-6.1631250000000002E-3</v>
      </c>
      <c r="M34" s="1">
        <f t="shared" si="9"/>
        <v>-2.6011624980949711E-2</v>
      </c>
      <c r="N34" s="18">
        <f t="shared" si="14"/>
        <v>0.9400600622540547</v>
      </c>
      <c r="O34" s="10">
        <f>Interpolate_Range('試算番号2-3'!$G$11:$G$130,'試算番号2-3'!$N$11:$N$130,G34)</f>
        <v>1.9420784399043874E-2</v>
      </c>
      <c r="P34" s="1">
        <f t="shared" si="10"/>
        <v>3.6613406793975435E-2</v>
      </c>
      <c r="Q34" s="1">
        <f t="shared" si="7"/>
        <v>-1.6100000000000001E-3</v>
      </c>
      <c r="R34" s="5">
        <f t="shared" si="11"/>
        <v>4.1542001706237928</v>
      </c>
      <c r="S34" s="1">
        <f t="shared" si="1"/>
        <v>1.4543884645740959E-2</v>
      </c>
      <c r="X34">
        <v>6</v>
      </c>
      <c r="Y34" s="1">
        <f t="shared" si="4"/>
        <v>2.4336118179793483E-3</v>
      </c>
      <c r="Z34" s="1">
        <f t="shared" si="2"/>
        <v>2.3539771924246215E-3</v>
      </c>
      <c r="AA34" s="1">
        <f t="shared" si="5"/>
        <v>5.8223745628865316E-3</v>
      </c>
      <c r="AB34" s="1">
        <f t="shared" si="3"/>
        <v>5.1768925900662829E-3</v>
      </c>
    </row>
    <row r="35" spans="1:28">
      <c r="A35">
        <v>1</v>
      </c>
      <c r="B35" s="1">
        <v>-1.6100000000000001E-3</v>
      </c>
      <c r="D35">
        <v>1</v>
      </c>
      <c r="E35" s="1">
        <v>-1.9675000000000001E-3</v>
      </c>
      <c r="G35" s="13">
        <f t="shared" si="13"/>
        <v>4.5</v>
      </c>
      <c r="H35" s="2">
        <f>Interpolate_Range('試算番号2-1'!$G$10:$G$130,'試算番号2-1'!$I$10:$I$130,G35)</f>
        <v>0.98196356512358018</v>
      </c>
      <c r="I35" s="1">
        <f>Interpolate_Range('試算番号2-1'!$G$11:$G$130,'試算番号2-1'!$N$11:$N$130,G35)</f>
        <v>5.975449024518637E-3</v>
      </c>
      <c r="J35" s="5">
        <f t="shared" si="8"/>
        <v>4.4660161898834234</v>
      </c>
      <c r="K35" s="1">
        <f t="shared" si="12"/>
        <v>1.363294291319476E-2</v>
      </c>
      <c r="L35" s="1">
        <f t="shared" si="6"/>
        <v>-6.3387500000000006E-3</v>
      </c>
      <c r="M35" s="1">
        <f t="shared" si="9"/>
        <v>-2.8308960123623553E-2</v>
      </c>
      <c r="N35" s="18">
        <f t="shared" si="14"/>
        <v>0.9331816707514764</v>
      </c>
      <c r="O35" s="10">
        <f>Interpolate_Range('試算番号2-3'!$G$11:$G$130,'試算番号2-3'!$N$11:$N$130,G35)</f>
        <v>1.9530337586730121E-2</v>
      </c>
      <c r="P35" s="1">
        <f t="shared" si="10"/>
        <v>4.1169745058856726E-2</v>
      </c>
      <c r="Q35" s="1">
        <f t="shared" si="7"/>
        <v>-1.6100000000000001E-3</v>
      </c>
      <c r="R35" s="5">
        <f t="shared" si="11"/>
        <v>4.387495588311662</v>
      </c>
      <c r="S35" s="1">
        <f t="shared" si="1"/>
        <v>1.5367862292047514E-2</v>
      </c>
      <c r="X35">
        <v>6.25</v>
      </c>
      <c r="Y35" s="1">
        <f t="shared" si="4"/>
        <v>2.9175815823262933E-3</v>
      </c>
      <c r="Z35" s="1">
        <f t="shared" si="2"/>
        <v>2.8128666063816574E-3</v>
      </c>
      <c r="AA35" s="1">
        <f t="shared" si="5"/>
        <v>6.3038712074176993E-3</v>
      </c>
      <c r="AB35" s="1">
        <f t="shared" si="3"/>
        <v>5.5566401196541371E-3</v>
      </c>
    </row>
    <row r="36" spans="1:28">
      <c r="A36">
        <v>2</v>
      </c>
      <c r="B36" s="1">
        <v>-2.3749999999999999E-3</v>
      </c>
      <c r="D36">
        <v>2</v>
      </c>
      <c r="E36" s="1">
        <v>-3.7499999999999999E-3</v>
      </c>
      <c r="G36" s="13">
        <f t="shared" si="13"/>
        <v>4.75</v>
      </c>
      <c r="H36" s="2">
        <f>Interpolate_Range('試算番号2-1'!$G$10:$G$130,'試算番号2-1'!$I$10:$I$130,G36)</f>
        <v>0.97988463014242644</v>
      </c>
      <c r="I36" s="1">
        <f>Interpolate_Range('試算番号2-1'!$G$11:$G$130,'試算番号2-1'!$N$11:$N$130,G36)</f>
        <v>6.7792935748121168E-3</v>
      </c>
      <c r="J36" s="5">
        <f t="shared" si="8"/>
        <v>4.7109873474190298</v>
      </c>
      <c r="K36" s="1">
        <f t="shared" si="12"/>
        <v>1.5293674307490185E-2</v>
      </c>
      <c r="L36" s="1">
        <f t="shared" si="6"/>
        <v>-6.5143750000000002E-3</v>
      </c>
      <c r="M36" s="1">
        <f t="shared" si="9"/>
        <v>-3.0689138201342843E-2</v>
      </c>
      <c r="N36" s="18">
        <f t="shared" si="14"/>
        <v>0.92620817119430898</v>
      </c>
      <c r="O36" s="10">
        <f>Interpolate_Range('試算番号2-3'!$G$11:$G$130,'試算番号2-3'!$N$11:$N$130,G36)</f>
        <v>1.9641012994437861E-2</v>
      </c>
      <c r="P36" s="1">
        <f t="shared" si="10"/>
        <v>4.5717661740352217E-2</v>
      </c>
      <c r="Q36" s="1">
        <f t="shared" si="7"/>
        <v>-1.6100000000000001E-3</v>
      </c>
      <c r="R36" s="5">
        <f t="shared" si="11"/>
        <v>4.6190476311102389</v>
      </c>
      <c r="S36" s="1">
        <f t="shared" si="1"/>
        <v>1.6138160567566791E-2</v>
      </c>
      <c r="X36">
        <v>6.5</v>
      </c>
      <c r="Y36" s="1">
        <f t="shared" si="4"/>
        <v>2.9217720337187704E-3</v>
      </c>
      <c r="Z36" s="1">
        <f t="shared" si="2"/>
        <v>2.8076498839217298E-3</v>
      </c>
      <c r="AA36" s="1">
        <f t="shared" si="5"/>
        <v>6.3522966095202072E-3</v>
      </c>
      <c r="AB36" s="1">
        <f t="shared" si="3"/>
        <v>5.5504116916675079E-3</v>
      </c>
    </row>
    <row r="37" spans="1:28">
      <c r="A37">
        <v>3</v>
      </c>
      <c r="B37" s="1">
        <v>-2.64E-3</v>
      </c>
      <c r="D37">
        <v>3</v>
      </c>
      <c r="E37" s="1">
        <v>-5.0000000000000001E-3</v>
      </c>
      <c r="G37" s="13">
        <f t="shared" si="13"/>
        <v>5</v>
      </c>
      <c r="H37" s="2">
        <f>Interpolate_Range('試算番号2-1'!$G$10:$G$130,'試算番号2-1'!$I$10:$I$130,G37)</f>
        <v>0.9778056951612728</v>
      </c>
      <c r="I37" s="1">
        <f>Interpolate_Range('試算番号2-1'!$G$11:$G$130,'試算番号2-1'!$N$11:$N$130,G37)</f>
        <v>6.7208035425194487E-3</v>
      </c>
      <c r="J37" s="5">
        <f t="shared" si="8"/>
        <v>4.9554387712093479</v>
      </c>
      <c r="K37" s="1">
        <f t="shared" si="12"/>
        <v>1.6936584302474078E-2</v>
      </c>
      <c r="L37" s="1">
        <f t="shared" si="6"/>
        <v>-6.6900000000000006E-3</v>
      </c>
      <c r="M37" s="1">
        <f t="shared" si="9"/>
        <v>-3.3151885379390539E-2</v>
      </c>
      <c r="N37" s="18">
        <f t="shared" si="14"/>
        <v>0.91914044721048049</v>
      </c>
      <c r="O37" s="10">
        <f>Interpolate_Range('試算番号2-3'!$G$11:$G$130,'試算番号2-3'!$N$11:$N$130,G37)</f>
        <v>1.9752828257699223E-2</v>
      </c>
      <c r="P37" s="1">
        <f t="shared" si="10"/>
        <v>5.0256567589965585E-2</v>
      </c>
      <c r="Q37" s="1">
        <f t="shared" si="7"/>
        <v>-1.6100000000000001E-3</v>
      </c>
      <c r="R37" s="5">
        <f t="shared" si="11"/>
        <v>4.848832742912859</v>
      </c>
      <c r="S37" s="1">
        <f t="shared" si="1"/>
        <v>1.686326843528517E-2</v>
      </c>
      <c r="X37">
        <v>6.75</v>
      </c>
      <c r="Y37" s="1">
        <f t="shared" si="4"/>
        <v>3.20347771835321E-3</v>
      </c>
      <c r="Z37" s="1">
        <f t="shared" si="2"/>
        <v>3.0673547653686448E-3</v>
      </c>
      <c r="AA37" s="1">
        <f t="shared" si="5"/>
        <v>6.4013136747312314E-3</v>
      </c>
      <c r="AB37" s="1">
        <f t="shared" si="3"/>
        <v>5.5437829860537913E-3</v>
      </c>
    </row>
    <row r="38" spans="1:28">
      <c r="A38">
        <v>4</v>
      </c>
      <c r="B38" s="1">
        <v>-2.6800000000000001E-3</v>
      </c>
      <c r="D38">
        <v>4</v>
      </c>
      <c r="E38" s="1">
        <v>-5.9874999999999998E-3</v>
      </c>
      <c r="G38" s="13">
        <f t="shared" si="13"/>
        <v>5.25</v>
      </c>
      <c r="H38" s="2">
        <f>Interpolate_Range('試算番号2-1'!$G$10:$G$130,'試算番号2-1'!$I$10:$I$130,G38)</f>
        <v>0.97529667464850256</v>
      </c>
      <c r="I38" s="1">
        <f>Interpolate_Range('試算番号2-1'!$G$11:$G$130,'試算番号2-1'!$N$11:$N$130,G38)</f>
        <v>8.76549323475459E-3</v>
      </c>
      <c r="J38" s="5">
        <f t="shared" si="8"/>
        <v>5.199262939871474</v>
      </c>
      <c r="K38" s="1">
        <f t="shared" si="12"/>
        <v>1.9073823403351602E-2</v>
      </c>
      <c r="L38" s="1">
        <f t="shared" si="6"/>
        <v>-6.8021875000000009E-3</v>
      </c>
      <c r="M38" s="1">
        <f t="shared" si="9"/>
        <v>-3.5366361378806999E-2</v>
      </c>
      <c r="N38" s="18">
        <f t="shared" si="14"/>
        <v>0.91172442420060162</v>
      </c>
      <c r="O38" s="10">
        <f>Interpolate_Range('試算番号2-3'!$G$11:$G$130,'試算番号2-3'!$N$11:$N$130,G38)</f>
        <v>2.2799585231544083E-2</v>
      </c>
      <c r="P38" s="1">
        <f t="shared" si="10"/>
        <v>5.5453302269276104E-2</v>
      </c>
      <c r="Q38" s="1">
        <f t="shared" si="7"/>
        <v>-1.6100000000000001E-3</v>
      </c>
      <c r="R38" s="5">
        <f t="shared" si="11"/>
        <v>5.0767638489630098</v>
      </c>
      <c r="S38" s="1">
        <f t="shared" si="1"/>
        <v>1.7603333526855929E-2</v>
      </c>
      <c r="X38">
        <v>7</v>
      </c>
      <c r="Y38" s="1">
        <f t="shared" si="4"/>
        <v>3.2096853377866098E-3</v>
      </c>
      <c r="Z38" s="1">
        <f t="shared" si="2"/>
        <v>3.0622797006498309E-3</v>
      </c>
      <c r="AA38" s="1">
        <f t="shared" si="5"/>
        <v>6.4509342350231383E-3</v>
      </c>
      <c r="AB38" s="1">
        <f t="shared" si="3"/>
        <v>5.5367504242387388E-3</v>
      </c>
    </row>
    <row r="39" spans="1:28">
      <c r="A39">
        <v>5</v>
      </c>
      <c r="B39" s="1">
        <v>-2.65E-3</v>
      </c>
      <c r="D39">
        <v>5</v>
      </c>
      <c r="E39" s="1">
        <v>-6.6900000000000006E-3</v>
      </c>
      <c r="G39" s="13">
        <f t="shared" si="13"/>
        <v>5.5</v>
      </c>
      <c r="H39" s="2">
        <f>Interpolate_Range('試算番号2-1'!$G$10:$G$130,'試算番号2-1'!$I$10:$I$130,G39)</f>
        <v>0.9727876541357322</v>
      </c>
      <c r="I39" s="1">
        <f>Interpolate_Range('試算番号2-1'!$G$11:$G$130,'試算番号2-1'!$N$11:$N$130,G39)</f>
        <v>8.7473377927269474E-3</v>
      </c>
      <c r="J39" s="5">
        <f t="shared" si="8"/>
        <v>5.4424598534054072</v>
      </c>
      <c r="K39" s="1">
        <f t="shared" si="12"/>
        <v>2.1201148956181522E-2</v>
      </c>
      <c r="L39" s="1">
        <f t="shared" si="6"/>
        <v>-6.9143750000000004E-3</v>
      </c>
      <c r="M39" s="1">
        <f t="shared" si="9"/>
        <v>-3.7631208348890013E-2</v>
      </c>
      <c r="N39" s="18">
        <f t="shared" si="14"/>
        <v>0.90425119528500497</v>
      </c>
      <c r="O39" s="10">
        <f>Interpolate_Range('試算番号2-3'!$G$11:$G$130,'試算番号2-3'!$N$11:$N$130,G39)</f>
        <v>2.2961089213885219E-2</v>
      </c>
      <c r="P39" s="1">
        <f t="shared" si="10"/>
        <v>6.0643950360951437E-2</v>
      </c>
      <c r="Q39" s="1">
        <f t="shared" si="7"/>
        <v>-1.6100000000000001E-3</v>
      </c>
      <c r="R39" s="5">
        <f t="shared" si="11"/>
        <v>5.3028266477842614</v>
      </c>
      <c r="S39" s="1">
        <f t="shared" si="1"/>
        <v>1.8299652054260734E-2</v>
      </c>
      <c r="X39">
        <v>7.25</v>
      </c>
      <c r="Y39" s="1">
        <f t="shared" si="4"/>
        <v>3.3257730133755721E-3</v>
      </c>
      <c r="Z39" s="1">
        <f t="shared" si="2"/>
        <v>3.1612077713113959E-3</v>
      </c>
      <c r="AA39" s="1">
        <f t="shared" si="5"/>
        <v>6.8930637514870823E-3</v>
      </c>
      <c r="AB39" s="1">
        <f t="shared" si="3"/>
        <v>5.8625371307264021E-3</v>
      </c>
    </row>
    <row r="40" spans="1:28">
      <c r="A40">
        <v>6</v>
      </c>
      <c r="B40" s="1">
        <v>-2.5950000000000001E-3</v>
      </c>
      <c r="D40">
        <v>6</v>
      </c>
      <c r="E40" s="1">
        <v>-7.1387500000000001E-3</v>
      </c>
      <c r="G40" s="13">
        <f t="shared" si="13"/>
        <v>5.75</v>
      </c>
      <c r="H40" s="2">
        <f>Interpolate_Range('試算番号2-1'!$G$10:$G$130,'試算番号2-1'!$I$10:$I$130,G40)</f>
        <v>0.97003242033767356</v>
      </c>
      <c r="I40" s="1">
        <f>Interpolate_Range('試算番号2-1'!$G$11:$G$130,'試算番号2-1'!$N$11:$N$130,G40)</f>
        <v>9.7470372879822666E-3</v>
      </c>
      <c r="J40" s="5">
        <f t="shared" si="8"/>
        <v>5.6849679584898256</v>
      </c>
      <c r="K40" s="1">
        <f t="shared" si="12"/>
        <v>2.356488449907727E-2</v>
      </c>
      <c r="L40" s="1">
        <f t="shared" si="6"/>
        <v>-7.0265624999999998E-3</v>
      </c>
      <c r="M40" s="1">
        <f t="shared" si="9"/>
        <v>-3.9945782670826165E-2</v>
      </c>
      <c r="N40" s="18">
        <f t="shared" si="14"/>
        <v>0.89672201754324843</v>
      </c>
      <c r="O40" s="10">
        <f>Interpolate_Range('試算番号2-3'!$G$11:$G$130,'試算番号2-3'!$N$11:$N$130,G40)</f>
        <v>2.3124382697421758E-2</v>
      </c>
      <c r="P40" s="1">
        <f t="shared" si="10"/>
        <v>6.5827986137669992E-2</v>
      </c>
      <c r="Q40" s="1">
        <f t="shared" si="7"/>
        <v>-1.6100000000000001E-3</v>
      </c>
      <c r="R40" s="5">
        <f t="shared" si="11"/>
        <v>5.5270071521700732</v>
      </c>
      <c r="S40" s="1">
        <f t="shared" si="1"/>
        <v>1.8958150844768634E-2</v>
      </c>
      <c r="X40">
        <v>7.5</v>
      </c>
      <c r="Y40" s="1">
        <f t="shared" si="4"/>
        <v>3.3316395322616917E-3</v>
      </c>
      <c r="Z40" s="1">
        <f t="shared" si="2"/>
        <v>3.1549348916386985E-3</v>
      </c>
      <c r="AA40" s="1">
        <f t="shared" si="5"/>
        <v>6.9494287923169496E-3</v>
      </c>
      <c r="AB40" s="1">
        <f t="shared" si="3"/>
        <v>5.8563193929186321E-3</v>
      </c>
    </row>
    <row r="41" spans="1:28">
      <c r="A41">
        <v>7</v>
      </c>
      <c r="B41" s="1">
        <v>-2.555E-3</v>
      </c>
      <c r="D41">
        <v>7</v>
      </c>
      <c r="E41" s="1">
        <v>-7.3950000000000005E-3</v>
      </c>
      <c r="G41" s="13">
        <f t="shared" si="13"/>
        <v>6</v>
      </c>
      <c r="H41" s="2">
        <f>Interpolate_Range('試算番号2-1'!$G$10:$G$130,'試算番号2-1'!$I$10:$I$130,G41)</f>
        <v>0.96727718653961492</v>
      </c>
      <c r="I41" s="1">
        <f>Interpolate_Range('試算番号2-1'!$G$11:$G$130,'試算番号2-1'!$N$11:$N$130,G41)</f>
        <v>9.7344472719173934E-3</v>
      </c>
      <c r="J41" s="5">
        <f t="shared" si="8"/>
        <v>5.9267872551247294</v>
      </c>
      <c r="K41" s="1">
        <f t="shared" si="12"/>
        <v>2.5918861691501892E-2</v>
      </c>
      <c r="L41" s="1">
        <f t="shared" si="6"/>
        <v>-7.1387500000000001E-3</v>
      </c>
      <c r="M41" s="1">
        <f t="shared" si="9"/>
        <v>-4.2309852517521659E-2</v>
      </c>
      <c r="N41" s="18">
        <f t="shared" si="14"/>
        <v>0.88913767641560992</v>
      </c>
      <c r="O41" s="10">
        <f>Interpolate_Range('試算番号2-3'!$G$11:$G$130,'試算番号2-3'!$N$11:$N$130,G41)</f>
        <v>2.3289498251546126E-2</v>
      </c>
      <c r="P41" s="1">
        <f t="shared" si="10"/>
        <v>7.1004878727736281E-2</v>
      </c>
      <c r="Q41" s="1">
        <f t="shared" si="7"/>
        <v>-1.6100000000000001E-3</v>
      </c>
      <c r="R41" s="5">
        <f t="shared" si="11"/>
        <v>5.7492915712739761</v>
      </c>
      <c r="S41" s="1">
        <f t="shared" si="1"/>
        <v>1.9583864808265475E-2</v>
      </c>
      <c r="X41">
        <v>7.75</v>
      </c>
      <c r="Y41" s="1">
        <f t="shared" si="4"/>
        <v>3.59275631839154E-3</v>
      </c>
      <c r="Z41" s="1">
        <f t="shared" si="2"/>
        <v>3.3885632011585037E-3</v>
      </c>
      <c r="AA41" s="1">
        <f t="shared" si="5"/>
        <v>7.0065520035472442E-3</v>
      </c>
      <c r="AB41" s="1">
        <f t="shared" si="3"/>
        <v>5.8498320874187121E-3</v>
      </c>
    </row>
    <row r="42" spans="1:28">
      <c r="A42">
        <v>8</v>
      </c>
      <c r="B42" s="1">
        <v>-2.4599999999999999E-3</v>
      </c>
      <c r="D42">
        <v>8</v>
      </c>
      <c r="E42" s="1">
        <v>-7.4599999999999996E-3</v>
      </c>
      <c r="G42" s="13">
        <f t="shared" si="13"/>
        <v>6.25</v>
      </c>
      <c r="H42" s="2">
        <f>Interpolate_Range('試算番号2-1'!$G$10:$G$130,'試算番号2-1'!$I$10:$I$130,G42)</f>
        <v>0.96410898102080045</v>
      </c>
      <c r="I42" s="1">
        <f>Interpolate_Range('試算番号2-1'!$G$11:$G$130,'試算番号2-1'!$N$11:$N$130,G42)</f>
        <v>1.1670326329305173E-2</v>
      </c>
      <c r="J42" s="5">
        <f t="shared" si="8"/>
        <v>6.1678145003799294</v>
      </c>
      <c r="K42" s="1">
        <f t="shared" si="12"/>
        <v>2.8731728297883549E-2</v>
      </c>
      <c r="L42" s="1">
        <f t="shared" si="6"/>
        <v>-7.2028125E-3</v>
      </c>
      <c r="M42" s="1">
        <f t="shared" si="9"/>
        <v>-4.4425611381017811E-2</v>
      </c>
      <c r="N42" s="18">
        <f t="shared" si="14"/>
        <v>0.88146472807307619</v>
      </c>
      <c r="O42" s="10">
        <f>Interpolate_Range('試算番号2-3'!$G$11:$G$130,'試算番号2-3'!$N$11:$N$130,G42)</f>
        <v>2.5215484829670797E-2</v>
      </c>
      <c r="P42" s="1">
        <f t="shared" si="10"/>
        <v>7.6561518847390417E-2</v>
      </c>
      <c r="Q42" s="1">
        <f t="shared" si="7"/>
        <v>-1.6100000000000001E-3</v>
      </c>
      <c r="R42" s="5">
        <f t="shared" si="11"/>
        <v>5.9696577532922452</v>
      </c>
      <c r="S42" s="1">
        <f t="shared" si="1"/>
        <v>2.0187246636005497E-2</v>
      </c>
      <c r="X42">
        <v>8</v>
      </c>
      <c r="Y42" s="1">
        <f t="shared" si="4"/>
        <v>3.600768649434529E-3</v>
      </c>
      <c r="Z42" s="1">
        <f t="shared" si="2"/>
        <v>3.3824504616780035E-3</v>
      </c>
      <c r="AA42" s="1">
        <f t="shared" si="5"/>
        <v>7.0644498916919412E-3</v>
      </c>
      <c r="AB42" s="1">
        <f t="shared" si="3"/>
        <v>5.8430730943131986E-3</v>
      </c>
    </row>
    <row r="43" spans="1:28">
      <c r="A43">
        <v>9</v>
      </c>
      <c r="B43" s="1">
        <v>-2.3899999999999998E-3</v>
      </c>
      <c r="D43">
        <v>9</v>
      </c>
      <c r="E43" s="1">
        <v>-7.4000000000000003E-3</v>
      </c>
      <c r="G43" s="13">
        <f t="shared" si="13"/>
        <v>6.5</v>
      </c>
      <c r="H43" s="2">
        <f>Interpolate_Range('試算番号2-1'!$G$10:$G$130,'試算番号2-1'!$I$10:$I$130,G43)</f>
        <v>0.96094077550198598</v>
      </c>
      <c r="I43" s="1">
        <f>Interpolate_Range('試算番号2-1'!$G$11:$G$130,'試算番号2-1'!$N$11:$N$130,G43)</f>
        <v>1.1687088134875082E-2</v>
      </c>
      <c r="J43" s="5">
        <f t="shared" si="8"/>
        <v>6.4080496942554257</v>
      </c>
      <c r="K43" s="1">
        <f t="shared" si="12"/>
        <v>3.1539378181805279E-2</v>
      </c>
      <c r="L43" s="1">
        <f t="shared" si="6"/>
        <v>-7.2668750000000008E-3</v>
      </c>
      <c r="M43" s="1">
        <f t="shared" si="9"/>
        <v>-4.65664961219424E-2</v>
      </c>
      <c r="N43" s="18">
        <f t="shared" si="14"/>
        <v>0.87376456624350451</v>
      </c>
      <c r="O43" s="10">
        <f>Interpolate_Range('試算番号2-3'!$G$11:$G$130,'試算番号2-3'!$N$11:$N$130,G43)</f>
        <v>2.5409186438080829E-2</v>
      </c>
      <c r="P43" s="1">
        <f t="shared" si="10"/>
        <v>8.2111930539057923E-2</v>
      </c>
      <c r="Q43" s="1">
        <f t="shared" si="7"/>
        <v>-1.6100000000000001E-3</v>
      </c>
      <c r="R43" s="5">
        <f t="shared" si="11"/>
        <v>6.1880988948531215</v>
      </c>
      <c r="S43" s="1">
        <f t="shared" si="1"/>
        <v>2.0760663787999643E-2</v>
      </c>
      <c r="X43">
        <v>8.25</v>
      </c>
      <c r="Y43" s="1">
        <f t="shared" si="4"/>
        <v>3.8360617810627396E-3</v>
      </c>
      <c r="Z43" s="1">
        <f t="shared" si="2"/>
        <v>3.5880102526554131E-3</v>
      </c>
      <c r="AA43" s="1">
        <f t="shared" si="5"/>
        <v>7.4307364816166939E-3</v>
      </c>
      <c r="AB43" s="1">
        <f t="shared" si="3"/>
        <v>6.0878820992123954E-3</v>
      </c>
    </row>
    <row r="44" spans="1:28">
      <c r="A44">
        <v>10</v>
      </c>
      <c r="B44" s="1">
        <v>-2.3400000000000001E-3</v>
      </c>
      <c r="D44">
        <v>10</v>
      </c>
      <c r="E44" s="1">
        <v>-7.20625E-3</v>
      </c>
      <c r="G44" s="13">
        <f t="shared" si="13"/>
        <v>6.75</v>
      </c>
      <c r="H44" s="2">
        <f>Interpolate_Range('試算番号2-1'!$G$10:$G$130,'試算番号2-1'!$I$10:$I$130,G44)</f>
        <v>0.95750775720876835</v>
      </c>
      <c r="I44" s="1">
        <f>Interpolate_Range('試算番号2-1'!$G$11:$G$130,'試算番号2-1'!$N$11:$N$130,G44)</f>
        <v>1.281391087341284E-2</v>
      </c>
      <c r="J44" s="5">
        <f t="shared" si="8"/>
        <v>6.6474266335576182</v>
      </c>
      <c r="K44" s="1">
        <f t="shared" si="12"/>
        <v>3.4606732947173924E-2</v>
      </c>
      <c r="L44" s="1">
        <f t="shared" si="6"/>
        <v>-7.3309375000000006E-3</v>
      </c>
      <c r="M44" s="1">
        <f t="shared" si="9"/>
        <v>-4.8731869186446307E-2</v>
      </c>
      <c r="N44" s="18">
        <f t="shared" si="14"/>
        <v>0.86603832709175199</v>
      </c>
      <c r="O44" s="10">
        <f>Interpolate_Range('試算番号2-3'!$G$11:$G$130,'試算番号2-3'!$N$11:$N$130,G44)</f>
        <v>2.5605254698924926E-2</v>
      </c>
      <c r="P44" s="1">
        <f t="shared" si="10"/>
        <v>8.7655713525111714E-2</v>
      </c>
      <c r="Q44" s="1">
        <f t="shared" si="7"/>
        <v>-1.6100000000000001E-3</v>
      </c>
      <c r="R44" s="5">
        <f t="shared" si="11"/>
        <v>6.4046084766260591</v>
      </c>
      <c r="S44" s="1">
        <f t="shared" si="1"/>
        <v>2.1307572412936036E-2</v>
      </c>
      <c r="X44">
        <v>8.5</v>
      </c>
      <c r="Y44" s="1">
        <f t="shared" si="4"/>
        <v>3.8447848378509943E-3</v>
      </c>
      <c r="Z44" s="1">
        <f t="shared" si="2"/>
        <v>3.5806667939635717E-3</v>
      </c>
      <c r="AA44" s="1">
        <f t="shared" si="5"/>
        <v>7.4954434887903737E-3</v>
      </c>
      <c r="AB44" s="1">
        <f t="shared" si="3"/>
        <v>6.0823108985209491E-3</v>
      </c>
    </row>
    <row r="45" spans="1:28">
      <c r="A45">
        <v>12</v>
      </c>
      <c r="B45" s="1">
        <v>-2.2199999999999998E-3</v>
      </c>
      <c r="D45">
        <v>12</v>
      </c>
      <c r="E45" s="1">
        <v>-6.6387500000000006E-3</v>
      </c>
      <c r="G45" s="13">
        <f t="shared" si="13"/>
        <v>7</v>
      </c>
      <c r="H45" s="2">
        <f>Interpolate_Range('試算番号2-1'!$G$10:$G$130,'試算番号2-1'!$I$10:$I$130,G45)</f>
        <v>0.95407473891555072</v>
      </c>
      <c r="I45" s="1">
        <f>Interpolate_Range('試算番号2-1'!$G$11:$G$130,'試算番号2-1'!$N$11:$N$130,G45)</f>
        <v>1.2838741351146439E-2</v>
      </c>
      <c r="J45" s="5">
        <f t="shared" si="8"/>
        <v>6.885945318286506</v>
      </c>
      <c r="K45" s="1">
        <f t="shared" si="12"/>
        <v>3.7669012647823755E-2</v>
      </c>
      <c r="L45" s="1">
        <f t="shared" si="6"/>
        <v>-7.3950000000000005E-3</v>
      </c>
      <c r="M45" s="1">
        <f t="shared" si="9"/>
        <v>-5.0921565628728717E-2</v>
      </c>
      <c r="N45" s="18">
        <f t="shared" si="14"/>
        <v>0.8582866019899642</v>
      </c>
      <c r="O45" s="10">
        <f>Interpolate_Range('試算番号2-3'!$G$11:$G$130,'試算番号2-3'!$N$11:$N$130,G45)</f>
        <v>2.5803736940092553E-2</v>
      </c>
      <c r="P45" s="1">
        <f t="shared" si="10"/>
        <v>9.3192463949350449E-2</v>
      </c>
      <c r="Q45" s="1">
        <f t="shared" si="7"/>
        <v>-1.6100000000000001E-3</v>
      </c>
      <c r="R45" s="5">
        <f t="shared" si="11"/>
        <v>6.61918012712355</v>
      </c>
      <c r="S45" s="1">
        <f t="shared" si="1"/>
        <v>2.1831028616870123E-2</v>
      </c>
      <c r="X45">
        <v>8.75</v>
      </c>
      <c r="Y45" s="1">
        <f t="shared" si="4"/>
        <v>4.1043810041351174E-3</v>
      </c>
      <c r="Z45" s="1">
        <f t="shared" si="2"/>
        <v>3.8049307350713352E-3</v>
      </c>
      <c r="AA45" s="1">
        <f t="shared" si="5"/>
        <v>7.5610849175804518E-3</v>
      </c>
      <c r="AB45" s="1">
        <f t="shared" si="3"/>
        <v>6.0765569409021525E-3</v>
      </c>
    </row>
    <row r="46" spans="1:28">
      <c r="A46">
        <v>15</v>
      </c>
      <c r="B46" s="1">
        <v>-2.1149999999999997E-3</v>
      </c>
      <c r="D46">
        <v>15</v>
      </c>
      <c r="E46" s="1">
        <v>-5.6662500000000003E-3</v>
      </c>
      <c r="G46" s="13">
        <f t="shared" si="13"/>
        <v>7.25</v>
      </c>
      <c r="H46" s="2">
        <f>Interpolate_Range('試算番号2-1'!$G$10:$G$130,'試算番号2-1'!$I$10:$I$130,G46)</f>
        <v>0.9505181979039673</v>
      </c>
      <c r="I46" s="1">
        <f>Interpolate_Range('試算番号2-1'!$G$11:$G$130,'試算番号2-1'!$N$11:$N$130,G46)</f>
        <v>1.3303092053502288E-2</v>
      </c>
      <c r="J46" s="5">
        <f t="shared" si="8"/>
        <v>7.1235748677624979</v>
      </c>
      <c r="K46" s="1">
        <f t="shared" si="12"/>
        <v>4.0830220419135151E-2</v>
      </c>
      <c r="L46" s="1">
        <f t="shared" si="6"/>
        <v>-7.4112500000000003E-3</v>
      </c>
      <c r="M46" s="1">
        <f t="shared" si="9"/>
        <v>-5.2794594238704813E-2</v>
      </c>
      <c r="N46" s="18">
        <f t="shared" si="14"/>
        <v>0.85049802846544709</v>
      </c>
      <c r="O46" s="10">
        <f>Interpolate_Range('試算番号2-3'!$G$11:$G$130,'試算番号2-3'!$N$11:$N$130,G46)</f>
        <v>2.7572255005948329E-2</v>
      </c>
      <c r="P46" s="1">
        <f t="shared" si="10"/>
        <v>9.9055001080076852E-2</v>
      </c>
      <c r="Q46" s="1">
        <f t="shared" si="7"/>
        <v>-1.6100000000000001E-3</v>
      </c>
      <c r="R46" s="5">
        <f t="shared" si="11"/>
        <v>6.8318046342399121</v>
      </c>
      <c r="S46" s="1">
        <f t="shared" si="1"/>
        <v>2.2335611756929778E-2</v>
      </c>
      <c r="X46">
        <v>9</v>
      </c>
      <c r="Y46" s="1">
        <f t="shared" si="4"/>
        <v>4.1155939497268855E-3</v>
      </c>
      <c r="Z46" s="1">
        <f t="shared" si="2"/>
        <v>3.7977785624427676E-3</v>
      </c>
      <c r="AA46" s="1">
        <f t="shared" si="5"/>
        <v>7.6276825889268155E-3</v>
      </c>
      <c r="AB46" s="1">
        <f t="shared" si="3"/>
        <v>6.0706192565195445E-3</v>
      </c>
    </row>
    <row r="47" spans="1:28">
      <c r="A47">
        <v>20</v>
      </c>
      <c r="B47" s="1">
        <v>-1.9499999999999999E-3</v>
      </c>
      <c r="D47">
        <v>20</v>
      </c>
      <c r="E47" s="1">
        <v>-4.0887500000000004E-3</v>
      </c>
      <c r="G47" s="13">
        <f t="shared" si="13"/>
        <v>7.5</v>
      </c>
      <c r="H47" s="2">
        <f>Interpolate_Range('試算番号2-1'!$G$10:$G$130,'試算番号2-1'!$I$10:$I$130,G47)</f>
        <v>0.94696165689238387</v>
      </c>
      <c r="I47" s="1">
        <f>Interpolate_Range('試算番号2-1'!$G$11:$G$130,'試算番号2-1'!$N$11:$N$130,G47)</f>
        <v>1.3326558129046767E-2</v>
      </c>
      <c r="J47" s="5">
        <f t="shared" si="8"/>
        <v>7.3603152819855939</v>
      </c>
      <c r="K47" s="1">
        <f t="shared" si="12"/>
        <v>4.3985155310773849E-2</v>
      </c>
      <c r="L47" s="1">
        <f t="shared" si="6"/>
        <v>-7.4275000000000001E-3</v>
      </c>
      <c r="M47" s="1">
        <f t="shared" si="9"/>
        <v>-5.4668741756947997E-2</v>
      </c>
      <c r="N47" s="18">
        <f t="shared" si="14"/>
        <v>0.84270514425490306</v>
      </c>
      <c r="O47" s="10">
        <f>Interpolate_Range('試算番号2-3'!$G$11:$G$130,'試算番号2-3'!$N$11:$N$130,G47)</f>
        <v>2.7797715169267798E-2</v>
      </c>
      <c r="P47" s="1">
        <f t="shared" si="10"/>
        <v>0.10491132047299548</v>
      </c>
      <c r="Q47" s="1">
        <f t="shared" si="7"/>
        <v>-1.6100000000000001E-3</v>
      </c>
      <c r="R47" s="5">
        <f t="shared" si="11"/>
        <v>7.042480920303638</v>
      </c>
      <c r="S47" s="1">
        <f t="shared" si="1"/>
        <v>2.2818420230808181E-2</v>
      </c>
      <c r="X47">
        <v>9.25</v>
      </c>
      <c r="Y47" s="1">
        <f t="shared" si="4"/>
        <v>4.2474820111151777E-3</v>
      </c>
      <c r="Z47" s="1">
        <f t="shared" si="2"/>
        <v>3.9008950872722742E-3</v>
      </c>
      <c r="AA47" s="1">
        <f t="shared" si="5"/>
        <v>7.7965475889116296E-3</v>
      </c>
      <c r="AB47" s="1">
        <f t="shared" si="3"/>
        <v>6.1460136888058505E-3</v>
      </c>
    </row>
    <row r="48" spans="1:28">
      <c r="A48">
        <v>25</v>
      </c>
      <c r="B48" s="1">
        <v>-1.8699999999999999E-3</v>
      </c>
      <c r="D48">
        <v>25</v>
      </c>
      <c r="E48" s="1">
        <v>-3.0500000000000002E-3</v>
      </c>
      <c r="G48" s="13">
        <f t="shared" si="13"/>
        <v>7.75</v>
      </c>
      <c r="H48" s="2">
        <f>Interpolate_Range('試算番号2-1'!$G$10:$G$130,'試算番号2-1'!$I$10:$I$130,G48)</f>
        <v>0.94316533069950803</v>
      </c>
      <c r="I48" s="1">
        <f>Interpolate_Range('試算番号2-1'!$G$11:$G$130,'試算番号2-1'!$N$11:$N$130,G48)</f>
        <v>1.437102527356616E-2</v>
      </c>
      <c r="J48" s="5">
        <f t="shared" si="8"/>
        <v>7.5961066146604708</v>
      </c>
      <c r="K48" s="1">
        <f t="shared" si="12"/>
        <v>4.7373718511932353E-2</v>
      </c>
      <c r="L48" s="1">
        <f t="shared" si="6"/>
        <v>-7.4437499999999998E-3</v>
      </c>
      <c r="M48" s="1">
        <f t="shared" si="9"/>
        <v>-5.6543518612878881E-2</v>
      </c>
      <c r="N48" s="18">
        <f t="shared" si="14"/>
        <v>0.83490882312114245</v>
      </c>
      <c r="O48" s="10">
        <f>Interpolate_Range('試算番号2-3'!$G$11:$G$130,'試算番号2-3'!$N$11:$N$130,G48)</f>
        <v>2.8026208014188977E-2</v>
      </c>
      <c r="P48" s="1">
        <f t="shared" si="10"/>
        <v>0.11076115256041419</v>
      </c>
      <c r="Q48" s="1">
        <f t="shared" si="7"/>
        <v>-1.6100000000000001E-3</v>
      </c>
      <c r="R48" s="5">
        <f t="shared" si="11"/>
        <v>7.2512081260839238</v>
      </c>
      <c r="S48" s="1">
        <f t="shared" si="1"/>
        <v>2.3281645672291761E-2</v>
      </c>
      <c r="X48">
        <v>9.5</v>
      </c>
      <c r="Y48" s="1">
        <f t="shared" si="4"/>
        <v>4.2600400065384977E-3</v>
      </c>
      <c r="Z48" s="1">
        <f t="shared" si="2"/>
        <v>3.8937865744634735E-3</v>
      </c>
      <c r="AA48" s="1">
        <f t="shared" si="5"/>
        <v>7.8662374008066655E-3</v>
      </c>
      <c r="AB48" s="1">
        <f t="shared" si="3"/>
        <v>6.141615749606086E-3</v>
      </c>
    </row>
    <row r="49" spans="1:28">
      <c r="A49">
        <v>30</v>
      </c>
      <c r="B49" s="1">
        <v>-1.83E-3</v>
      </c>
      <c r="D49">
        <v>30</v>
      </c>
      <c r="E49" s="1">
        <v>-2.4437500000000002E-3</v>
      </c>
      <c r="G49" s="13">
        <f t="shared" si="13"/>
        <v>8</v>
      </c>
      <c r="H49" s="2">
        <f>Interpolate_Range('試算番号2-1'!$G$10:$G$130,'試算番号2-1'!$I$10:$I$130,G49)</f>
        <v>0.93936900450663208</v>
      </c>
      <c r="I49" s="1">
        <f>Interpolate_Range('試算番号2-1'!$G$11:$G$130,'試算番号2-1'!$N$11:$N$130,G49)</f>
        <v>1.4403074597738116E-2</v>
      </c>
      <c r="J49" s="5">
        <f t="shared" si="8"/>
        <v>7.8309488657871285</v>
      </c>
      <c r="K49" s="1">
        <f t="shared" si="12"/>
        <v>5.0756168973610356E-2</v>
      </c>
      <c r="L49" s="1">
        <f t="shared" si="6"/>
        <v>-7.4599999999999996E-3</v>
      </c>
      <c r="M49" s="1">
        <f t="shared" si="9"/>
        <v>-5.8418878538771972E-2</v>
      </c>
      <c r="N49" s="18">
        <f t="shared" si="14"/>
        <v>0.82710942591366843</v>
      </c>
      <c r="O49" s="10">
        <f>Interpolate_Range('試算番号2-3'!$G$11:$G$130,'試算番号2-3'!$N$11:$N$130,G49)</f>
        <v>2.8257799566767765E-2</v>
      </c>
      <c r="P49" s="1">
        <f t="shared" si="10"/>
        <v>0.11660422565472739</v>
      </c>
      <c r="Q49" s="1">
        <f t="shared" si="7"/>
        <v>-1.6100000000000001E-3</v>
      </c>
      <c r="R49" s="5">
        <f t="shared" si="11"/>
        <v>7.4579854825623411</v>
      </c>
      <c r="S49" s="1">
        <f t="shared" si="1"/>
        <v>2.3727284501022634E-2</v>
      </c>
      <c r="X49">
        <v>9.75</v>
      </c>
      <c r="Y49" s="1">
        <f t="shared" si="4"/>
        <v>4.5065605222022465E-3</v>
      </c>
      <c r="Z49" s="1">
        <f t="shared" si="2"/>
        <v>4.0984384257356787E-3</v>
      </c>
      <c r="AA49" s="1">
        <f t="shared" si="5"/>
        <v>7.9369938735036269E-3</v>
      </c>
      <c r="AB49" s="1">
        <f t="shared" si="3"/>
        <v>6.1371887468028748E-3</v>
      </c>
    </row>
    <row r="50" spans="1:28">
      <c r="G50" s="13">
        <f t="shared" si="13"/>
        <v>8.25</v>
      </c>
      <c r="H50" s="2">
        <f>Interpolate_Range('試算番号2-1'!$G$10:$G$130,'試算番号2-1'!$I$10:$I$130,G50)</f>
        <v>0.9353369307992202</v>
      </c>
      <c r="I50" s="1">
        <f>Interpolate_Range('試算番号2-1'!$G$11:$G$130,'試算番号2-1'!$N$11:$N$130,G50)</f>
        <v>1.5344247124250959E-2</v>
      </c>
      <c r="J50" s="5">
        <f t="shared" si="8"/>
        <v>8.0647830984869326</v>
      </c>
      <c r="K50" s="1">
        <f t="shared" si="12"/>
        <v>5.4344179226265769E-2</v>
      </c>
      <c r="L50" s="1">
        <f t="shared" si="6"/>
        <v>-7.4450000000000002E-3</v>
      </c>
      <c r="M50" s="1">
        <f t="shared" si="9"/>
        <v>-6.0042310168235212E-2</v>
      </c>
      <c r="N50" s="18">
        <f t="shared" si="14"/>
        <v>0.81928381046394805</v>
      </c>
      <c r="O50" s="10">
        <f>Interpolate_Range('試算番号2-3'!$G$11:$G$130,'試算番号2-3'!$N$11:$N$130,G50)</f>
        <v>2.9722945926466775E-2</v>
      </c>
      <c r="P50" s="1">
        <f t="shared" si="10"/>
        <v>0.12269210775393978</v>
      </c>
      <c r="Q50" s="1">
        <f t="shared" si="7"/>
        <v>-1.6100000000000001E-3</v>
      </c>
      <c r="R50" s="5">
        <f t="shared" si="11"/>
        <v>7.6628064351783278</v>
      </c>
      <c r="S50" s="1">
        <f t="shared" si="1"/>
        <v>2.4160572392087271E-2</v>
      </c>
      <c r="X50">
        <v>10</v>
      </c>
      <c r="Y50" s="33">
        <f>1+Interpolate_Range($G$19:$G$137,$I$19:$I$137,X50)/4</f>
        <v>1.0045217734298684</v>
      </c>
      <c r="Z50" s="32">
        <f t="shared" si="2"/>
        <v>0.90894216668270744</v>
      </c>
      <c r="AA50" s="33">
        <f>1+Interpolate_Range($G$19:$G$137,$O$19:$O$137,X50)/4</f>
        <v>1.0080088430999503</v>
      </c>
      <c r="AB50" s="32">
        <f t="shared" si="3"/>
        <v>0.77187796002269382</v>
      </c>
    </row>
    <row r="51" spans="1:28">
      <c r="G51" s="13">
        <f t="shared" si="13"/>
        <v>8.5</v>
      </c>
      <c r="H51" s="2">
        <f>Interpolate_Range('試算番号2-1'!$G$10:$G$130,'試算番号2-1'!$I$10:$I$130,G51)</f>
        <v>0.93130485709180832</v>
      </c>
      <c r="I51" s="1">
        <f>Interpolate_Range('試算番号2-1'!$G$11:$G$130,'試算番号2-1'!$N$11:$N$130,G51)</f>
        <v>1.5379139351403977E-2</v>
      </c>
      <c r="J51" s="5">
        <f t="shared" si="8"/>
        <v>8.2976093127598851</v>
      </c>
      <c r="K51" s="1">
        <f t="shared" si="12"/>
        <v>5.7924846020229341E-2</v>
      </c>
      <c r="L51" s="1">
        <f t="shared" ref="L51:L82" si="15">Interpolate_Range($D$35:$D$49,$E$35:$E$49,G51)</f>
        <v>-7.43E-3</v>
      </c>
      <c r="M51" s="1">
        <f t="shared" si="9"/>
        <v>-6.1651237193805948E-2</v>
      </c>
      <c r="N51" s="18">
        <f t="shared" si="14"/>
        <v>0.81146778140842502</v>
      </c>
      <c r="O51" s="10">
        <f>Interpolate_Range('試算番号2-3'!$G$11:$G$130,'試算番号2-3'!$N$11:$N$130,G51)</f>
        <v>2.9981773955161495E-2</v>
      </c>
      <c r="P51" s="1">
        <f t="shared" si="10"/>
        <v>0.12877441865246073</v>
      </c>
      <c r="Q51" s="1">
        <f t="shared" ref="Q51:Q82" si="16">Interpolate_Range($A$35:$A$49,$B$35:$B$49,L51)</f>
        <v>-1.6100000000000001E-3</v>
      </c>
      <c r="R51" s="5">
        <f t="shared" si="11"/>
        <v>7.865673380530434</v>
      </c>
      <c r="S51" s="1">
        <f t="shared" si="1"/>
        <v>2.4577717097818936E-2</v>
      </c>
    </row>
    <row r="52" spans="1:28">
      <c r="E52" t="s">
        <v>83</v>
      </c>
      <c r="G52" s="13">
        <f t="shared" si="13"/>
        <v>8.75</v>
      </c>
      <c r="H52" s="2">
        <f>Interpolate_Range('試算番号2-1'!$G$10:$G$130,'試算番号2-1'!$I$10:$I$130,G52)</f>
        <v>0.92704130811391794</v>
      </c>
      <c r="I52" s="1">
        <f>Interpolate_Range('試算番号2-1'!$G$11:$G$130,'試算番号2-1'!$N$11:$N$130,G52)</f>
        <v>1.641752401654047E-2</v>
      </c>
      <c r="J52" s="5">
        <f t="shared" si="8"/>
        <v>8.5293696397883654</v>
      </c>
      <c r="K52" s="1">
        <f t="shared" si="12"/>
        <v>6.1729776755300676E-2</v>
      </c>
      <c r="L52" s="1">
        <f t="shared" si="15"/>
        <v>-7.4149999999999997E-3</v>
      </c>
      <c r="M52" s="1">
        <f t="shared" si="9"/>
        <v>-6.3245275879030727E-2</v>
      </c>
      <c r="N52" s="18">
        <f t="shared" si="14"/>
        <v>0.80366204151118725</v>
      </c>
      <c r="O52" s="10">
        <f>Interpolate_Range('試算番号2-3'!$G$11:$G$130,'試算番号2-3'!$N$11:$N$130,G52)</f>
        <v>3.0244339670321807E-2</v>
      </c>
      <c r="P52" s="1">
        <f t="shared" ref="P52:P83" si="17">P51+O52*N52*0.25</f>
        <v>0.13485097559336287</v>
      </c>
      <c r="Q52" s="1">
        <f t="shared" si="16"/>
        <v>-1.6100000000000001E-3</v>
      </c>
      <c r="R52" s="5">
        <f t="shared" ref="R52:R83" si="18">R51+N52*0.25</f>
        <v>8.0665888909082302</v>
      </c>
      <c r="S52" s="1">
        <f t="shared" si="1"/>
        <v>2.4980165091725164E-2</v>
      </c>
    </row>
    <row r="53" spans="1:28">
      <c r="D53" s="13">
        <v>0</v>
      </c>
      <c r="E53">
        <v>129.38999999999999</v>
      </c>
      <c r="F53" s="36"/>
      <c r="G53" s="13">
        <f t="shared" si="13"/>
        <v>9</v>
      </c>
      <c r="H53" s="2">
        <f>Interpolate_Range('試算番号2-1'!$G$10:$G$130,'試算番号2-1'!$I$10:$I$130,G53)</f>
        <v>0.92277775913602744</v>
      </c>
      <c r="I53" s="1">
        <f>Interpolate_Range('試算番号2-1'!$G$11:$G$130,'試算番号2-1'!$N$11:$N$130,G53)</f>
        <v>1.6462375798907542E-2</v>
      </c>
      <c r="J53" s="5">
        <f t="shared" si="8"/>
        <v>8.7600640795723717</v>
      </c>
      <c r="K53" s="1">
        <f t="shared" si="12"/>
        <v>6.5527555317743444E-2</v>
      </c>
      <c r="L53" s="1">
        <f t="shared" si="15"/>
        <v>-7.4000000000000003E-3</v>
      </c>
      <c r="M53" s="1">
        <f t="shared" si="9"/>
        <v>-6.4824474188835551E-2</v>
      </c>
      <c r="N53" s="18">
        <f t="shared" si="14"/>
        <v>0.79586678991235482</v>
      </c>
      <c r="O53" s="10">
        <f>Interpolate_Range('試算番号2-3'!$G$11:$G$130,'試算番号2-3'!$N$11:$N$130,G53)</f>
        <v>3.0510730355707262E-2</v>
      </c>
      <c r="P53" s="1">
        <f t="shared" si="17"/>
        <v>0.14092159484988243</v>
      </c>
      <c r="Q53" s="1">
        <f t="shared" si="16"/>
        <v>-1.6100000000000001E-3</v>
      </c>
      <c r="R53" s="5">
        <f t="shared" si="18"/>
        <v>8.2655555883863183</v>
      </c>
      <c r="S53" s="1">
        <f t="shared" si="1"/>
        <v>2.5369272944284243E-2</v>
      </c>
    </row>
    <row r="54" spans="1:28">
      <c r="D54" s="13">
        <f>7/365</f>
        <v>1.9178082191780823E-2</v>
      </c>
      <c r="E54">
        <v>129.38829999999999</v>
      </c>
      <c r="F54" s="36"/>
      <c r="G54" s="13">
        <f t="shared" si="13"/>
        <v>9.25</v>
      </c>
      <c r="H54" s="2">
        <f>Interpolate_Range('試算番号2-1'!$G$10:$G$130,'試算番号2-1'!$I$10:$I$130,G54)</f>
        <v>0.91840179124104004</v>
      </c>
      <c r="I54" s="1">
        <f>Interpolate_Range('試算番号2-1'!$G$11:$G$130,'試算番号2-1'!$N$11:$N$130,G54)</f>
        <v>1.6989928044460711E-2</v>
      </c>
      <c r="J54" s="5">
        <f t="shared" si="8"/>
        <v>8.9896645273826312</v>
      </c>
      <c r="K54" s="1">
        <f t="shared" si="12"/>
        <v>6.9428450405015718E-2</v>
      </c>
      <c r="L54" s="1">
        <f t="shared" si="15"/>
        <v>-7.3515625000000005E-3</v>
      </c>
      <c r="M54" s="1">
        <f t="shared" si="9"/>
        <v>-6.6088080627086376E-2</v>
      </c>
      <c r="N54" s="18">
        <f t="shared" si="14"/>
        <v>0.78829938748104433</v>
      </c>
      <c r="O54" s="10">
        <f>Interpolate_Range('試算番号2-3'!$G$11:$G$130,'試算番号2-3'!$N$11:$N$130,G54)</f>
        <v>3.1186190355646518E-2</v>
      </c>
      <c r="P54" s="1">
        <f t="shared" si="17"/>
        <v>0.14706760853868828</v>
      </c>
      <c r="Q54" s="1">
        <f t="shared" si="16"/>
        <v>-1.6100000000000001E-3</v>
      </c>
      <c r="R54" s="5">
        <f t="shared" si="18"/>
        <v>8.46263043525658</v>
      </c>
      <c r="S54" s="1">
        <f t="shared" si="1"/>
        <v>2.5716467884224735E-2</v>
      </c>
    </row>
    <row r="55" spans="1:28">
      <c r="D55" s="13">
        <f>14/365</f>
        <v>3.8356164383561646E-2</v>
      </c>
      <c r="E55">
        <v>129.38679999999999</v>
      </c>
      <c r="F55" s="36"/>
      <c r="G55" s="13">
        <f t="shared" si="13"/>
        <v>9.5</v>
      </c>
      <c r="H55" s="2">
        <f>Interpolate_Range('試算番号2-1'!$G$10:$G$130,'試算番号2-1'!$I$10:$I$130,G55)</f>
        <v>0.91402582334605254</v>
      </c>
      <c r="I55" s="1">
        <f>Interpolate_Range('試算番号2-1'!$G$11:$G$130,'試算番号2-1'!$N$11:$N$130,G55)</f>
        <v>1.7040160026153991E-2</v>
      </c>
      <c r="J55" s="5">
        <f t="shared" si="8"/>
        <v>9.2181709832191441</v>
      </c>
      <c r="K55" s="1">
        <f t="shared" si="12"/>
        <v>7.3322236979479191E-2</v>
      </c>
      <c r="L55" s="1">
        <f t="shared" si="15"/>
        <v>-7.3031250000000006E-3</v>
      </c>
      <c r="M55" s="1">
        <f t="shared" si="9"/>
        <v>-6.7321454961822319E-2</v>
      </c>
      <c r="N55" s="18">
        <f t="shared" si="14"/>
        <v>0.78075647055557673</v>
      </c>
      <c r="O55" s="10">
        <f>Interpolate_Range('試算番号2-3'!$G$11:$G$130,'試算番号2-3'!$N$11:$N$130,G55)</f>
        <v>3.1464949603226662E-2</v>
      </c>
      <c r="P55" s="1">
        <f t="shared" si="17"/>
        <v>0.15320922428829437</v>
      </c>
      <c r="Q55" s="1">
        <f t="shared" si="16"/>
        <v>-1.6100000000000001E-3</v>
      </c>
      <c r="R55" s="5">
        <f t="shared" si="18"/>
        <v>8.6578195528954733</v>
      </c>
      <c r="S55" s="1">
        <f t="shared" si="1"/>
        <v>2.6051788972429393E-2</v>
      </c>
    </row>
    <row r="56" spans="1:28">
      <c r="D56" s="13">
        <f>21/365</f>
        <v>5.7534246575342465E-2</v>
      </c>
      <c r="E56">
        <v>129.3852</v>
      </c>
      <c r="F56" s="36"/>
      <c r="G56" s="13">
        <f t="shared" si="13"/>
        <v>9.75</v>
      </c>
      <c r="H56" s="2">
        <f>Interpolate_Range('試算番号2-1'!$G$10:$G$130,'試算番号2-1'!$I$10:$I$130,G56)</f>
        <v>0.90943823022992964</v>
      </c>
      <c r="I56" s="1">
        <f>Interpolate_Range('試算番号2-1'!$G$11:$G$130,'試算番号2-1'!$N$11:$N$130,G56)</f>
        <v>1.8026242088808986E-2</v>
      </c>
      <c r="J56" s="5">
        <f t="shared" si="8"/>
        <v>9.4455305407766268</v>
      </c>
      <c r="K56" s="1">
        <f t="shared" si="12"/>
        <v>7.742067540521487E-2</v>
      </c>
      <c r="L56" s="1">
        <f t="shared" si="15"/>
        <v>-7.2546874999999999E-3</v>
      </c>
      <c r="M56" s="1">
        <f t="shared" si="9"/>
        <v>-6.8524372345040427E-2</v>
      </c>
      <c r="N56" s="18">
        <f t="shared" si="14"/>
        <v>0.77323843820654681</v>
      </c>
      <c r="O56" s="10">
        <f>Interpolate_Range('試算番号2-3'!$G$11:$G$130,'試算番号2-3'!$N$11:$N$130,G56)</f>
        <v>3.1747975494014508E-2</v>
      </c>
      <c r="P56" s="1">
        <f t="shared" si="17"/>
        <v>0.15934641303509725</v>
      </c>
      <c r="Q56" s="1">
        <f t="shared" si="16"/>
        <v>-1.6100000000000001E-3</v>
      </c>
      <c r="R56" s="5">
        <f t="shared" si="18"/>
        <v>8.8511291624471102</v>
      </c>
      <c r="S56" s="1">
        <f t="shared" si="1"/>
        <v>2.6376186639482577E-2</v>
      </c>
    </row>
    <row r="57" spans="1:28">
      <c r="D57" s="13">
        <f>1/12</f>
        <v>8.3333333333333329E-2</v>
      </c>
      <c r="E57">
        <v>129.38209999999998</v>
      </c>
      <c r="F57" s="36"/>
      <c r="G57" s="13">
        <f t="shared" si="13"/>
        <v>10</v>
      </c>
      <c r="H57" s="2">
        <f>Interpolate_Range('試算番号2-1'!$G$10:$G$130,'試算番号2-1'!$I$10:$I$130,G57)</f>
        <v>0.90485063711380675</v>
      </c>
      <c r="I57" s="1">
        <f>Interpolate_Range('試算番号2-1'!$G$11:$G$130,'試算番号2-1'!$N$11:$N$130,G57)</f>
        <v>1.8087093719473642E-2</v>
      </c>
      <c r="J57" s="5">
        <f t="shared" si="8"/>
        <v>9.6717432000550794</v>
      </c>
      <c r="K57" s="1">
        <f t="shared" si="12"/>
        <v>8.1512204974115585E-2</v>
      </c>
      <c r="L57" s="1">
        <f t="shared" si="15"/>
        <v>-7.20625E-3</v>
      </c>
      <c r="M57" s="1">
        <f t="shared" si="9"/>
        <v>-6.9696999435396922E-2</v>
      </c>
      <c r="N57" s="18">
        <f t="shared" si="14"/>
        <v>0.76574522664793465</v>
      </c>
      <c r="O57" s="10">
        <f>Interpolate_Range('試算番号2-3'!$G$11:$G$130,'試算番号2-3'!$N$11:$N$130,G57)</f>
        <v>3.2035372399801192E-2</v>
      </c>
      <c r="P57" s="1">
        <f t="shared" si="17"/>
        <v>0.16547914640985645</v>
      </c>
      <c r="Q57" s="1">
        <f t="shared" si="16"/>
        <v>-1.6100000000000001E-3</v>
      </c>
      <c r="R57" s="5">
        <f t="shared" si="18"/>
        <v>9.0425654691090944</v>
      </c>
      <c r="S57" s="1">
        <f t="shared" si="1"/>
        <v>2.6690576685324579E-2</v>
      </c>
    </row>
    <row r="58" spans="1:28">
      <c r="D58" s="13">
        <f>2/12</f>
        <v>0.16666666666666666</v>
      </c>
      <c r="E58">
        <v>129.37679999999997</v>
      </c>
      <c r="F58" s="36"/>
      <c r="G58" s="13">
        <f t="shared" si="13"/>
        <v>10.25</v>
      </c>
      <c r="H58" s="2">
        <f>Interpolate_Range('試算番号2-1'!$G$10:$G$130,'試算番号2-1'!$I$10:$I$130,G58)</f>
        <v>0.90021313566400796</v>
      </c>
      <c r="I58" s="1">
        <f>Interpolate_Range('試算番号2-1'!$G$11:$G$130,'試算番号2-1'!$N$11:$N$130,G58)</f>
        <v>1.8366202945010124E-2</v>
      </c>
      <c r="J58" s="5">
        <f t="shared" si="8"/>
        <v>9.896796483971082</v>
      </c>
      <c r="K58" s="1">
        <f t="shared" si="12"/>
        <v>8.564557925995786E-2</v>
      </c>
      <c r="L58" s="1">
        <f t="shared" si="15"/>
        <v>-7.1353125000000002E-3</v>
      </c>
      <c r="M58" s="1">
        <f t="shared" si="9"/>
        <v>-7.0616735662034913E-2</v>
      </c>
      <c r="N58" s="18">
        <f t="shared" si="14"/>
        <v>0.75867880280734012</v>
      </c>
      <c r="O58" s="10">
        <f>Interpolate_Range('試算番号2-3'!$G$11:$G$130,'試算番号2-3'!$N$11:$N$130,G58)</f>
        <v>3.1359403458332054E-2</v>
      </c>
      <c r="P58" s="1">
        <f t="shared" si="17"/>
        <v>0.17142707507798638</v>
      </c>
      <c r="Q58" s="1">
        <f t="shared" si="16"/>
        <v>-1.6100000000000001E-3</v>
      </c>
      <c r="R58" s="5">
        <f t="shared" si="18"/>
        <v>9.2322351698109291</v>
      </c>
      <c r="S58" s="1">
        <f t="shared" si="1"/>
        <v>2.694407569380362E-2</v>
      </c>
    </row>
    <row r="59" spans="1:28">
      <c r="D59" s="13">
        <f>3/12</f>
        <v>0.25</v>
      </c>
      <c r="E59">
        <v>129.36819999999997</v>
      </c>
      <c r="F59" s="36"/>
      <c r="G59" s="13">
        <f t="shared" si="13"/>
        <v>10.5</v>
      </c>
      <c r="H59" s="2">
        <f>Interpolate_Range('試算番号2-1'!$G$10:$G$130,'試算番号2-1'!$I$10:$I$130,G59)</f>
        <v>0.89557563421420927</v>
      </c>
      <c r="I59" s="1">
        <f>Interpolate_Range('試算番号2-1'!$G$11:$G$130,'試算番号2-1'!$N$11:$N$130,G59)</f>
        <v>1.8430858779118233E-2</v>
      </c>
      <c r="J59" s="5">
        <f t="shared" si="8"/>
        <v>10.120690392524635</v>
      </c>
      <c r="K59" s="1">
        <f t="shared" si="12"/>
        <v>8.9772136270013195E-2</v>
      </c>
      <c r="L59" s="1">
        <f t="shared" si="15"/>
        <v>-7.0643750000000003E-3</v>
      </c>
      <c r="M59" s="1">
        <f t="shared" si="9"/>
        <v>-7.1496352191691218E-2</v>
      </c>
      <c r="N59" s="18">
        <f t="shared" si="14"/>
        <v>0.7516460399621625</v>
      </c>
      <c r="O59" s="10">
        <f>Interpolate_Range('試算番号2-3'!$G$11:$G$130,'試算番号2-3'!$N$11:$N$130,G59)</f>
        <v>3.1635845016422089E-2</v>
      </c>
      <c r="P59" s="1">
        <f t="shared" si="17"/>
        <v>0.17737181448484898</v>
      </c>
      <c r="Q59" s="1">
        <f t="shared" si="16"/>
        <v>-1.6100000000000001E-3</v>
      </c>
      <c r="R59" s="5">
        <f t="shared" si="18"/>
        <v>9.4201466798014692</v>
      </c>
      <c r="S59" s="1">
        <f t="shared" si="1"/>
        <v>2.7189500703048614E-2</v>
      </c>
    </row>
    <row r="60" spans="1:28">
      <c r="D60" s="13">
        <f>4/12</f>
        <v>0.33333333333333331</v>
      </c>
      <c r="E60">
        <v>129.3578</v>
      </c>
      <c r="F60" s="36"/>
      <c r="G60" s="13">
        <f t="shared" si="13"/>
        <v>10.75</v>
      </c>
      <c r="H60" s="2">
        <f>Interpolate_Range('試算番号2-1'!$G$10:$G$130,'試算番号2-1'!$I$10:$I$130,G60)</f>
        <v>0.89074873032657031</v>
      </c>
      <c r="I60" s="1">
        <f>Interpolate_Range('試算番号2-1'!$G$11:$G$130,'試算番号2-1'!$N$11:$N$130,G60)</f>
        <v>1.9351258646178964E-2</v>
      </c>
      <c r="J60" s="5">
        <f t="shared" si="8"/>
        <v>10.343377575106278</v>
      </c>
      <c r="K60" s="1">
        <f t="shared" si="12"/>
        <v>9.4081413537339439E-2</v>
      </c>
      <c r="L60" s="1">
        <f t="shared" si="15"/>
        <v>-6.9934375000000005E-3</v>
      </c>
      <c r="M60" s="1">
        <f t="shared" si="9"/>
        <v>-7.2335764610407319E-2</v>
      </c>
      <c r="N60" s="18">
        <f t="shared" si="14"/>
        <v>0.74464707009570719</v>
      </c>
      <c r="O60" s="10">
        <f>Interpolate_Range('試算番号2-3'!$G$11:$G$130,'試算番号2-3'!$N$11:$N$130,G60)</f>
        <v>3.191660324334003E-2</v>
      </c>
      <c r="P60" s="1">
        <f t="shared" si="17"/>
        <v>0.18331346575798907</v>
      </c>
      <c r="Q60" s="1">
        <f t="shared" si="16"/>
        <v>-1.6100000000000001E-3</v>
      </c>
      <c r="R60" s="5">
        <f t="shared" si="18"/>
        <v>9.6063084473253966</v>
      </c>
      <c r="S60" s="1">
        <f t="shared" si="1"/>
        <v>2.7427432954782664E-2</v>
      </c>
    </row>
    <row r="61" spans="1:28">
      <c r="D61" s="13">
        <f>5/12</f>
        <v>0.41666666666666669</v>
      </c>
      <c r="E61">
        <v>129.3356</v>
      </c>
      <c r="F61" s="36"/>
      <c r="G61" s="13">
        <f t="shared" si="13"/>
        <v>11</v>
      </c>
      <c r="H61" s="2">
        <f>Interpolate_Range('試算番号2-1'!$G$10:$G$130,'試算番号2-1'!$I$10:$I$130,G61)</f>
        <v>0.88592182643893136</v>
      </c>
      <c r="I61" s="1">
        <f>Interpolate_Range('試算番号2-1'!$G$11:$G$130,'試算番号2-1'!$N$11:$N$130,G61)</f>
        <v>1.9426831077907339E-2</v>
      </c>
      <c r="J61" s="5">
        <f t="shared" si="8"/>
        <v>10.56485803171601</v>
      </c>
      <c r="K61" s="1">
        <f t="shared" si="12"/>
        <v>9.8384076954954505E-2</v>
      </c>
      <c r="L61" s="1">
        <f t="shared" si="15"/>
        <v>-6.9224999999999998E-3</v>
      </c>
      <c r="M61" s="1">
        <f t="shared" si="9"/>
        <v>-7.3135229724554079E-2</v>
      </c>
      <c r="N61" s="18">
        <f t="shared" si="14"/>
        <v>0.73768161527871834</v>
      </c>
      <c r="O61" s="10">
        <f>Interpolate_Range('試算番号2-3'!$G$11:$G$130,'試算番号2-3'!$N$11:$N$130,G61)</f>
        <v>3.2201784401115492E-2</v>
      </c>
      <c r="P61" s="1">
        <f t="shared" si="17"/>
        <v>0.18925213184095704</v>
      </c>
      <c r="Q61" s="1">
        <f t="shared" si="16"/>
        <v>-1.6100000000000001E-3</v>
      </c>
      <c r="R61" s="5">
        <f t="shared" si="18"/>
        <v>9.7907288511450759</v>
      </c>
      <c r="S61" s="1">
        <f t="shared" si="1"/>
        <v>2.765845118905871E-2</v>
      </c>
    </row>
    <row r="62" spans="1:28">
      <c r="D62" s="13">
        <f>6/12</f>
        <v>0.5</v>
      </c>
      <c r="E62">
        <v>129.3219</v>
      </c>
      <c r="F62" s="36"/>
      <c r="G62" s="13">
        <f t="shared" si="13"/>
        <v>11.25</v>
      </c>
      <c r="H62" s="2">
        <f>Interpolate_Range('試算番号2-1'!$G$10:$G$130,'試算番号2-1'!$I$10:$I$130,G62)</f>
        <v>0.88091004849538046</v>
      </c>
      <c r="I62" s="1">
        <f>Interpolate_Range('試算番号2-1'!$G$11:$G$130,'試算番号2-1'!$N$11:$N$130,G62)</f>
        <v>2.0347419091448594E-2</v>
      </c>
      <c r="J62" s="5">
        <f t="shared" si="8"/>
        <v>10.785085543839855</v>
      </c>
      <c r="K62" s="1">
        <f t="shared" si="12"/>
        <v>0.10286513843960546</v>
      </c>
      <c r="L62" s="1">
        <f t="shared" si="15"/>
        <v>-6.8515625E-3</v>
      </c>
      <c r="M62" s="1">
        <f t="shared" si="9"/>
        <v>-7.3894687671465259E-2</v>
      </c>
      <c r="N62" s="18">
        <f t="shared" si="14"/>
        <v>0.73050340129312619</v>
      </c>
      <c r="O62" s="10">
        <f>Interpolate_Range('試算番号2-3'!$G$11:$G$130,'試算番号2-3'!$N$11:$N$130,G62)</f>
        <v>3.3850997478495619E-2</v>
      </c>
      <c r="P62" s="1">
        <f t="shared" si="17"/>
        <v>0.19543419903975856</v>
      </c>
      <c r="Q62" s="1">
        <f t="shared" si="16"/>
        <v>-1.6100000000000001E-3</v>
      </c>
      <c r="R62" s="5">
        <f t="shared" si="18"/>
        <v>9.9733547014683577</v>
      </c>
      <c r="S62" s="1">
        <f t="shared" si="1"/>
        <v>2.7913012594283658E-2</v>
      </c>
    </row>
    <row r="63" spans="1:28">
      <c r="D63" s="13">
        <f>9/12</f>
        <v>0.75</v>
      </c>
      <c r="E63">
        <v>129.25979999999998</v>
      </c>
      <c r="F63" s="36"/>
      <c r="G63" s="13">
        <f t="shared" si="13"/>
        <v>11.5</v>
      </c>
      <c r="H63" s="2">
        <f>Interpolate_Range('試算番号2-1'!$G$10:$G$130,'試算番号2-1'!$I$10:$I$130,G63)</f>
        <v>0.87589827055182967</v>
      </c>
      <c r="I63" s="1">
        <f>Interpolate_Range('試算番号2-1'!$G$11:$G$130,'試算番号2-1'!$N$11:$N$130,G63)</f>
        <v>2.0434594263725101E-2</v>
      </c>
      <c r="J63" s="5">
        <f t="shared" si="8"/>
        <v>11.004060111477813</v>
      </c>
      <c r="K63" s="1">
        <f t="shared" si="12"/>
        <v>0.10733979488336175</v>
      </c>
      <c r="L63" s="1">
        <f t="shared" si="15"/>
        <v>-6.7806250000000002E-3</v>
      </c>
      <c r="M63" s="1">
        <f t="shared" si="9"/>
        <v>-7.4614405093389249E-2</v>
      </c>
      <c r="N63" s="18">
        <f t="shared" si="14"/>
        <v>0.72335865013776013</v>
      </c>
      <c r="O63" s="10">
        <f>Interpolate_Range('試算番号2-3'!$G$11:$G$130,'試算番号2-3'!$N$11:$N$130,G63)</f>
        <v>3.4168743757477513E-2</v>
      </c>
      <c r="P63" s="1">
        <f t="shared" si="17"/>
        <v>0.20161326313008654</v>
      </c>
      <c r="Q63" s="1">
        <f t="shared" si="16"/>
        <v>-1.6100000000000001E-3</v>
      </c>
      <c r="R63" s="5">
        <f t="shared" si="18"/>
        <v>10.154194364002798</v>
      </c>
      <c r="S63" s="1">
        <f t="shared" si="1"/>
        <v>2.816088013372018E-2</v>
      </c>
    </row>
    <row r="64" spans="1:28">
      <c r="G64" s="13">
        <f t="shared" si="13"/>
        <v>11.75</v>
      </c>
      <c r="H64" s="2">
        <f>Interpolate_Range('試算番号2-1'!$G$10:$G$130,'試算番号2-1'!$I$10:$I$130,G64)</f>
        <v>0.87070629732927507</v>
      </c>
      <c r="I64" s="1">
        <f>Interpolate_Range('試算番号2-1'!$G$11:$G$130,'試算番号2-1'!$N$11:$N$130,G64)</f>
        <v>2.1355477111016111E-2</v>
      </c>
      <c r="J64" s="5">
        <f t="shared" si="8"/>
        <v>11.221736685810132</v>
      </c>
      <c r="K64" s="1">
        <f t="shared" si="12"/>
        <v>0.11198838198411998</v>
      </c>
      <c r="L64" s="1">
        <f t="shared" si="15"/>
        <v>-6.7096875000000004E-3</v>
      </c>
      <c r="M64" s="1">
        <f t="shared" si="9"/>
        <v>-7.5294346369071674E-2</v>
      </c>
      <c r="N64" s="18">
        <f t="shared" si="14"/>
        <v>0.71624743532511503</v>
      </c>
      <c r="O64" s="10">
        <f>Interpolate_Range('試算番号2-3'!$G$11:$G$130,'試算番号2-3'!$N$11:$N$130,G64)</f>
        <v>3.4491862466948818E-2</v>
      </c>
      <c r="P64" s="1">
        <f t="shared" si="17"/>
        <v>0.20778944013797121</v>
      </c>
      <c r="Q64" s="1">
        <f t="shared" si="16"/>
        <v>-1.6100000000000001E-3</v>
      </c>
      <c r="R64" s="5">
        <f t="shared" si="18"/>
        <v>10.333256222834077</v>
      </c>
      <c r="S64" s="1">
        <f t="shared" si="1"/>
        <v>2.8402518438937714E-2</v>
      </c>
    </row>
    <row r="65" spans="7:19">
      <c r="G65" s="13">
        <f t="shared" si="13"/>
        <v>12</v>
      </c>
      <c r="H65" s="2">
        <f>Interpolate_Range('試算番号2-1'!$G$10:$G$130,'試算番号2-1'!$I$10:$I$130,G65)</f>
        <v>0.86551432410672047</v>
      </c>
      <c r="I65" s="1">
        <f>Interpolate_Range('試算番号2-1'!$G$11:$G$130,'試算番号2-1'!$N$11:$N$130,G65)</f>
        <v>2.1454970060344702E-2</v>
      </c>
      <c r="J65" s="5">
        <f t="shared" si="8"/>
        <v>11.438115266836812</v>
      </c>
      <c r="K65" s="1">
        <f t="shared" si="12"/>
        <v>0.11663077796174727</v>
      </c>
      <c r="L65" s="1">
        <f t="shared" si="15"/>
        <v>-6.6387500000000006E-3</v>
      </c>
      <c r="M65" s="1">
        <f t="shared" si="9"/>
        <v>-7.5934787727712894E-2</v>
      </c>
      <c r="N65" s="18">
        <f t="shared" si="14"/>
        <v>0.70916944941092441</v>
      </c>
      <c r="O65" s="10">
        <f>Interpolate_Range('試算番号2-3'!$G$11:$G$130,'試算番号2-3'!$N$11:$N$130,G65)</f>
        <v>3.4820496112110036E-2</v>
      </c>
      <c r="P65" s="1">
        <f t="shared" si="17"/>
        <v>0.2139628481519813</v>
      </c>
      <c r="Q65" s="1">
        <f t="shared" si="16"/>
        <v>-1.6100000000000001E-3</v>
      </c>
      <c r="R65" s="5">
        <f t="shared" si="18"/>
        <v>10.510548585186807</v>
      </c>
      <c r="S65" s="1">
        <f t="shared" si="1"/>
        <v>2.8638398603892962E-2</v>
      </c>
    </row>
    <row r="66" spans="7:19">
      <c r="G66" s="13">
        <f t="shared" si="13"/>
        <v>12.25</v>
      </c>
      <c r="H66" s="2">
        <f>Interpolate_Range('試算番号2-1'!$G$10:$G$130,'試算番号2-1'!$I$10:$I$130,G66)</f>
        <v>0.86033098910365369</v>
      </c>
      <c r="I66" s="1">
        <f>Interpolate_Range('試算番号2-1'!$G$11:$G$130,'試算番号2-1'!$N$11:$N$130,G66)</f>
        <v>2.1644288657724269E-2</v>
      </c>
      <c r="J66" s="5">
        <f t="shared" si="8"/>
        <v>11.653198014112725</v>
      </c>
      <c r="K66" s="1">
        <f t="shared" si="12"/>
        <v>0.1212860910290835</v>
      </c>
      <c r="L66" s="1">
        <f t="shared" si="15"/>
        <v>-6.5577083333333338E-3</v>
      </c>
      <c r="M66" s="1">
        <f t="shared" si="9"/>
        <v>-7.6418273727130476E-2</v>
      </c>
      <c r="N66" s="18">
        <f t="shared" si="14"/>
        <v>0.70304380840850611</v>
      </c>
      <c r="O66" s="10">
        <f>Interpolate_Range('試算番号2-3'!$G$11:$G$130,'試算番号2-3'!$N$11:$N$130,G66)</f>
        <v>3.0707094696542661E-2</v>
      </c>
      <c r="P66" s="1">
        <f t="shared" si="17"/>
        <v>0.21935995635213579</v>
      </c>
      <c r="Q66" s="1">
        <f t="shared" si="16"/>
        <v>-1.6100000000000001E-3</v>
      </c>
      <c r="R66" s="5">
        <f t="shared" si="18"/>
        <v>10.686309537288935</v>
      </c>
      <c r="S66" s="1">
        <f t="shared" si="1"/>
        <v>2.8762128387142292E-2</v>
      </c>
    </row>
    <row r="67" spans="7:19">
      <c r="G67" s="13">
        <f t="shared" si="13"/>
        <v>12.5</v>
      </c>
      <c r="H67" s="2">
        <f>Interpolate_Range('試算番号2-1'!$G$10:$G$130,'試算番号2-1'!$I$10:$I$130,G67)</f>
        <v>0.85514765410058691</v>
      </c>
      <c r="I67" s="1">
        <f>Interpolate_Range('試算番号2-1'!$G$11:$G$130,'試算番号2-1'!$N$11:$N$130,G67)</f>
        <v>2.1751943647981189E-2</v>
      </c>
      <c r="J67" s="5">
        <f t="shared" si="8"/>
        <v>11.866984927637871</v>
      </c>
      <c r="K67" s="1">
        <f t="shared" si="12"/>
        <v>0.12593637192475832</v>
      </c>
      <c r="L67" s="1">
        <f t="shared" si="15"/>
        <v>-6.476666666666667E-3</v>
      </c>
      <c r="M67" s="1">
        <f t="shared" si="9"/>
        <v>-7.6858505714667943E-2</v>
      </c>
      <c r="N67" s="18">
        <f t="shared" si="14"/>
        <v>0.69695430661053215</v>
      </c>
      <c r="O67" s="10">
        <f>Interpolate_Range('試算番号2-3'!$G$11:$G$130,'試算番号2-3'!$N$11:$N$130,G67)</f>
        <v>3.0973277646858189E-2</v>
      </c>
      <c r="P67" s="1">
        <f t="shared" si="17"/>
        <v>0.22475669616359117</v>
      </c>
      <c r="Q67" s="1">
        <f t="shared" si="16"/>
        <v>-1.6100000000000001E-3</v>
      </c>
      <c r="R67" s="5">
        <f t="shared" si="18"/>
        <v>10.860548113941567</v>
      </c>
      <c r="S67" s="1">
        <f t="shared" si="1"/>
        <v>2.88828342080647E-2</v>
      </c>
    </row>
    <row r="68" spans="7:19">
      <c r="G68" s="13">
        <f t="shared" si="13"/>
        <v>12.75</v>
      </c>
      <c r="H68" s="2">
        <f>Interpolate_Range('試算番号2-1'!$G$10:$G$130,'試算番号2-1'!$I$10:$I$130,G68)</f>
        <v>0.84980576509690819</v>
      </c>
      <c r="I68" s="1">
        <f>Interpolate_Range('試算番号2-1'!$G$11:$G$130,'試算番号2-1'!$N$11:$N$130,G68)</f>
        <v>2.2611899817614134E-2</v>
      </c>
      <c r="J68" s="5">
        <f t="shared" si="8"/>
        <v>12.079436368912098</v>
      </c>
      <c r="K68" s="1">
        <f t="shared" si="12"/>
        <v>0.13074030263095887</v>
      </c>
      <c r="L68" s="1">
        <f t="shared" si="15"/>
        <v>-6.3956250000000003E-3</v>
      </c>
      <c r="M68" s="1">
        <f t="shared" si="9"/>
        <v>-7.7255545226923447E-2</v>
      </c>
      <c r="N68" s="18">
        <f t="shared" si="14"/>
        <v>0.6909008620055398</v>
      </c>
      <c r="O68" s="10">
        <f>Interpolate_Range('試算番号2-3'!$G$11:$G$130,'試算番号2-3'!$N$11:$N$130,G68)</f>
        <v>3.1243465967320992E-2</v>
      </c>
      <c r="P68" s="1">
        <f t="shared" si="17"/>
        <v>0.23015323055580689</v>
      </c>
      <c r="Q68" s="1">
        <f t="shared" si="16"/>
        <v>-1.6100000000000001E-3</v>
      </c>
      <c r="R68" s="5">
        <f t="shared" si="18"/>
        <v>11.033273329442952</v>
      </c>
      <c r="S68" s="1">
        <f t="shared" si="1"/>
        <v>2.9000700849580594E-2</v>
      </c>
    </row>
    <row r="69" spans="7:19">
      <c r="G69" s="13">
        <f t="shared" si="13"/>
        <v>13</v>
      </c>
      <c r="H69" s="2">
        <f>Interpolate_Range('試算番号2-1'!$G$10:$G$130,'試算番号2-1'!$I$10:$I$130,G69)</f>
        <v>0.84446387609322948</v>
      </c>
      <c r="I69" s="1">
        <f>Interpolate_Range('試算番号2-1'!$G$11:$G$130,'試算番号2-1'!$N$11:$N$130,G69)</f>
        <v>2.2732020908664271E-2</v>
      </c>
      <c r="J69" s="5">
        <f t="shared" si="8"/>
        <v>12.290552337935406</v>
      </c>
      <c r="K69" s="1">
        <f t="shared" si="12"/>
        <v>0.13553939525294961</v>
      </c>
      <c r="L69" s="1">
        <f t="shared" si="15"/>
        <v>-6.3145833333333335E-3</v>
      </c>
      <c r="M69" s="1">
        <f t="shared" si="9"/>
        <v>-7.7609716950587951E-2</v>
      </c>
      <c r="N69" s="18">
        <f t="shared" si="14"/>
        <v>0.68488306508410135</v>
      </c>
      <c r="O69" s="10">
        <f>Interpolate_Range('試算番号2-3'!$G$11:$G$130,'試算番号2-3'!$N$11:$N$130,G69)</f>
        <v>3.1517755511270069E-2</v>
      </c>
      <c r="P69" s="1">
        <f t="shared" si="17"/>
        <v>0.23554972480558939</v>
      </c>
      <c r="Q69" s="1">
        <f t="shared" si="16"/>
        <v>-1.6100000000000001E-3</v>
      </c>
      <c r="R69" s="5">
        <f t="shared" si="18"/>
        <v>11.204494095713978</v>
      </c>
      <c r="S69" s="1">
        <f t="shared" si="1"/>
        <v>2.9115935630660481E-2</v>
      </c>
    </row>
    <row r="70" spans="7:19">
      <c r="G70" s="13">
        <f t="shared" si="13"/>
        <v>13.25</v>
      </c>
      <c r="H70" s="2">
        <f>Interpolate_Range('試算番号2-1'!$G$10:$G$130,'試算番号2-1'!$I$10:$I$130,G70)</f>
        <v>0.8389680490821898</v>
      </c>
      <c r="I70" s="1">
        <f>Interpolate_Range('試算番号2-1'!$G$11:$G$130,'試算番号2-1'!$N$11:$N$130,G70)</f>
        <v>2.3592421216566871E-2</v>
      </c>
      <c r="J70" s="5">
        <f t="shared" si="8"/>
        <v>12.500294350205953</v>
      </c>
      <c r="K70" s="1">
        <f t="shared" si="12"/>
        <v>0.14048771715324671</v>
      </c>
      <c r="L70" s="1">
        <f t="shared" si="15"/>
        <v>-6.2335416666666667E-3</v>
      </c>
      <c r="M70" s="1">
        <f t="shared" si="9"/>
        <v>-7.7921105677606739E-2</v>
      </c>
      <c r="N70" s="18">
        <f t="shared" si="14"/>
        <v>0.67880531369261488</v>
      </c>
      <c r="O70" s="10">
        <f>Interpolate_Range('試算番号2-3'!$G$11:$G$130,'試算番号2-3'!$N$11:$N$130,G70)</f>
        <v>3.2363192106497664E-2</v>
      </c>
      <c r="P70" s="1">
        <f t="shared" si="17"/>
        <v>0.24104180149807578</v>
      </c>
      <c r="Q70" s="1">
        <f t="shared" si="16"/>
        <v>-1.6100000000000001E-3</v>
      </c>
      <c r="R70" s="5">
        <f t="shared" si="18"/>
        <v>11.374195424137131</v>
      </c>
      <c r="S70" s="1">
        <f t="shared" si="1"/>
        <v>2.9239314534688435E-2</v>
      </c>
    </row>
    <row r="71" spans="7:19">
      <c r="G71" s="13">
        <f t="shared" si="13"/>
        <v>13.5</v>
      </c>
      <c r="H71" s="2">
        <f>Interpolate_Range('試算番号2-1'!$G$10:$G$130,'試算番号2-1'!$I$10:$I$130,G71)</f>
        <v>0.83347222207115013</v>
      </c>
      <c r="I71" s="1">
        <f>Interpolate_Range('試算番号2-1'!$G$11:$G$130,'試算番号2-1'!$N$11:$N$130,G71)</f>
        <v>2.3725715392490829E-2</v>
      </c>
      <c r="J71" s="5">
        <f t="shared" si="8"/>
        <v>12.708662405723741</v>
      </c>
      <c r="K71" s="1">
        <f t="shared" si="12"/>
        <v>0.14543139833534846</v>
      </c>
      <c r="L71" s="1">
        <f t="shared" si="15"/>
        <v>-6.1525E-3</v>
      </c>
      <c r="M71" s="1">
        <f t="shared" si="9"/>
        <v>-7.8190045451215315E-2</v>
      </c>
      <c r="N71" s="18">
        <f t="shared" si="14"/>
        <v>0.67276268550381213</v>
      </c>
      <c r="O71" s="10">
        <f>Interpolate_Range('試算番号2-3'!$G$11:$G$130,'試算番号2-3'!$N$11:$N$130,G71)</f>
        <v>3.2655375724701285E-2</v>
      </c>
      <c r="P71" s="1">
        <f t="shared" si="17"/>
        <v>0.2465341310652473</v>
      </c>
      <c r="Q71" s="1">
        <f t="shared" si="16"/>
        <v>-1.6100000000000001E-3</v>
      </c>
      <c r="R71" s="5">
        <f t="shared" si="18"/>
        <v>11.542386095513084</v>
      </c>
      <c r="S71" s="1">
        <f t="shared" si="1"/>
        <v>2.936019506369927E-2</v>
      </c>
    </row>
    <row r="72" spans="7:19">
      <c r="G72" s="13">
        <f t="shared" si="13"/>
        <v>13.75</v>
      </c>
      <c r="H72" s="2">
        <f>Interpolate_Range('試算番号2-1'!$G$10:$G$130,'試算番号2-1'!$I$10:$I$130,G72)</f>
        <v>0.82782717953634943</v>
      </c>
      <c r="I72" s="1">
        <f>Interpolate_Range('試算番号2-1'!$G$11:$G$130,'試算番号2-1'!$N$11:$N$130,G72)</f>
        <v>2.4586709227561249E-2</v>
      </c>
      <c r="J72" s="5">
        <f t="shared" si="8"/>
        <v>12.915619200607829</v>
      </c>
      <c r="K72" s="1">
        <f t="shared" si="12"/>
        <v>0.15051978487383155</v>
      </c>
      <c r="L72" s="1">
        <f t="shared" si="15"/>
        <v>-6.0714583333333341E-3</v>
      </c>
      <c r="M72" s="1">
        <f t="shared" si="9"/>
        <v>-7.8416643825690413E-2</v>
      </c>
      <c r="N72" s="18">
        <f t="shared" si="14"/>
        <v>0.66675503829847382</v>
      </c>
      <c r="O72" s="10">
        <f>Interpolate_Range('試算番号2-3'!$G$11:$G$130,'試算番号2-3'!$N$11:$N$130,G72)</f>
        <v>3.2952202364922405E-2</v>
      </c>
      <c r="P72" s="1">
        <f t="shared" si="17"/>
        <v>0.25202689280270801</v>
      </c>
      <c r="Q72" s="1">
        <f t="shared" si="16"/>
        <v>-1.6100000000000001E-3</v>
      </c>
      <c r="R72" s="5">
        <f t="shared" si="18"/>
        <v>11.709074855087703</v>
      </c>
      <c r="S72" s="1">
        <f t="shared" si="1"/>
        <v>2.947873159603024E-2</v>
      </c>
    </row>
    <row r="73" spans="7:19">
      <c r="G73" s="13">
        <f t="shared" si="13"/>
        <v>14</v>
      </c>
      <c r="H73" s="2">
        <f>Interpolate_Range('試算番号2-1'!$G$10:$G$130,'試算番号2-1'!$I$10:$I$130,G73)</f>
        <v>0.82218213700154885</v>
      </c>
      <c r="I73" s="1">
        <f>Interpolate_Range('試算番号2-1'!$G$11:$G$130,'試算番号2-1'!$N$11:$N$130,G73)</f>
        <v>2.4733917217153359E-2</v>
      </c>
      <c r="J73" s="5">
        <f t="shared" si="8"/>
        <v>13.121164734858215</v>
      </c>
      <c r="K73" s="1">
        <f t="shared" si="12"/>
        <v>0.15560373110233619</v>
      </c>
      <c r="L73" s="1">
        <f t="shared" si="15"/>
        <v>-5.9904166666666673E-3</v>
      </c>
      <c r="M73" s="1">
        <f t="shared" si="9"/>
        <v>-7.8601243913773572E-2</v>
      </c>
      <c r="N73" s="18">
        <f t="shared" si="14"/>
        <v>0.66078193092523418</v>
      </c>
      <c r="O73" s="10">
        <f>Interpolate_Range('試算番号2-3'!$G$11:$G$130,'試算番号2-3'!$N$11:$N$130,G73)</f>
        <v>3.3253788876254922E-2</v>
      </c>
      <c r="P73" s="1">
        <f t="shared" si="17"/>
        <v>0.25752026850876597</v>
      </c>
      <c r="Q73" s="1">
        <f t="shared" si="16"/>
        <v>-1.6100000000000001E-3</v>
      </c>
      <c r="R73" s="5">
        <f t="shared" si="18"/>
        <v>11.874270337819011</v>
      </c>
      <c r="S73" s="1">
        <f t="shared" si="1"/>
        <v>2.9595100099335931E-2</v>
      </c>
    </row>
    <row r="74" spans="7:19">
      <c r="G74" s="13">
        <f t="shared" si="13"/>
        <v>14.25</v>
      </c>
      <c r="H74" s="2">
        <f>Interpolate_Range('試算番号2-1'!$G$10:$G$130,'試算番号2-1'!$I$10:$I$130,G74)</f>
        <v>0.81639270189957536</v>
      </c>
      <c r="I74" s="1">
        <f>Interpolate_Range('試算番号2-1'!$G$11:$G$130,'試算番号2-1'!$N$11:$N$130,G74)</f>
        <v>2.5595672478300083E-2</v>
      </c>
      <c r="J74" s="5">
        <f t="shared" si="8"/>
        <v>13.325262910333109</v>
      </c>
      <c r="K74" s="1">
        <f t="shared" si="12"/>
        <v>0.16082776115521019</v>
      </c>
      <c r="L74" s="1">
        <f t="shared" si="15"/>
        <v>-5.9093750000000006E-3</v>
      </c>
      <c r="M74" s="1">
        <f t="shared" si="9"/>
        <v>-7.8743975510749728E-2</v>
      </c>
      <c r="N74" s="18">
        <f t="shared" si="14"/>
        <v>0.65476077558223977</v>
      </c>
      <c r="O74" s="10">
        <f>Interpolate_Range('試算番号2-3'!$G$11:$G$130,'試算番号2-3'!$N$11:$N$130,G74)</f>
        <v>3.4067770196720748E-2</v>
      </c>
      <c r="P74" s="1">
        <f t="shared" si="17"/>
        <v>0.26309682841785659</v>
      </c>
      <c r="Q74" s="1">
        <f t="shared" si="16"/>
        <v>-1.6100000000000001E-3</v>
      </c>
      <c r="R74" s="5">
        <f t="shared" si="18"/>
        <v>12.037960531714571</v>
      </c>
      <c r="S74" s="1">
        <f t="shared" si="1"/>
        <v>2.9718269345799037E-2</v>
      </c>
    </row>
    <row r="75" spans="7:19">
      <c r="G75" s="13">
        <f t="shared" si="13"/>
        <v>14.5</v>
      </c>
      <c r="H75" s="2">
        <f>Interpolate_Range('試算番号2-1'!$G$10:$G$130,'試算番号2-1'!$I$10:$I$130,G75)</f>
        <v>0.81060326679760175</v>
      </c>
      <c r="I75" s="1">
        <f>Interpolate_Range('試算番号2-1'!$G$11:$G$130,'試算番号2-1'!$N$11:$N$130,G75)</f>
        <v>2.5757571764799075E-2</v>
      </c>
      <c r="J75" s="5">
        <f t="shared" si="8"/>
        <v>13.527913727032509</v>
      </c>
      <c r="K75" s="1">
        <f t="shared" si="12"/>
        <v>0.16604755410954014</v>
      </c>
      <c r="L75" s="1">
        <f t="shared" si="15"/>
        <v>-5.8283333333333338E-3</v>
      </c>
      <c r="M75" s="1">
        <f t="shared" si="9"/>
        <v>-7.8845190505721141E-2</v>
      </c>
      <c r="N75" s="18">
        <f t="shared" si="14"/>
        <v>0.64877352995486248</v>
      </c>
      <c r="O75" s="10">
        <f>Interpolate_Range('試算番号2-3'!$G$11:$G$130,'試算番号2-3'!$N$11:$N$130,G75)</f>
        <v>3.4388085043833019E-2</v>
      </c>
      <c r="P75" s="1">
        <f t="shared" si="17"/>
        <v>0.26867434824842545</v>
      </c>
      <c r="Q75" s="1">
        <f t="shared" si="16"/>
        <v>-1.6100000000000001E-3</v>
      </c>
      <c r="R75" s="5">
        <f t="shared" si="18"/>
        <v>12.200153914203288</v>
      </c>
      <c r="S75" s="1">
        <f t="shared" si="1"/>
        <v>2.983941899860865E-2</v>
      </c>
    </row>
    <row r="76" spans="7:19">
      <c r="G76" s="13">
        <f t="shared" si="13"/>
        <v>14.75</v>
      </c>
      <c r="H76" s="2">
        <f>Interpolate_Range('試算番号2-1'!$G$10:$G$130,'試算番号2-1'!$I$10:$I$130,G76)</f>
        <v>0.80467435644924512</v>
      </c>
      <c r="I76" s="1">
        <f>Interpolate_Range('試算番号2-1'!$G$11:$G$130,'試算番号2-1'!$N$11:$N$130,G76)</f>
        <v>2.662027669907565E-2</v>
      </c>
      <c r="J76" s="5">
        <f t="shared" si="8"/>
        <v>13.729082316144821</v>
      </c>
      <c r="K76" s="1">
        <f t="shared" si="12"/>
        <v>0.17140271761487252</v>
      </c>
      <c r="L76" s="1">
        <f t="shared" si="15"/>
        <v>-5.747291666666667E-3</v>
      </c>
      <c r="M76" s="1">
        <f t="shared" si="9"/>
        <v>-7.8905040386559835E-2</v>
      </c>
      <c r="N76" s="18">
        <f t="shared" si="14"/>
        <v>0.64281999232818909</v>
      </c>
      <c r="O76" s="10">
        <f>Interpolate_Range('試算番号2-3'!$G$11:$G$130,'試算番号2-3'!$N$11:$N$130,G76)</f>
        <v>3.4713767563560149E-2</v>
      </c>
      <c r="P76" s="1">
        <f t="shared" si="17"/>
        <v>0.27425302419814801</v>
      </c>
      <c r="Q76" s="1">
        <f t="shared" si="16"/>
        <v>-1.6100000000000001E-3</v>
      </c>
      <c r="R76" s="5">
        <f t="shared" si="18"/>
        <v>12.360858912285336</v>
      </c>
      <c r="S76" s="1">
        <f t="shared" ref="S76:S137" si="19">-LN(N76)/G76</f>
        <v>2.9958680926144732E-2</v>
      </c>
    </row>
    <row r="77" spans="7:19">
      <c r="G77" s="13">
        <f t="shared" si="13"/>
        <v>15</v>
      </c>
      <c r="H77" s="2">
        <f>Interpolate_Range('試算番号2-1'!$G$10:$G$130,'試算番号2-1'!$I$10:$I$130,G77)</f>
        <v>0.79874544610088838</v>
      </c>
      <c r="I77" s="1">
        <f>Interpolate_Range('試算番号2-1'!$G$11:$G$130,'試算番号2-1'!$N$11:$N$130,G77)</f>
        <v>2.6797684826069579E-2</v>
      </c>
      <c r="J77" s="5">
        <f t="shared" si="8"/>
        <v>13.928768677670043</v>
      </c>
      <c r="K77" s="1">
        <f t="shared" si="12"/>
        <v>0.17675384979509001</v>
      </c>
      <c r="L77" s="1">
        <f t="shared" si="15"/>
        <v>-5.6662500000000003E-3</v>
      </c>
      <c r="M77" s="1">
        <f t="shared" si="9"/>
        <v>-7.8923885519847886E-2</v>
      </c>
      <c r="N77" s="18">
        <f t="shared" si="14"/>
        <v>0.63689969016099046</v>
      </c>
      <c r="O77" s="10">
        <f>Interpolate_Range('試算番号2-3'!$G$11:$G$130,'試算番号2-3'!$N$11:$N$130,G77)</f>
        <v>3.5044959683687864E-2</v>
      </c>
      <c r="P77" s="1">
        <f t="shared" si="17"/>
        <v>0.27983305518920931</v>
      </c>
      <c r="Q77" s="1">
        <f t="shared" si="16"/>
        <v>-1.6100000000000001E-3</v>
      </c>
      <c r="R77" s="5">
        <f t="shared" si="18"/>
        <v>12.520083834825583</v>
      </c>
      <c r="S77" s="1">
        <f t="shared" si="19"/>
        <v>3.0076207205651628E-2</v>
      </c>
    </row>
    <row r="78" spans="7:19">
      <c r="G78" s="13">
        <f t="shared" si="13"/>
        <v>15.25</v>
      </c>
      <c r="H78" s="2">
        <f>Interpolate_Range('試算番号2-1'!$G$10:$G$130,'試算番号2-1'!$I$10:$I$130,G78)</f>
        <v>0.79372872924630966</v>
      </c>
      <c r="I78" s="1">
        <f>Interpolate_Range('試算番号2-1'!$G$11:$G$130,'試算番号2-1'!$N$11:$N$130,G78)</f>
        <v>2.2899821921187922E-2</v>
      </c>
      <c r="J78" s="5">
        <f t="shared" si="8"/>
        <v>14.12720085998162</v>
      </c>
      <c r="K78" s="1">
        <f t="shared" si="12"/>
        <v>0.18129791143345783</v>
      </c>
      <c r="L78" s="1">
        <f t="shared" si="15"/>
        <v>-5.5873750000000003E-3</v>
      </c>
      <c r="M78" s="1">
        <f t="shared" si="9"/>
        <v>-7.8933968905039814E-2</v>
      </c>
      <c r="N78" s="18">
        <f t="shared" si="14"/>
        <v>0.63234859688964873</v>
      </c>
      <c r="O78" s="10">
        <f>Interpolate_Range('試算番号2-3'!$G$11:$G$130,'試算番号2-3'!$N$11:$N$130,G78)</f>
        <v>2.7344885409408548E-2</v>
      </c>
      <c r="P78" s="1">
        <f t="shared" si="17"/>
        <v>0.28415593016939622</v>
      </c>
      <c r="Q78" s="1">
        <f t="shared" si="16"/>
        <v>-1.6100000000000001E-3</v>
      </c>
      <c r="R78" s="5">
        <f t="shared" si="18"/>
        <v>12.678170984047995</v>
      </c>
      <c r="S78" s="1">
        <f t="shared" si="19"/>
        <v>3.0053407183024076E-2</v>
      </c>
    </row>
    <row r="79" spans="7:19">
      <c r="G79" s="13">
        <f t="shared" si="13"/>
        <v>15.5</v>
      </c>
      <c r="H79" s="2">
        <f>Interpolate_Range('試算番号2-1'!$G$10:$G$130,'試算番号2-1'!$I$10:$I$130,G79)</f>
        <v>0.78871201239173094</v>
      </c>
      <c r="I79" s="1">
        <f>Interpolate_Range('試算番号2-1'!$G$11:$G$130,'試算番号2-1'!$N$11:$N$130,G79)</f>
        <v>2.3039167925309162E-2</v>
      </c>
      <c r="J79" s="5">
        <f t="shared" si="8"/>
        <v>14.324378863079554</v>
      </c>
      <c r="K79" s="1">
        <f t="shared" si="12"/>
        <v>0.18584072855800823</v>
      </c>
      <c r="L79" s="1">
        <f t="shared" si="15"/>
        <v>-5.5085000000000004E-3</v>
      </c>
      <c r="M79" s="1">
        <f t="shared" si="9"/>
        <v>-7.8905840967273724E-2</v>
      </c>
      <c r="N79" s="18">
        <f t="shared" si="14"/>
        <v>0.62783062049192406</v>
      </c>
      <c r="O79" s="10">
        <f>Interpolate_Range('試算番号2-3'!$G$11:$G$130,'試算番号2-3'!$N$11:$N$130,G79)</f>
        <v>2.7554606539080914E-2</v>
      </c>
      <c r="P79" s="1">
        <f t="shared" si="17"/>
        <v>0.28848083659960672</v>
      </c>
      <c r="Q79" s="1">
        <f t="shared" si="16"/>
        <v>-1.6100000000000001E-3</v>
      </c>
      <c r="R79" s="5">
        <f t="shared" si="18"/>
        <v>12.835128639170977</v>
      </c>
      <c r="S79" s="1">
        <f t="shared" si="19"/>
        <v>3.003128138615475E-2</v>
      </c>
    </row>
    <row r="80" spans="7:19">
      <c r="G80" s="13">
        <f t="shared" si="13"/>
        <v>15.75</v>
      </c>
      <c r="H80" s="2">
        <f>Interpolate_Range('試算番号2-1'!$G$10:$G$130,'試算番号2-1'!$I$10:$I$130,G80)</f>
        <v>0.78361443855202939</v>
      </c>
      <c r="I80" s="1">
        <f>Interpolate_Range('試算番号2-1'!$G$11:$G$130,'試算番号2-1'!$N$11:$N$130,G80)</f>
        <v>2.3595780670324758E-2</v>
      </c>
      <c r="J80" s="5">
        <f t="shared" si="8"/>
        <v>14.520282472717561</v>
      </c>
      <c r="K80" s="1">
        <f t="shared" si="12"/>
        <v>0.19046322716355157</v>
      </c>
      <c r="L80" s="1">
        <f t="shared" si="15"/>
        <v>-5.4296250000000004E-3</v>
      </c>
      <c r="M80" s="1">
        <f t="shared" si="9"/>
        <v>-7.8839688720929099E-2</v>
      </c>
      <c r="N80" s="18">
        <f t="shared" si="14"/>
        <v>0.62334546436627536</v>
      </c>
      <c r="O80" s="10">
        <f>Interpolate_Range('試算番号2-3'!$G$11:$G$130,'試算番号2-3'!$N$11:$N$130,G80)</f>
        <v>2.7767136745859341E-2</v>
      </c>
      <c r="P80" s="1">
        <f t="shared" si="17"/>
        <v>0.29280796628684913</v>
      </c>
      <c r="Q80" s="1">
        <f t="shared" si="16"/>
        <v>-1.6100000000000001E-3</v>
      </c>
      <c r="R80" s="5">
        <f t="shared" si="18"/>
        <v>12.990965005262545</v>
      </c>
      <c r="S80" s="1">
        <f t="shared" si="19"/>
        <v>3.0009802948623085E-2</v>
      </c>
    </row>
    <row r="81" spans="7:19">
      <c r="G81" s="13">
        <f t="shared" si="13"/>
        <v>16</v>
      </c>
      <c r="H81" s="2">
        <f>Interpolate_Range('試算番号2-1'!$G$10:$G$130,'試算番号2-1'!$I$10:$I$130,G81)</f>
        <v>0.77851686471232773</v>
      </c>
      <c r="I81" s="1">
        <f>Interpolate_Range('試算番号2-1'!$G$11:$G$130,'試算番号2-1'!$N$11:$N$130,G81)</f>
        <v>2.3744413325969892E-2</v>
      </c>
      <c r="J81" s="5">
        <f t="shared" si="8"/>
        <v>14.714911688895643</v>
      </c>
      <c r="K81" s="1">
        <f t="shared" si="12"/>
        <v>0.1950845837177935</v>
      </c>
      <c r="L81" s="1">
        <f t="shared" si="15"/>
        <v>-5.3507500000000005E-3</v>
      </c>
      <c r="M81" s="1">
        <f t="shared" si="9"/>
        <v>-7.8735813719358366E-2</v>
      </c>
      <c r="N81" s="18">
        <f t="shared" si="14"/>
        <v>0.6188926797689337</v>
      </c>
      <c r="O81" s="10">
        <f>Interpolate_Range('試算番号2-3'!$G$11:$G$130,'試算番号2-3'!$N$11:$N$130,G81)</f>
        <v>2.7982535638819809E-2</v>
      </c>
      <c r="P81" s="1">
        <f t="shared" si="17"/>
        <v>0.29713751290390883</v>
      </c>
      <c r="Q81" s="1">
        <f t="shared" si="16"/>
        <v>-1.6100000000000001E-3</v>
      </c>
      <c r="R81" s="5">
        <f t="shared" si="18"/>
        <v>13.145688175204779</v>
      </c>
      <c r="S81" s="1">
        <f t="shared" si="19"/>
        <v>2.9988962382243339E-2</v>
      </c>
    </row>
    <row r="82" spans="7:19">
      <c r="G82" s="13">
        <f t="shared" si="13"/>
        <v>16.25</v>
      </c>
      <c r="H82" s="2">
        <f>Interpolate_Range('試算番号2-1'!$G$10:$G$130,'試算番号2-1'!$I$10:$I$130,G82)</f>
        <v>0.77334134640204244</v>
      </c>
      <c r="I82" s="1">
        <f>Interpolate_Range('試算番号2-1'!$G$11:$G$130,'試算番号2-1'!$N$11:$N$130,G82)</f>
        <v>2.4300925208819039E-2</v>
      </c>
      <c r="J82" s="5">
        <f t="shared" si="8"/>
        <v>14.908247025496154</v>
      </c>
      <c r="K82" s="1">
        <f t="shared" si="12"/>
        <v>0.19978281127274436</v>
      </c>
      <c r="L82" s="1">
        <f t="shared" si="15"/>
        <v>-5.2718750000000005E-3</v>
      </c>
      <c r="M82" s="1">
        <f t="shared" si="9"/>
        <v>-7.859441478753755E-2</v>
      </c>
      <c r="N82" s="18">
        <f t="shared" si="14"/>
        <v>0.61450683054215272</v>
      </c>
      <c r="O82" s="10">
        <f>Interpolate_Range('試算番号2-3'!$G$11:$G$130,'試算番号2-3'!$N$11:$N$130,G82)</f>
        <v>2.7972326353275484E-2</v>
      </c>
      <c r="P82" s="1">
        <f t="shared" si="17"/>
        <v>0.30143480930646932</v>
      </c>
      <c r="Q82" s="1">
        <f t="shared" si="16"/>
        <v>-1.6100000000000001E-3</v>
      </c>
      <c r="R82" s="5">
        <f t="shared" si="18"/>
        <v>13.299314882840317</v>
      </c>
      <c r="S82" s="1">
        <f t="shared" si="19"/>
        <v>2.996524519557775E-2</v>
      </c>
    </row>
    <row r="83" spans="7:19">
      <c r="G83" s="13">
        <f t="shared" si="13"/>
        <v>16.5</v>
      </c>
      <c r="H83" s="2">
        <f>Interpolate_Range('試算番号2-1'!$G$10:$G$130,'試算番号2-1'!$I$10:$I$130,G83)</f>
        <v>0.76816582809175715</v>
      </c>
      <c r="I83" s="1">
        <f>Interpolate_Range('試算番号2-1'!$G$11:$G$130,'試算番号2-1'!$N$11:$N$130,G83)</f>
        <v>2.4459239802862357E-2</v>
      </c>
      <c r="J83" s="5">
        <f t="shared" si="8"/>
        <v>15.100288482519094</v>
      </c>
      <c r="K83" s="1">
        <f t="shared" si="12"/>
        <v>0.20447999932215952</v>
      </c>
      <c r="L83" s="1">
        <f t="shared" ref="L83:L114" si="20">Interpolate_Range($D$35:$D$49,$E$35:$E$49,G83)</f>
        <v>-5.1930000000000006E-3</v>
      </c>
      <c r="M83" s="1">
        <f t="shared" si="9"/>
        <v>-7.8415798089721669E-2</v>
      </c>
      <c r="N83" s="18">
        <f t="shared" si="14"/>
        <v>0.61015260118142056</v>
      </c>
      <c r="O83" s="10">
        <f>Interpolate_Range('試算番号2-3'!$G$11:$G$130,'試算番号2-3'!$N$11:$N$130,G83)</f>
        <v>2.8190339343485558E-2</v>
      </c>
      <c r="P83" s="1">
        <f t="shared" si="17"/>
        <v>0.30573491152612298</v>
      </c>
      <c r="Q83" s="1">
        <f t="shared" ref="Q83:Q114" si="21">Interpolate_Range($A$35:$A$49,$B$35:$B$49,L83)</f>
        <v>-1.6100000000000001E-3</v>
      </c>
      <c r="R83" s="5">
        <f t="shared" si="18"/>
        <v>13.451853033135672</v>
      </c>
      <c r="S83" s="1">
        <f t="shared" si="19"/>
        <v>2.9942193165446225E-2</v>
      </c>
    </row>
    <row r="84" spans="7:19">
      <c r="G84" s="13">
        <f t="shared" si="13"/>
        <v>16.75</v>
      </c>
      <c r="H84" s="2">
        <f>Interpolate_Range('試算番号2-1'!$G$10:$G$130,'試算番号2-1'!$I$10:$I$130,G84)</f>
        <v>0.76291530195123003</v>
      </c>
      <c r="I84" s="1">
        <f>Interpolate_Range('試算番号2-1'!$G$11:$G$130,'試算番号2-1'!$N$11:$N$130,G84)</f>
        <v>2.5015749242454637E-2</v>
      </c>
      <c r="J84" s="5">
        <f t="shared" ref="J84:J137" si="22">J83+H84*0.25</f>
        <v>15.291017308006902</v>
      </c>
      <c r="K84" s="1">
        <f t="shared" si="12"/>
        <v>0.2092512237938704</v>
      </c>
      <c r="L84" s="1">
        <f t="shared" si="20"/>
        <v>-5.1141250000000006E-3</v>
      </c>
      <c r="M84" s="1">
        <f t="shared" ref="M84:M137" si="23">L84*J84</f>
        <v>-7.8200173890310809E-2</v>
      </c>
      <c r="N84" s="18">
        <f t="shared" si="14"/>
        <v>0.60582966232831637</v>
      </c>
      <c r="O84" s="10">
        <f>Interpolate_Range('試算番号2-3'!$G$11:$G$130,'試算番号2-3'!$N$11:$N$130,G84)</f>
        <v>2.8411337974097318E-2</v>
      </c>
      <c r="P84" s="1">
        <f t="shared" ref="P84:P115" si="24">P83+O84*N84*0.25</f>
        <v>0.31003801934890873</v>
      </c>
      <c r="Q84" s="1">
        <f t="shared" si="21"/>
        <v>-1.6100000000000001E-3</v>
      </c>
      <c r="R84" s="5">
        <f t="shared" ref="R84:R115" si="25">R83+N84*0.25</f>
        <v>13.603310448717751</v>
      </c>
      <c r="S84" s="1">
        <f t="shared" si="19"/>
        <v>2.9919786130835534E-2</v>
      </c>
    </row>
    <row r="85" spans="7:19">
      <c r="G85" s="13">
        <f t="shared" si="13"/>
        <v>17</v>
      </c>
      <c r="H85" s="2">
        <f>Interpolate_Range('試算番号2-1'!$G$10:$G$130,'試算番号2-1'!$I$10:$I$130,G85)</f>
        <v>0.7576647758107028</v>
      </c>
      <c r="I85" s="1">
        <f>Interpolate_Range('試算番号2-1'!$G$11:$G$130,'試算番号2-1'!$N$11:$N$130,G85)</f>
        <v>2.518415886624021E-2</v>
      </c>
      <c r="J85" s="5">
        <f t="shared" si="22"/>
        <v>15.480433501959578</v>
      </c>
      <c r="K85" s="1">
        <f t="shared" ref="K85:K137" si="26">K84+I85*H85*0.25</f>
        <v>0.21402151131421315</v>
      </c>
      <c r="L85" s="1">
        <f t="shared" si="20"/>
        <v>-5.0352500000000007E-3</v>
      </c>
      <c r="M85" s="1">
        <f t="shared" si="23"/>
        <v>-7.794785279074197E-2</v>
      </c>
      <c r="N85" s="18">
        <f t="shared" si="14"/>
        <v>0.60153754855980002</v>
      </c>
      <c r="O85" s="10">
        <f>Interpolate_Range('試算番号2-3'!$G$11:$G$130,'試算番号2-3'!$N$11:$N$130,G85)</f>
        <v>2.8635386911464982E-2</v>
      </c>
      <c r="P85" s="1">
        <f t="shared" si="24"/>
        <v>0.31434433446010474</v>
      </c>
      <c r="Q85" s="1">
        <f t="shared" si="21"/>
        <v>-1.6100000000000001E-3</v>
      </c>
      <c r="R85" s="5">
        <f t="shared" si="25"/>
        <v>13.753694835857701</v>
      </c>
      <c r="S85" s="1">
        <f t="shared" si="19"/>
        <v>2.989801886146657E-2</v>
      </c>
    </row>
    <row r="86" spans="7:19">
      <c r="G86" s="13">
        <f t="shared" ref="G86:G132" si="27">G85+0.25</f>
        <v>17.25</v>
      </c>
      <c r="H86" s="2">
        <f>Interpolate_Range('試算番号2-1'!$G$10:$G$130,'試算番号2-1'!$I$10:$I$130,G86)</f>
        <v>0.75234220021153009</v>
      </c>
      <c r="I86" s="1">
        <f>Interpolate_Range('試算番号2-1'!$G$11:$G$130,'試算番号2-1'!$N$11:$N$130,G86)</f>
        <v>2.574077373333377E-2</v>
      </c>
      <c r="J86" s="5">
        <f t="shared" si="22"/>
        <v>15.66851905201246</v>
      </c>
      <c r="K86" s="1">
        <f t="shared" si="26"/>
        <v>0.21886297890063403</v>
      </c>
      <c r="L86" s="1">
        <f t="shared" si="20"/>
        <v>-4.9563750000000007E-3</v>
      </c>
      <c r="M86" s="1">
        <f t="shared" si="23"/>
        <v>-7.7659056116418268E-2</v>
      </c>
      <c r="N86" s="18">
        <f t="shared" ref="N86:N137" si="28">(H86+K86+M86-P85-R85*Q86)/(1+(O86+Q86)*0.25)</f>
        <v>0.59731285268972611</v>
      </c>
      <c r="O86" s="10">
        <f>Interpolate_Range('試算番号2-3'!$G$11:$G$130,'試算番号2-3'!$N$11:$N$130,G86)</f>
        <v>2.861350085211016E-2</v>
      </c>
      <c r="P86" s="1">
        <f t="shared" si="24"/>
        <v>0.31861713741495817</v>
      </c>
      <c r="Q86" s="1">
        <f t="shared" si="21"/>
        <v>-1.6100000000000001E-3</v>
      </c>
      <c r="R86" s="5">
        <f t="shared" si="25"/>
        <v>13.903023049030132</v>
      </c>
      <c r="S86" s="1">
        <f t="shared" si="19"/>
        <v>2.9873290521445196E-2</v>
      </c>
    </row>
    <row r="87" spans="7:19">
      <c r="G87" s="13">
        <f t="shared" si="27"/>
        <v>17.5</v>
      </c>
      <c r="H87" s="2">
        <f>Interpolate_Range('試算番号2-1'!$G$10:$G$130,'試算番号2-1'!$I$10:$I$130,G87)</f>
        <v>0.74701962461235738</v>
      </c>
      <c r="I87" s="1">
        <f>Interpolate_Range('試算番号2-1'!$G$11:$G$130,'試算番号2-1'!$N$11:$N$130,G87)</f>
        <v>2.5919710614123757E-2</v>
      </c>
      <c r="J87" s="5">
        <f t="shared" si="22"/>
        <v>15.855273958165549</v>
      </c>
      <c r="K87" s="1">
        <f t="shared" si="26"/>
        <v>0.22370361202388994</v>
      </c>
      <c r="L87" s="1">
        <f t="shared" si="20"/>
        <v>-4.8774999999999999E-3</v>
      </c>
      <c r="M87" s="1">
        <f t="shared" si="23"/>
        <v>-7.7334098730952469E-2</v>
      </c>
      <c r="N87" s="18">
        <f t="shared" si="28"/>
        <v>0.59311819043711422</v>
      </c>
      <c r="O87" s="10">
        <f>Interpolate_Range('試算番号2-3'!$G$11:$G$130,'試算番号2-3'!$N$11:$N$130,G87)</f>
        <v>2.8840169145109701E-2</v>
      </c>
      <c r="P87" s="1">
        <f t="shared" si="24"/>
        <v>0.32289354464877013</v>
      </c>
      <c r="Q87" s="1">
        <f t="shared" si="21"/>
        <v>-1.6100000000000001E-3</v>
      </c>
      <c r="R87" s="5">
        <f t="shared" si="25"/>
        <v>14.051302596639411</v>
      </c>
      <c r="S87" s="1">
        <f t="shared" si="19"/>
        <v>2.9849233743223888E-2</v>
      </c>
    </row>
    <row r="88" spans="7:19">
      <c r="G88" s="13">
        <f t="shared" si="27"/>
        <v>17.75</v>
      </c>
      <c r="H88" s="2">
        <f>Interpolate_Range('試算番号2-1'!$G$10:$G$130,'試算番号2-1'!$I$10:$I$130,G88)</f>
        <v>0.74162797726262575</v>
      </c>
      <c r="I88" s="1">
        <f>Interpolate_Range('試算番号2-1'!$G$11:$G$130,'試算番号2-1'!$N$11:$N$130,G88)</f>
        <v>2.6476549034801049E-2</v>
      </c>
      <c r="J88" s="5">
        <f t="shared" si="22"/>
        <v>16.040680952481207</v>
      </c>
      <c r="K88" s="1">
        <f t="shared" si="26"/>
        <v>0.2286125494002835</v>
      </c>
      <c r="L88" s="1">
        <f t="shared" si="20"/>
        <v>-4.7986249999999999E-3</v>
      </c>
      <c r="M88" s="1">
        <f t="shared" si="23"/>
        <v>-7.6973212635600127E-2</v>
      </c>
      <c r="N88" s="18">
        <f t="shared" si="28"/>
        <v>0.5889532011918579</v>
      </c>
      <c r="O88" s="10">
        <f>Interpolate_Range('試算番号2-3'!$G$11:$G$130,'試算番号2-3'!$N$11:$N$130,G88)</f>
        <v>2.9070011145799182E-2</v>
      </c>
      <c r="P88" s="1">
        <f t="shared" si="24"/>
        <v>0.3271737636795205</v>
      </c>
      <c r="Q88" s="1">
        <f t="shared" si="21"/>
        <v>-1.6100000000000001E-3</v>
      </c>
      <c r="R88" s="5">
        <f t="shared" si="25"/>
        <v>14.198540896937375</v>
      </c>
      <c r="S88" s="1">
        <f t="shared" si="19"/>
        <v>2.9825833981408159E-2</v>
      </c>
    </row>
    <row r="89" spans="7:19">
      <c r="G89" s="13">
        <f t="shared" si="27"/>
        <v>18</v>
      </c>
      <c r="H89" s="2">
        <f>Interpolate_Range('試算番号2-1'!$G$10:$G$130,'試算番号2-1'!$I$10:$I$130,G89)</f>
        <v>0.73623632991289401</v>
      </c>
      <c r="I89" s="1">
        <f>Interpolate_Range('試算番号2-1'!$G$11:$G$130,'試算番号2-1'!$N$11:$N$130,G89)</f>
        <v>2.6666465982404387E-2</v>
      </c>
      <c r="J89" s="5">
        <f t="shared" si="22"/>
        <v>16.224740034959432</v>
      </c>
      <c r="K89" s="1">
        <f t="shared" si="26"/>
        <v>0.23352075466194161</v>
      </c>
      <c r="L89" s="1">
        <f t="shared" si="20"/>
        <v>-4.71975E-3</v>
      </c>
      <c r="M89" s="1">
        <f t="shared" si="23"/>
        <v>-7.6576716779999776E-2</v>
      </c>
      <c r="N89" s="18">
        <f t="shared" si="28"/>
        <v>0.58481740368476598</v>
      </c>
      <c r="O89" s="10">
        <f>Interpolate_Range('試算番号2-3'!$G$11:$G$130,'試算番号2-3'!$N$11:$N$130,G89)</f>
        <v>2.9303097018713586E-2</v>
      </c>
      <c r="P89" s="1">
        <f t="shared" si="24"/>
        <v>0.33145800395912223</v>
      </c>
      <c r="Q89" s="1">
        <f t="shared" si="21"/>
        <v>-1.6100000000000001E-3</v>
      </c>
      <c r="R89" s="5">
        <f t="shared" si="25"/>
        <v>14.344745247858567</v>
      </c>
      <c r="S89" s="1">
        <f t="shared" si="19"/>
        <v>2.9803089495917826E-2</v>
      </c>
    </row>
    <row r="90" spans="7:19">
      <c r="G90" s="13">
        <f t="shared" si="27"/>
        <v>18.25</v>
      </c>
      <c r="H90" s="2">
        <f>Interpolate_Range('試算番号2-1'!$G$10:$G$130,'試算番号2-1'!$I$10:$I$130,G90)</f>
        <v>0.73077860546471629</v>
      </c>
      <c r="I90" s="1">
        <f>Interpolate_Range('試算番号2-1'!$G$11:$G$130,'試算番号2-1'!$N$11:$N$130,G90)</f>
        <v>2.7223657218935587E-2</v>
      </c>
      <c r="J90" s="5">
        <f t="shared" si="22"/>
        <v>16.407434686325612</v>
      </c>
      <c r="K90" s="1">
        <f t="shared" si="26"/>
        <v>0.23849437122646741</v>
      </c>
      <c r="L90" s="1">
        <f t="shared" si="20"/>
        <v>-4.640875E-3</v>
      </c>
      <c r="M90" s="1">
        <f t="shared" si="23"/>
        <v>-7.6144853449901378E-2</v>
      </c>
      <c r="N90" s="18">
        <f t="shared" si="28"/>
        <v>0.58074937291218609</v>
      </c>
      <c r="O90" s="10">
        <f>Interpolate_Range('試算番号2-3'!$G$11:$G$130,'試算番号2-3'!$N$11:$N$130,G90)</f>
        <v>2.9269340888403637E-2</v>
      </c>
      <c r="P90" s="1">
        <f t="shared" si="24"/>
        <v>0.33570754180074558</v>
      </c>
      <c r="Q90" s="1">
        <f t="shared" si="21"/>
        <v>-1.6100000000000001E-3</v>
      </c>
      <c r="R90" s="5">
        <f t="shared" si="25"/>
        <v>14.489932591086614</v>
      </c>
      <c r="S90" s="1">
        <f t="shared" si="19"/>
        <v>2.9777314362838786E-2</v>
      </c>
    </row>
    <row r="91" spans="7:19">
      <c r="G91" s="13">
        <f t="shared" si="27"/>
        <v>18.5</v>
      </c>
      <c r="H91" s="2">
        <f>Interpolate_Range('試算番号2-1'!$G$10:$G$130,'試算番号2-1'!$I$10:$I$130,G91)</f>
        <v>0.72532088101653858</v>
      </c>
      <c r="I91" s="1">
        <f>Interpolate_Range('試算番号2-1'!$G$11:$G$130,'試算番号2-1'!$N$11:$N$130,G91)</f>
        <v>2.7425029199736044E-2</v>
      </c>
      <c r="J91" s="5">
        <f t="shared" si="22"/>
        <v>16.588764906579748</v>
      </c>
      <c r="K91" s="1">
        <f t="shared" si="26"/>
        <v>0.24346735781173162</v>
      </c>
      <c r="L91" s="1">
        <f t="shared" si="20"/>
        <v>-4.5620000000000001E-3</v>
      </c>
      <c r="M91" s="1">
        <f t="shared" si="23"/>
        <v>-7.5677945503816804E-2</v>
      </c>
      <c r="N91" s="18">
        <f t="shared" si="28"/>
        <v>0.57670970603200467</v>
      </c>
      <c r="O91" s="10">
        <f>Interpolate_Range('試算番号2-3'!$G$11:$G$130,'試算番号2-3'!$N$11:$N$130,G91)</f>
        <v>2.9505053065948743E-2</v>
      </c>
      <c r="P91" s="1">
        <f t="shared" si="24"/>
        <v>0.33996150442077611</v>
      </c>
      <c r="Q91" s="1">
        <f t="shared" si="21"/>
        <v>-1.6100000000000001E-3</v>
      </c>
      <c r="R91" s="5">
        <f t="shared" si="25"/>
        <v>14.634110017594615</v>
      </c>
      <c r="S91" s="1">
        <f t="shared" si="19"/>
        <v>2.975222963275001E-2</v>
      </c>
    </row>
    <row r="92" spans="7:19">
      <c r="G92" s="13">
        <f t="shared" si="27"/>
        <v>18.75</v>
      </c>
      <c r="H92" s="2">
        <f>Interpolate_Range('試算番号2-1'!$G$10:$G$130,'試算番号2-1'!$I$10:$I$130,G92)</f>
        <v>0.71980008867838352</v>
      </c>
      <c r="I92" s="1">
        <f>Interpolate_Range('試算番号2-1'!$G$11:$G$130,'試算番号2-1'!$N$11:$N$130,G92)</f>
        <v>2.7982714617676804E-2</v>
      </c>
      <c r="J92" s="5">
        <f t="shared" si="22"/>
        <v>16.768714928749343</v>
      </c>
      <c r="K92" s="1">
        <f t="shared" si="26"/>
        <v>0.24850284792754804</v>
      </c>
      <c r="L92" s="1">
        <f t="shared" si="20"/>
        <v>-4.4831250000000001E-3</v>
      </c>
      <c r="M92" s="1">
        <f t="shared" si="23"/>
        <v>-7.51762451149494E-2</v>
      </c>
      <c r="N92" s="18">
        <f t="shared" si="28"/>
        <v>0.57269801275483811</v>
      </c>
      <c r="O92" s="10">
        <f>Interpolate_Range('試算番号2-3'!$G$11:$G$130,'試算番号2-3'!$N$11:$N$130,G92)</f>
        <v>2.9744139487015642E-2</v>
      </c>
      <c r="P92" s="1">
        <f t="shared" si="24"/>
        <v>0.34422010681460524</v>
      </c>
      <c r="Q92" s="1">
        <f t="shared" si="21"/>
        <v>-1.6100000000000001E-3</v>
      </c>
      <c r="R92" s="5">
        <f t="shared" si="25"/>
        <v>14.777284520783326</v>
      </c>
      <c r="S92" s="1">
        <f t="shared" si="19"/>
        <v>2.9727825575825158E-2</v>
      </c>
    </row>
    <row r="93" spans="7:19">
      <c r="G93" s="13">
        <f t="shared" si="27"/>
        <v>19</v>
      </c>
      <c r="H93" s="2">
        <f>Interpolate_Range('試算番号2-1'!$G$10:$G$130,'試算番号2-1'!$I$10:$I$130,G93)</f>
        <v>0.71427929634022846</v>
      </c>
      <c r="I93" s="1">
        <f>Interpolate_Range('試算番号2-1'!$G$11:$G$130,'試算番号2-1'!$N$11:$N$130,G93)</f>
        <v>2.8196040469820244E-2</v>
      </c>
      <c r="J93" s="5">
        <f t="shared" si="22"/>
        <v>16.947284752834399</v>
      </c>
      <c r="K93" s="1">
        <f t="shared" si="26"/>
        <v>0.25353780991413899</v>
      </c>
      <c r="L93" s="1">
        <f t="shared" si="20"/>
        <v>-4.4042500000000002E-3</v>
      </c>
      <c r="M93" s="1">
        <f t="shared" si="23"/>
        <v>-7.4640078872670906E-2</v>
      </c>
      <c r="N93" s="18">
        <f t="shared" si="28"/>
        <v>0.56871379681559819</v>
      </c>
      <c r="O93" s="10">
        <f>Interpolate_Range('試算番号2-3'!$G$11:$G$130,'試算番号2-3'!$N$11:$N$130,G93)</f>
        <v>2.9986676300416511E-2</v>
      </c>
      <c r="P93" s="1">
        <f t="shared" si="24"/>
        <v>0.3484835659477778</v>
      </c>
      <c r="Q93" s="1">
        <f t="shared" si="21"/>
        <v>-1.6100000000000001E-3</v>
      </c>
      <c r="R93" s="5">
        <f t="shared" si="25"/>
        <v>14.919462969987226</v>
      </c>
      <c r="S93" s="1">
        <f t="shared" si="19"/>
        <v>2.970410340492485E-2</v>
      </c>
    </row>
    <row r="94" spans="7:19">
      <c r="G94" s="13">
        <f t="shared" si="27"/>
        <v>19.25</v>
      </c>
      <c r="H94" s="2">
        <f>Interpolate_Range('試算番号2-1'!$G$10:$G$130,'試算番号2-1'!$I$10:$I$130,G94)</f>
        <v>0.70869845749650939</v>
      </c>
      <c r="I94" s="1">
        <f>Interpolate_Range('試算番号2-1'!$G$11:$G$130,'試算番号2-1'!$N$11:$N$130,G94)</f>
        <v>2.8754374601328368E-2</v>
      </c>
      <c r="J94" s="5">
        <f t="shared" si="22"/>
        <v>17.124459367208527</v>
      </c>
      <c r="K94" s="1">
        <f t="shared" si="26"/>
        <v>0.25863235514569854</v>
      </c>
      <c r="L94" s="1">
        <f t="shared" si="20"/>
        <v>-4.3253750000000002E-3</v>
      </c>
      <c r="M94" s="1">
        <f t="shared" si="23"/>
        <v>-7.4069708435439585E-2</v>
      </c>
      <c r="N94" s="18">
        <f t="shared" si="28"/>
        <v>0.56479757437900091</v>
      </c>
      <c r="O94" s="10">
        <f>Interpolate_Range('試算番号2-3'!$G$11:$G$130,'試算番号2-3'!$N$11:$N$130,G94)</f>
        <v>2.9940852986169657E-2</v>
      </c>
      <c r="P94" s="1">
        <f t="shared" si="24"/>
        <v>0.35271119623313452</v>
      </c>
      <c r="Q94" s="1">
        <f t="shared" si="21"/>
        <v>-1.6100000000000001E-3</v>
      </c>
      <c r="R94" s="5">
        <f t="shared" si="25"/>
        <v>15.060662363581976</v>
      </c>
      <c r="S94" s="1">
        <f t="shared" si="19"/>
        <v>2.9677292855432223E-2</v>
      </c>
    </row>
    <row r="95" spans="7:19">
      <c r="G95" s="13">
        <f t="shared" si="27"/>
        <v>19.5</v>
      </c>
      <c r="H95" s="2">
        <f>Interpolate_Range('試算番号2-1'!$G$10:$G$130,'試算番号2-1'!$I$10:$I$130,G95)</f>
        <v>0.70311761865279021</v>
      </c>
      <c r="I95" s="1">
        <f>Interpolate_Range('試算番号2-1'!$G$11:$G$130,'試算番号2-1'!$N$11:$N$130,G95)</f>
        <v>2.8980178906508829E-2</v>
      </c>
      <c r="J95" s="5">
        <f t="shared" si="22"/>
        <v>17.300238771871726</v>
      </c>
      <c r="K95" s="1">
        <f t="shared" si="26"/>
        <v>0.26372647374091762</v>
      </c>
      <c r="L95" s="1">
        <f t="shared" si="20"/>
        <v>-4.2465000000000003E-3</v>
      </c>
      <c r="M95" s="1">
        <f t="shared" si="23"/>
        <v>-7.3465463944753284E-2</v>
      </c>
      <c r="N95" s="18">
        <f t="shared" si="28"/>
        <v>0.56090796855462255</v>
      </c>
      <c r="O95" s="10">
        <f>Interpolate_Range('試算番号2-3'!$G$11:$G$130,'試算番号2-3'!$N$11:$N$130,G95)</f>
        <v>3.0186025239151596E-2</v>
      </c>
      <c r="P95" s="1">
        <f t="shared" si="24"/>
        <v>0.35694409175704228</v>
      </c>
      <c r="Q95" s="1">
        <f t="shared" si="21"/>
        <v>-1.6100000000000001E-3</v>
      </c>
      <c r="R95" s="5">
        <f t="shared" si="25"/>
        <v>15.200889355720632</v>
      </c>
      <c r="S95" s="1">
        <f t="shared" si="19"/>
        <v>2.9651201837906586E-2</v>
      </c>
    </row>
    <row r="96" spans="7:19">
      <c r="G96" s="13">
        <f t="shared" si="27"/>
        <v>19.75</v>
      </c>
      <c r="H96" s="2">
        <f>Interpolate_Range('試算番号2-1'!$G$10:$G$130,'試算番号2-1'!$I$10:$I$130,G96)</f>
        <v>0.69747976449314686</v>
      </c>
      <c r="I96" s="1">
        <f>Interpolate_Range('試算番号2-1'!$G$11:$G$130,'試算番号2-1'!$N$11:$N$130,G96)</f>
        <v>2.9539330621211023E-2</v>
      </c>
      <c r="J96" s="5">
        <f t="shared" si="22"/>
        <v>17.474608712995014</v>
      </c>
      <c r="K96" s="1">
        <f t="shared" si="26"/>
        <v>0.26887724508215949</v>
      </c>
      <c r="L96" s="1">
        <f t="shared" si="20"/>
        <v>-4.1676250000000003E-3</v>
      </c>
      <c r="M96" s="1">
        <f t="shared" si="23"/>
        <v>-7.2827616137495846E-2</v>
      </c>
      <c r="N96" s="18">
        <f t="shared" si="28"/>
        <v>0.55704456100376165</v>
      </c>
      <c r="O96" s="10">
        <f>Interpolate_Range('試算番号2-3'!$G$11:$G$130,'試算番号2-3'!$N$11:$N$130,G96)</f>
        <v>3.043478581234901E-2</v>
      </c>
      <c r="P96" s="1">
        <f t="shared" si="24"/>
        <v>0.36118247473256315</v>
      </c>
      <c r="Q96" s="1">
        <f t="shared" si="21"/>
        <v>-1.6100000000000001E-3</v>
      </c>
      <c r="R96" s="5">
        <f t="shared" si="25"/>
        <v>15.340150495971573</v>
      </c>
      <c r="S96" s="1">
        <f t="shared" si="19"/>
        <v>2.9625824833050176E-2</v>
      </c>
    </row>
    <row r="97" spans="7:19">
      <c r="G97" s="13">
        <f t="shared" si="27"/>
        <v>20</v>
      </c>
      <c r="H97" s="2">
        <f>Interpolate_Range('試算番号2-1'!$G$10:$G$130,'試算番号2-1'!$I$10:$I$130,G97)</f>
        <v>0.69184191033350351</v>
      </c>
      <c r="I97" s="1">
        <f>Interpolate_Range('試算番号2-1'!$G$11:$G$130,'試算番号2-1'!$N$11:$N$130,G97)</f>
        <v>2.9778165750471212E-2</v>
      </c>
      <c r="J97" s="5">
        <f t="shared" si="22"/>
        <v>17.647569190578391</v>
      </c>
      <c r="K97" s="1">
        <f t="shared" si="26"/>
        <v>0.27402769085191792</v>
      </c>
      <c r="L97" s="1">
        <f t="shared" si="20"/>
        <v>-4.0887500000000004E-3</v>
      </c>
      <c r="M97" s="1">
        <f t="shared" si="23"/>
        <v>-7.2156498527977397E-2</v>
      </c>
      <c r="N97" s="18">
        <f t="shared" si="28"/>
        <v>0.55320684132861031</v>
      </c>
      <c r="O97" s="10">
        <f>Interpolate_Range('試算番号2-3'!$G$11:$G$130,'試算番号2-3'!$N$11:$N$130,G97)</f>
        <v>3.0687217375885832E-2</v>
      </c>
      <c r="P97" s="1">
        <f t="shared" si="24"/>
        <v>0.36542656938098272</v>
      </c>
      <c r="Q97" s="1">
        <f t="shared" si="21"/>
        <v>-1.6100000000000001E-3</v>
      </c>
      <c r="R97" s="5">
        <f t="shared" si="25"/>
        <v>15.478452206303725</v>
      </c>
      <c r="S97" s="1">
        <f t="shared" si="19"/>
        <v>2.9601165622057907E-2</v>
      </c>
    </row>
    <row r="98" spans="7:19">
      <c r="G98" s="13">
        <f t="shared" si="27"/>
        <v>20.25</v>
      </c>
      <c r="H98" s="2">
        <f>Interpolate_Range('試算番号2-1'!$G$10:$G$130,'試算番号2-1'!$I$10:$I$130,G98)</f>
        <v>0.68759570666660874</v>
      </c>
      <c r="I98" s="1">
        <f>Interpolate_Range('試算番号2-1'!$G$11:$G$130,'試算番号2-1'!$N$11:$N$130,G98)</f>
        <v>2.2316814483959304E-2</v>
      </c>
      <c r="J98" s="5">
        <f t="shared" si="22"/>
        <v>17.819468117245044</v>
      </c>
      <c r="K98" s="1">
        <f t="shared" si="26"/>
        <v>0.27786392730832932</v>
      </c>
      <c r="L98" s="1">
        <f t="shared" si="20"/>
        <v>-4.0368125000000005E-3</v>
      </c>
      <c r="M98" s="1">
        <f t="shared" si="23"/>
        <v>-7.1933851639046267E-2</v>
      </c>
      <c r="N98" s="18">
        <f t="shared" si="28"/>
        <v>0.54978560353711292</v>
      </c>
      <c r="O98" s="10">
        <f>Interpolate_Range('試算番号2-3'!$G$11:$G$130,'試算番号2-3'!$N$11:$N$130,G98)</f>
        <v>2.5138571495063943E-2</v>
      </c>
      <c r="P98" s="1">
        <f t="shared" si="24"/>
        <v>0.36888177555635138</v>
      </c>
      <c r="Q98" s="1">
        <f t="shared" si="21"/>
        <v>-1.6100000000000001E-3</v>
      </c>
      <c r="R98" s="5">
        <f t="shared" si="25"/>
        <v>15.615898607188003</v>
      </c>
      <c r="S98" s="1">
        <f t="shared" si="19"/>
        <v>2.954206856803333E-2</v>
      </c>
    </row>
    <row r="99" spans="7:19">
      <c r="G99" s="13">
        <f t="shared" si="27"/>
        <v>20.5</v>
      </c>
      <c r="H99" s="2">
        <f>Interpolate_Range('試算番号2-1'!$G$10:$G$130,'試算番号2-1'!$I$10:$I$130,G99)</f>
        <v>0.68334950299971398</v>
      </c>
      <c r="I99" s="1">
        <f>Interpolate_Range('試算番号2-1'!$G$11:$G$130,'試算番号2-1'!$N$11:$N$130,G99)</f>
        <v>2.2458804426565861E-2</v>
      </c>
      <c r="J99" s="5">
        <f t="shared" si="22"/>
        <v>17.990305492994974</v>
      </c>
      <c r="K99" s="1">
        <f t="shared" si="26"/>
        <v>0.28170073051904471</v>
      </c>
      <c r="L99" s="1">
        <f t="shared" si="20"/>
        <v>-3.9848750000000006E-3</v>
      </c>
      <c r="M99" s="1">
        <f t="shared" si="23"/>
        <v>-7.1689118601398358E-2</v>
      </c>
      <c r="N99" s="18">
        <f t="shared" si="28"/>
        <v>0.5463831588552448</v>
      </c>
      <c r="O99" s="10">
        <f>Interpolate_Range('試算番号2-3'!$G$11:$G$130,'試算番号2-3'!$N$11:$N$130,G99)</f>
        <v>2.5313345982482058E-2</v>
      </c>
      <c r="P99" s="1">
        <f t="shared" si="24"/>
        <v>0.37233947204112744</v>
      </c>
      <c r="Q99" s="1">
        <f t="shared" si="21"/>
        <v>-1.6100000000000001E-3</v>
      </c>
      <c r="R99" s="5">
        <f t="shared" si="25"/>
        <v>15.752494396901813</v>
      </c>
      <c r="S99" s="1">
        <f t="shared" si="19"/>
        <v>2.9484624058917233E-2</v>
      </c>
    </row>
    <row r="100" spans="7:19">
      <c r="G100" s="13">
        <f t="shared" si="27"/>
        <v>20.75</v>
      </c>
      <c r="H100" s="2">
        <f>Interpolate_Range('試算番号2-1'!$G$10:$G$130,'試算番号2-1'!$I$10:$I$130,G100)</f>
        <v>0.67909330249013944</v>
      </c>
      <c r="I100" s="1">
        <f>Interpolate_Range('試算番号2-1'!$G$11:$G$130,'試算番号2-1'!$N$11:$N$130,G100)</f>
        <v>2.2661896460582396E-2</v>
      </c>
      <c r="J100" s="5">
        <f t="shared" si="22"/>
        <v>18.16007881861751</v>
      </c>
      <c r="K100" s="1">
        <f t="shared" si="26"/>
        <v>0.28554811604607133</v>
      </c>
      <c r="L100" s="1">
        <f t="shared" si="20"/>
        <v>-3.9329375000000007E-3</v>
      </c>
      <c r="M100" s="1">
        <f t="shared" si="23"/>
        <v>-7.142245498869651E-2</v>
      </c>
      <c r="N100" s="18">
        <f t="shared" si="28"/>
        <v>0.54299926588081859</v>
      </c>
      <c r="O100" s="10">
        <f>Interpolate_Range('試算番号2-3'!$G$11:$G$130,'試算番号2-3'!$N$11:$N$130,G100)</f>
        <v>2.5490265099965614E-2</v>
      </c>
      <c r="P100" s="1">
        <f t="shared" si="24"/>
        <v>0.37579977085022465</v>
      </c>
      <c r="Q100" s="1">
        <f t="shared" si="21"/>
        <v>-1.6100000000000001E-3</v>
      </c>
      <c r="R100" s="5">
        <f t="shared" si="25"/>
        <v>15.888244213372017</v>
      </c>
      <c r="S100" s="1">
        <f t="shared" si="19"/>
        <v>2.9428786073163474E-2</v>
      </c>
    </row>
    <row r="101" spans="7:19">
      <c r="G101" s="13">
        <f t="shared" si="27"/>
        <v>21</v>
      </c>
      <c r="H101" s="2">
        <f>Interpolate_Range('試算番号2-1'!$G$10:$G$130,'試算番号2-1'!$I$10:$I$130,G101)</f>
        <v>0.6748371019805649</v>
      </c>
      <c r="I101" s="1">
        <f>Interpolate_Range('試算番号2-1'!$G$11:$G$130,'試算番号2-1'!$N$11:$N$130,G101)</f>
        <v>2.2808377756462803E-2</v>
      </c>
      <c r="J101" s="5">
        <f t="shared" si="22"/>
        <v>18.328788094112653</v>
      </c>
      <c r="K101" s="1">
        <f t="shared" si="26"/>
        <v>0.28939610093258367</v>
      </c>
      <c r="L101" s="1">
        <f t="shared" si="20"/>
        <v>-3.8810000000000003E-3</v>
      </c>
      <c r="M101" s="1">
        <f t="shared" si="23"/>
        <v>-7.1134026593251215E-2</v>
      </c>
      <c r="N101" s="18">
        <f t="shared" si="28"/>
        <v>0.53963366708964322</v>
      </c>
      <c r="O101" s="10">
        <f>Interpolate_Range('試算番号2-3'!$G$11:$G$130,'試算番号2-3'!$N$11:$N$130,G101)</f>
        <v>2.5669370358145985E-2</v>
      </c>
      <c r="P101" s="1">
        <f t="shared" si="24"/>
        <v>0.37926278496478677</v>
      </c>
      <c r="Q101" s="1">
        <f t="shared" si="21"/>
        <v>-1.6100000000000001E-3</v>
      </c>
      <c r="R101" s="5">
        <f t="shared" si="25"/>
        <v>16.023152630144427</v>
      </c>
      <c r="S101" s="1">
        <f t="shared" si="19"/>
        <v>2.9374512567417948E-2</v>
      </c>
    </row>
    <row r="102" spans="7:19">
      <c r="G102" s="13">
        <f t="shared" si="27"/>
        <v>21.25</v>
      </c>
      <c r="H102" s="2">
        <f>Interpolate_Range('試算番号2-1'!$G$10:$G$130,'試算番号2-1'!$I$10:$I$130,G102)</f>
        <v>0.67057187926934425</v>
      </c>
      <c r="I102" s="1">
        <f>Interpolate_Range('試算番号2-1'!$G$11:$G$130,'試算番号2-1'!$N$11:$N$130,G102)</f>
        <v>2.3010954464683382E-2</v>
      </c>
      <c r="J102" s="5">
        <f t="shared" si="22"/>
        <v>18.49643106392999</v>
      </c>
      <c r="K102" s="1">
        <f t="shared" si="26"/>
        <v>0.29325372567737468</v>
      </c>
      <c r="L102" s="1">
        <f t="shared" si="20"/>
        <v>-3.8290625000000004E-3</v>
      </c>
      <c r="M102" s="1">
        <f t="shared" si="23"/>
        <v>-7.0823990570729439E-2</v>
      </c>
      <c r="N102" s="18">
        <f t="shared" si="28"/>
        <v>0.53636203913150282</v>
      </c>
      <c r="O102" s="10">
        <f>Interpolate_Range('試算番号2-3'!$G$11:$G$130,'試算番号2-3'!$N$11:$N$130,G102)</f>
        <v>2.528107127396205E-2</v>
      </c>
      <c r="P102" s="1">
        <f t="shared" si="24"/>
        <v>0.38265273669976957</v>
      </c>
      <c r="Q102" s="1">
        <f t="shared" si="21"/>
        <v>-1.6100000000000001E-3</v>
      </c>
      <c r="R102" s="5">
        <f t="shared" si="25"/>
        <v>16.157243139927303</v>
      </c>
      <c r="S102" s="1">
        <f t="shared" si="19"/>
        <v>2.9315101166190547E-2</v>
      </c>
    </row>
    <row r="103" spans="7:19">
      <c r="G103" s="13">
        <f t="shared" si="27"/>
        <v>21.5</v>
      </c>
      <c r="H103" s="2">
        <f>Interpolate_Range('試算番号2-1'!$G$10:$G$130,'試算番号2-1'!$I$10:$I$130,G103)</f>
        <v>0.66630665655812349</v>
      </c>
      <c r="I103" s="1">
        <f>Interpolate_Range('試算番号2-1'!$G$11:$G$130,'試算番号2-1'!$N$11:$N$130,G103)</f>
        <v>2.3162045756186779E-2</v>
      </c>
      <c r="J103" s="5">
        <f t="shared" si="22"/>
        <v>18.66300772806952</v>
      </c>
      <c r="K103" s="1">
        <f t="shared" si="26"/>
        <v>0.29711198199408745</v>
      </c>
      <c r="L103" s="1">
        <f t="shared" si="20"/>
        <v>-3.7771250000000001E-3</v>
      </c>
      <c r="M103" s="1">
        <f t="shared" si="23"/>
        <v>-7.049251306488459E-2</v>
      </c>
      <c r="N103" s="18">
        <f t="shared" si="28"/>
        <v>0.53310826463883687</v>
      </c>
      <c r="O103" s="10">
        <f>Interpolate_Range('試算番号2-3'!$G$11:$G$130,'試算番号2-3'!$N$11:$N$130,G103)</f>
        <v>2.5457205641473465E-2</v>
      </c>
      <c r="P103" s="1">
        <f t="shared" si="24"/>
        <v>0.38604559838028957</v>
      </c>
      <c r="Q103" s="1">
        <f t="shared" si="21"/>
        <v>-1.6100000000000001E-3</v>
      </c>
      <c r="R103" s="5">
        <f t="shared" si="25"/>
        <v>16.290520206087013</v>
      </c>
      <c r="S103" s="1">
        <f t="shared" si="19"/>
        <v>2.9257244292707842E-2</v>
      </c>
    </row>
    <row r="104" spans="7:19">
      <c r="G104" s="13">
        <f t="shared" si="27"/>
        <v>21.75</v>
      </c>
      <c r="H104" s="2">
        <f>Interpolate_Range('試算番号2-1'!$G$10:$G$130,'試算番号2-1'!$I$10:$I$130,G104)</f>
        <v>0.66203338006765278</v>
      </c>
      <c r="I104" s="1">
        <f>Interpolate_Range('試算番号2-1'!$G$11:$G$130,'試算番号2-1'!$N$11:$N$130,G104)</f>
        <v>2.3364136340617667E-2</v>
      </c>
      <c r="J104" s="5">
        <f t="shared" si="22"/>
        <v>18.828516073086433</v>
      </c>
      <c r="K104" s="1">
        <f t="shared" si="26"/>
        <v>0.3009789415325726</v>
      </c>
      <c r="L104" s="1">
        <f t="shared" si="20"/>
        <v>-3.7251875000000002E-3</v>
      </c>
      <c r="M104" s="1">
        <f t="shared" si="23"/>
        <v>-7.013975271901067E-2</v>
      </c>
      <c r="N104" s="18">
        <f t="shared" si="28"/>
        <v>0.52987209623680565</v>
      </c>
      <c r="O104" s="10">
        <f>Interpolate_Range('試算番号2-3'!$G$11:$G$130,'試算番号2-3'!$N$11:$N$130,G104)</f>
        <v>2.5635509692039024E-2</v>
      </c>
      <c r="P104" s="1">
        <f t="shared" si="24"/>
        <v>0.38944148369494447</v>
      </c>
      <c r="Q104" s="1">
        <f t="shared" si="21"/>
        <v>-1.6100000000000001E-3</v>
      </c>
      <c r="R104" s="5">
        <f t="shared" si="25"/>
        <v>16.422988230146213</v>
      </c>
      <c r="S104" s="1">
        <f t="shared" si="19"/>
        <v>2.920090250185314E-2</v>
      </c>
    </row>
    <row r="105" spans="7:19">
      <c r="G105" s="13">
        <f t="shared" si="27"/>
        <v>22</v>
      </c>
      <c r="H105" s="2">
        <f>Interpolate_Range('試算番号2-1'!$G$10:$G$130,'試算番号2-1'!$I$10:$I$130,G105)</f>
        <v>0.65776010357718195</v>
      </c>
      <c r="I105" s="1">
        <f>Interpolate_Range('試算番号2-1'!$G$11:$G$130,'試算番号2-1'!$N$11:$N$130,G105)</f>
        <v>2.351996055424101E-2</v>
      </c>
      <c r="J105" s="5">
        <f t="shared" si="22"/>
        <v>18.992956098980727</v>
      </c>
      <c r="K105" s="1">
        <f t="shared" si="26"/>
        <v>0.3048465644551448</v>
      </c>
      <c r="L105" s="1">
        <f t="shared" si="20"/>
        <v>-3.6732500000000003E-3</v>
      </c>
      <c r="M105" s="1">
        <f t="shared" si="23"/>
        <v>-6.9765875990580956E-2</v>
      </c>
      <c r="N105" s="18">
        <f t="shared" si="28"/>
        <v>0.52665327374462267</v>
      </c>
      <c r="O105" s="10">
        <f>Interpolate_Range('試算番号2-3'!$G$11:$G$130,'試算番号2-3'!$N$11:$N$130,G105)</f>
        <v>2.5816025570133079E-2</v>
      </c>
      <c r="P105" s="1">
        <f t="shared" si="24"/>
        <v>0.39284050729034081</v>
      </c>
      <c r="Q105" s="1">
        <f t="shared" si="21"/>
        <v>-1.6100000000000001E-3</v>
      </c>
      <c r="R105" s="5">
        <f t="shared" si="25"/>
        <v>16.55465154858237</v>
      </c>
      <c r="S105" s="1">
        <f t="shared" si="19"/>
        <v>2.9146039615972261E-2</v>
      </c>
    </row>
    <row r="106" spans="7:19">
      <c r="G106" s="13">
        <f t="shared" si="27"/>
        <v>22.25</v>
      </c>
      <c r="H106" s="2">
        <f>Interpolate_Range('試算番号2-1'!$G$10:$G$130,'試算番号2-1'!$I$10:$I$130,G106)</f>
        <v>0.65347973523140723</v>
      </c>
      <c r="I106" s="1">
        <f>Interpolate_Range('試算番号2-1'!$G$11:$G$130,'試算番号2-1'!$N$11:$N$130,G106)</f>
        <v>2.3721596205145346E-2</v>
      </c>
      <c r="J106" s="5">
        <f t="shared" si="22"/>
        <v>19.156326032788577</v>
      </c>
      <c r="K106" s="1">
        <f t="shared" si="26"/>
        <v>0.30872196005699598</v>
      </c>
      <c r="L106" s="1">
        <f t="shared" si="20"/>
        <v>-3.6213125000000004E-3</v>
      </c>
      <c r="M106" s="1">
        <f t="shared" si="23"/>
        <v>-6.9371042916612696E-2</v>
      </c>
      <c r="N106" s="18">
        <f t="shared" si="28"/>
        <v>0.52352605445785827</v>
      </c>
      <c r="O106" s="10">
        <f>Interpolate_Range('試算番号2-3'!$G$11:$G$130,'試算番号2-3'!$N$11:$N$130,G106)</f>
        <v>2.5426041935387948E-2</v>
      </c>
      <c r="P106" s="1">
        <f t="shared" si="24"/>
        <v>0.39616830614406923</v>
      </c>
      <c r="Q106" s="1">
        <f t="shared" si="21"/>
        <v>-1.6100000000000001E-3</v>
      </c>
      <c r="R106" s="5">
        <f t="shared" si="25"/>
        <v>16.685533062196836</v>
      </c>
      <c r="S106" s="1">
        <f t="shared" si="19"/>
        <v>2.9086223827954547E-2</v>
      </c>
    </row>
    <row r="107" spans="7:19">
      <c r="G107" s="13">
        <f t="shared" si="27"/>
        <v>22.5</v>
      </c>
      <c r="H107" s="2">
        <f>Interpolate_Range('試算番号2-1'!$G$10:$G$130,'試算番号2-1'!$I$10:$I$130,G107)</f>
        <v>0.64919936688563251</v>
      </c>
      <c r="I107" s="1">
        <f>Interpolate_Range('試算番号2-1'!$G$11:$G$130,'試算番号2-1'!$N$11:$N$130,G107)</f>
        <v>2.3882280779924644E-2</v>
      </c>
      <c r="J107" s="5">
        <f t="shared" si="22"/>
        <v>19.318625874509987</v>
      </c>
      <c r="K107" s="1">
        <f t="shared" si="26"/>
        <v>0.31259805044752398</v>
      </c>
      <c r="L107" s="1">
        <f t="shared" si="20"/>
        <v>-3.5693750000000005E-3</v>
      </c>
      <c r="M107" s="1">
        <f t="shared" si="23"/>
        <v>-6.8955420230829095E-2</v>
      </c>
      <c r="N107" s="18">
        <f t="shared" si="28"/>
        <v>0.52041574161664927</v>
      </c>
      <c r="O107" s="10">
        <f>Interpolate_Range('試算番号2-3'!$G$11:$G$130,'試算番号2-3'!$N$11:$N$130,G107)</f>
        <v>2.5603567619983513E-2</v>
      </c>
      <c r="P107" s="1">
        <f t="shared" si="24"/>
        <v>0.39949943105181568</v>
      </c>
      <c r="Q107" s="1">
        <f t="shared" si="21"/>
        <v>-1.6100000000000001E-3</v>
      </c>
      <c r="R107" s="5">
        <f t="shared" si="25"/>
        <v>16.815636997600997</v>
      </c>
      <c r="S107" s="1">
        <f t="shared" si="19"/>
        <v>2.9027879276892751E-2</v>
      </c>
    </row>
    <row r="108" spans="7:19">
      <c r="G108" s="13">
        <f t="shared" si="27"/>
        <v>22.75</v>
      </c>
      <c r="H108" s="2">
        <f>Interpolate_Range('試算番号2-1'!$G$10:$G$130,'試算番号2-1'!$I$10:$I$130,G108)</f>
        <v>0.6449128618354858</v>
      </c>
      <c r="I108" s="1">
        <f>Interpolate_Range('試算番号2-1'!$G$11:$G$130,'試算番号2-1'!$N$11:$N$130,G108)</f>
        <v>2.4083494801044648E-2</v>
      </c>
      <c r="J108" s="5">
        <f t="shared" si="22"/>
        <v>19.479854089968857</v>
      </c>
      <c r="K108" s="1">
        <f t="shared" si="26"/>
        <v>0.31648098933630942</v>
      </c>
      <c r="L108" s="1">
        <f t="shared" si="20"/>
        <v>-3.5174375000000002E-3</v>
      </c>
      <c r="M108" s="1">
        <f t="shared" si="23"/>
        <v>-6.8519169270584837E-2</v>
      </c>
      <c r="N108" s="18">
        <f t="shared" si="28"/>
        <v>0.51732208240290767</v>
      </c>
      <c r="O108" s="10">
        <f>Interpolate_Range('試算番号2-3'!$G$11:$G$130,'試算番号2-3'!$N$11:$N$130,G108)</f>
        <v>2.5783288703262807E-2</v>
      </c>
      <c r="P108" s="1">
        <f t="shared" si="24"/>
        <v>0.40283399720260749</v>
      </c>
      <c r="Q108" s="1">
        <f t="shared" si="21"/>
        <v>-1.6100000000000001E-3</v>
      </c>
      <c r="R108" s="5">
        <f t="shared" si="25"/>
        <v>16.944967518201725</v>
      </c>
      <c r="S108" s="1">
        <f t="shared" si="19"/>
        <v>2.8970972091256975E-2</v>
      </c>
    </row>
    <row r="109" spans="7:19">
      <c r="G109" s="13">
        <f t="shared" si="27"/>
        <v>23</v>
      </c>
      <c r="H109" s="2">
        <f>Interpolate_Range('試算番号2-1'!$G$10:$G$130,'試算番号2-1'!$I$10:$I$130,G109)</f>
        <v>0.64062635678533908</v>
      </c>
      <c r="I109" s="1">
        <f>Interpolate_Range('試算番号2-1'!$G$11:$G$130,'試算番号2-1'!$N$11:$N$130,G109)</f>
        <v>2.4249171931556547E-2</v>
      </c>
      <c r="J109" s="5">
        <f t="shared" si="22"/>
        <v>19.64001067916519</v>
      </c>
      <c r="K109" s="1">
        <f t="shared" si="26"/>
        <v>0.32036465400370301</v>
      </c>
      <c r="L109" s="1">
        <f t="shared" si="20"/>
        <v>-3.4655000000000003E-3</v>
      </c>
      <c r="M109" s="1">
        <f t="shared" si="23"/>
        <v>-6.8062457008646965E-2</v>
      </c>
      <c r="N109" s="18">
        <f t="shared" si="28"/>
        <v>0.51424481428816204</v>
      </c>
      <c r="O109" s="10">
        <f>Interpolate_Range('試算番号2-3'!$G$11:$G$130,'試算番号2-3'!$N$11:$N$130,G109)</f>
        <v>2.5965247982535768E-2</v>
      </c>
      <c r="P109" s="1">
        <f t="shared" si="24"/>
        <v>0.40617212073428877</v>
      </c>
      <c r="Q109" s="1">
        <f t="shared" si="21"/>
        <v>-1.6100000000000001E-3</v>
      </c>
      <c r="R109" s="5">
        <f t="shared" si="25"/>
        <v>17.073528721773766</v>
      </c>
      <c r="S109" s="1">
        <f t="shared" si="19"/>
        <v>2.8915471066468187E-2</v>
      </c>
    </row>
    <row r="110" spans="7:19">
      <c r="G110" s="13">
        <f t="shared" si="27"/>
        <v>23.25</v>
      </c>
      <c r="H110" s="2">
        <f>Interpolate_Range('試算番号2-1'!$G$10:$G$130,'試算番号2-1'!$I$10:$I$130,G110)</f>
        <v>0.63633466313950482</v>
      </c>
      <c r="I110" s="1">
        <f>Interpolate_Range('試算番号2-1'!$G$11:$G$130,'試算番号2-1'!$N$11:$N$130,G110)</f>
        <v>2.444999987435284E-2</v>
      </c>
      <c r="J110" s="5">
        <f t="shared" si="22"/>
        <v>19.799094344950067</v>
      </c>
      <c r="K110" s="1">
        <f t="shared" si="26"/>
        <v>0.32425424961215482</v>
      </c>
      <c r="L110" s="1">
        <f t="shared" si="20"/>
        <v>-3.4135625000000004E-3</v>
      </c>
      <c r="M110" s="1">
        <f t="shared" si="23"/>
        <v>-6.7585445989883614E-2</v>
      </c>
      <c r="N110" s="18">
        <f t="shared" si="28"/>
        <v>0.51125684286747319</v>
      </c>
      <c r="O110" s="10">
        <f>Interpolate_Range('試算番号2-3'!$G$11:$G$130,'試算番号2-3'!$N$11:$N$130,G110)</f>
        <v>2.5573567000031449E-2</v>
      </c>
      <c r="P110" s="1">
        <f t="shared" si="24"/>
        <v>0.40944078601561273</v>
      </c>
      <c r="Q110" s="1">
        <f t="shared" si="21"/>
        <v>-1.6100000000000001E-3</v>
      </c>
      <c r="R110" s="5">
        <f t="shared" si="25"/>
        <v>17.201342932490633</v>
      </c>
      <c r="S110" s="1">
        <f t="shared" si="19"/>
        <v>2.8855190844423378E-2</v>
      </c>
    </row>
    <row r="111" spans="7:19">
      <c r="G111" s="13">
        <f t="shared" si="27"/>
        <v>23.5</v>
      </c>
      <c r="H111" s="2">
        <f>Interpolate_Range('試算番号2-1'!$G$10:$G$130,'試算番号2-1'!$I$10:$I$130,G111)</f>
        <v>0.63204296949367045</v>
      </c>
      <c r="I111" s="1">
        <f>Interpolate_Range('試算番号2-1'!$G$11:$G$130,'試算番号2-1'!$N$11:$N$130,G111)</f>
        <v>2.462080676944901E-2</v>
      </c>
      <c r="J111" s="5">
        <f t="shared" si="22"/>
        <v>19.957105087323484</v>
      </c>
      <c r="K111" s="1">
        <f t="shared" si="26"/>
        <v>0.32814460156762792</v>
      </c>
      <c r="L111" s="1">
        <f t="shared" si="20"/>
        <v>-3.361625E-3</v>
      </c>
      <c r="M111" s="1">
        <f t="shared" si="23"/>
        <v>-6.7088303389173806E-2</v>
      </c>
      <c r="N111" s="18">
        <f t="shared" si="28"/>
        <v>0.50828482506677741</v>
      </c>
      <c r="O111" s="10">
        <f>Interpolate_Range('試算番号2-3'!$G$11:$G$130,'試算番号2-3'!$N$11:$N$130,G111)</f>
        <v>2.5752516634378872E-2</v>
      </c>
      <c r="P111" s="1">
        <f t="shared" si="24"/>
        <v>0.41271318936874635</v>
      </c>
      <c r="Q111" s="1">
        <f t="shared" si="21"/>
        <v>-1.6100000000000001E-3</v>
      </c>
      <c r="R111" s="5">
        <f t="shared" si="25"/>
        <v>17.328414138757328</v>
      </c>
      <c r="S111" s="1">
        <f t="shared" si="19"/>
        <v>2.8796311032350523E-2</v>
      </c>
    </row>
    <row r="112" spans="7:19">
      <c r="G112" s="13">
        <f t="shared" si="27"/>
        <v>23.75</v>
      </c>
      <c r="H112" s="2">
        <f>Interpolate_Range('試算番号2-1'!$G$10:$G$130,'試算番号2-1'!$I$10:$I$130,G112)</f>
        <v>0.6277470280547679</v>
      </c>
      <c r="I112" s="1">
        <f>Interpolate_Range('試算番号2-1'!$G$11:$G$130,'試算番号2-1'!$N$11:$N$130,G112)</f>
        <v>2.4821286577071305E-2</v>
      </c>
      <c r="J112" s="5">
        <f t="shared" si="22"/>
        <v>20.114041844337176</v>
      </c>
      <c r="K112" s="1">
        <f t="shared" si="26"/>
        <v>0.33203997378794098</v>
      </c>
      <c r="L112" s="1">
        <f t="shared" si="20"/>
        <v>-3.3096875000000001E-3</v>
      </c>
      <c r="M112" s="1">
        <f t="shared" si="23"/>
        <v>-6.6571192866679701E-2</v>
      </c>
      <c r="N112" s="18">
        <f t="shared" si="28"/>
        <v>0.50532850314938427</v>
      </c>
      <c r="O112" s="10">
        <f>Interpolate_Range('試算番号2-3'!$G$11:$G$130,'試算番号2-3'!$N$11:$N$130,G112)</f>
        <v>2.5933688073376079E-2</v>
      </c>
      <c r="P112" s="1">
        <f t="shared" si="24"/>
        <v>0.41598944731256188</v>
      </c>
      <c r="Q112" s="1">
        <f t="shared" si="21"/>
        <v>-1.6100000000000001E-3</v>
      </c>
      <c r="R112" s="5">
        <f t="shared" si="25"/>
        <v>17.454746264544674</v>
      </c>
      <c r="S112" s="1">
        <f t="shared" si="19"/>
        <v>2.8738802522320857E-2</v>
      </c>
    </row>
    <row r="113" spans="7:19">
      <c r="G113" s="13">
        <f t="shared" si="27"/>
        <v>24</v>
      </c>
      <c r="H113" s="2">
        <f>Interpolate_Range('試算番号2-1'!$G$10:$G$130,'試算番号2-1'!$I$10:$I$130,G113)</f>
        <v>0.62345108661586524</v>
      </c>
      <c r="I113" s="1">
        <f>Interpolate_Range('試算番号2-1'!$G$11:$G$130,'試算番号2-1'!$N$11:$N$130,G113)</f>
        <v>2.4997365735570529E-2</v>
      </c>
      <c r="J113" s="5">
        <f t="shared" si="22"/>
        <v>20.269904615991141</v>
      </c>
      <c r="K113" s="1">
        <f t="shared" si="26"/>
        <v>0.33593613249553489</v>
      </c>
      <c r="L113" s="1">
        <f t="shared" si="20"/>
        <v>-3.2577500000000002E-3</v>
      </c>
      <c r="M113" s="1">
        <f t="shared" si="23"/>
        <v>-6.6034281762745145E-2</v>
      </c>
      <c r="N113" s="18">
        <f t="shared" si="28"/>
        <v>0.50238761254399311</v>
      </c>
      <c r="O113" s="10">
        <f>Interpolate_Range('試算番号2-3'!$G$11:$G$130,'試算番号2-3'!$N$11:$N$130,G113)</f>
        <v>2.6117124787016954E-2</v>
      </c>
      <c r="P113" s="1">
        <f t="shared" si="24"/>
        <v>0.41926967730462761</v>
      </c>
      <c r="Q113" s="1">
        <f t="shared" si="21"/>
        <v>-1.6100000000000001E-3</v>
      </c>
      <c r="R113" s="5">
        <f t="shared" si="25"/>
        <v>17.580343167680674</v>
      </c>
      <c r="S113" s="1">
        <f t="shared" si="19"/>
        <v>2.8682638362193726E-2</v>
      </c>
    </row>
    <row r="114" spans="7:19">
      <c r="G114" s="13">
        <f t="shared" si="27"/>
        <v>24.25</v>
      </c>
      <c r="H114" s="2">
        <f>Interpolate_Range('試算番号2-1'!$G$10:$G$130,'試算番号2-1'!$I$10:$I$130,G114)</f>
        <v>0.61915183062212087</v>
      </c>
      <c r="I114" s="1">
        <f>Interpolate_Range('試算番号2-1'!$G$11:$G$130,'試算番号2-1'!$N$11:$N$130,G114)</f>
        <v>2.5197537897426289E-2</v>
      </c>
      <c r="J114" s="5">
        <f t="shared" si="22"/>
        <v>20.42469257364667</v>
      </c>
      <c r="K114" s="1">
        <f t="shared" si="26"/>
        <v>0.33983640792462533</v>
      </c>
      <c r="L114" s="1">
        <f t="shared" si="20"/>
        <v>-3.2058125000000003E-3</v>
      </c>
      <c r="M114" s="1">
        <f t="shared" si="23"/>
        <v>-6.5477734761253667E-2</v>
      </c>
      <c r="N114" s="18">
        <f t="shared" si="28"/>
        <v>0.4995337729239735</v>
      </c>
      <c r="O114" s="10">
        <f>Interpolate_Range('試算番号2-3'!$G$11:$G$130,'試算番号2-3'!$N$11:$N$130,G114)</f>
        <v>2.5723733405694189E-2</v>
      </c>
      <c r="P114" s="1">
        <f t="shared" si="24"/>
        <v>0.42248214570508685</v>
      </c>
      <c r="Q114" s="1">
        <f t="shared" si="21"/>
        <v>-1.6100000000000001E-3</v>
      </c>
      <c r="R114" s="5">
        <f t="shared" si="25"/>
        <v>17.705226610911666</v>
      </c>
      <c r="S114" s="1">
        <f t="shared" si="19"/>
        <v>2.8621858545064223E-2</v>
      </c>
    </row>
    <row r="115" spans="7:19">
      <c r="G115" s="13">
        <f t="shared" si="27"/>
        <v>24.5</v>
      </c>
      <c r="H115" s="2">
        <f>Interpolate_Range('試算番号2-1'!$G$10:$G$130,'試算番号2-1'!$I$10:$I$130,G115)</f>
        <v>0.61485257462837639</v>
      </c>
      <c r="I115" s="1">
        <f>Interpolate_Range('試算番号2-1'!$G$11:$G$130,'試算番号2-1'!$N$11:$N$130,G115)</f>
        <v>2.5379037402101033E-2</v>
      </c>
      <c r="J115" s="5">
        <f t="shared" si="22"/>
        <v>20.578405717303763</v>
      </c>
      <c r="K115" s="1">
        <f t="shared" si="26"/>
        <v>0.34373749954669325</v>
      </c>
      <c r="L115" s="1">
        <f t="shared" ref="L115:L137" si="29">Interpolate_Range($D$35:$D$49,$E$35:$E$49,G115)</f>
        <v>-3.1538750000000004E-3</v>
      </c>
      <c r="M115" s="1">
        <f t="shared" si="23"/>
        <v>-6.4901719331661417E-2</v>
      </c>
      <c r="N115" s="18">
        <f t="shared" si="28"/>
        <v>0.49669492983259705</v>
      </c>
      <c r="O115" s="10">
        <f>Interpolate_Range('試算番号2-3'!$G$11:$G$130,'試算番号2-3'!$N$11:$N$130,G115)</f>
        <v>2.5904140874832546E-2</v>
      </c>
      <c r="P115" s="1">
        <f t="shared" si="24"/>
        <v>0.42569875956363651</v>
      </c>
      <c r="Q115" s="1">
        <f t="shared" ref="Q115:Q137" si="30">Interpolate_Range($A$35:$A$49,$B$35:$B$49,L115)</f>
        <v>-1.6100000000000001E-3</v>
      </c>
      <c r="R115" s="5">
        <f t="shared" si="25"/>
        <v>17.829400343369816</v>
      </c>
      <c r="S115" s="1">
        <f t="shared" si="19"/>
        <v>2.8562418964350793E-2</v>
      </c>
    </row>
    <row r="116" spans="7:19">
      <c r="G116" s="13">
        <f t="shared" si="27"/>
        <v>24.75</v>
      </c>
      <c r="H116" s="2">
        <f>Interpolate_Range('試算番号2-1'!$G$10:$G$130,'試算番号2-1'!$I$10:$I$130,G116)</f>
        <v>0.61055092950086287</v>
      </c>
      <c r="I116" s="1">
        <f>Interpolate_Range('試算番号2-1'!$G$11:$G$130,'試算番号2-1'!$N$11:$N$130,G116)</f>
        <v>2.5578945119881229E-2</v>
      </c>
      <c r="J116" s="5">
        <f t="shared" si="22"/>
        <v>20.731043449678978</v>
      </c>
      <c r="K116" s="1">
        <f t="shared" si="26"/>
        <v>0.34764181172634201</v>
      </c>
      <c r="L116" s="1">
        <f t="shared" si="29"/>
        <v>-3.1019375000000001E-3</v>
      </c>
      <c r="M116" s="1">
        <f t="shared" si="23"/>
        <v>-6.4306401090688581E-2</v>
      </c>
      <c r="N116" s="18">
        <f t="shared" si="28"/>
        <v>0.49387082113358882</v>
      </c>
      <c r="O116" s="10">
        <f>Interpolate_Range('試算番号2-3'!$G$11:$G$130,'試算番号2-3'!$N$11:$N$130,G116)</f>
        <v>2.6086797274070081E-2</v>
      </c>
      <c r="P116" s="1">
        <f t="shared" ref="P116:P137" si="31">P115+O116*N116*0.25</f>
        <v>0.42891963656125914</v>
      </c>
      <c r="Q116" s="1">
        <f t="shared" si="30"/>
        <v>-1.6100000000000001E-3</v>
      </c>
      <c r="R116" s="5">
        <f t="shared" ref="R116:R137" si="32">R115+N116*0.25</f>
        <v>17.952868048653212</v>
      </c>
      <c r="S116" s="1">
        <f t="shared" si="19"/>
        <v>2.8504294612976402E-2</v>
      </c>
    </row>
    <row r="117" spans="7:19">
      <c r="G117" s="13">
        <f t="shared" si="27"/>
        <v>25</v>
      </c>
      <c r="H117" s="2">
        <f>Interpolate_Range('試算番号2-1'!$G$10:$G$130,'試算番号2-1'!$I$10:$I$130,G117)</f>
        <v>0.60624928437334946</v>
      </c>
      <c r="I117" s="1">
        <f>Interpolate_Range('試算番号2-1'!$G$11:$G$130,'試算番号2-1'!$N$11:$N$130,G117)</f>
        <v>2.5766018951192841E-2</v>
      </c>
      <c r="J117" s="5">
        <f t="shared" si="22"/>
        <v>20.882605770772315</v>
      </c>
      <c r="K117" s="1">
        <f t="shared" si="26"/>
        <v>0.35154696936391971</v>
      </c>
      <c r="L117" s="1">
        <f t="shared" si="29"/>
        <v>-3.0500000000000002E-3</v>
      </c>
      <c r="M117" s="1">
        <f t="shared" si="23"/>
        <v>-6.3691947600855559E-2</v>
      </c>
      <c r="N117" s="18">
        <f t="shared" si="28"/>
        <v>0.49106118051327324</v>
      </c>
      <c r="O117" s="10">
        <f>Interpolate_Range('試算番号2-3'!$G$11:$G$130,'試算番号2-3'!$N$11:$N$130,G117)</f>
        <v>2.6271746766855487E-2</v>
      </c>
      <c r="P117" s="1">
        <f t="shared" si="31"/>
        <v>0.43214489530662858</v>
      </c>
      <c r="Q117" s="1">
        <f t="shared" si="30"/>
        <v>-1.6100000000000001E-3</v>
      </c>
      <c r="R117" s="5">
        <f t="shared" si="32"/>
        <v>18.075633343781529</v>
      </c>
      <c r="S117" s="1">
        <f t="shared" si="19"/>
        <v>2.8447462202134014E-2</v>
      </c>
    </row>
    <row r="118" spans="7:19">
      <c r="G118" s="13">
        <f t="shared" si="27"/>
        <v>25.25</v>
      </c>
      <c r="H118" s="2">
        <f>Interpolate_Range('試算番号2-1'!$G$10:$G$130,'試算番号2-1'!$I$10:$I$130,G118)</f>
        <v>0.60269841841744953</v>
      </c>
      <c r="I118" s="1">
        <f>Interpolate_Range('試算番号2-1'!$G$11:$G$130,'試算番号2-1'!$N$11:$N$130,G118)</f>
        <v>2.0994056236734681E-2</v>
      </c>
      <c r="J118" s="5">
        <f t="shared" si="22"/>
        <v>21.033280375376677</v>
      </c>
      <c r="K118" s="1">
        <f t="shared" si="26"/>
        <v>0.35471024048643146</v>
      </c>
      <c r="L118" s="1">
        <f t="shared" si="29"/>
        <v>-3.0196875000000002E-3</v>
      </c>
      <c r="M118" s="1">
        <f t="shared" si="23"/>
        <v>-6.3513933833520261E-2</v>
      </c>
      <c r="N118" s="18">
        <f t="shared" si="28"/>
        <v>0.48816475847120144</v>
      </c>
      <c r="O118" s="10">
        <f>Interpolate_Range('試算番号2-3'!$G$11:$G$130,'試算番号2-3'!$N$11:$N$130,G118)</f>
        <v>2.3625853700160893E-2</v>
      </c>
      <c r="P118" s="1">
        <f t="shared" si="31"/>
        <v>0.43502822259793233</v>
      </c>
      <c r="Q118" s="1">
        <f t="shared" si="30"/>
        <v>-1.6100000000000001E-3</v>
      </c>
      <c r="R118" s="5">
        <f t="shared" si="32"/>
        <v>18.197674533399329</v>
      </c>
      <c r="S118" s="1">
        <f t="shared" si="19"/>
        <v>2.8400091496700992E-2</v>
      </c>
    </row>
    <row r="119" spans="7:19">
      <c r="G119" s="13">
        <f t="shared" si="27"/>
        <v>25.5</v>
      </c>
      <c r="H119" s="2">
        <f>Interpolate_Range('試算番号2-1'!$G$10:$G$130,'試算番号2-1'!$I$10:$I$130,G119)</f>
        <v>0.59914755246154949</v>
      </c>
      <c r="I119" s="1">
        <f>Interpolate_Range('試算番号2-1'!$G$11:$G$130,'試算番号2-1'!$N$11:$N$130,G119)</f>
        <v>2.1122555658427949E-2</v>
      </c>
      <c r="J119" s="5">
        <f t="shared" si="22"/>
        <v>21.183067263492063</v>
      </c>
      <c r="K119" s="1">
        <f t="shared" si="26"/>
        <v>0.35787412236755145</v>
      </c>
      <c r="L119" s="1">
        <f t="shared" si="29"/>
        <v>-2.9893750000000003E-3</v>
      </c>
      <c r="M119" s="1">
        <f t="shared" si="23"/>
        <v>-6.3324131700801589E-2</v>
      </c>
      <c r="N119" s="18">
        <f t="shared" si="28"/>
        <v>0.48527843475479343</v>
      </c>
      <c r="O119" s="10">
        <f>Interpolate_Range('試算番号2-3'!$G$11:$G$130,'試算番号2-3'!$N$11:$N$130,G119)</f>
        <v>2.3775763666834697E-2</v>
      </c>
      <c r="P119" s="1">
        <f t="shared" si="31"/>
        <v>0.4379126889422677</v>
      </c>
      <c r="Q119" s="1">
        <f t="shared" si="30"/>
        <v>-1.6100000000000001E-3</v>
      </c>
      <c r="R119" s="5">
        <f t="shared" si="32"/>
        <v>18.318994142088027</v>
      </c>
      <c r="S119" s="1">
        <f t="shared" si="19"/>
        <v>2.8354214137045416E-2</v>
      </c>
    </row>
    <row r="120" spans="7:19">
      <c r="G120" s="13">
        <f t="shared" si="27"/>
        <v>25.75</v>
      </c>
      <c r="H120" s="2">
        <f>Interpolate_Range('試算番号2-1'!$G$10:$G$130,'試算番号2-1'!$I$10:$I$130,G120)</f>
        <v>0.59560994792415056</v>
      </c>
      <c r="I120" s="1">
        <f>Interpolate_Range('試算番号2-1'!$G$11:$G$130,'試算番号2-1'!$N$11:$N$130,G120)</f>
        <v>2.1163078367187033E-2</v>
      </c>
      <c r="J120" s="5">
        <f t="shared" si="22"/>
        <v>21.3319697504731</v>
      </c>
      <c r="K120" s="1">
        <f t="shared" si="26"/>
        <v>0.3610253573686002</v>
      </c>
      <c r="L120" s="1">
        <f t="shared" si="29"/>
        <v>-2.9590625000000003E-3</v>
      </c>
      <c r="M120" s="1">
        <f t="shared" si="23"/>
        <v>-6.3122631739759308E-2</v>
      </c>
      <c r="N120" s="18">
        <f t="shared" si="28"/>
        <v>0.48240206766871646</v>
      </c>
      <c r="O120" s="10">
        <f>Interpolate_Range('試算番号2-3'!$G$11:$G$130,'試算番号2-3'!$N$11:$N$130,G120)</f>
        <v>2.3927462475035612E-2</v>
      </c>
      <c r="P120" s="1">
        <f t="shared" si="31"/>
        <v>0.44079835328527339</v>
      </c>
      <c r="Q120" s="1">
        <f t="shared" si="30"/>
        <v>-1.6100000000000001E-3</v>
      </c>
      <c r="R120" s="5">
        <f t="shared" si="32"/>
        <v>18.439594659005206</v>
      </c>
      <c r="S120" s="1">
        <f t="shared" si="19"/>
        <v>2.8309799897718382E-2</v>
      </c>
    </row>
    <row r="121" spans="7:19">
      <c r="G121" s="13">
        <f t="shared" si="27"/>
        <v>26</v>
      </c>
      <c r="H121" s="2">
        <f>Interpolate_Range('試算番号2-1'!$G$10:$G$130,'試算番号2-1'!$I$10:$I$130,G121)</f>
        <v>0.59207234338675152</v>
      </c>
      <c r="I121" s="1">
        <f>Interpolate_Range('試算番号2-1'!$G$11:$G$130,'試算番号2-1'!$N$11:$N$130,G121)</f>
        <v>2.1293749352337427E-2</v>
      </c>
      <c r="J121" s="5">
        <f t="shared" si="22"/>
        <v>21.479987836319786</v>
      </c>
      <c r="K121" s="1">
        <f t="shared" si="26"/>
        <v>0.36417721738823233</v>
      </c>
      <c r="L121" s="1">
        <f t="shared" si="29"/>
        <v>-2.9287500000000004E-3</v>
      </c>
      <c r="M121" s="1">
        <f t="shared" si="23"/>
        <v>-6.2909514375621575E-2</v>
      </c>
      <c r="N121" s="18">
        <f t="shared" si="28"/>
        <v>0.47953553182957243</v>
      </c>
      <c r="O121" s="10">
        <f>Interpolate_Range('試算番号2-3'!$G$11:$G$130,'試算番号2-3'!$N$11:$N$130,G121)</f>
        <v>2.4080982913294167E-2</v>
      </c>
      <c r="P121" s="1">
        <f t="shared" si="31"/>
        <v>0.44368527502234972</v>
      </c>
      <c r="Q121" s="1">
        <f t="shared" si="30"/>
        <v>-1.6100000000000001E-3</v>
      </c>
      <c r="R121" s="5">
        <f t="shared" si="32"/>
        <v>18.559478541962598</v>
      </c>
      <c r="S121" s="1">
        <f t="shared" si="19"/>
        <v>2.8266818675757539E-2</v>
      </c>
    </row>
    <row r="122" spans="7:19">
      <c r="G122" s="13">
        <f t="shared" si="27"/>
        <v>26.25</v>
      </c>
      <c r="H122" s="2">
        <f>Interpolate_Range('試算番号2-1'!$G$10:$G$130,'試算番号2-1'!$I$10:$I$130,G122)</f>
        <v>0.58854823289558822</v>
      </c>
      <c r="I122" s="1">
        <f>Interpolate_Range('試算番号2-1'!$G$11:$G$130,'試算番号2-1'!$N$11:$N$130,G122)</f>
        <v>2.1333813694051604E-2</v>
      </c>
      <c r="J122" s="5">
        <f t="shared" si="22"/>
        <v>21.627124894543684</v>
      </c>
      <c r="K122" s="1">
        <f t="shared" si="26"/>
        <v>0.36731621197587178</v>
      </c>
      <c r="L122" s="1">
        <f t="shared" si="29"/>
        <v>-2.8984375E-3</v>
      </c>
      <c r="M122" s="1">
        <f t="shared" si="23"/>
        <v>-6.2684869811528959E-2</v>
      </c>
      <c r="N122" s="18">
        <f t="shared" si="28"/>
        <v>0.47675377064669899</v>
      </c>
      <c r="O122" s="10">
        <f>Interpolate_Range('試算番号2-3'!$G$11:$G$130,'試算番号2-3'!$N$11:$N$130,G122)</f>
        <v>2.360281897560117E-2</v>
      </c>
      <c r="P122" s="1">
        <f t="shared" si="31"/>
        <v>0.44649845825847706</v>
      </c>
      <c r="Q122" s="1">
        <f t="shared" si="30"/>
        <v>-1.6100000000000001E-3</v>
      </c>
      <c r="R122" s="5">
        <f t="shared" si="32"/>
        <v>18.678666984624272</v>
      </c>
      <c r="S122" s="1">
        <f t="shared" si="19"/>
        <v>2.821924287497023E-2</v>
      </c>
    </row>
    <row r="123" spans="7:19">
      <c r="G123" s="13">
        <f t="shared" si="27"/>
        <v>26.5</v>
      </c>
      <c r="H123" s="2">
        <f>Interpolate_Range('試算番号2-1'!$G$10:$G$130,'試算番号2-1'!$I$10:$I$130,G123)</f>
        <v>0.58502412240442492</v>
      </c>
      <c r="I123" s="1">
        <f>Interpolate_Range('試算番号2-1'!$G$11:$G$130,'試算番号2-1'!$N$11:$N$130,G123)</f>
        <v>2.1466695281938154E-2</v>
      </c>
      <c r="J123" s="5">
        <f t="shared" si="22"/>
        <v>21.773380925144789</v>
      </c>
      <c r="K123" s="1">
        <f t="shared" si="26"/>
        <v>0.37045584561793155</v>
      </c>
      <c r="L123" s="1">
        <f t="shared" si="29"/>
        <v>-2.868125E-3</v>
      </c>
      <c r="M123" s="1">
        <f t="shared" si="23"/>
        <v>-6.2448778165930897E-2</v>
      </c>
      <c r="N123" s="18">
        <f t="shared" si="28"/>
        <v>0.47398162675066463</v>
      </c>
      <c r="O123" s="10">
        <f>Interpolate_Range('試算番号2-3'!$G$11:$G$130,'試算番号2-3'!$N$11:$N$130,G123)</f>
        <v>2.3752281847640104E-2</v>
      </c>
      <c r="P123" s="1">
        <f t="shared" si="31"/>
        <v>0.44931299455577323</v>
      </c>
      <c r="Q123" s="1">
        <f t="shared" si="30"/>
        <v>-1.6100000000000001E-3</v>
      </c>
      <c r="R123" s="5">
        <f t="shared" si="32"/>
        <v>18.797162391311939</v>
      </c>
      <c r="S123" s="1">
        <f t="shared" si="19"/>
        <v>2.8173083779914371E-2</v>
      </c>
    </row>
    <row r="124" spans="7:19">
      <c r="G124" s="13">
        <f t="shared" si="27"/>
        <v>26.75</v>
      </c>
      <c r="H124" s="2">
        <f>Interpolate_Range('試算番号2-1'!$G$10:$G$130,'試算番号2-1'!$I$10:$I$130,G124)</f>
        <v>0.58151373455713673</v>
      </c>
      <c r="I124" s="1">
        <f>Interpolate_Range('試算番号2-1'!$G$11:$G$130,'試算番号2-1'!$N$11:$N$130,G124)</f>
        <v>2.1506308647652805E-2</v>
      </c>
      <c r="J124" s="5">
        <f t="shared" si="22"/>
        <v>21.918759358784072</v>
      </c>
      <c r="K124" s="1">
        <f t="shared" si="26"/>
        <v>0.3735823990824903</v>
      </c>
      <c r="L124" s="1">
        <f t="shared" si="29"/>
        <v>-2.8378125000000001E-3</v>
      </c>
      <c r="M124" s="1">
        <f t="shared" si="23"/>
        <v>-6.2201329292849425E-2</v>
      </c>
      <c r="N124" s="18">
        <f t="shared" si="28"/>
        <v>0.47121895834926458</v>
      </c>
      <c r="O124" s="10">
        <f>Interpolate_Range('試算番号2-3'!$G$11:$G$130,'試算番号2-3'!$N$11:$N$130,G124)</f>
        <v>2.3903524869646548E-2</v>
      </c>
      <c r="P124" s="1">
        <f t="shared" si="31"/>
        <v>0.45212894307826085</v>
      </c>
      <c r="Q124" s="1">
        <f t="shared" si="30"/>
        <v>-1.6100000000000001E-3</v>
      </c>
      <c r="R124" s="5">
        <f t="shared" si="32"/>
        <v>18.914967130899257</v>
      </c>
      <c r="S124" s="1">
        <f t="shared" si="19"/>
        <v>2.8128314514631405E-2</v>
      </c>
    </row>
    <row r="125" spans="7:19">
      <c r="G125" s="13">
        <f t="shared" si="27"/>
        <v>27</v>
      </c>
      <c r="H125" s="2">
        <f>Interpolate_Range('試算番号2-1'!$G$10:$G$130,'試算番号2-1'!$I$10:$I$130,G125)</f>
        <v>0.57800334670984854</v>
      </c>
      <c r="I125" s="1">
        <f>Interpolate_Range('試算番号2-1'!$G$11:$G$130,'試算番号2-1'!$N$11:$N$130,G125)</f>
        <v>2.1641440993431797E-2</v>
      </c>
      <c r="J125" s="5">
        <f t="shared" si="22"/>
        <v>22.063260195461535</v>
      </c>
      <c r="K125" s="1">
        <f t="shared" si="26"/>
        <v>0.37670960541294712</v>
      </c>
      <c r="L125" s="1">
        <f t="shared" si="29"/>
        <v>-2.8075000000000001E-3</v>
      </c>
      <c r="M125" s="1">
        <f t="shared" si="23"/>
        <v>-6.1942602998758263E-2</v>
      </c>
      <c r="N125" s="18">
        <f t="shared" si="28"/>
        <v>0.46846564018755882</v>
      </c>
      <c r="O125" s="10">
        <f>Interpolate_Range('試算番号2-3'!$G$11:$G$130,'試算番号2-3'!$N$11:$N$130,G125)</f>
        <v>2.405658061080412E-2</v>
      </c>
      <c r="P125" s="1">
        <f t="shared" si="31"/>
        <v>0.45494636343740186</v>
      </c>
      <c r="Q125" s="1">
        <f t="shared" si="30"/>
        <v>-1.6100000000000001E-3</v>
      </c>
      <c r="R125" s="5">
        <f t="shared" si="32"/>
        <v>19.032083540946147</v>
      </c>
      <c r="S125" s="1">
        <f t="shared" si="19"/>
        <v>2.8084908149669373E-2</v>
      </c>
    </row>
    <row r="126" spans="7:19">
      <c r="G126" s="13">
        <f t="shared" si="27"/>
        <v>27.25</v>
      </c>
      <c r="H126" s="2">
        <f>Interpolate_Range('試算番号2-1'!$G$10:$G$130,'試算番号2-1'!$I$10:$I$130,G126)</f>
        <v>0.5745069060738166</v>
      </c>
      <c r="I126" s="1">
        <f>Interpolate_Range('試算番号2-1'!$G$11:$G$130,'試算番号2-1'!$N$11:$N$130,G126)</f>
        <v>2.1680611187905936E-2</v>
      </c>
      <c r="J126" s="5">
        <f t="shared" si="22"/>
        <v>22.20688692197999</v>
      </c>
      <c r="K126" s="1">
        <f t="shared" si="26"/>
        <v>0.37982352062678543</v>
      </c>
      <c r="L126" s="1">
        <f t="shared" si="29"/>
        <v>-2.7771875000000001E-3</v>
      </c>
      <c r="M126" s="1">
        <f t="shared" si="23"/>
        <v>-6.1672688773636304E-2</v>
      </c>
      <c r="N126" s="18">
        <f t="shared" si="28"/>
        <v>0.4657947183477692</v>
      </c>
      <c r="O126" s="10">
        <f>Interpolate_Range('試算番号2-3'!$G$11:$G$130,'試算番号2-3'!$N$11:$N$130,G126)</f>
        <v>2.3579425946199495E-2</v>
      </c>
      <c r="P126" s="1">
        <f t="shared" si="31"/>
        <v>0.45769215645425487</v>
      </c>
      <c r="Q126" s="1">
        <f t="shared" si="30"/>
        <v>-1.6100000000000001E-3</v>
      </c>
      <c r="R126" s="5">
        <f t="shared" si="32"/>
        <v>19.148532220533088</v>
      </c>
      <c r="S126" s="1">
        <f t="shared" si="19"/>
        <v>2.803707377909426E-2</v>
      </c>
    </row>
    <row r="127" spans="7:19">
      <c r="G127" s="13">
        <f t="shared" si="27"/>
        <v>27.5</v>
      </c>
      <c r="H127" s="2">
        <f>Interpolate_Range('試算番号2-1'!$G$10:$G$130,'試算番号2-1'!$I$10:$I$130,G127)</f>
        <v>0.57101046543778466</v>
      </c>
      <c r="I127" s="1">
        <f>Interpolate_Range('試算番号2-1'!$G$11:$G$130,'試算番号2-1'!$N$11:$N$130,G127)</f>
        <v>2.1818035606710588E-2</v>
      </c>
      <c r="J127" s="5">
        <f t="shared" si="22"/>
        <v>22.349639538339435</v>
      </c>
      <c r="K127" s="1">
        <f t="shared" si="26"/>
        <v>0.38293810229346692</v>
      </c>
      <c r="L127" s="1">
        <f t="shared" si="29"/>
        <v>-2.7468750000000002E-3</v>
      </c>
      <c r="M127" s="1">
        <f t="shared" si="23"/>
        <v>-6.1391666106876137E-2</v>
      </c>
      <c r="N127" s="18">
        <f t="shared" si="28"/>
        <v>0.46313293796904276</v>
      </c>
      <c r="O127" s="10">
        <f>Interpolate_Range('試算番号2-3'!$G$11:$G$130,'試算番号2-3'!$N$11:$N$130,G127)</f>
        <v>2.3728436122176535E-2</v>
      </c>
      <c r="P127" s="1">
        <f t="shared" si="31"/>
        <v>0.46043951153792345</v>
      </c>
      <c r="Q127" s="1">
        <f t="shared" si="30"/>
        <v>-1.6100000000000001E-3</v>
      </c>
      <c r="R127" s="5">
        <f t="shared" si="32"/>
        <v>19.264315455025347</v>
      </c>
      <c r="S127" s="1">
        <f t="shared" si="19"/>
        <v>2.7990587020528968E-2</v>
      </c>
    </row>
    <row r="128" spans="7:19">
      <c r="G128" s="13">
        <f t="shared" si="27"/>
        <v>27.75</v>
      </c>
      <c r="H128" s="2">
        <f>Interpolate_Range('試算番号2-1'!$G$10:$G$130,'試算番号2-1'!$I$10:$I$130,G128)</f>
        <v>0.56752819255078513</v>
      </c>
      <c r="I128" s="1">
        <f>Interpolate_Range('試算番号2-1'!$G$11:$G$130,'試算番号2-1'!$N$11:$N$130,G128)</f>
        <v>2.1856770868825145E-2</v>
      </c>
      <c r="J128" s="5">
        <f t="shared" si="22"/>
        <v>22.491521586477131</v>
      </c>
      <c r="K128" s="1">
        <f t="shared" si="26"/>
        <v>0.38603918571001217</v>
      </c>
      <c r="L128" s="1">
        <f t="shared" si="29"/>
        <v>-2.7165625000000002E-3</v>
      </c>
      <c r="M128" s="1">
        <f t="shared" si="23"/>
        <v>-6.1099624109764286E-2</v>
      </c>
      <c r="N128" s="18">
        <f t="shared" si="28"/>
        <v>0.46048015728321817</v>
      </c>
      <c r="O128" s="10">
        <f>Interpolate_Range('試算番号2-3'!$G$11:$G$130,'試算番号2-3'!$N$11:$N$130,G128)</f>
        <v>2.387921765843113E-2</v>
      </c>
      <c r="P128" s="1">
        <f t="shared" si="31"/>
        <v>0.4631884880137121</v>
      </c>
      <c r="Q128" s="1">
        <f t="shared" si="30"/>
        <v>-1.6100000000000001E-3</v>
      </c>
      <c r="R128" s="5">
        <f t="shared" si="32"/>
        <v>19.379435494346151</v>
      </c>
      <c r="S128" s="1">
        <f t="shared" si="19"/>
        <v>2.7945423917822239E-2</v>
      </c>
    </row>
    <row r="129" spans="7:19">
      <c r="G129" s="13">
        <f t="shared" si="27"/>
        <v>28</v>
      </c>
      <c r="H129" s="2">
        <f>Interpolate_Range('試算番号2-1'!$G$10:$G$130,'試算番号2-1'!$I$10:$I$130,G129)</f>
        <v>0.56404591966378548</v>
      </c>
      <c r="I129" s="1">
        <f>Interpolate_Range('試算番号2-1'!$G$11:$G$130,'試算番号2-1'!$N$11:$N$130,G129)</f>
        <v>2.199652988199095E-2</v>
      </c>
      <c r="J129" s="5">
        <f t="shared" si="22"/>
        <v>22.632533066393076</v>
      </c>
      <c r="K129" s="1">
        <f t="shared" si="26"/>
        <v>0.38914094894168705</v>
      </c>
      <c r="L129" s="1">
        <f t="shared" si="29"/>
        <v>-2.6862500000000003E-3</v>
      </c>
      <c r="M129" s="1">
        <f t="shared" si="23"/>
        <v>-6.0796641949598405E-2</v>
      </c>
      <c r="N129" s="18">
        <f t="shared" si="28"/>
        <v>0.45783625124130162</v>
      </c>
      <c r="O129" s="10">
        <f>Interpolate_Range('試算番号2-3'!$G$11:$G$130,'試算番号2-3'!$N$11:$N$130,G129)</f>
        <v>2.4031802902671595E-2</v>
      </c>
      <c r="P129" s="1">
        <f t="shared" si="31"/>
        <v>0.46593914565159433</v>
      </c>
      <c r="Q129" s="1">
        <f t="shared" si="30"/>
        <v>-1.6100000000000001E-3</v>
      </c>
      <c r="R129" s="5">
        <f t="shared" si="32"/>
        <v>19.493894557156477</v>
      </c>
      <c r="S129" s="1">
        <f t="shared" si="19"/>
        <v>2.7901560315638622E-2</v>
      </c>
    </row>
    <row r="130" spans="7:19">
      <c r="G130" s="13">
        <f t="shared" si="27"/>
        <v>28.25</v>
      </c>
      <c r="H130" s="2">
        <f>Interpolate_Range('試算番号2-1'!$G$10:$G$130,'試算番号2-1'!$I$10:$I$130,G130)</f>
        <v>0.56057803103545312</v>
      </c>
      <c r="I130" s="1">
        <f>Interpolate_Range('試算番号2-1'!$G$11:$G$130,'試算番号2-1'!$N$11:$N$130,G130)</f>
        <v>2.2034838906277027E-2</v>
      </c>
      <c r="J130" s="5">
        <f t="shared" si="22"/>
        <v>22.772677574151938</v>
      </c>
      <c r="K130" s="1">
        <f t="shared" si="26"/>
        <v>0.39222901059375309</v>
      </c>
      <c r="L130" s="1">
        <f t="shared" si="29"/>
        <v>-2.6559375000000003E-3</v>
      </c>
      <c r="M130" s="1">
        <f t="shared" si="23"/>
        <v>-6.0482808344599168E-2</v>
      </c>
      <c r="N130" s="18">
        <f t="shared" si="28"/>
        <v>0.45527244345502799</v>
      </c>
      <c r="O130" s="10">
        <f>Interpolate_Range('試算番号2-3'!$G$11:$G$130,'試算番号2-3'!$N$11:$N$130,G130)</f>
        <v>2.3555667486931043E-2</v>
      </c>
      <c r="P130" s="1">
        <f t="shared" si="31"/>
        <v>0.46862020722509162</v>
      </c>
      <c r="Q130" s="1">
        <f t="shared" si="30"/>
        <v>-1.6100000000000001E-3</v>
      </c>
      <c r="R130" s="5">
        <f t="shared" si="32"/>
        <v>19.607712668020234</v>
      </c>
      <c r="S130" s="1">
        <f t="shared" si="19"/>
        <v>2.7853425217779237E-2</v>
      </c>
    </row>
    <row r="131" spans="7:19">
      <c r="G131" s="13">
        <f t="shared" si="27"/>
        <v>28.5</v>
      </c>
      <c r="H131" s="2">
        <f>Interpolate_Range('試算番号2-1'!$G$10:$G$130,'試算番号2-1'!$I$10:$I$130,G131)</f>
        <v>0.55711014240712087</v>
      </c>
      <c r="I131" s="1">
        <f>Interpolate_Range('試算番号2-1'!$G$11:$G$130,'試算番号2-1'!$N$11:$N$130,G131)</f>
        <v>2.217697628981391E-2</v>
      </c>
      <c r="J131" s="5">
        <f t="shared" si="22"/>
        <v>22.91195510975372</v>
      </c>
      <c r="K131" s="1">
        <f t="shared" si="26"/>
        <v>0.39531776519849748</v>
      </c>
      <c r="L131" s="1">
        <f t="shared" si="29"/>
        <v>-2.6256250000000004E-3</v>
      </c>
      <c r="M131" s="1">
        <f t="shared" si="23"/>
        <v>-6.015820213504712E-2</v>
      </c>
      <c r="N131" s="18">
        <f t="shared" si="28"/>
        <v>0.45271730678029976</v>
      </c>
      <c r="O131" s="10">
        <f>Interpolate_Range('試算番号2-3'!$G$11:$G$130,'試算番号2-3'!$N$11:$N$130,G131)</f>
        <v>2.370421926876792E-2</v>
      </c>
      <c r="P131" s="1">
        <f t="shared" si="31"/>
        <v>0.47130303480176322</v>
      </c>
      <c r="Q131" s="1">
        <f t="shared" si="30"/>
        <v>-1.6100000000000001E-3</v>
      </c>
      <c r="R131" s="5">
        <f t="shared" si="32"/>
        <v>19.720891994715309</v>
      </c>
      <c r="S131" s="1">
        <f t="shared" si="19"/>
        <v>2.7806575268069674E-2</v>
      </c>
    </row>
    <row r="132" spans="7:19">
      <c r="G132" s="13">
        <f t="shared" si="27"/>
        <v>28.75</v>
      </c>
      <c r="H132" s="2">
        <f>Interpolate_Range('試算番号2-1'!$G$10:$G$130,'試算番号2-1'!$I$10:$I$130,G132)</f>
        <v>0.55365685052121405</v>
      </c>
      <c r="I132" s="1">
        <f>Interpolate_Range('試算番号2-1'!$G$11:$G$130,'試算番号2-1'!$N$11:$N$130,G132)</f>
        <v>2.2214868249201179E-2</v>
      </c>
      <c r="J132" s="5">
        <f t="shared" si="22"/>
        <v>23.050369322384022</v>
      </c>
      <c r="K132" s="1">
        <f t="shared" si="26"/>
        <v>0.39839261869589659</v>
      </c>
      <c r="L132" s="1">
        <f t="shared" si="29"/>
        <v>-2.5953125000000004E-3</v>
      </c>
      <c r="M132" s="1">
        <f t="shared" si="23"/>
        <v>-5.9822911631999792E-2</v>
      </c>
      <c r="N132" s="18">
        <f t="shared" si="28"/>
        <v>0.45017069959045247</v>
      </c>
      <c r="O132" s="10">
        <f>Interpolate_Range('試算番号2-3'!$G$11:$G$130,'試算番号2-3'!$N$11:$N$130,G132)</f>
        <v>2.3854533521744332E-2</v>
      </c>
      <c r="P132" s="1">
        <f t="shared" si="31"/>
        <v>0.47398768781273509</v>
      </c>
      <c r="Q132" s="1">
        <f t="shared" si="30"/>
        <v>-1.6100000000000001E-3</v>
      </c>
      <c r="R132" s="5">
        <f t="shared" si="32"/>
        <v>19.833434669612924</v>
      </c>
      <c r="S132" s="1">
        <f t="shared" si="19"/>
        <v>2.7760989068622548E-2</v>
      </c>
    </row>
    <row r="133" spans="7:19">
      <c r="G133" s="13">
        <f>G132+0.25</f>
        <v>29</v>
      </c>
      <c r="H133" s="2">
        <f>Interpolate_Range('試算番号2-1'!$G$10:$G$130,'試算番号2-1'!$I$10:$I$130,G133)</f>
        <v>0.55020355863530723</v>
      </c>
      <c r="I133" s="1">
        <f>Interpolate_Range('試算番号2-1'!$G$11:$G$130,'試算番号2-1'!$N$11:$N$130,G133)</f>
        <v>2.2359429084645766E-2</v>
      </c>
      <c r="J133" s="5">
        <f t="shared" si="22"/>
        <v>23.187920212042847</v>
      </c>
      <c r="K133" s="1">
        <f t="shared" si="26"/>
        <v>0.40146817805875307</v>
      </c>
      <c r="L133" s="1">
        <f t="shared" si="29"/>
        <v>-2.565E-3</v>
      </c>
      <c r="M133" s="1">
        <f t="shared" si="23"/>
        <v>-5.9477015343889904E-2</v>
      </c>
      <c r="N133" s="18">
        <f t="shared" si="28"/>
        <v>0.44763249711773334</v>
      </c>
      <c r="O133" s="10">
        <f>Interpolate_Range('試算番号2-3'!$G$11:$G$130,'試算番号2-3'!$N$11:$N$130,G133)</f>
        <v>2.400664236995298E-2</v>
      </c>
      <c r="P133" s="1">
        <f t="shared" si="31"/>
        <v>0.47667422613060367</v>
      </c>
      <c r="Q133" s="1">
        <f t="shared" si="30"/>
        <v>-1.6100000000000001E-3</v>
      </c>
      <c r="R133" s="5">
        <f t="shared" si="32"/>
        <v>19.945342793892358</v>
      </c>
      <c r="S133" s="1">
        <f t="shared" si="19"/>
        <v>2.7716644901602635E-2</v>
      </c>
    </row>
    <row r="134" spans="7:19">
      <c r="G134" s="13">
        <f t="shared" ref="G134:G135" si="33">G133+0.25</f>
        <v>29.25</v>
      </c>
      <c r="H134" s="2">
        <f>Interpolate_Range('試算番号2-1'!$G$10:$G$130,'試算番号2-1'!$I$10:$I$130,G134)</f>
        <v>0.54676507195276502</v>
      </c>
      <c r="I134" s="1">
        <f>Interpolate_Range('試算番号2-1'!$G$11:$G$130,'試算番号2-1'!$N$11:$N$130,G134)</f>
        <v>2.2396913654496173E-2</v>
      </c>
      <c r="J134" s="5">
        <f t="shared" si="22"/>
        <v>23.324611480031038</v>
      </c>
      <c r="K134" s="1">
        <f t="shared" si="26"/>
        <v>0.40452964058520818</v>
      </c>
      <c r="L134" s="1">
        <f t="shared" si="29"/>
        <v>-2.5346875E-3</v>
      </c>
      <c r="M134" s="1">
        <f t="shared" si="23"/>
        <v>-5.9120601160791174E-2</v>
      </c>
      <c r="N134" s="18">
        <f t="shared" si="28"/>
        <v>0.44517217264956327</v>
      </c>
      <c r="O134" s="10">
        <f>Interpolate_Range('試算番号2-3'!$G$11:$G$130,'試算番号2-3'!$N$11:$N$130,G134)</f>
        <v>2.3531536385898298E-2</v>
      </c>
      <c r="P134" s="1">
        <f t="shared" si="31"/>
        <v>0.47929312242527683</v>
      </c>
      <c r="Q134" s="1">
        <f t="shared" si="30"/>
        <v>-1.6100000000000001E-3</v>
      </c>
      <c r="R134" s="5">
        <f t="shared" si="32"/>
        <v>20.056635837054749</v>
      </c>
      <c r="S134" s="1">
        <f t="shared" si="19"/>
        <v>2.7668176643206536E-2</v>
      </c>
    </row>
    <row r="135" spans="7:19">
      <c r="G135" s="13">
        <f t="shared" si="33"/>
        <v>29.5</v>
      </c>
      <c r="H135" s="2">
        <f>Interpolate_Range('試算番号2-1'!$G$10:$G$130,'試算番号2-1'!$I$10:$I$130,G135)</f>
        <v>0.54332658527022282</v>
      </c>
      <c r="I135" s="1">
        <f>Interpolate_Range('試算番号2-1'!$G$11:$G$130,'試算番号2-1'!$N$11:$N$130,G135)</f>
        <v>2.2543944382269747E-2</v>
      </c>
      <c r="J135" s="5">
        <f t="shared" si="22"/>
        <v>23.460443126348594</v>
      </c>
      <c r="K135" s="1">
        <f t="shared" si="26"/>
        <v>0.40759182166514329</v>
      </c>
      <c r="L135" s="1">
        <f t="shared" si="29"/>
        <v>-2.5043750000000001E-3</v>
      </c>
      <c r="M135" s="1">
        <f t="shared" si="23"/>
        <v>-5.8753747254549259E-2</v>
      </c>
      <c r="N135" s="18">
        <f t="shared" si="28"/>
        <v>0.44272005466962616</v>
      </c>
      <c r="O135" s="10">
        <f>Interpolate_Range('試算番号2-3'!$G$11:$G$130,'試算番号2-3'!$N$11:$N$130,G135)</f>
        <v>2.3679623978473018E-2</v>
      </c>
      <c r="P135" s="1">
        <f t="shared" si="31"/>
        <v>0.4819139835308533</v>
      </c>
      <c r="Q135" s="1">
        <f t="shared" si="30"/>
        <v>-1.6100000000000001E-3</v>
      </c>
      <c r="R135" s="5">
        <f t="shared" si="32"/>
        <v>20.167315850722154</v>
      </c>
      <c r="S135" s="1">
        <f t="shared" si="19"/>
        <v>2.7620936930771025E-2</v>
      </c>
    </row>
    <row r="136" spans="7:19">
      <c r="G136" s="13">
        <f>G135+0.25</f>
        <v>29.75</v>
      </c>
      <c r="H136" s="2">
        <f>Interpolate_Range('試算番号2-1'!$G$10:$G$130,'試算番号2-1'!$I$10:$I$130,G136)</f>
        <v>0.53990310823300791</v>
      </c>
      <c r="I136" s="1">
        <f>Interpolate_Range('試算番号2-1'!$G$11:$G$130,'試算番号2-1'!$N$11:$N$130,G136)</f>
        <v>2.2581031765777318E-2</v>
      </c>
      <c r="J136" s="5">
        <f t="shared" si="22"/>
        <v>23.595418903406845</v>
      </c>
      <c r="K136" s="1">
        <f t="shared" si="26"/>
        <v>0.41063971397450616</v>
      </c>
      <c r="L136" s="1">
        <f t="shared" si="29"/>
        <v>-2.4740625000000001E-3</v>
      </c>
      <c r="M136" s="1">
        <f t="shared" si="23"/>
        <v>-5.8376541080709998E-2</v>
      </c>
      <c r="N136" s="18">
        <f t="shared" si="28"/>
        <v>0.44027600180673482</v>
      </c>
      <c r="O136" s="10">
        <f>Interpolate_Range('試算番号2-3'!$G$11:$G$130,'試算番号2-3'!$N$11:$N$130,G136)</f>
        <v>2.3829465052307576E-2</v>
      </c>
      <c r="P136" s="1">
        <f t="shared" si="31"/>
        <v>0.48453686893045911</v>
      </c>
      <c r="Q136" s="1">
        <f t="shared" si="30"/>
        <v>-1.6100000000000001E-3</v>
      </c>
      <c r="R136" s="5">
        <f t="shared" si="32"/>
        <v>20.277384851173839</v>
      </c>
      <c r="S136" s="1">
        <f t="shared" si="19"/>
        <v>2.7574906618225908E-2</v>
      </c>
    </row>
    <row r="137" spans="7:19">
      <c r="G137" s="13">
        <f t="shared" ref="G137" si="34">G136+0.25</f>
        <v>30</v>
      </c>
      <c r="H137" s="2">
        <f>Interpolate_Range('試算番号2-1'!$G$10:$G$130,'試算番号2-1'!$I$10:$I$130,G137)</f>
        <v>0.53647963119579301</v>
      </c>
      <c r="I137" s="1">
        <f>Interpolate_Range('試算番号2-1'!$G$11:$G$130,'試算番号2-1'!$N$11:$N$130,G137)</f>
        <v>2.2730580241217425E-2</v>
      </c>
      <c r="J137" s="5">
        <f t="shared" si="22"/>
        <v>23.729538811205792</v>
      </c>
      <c r="K137" s="1">
        <f t="shared" si="26"/>
        <v>0.41368833730067484</v>
      </c>
      <c r="L137" s="1">
        <f t="shared" si="29"/>
        <v>-2.4437500000000002E-3</v>
      </c>
      <c r="M137" s="1">
        <f t="shared" si="23"/>
        <v>-5.7989060469884161E-2</v>
      </c>
      <c r="N137" s="18">
        <f t="shared" si="28"/>
        <v>0.4378398896474755</v>
      </c>
      <c r="O137" s="10">
        <f>Interpolate_Range('試算番号2-3'!$G$11:$G$130,'試算番号2-3'!$N$11:$N$130,G137)</f>
        <v>2.3981091505715191E-2</v>
      </c>
      <c r="P137" s="1">
        <f t="shared" si="31"/>
        <v>0.48716183854508122</v>
      </c>
      <c r="Q137" s="1">
        <f t="shared" si="30"/>
        <v>-1.6100000000000001E-3</v>
      </c>
      <c r="R137" s="5">
        <f t="shared" si="32"/>
        <v>20.386844823585708</v>
      </c>
      <c r="S137" s="1">
        <f t="shared" si="19"/>
        <v>2.7530066139499265E-2</v>
      </c>
    </row>
    <row r="138" spans="7:19">
      <c r="G138"/>
      <c r="H138"/>
      <c r="I138"/>
      <c r="J138" s="4"/>
      <c r="K138"/>
      <c r="M138" s="7"/>
      <c r="N138" s="7"/>
      <c r="O138" s="10"/>
      <c r="P138" s="1"/>
      <c r="Q138" s="7"/>
    </row>
    <row r="139" spans="7:19">
      <c r="G139"/>
      <c r="H139"/>
      <c r="I139" s="46"/>
      <c r="J139" s="4"/>
      <c r="K139"/>
      <c r="M139" s="7"/>
      <c r="N139" s="7"/>
      <c r="O139" s="10"/>
      <c r="P139" s="1"/>
      <c r="Q139" s="7"/>
    </row>
    <row r="140" spans="7:19">
      <c r="G140"/>
      <c r="H140"/>
      <c r="I140"/>
      <c r="J140" s="4"/>
      <c r="K140"/>
      <c r="M140" s="7"/>
      <c r="N140" s="7"/>
      <c r="O140" s="10"/>
      <c r="P140" s="1"/>
      <c r="Q140" s="7"/>
    </row>
    <row r="141" spans="7:19">
      <c r="G141"/>
      <c r="H141"/>
      <c r="I141"/>
      <c r="J141" s="4"/>
      <c r="K141"/>
      <c r="M141" s="7"/>
      <c r="N141" s="7"/>
      <c r="O141" s="10"/>
      <c r="P141" s="1"/>
      <c r="Q141" s="7"/>
    </row>
    <row r="142" spans="7:19">
      <c r="G142"/>
      <c r="H142"/>
      <c r="I142"/>
      <c r="J142" s="4"/>
      <c r="K142"/>
      <c r="M142" s="7"/>
      <c r="N142" s="7"/>
      <c r="O142" s="10"/>
      <c r="P142" s="1"/>
      <c r="Q142" s="7"/>
    </row>
    <row r="143" spans="7:19">
      <c r="G143"/>
      <c r="H143"/>
      <c r="I143"/>
      <c r="J143" s="4"/>
      <c r="K143"/>
      <c r="M143" s="7"/>
      <c r="N143" s="7"/>
      <c r="O143" s="10"/>
      <c r="P143" s="1"/>
      <c r="Q143" s="7"/>
    </row>
    <row r="144" spans="7:19">
      <c r="G144"/>
      <c r="H144"/>
      <c r="I144"/>
      <c r="J144" s="4"/>
      <c r="K144"/>
      <c r="M144" s="7"/>
      <c r="N144" s="7"/>
      <c r="O144" s="10"/>
      <c r="P144" s="1"/>
      <c r="Q144" s="7"/>
    </row>
    <row r="145" spans="7:17">
      <c r="G145"/>
      <c r="H145"/>
      <c r="I145"/>
      <c r="J145" s="4"/>
      <c r="K145"/>
      <c r="M145" s="7"/>
      <c r="N145" s="7"/>
      <c r="O145" s="10"/>
      <c r="P145" s="1"/>
      <c r="Q145" s="7"/>
    </row>
    <row r="146" spans="7:17">
      <c r="G146"/>
      <c r="H146"/>
      <c r="I146"/>
      <c r="J146" s="4"/>
      <c r="K146"/>
      <c r="M146" s="7"/>
      <c r="N146" s="7"/>
      <c r="O146" s="10"/>
      <c r="P146" s="1"/>
      <c r="Q146" s="7"/>
    </row>
    <row r="147" spans="7:17">
      <c r="G147"/>
      <c r="H147"/>
      <c r="I147"/>
      <c r="J147" s="4"/>
      <c r="K147"/>
      <c r="M147" s="7"/>
      <c r="N147" s="7"/>
      <c r="O147" s="10"/>
      <c r="P147" s="1"/>
      <c r="Q147" s="7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197"/>
  <sheetViews>
    <sheetView zoomScale="85" zoomScaleNormal="85" workbookViewId="0"/>
  </sheetViews>
  <sheetFormatPr defaultRowHeight="13.5"/>
  <cols>
    <col min="1" max="1" width="9.5" bestFit="1" customWidth="1"/>
    <col min="2" max="2" width="11.25" bestFit="1" customWidth="1"/>
    <col min="3" max="3" width="7.25" customWidth="1"/>
    <col min="5" max="5" width="10.125" customWidth="1"/>
    <col min="7" max="7" width="9.875" bestFit="1" customWidth="1"/>
    <col min="8" max="8" width="14.625" bestFit="1" customWidth="1"/>
    <col min="9" max="9" width="9.5" customWidth="1"/>
    <col min="10" max="10" width="16" customWidth="1"/>
    <col min="12" max="12" width="16" customWidth="1"/>
    <col min="13" max="13" width="17.375" customWidth="1"/>
    <col min="14" max="14" width="11.75" customWidth="1"/>
    <col min="16" max="16" width="12.875" bestFit="1" customWidth="1"/>
    <col min="17" max="17" width="15.375" customWidth="1"/>
    <col min="18" max="18" width="18" customWidth="1"/>
    <col min="19" max="19" width="8.875" customWidth="1"/>
    <col min="20" max="20" width="10.5" customWidth="1"/>
    <col min="21" max="21" width="21.875" bestFit="1" customWidth="1"/>
    <col min="26" max="26" width="14.625" bestFit="1" customWidth="1"/>
    <col min="28" max="28" width="14.625" bestFit="1" customWidth="1"/>
  </cols>
  <sheetData>
    <row r="1" spans="1:28">
      <c r="A1" t="s">
        <v>95</v>
      </c>
    </row>
    <row r="2" spans="1:28">
      <c r="A2" s="22" t="s">
        <v>96</v>
      </c>
      <c r="B2" s="19"/>
      <c r="C2" s="48"/>
      <c r="D2" s="19"/>
      <c r="U2" s="22" t="s">
        <v>44</v>
      </c>
    </row>
    <row r="3" spans="1:28">
      <c r="C3" s="11"/>
    </row>
    <row r="4" spans="1:28">
      <c r="N4" s="3"/>
    </row>
    <row r="5" spans="1:28">
      <c r="N5" s="18"/>
      <c r="P5" s="8"/>
      <c r="Q5" s="8"/>
      <c r="R5" s="8"/>
      <c r="S5" s="8"/>
      <c r="T5" s="8"/>
    </row>
    <row r="6" spans="1:28">
      <c r="N6" s="10"/>
      <c r="O6" s="18"/>
      <c r="P6" s="8"/>
      <c r="Q6" s="8"/>
      <c r="R6" s="8"/>
      <c r="S6" s="8"/>
      <c r="T6" s="8"/>
    </row>
    <row r="8" spans="1:28">
      <c r="F8" s="10"/>
      <c r="G8" s="23" t="s">
        <v>49</v>
      </c>
      <c r="U8" s="23" t="s">
        <v>30</v>
      </c>
      <c r="X8" s="23" t="s">
        <v>50</v>
      </c>
    </row>
    <row r="9" spans="1:28">
      <c r="A9" s="23" t="s">
        <v>23</v>
      </c>
      <c r="F9" s="10"/>
      <c r="G9" t="s">
        <v>2</v>
      </c>
      <c r="H9" t="s">
        <v>15</v>
      </c>
      <c r="I9" t="s">
        <v>16</v>
      </c>
      <c r="J9" t="s">
        <v>98</v>
      </c>
      <c r="K9" t="s">
        <v>21</v>
      </c>
      <c r="L9" t="s">
        <v>99</v>
      </c>
      <c r="M9" t="s">
        <v>101</v>
      </c>
      <c r="N9" t="s">
        <v>100</v>
      </c>
      <c r="O9" t="s">
        <v>6</v>
      </c>
      <c r="P9" t="s">
        <v>103</v>
      </c>
      <c r="Q9" t="s">
        <v>104</v>
      </c>
      <c r="R9" t="s">
        <v>102</v>
      </c>
      <c r="S9" t="s">
        <v>4</v>
      </c>
      <c r="U9" t="s">
        <v>40</v>
      </c>
      <c r="V9">
        <v>100</v>
      </c>
      <c r="X9" t="s">
        <v>17</v>
      </c>
      <c r="Y9" t="s">
        <v>32</v>
      </c>
      <c r="Z9" t="s">
        <v>41</v>
      </c>
      <c r="AA9" t="s">
        <v>42</v>
      </c>
      <c r="AB9" t="s">
        <v>41</v>
      </c>
    </row>
    <row r="10" spans="1:28">
      <c r="F10" s="10"/>
      <c r="G10">
        <v>0</v>
      </c>
      <c r="H10" s="1"/>
      <c r="I10" s="27">
        <v>1</v>
      </c>
      <c r="K10" s="16"/>
      <c r="S10" s="10">
        <f>S11</f>
        <v>7.2999927001081953E-4</v>
      </c>
      <c r="U10" t="s">
        <v>34</v>
      </c>
      <c r="V10" s="26">
        <v>8.0000000000000002E-3</v>
      </c>
      <c r="X10">
        <v>0</v>
      </c>
    </row>
    <row r="11" spans="1:28">
      <c r="B11" t="s">
        <v>24</v>
      </c>
      <c r="F11" s="10"/>
      <c r="G11" s="2">
        <f>1/365</f>
        <v>2.7397260273972603E-3</v>
      </c>
      <c r="H11" s="1">
        <f t="shared" ref="H11:H42" si="0">Interpolate_Range($A$17:$A$50,$B$17:$B$50,G11)</f>
        <v>7.2999999999999996E-4</v>
      </c>
      <c r="I11" s="27">
        <f t="shared" ref="I11:I27" si="1">1/(1+H11*G11)</f>
        <v>0.99999800000399997</v>
      </c>
      <c r="K11" s="16"/>
      <c r="S11" s="10">
        <f t="shared" ref="S11:S42" si="2">-LN(I11)/G11</f>
        <v>7.2999927001081953E-4</v>
      </c>
      <c r="U11" t="s">
        <v>31</v>
      </c>
      <c r="V11" s="12" t="s">
        <v>9</v>
      </c>
      <c r="X11">
        <v>0.25</v>
      </c>
      <c r="Y11" s="1">
        <f>$V$10/4</f>
        <v>2E-3</v>
      </c>
      <c r="Z11" s="1">
        <f t="shared" ref="Z11:Z50" si="3">Y11*Interpolate_Range($G$10:$G$143,$I$10:$I$143,X11)</f>
        <v>1.9996200721862849E-3</v>
      </c>
      <c r="AA11" s="1">
        <f>$P$18/4</f>
        <v>3.8572500000000001E-4</v>
      </c>
      <c r="AB11" s="1">
        <f t="shared" ref="AB11:AB50" si="4">AA11*Interpolate_Range($G$10:$G$143,$I$10:$I$143,X11)</f>
        <v>3.8565172617202733E-4</v>
      </c>
    </row>
    <row r="12" spans="1:28">
      <c r="A12" t="s">
        <v>0</v>
      </c>
      <c r="B12" s="1">
        <v>1.5429E-3</v>
      </c>
      <c r="F12" s="10"/>
      <c r="G12" s="2">
        <f>2/365</f>
        <v>5.4794520547945206E-3</v>
      </c>
      <c r="H12" s="1">
        <f t="shared" si="0"/>
        <v>7.2999999999999996E-4</v>
      </c>
      <c r="I12" s="27">
        <f t="shared" si="1"/>
        <v>0.99999600001600009</v>
      </c>
      <c r="K12" s="16"/>
      <c r="S12" s="10">
        <f t="shared" si="2"/>
        <v>7.2999853997649238E-4</v>
      </c>
      <c r="U12" t="s">
        <v>38</v>
      </c>
      <c r="V12" s="12" t="s">
        <v>37</v>
      </c>
      <c r="X12">
        <v>0.5</v>
      </c>
      <c r="Y12" s="1">
        <f t="shared" ref="Y12:Y50" si="5">$V$10/4</f>
        <v>2E-3</v>
      </c>
      <c r="Z12" s="1">
        <f t="shared" si="3"/>
        <v>1.999210311926789E-3</v>
      </c>
      <c r="AA12" s="1">
        <f>$P$21/4</f>
        <v>5.1236391623091606E-4</v>
      </c>
      <c r="AB12" s="1">
        <f t="shared" si="4"/>
        <v>5.1216161239402049E-4</v>
      </c>
    </row>
    <row r="13" spans="1:28">
      <c r="A13" t="s">
        <v>1</v>
      </c>
      <c r="B13" s="1">
        <v>2.4214000000000002E-3</v>
      </c>
      <c r="F13" s="10"/>
      <c r="G13" s="2">
        <f>7/365</f>
        <v>1.9178082191780823E-2</v>
      </c>
      <c r="H13" s="1">
        <f t="shared" si="0"/>
        <v>7.2999999999999996E-4</v>
      </c>
      <c r="I13" s="27">
        <f t="shared" si="1"/>
        <v>0.99998600019599726</v>
      </c>
      <c r="K13" s="16"/>
      <c r="S13" s="10">
        <f t="shared" si="2"/>
        <v>7.2999489004748805E-4</v>
      </c>
      <c r="U13" t="s">
        <v>35</v>
      </c>
      <c r="V13" s="12" t="s">
        <v>39</v>
      </c>
      <c r="X13">
        <v>0.75</v>
      </c>
      <c r="Y13" s="1">
        <f t="shared" si="5"/>
        <v>2E-3</v>
      </c>
      <c r="Z13" s="1">
        <f t="shared" si="3"/>
        <v>1.9987857376643687E-3</v>
      </c>
      <c r="AA13" s="1">
        <f>$P$24/4</f>
        <v>4.3208090275554593E-4</v>
      </c>
      <c r="AB13" s="1">
        <f t="shared" si="4"/>
        <v>4.3181857297246515E-4</v>
      </c>
    </row>
    <row r="14" spans="1:28">
      <c r="F14" s="10"/>
      <c r="G14" s="2">
        <f>14/365</f>
        <v>3.8356164383561646E-2</v>
      </c>
      <c r="H14" s="1">
        <f t="shared" si="0"/>
        <v>7.2999999999999996E-4</v>
      </c>
      <c r="I14" s="27">
        <f t="shared" si="1"/>
        <v>0.99997200078397808</v>
      </c>
      <c r="K14" s="16"/>
      <c r="S14" s="10">
        <f t="shared" si="2"/>
        <v>7.2998978019003823E-4</v>
      </c>
      <c r="X14">
        <v>1</v>
      </c>
      <c r="Y14" s="1">
        <f t="shared" si="5"/>
        <v>2E-3</v>
      </c>
      <c r="Z14" s="1">
        <f t="shared" si="3"/>
        <v>1.998341376657374E-3</v>
      </c>
      <c r="AA14" s="1">
        <f t="shared" ref="AA14:AA50" si="6">Interpolate_Range($G$27:$G$143,$P$27:$P$143,X14)/4</f>
        <v>4.3208090275554593E-4</v>
      </c>
      <c r="AB14" s="1">
        <f t="shared" si="4"/>
        <v>4.3172257301993933E-4</v>
      </c>
    </row>
    <row r="15" spans="1:28">
      <c r="F15" s="10"/>
      <c r="G15" s="2">
        <f>21/365</f>
        <v>5.7534246575342465E-2</v>
      </c>
      <c r="H15" s="1">
        <f t="shared" si="0"/>
        <v>7.2999999999999996E-4</v>
      </c>
      <c r="I15" s="38">
        <f t="shared" si="1"/>
        <v>0.9999580017639258</v>
      </c>
      <c r="K15" s="16"/>
      <c r="S15" s="10">
        <f t="shared" si="2"/>
        <v>7.2998467043128431E-4</v>
      </c>
      <c r="X15">
        <v>1.25</v>
      </c>
      <c r="Y15" s="1">
        <f t="shared" si="5"/>
        <v>2E-3</v>
      </c>
      <c r="Z15" s="1">
        <f t="shared" si="3"/>
        <v>1.9978269731676435E-3</v>
      </c>
      <c r="AA15" s="1">
        <f t="shared" si="6"/>
        <v>4.9873879338430756E-4</v>
      </c>
      <c r="AB15" s="1">
        <f t="shared" si="4"/>
        <v>4.9819690699412695E-4</v>
      </c>
    </row>
    <row r="16" spans="1:28">
      <c r="B16" t="s">
        <v>97</v>
      </c>
      <c r="E16" t="s">
        <v>26</v>
      </c>
      <c r="F16" s="10"/>
      <c r="G16" s="2">
        <f>1/12</f>
        <v>8.3333333333333329E-2</v>
      </c>
      <c r="H16" s="1">
        <f t="shared" si="0"/>
        <v>7.3999999999999999E-4</v>
      </c>
      <c r="I16" s="38">
        <f t="shared" si="1"/>
        <v>0.99993833713587665</v>
      </c>
      <c r="K16" s="16"/>
      <c r="S16" s="10">
        <f t="shared" si="2"/>
        <v>7.3997718427091554E-4</v>
      </c>
      <c r="U16" s="23" t="s">
        <v>43</v>
      </c>
      <c r="X16">
        <v>1.5</v>
      </c>
      <c r="Y16" s="1">
        <f t="shared" si="5"/>
        <v>2E-3</v>
      </c>
      <c r="Z16" s="1">
        <f t="shared" si="3"/>
        <v>1.9972428997887082E-3</v>
      </c>
      <c r="AA16" s="1">
        <f t="shared" si="6"/>
        <v>4.9873879338430756E-4</v>
      </c>
      <c r="AB16" s="1">
        <f t="shared" si="4"/>
        <v>4.9805125696799788E-4</v>
      </c>
    </row>
    <row r="17" spans="1:28">
      <c r="A17" s="2">
        <f>1/365</f>
        <v>2.7397260273972603E-3</v>
      </c>
      <c r="B17" s="10">
        <v>7.2999999999999996E-4</v>
      </c>
      <c r="D17">
        <v>1</v>
      </c>
      <c r="E17" s="1">
        <v>2.3874999999999999E-3</v>
      </c>
      <c r="F17" s="10"/>
      <c r="G17" s="2">
        <f>2/12</f>
        <v>0.16666666666666666</v>
      </c>
      <c r="H17" s="1">
        <f t="shared" si="0"/>
        <v>7.5000000000000002E-4</v>
      </c>
      <c r="I17" s="38">
        <f t="shared" si="1"/>
        <v>0.99987501562304715</v>
      </c>
      <c r="K17" s="16"/>
      <c r="S17" s="10">
        <f t="shared" si="2"/>
        <v>7.4995312890571329E-4</v>
      </c>
      <c r="U17" t="s">
        <v>45</v>
      </c>
      <c r="V17" s="15">
        <f>$V$9*SUM(Z11:Z50)</f>
        <v>7.8242492701913786</v>
      </c>
      <c r="X17">
        <v>1.75</v>
      </c>
      <c r="Y17" s="1">
        <f t="shared" si="5"/>
        <v>2E-3</v>
      </c>
      <c r="Z17" s="1">
        <f t="shared" si="3"/>
        <v>1.9966266341204389E-3</v>
      </c>
      <c r="AA17" s="1">
        <f t="shared" si="6"/>
        <v>5.3770207964405137E-4</v>
      </c>
      <c r="AB17" s="1">
        <f t="shared" si="4"/>
        <v>5.367951467196313E-4</v>
      </c>
    </row>
    <row r="18" spans="1:28">
      <c r="A18" s="2">
        <f>2/365</f>
        <v>5.4794520547945206E-3</v>
      </c>
      <c r="B18" s="10">
        <v>7.2999999999999996E-4</v>
      </c>
      <c r="D18">
        <v>2</v>
      </c>
      <c r="E18" s="1">
        <v>2.6250000000000002E-3</v>
      </c>
      <c r="F18" s="10"/>
      <c r="G18" s="2">
        <f>3/12</f>
        <v>0.25</v>
      </c>
      <c r="H18" s="1">
        <f t="shared" si="0"/>
        <v>7.6000000000000004E-4</v>
      </c>
      <c r="I18" s="38">
        <f t="shared" si="1"/>
        <v>0.99981003609314234</v>
      </c>
      <c r="K18" s="16"/>
      <c r="O18" s="16">
        <f>Interpolate_Range($D$35:$D$49,$E$35:$E$49,G18)</f>
        <v>6.2500000000000001E-4</v>
      </c>
      <c r="P18" s="17">
        <f>B12</f>
        <v>1.5429E-3</v>
      </c>
      <c r="Q18" s="32">
        <f>Q10+0.25*I18</f>
        <v>0.24995250902328559</v>
      </c>
      <c r="R18" s="1">
        <f>R10+P18*0.25*I18</f>
        <v>3.8565172617202733E-4</v>
      </c>
      <c r="S18" s="10">
        <f t="shared" si="2"/>
        <v>7.5992780914388111E-4</v>
      </c>
      <c r="U18" t="s">
        <v>46</v>
      </c>
      <c r="V18" s="15">
        <f>$V$9*SUM(AB11:AB50)</f>
        <v>8.2668102902258518</v>
      </c>
      <c r="X18">
        <v>2</v>
      </c>
      <c r="Y18" s="1">
        <f t="shared" si="5"/>
        <v>2E-3</v>
      </c>
      <c r="Z18" s="1">
        <f t="shared" si="3"/>
        <v>1.995965749802276E-3</v>
      </c>
      <c r="AA18" s="1">
        <f t="shared" si="6"/>
        <v>5.3770207964405137E-4</v>
      </c>
      <c r="AB18" s="1">
        <f t="shared" si="4"/>
        <v>5.3661746728349106E-4</v>
      </c>
    </row>
    <row r="19" spans="1:28">
      <c r="A19" s="2">
        <f>7/365</f>
        <v>1.9178082191780823E-2</v>
      </c>
      <c r="B19" s="10">
        <v>7.2999999999999996E-4</v>
      </c>
      <c r="D19">
        <v>3</v>
      </c>
      <c r="E19" s="1">
        <v>3.0249999999999999E-3</v>
      </c>
      <c r="F19" s="10"/>
      <c r="G19" s="2">
        <f>4/12</f>
        <v>0.33333333333333331</v>
      </c>
      <c r="H19" s="1">
        <f t="shared" si="0"/>
        <v>7.6999999999999996E-4</v>
      </c>
      <c r="I19" s="38">
        <f t="shared" si="1"/>
        <v>0.99974339919420696</v>
      </c>
      <c r="K19" s="16"/>
      <c r="S19" s="10">
        <f t="shared" si="2"/>
        <v>7.6990120023828681E-4</v>
      </c>
      <c r="U19" t="s">
        <v>47</v>
      </c>
      <c r="V19" s="28">
        <f>V17-V18</f>
        <v>-0.44256102003447317</v>
      </c>
      <c r="X19">
        <v>2.25</v>
      </c>
      <c r="Y19" s="1">
        <f t="shared" si="5"/>
        <v>2E-3</v>
      </c>
      <c r="Z19" s="1">
        <f t="shared" si="3"/>
        <v>1.9949203348031256E-3</v>
      </c>
      <c r="AA19" s="1">
        <f t="shared" si="6"/>
        <v>6.8874740834983883E-4</v>
      </c>
      <c r="AB19" s="1">
        <f t="shared" si="4"/>
        <v>6.869981052300228E-4</v>
      </c>
    </row>
    <row r="20" spans="1:28">
      <c r="A20" s="2">
        <f>14/365</f>
        <v>3.8356164383561646E-2</v>
      </c>
      <c r="B20" s="10">
        <v>7.2999999999999996E-4</v>
      </c>
      <c r="D20">
        <v>4</v>
      </c>
      <c r="E20" s="1">
        <v>3.5999999999999999E-3</v>
      </c>
      <c r="F20" s="10"/>
      <c r="G20" s="2">
        <f>5/12</f>
        <v>0.41666666666666669</v>
      </c>
      <c r="H20" s="1">
        <f t="shared" si="0"/>
        <v>7.7999999999999999E-4</v>
      </c>
      <c r="I20" s="38">
        <f t="shared" si="1"/>
        <v>0.99967510559068307</v>
      </c>
      <c r="K20" s="16"/>
      <c r="S20" s="10">
        <f t="shared" si="2"/>
        <v>7.7987327745571589E-4</v>
      </c>
      <c r="X20">
        <v>2.5</v>
      </c>
      <c r="Y20" s="1">
        <f t="shared" si="5"/>
        <v>2E-3</v>
      </c>
      <c r="Z20" s="1">
        <f t="shared" si="3"/>
        <v>1.9938749198039757E-3</v>
      </c>
      <c r="AA20" s="1">
        <f t="shared" si="6"/>
        <v>6.8874740834983883E-4</v>
      </c>
      <c r="AB20" s="1">
        <f t="shared" si="4"/>
        <v>6.8663809179436556E-4</v>
      </c>
    </row>
    <row r="21" spans="1:28">
      <c r="A21" s="2">
        <f>21/365</f>
        <v>5.7534246575342465E-2</v>
      </c>
      <c r="B21" s="10">
        <v>7.2999999999999996E-4</v>
      </c>
      <c r="D21">
        <v>5</v>
      </c>
      <c r="E21" s="1">
        <v>4.4812999999999997E-3</v>
      </c>
      <c r="F21" s="10"/>
      <c r="G21" s="2">
        <f>6/12</f>
        <v>0.5</v>
      </c>
      <c r="H21" s="1">
        <f t="shared" si="0"/>
        <v>7.9000000000000001E-4</v>
      </c>
      <c r="I21" s="38">
        <f t="shared" si="1"/>
        <v>0.9996051559633945</v>
      </c>
      <c r="K21" s="16"/>
      <c r="L21" s="15">
        <f>L10+0.5*I21</f>
        <v>0.49980257798169725</v>
      </c>
      <c r="M21" s="1">
        <f>M10+N21*0.5*I21</f>
        <v>1.2102219623248817E-3</v>
      </c>
      <c r="N21" s="17">
        <f>B13</f>
        <v>2.4214000000000002E-3</v>
      </c>
      <c r="O21" s="16">
        <f>Interpolate_Range($D$35:$D$49,$E$35:$E$49,G21)</f>
        <v>6.2500000000000001E-4</v>
      </c>
      <c r="P21" s="1">
        <f>(M21-O21*Q21-R18)/(0.25*I21)</f>
        <v>2.0494556649236642E-3</v>
      </c>
      <c r="Q21" s="32">
        <f>Q18+0.25*I21</f>
        <v>0.49985379801413421</v>
      </c>
      <c r="R21" s="1">
        <f>R18+P21*0.25*I21</f>
        <v>8.9781333856604783E-4</v>
      </c>
      <c r="S21" s="10">
        <f t="shared" si="2"/>
        <v>7.8984401607433701E-4</v>
      </c>
      <c r="X21">
        <v>2.75</v>
      </c>
      <c r="Y21" s="1">
        <f t="shared" si="5"/>
        <v>2E-3</v>
      </c>
      <c r="Z21" s="1">
        <f t="shared" si="3"/>
        <v>1.9928295048048258E-3</v>
      </c>
      <c r="AA21" s="1">
        <f t="shared" si="6"/>
        <v>7.7260611477877861E-4</v>
      </c>
      <c r="AB21" s="1">
        <f t="shared" si="4"/>
        <v>7.698361305618868E-4</v>
      </c>
    </row>
    <row r="22" spans="1:28">
      <c r="A22" s="2">
        <f>1/12</f>
        <v>8.3333333333333329E-2</v>
      </c>
      <c r="B22" s="10">
        <v>7.3999999999999999E-4</v>
      </c>
      <c r="D22">
        <v>6</v>
      </c>
      <c r="E22" s="1">
        <v>5.5250000000000004E-3</v>
      </c>
      <c r="F22" s="10"/>
      <c r="G22" s="2">
        <f>7/12</f>
        <v>0.58333333333333337</v>
      </c>
      <c r="H22" s="1">
        <f t="shared" si="0"/>
        <v>8.0000000000000004E-4</v>
      </c>
      <c r="I22" s="38">
        <f t="shared" si="1"/>
        <v>0.9995335510095289</v>
      </c>
      <c r="K22" s="16"/>
      <c r="S22" s="10">
        <f t="shared" si="2"/>
        <v>7.998133913870698E-4</v>
      </c>
      <c r="X22">
        <v>3</v>
      </c>
      <c r="Y22" s="1">
        <f t="shared" si="5"/>
        <v>2E-3</v>
      </c>
      <c r="Z22" s="1">
        <f t="shared" si="3"/>
        <v>1.9917840898056758E-3</v>
      </c>
      <c r="AA22" s="1">
        <f t="shared" si="6"/>
        <v>7.7260611477877861E-4</v>
      </c>
      <c r="AB22" s="1">
        <f t="shared" si="4"/>
        <v>7.6943228355147452E-4</v>
      </c>
    </row>
    <row r="23" spans="1:28">
      <c r="A23" s="2">
        <f>2/12</f>
        <v>0.16666666666666666</v>
      </c>
      <c r="B23" s="10">
        <v>7.5000000000000002E-4</v>
      </c>
      <c r="D23">
        <v>7</v>
      </c>
      <c r="E23" s="1">
        <v>6.6750000000000004E-3</v>
      </c>
      <c r="F23" s="10"/>
      <c r="G23" s="2">
        <f>8/12</f>
        <v>0.66666666666666663</v>
      </c>
      <c r="H23" s="1">
        <f t="shared" si="0"/>
        <v>8.0000000000000004E-4</v>
      </c>
      <c r="I23" s="38">
        <f t="shared" si="1"/>
        <v>0.99946695095948834</v>
      </c>
      <c r="K23" s="16"/>
      <c r="S23" s="10">
        <f t="shared" si="2"/>
        <v>7.9978674248808602E-4</v>
      </c>
      <c r="X23">
        <v>3.25</v>
      </c>
      <c r="Y23" s="1">
        <f t="shared" si="5"/>
        <v>2E-3</v>
      </c>
      <c r="Z23" s="1">
        <f t="shared" si="3"/>
        <v>1.9902507834180226E-3</v>
      </c>
      <c r="AA23" s="1">
        <f t="shared" si="6"/>
        <v>9.4671811322275294E-4</v>
      </c>
      <c r="AB23" s="1">
        <f t="shared" si="4"/>
        <v>9.4210323325880812E-4</v>
      </c>
    </row>
    <row r="24" spans="1:28">
      <c r="A24" s="2">
        <f>3/12</f>
        <v>0.25</v>
      </c>
      <c r="B24" s="10">
        <v>7.6000000000000004E-4</v>
      </c>
      <c r="D24">
        <v>8</v>
      </c>
      <c r="E24" s="1">
        <v>7.7499999999999999E-3</v>
      </c>
      <c r="F24" s="10"/>
      <c r="G24" s="2">
        <f>9/12</f>
        <v>0.75</v>
      </c>
      <c r="H24" s="1">
        <f t="shared" si="0"/>
        <v>8.0999999999999996E-4</v>
      </c>
      <c r="I24" s="38">
        <f t="shared" si="1"/>
        <v>0.99939286883218437</v>
      </c>
      <c r="K24" s="16"/>
      <c r="N24" s="20"/>
      <c r="O24" s="16">
        <f>Interpolate_Range($D$35:$D$49,$E$35:$E$49,G24)</f>
        <v>6.2500000000000001E-4</v>
      </c>
      <c r="P24" s="39">
        <f>P27</f>
        <v>1.7283236110221837E-3</v>
      </c>
      <c r="Q24" s="32">
        <f>Q21+0.25*I24</f>
        <v>0.74970201522218027</v>
      </c>
      <c r="R24" s="1">
        <f>R21+P24*0.25*I24</f>
        <v>1.329631911538513E-3</v>
      </c>
      <c r="S24" s="10">
        <f t="shared" si="2"/>
        <v>8.0975406209991699E-4</v>
      </c>
      <c r="X24">
        <v>3.5</v>
      </c>
      <c r="Y24" s="1">
        <f t="shared" si="5"/>
        <v>2E-3</v>
      </c>
      <c r="Z24" s="1">
        <f t="shared" si="3"/>
        <v>1.9887174770303697E-3</v>
      </c>
      <c r="AA24" s="1">
        <f t="shared" si="6"/>
        <v>9.4671811322275294E-4</v>
      </c>
      <c r="AB24" s="1">
        <f t="shared" si="4"/>
        <v>9.4137742879365246E-4</v>
      </c>
    </row>
    <row r="25" spans="1:28">
      <c r="A25" s="2">
        <f>4/12</f>
        <v>0.33333333333333331</v>
      </c>
      <c r="B25" s="10">
        <v>7.6999999999999996E-4</v>
      </c>
      <c r="D25">
        <v>9</v>
      </c>
      <c r="E25" s="1">
        <v>8.8249999999999995E-3</v>
      </c>
      <c r="F25" s="10"/>
      <c r="G25" s="2">
        <f>10/12</f>
        <v>0.83333333333333337</v>
      </c>
      <c r="H25" s="1">
        <f t="shared" si="0"/>
        <v>8.0999999999999996E-4</v>
      </c>
      <c r="I25" s="38">
        <f t="shared" si="1"/>
        <v>0.99932545531766059</v>
      </c>
      <c r="K25" s="16"/>
      <c r="N25" s="20"/>
      <c r="O25" s="20"/>
      <c r="P25" s="20"/>
      <c r="S25" s="10">
        <f t="shared" si="2"/>
        <v>8.0972674795648785E-4</v>
      </c>
      <c r="X25">
        <v>3.75</v>
      </c>
      <c r="Y25" s="1">
        <f t="shared" si="5"/>
        <v>2E-3</v>
      </c>
      <c r="Z25" s="1">
        <f t="shared" si="3"/>
        <v>1.9871841706427164E-3</v>
      </c>
      <c r="AA25" s="1">
        <f t="shared" si="6"/>
        <v>1.0566394099160105E-3</v>
      </c>
      <c r="AB25" s="1">
        <f t="shared" si="4"/>
        <v>1.0498685547311783E-3</v>
      </c>
    </row>
    <row r="26" spans="1:28">
      <c r="A26" s="2">
        <f>5/12</f>
        <v>0.41666666666666669</v>
      </c>
      <c r="B26" s="10">
        <v>7.7999999999999999E-4</v>
      </c>
      <c r="D26">
        <v>10</v>
      </c>
      <c r="E26" s="1">
        <v>9.8499999999999994E-3</v>
      </c>
      <c r="F26" s="10"/>
      <c r="G26" s="2">
        <f>11/12</f>
        <v>0.91666666666666663</v>
      </c>
      <c r="H26" s="1">
        <f t="shared" si="0"/>
        <v>8.1999999999999998E-4</v>
      </c>
      <c r="I26" s="38">
        <f t="shared" si="1"/>
        <v>0.99924889791173632</v>
      </c>
      <c r="K26" s="16"/>
      <c r="N26" s="20"/>
      <c r="O26" s="20"/>
      <c r="P26" s="20"/>
      <c r="S26" s="10">
        <f t="shared" si="2"/>
        <v>8.1969197101377394E-4</v>
      </c>
      <c r="X26">
        <v>4</v>
      </c>
      <c r="Y26" s="1">
        <f t="shared" si="5"/>
        <v>2E-3</v>
      </c>
      <c r="Z26" s="1">
        <f t="shared" si="3"/>
        <v>1.9856508642550632E-3</v>
      </c>
      <c r="AA26" s="1">
        <f t="shared" si="6"/>
        <v>1.0566394099160105E-3</v>
      </c>
      <c r="AB26" s="1">
        <f t="shared" si="4"/>
        <v>1.0490584787528432E-3</v>
      </c>
    </row>
    <row r="27" spans="1:28">
      <c r="A27" s="2">
        <f>6/12</f>
        <v>0.5</v>
      </c>
      <c r="B27" s="10">
        <v>7.9000000000000001E-4</v>
      </c>
      <c r="D27">
        <v>12</v>
      </c>
      <c r="E27" s="1">
        <v>1.1775000000000001E-2</v>
      </c>
      <c r="F27" s="10"/>
      <c r="G27" s="2">
        <v>1</v>
      </c>
      <c r="H27" s="1">
        <f t="shared" si="0"/>
        <v>8.3000000000000001E-4</v>
      </c>
      <c r="I27" s="38">
        <f t="shared" si="1"/>
        <v>0.99917068832868705</v>
      </c>
      <c r="J27" s="15">
        <f>J10+1*I27</f>
        <v>0.99917068832868705</v>
      </c>
      <c r="K27" s="16">
        <f>Interpolate_Range($D$17:$D$31,$E$17:$E$31,G27)</f>
        <v>2.3874999999999999E-3</v>
      </c>
      <c r="L27" s="15">
        <f>L21+0.5*I27</f>
        <v>0.99938792214604077</v>
      </c>
      <c r="M27" s="1">
        <f>M21+N27*0.5*I27</f>
        <v>2.3860386641236723E-3</v>
      </c>
      <c r="N27" s="14">
        <f>(K27*L27-M21)/(0.5*I27)</f>
        <v>2.3535852593225674E-3</v>
      </c>
      <c r="O27" s="21">
        <f>Interpolate_Range($D$35:$D$49,$E$35:$E$49,G27)</f>
        <v>6.2500000000000001E-4</v>
      </c>
      <c r="P27" s="14">
        <f>(M27-O27*Q27-R21)/(0.25*I24+0.25*I27)</f>
        <v>1.7283236110221837E-3</v>
      </c>
      <c r="Q27" s="32">
        <f>Q24+0.25*I27</f>
        <v>0.99949468730435198</v>
      </c>
      <c r="R27" s="1">
        <f>R24+P27*0.25*I27</f>
        <v>1.7613544845584523E-3</v>
      </c>
      <c r="S27" s="10">
        <f t="shared" si="2"/>
        <v>8.2965574047723823E-4</v>
      </c>
      <c r="X27">
        <v>4.25</v>
      </c>
      <c r="Y27" s="1">
        <f t="shared" si="5"/>
        <v>2E-3</v>
      </c>
      <c r="Z27" s="1">
        <f t="shared" si="3"/>
        <v>1.9834555177228341E-3</v>
      </c>
      <c r="AA27" s="1">
        <f t="shared" si="6"/>
        <v>1.4997779370337515E-3</v>
      </c>
      <c r="AB27" s="1">
        <f t="shared" si="4"/>
        <v>1.4873714122842817E-3</v>
      </c>
    </row>
    <row r="28" spans="1:28">
      <c r="A28" s="2">
        <f>7/12</f>
        <v>0.58333333333333337</v>
      </c>
      <c r="B28" s="10">
        <v>8.0000000000000004E-4</v>
      </c>
      <c r="D28">
        <v>15</v>
      </c>
      <c r="E28" s="1">
        <v>1.4475E-2</v>
      </c>
      <c r="F28" s="10"/>
      <c r="G28" s="13">
        <f>G27+1/4</f>
        <v>1.25</v>
      </c>
      <c r="H28" s="1">
        <f t="shared" si="0"/>
        <v>8.7000000000000001E-4</v>
      </c>
      <c r="I28" s="37">
        <f>(1-G18*I18*H28)/(1+H28)</f>
        <v>0.99891348658382184</v>
      </c>
      <c r="J28" s="15"/>
      <c r="K28" s="16"/>
      <c r="O28" s="16">
        <f t="shared" ref="O28:O91" si="7">Interpolate_Range($D$35:$D$49,$E$35:$E$49,G28)</f>
        <v>6.4558600000000008E-4</v>
      </c>
      <c r="P28" s="17">
        <f>P29</f>
        <v>1.9949551735372302E-3</v>
      </c>
      <c r="Q28" s="32">
        <f>Q27+0.25*I28</f>
        <v>1.2492230589503075</v>
      </c>
      <c r="R28" s="1">
        <f>R27+P28*0.25*I28</f>
        <v>2.2595513915525793E-3</v>
      </c>
      <c r="S28" s="10">
        <f t="shared" si="2"/>
        <v>8.6968327982063238E-4</v>
      </c>
      <c r="X28">
        <v>4.5</v>
      </c>
      <c r="Y28" s="1">
        <f t="shared" si="5"/>
        <v>2E-3</v>
      </c>
      <c r="Z28" s="1">
        <f t="shared" si="3"/>
        <v>1.981260171190605E-3</v>
      </c>
      <c r="AA28" s="1">
        <f t="shared" si="6"/>
        <v>1.4997779370337515E-3</v>
      </c>
      <c r="AB28" s="1">
        <f t="shared" si="4"/>
        <v>1.4857251461376914E-3</v>
      </c>
    </row>
    <row r="29" spans="1:28">
      <c r="A29" s="2">
        <f>8/12</f>
        <v>0.66666666666666663</v>
      </c>
      <c r="B29" s="10">
        <v>8.0000000000000004E-4</v>
      </c>
      <c r="D29">
        <v>20</v>
      </c>
      <c r="E29" s="1">
        <v>1.7500000000000002E-2</v>
      </c>
      <c r="F29" s="10"/>
      <c r="G29" s="13">
        <f t="shared" ref="G29:G31" si="8">G28+1/4</f>
        <v>1.5</v>
      </c>
      <c r="H29" s="1">
        <f t="shared" si="0"/>
        <v>9.2000000000000003E-4</v>
      </c>
      <c r="I29" s="37">
        <f>(1-G21*I21*H29)/(1+H29)</f>
        <v>0.99862144989435397</v>
      </c>
      <c r="J29" s="15"/>
      <c r="K29" s="16">
        <f>Interpolate_Range($D$17:$D$31,$E$17:$E$31,G29)</f>
        <v>2.5062499999999998E-3</v>
      </c>
      <c r="L29" s="15">
        <f>L27+0.5*I29</f>
        <v>1.4986986470932178</v>
      </c>
      <c r="M29" s="1">
        <f>M27+N29*0.5*I29</f>
        <v>3.7561134842773766E-3</v>
      </c>
      <c r="N29" s="1">
        <f>(K29*L29-M27)/(0.5*I29)</f>
        <v>2.7439322884535416E-3</v>
      </c>
      <c r="O29" s="16">
        <f t="shared" si="7"/>
        <v>6.6617200000000003E-4</v>
      </c>
      <c r="P29" s="1">
        <f>(M29-O29*Q29-R27)/(0.25*I28+0.25*I29)</f>
        <v>1.9949551735372302E-3</v>
      </c>
      <c r="Q29" s="32">
        <f>Q28+0.25*I29</f>
        <v>1.4988784214238959</v>
      </c>
      <c r="R29" s="1">
        <f>R28+P29*0.25*I31</f>
        <v>2.7572841663989749E-3</v>
      </c>
      <c r="S29" s="10">
        <f t="shared" si="2"/>
        <v>9.1966745334167517E-4</v>
      </c>
      <c r="X29">
        <v>4.75</v>
      </c>
      <c r="Y29" s="1">
        <f t="shared" si="5"/>
        <v>2E-3</v>
      </c>
      <c r="Z29" s="1">
        <f t="shared" si="3"/>
        <v>1.9790648246583763E-3</v>
      </c>
      <c r="AA29" s="1">
        <f t="shared" si="6"/>
        <v>1.6848094544357976E-3</v>
      </c>
      <c r="AB29" s="1">
        <f t="shared" si="4"/>
        <v>1.6671735637628781E-3</v>
      </c>
    </row>
    <row r="30" spans="1:28">
      <c r="A30" s="2">
        <f>9/12</f>
        <v>0.75</v>
      </c>
      <c r="B30" s="10">
        <v>8.0999999999999996E-4</v>
      </c>
      <c r="D30">
        <v>25</v>
      </c>
      <c r="E30" s="1">
        <v>1.89E-2</v>
      </c>
      <c r="F30" s="10"/>
      <c r="G30" s="13">
        <f t="shared" si="8"/>
        <v>1.75</v>
      </c>
      <c r="H30" s="1">
        <f t="shared" si="0"/>
        <v>9.6500000000000004E-4</v>
      </c>
      <c r="I30" s="37">
        <f>(1-G24*I24*H30)/(1+H30)</f>
        <v>0.99831331706021953</v>
      </c>
      <c r="J30" s="15"/>
      <c r="K30" s="16"/>
      <c r="O30" s="16">
        <f t="shared" si="7"/>
        <v>6.8675799999999999E-4</v>
      </c>
      <c r="P30" s="17">
        <f>P31</f>
        <v>2.1508083185762055E-3</v>
      </c>
      <c r="Q30" s="32">
        <f t="shared" ref="Q30:Q93" si="9">Q29+0.25*I30</f>
        <v>1.7484567506889508</v>
      </c>
      <c r="R30" s="1">
        <f>R29+P30*0.25*I30</f>
        <v>3.2940793131186062E-3</v>
      </c>
      <c r="S30" s="10">
        <f t="shared" si="2"/>
        <v>9.6463256626131495E-4</v>
      </c>
      <c r="X30">
        <v>5</v>
      </c>
      <c r="Y30" s="1">
        <f t="shared" si="5"/>
        <v>2E-3</v>
      </c>
      <c r="Z30" s="1">
        <f t="shared" si="3"/>
        <v>1.9768694781261472E-3</v>
      </c>
      <c r="AA30" s="1">
        <f t="shared" si="6"/>
        <v>1.6848094544357976E-3</v>
      </c>
      <c r="AB30" s="1">
        <f t="shared" si="4"/>
        <v>1.6653241934662469E-3</v>
      </c>
    </row>
    <row r="31" spans="1:28">
      <c r="A31" s="2">
        <f>10/12</f>
        <v>0.83333333333333337</v>
      </c>
      <c r="B31" s="10">
        <v>8.0999999999999996E-4</v>
      </c>
      <c r="D31">
        <v>30</v>
      </c>
      <c r="E31" s="1">
        <v>1.9581299999999999E-2</v>
      </c>
      <c r="F31" s="10"/>
      <c r="G31" s="13">
        <f t="shared" si="8"/>
        <v>2</v>
      </c>
      <c r="H31" s="1">
        <f t="shared" si="0"/>
        <v>1.01E-3</v>
      </c>
      <c r="I31" s="2">
        <f>(1-SUM($J$27:J27)*H31)/(1+H31)</f>
        <v>0.99798287490113791</v>
      </c>
      <c r="J31" s="15">
        <f>J27+1*I31</f>
        <v>1.997153563229825</v>
      </c>
      <c r="K31" s="16">
        <f>Interpolate_Range($D$17:$D$31,$E$17:$E$31,G31)</f>
        <v>2.6250000000000002E-3</v>
      </c>
      <c r="L31" s="15">
        <f>L29+0.5*I31</f>
        <v>1.9976900845437866</v>
      </c>
      <c r="M31" s="1">
        <f>M29+N31*0.5*I31</f>
        <v>5.2439364719274401E-3</v>
      </c>
      <c r="N31" s="1">
        <f>(K31*L31-M29)/(0.5*I31)</f>
        <v>2.981660357243004E-3</v>
      </c>
      <c r="O31" s="16">
        <f t="shared" si="7"/>
        <v>7.0734400000000005E-4</v>
      </c>
      <c r="P31" s="1">
        <f>(M31-O31*Q31-R29)/(0.25*I30+0.25*I31)</f>
        <v>2.1508083185762055E-3</v>
      </c>
      <c r="Q31" s="32">
        <f t="shared" si="9"/>
        <v>1.9979524694142352</v>
      </c>
      <c r="R31" s="1">
        <f>R30+P31*0.25*I33</f>
        <v>3.8301346585829631E-3</v>
      </c>
      <c r="S31" s="10">
        <f t="shared" si="2"/>
        <v>1.009581117797529E-3</v>
      </c>
      <c r="X31">
        <v>5.25</v>
      </c>
      <c r="Y31" s="1">
        <f t="shared" si="5"/>
        <v>2E-3</v>
      </c>
      <c r="Z31" s="1">
        <f t="shared" si="3"/>
        <v>1.9731792152224148E-3</v>
      </c>
      <c r="AA31" s="1">
        <f t="shared" si="6"/>
        <v>2.184352862775235E-3</v>
      </c>
      <c r="AB31" s="1">
        <f t="shared" si="4"/>
        <v>2.1550598337698366E-3</v>
      </c>
    </row>
    <row r="32" spans="1:28">
      <c r="A32" s="2">
        <f>11/12</f>
        <v>0.91666666666666663</v>
      </c>
      <c r="B32" s="10">
        <v>8.1999999999999998E-4</v>
      </c>
      <c r="F32" s="10"/>
      <c r="G32" s="13">
        <f>G31+0.25</f>
        <v>2.25</v>
      </c>
      <c r="H32" s="1">
        <f t="shared" si="0"/>
        <v>1.100625E-3</v>
      </c>
      <c r="I32" s="2">
        <f>Interpolate_Interval(H31,H35,I31,I35,H32)</f>
        <v>0.99746016740156285</v>
      </c>
      <c r="J32" s="15"/>
      <c r="K32" s="16"/>
      <c r="O32" s="16">
        <f t="shared" si="7"/>
        <v>7.2375800000000002E-4</v>
      </c>
      <c r="P32" s="17">
        <f>P33</f>
        <v>2.7549896333993553E-3</v>
      </c>
      <c r="Q32" s="32">
        <f t="shared" si="9"/>
        <v>2.247317511264626</v>
      </c>
      <c r="R32" s="1">
        <f>R31+P32*0.25*I32</f>
        <v>4.517132763812986E-3</v>
      </c>
      <c r="S32" s="10">
        <f t="shared" si="2"/>
        <v>1.1302504199778443E-3</v>
      </c>
      <c r="X32">
        <v>5.5</v>
      </c>
      <c r="Y32" s="1">
        <f t="shared" si="5"/>
        <v>2E-3</v>
      </c>
      <c r="Z32" s="1">
        <f t="shared" si="3"/>
        <v>1.9694889523186824E-3</v>
      </c>
      <c r="AA32" s="1">
        <f t="shared" si="6"/>
        <v>2.184352862775235E-3</v>
      </c>
      <c r="AB32" s="1">
        <f t="shared" si="4"/>
        <v>2.1510294156007561E-3</v>
      </c>
    </row>
    <row r="33" spans="1:28">
      <c r="A33" s="2">
        <v>1</v>
      </c>
      <c r="B33" s="10">
        <v>8.3000000000000001E-4</v>
      </c>
      <c r="F33" s="10"/>
      <c r="G33" s="13">
        <f t="shared" ref="G33:G96" si="10">G32+0.25</f>
        <v>2.5</v>
      </c>
      <c r="H33" s="1">
        <f t="shared" si="0"/>
        <v>1.19125E-3</v>
      </c>
      <c r="I33" s="2">
        <f>Interpolate_Interval(H31,H35,I31,I35,H33)</f>
        <v>0.9969374599019879</v>
      </c>
      <c r="J33" s="15"/>
      <c r="K33" s="16">
        <f>Interpolate_Range($D$17:$D$31,$E$17:$E$31,G33)</f>
        <v>2.8250000000000003E-3</v>
      </c>
      <c r="L33" s="15">
        <f>L31+0.5*I33</f>
        <v>2.4961588144947804</v>
      </c>
      <c r="M33" s="1">
        <f>M31+N33*0.5*I33</f>
        <v>7.0516486509477555E-3</v>
      </c>
      <c r="N33" s="1">
        <f>(K33*L33-M31)/(0.5*I33)</f>
        <v>3.6265307538910965E-3</v>
      </c>
      <c r="O33" s="16">
        <f t="shared" si="7"/>
        <v>7.401720000000001E-4</v>
      </c>
      <c r="P33" s="1">
        <f>(M33-O33*Q33-R31)/(0.25*I32+0.25*I33)</f>
        <v>2.7549896333993553E-3</v>
      </c>
      <c r="Q33" s="32">
        <f t="shared" si="9"/>
        <v>2.4965518762401229</v>
      </c>
      <c r="R33" s="1">
        <f>R32+P33*0.25*I35</f>
        <v>5.2030508287360371E-3</v>
      </c>
      <c r="S33" s="10">
        <f t="shared" si="2"/>
        <v>1.2268957082641678E-3</v>
      </c>
      <c r="X33">
        <v>5.75</v>
      </c>
      <c r="Y33" s="1">
        <f t="shared" si="5"/>
        <v>2E-3</v>
      </c>
      <c r="Z33" s="1">
        <f t="shared" si="3"/>
        <v>1.96579868941495E-3</v>
      </c>
      <c r="AA33" s="1">
        <f t="shared" si="6"/>
        <v>2.4292167830201844E-3</v>
      </c>
      <c r="AB33" s="1">
        <f t="shared" si="4"/>
        <v>2.3876755841829396E-3</v>
      </c>
    </row>
    <row r="34" spans="1:28">
      <c r="A34">
        <v>1.25</v>
      </c>
      <c r="B34" s="10">
        <v>8.7000000000000001E-4</v>
      </c>
      <c r="E34" t="s">
        <v>25</v>
      </c>
      <c r="F34" s="10"/>
      <c r="G34" s="13">
        <f t="shared" si="10"/>
        <v>2.75</v>
      </c>
      <c r="H34" s="1">
        <f t="shared" si="0"/>
        <v>1.281875E-3</v>
      </c>
      <c r="I34" s="2">
        <f>Interpolate_Interval(H31,H35,I31,I35,H34)</f>
        <v>0.99641475240241284</v>
      </c>
      <c r="J34" s="15"/>
      <c r="K34" s="16"/>
      <c r="O34" s="16">
        <f t="shared" si="7"/>
        <v>7.5658600000000006E-4</v>
      </c>
      <c r="P34" s="17">
        <f>P35</f>
        <v>3.0904244591151145E-3</v>
      </c>
      <c r="Q34" s="32">
        <f t="shared" si="9"/>
        <v>2.7456555643407259</v>
      </c>
      <c r="R34" s="1">
        <f>R33+P34*0.25*I34</f>
        <v>5.9728869592979243E-3</v>
      </c>
      <c r="S34" s="10">
        <f t="shared" si="2"/>
        <v>1.3060690911896719E-3</v>
      </c>
      <c r="X34">
        <v>6</v>
      </c>
      <c r="Y34" s="1">
        <f t="shared" si="5"/>
        <v>2E-3</v>
      </c>
      <c r="Z34" s="1">
        <f t="shared" si="3"/>
        <v>1.9621084265112176E-3</v>
      </c>
      <c r="AA34" s="1">
        <f t="shared" si="6"/>
        <v>2.4292167830201844E-3</v>
      </c>
      <c r="AB34" s="1">
        <f t="shared" si="4"/>
        <v>2.3831933598931882E-3</v>
      </c>
    </row>
    <row r="35" spans="1:28">
      <c r="A35">
        <v>1.5</v>
      </c>
      <c r="B35" s="10">
        <v>9.2000000000000003E-4</v>
      </c>
      <c r="D35">
        <v>1</v>
      </c>
      <c r="E35" s="1">
        <v>6.2500000000000001E-4</v>
      </c>
      <c r="F35" s="1"/>
      <c r="G35" s="13">
        <f t="shared" si="10"/>
        <v>3</v>
      </c>
      <c r="H35" s="1">
        <f t="shared" si="0"/>
        <v>1.3725E-3</v>
      </c>
      <c r="I35" s="2">
        <f>(1-J31*H35)/(1+H35)</f>
        <v>0.99589204490283789</v>
      </c>
      <c r="J35" s="15">
        <f>J31+1*I35</f>
        <v>2.9930456081326628</v>
      </c>
      <c r="K35" s="16">
        <f>Interpolate_Range($D$17:$D$31,$E$17:$E$31,G35)</f>
        <v>3.0249999999999999E-3</v>
      </c>
      <c r="L35" s="15">
        <f>L33+0.5*I35</f>
        <v>2.9941048369461996</v>
      </c>
      <c r="M35" s="1">
        <f>M33+N35*0.5*I35</f>
        <v>9.0571671317622535E-3</v>
      </c>
      <c r="N35" s="1">
        <f>(K35*L35-M33)/(0.5*I35)</f>
        <v>4.0275820879966204E-3</v>
      </c>
      <c r="O35" s="16">
        <f t="shared" si="7"/>
        <v>7.7300000000000003E-4</v>
      </c>
      <c r="P35" s="1">
        <f>(M35-O35*Q35-R33)/(0.25*I34+0.25*I35)</f>
        <v>3.0904244591151145E-3</v>
      </c>
      <c r="Q35" s="32">
        <f t="shared" si="9"/>
        <v>2.9946285755664355</v>
      </c>
      <c r="R35" s="1">
        <f>R34+P35*0.25*I37</f>
        <v>6.7411346009584689E-3</v>
      </c>
      <c r="S35" s="10">
        <f t="shared" si="2"/>
        <v>1.3721386412608024E-3</v>
      </c>
      <c r="X35">
        <v>6.25</v>
      </c>
      <c r="Y35" s="1">
        <f t="shared" si="5"/>
        <v>2E-3</v>
      </c>
      <c r="Z35" s="1">
        <f t="shared" si="3"/>
        <v>1.9564327449151332E-3</v>
      </c>
      <c r="AA35" s="1">
        <f t="shared" si="6"/>
        <v>2.912879289312421E-3</v>
      </c>
      <c r="AB35" s="1">
        <f t="shared" si="4"/>
        <v>2.849426211797971E-3</v>
      </c>
    </row>
    <row r="36" spans="1:28">
      <c r="A36">
        <v>1.75</v>
      </c>
      <c r="B36" s="10">
        <v>9.6500000000000004E-4</v>
      </c>
      <c r="D36">
        <v>2</v>
      </c>
      <c r="E36" s="1">
        <v>7.0734400000000005E-4</v>
      </c>
      <c r="F36" s="1"/>
      <c r="G36" s="13">
        <f t="shared" si="10"/>
        <v>3.25</v>
      </c>
      <c r="H36" s="1">
        <f t="shared" si="0"/>
        <v>1.479375E-3</v>
      </c>
      <c r="I36" s="2">
        <f>Interpolate_Interval(H35,H39,I35,I39,H36)</f>
        <v>0.99512539170901126</v>
      </c>
      <c r="J36" s="15"/>
      <c r="K36" s="16"/>
      <c r="O36" s="16">
        <f t="shared" si="7"/>
        <v>8.0750000000000006E-4</v>
      </c>
      <c r="P36" s="17">
        <f>P37</f>
        <v>3.7868724528910117E-3</v>
      </c>
      <c r="Q36" s="32">
        <f t="shared" si="9"/>
        <v>3.2434099234936884</v>
      </c>
      <c r="R36" s="1">
        <f>R35+P36*0.25*I36</f>
        <v>7.6832378342172767E-3</v>
      </c>
      <c r="S36" s="10">
        <f t="shared" si="2"/>
        <v>1.5035470601614622E-3</v>
      </c>
      <c r="X36">
        <v>6.5</v>
      </c>
      <c r="Y36" s="1">
        <f t="shared" si="5"/>
        <v>2E-3</v>
      </c>
      <c r="Z36" s="1">
        <f t="shared" si="3"/>
        <v>1.9507570633190488E-3</v>
      </c>
      <c r="AA36" s="1">
        <f t="shared" si="6"/>
        <v>2.912879289312421E-3</v>
      </c>
      <c r="AB36" s="1">
        <f t="shared" si="4"/>
        <v>2.841159924110988E-3</v>
      </c>
    </row>
    <row r="37" spans="1:28">
      <c r="A37">
        <v>2</v>
      </c>
      <c r="B37" s="10">
        <v>1.01E-3</v>
      </c>
      <c r="D37">
        <v>3</v>
      </c>
      <c r="E37" s="1">
        <v>7.7300000000000003E-4</v>
      </c>
      <c r="F37" s="1"/>
      <c r="G37" s="13">
        <f t="shared" si="10"/>
        <v>3.5</v>
      </c>
      <c r="H37" s="1">
        <f t="shared" si="0"/>
        <v>1.58625E-3</v>
      </c>
      <c r="I37" s="2">
        <f>Interpolate_Interval(H35,H39,I35,I39,H37)</f>
        <v>0.99435873851518475</v>
      </c>
      <c r="J37" s="15"/>
      <c r="K37" s="16">
        <f>Interpolate_Range($D$17:$D$31,$E$17:$E$31,G37)</f>
        <v>3.3124999999999999E-3</v>
      </c>
      <c r="L37" s="15">
        <f>L35+0.5*I37</f>
        <v>3.4912842062037921</v>
      </c>
      <c r="M37" s="1">
        <f>M35+N37*0.5*I37</f>
        <v>1.1564878933050061E-2</v>
      </c>
      <c r="N37" s="1">
        <f>(K37*L37-M35)/(0.5*I37)</f>
        <v>5.043877434078612E-3</v>
      </c>
      <c r="O37" s="16">
        <f t="shared" si="7"/>
        <v>8.4200000000000008E-4</v>
      </c>
      <c r="P37" s="1">
        <f>(M37-O37*Q37-R35)/(0.25*I36+0.25*I37)</f>
        <v>3.7868724528910117E-3</v>
      </c>
      <c r="Q37" s="32">
        <f t="shared" si="9"/>
        <v>3.4919996081224847</v>
      </c>
      <c r="R37" s="1">
        <f>R36+P37*0.25*I39</f>
        <v>8.6231636540806175E-3</v>
      </c>
      <c r="S37" s="10">
        <f t="shared" si="2"/>
        <v>1.6163524276876242E-3</v>
      </c>
      <c r="X37">
        <v>6.75</v>
      </c>
      <c r="Y37" s="1">
        <f t="shared" si="5"/>
        <v>2E-3</v>
      </c>
      <c r="Z37" s="1">
        <f t="shared" si="3"/>
        <v>1.9450813817229642E-3</v>
      </c>
      <c r="AA37" s="1">
        <f t="shared" si="6"/>
        <v>3.1992514964432513E-3</v>
      </c>
      <c r="AB37" s="1">
        <f t="shared" si="4"/>
        <v>3.1114022605905501E-3</v>
      </c>
    </row>
    <row r="38" spans="1:28">
      <c r="A38">
        <v>3</v>
      </c>
      <c r="B38" s="10">
        <v>1.3725E-3</v>
      </c>
      <c r="D38">
        <v>4</v>
      </c>
      <c r="E38" s="1">
        <v>9.1100000000000003E-4</v>
      </c>
      <c r="F38" s="1"/>
      <c r="G38" s="13">
        <f t="shared" si="10"/>
        <v>3.75</v>
      </c>
      <c r="H38" s="1">
        <f t="shared" si="0"/>
        <v>1.693125E-3</v>
      </c>
      <c r="I38" s="2">
        <f>Interpolate_Interval(H35,H39,I35,I39,H38)</f>
        <v>0.99359208532135823</v>
      </c>
      <c r="J38" s="15"/>
      <c r="K38" s="16"/>
      <c r="O38" s="16">
        <f t="shared" si="7"/>
        <v>8.765E-4</v>
      </c>
      <c r="P38" s="17">
        <f>P39</f>
        <v>4.2265576396640419E-3</v>
      </c>
      <c r="Q38" s="32">
        <f t="shared" si="9"/>
        <v>3.7403976294528243</v>
      </c>
      <c r="R38" s="1">
        <f>R37+P38*0.25*I38</f>
        <v>9.6730322088117958E-3</v>
      </c>
      <c r="S38" s="10">
        <f t="shared" si="2"/>
        <v>1.7142755982685932E-3</v>
      </c>
      <c r="X38">
        <v>7</v>
      </c>
      <c r="Y38" s="1">
        <f t="shared" si="5"/>
        <v>2E-3</v>
      </c>
      <c r="Z38" s="1">
        <f t="shared" si="3"/>
        <v>1.9394057001268796E-3</v>
      </c>
      <c r="AA38" s="1">
        <f t="shared" si="6"/>
        <v>3.1992514964432513E-3</v>
      </c>
      <c r="AB38" s="1">
        <f t="shared" si="4"/>
        <v>3.1023232941707456E-3</v>
      </c>
    </row>
    <row r="39" spans="1:28">
      <c r="A39">
        <v>4</v>
      </c>
      <c r="B39" s="10">
        <v>1.8E-3</v>
      </c>
      <c r="D39">
        <v>5</v>
      </c>
      <c r="E39" s="1">
        <v>1.0610000000000001E-3</v>
      </c>
      <c r="F39" s="1"/>
      <c r="G39" s="13">
        <f t="shared" si="10"/>
        <v>4</v>
      </c>
      <c r="H39" s="1">
        <f t="shared" si="0"/>
        <v>1.8E-3</v>
      </c>
      <c r="I39" s="2">
        <f>(1-J35*H39)/(1+H39)</f>
        <v>0.9928254321275316</v>
      </c>
      <c r="J39" s="15">
        <f>J35+1*I39</f>
        <v>3.9858710402601947</v>
      </c>
      <c r="K39" s="16">
        <f>Interpolate_Range($D$17:$D$31,$E$17:$E$31,G39)</f>
        <v>3.5999999999999999E-3</v>
      </c>
      <c r="L39" s="15">
        <f>L37+0.5*I39</f>
        <v>3.987696922267558</v>
      </c>
      <c r="M39" s="1">
        <f>M37+N39*0.5*I39</f>
        <v>1.4355708920163208E-2</v>
      </c>
      <c r="N39" s="1">
        <f>(K39*L39-M37)/(0.5*I39)</f>
        <v>5.6219953615262649E-3</v>
      </c>
      <c r="O39" s="16">
        <f t="shared" si="7"/>
        <v>9.1100000000000003E-4</v>
      </c>
      <c r="P39" s="1">
        <f>(M39-O39*Q39-R37)/(0.25*I38+0.25*I39)</f>
        <v>4.2265576396640419E-3</v>
      </c>
      <c r="Q39" s="32">
        <f t="shared" si="9"/>
        <v>3.9886039874847072</v>
      </c>
      <c r="R39" s="1">
        <f>R38+P39*0.25*I41</f>
        <v>1.0719770997900262E-2</v>
      </c>
      <c r="S39" s="10">
        <f t="shared" si="2"/>
        <v>1.8001072132563969E-3</v>
      </c>
      <c r="X39">
        <v>7.25</v>
      </c>
      <c r="Y39" s="1">
        <f t="shared" si="5"/>
        <v>2E-3</v>
      </c>
      <c r="Z39" s="1">
        <f t="shared" si="3"/>
        <v>1.9331735326621913E-3</v>
      </c>
      <c r="AA39" s="1">
        <f t="shared" si="6"/>
        <v>3.3223058076226582E-3</v>
      </c>
      <c r="AB39" s="1">
        <f t="shared" si="4"/>
        <v>3.2112968273530045E-3</v>
      </c>
    </row>
    <row r="40" spans="1:28">
      <c r="A40">
        <v>5</v>
      </c>
      <c r="B40" s="10">
        <v>2.3249999999999998E-3</v>
      </c>
      <c r="D40">
        <v>6</v>
      </c>
      <c r="E40" s="1">
        <v>1.1479999999999999E-3</v>
      </c>
      <c r="F40" s="1"/>
      <c r="G40" s="13">
        <f t="shared" si="10"/>
        <v>4.25</v>
      </c>
      <c r="H40" s="1">
        <f t="shared" si="0"/>
        <v>1.9312499999999998E-3</v>
      </c>
      <c r="I40" s="2">
        <f>Interpolate_Interval(H39,H43,I39,I43,H40)</f>
        <v>0.99172775886141706</v>
      </c>
      <c r="J40" s="15"/>
      <c r="K40" s="16"/>
      <c r="O40" s="16">
        <f t="shared" si="7"/>
        <v>9.4850000000000002E-4</v>
      </c>
      <c r="P40" s="17">
        <f>P41</f>
        <v>5.9991117481350059E-3</v>
      </c>
      <c r="Q40" s="32">
        <f t="shared" si="9"/>
        <v>4.2365359272000616</v>
      </c>
      <c r="R40" s="1">
        <f>R39+P40*0.25*I40</f>
        <v>1.2207142410184543E-2</v>
      </c>
      <c r="S40" s="10">
        <f t="shared" si="2"/>
        <v>1.9545049396526748E-3</v>
      </c>
      <c r="X40">
        <v>7.5</v>
      </c>
      <c r="Y40" s="1">
        <f t="shared" si="5"/>
        <v>2E-3</v>
      </c>
      <c r="Z40" s="1">
        <f t="shared" si="3"/>
        <v>1.926941365197503E-3</v>
      </c>
      <c r="AA40" s="1">
        <f t="shared" si="6"/>
        <v>3.3223058076226582E-3</v>
      </c>
      <c r="AB40" s="1">
        <f t="shared" si="4"/>
        <v>3.2009442442719987E-3</v>
      </c>
    </row>
    <row r="41" spans="1:28">
      <c r="A41">
        <v>6</v>
      </c>
      <c r="B41" s="10">
        <v>3.1813000000000002E-3</v>
      </c>
      <c r="D41">
        <v>7</v>
      </c>
      <c r="E41" s="1">
        <v>1.199E-3</v>
      </c>
      <c r="F41" s="1"/>
      <c r="G41" s="13">
        <f t="shared" si="10"/>
        <v>4.5</v>
      </c>
      <c r="H41" s="1">
        <f t="shared" si="0"/>
        <v>2.0625000000000001E-3</v>
      </c>
      <c r="I41" s="2">
        <f>Interpolate_Interval(H39,H43,I39,I43,H41)</f>
        <v>0.99063008559530252</v>
      </c>
      <c r="J41" s="15"/>
      <c r="K41" s="16">
        <f>Interpolate_Range($D$17:$D$31,$E$17:$E$31,G41)</f>
        <v>4.0406499999999998E-3</v>
      </c>
      <c r="L41" s="15">
        <f>L39+0.5*I41</f>
        <v>4.4830119650652094</v>
      </c>
      <c r="M41" s="1">
        <f>M39+N41*0.5*I41</f>
        <v>1.8114282296640739E-2</v>
      </c>
      <c r="N41" s="1">
        <f>(K41*L41-M39)/(0.5*I41)</f>
        <v>7.5882479870755777E-3</v>
      </c>
      <c r="O41" s="16">
        <f t="shared" si="7"/>
        <v>9.8600000000000011E-4</v>
      </c>
      <c r="P41" s="1">
        <f>(M41-O41*Q41-R39)/(0.25*I40+0.25*I41)</f>
        <v>5.9991117481350059E-3</v>
      </c>
      <c r="Q41" s="32">
        <f t="shared" si="9"/>
        <v>4.4841934485988872</v>
      </c>
      <c r="R41" s="1">
        <f>R40+P41*0.25*I43</f>
        <v>1.3689575024029054E-2</v>
      </c>
      <c r="S41" s="10">
        <f t="shared" si="2"/>
        <v>2.0920196012676534E-3</v>
      </c>
      <c r="X41">
        <v>7.75</v>
      </c>
      <c r="Y41" s="1">
        <f t="shared" si="5"/>
        <v>2E-3</v>
      </c>
      <c r="Z41" s="1">
        <f t="shared" si="3"/>
        <v>1.9207091977328145E-3</v>
      </c>
      <c r="AA41" s="1">
        <f t="shared" si="6"/>
        <v>3.5882154825036001E-3</v>
      </c>
      <c r="AB41" s="1">
        <f t="shared" si="4"/>
        <v>3.4459592403459768E-3</v>
      </c>
    </row>
    <row r="42" spans="1:28">
      <c r="A42">
        <v>7</v>
      </c>
      <c r="B42" s="10">
        <v>4.3750000000000004E-3</v>
      </c>
      <c r="D42">
        <v>8</v>
      </c>
      <c r="E42" s="1">
        <v>1.261E-3</v>
      </c>
      <c r="F42" s="1"/>
      <c r="G42" s="13">
        <f t="shared" si="10"/>
        <v>4.75</v>
      </c>
      <c r="H42" s="1">
        <f t="shared" si="0"/>
        <v>2.19375E-3</v>
      </c>
      <c r="I42" s="2">
        <f>Interpolate_Interval(H39,H43,I39,I43,H42)</f>
        <v>0.98953241232918809</v>
      </c>
      <c r="J42" s="15"/>
      <c r="K42" s="16"/>
      <c r="O42" s="16">
        <f t="shared" si="7"/>
        <v>1.0235000000000001E-3</v>
      </c>
      <c r="P42" s="17">
        <f>P43</f>
        <v>6.7392378177431904E-3</v>
      </c>
      <c r="Q42" s="32">
        <f t="shared" si="9"/>
        <v>4.7315765516811839</v>
      </c>
      <c r="R42" s="1">
        <f>R41+P42*0.25*I42</f>
        <v>1.5356748587791931E-2</v>
      </c>
      <c r="S42" s="10">
        <f t="shared" si="2"/>
        <v>2.2153175170459356E-3</v>
      </c>
      <c r="X42">
        <v>8</v>
      </c>
      <c r="Y42" s="1">
        <f t="shared" si="5"/>
        <v>2E-3</v>
      </c>
      <c r="Z42" s="1">
        <f t="shared" si="3"/>
        <v>1.9144770302681263E-3</v>
      </c>
      <c r="AA42" s="1">
        <f t="shared" si="6"/>
        <v>3.5882154825036001E-3</v>
      </c>
      <c r="AB42" s="1">
        <f t="shared" si="4"/>
        <v>3.4347780604528019E-3</v>
      </c>
    </row>
    <row r="43" spans="1:28">
      <c r="A43">
        <v>8</v>
      </c>
      <c r="B43" s="10">
        <v>5.4250000000000001E-3</v>
      </c>
      <c r="D43">
        <v>9</v>
      </c>
      <c r="E43" s="1">
        <v>1.335E-3</v>
      </c>
      <c r="F43" s="1"/>
      <c r="G43" s="13">
        <f t="shared" si="10"/>
        <v>5</v>
      </c>
      <c r="H43" s="1">
        <f t="shared" ref="H43:H74" si="11">Interpolate_Range($A$17:$A$50,$B$17:$B$50,G43)</f>
        <v>2.3249999999999998E-3</v>
      </c>
      <c r="I43" s="2">
        <f>(1-J39*H43)/(1+H43)</f>
        <v>0.98843473906307355</v>
      </c>
      <c r="J43" s="15">
        <f>J39+1*I43</f>
        <v>4.9743057793232683</v>
      </c>
      <c r="K43" s="16">
        <f>Interpolate_Range($D$17:$D$31,$E$17:$E$31,G43)</f>
        <v>4.4812999999999997E-3</v>
      </c>
      <c r="L43" s="15">
        <f>L41+0.5*I43</f>
        <v>4.9772293345967462</v>
      </c>
      <c r="M43" s="1">
        <f>M41+N43*0.5*I43</f>
        <v>2.2304457817128396E-2</v>
      </c>
      <c r="N43" s="1">
        <f>(K43*L43-M41)/(0.5*I43)</f>
        <v>8.4784060189132537E-3</v>
      </c>
      <c r="O43" s="16">
        <f t="shared" si="7"/>
        <v>1.0610000000000001E-3</v>
      </c>
      <c r="P43" s="1">
        <f>(M43-O43*Q43-R41)/(0.25*I42+0.25*I43)</f>
        <v>6.7392378177431904E-3</v>
      </c>
      <c r="Q43" s="32">
        <f t="shared" si="9"/>
        <v>4.9786852364469523</v>
      </c>
      <c r="R43" s="1">
        <f>R42+P43*0.25*I45</f>
        <v>1.7015855391428615E-2</v>
      </c>
      <c r="S43" s="10">
        <f t="shared" ref="S43:S74" si="12">-LN(I43)/G43</f>
        <v>2.3265317439522316E-3</v>
      </c>
      <c r="X43">
        <v>8.25</v>
      </c>
      <c r="Y43" s="1">
        <f t="shared" si="5"/>
        <v>2E-3</v>
      </c>
      <c r="Z43" s="1">
        <f t="shared" si="3"/>
        <v>1.9073959297095612E-3</v>
      </c>
      <c r="AA43" s="1">
        <f t="shared" si="6"/>
        <v>3.8317419774074172E-3</v>
      </c>
      <c r="AB43" s="1">
        <f t="shared" si="4"/>
        <v>3.6543245257020861E-3</v>
      </c>
    </row>
    <row r="44" spans="1:28">
      <c r="A44">
        <v>9</v>
      </c>
      <c r="B44" s="10">
        <v>6.45E-3</v>
      </c>
      <c r="D44">
        <v>10</v>
      </c>
      <c r="E44" s="1">
        <v>1.41E-3</v>
      </c>
      <c r="F44" s="1"/>
      <c r="G44" s="13">
        <f t="shared" si="10"/>
        <v>5.25</v>
      </c>
      <c r="H44" s="1">
        <f t="shared" si="11"/>
        <v>2.539075E-3</v>
      </c>
      <c r="I44" s="2">
        <f>Interpolate_Interval(H43,H47,I43,I47,H44)</f>
        <v>0.9865896076112074</v>
      </c>
      <c r="J44" s="15"/>
      <c r="K44" s="16"/>
      <c r="O44" s="16">
        <f t="shared" si="7"/>
        <v>1.0827499999999999E-3</v>
      </c>
      <c r="P44" s="17">
        <f>P45</f>
        <v>8.7374114511009401E-3</v>
      </c>
      <c r="Q44" s="32">
        <f t="shared" si="9"/>
        <v>5.2253326383497543</v>
      </c>
      <c r="R44" s="1">
        <f>R43+P44*0.25*I44</f>
        <v>1.917091522519845E-2</v>
      </c>
      <c r="S44" s="10">
        <f t="shared" si="12"/>
        <v>2.5716426240346333E-3</v>
      </c>
      <c r="X44">
        <v>8.5</v>
      </c>
      <c r="Y44" s="1">
        <f t="shared" si="5"/>
        <v>2E-3</v>
      </c>
      <c r="Z44" s="1">
        <f t="shared" si="3"/>
        <v>1.9003148291509961E-3</v>
      </c>
      <c r="AA44" s="1">
        <f t="shared" si="6"/>
        <v>3.8317419774074172E-3</v>
      </c>
      <c r="AB44" s="1">
        <f t="shared" si="4"/>
        <v>3.6407580505738381E-3</v>
      </c>
    </row>
    <row r="45" spans="1:28">
      <c r="A45">
        <v>10</v>
      </c>
      <c r="B45" s="10">
        <v>7.4000000000000003E-3</v>
      </c>
      <c r="D45">
        <v>12</v>
      </c>
      <c r="E45" s="1">
        <v>1.5609999999999999E-3</v>
      </c>
      <c r="G45" s="13">
        <f t="shared" si="10"/>
        <v>5.5</v>
      </c>
      <c r="H45" s="1">
        <f t="shared" si="11"/>
        <v>2.7531500000000002E-3</v>
      </c>
      <c r="I45" s="2">
        <f>Interpolate_Interval(H43,H47,I43,I47,H45)</f>
        <v>0.98474447615934113</v>
      </c>
      <c r="J45" s="15"/>
      <c r="K45" s="16">
        <f>Interpolate_Range($D$17:$D$31,$E$17:$E$31,G45)</f>
        <v>5.0031499999999996E-3</v>
      </c>
      <c r="L45" s="15">
        <f>L43+0.5*I45</f>
        <v>5.4696015726764164</v>
      </c>
      <c r="M45" s="1">
        <f>M43+N45*0.5*I45</f>
        <v>2.7365237108336011E-2</v>
      </c>
      <c r="N45" s="1">
        <f>(K45*L45-M43)/(0.5*I45)</f>
        <v>1.0278360353836058E-2</v>
      </c>
      <c r="O45" s="16">
        <f t="shared" si="7"/>
        <v>1.1045E-3</v>
      </c>
      <c r="P45" s="1">
        <f>(M45-O45*Q45-R43)/(0.25*I44+0.25*I45)</f>
        <v>8.7374114511009401E-3</v>
      </c>
      <c r="Q45" s="32">
        <f t="shared" si="9"/>
        <v>5.4715187573895898</v>
      </c>
      <c r="R45" s="1">
        <f>R44+P45*0.25*I47</f>
        <v>2.1313883804461045E-2</v>
      </c>
      <c r="S45" s="10">
        <f t="shared" si="12"/>
        <v>2.7951066419301222E-3</v>
      </c>
      <c r="X45">
        <v>8.75</v>
      </c>
      <c r="Y45" s="1">
        <f t="shared" si="5"/>
        <v>2E-3</v>
      </c>
      <c r="Z45" s="1">
        <f t="shared" si="3"/>
        <v>1.8932337285924312E-3</v>
      </c>
      <c r="AA45" s="1">
        <f t="shared" si="6"/>
        <v>4.0989599078790307E-3</v>
      </c>
      <c r="AB45" s="1">
        <f t="shared" si="4"/>
        <v>3.8801445748723527E-3</v>
      </c>
    </row>
    <row r="46" spans="1:28">
      <c r="A46">
        <v>12</v>
      </c>
      <c r="B46" s="10">
        <v>9.2750000000000003E-3</v>
      </c>
      <c r="D46">
        <v>15</v>
      </c>
      <c r="E46" s="1">
        <v>1.7589999999999999E-3</v>
      </c>
      <c r="G46" s="13">
        <f t="shared" si="10"/>
        <v>5.75</v>
      </c>
      <c r="H46" s="1">
        <f t="shared" si="11"/>
        <v>2.967225E-3</v>
      </c>
      <c r="I46" s="2">
        <f>Interpolate_Interval(H43,H47,I43,I47,H46)</f>
        <v>0.98289934470747498</v>
      </c>
      <c r="J46" s="15"/>
      <c r="K46" s="16"/>
      <c r="O46" s="16">
        <f t="shared" si="7"/>
        <v>1.1262500000000001E-3</v>
      </c>
      <c r="P46" s="17">
        <f>P47</f>
        <v>9.7168671320807375E-3</v>
      </c>
      <c r="Q46" s="32">
        <f t="shared" si="9"/>
        <v>5.7172435935664589</v>
      </c>
      <c r="R46" s="1">
        <f>R45+P46*0.25*I46</f>
        <v>2.3701559388643986E-2</v>
      </c>
      <c r="S46" s="10">
        <f t="shared" si="12"/>
        <v>2.9997495830870473E-3</v>
      </c>
      <c r="X46">
        <v>9</v>
      </c>
      <c r="Y46" s="1">
        <f t="shared" si="5"/>
        <v>2E-3</v>
      </c>
      <c r="Z46" s="1">
        <f t="shared" si="3"/>
        <v>1.8861526280338661E-3</v>
      </c>
      <c r="AA46" s="1">
        <f t="shared" si="6"/>
        <v>4.0989599078790307E-3</v>
      </c>
      <c r="AB46" s="1">
        <f t="shared" si="4"/>
        <v>3.8656320012257438E-3</v>
      </c>
    </row>
    <row r="47" spans="1:28">
      <c r="A47">
        <v>15</v>
      </c>
      <c r="B47" s="10">
        <v>1.1875E-2</v>
      </c>
      <c r="D47">
        <v>20</v>
      </c>
      <c r="E47" s="1">
        <v>1.934E-3</v>
      </c>
      <c r="G47" s="13">
        <f t="shared" si="10"/>
        <v>6</v>
      </c>
      <c r="H47" s="1">
        <f t="shared" si="11"/>
        <v>3.1813000000000002E-3</v>
      </c>
      <c r="I47" s="2">
        <f>(1-J43*H47)/(1+H47)</f>
        <v>0.98105421325560882</v>
      </c>
      <c r="J47" s="15">
        <f>J43+1*I47</f>
        <v>5.9553599925788774</v>
      </c>
      <c r="K47" s="16">
        <f>Interpolate_Range($D$17:$D$31,$E$17:$E$31,G47)</f>
        <v>5.5250000000000004E-3</v>
      </c>
      <c r="L47" s="15">
        <f>L45+0.5*I47</f>
        <v>5.960128679304221</v>
      </c>
      <c r="M47" s="1">
        <f>M45+N47*0.5*I47</f>
        <v>3.2929710953155826E-2</v>
      </c>
      <c r="N47" s="1">
        <f>(K47*L47-M45)/(0.5*I47)</f>
        <v>1.1343866158740034E-2</v>
      </c>
      <c r="O47" s="16">
        <f t="shared" si="7"/>
        <v>1.1479999999999999E-3</v>
      </c>
      <c r="P47" s="1">
        <f>(M47-O47*Q47-R45)/(0.25*I46+0.25*I47)</f>
        <v>9.7168671320807375E-3</v>
      </c>
      <c r="Q47" s="32">
        <f t="shared" si="9"/>
        <v>5.9625071468803608</v>
      </c>
      <c r="R47" s="1">
        <f>R46+P47*0.25*I49</f>
        <v>2.6070965287548886E-2</v>
      </c>
      <c r="S47" s="10">
        <f t="shared" si="12"/>
        <v>3.1879262810383634E-3</v>
      </c>
      <c r="X47">
        <v>9.25</v>
      </c>
      <c r="Y47" s="1">
        <f t="shared" si="5"/>
        <v>2E-3</v>
      </c>
      <c r="Z47" s="1">
        <f t="shared" si="3"/>
        <v>1.8785276163642568E-3</v>
      </c>
      <c r="AA47" s="1">
        <f t="shared" si="6"/>
        <v>4.2427478179936969E-3</v>
      </c>
      <c r="AB47" s="1">
        <f t="shared" si="4"/>
        <v>3.9850594726851757E-3</v>
      </c>
    </row>
    <row r="48" spans="1:28">
      <c r="A48">
        <v>20</v>
      </c>
      <c r="B48" s="10">
        <v>1.4800000000000001E-2</v>
      </c>
      <c r="D48">
        <v>25</v>
      </c>
      <c r="E48" s="1">
        <v>2.0210000000000002E-3</v>
      </c>
      <c r="G48" s="13">
        <f t="shared" si="10"/>
        <v>6.25</v>
      </c>
      <c r="H48" s="1">
        <f t="shared" si="11"/>
        <v>3.4797250000000004E-3</v>
      </c>
      <c r="I48" s="2">
        <f>Interpolate_Interval(H47,H51,I47,I51,H48)</f>
        <v>0.97821637245756654</v>
      </c>
      <c r="J48" s="15"/>
      <c r="K48" s="16"/>
      <c r="O48" s="16">
        <f t="shared" si="7"/>
        <v>1.1607499999999999E-3</v>
      </c>
      <c r="P48" s="17">
        <f>P49</f>
        <v>1.1651517157249684E-2</v>
      </c>
      <c r="Q48" s="32">
        <f t="shared" si="9"/>
        <v>6.2070612399947525</v>
      </c>
      <c r="R48" s="1">
        <f>R47+P48*0.25*I48</f>
        <v>2.8920391499346856E-2</v>
      </c>
      <c r="S48" s="10">
        <f t="shared" si="12"/>
        <v>3.5239029896891112E-3</v>
      </c>
      <c r="X48">
        <v>9.5</v>
      </c>
      <c r="Y48" s="1">
        <f t="shared" si="5"/>
        <v>2E-3</v>
      </c>
      <c r="Z48" s="1">
        <f t="shared" si="3"/>
        <v>1.8709026046946472E-3</v>
      </c>
      <c r="AA48" s="1">
        <f t="shared" si="6"/>
        <v>4.2427478179936969E-3</v>
      </c>
      <c r="AB48" s="1">
        <f t="shared" si="4"/>
        <v>3.9688839718734692E-3</v>
      </c>
    </row>
    <row r="49" spans="1:28">
      <c r="A49">
        <v>25</v>
      </c>
      <c r="B49" s="10">
        <v>1.6125E-2</v>
      </c>
      <c r="D49">
        <v>30</v>
      </c>
      <c r="E49" s="1">
        <v>2.0999999999999999E-3</v>
      </c>
      <c r="G49" s="13">
        <f t="shared" si="10"/>
        <v>6.5</v>
      </c>
      <c r="H49" s="1">
        <f t="shared" si="11"/>
        <v>3.7781500000000001E-3</v>
      </c>
      <c r="I49" s="2">
        <f>Interpolate_Interval(H47,H51,I47,I51,H49)</f>
        <v>0.97537853165952437</v>
      </c>
      <c r="J49" s="15"/>
      <c r="K49" s="16">
        <f>Interpolate_Range($D$17:$D$31,$E$17:$E$31,G49)</f>
        <v>6.1000000000000004E-3</v>
      </c>
      <c r="L49" s="15">
        <f>L47+0.5*I49</f>
        <v>6.4478179451339832</v>
      </c>
      <c r="M49" s="1">
        <f>M47+N49*0.5*I49</f>
        <v>3.9331689465317302E-2</v>
      </c>
      <c r="N49" s="1">
        <f>(K49*L49-M47)/(0.5*I49)</f>
        <v>1.3127167154825621E-2</v>
      </c>
      <c r="O49" s="16">
        <f t="shared" si="7"/>
        <v>1.1735000000000001E-3</v>
      </c>
      <c r="P49" s="1">
        <f>(M49-O49*Q49-R47)/(0.25*I48+0.25*I49)</f>
        <v>1.1651517157249684E-2</v>
      </c>
      <c r="Q49" s="32">
        <f t="shared" si="9"/>
        <v>6.4509058729096331</v>
      </c>
      <c r="R49" s="1">
        <f>R48+P49*0.25*I51</f>
        <v>3.1745018848083881E-2</v>
      </c>
      <c r="S49" s="10">
        <f t="shared" si="12"/>
        <v>3.8353301122298561E-3</v>
      </c>
      <c r="X49">
        <v>9.75</v>
      </c>
      <c r="Y49" s="1">
        <f t="shared" si="5"/>
        <v>2E-3</v>
      </c>
      <c r="Z49" s="1">
        <f t="shared" si="3"/>
        <v>1.8632775930250379E-3</v>
      </c>
      <c r="AA49" s="1">
        <f t="shared" si="6"/>
        <v>4.4997511497133352E-3</v>
      </c>
      <c r="AB49" s="1">
        <f t="shared" si="4"/>
        <v>4.1921427457247548E-3</v>
      </c>
    </row>
    <row r="50" spans="1:28">
      <c r="A50">
        <v>30</v>
      </c>
      <c r="B50" s="10">
        <v>1.6625000000000001E-2</v>
      </c>
      <c r="G50" s="13">
        <f t="shared" si="10"/>
        <v>6.75</v>
      </c>
      <c r="H50" s="1">
        <f t="shared" si="11"/>
        <v>4.0765750000000007E-3</v>
      </c>
      <c r="I50" s="2">
        <f>Interpolate_Interval(H47,H51,I47,I51,H50)</f>
        <v>0.97254069086148209</v>
      </c>
      <c r="J50" s="15"/>
      <c r="K50" s="16"/>
      <c r="O50" s="16">
        <f t="shared" si="7"/>
        <v>1.18625E-3</v>
      </c>
      <c r="P50" s="17">
        <f>P51</f>
        <v>1.2797005985773005E-2</v>
      </c>
      <c r="Q50" s="32">
        <f t="shared" si="9"/>
        <v>6.6940410456250037</v>
      </c>
      <c r="R50" s="1">
        <f>R49+P50*0.25*I50</f>
        <v>3.4856421108674429E-2</v>
      </c>
      <c r="S50" s="10">
        <f t="shared" si="12"/>
        <v>4.1249426462307568E-3</v>
      </c>
      <c r="X50">
        <v>10</v>
      </c>
      <c r="Y50" s="1">
        <f t="shared" si="5"/>
        <v>2E-3</v>
      </c>
      <c r="Z50" s="1">
        <f t="shared" si="3"/>
        <v>1.8556525813554286E-3</v>
      </c>
      <c r="AA50" s="1">
        <f t="shared" si="6"/>
        <v>4.4997511497133352E-3</v>
      </c>
      <c r="AB50" s="1">
        <f t="shared" si="4"/>
        <v>4.1749874182113039E-3</v>
      </c>
    </row>
    <row r="51" spans="1:28">
      <c r="G51" s="13">
        <f t="shared" si="10"/>
        <v>7</v>
      </c>
      <c r="H51" s="1">
        <f t="shared" si="11"/>
        <v>4.3750000000000004E-3</v>
      </c>
      <c r="I51" s="2">
        <f>(1-J47*H51)/(1+H51)</f>
        <v>0.96970285006343981</v>
      </c>
      <c r="J51" s="15">
        <f>J47+1*I51</f>
        <v>6.9250628426423173</v>
      </c>
      <c r="K51" s="16">
        <f>Interpolate_Range($D$17:$D$31,$E$17:$E$31,G51)</f>
        <v>6.6750000000000004E-3</v>
      </c>
      <c r="L51" s="15">
        <f>L49+0.5*I51</f>
        <v>6.9326693701657032</v>
      </c>
      <c r="M51" s="1">
        <f>M49+N51*0.5*I51</f>
        <v>4.6275568045856072E-2</v>
      </c>
      <c r="N51" s="1">
        <f>(K51*L51-M49)/(0.5*I51)</f>
        <v>1.4321662723966396E-2</v>
      </c>
      <c r="O51" s="16">
        <f t="shared" si="7"/>
        <v>1.199E-3</v>
      </c>
      <c r="P51" s="1">
        <f>(M51-O51*Q51-R49)/(0.25*I50+0.25*I51)</f>
        <v>1.2797005985773005E-2</v>
      </c>
      <c r="Q51" s="32">
        <f t="shared" si="9"/>
        <v>6.9364667581408632</v>
      </c>
      <c r="R51" s="1">
        <f>R50+P51*0.25*I53</f>
        <v>3.7938806131757687E-2</v>
      </c>
      <c r="S51" s="10">
        <f t="shared" si="12"/>
        <v>4.3950849367454473E-3</v>
      </c>
    </row>
    <row r="52" spans="1:28">
      <c r="G52" s="13">
        <f t="shared" si="10"/>
        <v>7.25</v>
      </c>
      <c r="H52" s="1">
        <f t="shared" si="11"/>
        <v>4.6375000000000001E-3</v>
      </c>
      <c r="I52" s="2">
        <f>Interpolate_Interval(H51,H55,I51,I55,H52)</f>
        <v>0.96658676633109564</v>
      </c>
      <c r="J52" s="15"/>
      <c r="K52" s="16"/>
      <c r="O52" s="16">
        <f t="shared" si="7"/>
        <v>1.2144999999999999E-3</v>
      </c>
      <c r="P52" s="17">
        <f>P53</f>
        <v>1.3289223230490633E-2</v>
      </c>
      <c r="Q52" s="32">
        <f t="shared" si="9"/>
        <v>7.1781134497236367</v>
      </c>
      <c r="R52" s="1">
        <f>R51+P52*0.25*I52</f>
        <v>4.1150102959110688E-2</v>
      </c>
      <c r="S52" s="10">
        <f t="shared" si="12"/>
        <v>4.6874773257094184E-3</v>
      </c>
      <c r="T52" s="8"/>
    </row>
    <row r="53" spans="1:28">
      <c r="B53" s="1"/>
      <c r="D53" s="36"/>
      <c r="G53" s="13">
        <f t="shared" si="10"/>
        <v>7.5</v>
      </c>
      <c r="H53" s="1">
        <f t="shared" si="11"/>
        <v>4.8999999999999998E-3</v>
      </c>
      <c r="I53" s="2">
        <f>Interpolate_Interval(H51,H55,I51,I55,H53)</f>
        <v>0.96347068259875146</v>
      </c>
      <c r="J53" s="15"/>
      <c r="K53" s="16">
        <f>Interpolate_Range($D$17:$D$31,$E$17:$E$31,G53)</f>
        <v>7.2125000000000002E-3</v>
      </c>
      <c r="L53" s="15">
        <f>L51+0.5*I53</f>
        <v>7.4144047114650791</v>
      </c>
      <c r="M53" s="1">
        <f>M51+N53*0.5*I53</f>
        <v>5.3476393981441883E-2</v>
      </c>
      <c r="N53" s="1">
        <f>(K53*L53-M51)/(0.5*I53)</f>
        <v>1.4947680434163618E-2</v>
      </c>
      <c r="O53" s="16">
        <f t="shared" si="7"/>
        <v>1.23E-3</v>
      </c>
      <c r="P53" s="1">
        <f>(M53-O53*Q53-R51)/(0.25*I52+0.25*I53)</f>
        <v>1.3289223230490633E-2</v>
      </c>
      <c r="Q53" s="32">
        <f t="shared" si="9"/>
        <v>7.4189811203733242</v>
      </c>
      <c r="R53" s="1">
        <f>R52+P53*0.25*I55</f>
        <v>4.4330342037220673E-2</v>
      </c>
      <c r="S53" s="10">
        <f t="shared" si="12"/>
        <v>4.9617626153049266E-3</v>
      </c>
      <c r="T53" s="8"/>
    </row>
    <row r="54" spans="1:28">
      <c r="B54" s="1"/>
      <c r="D54" s="36"/>
      <c r="G54" s="13">
        <f t="shared" si="10"/>
        <v>7.75</v>
      </c>
      <c r="H54" s="1">
        <f t="shared" si="11"/>
        <v>5.1625000000000004E-3</v>
      </c>
      <c r="I54" s="2">
        <f>Interpolate_Interval(H51,H55,I51,I55,H54)</f>
        <v>0.96035459886640728</v>
      </c>
      <c r="J54" s="15"/>
      <c r="K54" s="16"/>
      <c r="O54" s="16">
        <f t="shared" si="7"/>
        <v>1.2455000000000001E-3</v>
      </c>
      <c r="P54" s="17">
        <f>P55</f>
        <v>1.43528619300144E-2</v>
      </c>
      <c r="Q54" s="32">
        <f t="shared" si="9"/>
        <v>7.6590697700899257</v>
      </c>
      <c r="R54" s="1">
        <f>R53+P54*0.25*I54</f>
        <v>4.777630127756665E-2</v>
      </c>
      <c r="S54" s="10">
        <f t="shared" si="12"/>
        <v>5.2197017939091513E-3</v>
      </c>
      <c r="T54" s="8"/>
    </row>
    <row r="55" spans="1:28">
      <c r="B55" s="1"/>
      <c r="D55" s="36"/>
      <c r="G55" s="13">
        <f t="shared" si="10"/>
        <v>8</v>
      </c>
      <c r="H55" s="1">
        <f t="shared" si="11"/>
        <v>5.4250000000000001E-3</v>
      </c>
      <c r="I55" s="2">
        <f>(1-J51*H55)/(1+H55)</f>
        <v>0.95723851513406311</v>
      </c>
      <c r="J55" s="15">
        <f>J51+1*I55</f>
        <v>7.8823013577763801</v>
      </c>
      <c r="K55" s="16">
        <f>Interpolate_Range($D$17:$D$31,$E$17:$E$31,G55)</f>
        <v>7.7499999999999999E-3</v>
      </c>
      <c r="L55" s="15">
        <f>L53+0.5*I55</f>
        <v>7.8930239690321109</v>
      </c>
      <c r="M55" s="1">
        <f>M53+N55*0.5*I55</f>
        <v>6.1170935759998858E-2</v>
      </c>
      <c r="N55" s="1">
        <f>(K55*L55-M53)/(0.5*I55)</f>
        <v>1.6076540291484906E-2</v>
      </c>
      <c r="O55" s="16">
        <f t="shared" si="7"/>
        <v>1.261E-3</v>
      </c>
      <c r="P55" s="1">
        <f>(M55-O55*Q55-R53)/(0.25*I54+0.25*I55)</f>
        <v>1.43528619300144E-2</v>
      </c>
      <c r="Q55" s="32">
        <f t="shared" si="9"/>
        <v>7.8983793988734412</v>
      </c>
      <c r="R55" s="1">
        <f>R54+P55*0.25*I57</f>
        <v>5.1185670823362048E-2</v>
      </c>
      <c r="S55" s="10">
        <f t="shared" si="12"/>
        <v>5.4628358084172967E-3</v>
      </c>
    </row>
    <row r="56" spans="1:28">
      <c r="B56" s="1"/>
      <c r="D56" s="36"/>
      <c r="G56" s="13">
        <f t="shared" si="10"/>
        <v>8.25</v>
      </c>
      <c r="H56" s="1">
        <f t="shared" si="11"/>
        <v>5.6812500000000005E-3</v>
      </c>
      <c r="I56" s="2">
        <f>Interpolate_Interval(H55,H59,I55,I59,H56)</f>
        <v>0.95369796485478053</v>
      </c>
      <c r="J56" s="15"/>
      <c r="K56" s="16"/>
      <c r="N56" s="10"/>
      <c r="O56" s="16">
        <f t="shared" si="7"/>
        <v>1.2795E-3</v>
      </c>
      <c r="P56" s="17">
        <f>P57</f>
        <v>1.5326967909629669E-2</v>
      </c>
      <c r="Q56" s="32">
        <f t="shared" si="9"/>
        <v>8.1368038900871369</v>
      </c>
      <c r="R56" s="1">
        <f>R55+P56*0.25*I56</f>
        <v>5.4839995349064134E-2</v>
      </c>
      <c r="S56" s="10">
        <f t="shared" si="12"/>
        <v>5.7464553147286183E-3</v>
      </c>
    </row>
    <row r="57" spans="1:28">
      <c r="B57" s="1"/>
      <c r="D57" s="36"/>
      <c r="G57" s="13">
        <f t="shared" si="10"/>
        <v>8.5</v>
      </c>
      <c r="H57" s="1">
        <f t="shared" si="11"/>
        <v>5.9375000000000001E-3</v>
      </c>
      <c r="I57" s="2">
        <f>Interpolate_Interval(H55,H59,I55,I59,H57)</f>
        <v>0.95015741457549807</v>
      </c>
      <c r="J57" s="15"/>
      <c r="K57" s="16">
        <f>Interpolate_Range($D$17:$D$31,$E$17:$E$31,G57)</f>
        <v>8.2874999999999997E-3</v>
      </c>
      <c r="L57" s="15">
        <f>L55+0.5*I57</f>
        <v>8.3681026763198592</v>
      </c>
      <c r="M57" s="1">
        <f>M55+N57*0.5*I57</f>
        <v>6.9350650930000826E-2</v>
      </c>
      <c r="N57" s="1">
        <f>(K57*L57-M55)/(0.5*I57)</f>
        <v>1.7217600040844643E-2</v>
      </c>
      <c r="O57" s="16">
        <f t="shared" si="7"/>
        <v>1.2980000000000001E-3</v>
      </c>
      <c r="P57" s="1">
        <f>(M57-O57*Q57-R55)/(0.25*I56+0.25*I57)</f>
        <v>1.5326967909629669E-2</v>
      </c>
      <c r="Q57" s="32">
        <f t="shared" si="9"/>
        <v>8.3743432437310119</v>
      </c>
      <c r="R57" s="1">
        <f>R56+P57*0.25*I59</f>
        <v>5.8453620449381474E-2</v>
      </c>
      <c r="S57" s="10">
        <f t="shared" si="12"/>
        <v>6.0150127718881551E-3</v>
      </c>
    </row>
    <row r="58" spans="1:28">
      <c r="B58" s="1"/>
      <c r="D58" s="36"/>
      <c r="G58" s="13">
        <f t="shared" si="10"/>
        <v>8.75</v>
      </c>
      <c r="H58" s="1">
        <f t="shared" si="11"/>
        <v>6.1937499999999996E-3</v>
      </c>
      <c r="I58" s="2">
        <f>Interpolate_Interval(H55,H59,I55,I59,H58)</f>
        <v>0.94661686429621561</v>
      </c>
      <c r="J58" s="15"/>
      <c r="O58" s="16">
        <f t="shared" si="7"/>
        <v>1.3165E-3</v>
      </c>
      <c r="P58" s="17">
        <f>P59</f>
        <v>1.6395839631516123E-2</v>
      </c>
      <c r="Q58" s="32">
        <f t="shared" si="9"/>
        <v>8.6109974598050663</v>
      </c>
      <c r="R58" s="1">
        <f>R57+P58*0.25*I58</f>
        <v>6.2333765024253827E-2</v>
      </c>
      <c r="S58" s="10">
        <f t="shared" si="12"/>
        <v>6.2698109733316625E-3</v>
      </c>
    </row>
    <row r="59" spans="1:28">
      <c r="B59" s="1"/>
      <c r="D59" s="36"/>
      <c r="G59" s="13">
        <f t="shared" si="10"/>
        <v>9</v>
      </c>
      <c r="H59" s="1">
        <f t="shared" si="11"/>
        <v>6.45E-3</v>
      </c>
      <c r="I59" s="2">
        <f>(1-J55*H59)/(1+H59)</f>
        <v>0.94307631401693304</v>
      </c>
      <c r="J59" s="15">
        <f>J55+1*I59</f>
        <v>8.8253776717933139</v>
      </c>
      <c r="K59" s="16">
        <f>Interpolate_Range($D$17:$D$31,$E$17:$E$31,G59)</f>
        <v>8.8249999999999995E-3</v>
      </c>
      <c r="L59" s="15">
        <f>L57+0.5*I59</f>
        <v>8.8396408333283265</v>
      </c>
      <c r="M59" s="1">
        <f>M57+N59*0.5*I59</f>
        <v>7.8009830354122484E-2</v>
      </c>
      <c r="N59" s="1">
        <f>(K59*L59-M57)/(0.5*I59)</f>
        <v>1.8363687636769935E-2</v>
      </c>
      <c r="O59" s="16">
        <f t="shared" si="7"/>
        <v>1.335E-3</v>
      </c>
      <c r="P59" s="1">
        <f>(M59-O59*Q59-R57)/(0.25*I58+0.25*I59)</f>
        <v>1.6395839631516123E-2</v>
      </c>
      <c r="Q59" s="32">
        <f t="shared" si="9"/>
        <v>8.8467665383092999</v>
      </c>
      <c r="R59" s="1">
        <f>R58+P59*0.25*I61</f>
        <v>6.6168142408348729E-2</v>
      </c>
      <c r="S59" s="10">
        <f t="shared" si="12"/>
        <v>6.5120080862061495E-3</v>
      </c>
    </row>
    <row r="60" spans="1:28">
      <c r="B60" s="1"/>
      <c r="D60" s="36"/>
      <c r="G60" s="13">
        <f t="shared" si="10"/>
        <v>9.25</v>
      </c>
      <c r="H60" s="1">
        <f t="shared" si="11"/>
        <v>6.6874999999999999E-3</v>
      </c>
      <c r="I60" s="2">
        <f>Interpolate_Interval(H59,H63,I59,I63,H60)</f>
        <v>0.9392638081821284</v>
      </c>
      <c r="J60" s="15"/>
      <c r="K60" s="16"/>
      <c r="O60" s="16">
        <f t="shared" si="7"/>
        <v>1.3537499999999999E-3</v>
      </c>
      <c r="P60" s="17">
        <f>P61</f>
        <v>1.6970991271974788E-2</v>
      </c>
      <c r="Q60" s="32">
        <f t="shared" si="9"/>
        <v>9.0815824903548314</v>
      </c>
      <c r="R60" s="1">
        <f>R59+P60*0.25*I60</f>
        <v>7.0153201881033911E-2</v>
      </c>
      <c r="S60" s="10">
        <f t="shared" si="12"/>
        <v>6.7739344163153543E-3</v>
      </c>
    </row>
    <row r="61" spans="1:28">
      <c r="B61" s="1"/>
      <c r="D61" s="36"/>
      <c r="G61" s="13">
        <f t="shared" si="10"/>
        <v>9.5</v>
      </c>
      <c r="H61" s="1">
        <f t="shared" si="11"/>
        <v>6.9250000000000006E-3</v>
      </c>
      <c r="I61" s="2">
        <f>Interpolate_Interval(H59,H63,I59,I63,H61)</f>
        <v>0.93545130234732365</v>
      </c>
      <c r="J61" s="15"/>
      <c r="K61" s="16">
        <f>Interpolate_Range($D$17:$D$31,$E$17:$E$31,G61)</f>
        <v>9.3374999999999986E-3</v>
      </c>
      <c r="L61" s="15">
        <f>L59+0.5*I61</f>
        <v>9.3073664845019888</v>
      </c>
      <c r="M61" s="1">
        <f>M59+N61*0.5*I61</f>
        <v>8.690753454903731E-2</v>
      </c>
      <c r="N61" s="1">
        <f>(K61*L61-M59)/(0.5*I61)</f>
        <v>1.9023340226450823E-2</v>
      </c>
      <c r="O61" s="16">
        <f t="shared" si="7"/>
        <v>1.3725E-3</v>
      </c>
      <c r="P61" s="1">
        <f>(M61-O61*Q61-R59)/(0.25*I60+0.25*I61)</f>
        <v>1.6970991271974788E-2</v>
      </c>
      <c r="Q61" s="32">
        <f t="shared" si="9"/>
        <v>9.3154453159416626</v>
      </c>
      <c r="R61" s="1">
        <f>R60+P61*0.25*I63</f>
        <v>7.4089734851283964E-2</v>
      </c>
      <c r="S61" s="10">
        <f t="shared" si="12"/>
        <v>7.0238094565147728E-3</v>
      </c>
    </row>
    <row r="62" spans="1:28">
      <c r="B62" s="1"/>
      <c r="D62" s="36"/>
      <c r="G62" s="13">
        <f t="shared" si="10"/>
        <v>9.75</v>
      </c>
      <c r="H62" s="1">
        <f t="shared" si="11"/>
        <v>7.1625000000000005E-3</v>
      </c>
      <c r="I62" s="2">
        <f>Interpolate_Interval(H59,H63,I59,I63,H62)</f>
        <v>0.93163879651251891</v>
      </c>
      <c r="J62" s="15"/>
      <c r="K62" s="16"/>
      <c r="O62" s="16">
        <f t="shared" si="7"/>
        <v>1.3912500000000001E-3</v>
      </c>
      <c r="P62" s="17">
        <f>P63</f>
        <v>1.7999004598853341E-2</v>
      </c>
      <c r="Q62" s="32">
        <f t="shared" si="9"/>
        <v>9.5483550150697916</v>
      </c>
      <c r="R62" s="1">
        <f>R61+P62*0.25*I62</f>
        <v>7.828187759700872E-2</v>
      </c>
      <c r="S62" s="10">
        <f t="shared" si="12"/>
        <v>7.262574031417615E-3</v>
      </c>
    </row>
    <row r="63" spans="1:28">
      <c r="B63" s="1"/>
      <c r="D63" s="36"/>
      <c r="G63" s="13">
        <f t="shared" si="10"/>
        <v>10</v>
      </c>
      <c r="H63" s="1">
        <f t="shared" si="11"/>
        <v>7.4000000000000003E-3</v>
      </c>
      <c r="I63" s="2">
        <f>(1-J59*H63)/(1+H63)</f>
        <v>0.92782629067771427</v>
      </c>
      <c r="J63" s="15">
        <f>J59+1*I63</f>
        <v>9.7532039624710283</v>
      </c>
      <c r="K63" s="16">
        <f>Interpolate_Range($D$17:$D$31,$E$17:$E$31,G63)</f>
        <v>9.8499999999999994E-3</v>
      </c>
      <c r="L63" s="15">
        <f>L61+0.5*I63</f>
        <v>9.771279629840846</v>
      </c>
      <c r="M63" s="1">
        <f>M61+N63*0.5*I63</f>
        <v>9.6247104353932328E-2</v>
      </c>
      <c r="N63" s="1">
        <f>(K63*L63-M61)/(0.5*I63)</f>
        <v>2.0132151672643581E-2</v>
      </c>
      <c r="O63" s="16">
        <f t="shared" si="7"/>
        <v>1.41E-3</v>
      </c>
      <c r="P63" s="1">
        <f>(M63-O63*Q63-R61)/(0.25*I62+0.25*I63)</f>
        <v>1.7999004598853341E-2</v>
      </c>
      <c r="Q63" s="32">
        <f t="shared" si="9"/>
        <v>9.7803115877392202</v>
      </c>
      <c r="R63" s="1">
        <f>R62+P63*0.25*I65</f>
        <v>8.2419202520558565E-2</v>
      </c>
      <c r="S63" s="10">
        <f t="shared" si="12"/>
        <v>7.491075048727089E-3</v>
      </c>
    </row>
    <row r="64" spans="1:28">
      <c r="B64" s="1"/>
      <c r="G64" s="13">
        <f t="shared" si="10"/>
        <v>10.25</v>
      </c>
      <c r="H64" s="1">
        <f t="shared" si="11"/>
        <v>7.6343750000000005E-3</v>
      </c>
      <c r="I64" s="2">
        <f>Interpolate_Interval(H63,H67,I63,I67,H64)</f>
        <v>0.92364133762049339</v>
      </c>
      <c r="J64" s="15"/>
      <c r="K64" s="16"/>
      <c r="O64" s="16">
        <f t="shared" si="7"/>
        <v>1.428875E-3</v>
      </c>
      <c r="P64" s="17">
        <f>P65</f>
        <v>1.834599361070479E-2</v>
      </c>
      <c r="Q64" s="32">
        <f t="shared" si="9"/>
        <v>10.011221922144344</v>
      </c>
      <c r="R64" s="1">
        <f>R63+P64*0.25*I64</f>
        <v>8.6655482040200668E-2</v>
      </c>
      <c r="S64" s="10">
        <f t="shared" si="12"/>
        <v>7.7494093115606675E-3</v>
      </c>
    </row>
    <row r="65" spans="2:19">
      <c r="B65" s="1"/>
      <c r="G65" s="13">
        <f t="shared" si="10"/>
        <v>10.5</v>
      </c>
      <c r="H65" s="1">
        <f t="shared" si="11"/>
        <v>7.8687500000000007E-3</v>
      </c>
      <c r="I65" s="2">
        <f>Interpolate_Interval(H63,H67,I63,I67,H65)</f>
        <v>0.91945638456327239</v>
      </c>
      <c r="J65" s="15"/>
      <c r="K65" s="16">
        <f>Interpolate_Range($D$17:$D$31,$E$17:$E$31,G65)</f>
        <v>1.033125E-2</v>
      </c>
      <c r="L65" s="15">
        <f>L63+0.5*I65</f>
        <v>10.231007822122482</v>
      </c>
      <c r="M65" s="1">
        <f>M63+N65*0.5*I65</f>
        <v>0.10569909956230289</v>
      </c>
      <c r="N65" s="1">
        <f>(K65*L65-M63)/(0.5*I65)</f>
        <v>2.0559964272498066E-2</v>
      </c>
      <c r="O65" s="16">
        <f t="shared" si="7"/>
        <v>1.44775E-3</v>
      </c>
      <c r="P65" s="1">
        <f>(M65-O65*Q65-R63)/(0.25*I64+0.25*I65)</f>
        <v>1.834599361070479E-2</v>
      </c>
      <c r="Q65" s="32">
        <f t="shared" si="9"/>
        <v>10.241086018285163</v>
      </c>
      <c r="R65" s="1">
        <f>R64+P65*0.25*I67</f>
        <v>9.0834178718306111E-2</v>
      </c>
      <c r="S65" s="10">
        <f t="shared" si="12"/>
        <v>7.9973971357576463E-3</v>
      </c>
    </row>
    <row r="66" spans="2:19">
      <c r="B66" s="1"/>
      <c r="G66" s="13">
        <f t="shared" si="10"/>
        <v>10.75</v>
      </c>
      <c r="H66" s="1">
        <f t="shared" si="11"/>
        <v>8.103125000000001E-3</v>
      </c>
      <c r="I66" s="2">
        <f>Interpolate_Interval(H63,H67,I63,I67,H66)</f>
        <v>0.9152714315060515</v>
      </c>
      <c r="J66" s="15"/>
      <c r="O66" s="16">
        <f t="shared" si="7"/>
        <v>1.466625E-3</v>
      </c>
      <c r="P66" s="17">
        <f>P67</f>
        <v>1.9323173481922959E-2</v>
      </c>
      <c r="Q66" s="32">
        <f t="shared" si="9"/>
        <v>10.469903876161675</v>
      </c>
      <c r="R66" s="1">
        <f>R65+P66*0.25*I66</f>
        <v>9.5255665881815957E-2</v>
      </c>
      <c r="S66" s="10">
        <f t="shared" si="12"/>
        <v>8.2357777900255429E-3</v>
      </c>
    </row>
    <row r="67" spans="2:19">
      <c r="B67" s="1"/>
      <c r="G67" s="13">
        <f t="shared" si="10"/>
        <v>11</v>
      </c>
      <c r="H67" s="1">
        <f t="shared" si="11"/>
        <v>8.3375000000000012E-3</v>
      </c>
      <c r="I67" s="2">
        <f>(1-J63*H67)/(1+H67)</f>
        <v>0.91108647844883062</v>
      </c>
      <c r="J67" s="15">
        <f>J63+1*I67</f>
        <v>10.664290440919858</v>
      </c>
      <c r="K67" s="16">
        <f>Interpolate_Range($D$17:$D$31,$E$17:$E$31,G67)</f>
        <v>1.0812499999999999E-2</v>
      </c>
      <c r="L67" s="15">
        <f>L65+0.5*I67</f>
        <v>10.686551061346897</v>
      </c>
      <c r="M67" s="1">
        <f>M65+N67*0.5*I67</f>
        <v>0.11554833335081331</v>
      </c>
      <c r="N67" s="1">
        <f>(K67*L67-M65)/(0.5*I67)</f>
        <v>2.1620853829988181E-2</v>
      </c>
      <c r="O67" s="16">
        <f t="shared" si="7"/>
        <v>1.4854999999999998E-3</v>
      </c>
      <c r="P67" s="1">
        <f>(M67-O67*Q67-R65)/(0.25*I66+0.25*I67)</f>
        <v>1.9323173481922959E-2</v>
      </c>
      <c r="Q67" s="32">
        <f t="shared" si="9"/>
        <v>10.697675495773883</v>
      </c>
      <c r="R67" s="1">
        <f>R66+P67*0.25*I69</f>
        <v>9.961278641488848E-2</v>
      </c>
      <c r="S67" s="10">
        <f t="shared" si="12"/>
        <v>8.4652235709392325E-3</v>
      </c>
    </row>
    <row r="68" spans="2:19">
      <c r="G68" s="13">
        <f t="shared" si="10"/>
        <v>11.25</v>
      </c>
      <c r="H68" s="1">
        <f t="shared" si="11"/>
        <v>8.5718749999999996E-3</v>
      </c>
      <c r="I68" s="2">
        <f>Interpolate_Interval(H67,H71,I67,I71,H68)</f>
        <v>0.90651683702900576</v>
      </c>
      <c r="J68" s="15"/>
      <c r="K68" s="16"/>
      <c r="O68" s="16">
        <f t="shared" si="7"/>
        <v>1.5043749999999999E-3</v>
      </c>
      <c r="P68" s="17">
        <f>P69</f>
        <v>2.0321582581068004E-2</v>
      </c>
      <c r="Q68" s="32">
        <f t="shared" si="9"/>
        <v>10.924304705031133</v>
      </c>
      <c r="R68" s="1">
        <f>R67+P68*0.25*I68</f>
        <v>0.10421825060609186</v>
      </c>
      <c r="S68" s="10">
        <f t="shared" si="12"/>
        <v>8.7240600260322532E-3</v>
      </c>
    </row>
    <row r="69" spans="2:19">
      <c r="G69" s="13">
        <f t="shared" si="10"/>
        <v>11.5</v>
      </c>
      <c r="H69" s="1">
        <f t="shared" si="11"/>
        <v>8.8062499999999998E-3</v>
      </c>
      <c r="I69" s="2">
        <f>Interpolate_Interval(H67,H71,I67,I71,H69)</f>
        <v>0.9019471956091808</v>
      </c>
      <c r="J69" s="15"/>
      <c r="K69" s="16">
        <f>Interpolate_Range($D$17:$D$31,$E$17:$E$31,G69)</f>
        <v>1.129375E-2</v>
      </c>
      <c r="L69" s="15">
        <f>L67+0.5*I69</f>
        <v>11.137524659151488</v>
      </c>
      <c r="M69" s="1">
        <f>M67+N69*0.5*I69</f>
        <v>0.12578441911929211</v>
      </c>
      <c r="N69" s="1">
        <f>(K69*L69-M67)/(0.5*I69)</f>
        <v>2.2697749531923061E-2</v>
      </c>
      <c r="O69" s="16">
        <f t="shared" si="7"/>
        <v>1.5232499999999999E-3</v>
      </c>
      <c r="P69" s="1">
        <f>(M69-O69*Q69-R67)/(0.25*I68+0.25*I69)</f>
        <v>2.0321582581068004E-2</v>
      </c>
      <c r="Q69" s="32">
        <f t="shared" si="9"/>
        <v>11.149791503933429</v>
      </c>
      <c r="R69" s="1">
        <f>R68+P69*0.25*I71</f>
        <v>0.1087540680381861</v>
      </c>
      <c r="S69" s="10">
        <f t="shared" si="12"/>
        <v>8.9738523553363064E-3</v>
      </c>
    </row>
    <row r="70" spans="2:19">
      <c r="G70" s="13">
        <f t="shared" si="10"/>
        <v>11.75</v>
      </c>
      <c r="H70" s="1">
        <f t="shared" si="11"/>
        <v>9.040625E-3</v>
      </c>
      <c r="I70" s="2">
        <f>Interpolate_Interval(H67,H71,I67,I71,H70)</f>
        <v>0.89737755418935594</v>
      </c>
      <c r="J70" s="15"/>
      <c r="K70" s="16"/>
      <c r="O70" s="16">
        <f t="shared" si="7"/>
        <v>1.5421249999999999E-3</v>
      </c>
      <c r="P70" s="17">
        <f>P71</f>
        <v>2.1323482219625618E-2</v>
      </c>
      <c r="Q70" s="32">
        <f t="shared" si="9"/>
        <v>11.374135892480767</v>
      </c>
      <c r="R70" s="1">
        <f>R69+P70*0.25*I70</f>
        <v>0.11353787161844807</v>
      </c>
      <c r="S70" s="10">
        <f t="shared" si="12"/>
        <v>9.2151998127394594E-3</v>
      </c>
    </row>
    <row r="71" spans="2:19">
      <c r="G71" s="13">
        <f t="shared" si="10"/>
        <v>12</v>
      </c>
      <c r="H71" s="1">
        <f t="shared" si="11"/>
        <v>9.2750000000000003E-3</v>
      </c>
      <c r="I71" s="2">
        <f>(1-J67*H71)/(1+H71)</f>
        <v>0.89280791276953098</v>
      </c>
      <c r="J71" s="15">
        <f>J67+1*I71</f>
        <v>11.557098353689389</v>
      </c>
      <c r="K71" s="16">
        <f>Interpolate_Range($D$17:$D$31,$E$17:$E$31,G71)</f>
        <v>1.1775000000000001E-2</v>
      </c>
      <c r="L71" s="15">
        <f>L69+0.5*I71</f>
        <v>11.583928615536253</v>
      </c>
      <c r="M71" s="1">
        <f>M69+N71*0.5*I71</f>
        <v>0.13640075944793939</v>
      </c>
      <c r="N71" s="1">
        <f>(K71*L71-M69)/(0.5*I71)</f>
        <v>2.3781913616143711E-2</v>
      </c>
      <c r="O71" s="16">
        <f t="shared" si="7"/>
        <v>1.5609999999999999E-3</v>
      </c>
      <c r="P71" s="1">
        <f>(M71-O71*Q71-R69)/(0.25*I70+0.25*I71)</f>
        <v>2.1323482219625618E-2</v>
      </c>
      <c r="Q71" s="32">
        <f t="shared" si="9"/>
        <v>11.597337870673151</v>
      </c>
      <c r="R71" s="1">
        <f>R70+P71*0.25*I73</f>
        <v>0.11824699362580002</v>
      </c>
      <c r="S71" s="10">
        <f t="shared" si="12"/>
        <v>9.4486520437722706E-3</v>
      </c>
    </row>
    <row r="72" spans="2:19">
      <c r="G72" s="13">
        <f t="shared" si="10"/>
        <v>12.25</v>
      </c>
      <c r="H72" s="1">
        <f t="shared" si="11"/>
        <v>9.4916666666666673E-3</v>
      </c>
      <c r="I72" s="2">
        <f>Interpolate_Interval(H71,H75,I71,I75,H72)</f>
        <v>0.8880881014835228</v>
      </c>
      <c r="J72" s="15"/>
      <c r="K72" s="16"/>
      <c r="O72" s="16">
        <f t="shared" si="7"/>
        <v>1.5774999999999999E-3</v>
      </c>
      <c r="P72" s="17">
        <f>P73</f>
        <v>2.1618461464783148E-2</v>
      </c>
      <c r="Q72" s="32">
        <f t="shared" si="9"/>
        <v>11.819359896044032</v>
      </c>
      <c r="R72" s="1">
        <f>R71+P72*0.25*I72</f>
        <v>0.12304676822561351</v>
      </c>
      <c r="S72" s="10">
        <f t="shared" si="12"/>
        <v>9.68851653297499E-3</v>
      </c>
    </row>
    <row r="73" spans="2:19">
      <c r="G73" s="13">
        <f t="shared" si="10"/>
        <v>12.5</v>
      </c>
      <c r="H73" s="1">
        <f t="shared" si="11"/>
        <v>9.7083333333333327E-3</v>
      </c>
      <c r="I73" s="2">
        <f>Interpolate_Interval(H71,H75,I71,I75,H73)</f>
        <v>0.88336829019751462</v>
      </c>
      <c r="J73" s="15"/>
      <c r="K73" s="16">
        <f>Interpolate_Range($D$17:$D$31,$E$17:$E$31,G73)</f>
        <v>1.2225E-2</v>
      </c>
      <c r="L73" s="15">
        <f>L71+0.5*I73</f>
        <v>12.02561276063501</v>
      </c>
      <c r="M73" s="1">
        <f>M71+N73*0.5*I73</f>
        <v>0.14701311599876299</v>
      </c>
      <c r="N73" s="1">
        <f>(K73*L73-M71)/(0.5*I73)</f>
        <v>2.4027026255268352E-2</v>
      </c>
      <c r="O73" s="16">
        <f t="shared" si="7"/>
        <v>1.5939999999999999E-3</v>
      </c>
      <c r="P73" s="1">
        <f>(M73-O73*Q73-R71)/(0.25*I72+0.25*I73)</f>
        <v>2.1618461464783148E-2</v>
      </c>
      <c r="Q73" s="32">
        <f t="shared" si="9"/>
        <v>12.040201968593411</v>
      </c>
      <c r="R73" s="1">
        <f>R72+P73*0.25*I75</f>
        <v>0.12777001653162129</v>
      </c>
      <c r="S73" s="10">
        <f t="shared" si="12"/>
        <v>9.921046051559539E-3</v>
      </c>
    </row>
    <row r="74" spans="2:19">
      <c r="G74" s="13">
        <f t="shared" si="10"/>
        <v>12.75</v>
      </c>
      <c r="H74" s="1">
        <f t="shared" si="11"/>
        <v>9.9249999999999998E-3</v>
      </c>
      <c r="I74" s="2">
        <f>Interpolate_Interval(H71,H75,I71,I75,H74)</f>
        <v>0.87864847891150633</v>
      </c>
      <c r="J74" s="15"/>
      <c r="O74" s="16">
        <f t="shared" si="7"/>
        <v>1.6105E-3</v>
      </c>
      <c r="P74" s="17">
        <f>P75</f>
        <v>2.2574478510786204E-2</v>
      </c>
      <c r="Q74" s="32">
        <f t="shared" si="9"/>
        <v>12.259864088321288</v>
      </c>
      <c r="R74" s="1">
        <f>R73+P74*0.25*I74</f>
        <v>0.132728774333052</v>
      </c>
      <c r="S74" s="10">
        <f t="shared" si="12"/>
        <v>1.0146695804564501E-2</v>
      </c>
    </row>
    <row r="75" spans="2:19">
      <c r="G75" s="13">
        <f t="shared" si="10"/>
        <v>13</v>
      </c>
      <c r="H75" s="1">
        <f t="shared" ref="H75:H106" si="13">Interpolate_Range($A$17:$A$50,$B$17:$B$50,G75)</f>
        <v>1.0141666666666667E-2</v>
      </c>
      <c r="I75" s="2">
        <f>(1-J71*H75)/(1+H75)</f>
        <v>0.87392866762549815</v>
      </c>
      <c r="J75" s="15">
        <f>J71+1*I75</f>
        <v>12.431027021314886</v>
      </c>
      <c r="K75" s="16">
        <f>Interpolate_Range($D$17:$D$31,$E$17:$E$31,G75)</f>
        <v>1.2675000000000001E-2</v>
      </c>
      <c r="L75" s="15">
        <f>L73+0.5*I75</f>
        <v>12.462577094447759</v>
      </c>
      <c r="M75" s="1">
        <f>M73+N75*0.5*I75</f>
        <v>0.15796316467212534</v>
      </c>
      <c r="N75" s="1">
        <f>(K75*L75-M73)/(0.5*I75)</f>
        <v>2.5059364863528531E-2</v>
      </c>
      <c r="O75" s="16">
        <f t="shared" si="7"/>
        <v>1.627E-3</v>
      </c>
      <c r="P75" s="1">
        <f>(M75-O75*Q75-R73)/(0.25*I74+0.25*I75)</f>
        <v>2.2574478510786204E-2</v>
      </c>
      <c r="Q75" s="32">
        <f t="shared" si="9"/>
        <v>12.478346255227663</v>
      </c>
      <c r="R75" s="1">
        <f>R74+P75*0.25*I77</f>
        <v>0.13760397378200123</v>
      </c>
      <c r="S75" s="10">
        <f t="shared" ref="S75:S106" si="14">-LN(I75)/G75</f>
        <v>1.0365886357423094E-2</v>
      </c>
    </row>
    <row r="76" spans="2:19">
      <c r="G76" s="13">
        <f t="shared" si="10"/>
        <v>13.25</v>
      </c>
      <c r="H76" s="1">
        <f t="shared" si="13"/>
        <v>1.0358333333333334E-2</v>
      </c>
      <c r="I76" s="2">
        <f>Interpolate_Interval(H75,H79,I75,I79,H76)</f>
        <v>0.86888566892751917</v>
      </c>
      <c r="J76" s="15"/>
      <c r="K76" s="16"/>
      <c r="O76" s="16">
        <f t="shared" si="7"/>
        <v>1.6435E-3</v>
      </c>
      <c r="P76" s="17">
        <f>P77</f>
        <v>2.355402363083078E-2</v>
      </c>
      <c r="Q76" s="32">
        <f t="shared" si="9"/>
        <v>12.695567672459543</v>
      </c>
      <c r="R76" s="1">
        <f>R75+P76*0.25*I76</f>
        <v>0.14272041217660347</v>
      </c>
      <c r="S76" s="10">
        <f t="shared" si="14"/>
        <v>1.0607073858396968E-2</v>
      </c>
    </row>
    <row r="77" spans="2:19">
      <c r="G77" s="13">
        <f t="shared" si="10"/>
        <v>13.5</v>
      </c>
      <c r="H77" s="1">
        <f t="shared" si="13"/>
        <v>1.0575000000000001E-2</v>
      </c>
      <c r="I77" s="2">
        <f>Interpolate_Interval(H75,H79,I75,I79,H77)</f>
        <v>0.8638426702295402</v>
      </c>
      <c r="J77" s="15"/>
      <c r="K77" s="16">
        <f>Interpolate_Range($D$17:$D$31,$E$17:$E$31,G77)</f>
        <v>1.3125000000000001E-2</v>
      </c>
      <c r="L77" s="15">
        <f>L75+0.5*I77</f>
        <v>12.89449842956253</v>
      </c>
      <c r="M77" s="1">
        <f>M75+N77*0.5*I77</f>
        <v>0.16924029188800821</v>
      </c>
      <c r="N77" s="1">
        <f>(K77*L77-M75)/(0.5*I77)</f>
        <v>2.6109215496118773E-2</v>
      </c>
      <c r="O77" s="16">
        <f t="shared" si="7"/>
        <v>1.66E-3</v>
      </c>
      <c r="P77" s="1">
        <f>(M77-O77*Q77-R75)/(0.25*I76+0.25*I77)</f>
        <v>2.355402363083078E-2</v>
      </c>
      <c r="Q77" s="32">
        <f t="shared" si="9"/>
        <v>12.911528340016927</v>
      </c>
      <c r="R77" s="1">
        <f>R76+P77*0.25*I79</f>
        <v>0.1477477633883289</v>
      </c>
      <c r="S77" s="10">
        <f t="shared" si="14"/>
        <v>1.0841823807485891E-2</v>
      </c>
    </row>
    <row r="78" spans="2:19">
      <c r="G78" s="13">
        <f t="shared" si="10"/>
        <v>13.75</v>
      </c>
      <c r="H78" s="1">
        <f t="shared" si="13"/>
        <v>1.0791666666666666E-2</v>
      </c>
      <c r="I78" s="2">
        <f>Interpolate_Interval(H75,H79,I75,I79,H78)</f>
        <v>0.85879967153156123</v>
      </c>
      <c r="J78" s="15"/>
      <c r="K78" s="16"/>
      <c r="O78" s="16">
        <f t="shared" si="7"/>
        <v>1.6764999999999998E-3</v>
      </c>
      <c r="P78" s="17">
        <f>P79</f>
        <v>2.4538449300093027E-2</v>
      </c>
      <c r="Q78" s="32">
        <f t="shared" si="9"/>
        <v>13.126228257899818</v>
      </c>
      <c r="R78" s="1">
        <f>R77+P78*0.25*I78</f>
        <v>0.15301616643803234</v>
      </c>
      <c r="S78" s="10">
        <f t="shared" si="14"/>
        <v>1.1070516032822806E-2</v>
      </c>
    </row>
    <row r="79" spans="2:19">
      <c r="G79" s="13">
        <f t="shared" si="10"/>
        <v>14</v>
      </c>
      <c r="H79" s="1">
        <f t="shared" si="13"/>
        <v>1.1008333333333334E-2</v>
      </c>
      <c r="I79" s="2">
        <f>(1-J75*H79)/(1+H79)</f>
        <v>0.85375667283358225</v>
      </c>
      <c r="J79" s="15">
        <f>J75+1*I79</f>
        <v>13.284783694148468</v>
      </c>
      <c r="K79" s="16">
        <f>Interpolate_Range($D$17:$D$31,$E$17:$E$31,G79)</f>
        <v>1.3575E-2</v>
      </c>
      <c r="L79" s="15">
        <f>L77+0.5*I79</f>
        <v>13.321376765979322</v>
      </c>
      <c r="M79" s="1">
        <f>M77+N79*0.5*I79</f>
        <v>0.18083768959816929</v>
      </c>
      <c r="N79" s="1">
        <f>(K79*L79-M77)/(0.5*I79)</f>
        <v>2.7167922850124981E-2</v>
      </c>
      <c r="O79" s="16">
        <f t="shared" si="7"/>
        <v>1.6929999999999998E-3</v>
      </c>
      <c r="P79" s="1">
        <f>(M79-O79*Q79-R77)/(0.25*I78+0.25*I79)</f>
        <v>2.4538449300093027E-2</v>
      </c>
      <c r="Q79" s="32">
        <f t="shared" si="9"/>
        <v>13.339667426108214</v>
      </c>
      <c r="R79" s="1">
        <f>R78+P79*0.25*I81</f>
        <v>0.15818799922136742</v>
      </c>
      <c r="S79" s="10">
        <f t="shared" si="14"/>
        <v>1.1293503729799261E-2</v>
      </c>
    </row>
    <row r="80" spans="2:19">
      <c r="G80" s="13">
        <f t="shared" si="10"/>
        <v>14.25</v>
      </c>
      <c r="H80" s="1">
        <f t="shared" si="13"/>
        <v>1.1225000000000001E-2</v>
      </c>
      <c r="I80" s="2">
        <f>Interpolate_Interval(H79,H83,I79,I83,H80)</f>
        <v>0.84840723745581959</v>
      </c>
      <c r="J80" s="15"/>
      <c r="K80" s="16"/>
      <c r="O80" s="16">
        <f t="shared" si="7"/>
        <v>1.7094999999999999E-3</v>
      </c>
      <c r="P80" s="17">
        <f>P81</f>
        <v>2.5545002383306883E-2</v>
      </c>
      <c r="Q80" s="32">
        <f t="shared" si="9"/>
        <v>13.551769235472168</v>
      </c>
      <c r="R80" s="1">
        <f>R79+P80*0.25*I80</f>
        <v>0.16360614044707336</v>
      </c>
      <c r="S80" s="10">
        <f t="shared" si="14"/>
        <v>1.1536457937984582E-2</v>
      </c>
    </row>
    <row r="81" spans="7:19">
      <c r="G81" s="13">
        <f t="shared" si="10"/>
        <v>14.5</v>
      </c>
      <c r="H81" s="1">
        <f t="shared" si="13"/>
        <v>1.1441666666666666E-2</v>
      </c>
      <c r="I81" s="2">
        <f>Interpolate_Interval(H79,H83,I79,I83,H81)</f>
        <v>0.84305780207805703</v>
      </c>
      <c r="J81" s="15"/>
      <c r="K81" s="16">
        <f>Interpolate_Range($D$17:$D$31,$E$17:$E$31,G81)</f>
        <v>1.4024999999999999E-2</v>
      </c>
      <c r="L81" s="15">
        <f>L79+0.5*I81</f>
        <v>13.74290566701835</v>
      </c>
      <c r="M81" s="1">
        <f>M79+N81*0.5*I81</f>
        <v>0.19274425197993236</v>
      </c>
      <c r="N81" s="1">
        <f>(K81*L81-M79)/(0.5*I81)</f>
        <v>2.8246135324089369E-2</v>
      </c>
      <c r="O81" s="16">
        <f t="shared" si="7"/>
        <v>1.7259999999999999E-3</v>
      </c>
      <c r="P81" s="1">
        <f>(M81-O81*Q81-R79)/(0.25*I80+0.25*I81)</f>
        <v>2.5545002383306883E-2</v>
      </c>
      <c r="Q81" s="32">
        <f t="shared" si="9"/>
        <v>13.762533685991682</v>
      </c>
      <c r="R81" s="1">
        <f>R80+P81*0.25*I83</f>
        <v>0.16892179316817357</v>
      </c>
      <c r="S81" s="10">
        <f t="shared" si="14"/>
        <v>1.1773776290742477E-2</v>
      </c>
    </row>
    <row r="82" spans="7:19">
      <c r="G82" s="13">
        <f t="shared" si="10"/>
        <v>14.75</v>
      </c>
      <c r="H82" s="1">
        <f t="shared" si="13"/>
        <v>1.1658333333333333E-2</v>
      </c>
      <c r="I82" s="2">
        <f>Interpolate_Interval(H79,H83,I79,I83,H82)</f>
        <v>0.83770836670029447</v>
      </c>
      <c r="J82" s="15"/>
      <c r="O82" s="16">
        <f t="shared" si="7"/>
        <v>1.7424999999999999E-3</v>
      </c>
      <c r="P82" s="17">
        <f>P83</f>
        <v>2.6557625055053113E-2</v>
      </c>
      <c r="Q82" s="32">
        <f t="shared" si="9"/>
        <v>13.971960777666757</v>
      </c>
      <c r="R82" s="1">
        <f>R81+P82*0.25*I82</f>
        <v>0.17448367934525041</v>
      </c>
      <c r="S82" s="10">
        <f t="shared" si="14"/>
        <v>1.2005779672370827E-2</v>
      </c>
    </row>
    <row r="83" spans="7:19">
      <c r="G83" s="13">
        <f t="shared" si="10"/>
        <v>15</v>
      </c>
      <c r="H83" s="1">
        <f t="shared" si="13"/>
        <v>1.1875E-2</v>
      </c>
      <c r="I83" s="2">
        <f>(1-J79*H83)/(1+H83)</f>
        <v>0.8323589313225318</v>
      </c>
      <c r="J83" s="15">
        <f>J79+1*I83</f>
        <v>14.117142625470999</v>
      </c>
      <c r="K83" s="16">
        <f>Interpolate_Range($D$17:$D$31,$E$17:$E$31,G83)</f>
        <v>1.4475E-2</v>
      </c>
      <c r="L83" s="15">
        <f>L81+0.5*I83</f>
        <v>14.159085132679616</v>
      </c>
      <c r="M83" s="1">
        <f>M81+N83*0.5*I83</f>
        <v>0.20495275729553744</v>
      </c>
      <c r="N83" s="1">
        <f>(K83*L83-M81)/(0.5*I83)</f>
        <v>2.933471332182868E-2</v>
      </c>
      <c r="O83" s="16">
        <f t="shared" si="7"/>
        <v>1.7589999999999999E-3</v>
      </c>
      <c r="P83" s="1">
        <f>(M83-O83*Q83-R81)/(0.25*I82+0.25*I83)</f>
        <v>2.6557625055053113E-2</v>
      </c>
      <c r="Q83" s="32">
        <f t="shared" si="9"/>
        <v>14.18005051049739</v>
      </c>
      <c r="R83" s="1">
        <f>R82+P83*0.25*I85</f>
        <v>0.17994896441242955</v>
      </c>
      <c r="S83" s="10">
        <f t="shared" si="14"/>
        <v>1.2232768223396943E-2</v>
      </c>
    </row>
    <row r="84" spans="7:19">
      <c r="G84" s="13">
        <f t="shared" si="10"/>
        <v>15.25</v>
      </c>
      <c r="H84" s="1">
        <f t="shared" si="13"/>
        <v>1.2021250000000001E-2</v>
      </c>
      <c r="I84" s="2">
        <f>Interpolate_Interval(H83,H87,I83,I87,H84)</f>
        <v>0.82775881854766187</v>
      </c>
      <c r="J84" s="15"/>
      <c r="K84" s="16"/>
      <c r="O84" s="16">
        <f t="shared" si="7"/>
        <v>1.76775E-3</v>
      </c>
      <c r="P84" s="17">
        <f>P85</f>
        <v>2.2884139047521398E-2</v>
      </c>
      <c r="Q84" s="32">
        <f t="shared" si="9"/>
        <v>14.386990215134306</v>
      </c>
      <c r="R84" s="1">
        <f>R83+P84*0.25*I84</f>
        <v>0.18468460138779375</v>
      </c>
      <c r="S84" s="10">
        <f t="shared" si="14"/>
        <v>1.2395635998358806E-2</v>
      </c>
    </row>
    <row r="85" spans="7:19">
      <c r="G85" s="13">
        <f t="shared" si="10"/>
        <v>15.5</v>
      </c>
      <c r="H85" s="1">
        <f t="shared" si="13"/>
        <v>1.2167499999999999E-2</v>
      </c>
      <c r="I85" s="2">
        <f>Interpolate_Interval(H83,H87,I83,I87,H85)</f>
        <v>0.82315870577279204</v>
      </c>
      <c r="J85" s="15"/>
      <c r="K85" s="16">
        <f>Interpolate_Range($D$17:$D$31,$E$17:$E$31,G85)</f>
        <v>1.4777500000000001E-2</v>
      </c>
      <c r="L85" s="15">
        <f>L83+0.5*I85</f>
        <v>14.570664485566011</v>
      </c>
      <c r="M85" s="1">
        <f>M83+N85*0.5*I85</f>
        <v>0.21531799443545174</v>
      </c>
      <c r="N85" s="1">
        <f>(K85*L85-M83)/(0.5*I85)</f>
        <v>2.5184055194273341E-2</v>
      </c>
      <c r="O85" s="16">
        <f t="shared" si="7"/>
        <v>1.7764999999999999E-3</v>
      </c>
      <c r="P85" s="1">
        <f>(M85-O85*Q85-R83)/(0.25*I84+0.25*I85)</f>
        <v>2.2884139047521398E-2</v>
      </c>
      <c r="Q85" s="32">
        <f t="shared" si="9"/>
        <v>14.592779891577504</v>
      </c>
      <c r="R85" s="1">
        <f>R84+P85*0.25*I87</f>
        <v>0.18934128614787712</v>
      </c>
      <c r="S85" s="10">
        <f t="shared" si="14"/>
        <v>1.2555242501671521E-2</v>
      </c>
    </row>
    <row r="86" spans="7:19">
      <c r="G86" s="13">
        <f t="shared" si="10"/>
        <v>15.75</v>
      </c>
      <c r="H86" s="1">
        <f t="shared" si="13"/>
        <v>1.231375E-2</v>
      </c>
      <c r="I86" s="2">
        <f>Interpolate_Interval(H83,H87,I83,I87,H86)</f>
        <v>0.81855859299792211</v>
      </c>
      <c r="J86" s="15"/>
      <c r="K86" s="16"/>
      <c r="O86" s="16">
        <f t="shared" si="7"/>
        <v>1.7852499999999999E-3</v>
      </c>
      <c r="P86" s="17">
        <f>P87</f>
        <v>2.3546339233193925E-2</v>
      </c>
      <c r="Q86" s="32">
        <f t="shared" si="9"/>
        <v>14.797419539826985</v>
      </c>
      <c r="R86" s="1">
        <f>R85+P86*0.25*I86</f>
        <v>0.19415980072612088</v>
      </c>
      <c r="S86" s="10">
        <f t="shared" si="14"/>
        <v>1.2711765010025104E-2</v>
      </c>
    </row>
    <row r="87" spans="7:19">
      <c r="G87" s="13">
        <f t="shared" si="10"/>
        <v>16</v>
      </c>
      <c r="H87" s="1">
        <f t="shared" si="13"/>
        <v>1.2460000000000001E-2</v>
      </c>
      <c r="I87" s="2">
        <f>(1-J83*H87)/(1+H87)</f>
        <v>0.81395848022305217</v>
      </c>
      <c r="J87" s="15">
        <f>J83+1*I87</f>
        <v>14.931101105694051</v>
      </c>
      <c r="K87" s="16">
        <f>Interpolate_Range($D$17:$D$31,$E$17:$E$31,G87)</f>
        <v>1.508E-2</v>
      </c>
      <c r="L87" s="15">
        <f>L85+0.5*I87</f>
        <v>14.977643725677538</v>
      </c>
      <c r="M87" s="1">
        <f>M85+N87*0.5*I87</f>
        <v>0.22586286738321726</v>
      </c>
      <c r="N87" s="1">
        <f>(K87*L87-M85)/(0.5*I87)</f>
        <v>2.5910100340439633E-2</v>
      </c>
      <c r="O87" s="16">
        <f t="shared" si="7"/>
        <v>1.794E-3</v>
      </c>
      <c r="P87" s="1">
        <f>(M87-O87*Q87-R85)/(0.25*I86+0.25*I87)</f>
        <v>2.3546339233193925E-2</v>
      </c>
      <c r="Q87" s="32">
        <f t="shared" si="9"/>
        <v>15.000909159882747</v>
      </c>
      <c r="R87" s="1">
        <f>R86+P87*0.25*I89</f>
        <v>0.1988950089391727</v>
      </c>
      <c r="S87" s="10">
        <f t="shared" si="14"/>
        <v>1.2865370086093154E-2</v>
      </c>
    </row>
    <row r="88" spans="7:19">
      <c r="G88" s="13">
        <f t="shared" si="10"/>
        <v>16.25</v>
      </c>
      <c r="H88" s="1">
        <f t="shared" si="13"/>
        <v>1.2606249999999999E-2</v>
      </c>
      <c r="I88" s="2">
        <f>Interpolate_Interval(H87,H91,I87,I91,H88)</f>
        <v>0.80918258613114591</v>
      </c>
      <c r="J88" s="15"/>
      <c r="K88" s="16"/>
      <c r="O88" s="16">
        <f t="shared" si="7"/>
        <v>1.8027499999999999E-3</v>
      </c>
      <c r="P88" s="17">
        <f>P89</f>
        <v>2.4245543983335928E-2</v>
      </c>
      <c r="Q88" s="32">
        <f t="shared" si="9"/>
        <v>15.203204806415533</v>
      </c>
      <c r="R88" s="1">
        <f>R87+P88*0.25*I88</f>
        <v>0.20379977693482074</v>
      </c>
      <c r="S88" s="10">
        <f t="shared" si="14"/>
        <v>1.30295811555573E-2</v>
      </c>
    </row>
    <row r="89" spans="7:19">
      <c r="G89" s="13">
        <f t="shared" si="10"/>
        <v>16.5</v>
      </c>
      <c r="H89" s="1">
        <f t="shared" si="13"/>
        <v>1.27525E-2</v>
      </c>
      <c r="I89" s="2">
        <f>Interpolate_Interval(H87,H91,I87,I91,H89)</f>
        <v>0.80440669203923965</v>
      </c>
      <c r="J89" s="15"/>
      <c r="K89" s="16">
        <f>Interpolate_Range($D$17:$D$31,$E$17:$E$31,G89)</f>
        <v>1.53825E-2</v>
      </c>
      <c r="L89" s="15">
        <f>L87+0.5*I89</f>
        <v>15.379847071697158</v>
      </c>
      <c r="M89" s="1">
        <f>M87+N89*0.5*I89</f>
        <v>0.23658049758038155</v>
      </c>
      <c r="N89" s="1">
        <f>(K89*L89-M87)/(0.5*I89)</f>
        <v>2.6647292478371068E-2</v>
      </c>
      <c r="O89" s="16">
        <f t="shared" si="7"/>
        <v>1.8115E-3</v>
      </c>
      <c r="P89" s="1">
        <f>(M89-O89*Q89-R87)/(0.25*I88+0.25*I89)</f>
        <v>2.4245543983335928E-2</v>
      </c>
      <c r="Q89" s="32">
        <f t="shared" si="9"/>
        <v>15.404306479425342</v>
      </c>
      <c r="R89" s="1">
        <f>R88+P89*0.25*I91</f>
        <v>0.20861769931776999</v>
      </c>
      <c r="S89" s="10">
        <f t="shared" si="14"/>
        <v>1.3190927383351928E-2</v>
      </c>
    </row>
    <row r="90" spans="7:19">
      <c r="G90" s="13">
        <f t="shared" si="10"/>
        <v>16.75</v>
      </c>
      <c r="H90" s="1">
        <f t="shared" si="13"/>
        <v>1.289875E-2</v>
      </c>
      <c r="I90" s="2">
        <f>Interpolate_Interval(H87,H91,I87,I91,H90)</f>
        <v>0.79963079794733327</v>
      </c>
      <c r="J90" s="15"/>
      <c r="O90" s="16">
        <f t="shared" si="7"/>
        <v>1.82025E-3</v>
      </c>
      <c r="P90" s="17">
        <f>P91</f>
        <v>2.4949227041731418E-2</v>
      </c>
      <c r="Q90" s="32">
        <f t="shared" si="9"/>
        <v>15.604214178912175</v>
      </c>
      <c r="R90" s="1">
        <f>R89+P90*0.25*I90</f>
        <v>0.21360524189965721</v>
      </c>
      <c r="S90" s="10">
        <f t="shared" si="14"/>
        <v>1.3349561815231521E-2</v>
      </c>
    </row>
    <row r="91" spans="7:19">
      <c r="G91" s="13">
        <f t="shared" si="10"/>
        <v>17</v>
      </c>
      <c r="H91" s="1">
        <f t="shared" si="13"/>
        <v>1.3045000000000001E-2</v>
      </c>
      <c r="I91" s="2">
        <f>(1-J87*H91)/(1+H91)</f>
        <v>0.79485490385542701</v>
      </c>
      <c r="J91" s="15">
        <f>J87+1*I91</f>
        <v>15.725956009549478</v>
      </c>
      <c r="K91" s="16">
        <f>Interpolate_Range($D$17:$D$31,$E$17:$E$31,G91)</f>
        <v>1.5685000000000001E-2</v>
      </c>
      <c r="L91" s="15">
        <f>L89+0.5*I91</f>
        <v>15.777274523624872</v>
      </c>
      <c r="M91" s="1">
        <f>M89+N91*0.5*I91</f>
        <v>0.24746655090305614</v>
      </c>
      <c r="N91" s="1">
        <f>(K91*L91-M89)/(0.5*I91)</f>
        <v>2.7391296876629976E-2</v>
      </c>
      <c r="O91" s="16">
        <f t="shared" si="7"/>
        <v>1.8289999999999999E-3</v>
      </c>
      <c r="P91" s="1">
        <f>(M91-O91*Q91-R89)/(0.25*I90+0.25*I91)</f>
        <v>2.4949227041731418E-2</v>
      </c>
      <c r="Q91" s="32">
        <f t="shared" si="9"/>
        <v>15.802927904876032</v>
      </c>
      <c r="R91" s="1">
        <f>R90+P91*0.25*I93</f>
        <v>0.21850135816648183</v>
      </c>
      <c r="S91" s="10">
        <f t="shared" si="14"/>
        <v>1.350562893285989E-2</v>
      </c>
    </row>
    <row r="92" spans="7:19">
      <c r="G92" s="13">
        <f t="shared" si="10"/>
        <v>17.25</v>
      </c>
      <c r="H92" s="1">
        <f t="shared" si="13"/>
        <v>1.319125E-2</v>
      </c>
      <c r="I92" s="2">
        <f>Interpolate_Interval(H91,H95,I91,I95,H92)</f>
        <v>0.78991386111667228</v>
      </c>
      <c r="J92" s="15"/>
      <c r="K92" s="16"/>
      <c r="O92" s="16">
        <f t="shared" ref="O92:O143" si="15">Interpolate_Range($D$35:$D$49,$E$35:$E$49,G92)</f>
        <v>1.83775E-3</v>
      </c>
      <c r="P92" s="17">
        <f>P93</f>
        <v>2.5666815114207726E-2</v>
      </c>
      <c r="Q92" s="32">
        <f t="shared" si="9"/>
        <v>16.000406370155201</v>
      </c>
      <c r="R92" s="1">
        <f>R91+P92*0.25*I92</f>
        <v>0.22357000142383973</v>
      </c>
      <c r="S92" s="10">
        <f t="shared" si="14"/>
        <v>1.3671384117516649E-2</v>
      </c>
    </row>
    <row r="93" spans="7:19">
      <c r="G93" s="13">
        <f t="shared" si="10"/>
        <v>17.5</v>
      </c>
      <c r="H93" s="1">
        <f t="shared" si="13"/>
        <v>1.33375E-2</v>
      </c>
      <c r="I93" s="2">
        <f>Interpolate_Interval(H91,H95,I91,I95,H93)</f>
        <v>0.78497281837791755</v>
      </c>
      <c r="J93" s="15"/>
      <c r="K93" s="16">
        <f>Interpolate_Range($D$17:$D$31,$E$17:$E$31,G93)</f>
        <v>1.5987500000000002E-2</v>
      </c>
      <c r="L93" s="15">
        <f>L91+0.5*I93</f>
        <v>16.16976093281383</v>
      </c>
      <c r="M93" s="1">
        <f>M91+N93*0.5*I93</f>
        <v>0.25851405291336116</v>
      </c>
      <c r="N93" s="1">
        <f>(K93*L93-M91)/(0.5*I93)</f>
        <v>2.8147476579211458E-2</v>
      </c>
      <c r="O93" s="16">
        <f t="shared" si="15"/>
        <v>1.8465000000000001E-3</v>
      </c>
      <c r="P93" s="1">
        <f>(M93-O93*Q93-R91)/(0.25*I92+0.25*I93)</f>
        <v>2.5666815114207726E-2</v>
      </c>
      <c r="Q93" s="32">
        <f t="shared" si="9"/>
        <v>16.196649574749681</v>
      </c>
      <c r="R93" s="1">
        <f>R92+P93*0.25*I95</f>
        <v>0.22854352905836237</v>
      </c>
      <c r="S93" s="10">
        <f t="shared" si="14"/>
        <v>1.3834639318251456E-2</v>
      </c>
    </row>
    <row r="94" spans="7:19">
      <c r="G94" s="13">
        <f t="shared" si="10"/>
        <v>17.75</v>
      </c>
      <c r="H94" s="1">
        <f t="shared" si="13"/>
        <v>1.3483750000000001E-2</v>
      </c>
      <c r="I94" s="2">
        <f>Interpolate_Interval(H91,H95,I91,I95,H94)</f>
        <v>0.78003177563916282</v>
      </c>
      <c r="J94" s="15"/>
      <c r="K94" s="16"/>
      <c r="O94" s="16">
        <f t="shared" si="15"/>
        <v>1.8552499999999999E-3</v>
      </c>
      <c r="P94" s="17">
        <f>P95</f>
        <v>2.6389557360264711E-2</v>
      </c>
      <c r="Q94" s="32">
        <f t="shared" ref="Q94:Q143" si="16">Q93+0.25*I94</f>
        <v>16.391657518659471</v>
      </c>
      <c r="R94" s="1">
        <f>R93+P94*0.25*I94</f>
        <v>0.23368970237987707</v>
      </c>
      <c r="S94" s="10">
        <f t="shared" si="14"/>
        <v>1.3995528007286913E-2</v>
      </c>
    </row>
    <row r="95" spans="7:19">
      <c r="G95" s="13">
        <f t="shared" si="10"/>
        <v>18</v>
      </c>
      <c r="H95" s="1">
        <f t="shared" si="13"/>
        <v>1.363E-2</v>
      </c>
      <c r="I95" s="2">
        <f>(1-J91*H95)/(1+H95)</f>
        <v>0.77509073290040809</v>
      </c>
      <c r="J95" s="15">
        <f>J91+1*I95</f>
        <v>16.501046742449887</v>
      </c>
      <c r="K95" s="16">
        <f>Interpolate_Range($D$17:$D$31,$E$17:$E$31,G95)</f>
        <v>1.6290000000000002E-2</v>
      </c>
      <c r="L95" s="15">
        <f>L93+0.5*I95</f>
        <v>16.557306299264035</v>
      </c>
      <c r="M95" s="1">
        <f>M93+N95*0.5*I95</f>
        <v>0.26971851961501114</v>
      </c>
      <c r="N95" s="1">
        <f>(K95*L95-M93)/(0.5*I95)</f>
        <v>2.8911367988422726E-2</v>
      </c>
      <c r="O95" s="16">
        <f t="shared" si="15"/>
        <v>1.864E-3</v>
      </c>
      <c r="P95" s="1">
        <f>(M95-O95*Q95-R93)/(0.25*I94+0.25*I95)</f>
        <v>2.6389557360264711E-2</v>
      </c>
      <c r="Q95" s="32">
        <f t="shared" si="16"/>
        <v>16.585430201884574</v>
      </c>
      <c r="R95" s="1">
        <f>R94+P95*0.25*I97</f>
        <v>0.2387360460104706</v>
      </c>
      <c r="S95" s="10">
        <f t="shared" si="14"/>
        <v>1.4154176765071949E-2</v>
      </c>
    </row>
    <row r="96" spans="7:19">
      <c r="G96" s="13">
        <f t="shared" si="10"/>
        <v>18.25</v>
      </c>
      <c r="H96" s="1">
        <f t="shared" si="13"/>
        <v>1.377625E-2</v>
      </c>
      <c r="I96" s="2">
        <f>Interpolate_Interval(H95,H99,I95,I99,H96)</f>
        <v>0.7699954061914478</v>
      </c>
      <c r="J96" s="15"/>
      <c r="K96" s="16"/>
      <c r="O96" s="16">
        <f t="shared" si="15"/>
        <v>1.8727499999999998E-3</v>
      </c>
      <c r="P96" s="17">
        <f>P97</f>
        <v>2.7127313234579689E-2</v>
      </c>
      <c r="Q96" s="32">
        <f t="shared" si="16"/>
        <v>16.777929053432434</v>
      </c>
      <c r="R96" s="1">
        <f>R95+P96*0.25*I96</f>
        <v>0.24395802265370631</v>
      </c>
      <c r="S96" s="10">
        <f t="shared" si="14"/>
        <v>1.4321683843141742E-2</v>
      </c>
    </row>
    <row r="97" spans="7:19">
      <c r="G97" s="13">
        <f t="shared" ref="G97:G143" si="17">G96+0.25</f>
        <v>18.5</v>
      </c>
      <c r="H97" s="1">
        <f t="shared" si="13"/>
        <v>1.3922500000000001E-2</v>
      </c>
      <c r="I97" s="2">
        <f>Interpolate_Interval(H95,H99,I95,I99,H97)</f>
        <v>0.7649000794824875</v>
      </c>
      <c r="J97" s="15"/>
      <c r="K97" s="16">
        <f>Interpolate_Range($D$17:$D$31,$E$17:$E$31,G97)</f>
        <v>1.65925E-2</v>
      </c>
      <c r="L97" s="15">
        <f>L95+0.5*I97</f>
        <v>16.939756339005278</v>
      </c>
      <c r="M97" s="1">
        <f>M95+N97*0.5*I97</f>
        <v>0.28107290705494509</v>
      </c>
      <c r="N97" s="1">
        <f>(K97*L97-M95)/(0.5*I97)</f>
        <v>2.9688550817293789E-2</v>
      </c>
      <c r="O97" s="16">
        <f t="shared" si="15"/>
        <v>1.8814999999999999E-3</v>
      </c>
      <c r="P97" s="1">
        <f>(M97-O97*Q97-R95)/(0.25*I96+0.25*I97)</f>
        <v>2.7127313234579689E-2</v>
      </c>
      <c r="Q97" s="32">
        <f t="shared" si="16"/>
        <v>16.969154073303056</v>
      </c>
      <c r="R97" s="1">
        <f>R96+P97*0.25*I99</f>
        <v>0.24907633240419216</v>
      </c>
      <c r="S97" s="10">
        <f t="shared" si="14"/>
        <v>1.4487030742814181E-2</v>
      </c>
    </row>
    <row r="98" spans="7:19">
      <c r="G98" s="13">
        <f t="shared" si="17"/>
        <v>18.75</v>
      </c>
      <c r="H98" s="1">
        <f t="shared" si="13"/>
        <v>1.4068750000000001E-2</v>
      </c>
      <c r="I98" s="2">
        <f>Interpolate_Interval(H95,H99,I95,I99,H98)</f>
        <v>0.75980475277352721</v>
      </c>
      <c r="J98" s="15"/>
      <c r="O98" s="16">
        <f t="shared" si="15"/>
        <v>1.89025E-3</v>
      </c>
      <c r="P98" s="17">
        <f>P99</f>
        <v>2.7871167601672794E-2</v>
      </c>
      <c r="Q98" s="32">
        <f t="shared" si="16"/>
        <v>17.159105261496439</v>
      </c>
      <c r="R98" s="1">
        <f>R97+P98*0.25*I98</f>
        <v>0.25437049380646681</v>
      </c>
      <c r="S98" s="10">
        <f t="shared" si="14"/>
        <v>1.4650335090808951E-2</v>
      </c>
    </row>
    <row r="99" spans="7:19">
      <c r="G99" s="13">
        <f t="shared" si="17"/>
        <v>19</v>
      </c>
      <c r="H99" s="1">
        <f t="shared" si="13"/>
        <v>1.4215E-2</v>
      </c>
      <c r="I99" s="2">
        <f>(1-J95*H99)/(1+H99)</f>
        <v>0.75470942606456703</v>
      </c>
      <c r="J99" s="15">
        <f>J95+1*I99</f>
        <v>17.255756168514456</v>
      </c>
      <c r="K99" s="16">
        <f>Interpolate_Range($D$17:$D$31,$E$17:$E$31,G99)</f>
        <v>1.6895E-2</v>
      </c>
      <c r="L99" s="15">
        <f>L97+0.5*I99</f>
        <v>17.317111052037561</v>
      </c>
      <c r="M99" s="1">
        <f>M97+N99*0.5*I99</f>
        <v>0.29257259122417462</v>
      </c>
      <c r="N99" s="1">
        <f>(K99*L99-M97)/(0.5*I99)</f>
        <v>3.047446811203788E-2</v>
      </c>
      <c r="O99" s="16">
        <f t="shared" si="15"/>
        <v>1.8989999999999999E-3</v>
      </c>
      <c r="P99" s="1">
        <f>(M99-O99*Q99-R97)/(0.25*I98+0.25*I99)</f>
        <v>2.7871167601672794E-2</v>
      </c>
      <c r="Q99" s="32">
        <f t="shared" si="16"/>
        <v>17.34778261801258</v>
      </c>
      <c r="R99" s="1">
        <f>R98+P99*0.25*I101</f>
        <v>0.25955614979822939</v>
      </c>
      <c r="S99" s="10">
        <f t="shared" si="14"/>
        <v>1.4811708944881012E-2</v>
      </c>
    </row>
    <row r="100" spans="7:19">
      <c r="G100" s="13">
        <f t="shared" si="17"/>
        <v>19.25</v>
      </c>
      <c r="H100" s="1">
        <f t="shared" si="13"/>
        <v>1.4361250000000001E-2</v>
      </c>
      <c r="I100" s="2">
        <f>Interpolate_Interval(H99,H103,I99,I103,H100)</f>
        <v>0.74947087736917473</v>
      </c>
      <c r="J100" s="15"/>
      <c r="K100" s="16"/>
      <c r="O100" s="16">
        <f t="shared" si="15"/>
        <v>1.9077499999999999E-3</v>
      </c>
      <c r="P100" s="17">
        <f>P101</f>
        <v>2.8631228147866256E-2</v>
      </c>
      <c r="Q100" s="32">
        <f t="shared" si="16"/>
        <v>17.535150337354874</v>
      </c>
      <c r="R100" s="1">
        <f>R99+P100*0.25*I100</f>
        <v>0.26492071771826398</v>
      </c>
      <c r="S100" s="10">
        <f t="shared" si="14"/>
        <v>1.4981185364825334E-2</v>
      </c>
    </row>
    <row r="101" spans="7:19">
      <c r="G101" s="13">
        <f t="shared" si="17"/>
        <v>19.5</v>
      </c>
      <c r="H101" s="1">
        <f t="shared" si="13"/>
        <v>1.4507500000000001E-2</v>
      </c>
      <c r="I101" s="2">
        <f>Interpolate_Interval(H99,H103,I99,I103,H101)</f>
        <v>0.74423232867378242</v>
      </c>
      <c r="J101" s="15"/>
      <c r="K101" s="16">
        <f>Interpolate_Range($D$17:$D$31,$E$17:$E$31,G101)</f>
        <v>1.7197500000000001E-2</v>
      </c>
      <c r="L101" s="15">
        <f>L99+0.5*I101</f>
        <v>17.689227216374452</v>
      </c>
      <c r="M101" s="1">
        <f>M99+N101*0.5*I101</f>
        <v>0.30421048505359966</v>
      </c>
      <c r="N101" s="1">
        <f>(K101*L101-M99)/(0.5*I101)</f>
        <v>3.1274894629110497E-2</v>
      </c>
      <c r="O101" s="16">
        <f t="shared" si="15"/>
        <v>1.9165E-3</v>
      </c>
      <c r="P101" s="1">
        <f>(M101-O101*Q101-R99)/(0.25*I100+0.25*I101)</f>
        <v>2.8631228147866256E-2</v>
      </c>
      <c r="Q101" s="32">
        <f t="shared" si="16"/>
        <v>17.721208419523322</v>
      </c>
      <c r="R101" s="1">
        <f>R100+P101*0.25*I103</f>
        <v>0.27017279607615247</v>
      </c>
      <c r="S101" s="10">
        <f t="shared" si="14"/>
        <v>1.5148821701141619E-2</v>
      </c>
    </row>
    <row r="102" spans="7:19">
      <c r="G102" s="13">
        <f t="shared" si="17"/>
        <v>19.75</v>
      </c>
      <c r="H102" s="1">
        <f t="shared" si="13"/>
        <v>1.465375E-2</v>
      </c>
      <c r="I102" s="2">
        <f>Interpolate_Interval(H99,H103,I99,I103,H102)</f>
        <v>0.73899377997839011</v>
      </c>
      <c r="J102" s="15"/>
      <c r="K102" s="16"/>
      <c r="O102" s="16">
        <f t="shared" si="15"/>
        <v>1.9252499999999999E-3</v>
      </c>
      <c r="P102" s="17">
        <f>P103</f>
        <v>2.9398484523993733E-2</v>
      </c>
      <c r="Q102" s="32">
        <f t="shared" si="16"/>
        <v>17.905956864517918</v>
      </c>
      <c r="R102" s="1">
        <f>R101+P102*0.25*I102</f>
        <v>0.27560412037715804</v>
      </c>
      <c r="S102" s="10">
        <f t="shared" si="14"/>
        <v>1.5314722778634458E-2</v>
      </c>
    </row>
    <row r="103" spans="7:19">
      <c r="G103" s="13">
        <f t="shared" si="17"/>
        <v>20</v>
      </c>
      <c r="H103" s="1">
        <f t="shared" si="13"/>
        <v>1.4800000000000001E-2</v>
      </c>
      <c r="I103" s="2">
        <f>(1-J99*H103)/(1+H103)</f>
        <v>0.7337552312829978</v>
      </c>
      <c r="J103" s="15">
        <f>J99+1*I103</f>
        <v>17.989511399797454</v>
      </c>
      <c r="K103" s="16">
        <f>Interpolate_Range($D$17:$D$31,$E$17:$E$31,G103)</f>
        <v>1.7500000000000002E-2</v>
      </c>
      <c r="L103" s="15">
        <f>L101+0.5*I103</f>
        <v>18.056104832015951</v>
      </c>
      <c r="M103" s="1">
        <f>M101+N103*0.5*I103</f>
        <v>0.31598183456027917</v>
      </c>
      <c r="N103" s="1">
        <f>(K103*L103-M101)/(0.5*I103)</f>
        <v>3.2085221351258741E-2</v>
      </c>
      <c r="O103" s="16">
        <f t="shared" si="15"/>
        <v>1.934E-3</v>
      </c>
      <c r="P103" s="1">
        <f>(M103-O103*Q103-R101)/(0.25*I102+0.25*I103)</f>
        <v>2.9398484523993733E-2</v>
      </c>
      <c r="Q103" s="32">
        <f t="shared" si="16"/>
        <v>18.089395672338668</v>
      </c>
      <c r="R103" s="1">
        <f>R102+P103*0.25*I105</f>
        <v>0.2809396661396184</v>
      </c>
      <c r="S103" s="10">
        <f t="shared" si="14"/>
        <v>1.5478988917419164E-2</v>
      </c>
    </row>
    <row r="104" spans="7:19">
      <c r="G104" s="13">
        <f t="shared" si="17"/>
        <v>20.25</v>
      </c>
      <c r="H104" s="1">
        <f t="shared" si="13"/>
        <v>1.4866250000000001E-2</v>
      </c>
      <c r="I104" s="2">
        <f>Interpolate_Interval(H103,H107,I103,I107,H104)</f>
        <v>0.72985862291796089</v>
      </c>
      <c r="J104" s="15"/>
      <c r="K104" s="16"/>
      <c r="O104" s="16">
        <f t="shared" si="15"/>
        <v>1.9383499999999999E-3</v>
      </c>
      <c r="P104" s="17">
        <f>P105</f>
        <v>2.232056118906682E-2</v>
      </c>
      <c r="Q104" s="32">
        <f t="shared" si="16"/>
        <v>18.271860328068158</v>
      </c>
      <c r="R104" s="1">
        <f>R103+P104*0.25*I104</f>
        <v>0.28501237965267051</v>
      </c>
      <c r="S104" s="10">
        <f t="shared" si="14"/>
        <v>1.5550836090434124E-2</v>
      </c>
    </row>
    <row r="105" spans="7:19">
      <c r="G105" s="13">
        <f t="shared" si="17"/>
        <v>20.5</v>
      </c>
      <c r="H105" s="1">
        <f t="shared" si="13"/>
        <v>1.4932500000000001E-2</v>
      </c>
      <c r="I105" s="2">
        <f>Interpolate_Interval(H103,H107,I103,I107,H105)</f>
        <v>0.72596201455292386</v>
      </c>
      <c r="J105" s="15"/>
      <c r="K105" s="16">
        <f>Interpolate_Range($D$17:$D$31,$E$17:$E$31,G105)</f>
        <v>1.7640000000000003E-2</v>
      </c>
      <c r="L105" s="15">
        <f>L103+0.5*I105</f>
        <v>18.419085839292414</v>
      </c>
      <c r="M105" s="1">
        <f>M103+N105*0.5*I105</f>
        <v>0.32491267420511821</v>
      </c>
      <c r="N105" s="1">
        <f>(K105*L105-M103)/(0.5*I105)</f>
        <v>2.4604151362765184E-2</v>
      </c>
      <c r="O105" s="16">
        <f t="shared" si="15"/>
        <v>1.9426999999999999E-3</v>
      </c>
      <c r="P105" s="1">
        <f>(M105-O105*Q105-R103)/(0.25*I104+0.25*I105)</f>
        <v>2.232056118906682E-2</v>
      </c>
      <c r="Q105" s="32">
        <f t="shared" si="16"/>
        <v>18.453350831706388</v>
      </c>
      <c r="R105" s="1">
        <f>R104+P105*0.25*I107</f>
        <v>0.28901986230164139</v>
      </c>
      <c r="S105" s="10">
        <f t="shared" si="14"/>
        <v>1.5622321320907689E-2</v>
      </c>
    </row>
    <row r="106" spans="7:19">
      <c r="G106" s="13">
        <f t="shared" si="17"/>
        <v>20.75</v>
      </c>
      <c r="H106" s="1">
        <f t="shared" si="13"/>
        <v>1.499875E-2</v>
      </c>
      <c r="I106" s="2">
        <f>Interpolate_Interval(H103,H107,I103,I107,H106)</f>
        <v>0.72206540618788695</v>
      </c>
      <c r="J106" s="15"/>
      <c r="O106" s="16">
        <f t="shared" si="15"/>
        <v>1.9470500000000001E-3</v>
      </c>
      <c r="P106" s="17">
        <f>P107</f>
        <v>2.2617203345196141E-2</v>
      </c>
      <c r="Q106" s="32">
        <f t="shared" si="16"/>
        <v>18.633867183253358</v>
      </c>
      <c r="R106" s="1">
        <f>R105+P106*0.25*I106</f>
        <v>0.29310263733171216</v>
      </c>
      <c r="S106" s="10">
        <f t="shared" si="14"/>
        <v>1.5693472477321981E-2</v>
      </c>
    </row>
    <row r="107" spans="7:19">
      <c r="G107" s="13">
        <f t="shared" si="17"/>
        <v>21</v>
      </c>
      <c r="H107" s="1">
        <f t="shared" ref="H107:H138" si="18">Interpolate_Range($A$17:$A$50,$B$17:$B$50,G107)</f>
        <v>1.5065E-2</v>
      </c>
      <c r="I107" s="2">
        <f>(1-J103*H107)/(1+H107)</f>
        <v>0.71816879782285004</v>
      </c>
      <c r="J107" s="15">
        <f>J103+1*I107</f>
        <v>18.707680197620306</v>
      </c>
      <c r="K107" s="16">
        <f>Interpolate_Range($D$17:$D$31,$E$17:$E$31,G107)</f>
        <v>1.7780000000000001E-2</v>
      </c>
      <c r="L107" s="15">
        <f>L105+0.5*I107</f>
        <v>18.778170238203838</v>
      </c>
      <c r="M107" s="1">
        <f>M105+N107*0.5*I107</f>
        <v>0.33387586683526427</v>
      </c>
      <c r="N107" s="1">
        <f>(K107*L107-M105)/(0.5*I107)</f>
        <v>2.496124214061719E-2</v>
      </c>
      <c r="O107" s="16">
        <f t="shared" si="15"/>
        <v>1.9514000000000001E-3</v>
      </c>
      <c r="P107" s="1">
        <f>(M107-O107*Q107-R105)/(0.25*I106+0.25*I107)</f>
        <v>2.2617203345196141E-2</v>
      </c>
      <c r="Q107" s="32">
        <f t="shared" si="16"/>
        <v>18.813409382709072</v>
      </c>
      <c r="R107" s="1">
        <f>R106+P107*0.25*I109</f>
        <v>0.29711892004475082</v>
      </c>
      <c r="S107" s="10">
        <f t="shared" ref="S107:S143" si="19">-LN(I107)/G107</f>
        <v>1.5764316338261492E-2</v>
      </c>
    </row>
    <row r="108" spans="7:19">
      <c r="G108" s="13">
        <f t="shared" si="17"/>
        <v>21.25</v>
      </c>
      <c r="H108" s="1">
        <f t="shared" si="18"/>
        <v>1.5131250000000001E-2</v>
      </c>
      <c r="I108" s="2">
        <f>Interpolate_Interval(H107,H111,I107,I111,H108)</f>
        <v>0.71423730192422752</v>
      </c>
      <c r="J108" s="15"/>
      <c r="K108" s="16"/>
      <c r="O108" s="16">
        <f t="shared" si="15"/>
        <v>1.95575E-3</v>
      </c>
      <c r="P108" s="17">
        <f>P109</f>
        <v>2.2957550761933575E-2</v>
      </c>
      <c r="Q108" s="32">
        <f t="shared" si="16"/>
        <v>18.991968708190129</v>
      </c>
      <c r="R108" s="1">
        <f>R107+P108*0.25*I108</f>
        <v>0.30121820482349881</v>
      </c>
      <c r="S108" s="10">
        <f t="shared" si="19"/>
        <v>1.5837177234083757E-2</v>
      </c>
    </row>
    <row r="109" spans="7:19">
      <c r="G109" s="13">
        <f t="shared" si="17"/>
        <v>21.5</v>
      </c>
      <c r="H109" s="1">
        <f t="shared" si="18"/>
        <v>1.5197500000000001E-2</v>
      </c>
      <c r="I109" s="2">
        <f>Interpolate_Interval(H107,H111,I107,I111,H109)</f>
        <v>0.710305806025605</v>
      </c>
      <c r="J109" s="15"/>
      <c r="K109" s="16">
        <f>Interpolate_Range($D$17:$D$31,$E$17:$E$31,G109)</f>
        <v>1.7920000000000002E-2</v>
      </c>
      <c r="L109" s="15">
        <f>L107+0.5*I109</f>
        <v>19.133323141216639</v>
      </c>
      <c r="M109" s="1">
        <f>M107+N109*0.5*I109</f>
        <v>0.3428691506906022</v>
      </c>
      <c r="N109" s="1">
        <f>(K109*L109-M107)/(0.5*I109)</f>
        <v>2.532228732764643E-2</v>
      </c>
      <c r="O109" s="16">
        <f t="shared" si="15"/>
        <v>1.9601000000000002E-3</v>
      </c>
      <c r="P109" s="1">
        <f>(M109-O109*Q109-R107)/(0.25*I108+0.25*I109)</f>
        <v>2.2957550761933575E-2</v>
      </c>
      <c r="Q109" s="32">
        <f t="shared" si="16"/>
        <v>19.169545159696529</v>
      </c>
      <c r="R109" s="1">
        <f>R108+P109*0.25*I111</f>
        <v>0.30524979646474959</v>
      </c>
      <c r="S109" s="10">
        <f t="shared" si="19"/>
        <v>1.5909752975104684E-2</v>
      </c>
    </row>
    <row r="110" spans="7:19">
      <c r="G110" s="13">
        <f t="shared" si="17"/>
        <v>21.75</v>
      </c>
      <c r="H110" s="1">
        <f t="shared" si="18"/>
        <v>1.5263750000000001E-2</v>
      </c>
      <c r="I110" s="2">
        <f>Interpolate_Interval(H107,H111,I107,I111,H110)</f>
        <v>0.70637431012698237</v>
      </c>
      <c r="J110" s="15"/>
      <c r="K110" s="16"/>
      <c r="O110" s="16">
        <f t="shared" si="15"/>
        <v>1.96445E-3</v>
      </c>
      <c r="P110" s="17">
        <f>P111</f>
        <v>2.3300846184254233E-2</v>
      </c>
      <c r="Q110" s="32">
        <f t="shared" si="16"/>
        <v>19.346138737228276</v>
      </c>
      <c r="R110" s="1">
        <f>R109+P110*0.25*I110</f>
        <v>0.30936457625194397</v>
      </c>
      <c r="S110" s="10">
        <f t="shared" si="19"/>
        <v>1.5982068858441497E-2</v>
      </c>
    </row>
    <row r="111" spans="7:19">
      <c r="G111" s="13">
        <f t="shared" si="17"/>
        <v>22</v>
      </c>
      <c r="H111" s="1">
        <f t="shared" si="18"/>
        <v>1.533E-2</v>
      </c>
      <c r="I111" s="2">
        <f>(1-J107*H111)/(1+H111)</f>
        <v>0.70244281422835997</v>
      </c>
      <c r="J111" s="15">
        <f>J107+1*I111</f>
        <v>19.410123011848665</v>
      </c>
      <c r="K111" s="16">
        <f>Interpolate_Range($D$17:$D$31,$E$17:$E$31,G111)</f>
        <v>1.806E-2</v>
      </c>
      <c r="L111" s="15">
        <f>L109+0.5*I111</f>
        <v>19.48454454833082</v>
      </c>
      <c r="M111" s="1">
        <f>M109+N111*0.5*I111</f>
        <v>0.35189087454285461</v>
      </c>
      <c r="N111" s="1">
        <f>(K111*L111-M109)/(0.5*I111)</f>
        <v>2.568671404849622E-2</v>
      </c>
      <c r="O111" s="16">
        <f t="shared" si="15"/>
        <v>1.9688000000000002E-3</v>
      </c>
      <c r="P111" s="1">
        <f>(M111-O111*Q111-R109)/(0.25*I110+0.25*I111)</f>
        <v>2.3300846184254233E-2</v>
      </c>
      <c r="Q111" s="32">
        <f t="shared" si="16"/>
        <v>19.521749440785367</v>
      </c>
      <c r="R111" s="1">
        <f>R110+P111*0.25*I113</f>
        <v>0.31341028629473094</v>
      </c>
      <c r="S111" s="10">
        <f t="shared" si="19"/>
        <v>1.6054149287332297E-2</v>
      </c>
    </row>
    <row r="112" spans="7:19">
      <c r="G112" s="13">
        <f t="shared" si="17"/>
        <v>22.25</v>
      </c>
      <c r="H112" s="1">
        <f t="shared" si="18"/>
        <v>1.539625E-2</v>
      </c>
      <c r="I112" s="2">
        <f>Interpolate_Interval(H111,H115,I111,I115,H112)</f>
        <v>0.69848004405766417</v>
      </c>
      <c r="J112" s="15"/>
      <c r="K112" s="16"/>
      <c r="O112" s="16">
        <f t="shared" si="15"/>
        <v>1.9731499999999999E-3</v>
      </c>
      <c r="P112" s="17">
        <f>P113</f>
        <v>2.3648600045263861E-2</v>
      </c>
      <c r="Q112" s="32">
        <f t="shared" si="16"/>
        <v>19.696369451799782</v>
      </c>
      <c r="R112" s="1">
        <f>R111+P112*0.25*I112</f>
        <v>0.31753980509511043</v>
      </c>
      <c r="S112" s="10">
        <f t="shared" si="19"/>
        <v>1.6128030130476426E-2</v>
      </c>
    </row>
    <row r="113" spans="7:19">
      <c r="G113" s="13">
        <f t="shared" si="17"/>
        <v>22.5</v>
      </c>
      <c r="H113" s="1">
        <f t="shared" si="18"/>
        <v>1.5462500000000001E-2</v>
      </c>
      <c r="I113" s="2">
        <f>Interpolate_Interval(H111,H115,I111,I115,H113)</f>
        <v>0.69451727388696838</v>
      </c>
      <c r="J113" s="15"/>
      <c r="K113" s="16">
        <f>Interpolate_Range($D$17:$D$31,$E$17:$E$31,G113)</f>
        <v>1.8200000000000001E-2</v>
      </c>
      <c r="L113" s="15">
        <f>L111+0.5*I113</f>
        <v>19.831803185274303</v>
      </c>
      <c r="M113" s="1">
        <f>M111+N113*0.5*I113</f>
        <v>0.36093881797199234</v>
      </c>
      <c r="N113" s="1">
        <f>(K113*L113-M111)/(0.5*I113)</f>
        <v>2.6055344537363564E-2</v>
      </c>
      <c r="O113" s="16">
        <f t="shared" si="15"/>
        <v>1.9775000000000001E-3</v>
      </c>
      <c r="P113" s="1">
        <f>(M113-O113*Q113-R111)/(0.25*I112+0.25*I113)</f>
        <v>2.3648600045263861E-2</v>
      </c>
      <c r="Q113" s="32">
        <f t="shared" si="16"/>
        <v>19.869998770271526</v>
      </c>
      <c r="R113" s="1">
        <f>R112+P113*0.25*I115</f>
        <v>0.32159903842036136</v>
      </c>
      <c r="S113" s="10">
        <f t="shared" si="19"/>
        <v>1.6201699763982665E-2</v>
      </c>
    </row>
    <row r="114" spans="7:19">
      <c r="G114" s="13">
        <f t="shared" si="17"/>
        <v>22.75</v>
      </c>
      <c r="H114" s="1">
        <f t="shared" si="18"/>
        <v>1.5528750000000001E-2</v>
      </c>
      <c r="I114" s="2">
        <f>Interpolate_Interval(H111,H115,I111,I115,H114)</f>
        <v>0.69055450371627258</v>
      </c>
      <c r="J114" s="15"/>
      <c r="O114" s="16">
        <f t="shared" si="15"/>
        <v>1.9818500000000003E-3</v>
      </c>
      <c r="P114" s="17">
        <f>P115</f>
        <v>2.3999382052512105E-2</v>
      </c>
      <c r="Q114" s="32">
        <f t="shared" si="16"/>
        <v>20.042637396200593</v>
      </c>
      <c r="R114" s="1">
        <f>R113+P114*0.25*I114</f>
        <v>0.32574225876105378</v>
      </c>
      <c r="S114" s="10">
        <f t="shared" si="19"/>
        <v>1.6275181342992148E-2</v>
      </c>
    </row>
    <row r="115" spans="7:19">
      <c r="G115" s="13">
        <f t="shared" si="17"/>
        <v>23</v>
      </c>
      <c r="H115" s="1">
        <f t="shared" si="18"/>
        <v>1.5595000000000001E-2</v>
      </c>
      <c r="I115" s="2">
        <f>(1-J111*H115)/(1+H115)</f>
        <v>0.68659173354557679</v>
      </c>
      <c r="J115" s="15">
        <f>J111+1*I115</f>
        <v>20.096714745394241</v>
      </c>
      <c r="K115" s="16">
        <f>Interpolate_Range($D$17:$D$31,$E$17:$E$31,G115)</f>
        <v>1.8340000000000002E-2</v>
      </c>
      <c r="L115" s="15">
        <f>L113+0.5*I115</f>
        <v>20.175099052047091</v>
      </c>
      <c r="M115" s="1">
        <f>M113+N115*0.5*I115</f>
        <v>0.37001131661454367</v>
      </c>
      <c r="N115" s="1">
        <f>(K115*L115-M113)/(0.5*I115)</f>
        <v>2.6427637267640032E-2</v>
      </c>
      <c r="O115" s="16">
        <f t="shared" si="15"/>
        <v>1.9862E-3</v>
      </c>
      <c r="P115" s="1">
        <f>(M115-O115*Q115-R113)/(0.25*I114+0.25*I115)</f>
        <v>2.3999382052512105E-2</v>
      </c>
      <c r="Q115" s="32">
        <f t="shared" si="16"/>
        <v>20.214285329586989</v>
      </c>
      <c r="R115" s="1">
        <f>R114+P115*0.25*I117</f>
        <v>0.32981381886634709</v>
      </c>
      <c r="S115" s="10">
        <f t="shared" si="19"/>
        <v>1.6348497292425414E-2</v>
      </c>
    </row>
    <row r="116" spans="7:19">
      <c r="G116" s="13">
        <f t="shared" si="17"/>
        <v>23.25</v>
      </c>
      <c r="H116" s="1">
        <f t="shared" si="18"/>
        <v>1.5661250000000002E-2</v>
      </c>
      <c r="I116" s="2">
        <f>Interpolate_Interval(H115,H119,I115,I119,H116)</f>
        <v>0.68260127858584752</v>
      </c>
      <c r="J116" s="15"/>
      <c r="K116" s="16"/>
      <c r="O116" s="16">
        <f t="shared" si="15"/>
        <v>1.9905500000000002E-3</v>
      </c>
      <c r="P116" s="17">
        <f>P117</f>
        <v>2.4354844634871222E-2</v>
      </c>
      <c r="Q116" s="32">
        <f t="shared" si="16"/>
        <v>20.384935649233451</v>
      </c>
      <c r="R116" s="1">
        <f>R115+P116*0.25*I116</f>
        <v>0.33396998088822777</v>
      </c>
      <c r="S116" s="10">
        <f t="shared" si="19"/>
        <v>1.6423413737629077E-2</v>
      </c>
    </row>
    <row r="117" spans="7:19">
      <c r="G117" s="13">
        <f t="shared" si="17"/>
        <v>23.5</v>
      </c>
      <c r="H117" s="1">
        <f t="shared" si="18"/>
        <v>1.5727500000000002E-2</v>
      </c>
      <c r="I117" s="2">
        <f>Interpolate_Interval(H115,H119,I115,I119,H117)</f>
        <v>0.67861082362611813</v>
      </c>
      <c r="J117" s="15"/>
      <c r="K117" s="16">
        <f>Interpolate_Range($D$17:$D$31,$E$17:$E$31,G117)</f>
        <v>1.848E-2</v>
      </c>
      <c r="L117" s="15">
        <f>L115+0.5*I117</f>
        <v>20.514404463860149</v>
      </c>
      <c r="M117" s="1">
        <f>M115+N117*0.5*I117</f>
        <v>0.37910619449213556</v>
      </c>
      <c r="N117" s="1">
        <f>(K117*L117-M115)/(0.5*I117)</f>
        <v>2.6804399696998434E-2</v>
      </c>
      <c r="O117" s="16">
        <f t="shared" si="15"/>
        <v>1.9949E-3</v>
      </c>
      <c r="P117" s="1">
        <f>(M117-O117*Q117-R115)/(0.25*I116+0.25*I117)</f>
        <v>2.4354844634871222E-2</v>
      </c>
      <c r="Q117" s="32">
        <f t="shared" si="16"/>
        <v>20.55458835513998</v>
      </c>
      <c r="R117" s="1">
        <f>R116+P117*0.25*I119</f>
        <v>0.33805325272718345</v>
      </c>
      <c r="S117" s="10">
        <f t="shared" si="19"/>
        <v>1.6498190503143467E-2</v>
      </c>
    </row>
    <row r="118" spans="7:19">
      <c r="G118" s="13">
        <f t="shared" si="17"/>
        <v>23.75</v>
      </c>
      <c r="H118" s="1">
        <f t="shared" si="18"/>
        <v>1.5793750000000002E-2</v>
      </c>
      <c r="I118" s="2">
        <f>Interpolate_Interval(H115,H119,I115,I119,H118)</f>
        <v>0.67462036866638886</v>
      </c>
      <c r="J118" s="15"/>
      <c r="K118" s="16"/>
      <c r="O118" s="16">
        <f t="shared" si="15"/>
        <v>1.9992500000000002E-3</v>
      </c>
      <c r="P118" s="17">
        <f>P119</f>
        <v>2.4713657824448239E-2</v>
      </c>
      <c r="Q118" s="32">
        <f t="shared" si="16"/>
        <v>20.723243447306576</v>
      </c>
      <c r="R118" s="1">
        <f>R117+P118*0.25*I118</f>
        <v>0.34222133696533952</v>
      </c>
      <c r="S118" s="10">
        <f t="shared" si="19"/>
        <v>1.6572848973296431E-2</v>
      </c>
    </row>
    <row r="119" spans="7:19">
      <c r="G119" s="13">
        <f t="shared" si="17"/>
        <v>24</v>
      </c>
      <c r="H119" s="1">
        <f t="shared" si="18"/>
        <v>1.5859999999999999E-2</v>
      </c>
      <c r="I119" s="2">
        <f>(1-J115*H119)/(1+H119)</f>
        <v>0.6706299137066597</v>
      </c>
      <c r="J119" s="15">
        <f>J115+1*I119</f>
        <v>20.7673446591009</v>
      </c>
      <c r="K119" s="16">
        <f>Interpolate_Range($D$17:$D$31,$E$17:$E$31,G119)</f>
        <v>1.8620000000000001E-2</v>
      </c>
      <c r="L119" s="15">
        <f>L117+0.5*I119</f>
        <v>20.84971942071348</v>
      </c>
      <c r="M119" s="1">
        <f>M117+N119*0.5*I119</f>
        <v>0.38822177561368504</v>
      </c>
      <c r="N119" s="1">
        <f>(K119*L119-M117)/(0.5*I119)</f>
        <v>2.7185131278044134E-2</v>
      </c>
      <c r="O119" s="16">
        <f t="shared" si="15"/>
        <v>2.0036000000000003E-3</v>
      </c>
      <c r="P119" s="1">
        <f>(M119-O119*Q119-R117)/(0.25*I118+0.25*I119)</f>
        <v>2.4713657824448239E-2</v>
      </c>
      <c r="Q119" s="32">
        <f t="shared" si="16"/>
        <v>20.890900925733241</v>
      </c>
      <c r="R119" s="1">
        <f>R118+P119*0.25*I121</f>
        <v>0.34631515906109184</v>
      </c>
      <c r="S119" s="10">
        <f t="shared" si="19"/>
        <v>1.664740994035083E-2</v>
      </c>
    </row>
    <row r="120" spans="7:19">
      <c r="G120" s="13">
        <f t="shared" si="17"/>
        <v>24.25</v>
      </c>
      <c r="H120" s="1">
        <f t="shared" si="18"/>
        <v>1.5926249999999999E-2</v>
      </c>
      <c r="I120" s="2">
        <f>Interpolate_Interval(H119,H123,I119,I123,H120)</f>
        <v>0.6666153353592168</v>
      </c>
      <c r="J120" s="15"/>
      <c r="K120" s="16"/>
      <c r="O120" s="16">
        <f t="shared" si="15"/>
        <v>2.0079500000000001E-3</v>
      </c>
      <c r="P120" s="17">
        <f>P121</f>
        <v>2.5077388399282301E-2</v>
      </c>
      <c r="Q120" s="32">
        <f t="shared" si="16"/>
        <v>21.057554759573044</v>
      </c>
      <c r="R120" s="1">
        <f>R119+P120*0.25*I120</f>
        <v>0.35049440198052206</v>
      </c>
      <c r="S120" s="10">
        <f t="shared" si="19"/>
        <v>1.6723385898299272E-2</v>
      </c>
    </row>
    <row r="121" spans="7:19">
      <c r="G121" s="13">
        <f t="shared" si="17"/>
        <v>24.5</v>
      </c>
      <c r="H121" s="1">
        <f t="shared" si="18"/>
        <v>1.59925E-2</v>
      </c>
      <c r="I121" s="2">
        <f>Interpolate_Interval(H119,H123,I119,I123,H121)</f>
        <v>0.6626007570117739</v>
      </c>
      <c r="J121" s="15"/>
      <c r="K121" s="16">
        <f>Interpolate_Range($D$17:$D$31,$E$17:$E$31,G121)</f>
        <v>1.8759999999999999E-2</v>
      </c>
      <c r="L121" s="15">
        <f>L119+0.5*I121</f>
        <v>21.181019799219367</v>
      </c>
      <c r="M121" s="1">
        <f>M119+N121*0.5*I121</f>
        <v>0.39735593143335529</v>
      </c>
      <c r="N121" s="1">
        <f>(K121*L121-M119)/(0.5*I121)</f>
        <v>2.757061691527149E-2</v>
      </c>
      <c r="O121" s="16">
        <f t="shared" si="15"/>
        <v>2.0123000000000003E-3</v>
      </c>
      <c r="P121" s="1">
        <f>(M121-O121*Q121-R119)/(0.25*I120+0.25*I121)</f>
        <v>2.5077388399282301E-2</v>
      </c>
      <c r="Q121" s="32">
        <f t="shared" si="16"/>
        <v>21.223204948825988</v>
      </c>
      <c r="R121" s="1">
        <f>R120+P121*0.25*I123</f>
        <v>0.35459813854459366</v>
      </c>
      <c r="S121" s="10">
        <f t="shared" si="19"/>
        <v>1.6799291699190356E-2</v>
      </c>
    </row>
    <row r="122" spans="7:19">
      <c r="G122" s="13">
        <f t="shared" si="17"/>
        <v>24.75</v>
      </c>
      <c r="H122" s="1">
        <f t="shared" si="18"/>
        <v>1.605875E-2</v>
      </c>
      <c r="I122" s="2">
        <f>Interpolate_Interval(H119,H123,I119,I123,H122)</f>
        <v>0.658586178664331</v>
      </c>
      <c r="J122" s="15"/>
      <c r="O122" s="16">
        <f t="shared" si="15"/>
        <v>2.01665E-3</v>
      </c>
      <c r="P122" s="17">
        <f>P123</f>
        <v>2.5444823913604697E-2</v>
      </c>
      <c r="Q122" s="32">
        <f t="shared" si="16"/>
        <v>21.387851493492072</v>
      </c>
      <c r="R122" s="1">
        <f>R121+P122*0.25*I122</f>
        <v>0.35878754088160558</v>
      </c>
      <c r="S122" s="10">
        <f t="shared" si="19"/>
        <v>1.6875147280540497E-2</v>
      </c>
    </row>
    <row r="123" spans="7:19">
      <c r="G123" s="13">
        <f t="shared" si="17"/>
        <v>25</v>
      </c>
      <c r="H123" s="1">
        <f t="shared" si="18"/>
        <v>1.6125E-2</v>
      </c>
      <c r="I123" s="2">
        <f>(1-J119*H123)/(1+H123)</f>
        <v>0.6545716003168881</v>
      </c>
      <c r="J123" s="15">
        <f>J119+1*I123</f>
        <v>21.421916259417788</v>
      </c>
      <c r="K123" s="16">
        <f>Interpolate_Range($D$17:$D$31,$E$17:$E$31,G123)</f>
        <v>1.89E-2</v>
      </c>
      <c r="L123" s="15">
        <f>L121+0.5*I123</f>
        <v>21.50830559937781</v>
      </c>
      <c r="M123" s="1">
        <f>M121+N123*0.5*I123</f>
        <v>0.40650697582824058</v>
      </c>
      <c r="N123" s="1">
        <f>(K123*L123-M121)/(0.5*I123)</f>
        <v>2.7960407663440111E-2</v>
      </c>
      <c r="O123" s="16">
        <f t="shared" si="15"/>
        <v>2.0210000000000002E-3</v>
      </c>
      <c r="P123" s="1">
        <f>(M123-O123*Q123-R121)/(0.25*I122+0.25*I123)</f>
        <v>2.5444823913604697E-2</v>
      </c>
      <c r="Q123" s="32">
        <f t="shared" si="16"/>
        <v>21.551494393571293</v>
      </c>
      <c r="R123" s="1">
        <f>R122+P123*0.25*I125</f>
        <v>0.36291146094767734</v>
      </c>
      <c r="S123" s="10">
        <f t="shared" si="19"/>
        <v>1.695097210582237E-2</v>
      </c>
    </row>
    <row r="124" spans="7:19">
      <c r="G124" s="13">
        <f t="shared" si="17"/>
        <v>25.25</v>
      </c>
      <c r="H124" s="1">
        <f t="shared" si="18"/>
        <v>1.6150000000000001E-2</v>
      </c>
      <c r="I124" s="2">
        <f>Interpolate_Interval(H123,H127,I123,I127,H124)</f>
        <v>0.65143188818594178</v>
      </c>
      <c r="J124" s="15"/>
      <c r="K124" s="16"/>
      <c r="O124" s="16">
        <f t="shared" si="15"/>
        <v>2.0249500000000002E-3</v>
      </c>
      <c r="P124" s="17">
        <f>P125</f>
        <v>2.1002123610383356E-2</v>
      </c>
      <c r="Q124" s="32">
        <f t="shared" si="16"/>
        <v>21.714352365617778</v>
      </c>
      <c r="R124" s="1">
        <f>R123+P124*0.25*I124</f>
        <v>0.36633182420753396</v>
      </c>
      <c r="S124" s="10">
        <f t="shared" si="19"/>
        <v>1.6973561743701907E-2</v>
      </c>
    </row>
    <row r="125" spans="7:19">
      <c r="G125" s="13">
        <f t="shared" si="17"/>
        <v>25.5</v>
      </c>
      <c r="H125" s="1">
        <f t="shared" si="18"/>
        <v>1.6175000000000002E-2</v>
      </c>
      <c r="I125" s="2">
        <f>Interpolate_Interval(H123,H127,I123,I127,H125)</f>
        <v>0.64829217605499545</v>
      </c>
      <c r="J125" s="15"/>
      <c r="K125" s="16">
        <f>Interpolate_Range($D$17:$D$31,$E$17:$E$31,G125)</f>
        <v>1.896813E-2</v>
      </c>
      <c r="L125" s="15">
        <f>L123+0.5*I125</f>
        <v>21.832451687405307</v>
      </c>
      <c r="M125" s="1">
        <f>M123+N125*0.5*I125</f>
        <v>0.41412078182542322</v>
      </c>
      <c r="N125" s="1">
        <f>(K125*L125-M123)/(0.5*I125)</f>
        <v>2.3488810380265193E-2</v>
      </c>
      <c r="O125" s="16">
        <f t="shared" si="15"/>
        <v>2.0289000000000001E-3</v>
      </c>
      <c r="P125" s="1">
        <f>(M125-O125*Q125-R123)/(0.25*I124+0.25*I125)</f>
        <v>2.1002123610383356E-2</v>
      </c>
      <c r="Q125" s="32">
        <f t="shared" si="16"/>
        <v>21.876425409631526</v>
      </c>
      <c r="R125" s="1">
        <f>R124+P125*0.25*I127</f>
        <v>0.36970273200068426</v>
      </c>
      <c r="S125" s="10">
        <f t="shared" si="19"/>
        <v>1.6996619422587931E-2</v>
      </c>
    </row>
    <row r="126" spans="7:19">
      <c r="G126" s="13">
        <f t="shared" si="17"/>
        <v>25.75</v>
      </c>
      <c r="H126" s="1">
        <f t="shared" si="18"/>
        <v>1.6199999999999999E-2</v>
      </c>
      <c r="I126" s="2">
        <f>Interpolate_Interval(H123,H127,I123,I127,H126)</f>
        <v>0.64515246392404957</v>
      </c>
      <c r="J126" s="15"/>
      <c r="K126" s="16"/>
      <c r="O126" s="16">
        <f t="shared" si="15"/>
        <v>2.0328500000000001E-3</v>
      </c>
      <c r="P126" s="17">
        <f>P127</f>
        <v>2.1140806809187694E-2</v>
      </c>
      <c r="Q126" s="32">
        <f t="shared" si="16"/>
        <v>22.037713525612538</v>
      </c>
      <c r="R126" s="1">
        <f>R125+P126*0.25*I126</f>
        <v>0.3731124929012567</v>
      </c>
      <c r="S126" s="10">
        <f t="shared" si="19"/>
        <v>1.7020140269610216E-2</v>
      </c>
    </row>
    <row r="127" spans="7:19">
      <c r="G127" s="13">
        <f t="shared" si="17"/>
        <v>26</v>
      </c>
      <c r="H127" s="1">
        <f t="shared" si="18"/>
        <v>1.6225E-2</v>
      </c>
      <c r="I127" s="2">
        <f>(1-J123*H127)/(1+H127)</f>
        <v>0.64201275179310324</v>
      </c>
      <c r="J127" s="15">
        <f>J123+1*I127</f>
        <v>22.063929011210892</v>
      </c>
      <c r="K127" s="16">
        <f>Interpolate_Range($D$17:$D$31,$E$17:$E$31,G127)</f>
        <v>1.9036259999999999E-2</v>
      </c>
      <c r="L127" s="15">
        <f>L125+0.5*I127</f>
        <v>22.153458063301859</v>
      </c>
      <c r="M127" s="1">
        <f>M125+N127*0.5*I127</f>
        <v>0.42171898759211063</v>
      </c>
      <c r="N127" s="1">
        <f>(K127*L127-M125)/(0.5*I127)</f>
        <v>2.3669952802233506E-2</v>
      </c>
      <c r="O127" s="16">
        <f t="shared" si="15"/>
        <v>2.0368000000000001E-3</v>
      </c>
      <c r="P127" s="1">
        <f>(M127-O127*Q127-R125)/(0.25*I126+0.25*I127)</f>
        <v>2.1140806809187694E-2</v>
      </c>
      <c r="Q127" s="32">
        <f t="shared" si="16"/>
        <v>22.198216713560814</v>
      </c>
      <c r="R127" s="1">
        <f>R126+P127*0.25*I129</f>
        <v>0.37647267099157583</v>
      </c>
      <c r="S127" s="10">
        <f t="shared" si="19"/>
        <v>1.7044119726282884E-2</v>
      </c>
    </row>
    <row r="128" spans="7:19">
      <c r="G128" s="13">
        <f t="shared" si="17"/>
        <v>26.25</v>
      </c>
      <c r="H128" s="1">
        <f t="shared" si="18"/>
        <v>1.6250000000000001E-2</v>
      </c>
      <c r="I128" s="2">
        <f>Interpolate_Interval(H127,H131,I127,I131,H128)</f>
        <v>0.63889188714002876</v>
      </c>
      <c r="J128" s="15"/>
      <c r="K128" s="16"/>
      <c r="O128" s="16">
        <f t="shared" si="15"/>
        <v>2.04075E-3</v>
      </c>
      <c r="P128" s="17">
        <f>P129</f>
        <v>2.1302482098494547E-2</v>
      </c>
      <c r="Q128" s="32">
        <f t="shared" si="16"/>
        <v>22.357939685345823</v>
      </c>
      <c r="R128" s="1">
        <f>R127+P128*0.25*I128</f>
        <v>0.37987516673874427</v>
      </c>
      <c r="S128" s="10">
        <f t="shared" si="19"/>
        <v>1.7067429699929308E-2</v>
      </c>
    </row>
    <row r="129" spans="7:19">
      <c r="G129" s="13">
        <f t="shared" si="17"/>
        <v>26.5</v>
      </c>
      <c r="H129" s="1">
        <f t="shared" si="18"/>
        <v>1.6275000000000001E-2</v>
      </c>
      <c r="I129" s="2">
        <f>Interpolate_Interval(H127,H131,I127,I131,H129)</f>
        <v>0.63577102248695427</v>
      </c>
      <c r="J129" s="15"/>
      <c r="K129" s="16">
        <f>Interpolate_Range($D$17:$D$31,$E$17:$E$31,G129)</f>
        <v>1.9104389999999999E-2</v>
      </c>
      <c r="L129" s="15">
        <f>L127+0.5*I129</f>
        <v>22.471343574545337</v>
      </c>
      <c r="M129" s="1">
        <f>M127+N129*0.5*I129</f>
        <v>0.42930131147210815</v>
      </c>
      <c r="N129" s="1">
        <f>(K129*L129-M127)/(0.5*I129)</f>
        <v>2.3852373297347337E-2</v>
      </c>
      <c r="O129" s="16">
        <f t="shared" si="15"/>
        <v>2.0447E-3</v>
      </c>
      <c r="P129" s="1">
        <f>(M129-O129*Q129-R127)/(0.25*I128+0.25*I129)</f>
        <v>2.1302482098494547E-2</v>
      </c>
      <c r="Q129" s="32">
        <f t="shared" si="16"/>
        <v>22.51688244096756</v>
      </c>
      <c r="R129" s="1">
        <f>R128+P129*0.25*I131</f>
        <v>0.38322780086335978</v>
      </c>
      <c r="S129" s="10">
        <f t="shared" si="19"/>
        <v>1.7091200302027303E-2</v>
      </c>
    </row>
    <row r="130" spans="7:19">
      <c r="G130" s="13">
        <f t="shared" si="17"/>
        <v>26.75</v>
      </c>
      <c r="H130" s="1">
        <f t="shared" si="18"/>
        <v>1.6300000000000002E-2</v>
      </c>
      <c r="I130" s="2">
        <f>Interpolate_Interval(H127,H131,I127,I131,H130)</f>
        <v>0.63265015783387968</v>
      </c>
      <c r="J130" s="15"/>
      <c r="O130" s="16">
        <f t="shared" si="15"/>
        <v>2.04865E-3</v>
      </c>
      <c r="P130" s="17">
        <f>P131</f>
        <v>2.1465963304872833E-2</v>
      </c>
      <c r="Q130" s="32">
        <f t="shared" si="16"/>
        <v>22.67504498042603</v>
      </c>
      <c r="R130" s="1">
        <f>R129+P130*0.25*I130</f>
        <v>0.38662291213158079</v>
      </c>
      <c r="S130" s="10">
        <f t="shared" si="19"/>
        <v>1.7115427396872156E-2</v>
      </c>
    </row>
    <row r="131" spans="7:19">
      <c r="G131" s="13">
        <f t="shared" si="17"/>
        <v>27</v>
      </c>
      <c r="H131" s="1">
        <f t="shared" si="18"/>
        <v>1.6324999999999999E-2</v>
      </c>
      <c r="I131" s="2">
        <f>(1-J127*H131)/(1+H131)</f>
        <v>0.62952929318080564</v>
      </c>
      <c r="J131" s="15">
        <f>J127+1*I131</f>
        <v>22.693458304391697</v>
      </c>
      <c r="K131" s="16">
        <f>Interpolate_Range($D$17:$D$31,$E$17:$E$31,G131)</f>
        <v>1.9172519999999998E-2</v>
      </c>
      <c r="L131" s="15">
        <f>L129+0.5*I131</f>
        <v>22.786108221135741</v>
      </c>
      <c r="M131" s="1">
        <f>M129+N131*0.5*I131</f>
        <v>0.4368671155918894</v>
      </c>
      <c r="N131" s="1">
        <f>(K131*L131-M129)/(0.5*I131)</f>
        <v>2.4036384650359052E-2</v>
      </c>
      <c r="O131" s="16">
        <f t="shared" si="15"/>
        <v>2.0525999999999999E-3</v>
      </c>
      <c r="P131" s="1">
        <f>(M131-O131*Q131-R129)/(0.25*I130+0.25*I131)</f>
        <v>2.1465963304872833E-2</v>
      </c>
      <c r="Q131" s="32">
        <f t="shared" si="16"/>
        <v>22.832427303721232</v>
      </c>
      <c r="R131" s="1">
        <f>R130+P131*0.25*I133</f>
        <v>0.38996798803239857</v>
      </c>
      <c r="S131" s="10">
        <f t="shared" si="19"/>
        <v>1.7140107130971825E-2</v>
      </c>
    </row>
    <row r="132" spans="7:19">
      <c r="G132" s="13">
        <f t="shared" si="17"/>
        <v>27.25</v>
      </c>
      <c r="H132" s="1">
        <f t="shared" si="18"/>
        <v>1.635E-2</v>
      </c>
      <c r="I132" s="2">
        <f>Interpolate_Interval(H131,H135,I131,I135,H132)</f>
        <v>0.62642789256813525</v>
      </c>
      <c r="J132" s="15"/>
      <c r="K132" s="16"/>
      <c r="O132" s="16">
        <f t="shared" si="15"/>
        <v>2.0565499999999999E-3</v>
      </c>
      <c r="P132" s="17">
        <f>P133</f>
        <v>2.1630337747521784E-2</v>
      </c>
      <c r="Q132" s="32">
        <f t="shared" si="16"/>
        <v>22.989034276863265</v>
      </c>
      <c r="R132" s="1">
        <f>R131+P132*0.25*I132</f>
        <v>0.39335544975507786</v>
      </c>
      <c r="S132" s="10">
        <f t="shared" si="19"/>
        <v>1.7164095667208227E-2</v>
      </c>
    </row>
    <row r="133" spans="7:19">
      <c r="G133" s="13">
        <f t="shared" si="17"/>
        <v>27.5</v>
      </c>
      <c r="H133" s="1">
        <f t="shared" si="18"/>
        <v>1.6375000000000001E-2</v>
      </c>
      <c r="I133" s="2">
        <f>Interpolate_Interval(H131,H135,I131,I135,H133)</f>
        <v>0.62332649195546486</v>
      </c>
      <c r="J133" s="15"/>
      <c r="K133" s="16">
        <f>Interpolate_Range($D$17:$D$31,$E$17:$E$31,G133)</f>
        <v>1.9240649999999998E-2</v>
      </c>
      <c r="L133" s="15">
        <f>L131+0.5*I133</f>
        <v>23.097771467113475</v>
      </c>
      <c r="M133" s="1">
        <f>M131+N133*0.5*I133</f>
        <v>0.44441613657871681</v>
      </c>
      <c r="N133" s="1">
        <f>(K133*L133-M131)/(0.5*I133)</f>
        <v>2.422172355660691E-2</v>
      </c>
      <c r="O133" s="16">
        <f t="shared" si="15"/>
        <v>2.0604999999999998E-3</v>
      </c>
      <c r="P133" s="1">
        <f>(M133-O133*Q133-R131)/(0.25*I132+0.25*I133)</f>
        <v>2.1630337747521784E-2</v>
      </c>
      <c r="Q133" s="32">
        <f t="shared" si="16"/>
        <v>23.144865899852132</v>
      </c>
      <c r="R133" s="1">
        <f>R132+P133*0.25*I135</f>
        <v>0.3966925982207003</v>
      </c>
      <c r="S133" s="10">
        <f t="shared" si="19"/>
        <v>1.7188539393976788E-2</v>
      </c>
    </row>
    <row r="134" spans="7:19">
      <c r="G134" s="13">
        <f t="shared" si="17"/>
        <v>27.75</v>
      </c>
      <c r="H134" s="1">
        <f t="shared" si="18"/>
        <v>1.6400000000000001E-2</v>
      </c>
      <c r="I134" s="2">
        <f>Interpolate_Interval(H131,H135,I131,I135,H134)</f>
        <v>0.62022509134279458</v>
      </c>
      <c r="J134" s="15"/>
      <c r="K134" s="16"/>
      <c r="O134" s="16">
        <f t="shared" si="15"/>
        <v>2.0644500000000002E-3</v>
      </c>
      <c r="P134" s="17">
        <f>P135</f>
        <v>2.1796501461324148E-2</v>
      </c>
      <c r="Q134" s="32">
        <f t="shared" si="16"/>
        <v>23.299922172687829</v>
      </c>
      <c r="R134" s="1">
        <f>R133+P134*0.25*I134</f>
        <v>0.40007228249815108</v>
      </c>
      <c r="S134" s="10">
        <f t="shared" si="19"/>
        <v>1.7213434820793187E-2</v>
      </c>
    </row>
    <row r="135" spans="7:19">
      <c r="G135" s="13">
        <f t="shared" si="17"/>
        <v>28</v>
      </c>
      <c r="H135" s="1">
        <f t="shared" si="18"/>
        <v>1.6425000000000002E-2</v>
      </c>
      <c r="I135" s="2">
        <f>(1-J131*H135)/(1+H135)</f>
        <v>0.61712369073012419</v>
      </c>
      <c r="J135" s="15">
        <f>J131+1*I135</f>
        <v>23.310581995121822</v>
      </c>
      <c r="K135" s="16">
        <f>Interpolate_Range($D$17:$D$31,$E$17:$E$31,G135)</f>
        <v>1.9308780000000001E-2</v>
      </c>
      <c r="L135" s="15">
        <f>L133+0.5*I135</f>
        <v>23.406333312478537</v>
      </c>
      <c r="M135" s="1">
        <f>M133+N135*0.5*I135</f>
        <v>0.45194774053731934</v>
      </c>
      <c r="N135" s="1">
        <f>(K135*L135-M133)/(0.5*I135)</f>
        <v>2.4408733846181873E-2</v>
      </c>
      <c r="O135" s="16">
        <f t="shared" si="15"/>
        <v>2.0684000000000002E-3</v>
      </c>
      <c r="P135" s="1">
        <f>(M135-O135*Q135-R133)/(0.25*I134+0.25*I135)</f>
        <v>2.1796501461324148E-2</v>
      </c>
      <c r="Q135" s="32">
        <f t="shared" si="16"/>
        <v>23.45420309537036</v>
      </c>
      <c r="R135" s="1">
        <f>R134+P135*0.25*I137</f>
        <v>0.40340148566410372</v>
      </c>
      <c r="S135" s="10">
        <f t="shared" si="19"/>
        <v>1.7238778713173645E-2</v>
      </c>
    </row>
    <row r="136" spans="7:19">
      <c r="G136" s="13">
        <f t="shared" si="17"/>
        <v>28.25</v>
      </c>
      <c r="H136" s="1">
        <f t="shared" si="18"/>
        <v>1.6449999999999999E-2</v>
      </c>
      <c r="I136" s="2">
        <f>Interpolate_Interval(H135,H139,I135,I139,H136)</f>
        <v>0.61404235303827548</v>
      </c>
      <c r="J136" s="15"/>
      <c r="K136" s="16"/>
      <c r="O136" s="16">
        <f t="shared" si="15"/>
        <v>2.0723500000000001E-3</v>
      </c>
      <c r="P136" s="17">
        <f>P137</f>
        <v>2.1963584195660062E-2</v>
      </c>
      <c r="Q136" s="32">
        <f t="shared" si="16"/>
        <v>23.607713683629928</v>
      </c>
      <c r="R136" s="1">
        <f>R135+P136*0.25*I136</f>
        <v>0.40677312839426805</v>
      </c>
      <c r="S136" s="10">
        <f t="shared" si="19"/>
        <v>1.7263411480503692E-2</v>
      </c>
    </row>
    <row r="137" spans="7:19">
      <c r="G137" s="13">
        <f t="shared" si="17"/>
        <v>28.5</v>
      </c>
      <c r="H137" s="1">
        <f t="shared" si="18"/>
        <v>1.6475E-2</v>
      </c>
      <c r="I137" s="2">
        <f>Interpolate_Interval(H135,H139,I135,I139,H137)</f>
        <v>0.61096101534642622</v>
      </c>
      <c r="J137" s="15"/>
      <c r="K137" s="16">
        <f>Interpolate_Range($D$17:$D$31,$E$17:$E$31,G137)</f>
        <v>1.9376910000000001E-2</v>
      </c>
      <c r="L137" s="15">
        <f>L135+0.5*I137</f>
        <v>23.71181382015175</v>
      </c>
      <c r="M137" s="1">
        <f>M135+N137*0.5*I137</f>
        <v>0.45946168232983664</v>
      </c>
      <c r="N137" s="1">
        <f>(K137*L137-M135)/(0.5*I137)</f>
        <v>2.4597123560352714E-2</v>
      </c>
      <c r="O137" s="16">
        <f t="shared" si="15"/>
        <v>2.0763000000000001E-3</v>
      </c>
      <c r="P137" s="1">
        <f>(M137-O137*Q137-R135)/(0.25*I136+0.25*I137)</f>
        <v>2.1963584195660062E-2</v>
      </c>
      <c r="Q137" s="32">
        <f t="shared" si="16"/>
        <v>23.760453937466536</v>
      </c>
      <c r="R137" s="1">
        <f>R136+P137*0.25*I139</f>
        <v>0.41009401320955974</v>
      </c>
      <c r="S137" s="10">
        <f t="shared" si="19"/>
        <v>1.7288495667244906E-2</v>
      </c>
    </row>
    <row r="138" spans="7:19">
      <c r="G138" s="13">
        <f t="shared" si="17"/>
        <v>28.75</v>
      </c>
      <c r="H138" s="1">
        <f t="shared" si="18"/>
        <v>1.6500000000000001E-2</v>
      </c>
      <c r="I138" s="2">
        <f>Interpolate_Interval(H135,H139,I135,I139,H138)</f>
        <v>0.60787967765457707</v>
      </c>
      <c r="J138" s="15"/>
      <c r="O138" s="16">
        <f t="shared" si="15"/>
        <v>2.0802500000000001E-3</v>
      </c>
      <c r="P138" s="17">
        <f>P139</f>
        <v>2.2132552506343987E-2</v>
      </c>
      <c r="Q138" s="32">
        <f t="shared" si="16"/>
        <v>23.912423856880181</v>
      </c>
      <c r="R138" s="1">
        <f>R137+P138*0.25*I138</f>
        <v>0.41345749543036708</v>
      </c>
      <c r="S138" s="10">
        <f t="shared" si="19"/>
        <v>1.7314028354606135E-2</v>
      </c>
    </row>
    <row r="139" spans="7:19">
      <c r="G139" s="13">
        <f t="shared" si="17"/>
        <v>29</v>
      </c>
      <c r="H139" s="1">
        <f t="shared" ref="H139:H143" si="20">Interpolate_Range($A$17:$A$50,$B$17:$B$50,G139)</f>
        <v>1.6525000000000001E-2</v>
      </c>
      <c r="I139" s="2">
        <f>(1-J135*H139)/(1+H139)</f>
        <v>0.60479833996272792</v>
      </c>
      <c r="J139" s="15">
        <f>J135+1*I139</f>
        <v>23.915380335084549</v>
      </c>
      <c r="K139" s="16">
        <f>Interpolate_Range($D$17:$D$31,$E$17:$E$31,G139)</f>
        <v>1.944504E-2</v>
      </c>
      <c r="L139" s="15">
        <f>L137+0.5*I139</f>
        <v>24.014212990133114</v>
      </c>
      <c r="M139" s="1">
        <f>M137+N139*0.5*I139</f>
        <v>0.46695733216165802</v>
      </c>
      <c r="N139" s="1">
        <f>(K139*L139-M137)/(0.5*I139)</f>
        <v>2.4787269860176268E-2</v>
      </c>
      <c r="O139" s="16">
        <f t="shared" si="15"/>
        <v>2.0842E-3</v>
      </c>
      <c r="P139" s="1">
        <f>(M139-O139*Q139-R137)/(0.25*I138+0.25*I139)</f>
        <v>2.2132552506343987E-2</v>
      </c>
      <c r="Q139" s="32">
        <f t="shared" si="16"/>
        <v>24.063623441870863</v>
      </c>
      <c r="R139" s="1">
        <f>R138+P139*0.25*I141</f>
        <v>0.4167700577034491</v>
      </c>
      <c r="S139" s="10">
        <f t="shared" si="19"/>
        <v>1.7340006858317328E-2</v>
      </c>
    </row>
    <row r="140" spans="7:19">
      <c r="G140" s="13">
        <f t="shared" si="17"/>
        <v>29.25</v>
      </c>
      <c r="H140" s="1">
        <f t="shared" si="20"/>
        <v>1.6550000000000002E-2</v>
      </c>
      <c r="I140" s="2">
        <f>Interpolate_Interval(H139,H143,I139,I143,H140)</f>
        <v>0.60173764638461669</v>
      </c>
      <c r="J140" s="15"/>
      <c r="K140" s="16"/>
      <c r="O140" s="16">
        <f t="shared" si="15"/>
        <v>2.08815E-3</v>
      </c>
      <c r="P140" s="17">
        <f>P141</f>
        <v>2.2302467573634445E-2</v>
      </c>
      <c r="Q140" s="32">
        <f t="shared" si="16"/>
        <v>24.214057853467018</v>
      </c>
      <c r="R140" s="1">
        <f>R139+P140*0.25*I140</f>
        <v>0.42012511629003113</v>
      </c>
      <c r="S140" s="10">
        <f t="shared" si="19"/>
        <v>1.7365255795248096E-2</v>
      </c>
    </row>
    <row r="141" spans="7:19">
      <c r="G141" s="13">
        <f t="shared" si="17"/>
        <v>29.5</v>
      </c>
      <c r="H141" s="1">
        <f t="shared" si="20"/>
        <v>1.6574999999999999E-2</v>
      </c>
      <c r="I141" s="2">
        <f>Interpolate_Interval(H139,H143,I139,I143,H141)</f>
        <v>0.5986769528065059</v>
      </c>
      <c r="J141" s="15"/>
      <c r="K141" s="16">
        <f>Interpolate_Range($D$17:$D$31,$E$17:$E$31,G141)</f>
        <v>1.951317E-2</v>
      </c>
      <c r="L141" s="15">
        <f>L139+0.5*I141</f>
        <v>24.313551466536367</v>
      </c>
      <c r="M141" s="1">
        <f>M139+N141*0.5*I141</f>
        <v>0.47443446307027343</v>
      </c>
      <c r="N141" s="1">
        <f>(K141*L141-M139)/(0.5*I141)</f>
        <v>2.4978850024420546E-2</v>
      </c>
      <c r="O141" s="16">
        <f t="shared" si="15"/>
        <v>2.0920999999999999E-3</v>
      </c>
      <c r="P141" s="1">
        <f>(M141-O141*Q141-R139)/(0.25*I140+0.25*I141)</f>
        <v>2.2302467573634445E-2</v>
      </c>
      <c r="Q141" s="32">
        <f t="shared" si="16"/>
        <v>24.363727091668643</v>
      </c>
      <c r="R141" s="1">
        <f>R140+P141*0.25*I143</f>
        <v>0.42342897911215416</v>
      </c>
      <c r="S141" s="10">
        <f t="shared" si="19"/>
        <v>1.7390953802971027E-2</v>
      </c>
    </row>
    <row r="142" spans="7:19">
      <c r="G142" s="13">
        <f t="shared" si="17"/>
        <v>29.75</v>
      </c>
      <c r="H142" s="1">
        <f t="shared" si="20"/>
        <v>1.66E-2</v>
      </c>
      <c r="I142" s="2">
        <f>Interpolate_Interval(H139,H143,I139,I143,H142)</f>
        <v>0.59561625922839467</v>
      </c>
      <c r="J142" s="15"/>
      <c r="K142" s="16"/>
      <c r="O142" s="16">
        <f t="shared" si="15"/>
        <v>2.0960499999999999E-3</v>
      </c>
      <c r="P142" s="17">
        <f>P143</f>
        <v>2.2474369878227197E-2</v>
      </c>
      <c r="Q142" s="32">
        <f t="shared" si="16"/>
        <v>24.512631156475742</v>
      </c>
      <c r="R142" s="1">
        <f>R141+P142*0.25*I142</f>
        <v>0.42677550414100041</v>
      </c>
      <c r="S142" s="10">
        <f t="shared" si="19"/>
        <v>1.7417098475257926E-2</v>
      </c>
    </row>
    <row r="143" spans="7:19">
      <c r="G143" s="13">
        <f t="shared" si="17"/>
        <v>30</v>
      </c>
      <c r="H143" s="1">
        <f t="shared" si="20"/>
        <v>1.6625000000000001E-2</v>
      </c>
      <c r="I143" s="2">
        <f>(1-J139*H143)/(1+H143)</f>
        <v>0.59255556565028344</v>
      </c>
      <c r="J143" s="15">
        <f>J139+1*I143</f>
        <v>24.507935900734832</v>
      </c>
      <c r="K143" s="16">
        <f>Interpolate_Range($D$17:$D$31,$E$17:$E$31,G143)</f>
        <v>1.9581299999999999E-2</v>
      </c>
      <c r="L143" s="15">
        <f>L141+0.5*I143</f>
        <v>24.609829249361511</v>
      </c>
      <c r="M143" s="1">
        <f>M141+N143*0.5*I143</f>
        <v>0.48189244948052251</v>
      </c>
      <c r="N143" s="1">
        <f>(K143*L143-M141)/(0.5*I143)</f>
        <v>2.5172276973095434E-2</v>
      </c>
      <c r="O143" s="16">
        <f t="shared" si="15"/>
        <v>2.0999999999999999E-3</v>
      </c>
      <c r="P143" s="1">
        <f>(M143-O143*Q143-R141)/(0.25*I142+0.25*I143)</f>
        <v>2.2474369878227197E-2</v>
      </c>
      <c r="Q143" s="32">
        <f t="shared" si="16"/>
        <v>24.660770047888313</v>
      </c>
      <c r="R143" s="1">
        <f>R142+P143*0.25*I145</f>
        <v>0.42677550414100041</v>
      </c>
      <c r="S143" s="10">
        <f t="shared" si="19"/>
        <v>1.7443687622727876E-2</v>
      </c>
    </row>
    <row r="144" spans="7:19">
      <c r="G144" s="13"/>
      <c r="K144" s="16"/>
    </row>
    <row r="145" spans="7:13">
      <c r="G145" s="13"/>
      <c r="K145" s="16"/>
      <c r="L145" s="15"/>
      <c r="M145" s="15"/>
    </row>
    <row r="146" spans="7:13">
      <c r="G146" s="13"/>
    </row>
    <row r="147" spans="7:13">
      <c r="G147" s="13"/>
    </row>
    <row r="148" spans="7:13">
      <c r="G148" s="13"/>
    </row>
    <row r="149" spans="7:13">
      <c r="G149" s="13"/>
    </row>
    <row r="150" spans="7:13">
      <c r="G150" s="13"/>
    </row>
    <row r="151" spans="7:13">
      <c r="G151" s="13"/>
    </row>
    <row r="152" spans="7:13">
      <c r="G152" s="13"/>
    </row>
    <row r="153" spans="7:13">
      <c r="G153" s="13"/>
    </row>
    <row r="154" spans="7:13">
      <c r="G154" s="13"/>
    </row>
    <row r="155" spans="7:13">
      <c r="G155" s="13"/>
    </row>
    <row r="156" spans="7:13">
      <c r="G156" s="13"/>
    </row>
    <row r="157" spans="7:13">
      <c r="G157" s="13"/>
    </row>
    <row r="158" spans="7:13">
      <c r="G158" s="13"/>
    </row>
    <row r="159" spans="7:13">
      <c r="G159" s="13"/>
    </row>
    <row r="160" spans="7:13">
      <c r="G160" s="13"/>
    </row>
    <row r="161" spans="7:7">
      <c r="G161" s="13"/>
    </row>
    <row r="162" spans="7:7">
      <c r="G162" s="13"/>
    </row>
    <row r="163" spans="7:7">
      <c r="G163" s="13"/>
    </row>
    <row r="164" spans="7:7">
      <c r="G164" s="13"/>
    </row>
    <row r="165" spans="7:7">
      <c r="G165" s="13"/>
    </row>
    <row r="166" spans="7:7">
      <c r="G166" s="13"/>
    </row>
    <row r="167" spans="7:7">
      <c r="G167" s="13"/>
    </row>
    <row r="168" spans="7:7">
      <c r="G168" s="13"/>
    </row>
    <row r="169" spans="7:7">
      <c r="G169" s="13"/>
    </row>
    <row r="170" spans="7:7">
      <c r="G170" s="13"/>
    </row>
    <row r="171" spans="7:7">
      <c r="G171" s="13"/>
    </row>
    <row r="172" spans="7:7">
      <c r="G172" s="13"/>
    </row>
    <row r="173" spans="7:7">
      <c r="G173" s="13"/>
    </row>
    <row r="174" spans="7:7">
      <c r="G174" s="13"/>
    </row>
    <row r="175" spans="7:7">
      <c r="G175" s="13"/>
    </row>
    <row r="176" spans="7:7">
      <c r="G176" s="13"/>
    </row>
    <row r="177" spans="7:7">
      <c r="G177" s="13"/>
    </row>
    <row r="178" spans="7:7">
      <c r="G178" s="13"/>
    </row>
    <row r="179" spans="7:7">
      <c r="G179" s="13"/>
    </row>
    <row r="180" spans="7:7">
      <c r="G180" s="13"/>
    </row>
    <row r="181" spans="7:7">
      <c r="G181" s="13"/>
    </row>
    <row r="182" spans="7:7">
      <c r="G182" s="13"/>
    </row>
    <row r="183" spans="7:7">
      <c r="G183" s="13"/>
    </row>
    <row r="184" spans="7:7">
      <c r="G184" s="13"/>
    </row>
    <row r="185" spans="7:7">
      <c r="G185" s="13"/>
    </row>
    <row r="186" spans="7:7">
      <c r="G186" s="13"/>
    </row>
    <row r="187" spans="7:7">
      <c r="G187" s="13"/>
    </row>
    <row r="188" spans="7:7">
      <c r="G188" s="13"/>
    </row>
    <row r="189" spans="7:7">
      <c r="G189" s="13"/>
    </row>
    <row r="190" spans="7:7">
      <c r="G190" s="13"/>
    </row>
    <row r="191" spans="7:7">
      <c r="G191" s="13"/>
    </row>
    <row r="192" spans="7:7">
      <c r="G192" s="13"/>
    </row>
    <row r="193" spans="7:7">
      <c r="G193" s="13"/>
    </row>
    <row r="194" spans="7:7">
      <c r="G194" s="13"/>
    </row>
    <row r="195" spans="7:7">
      <c r="G195" s="13"/>
    </row>
    <row r="196" spans="7:7">
      <c r="G196" s="13"/>
    </row>
    <row r="197" spans="7:7">
      <c r="G197" s="13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97"/>
  <sheetViews>
    <sheetView zoomScale="85" zoomScaleNormal="85" workbookViewId="0"/>
  </sheetViews>
  <sheetFormatPr defaultRowHeight="13.5"/>
  <cols>
    <col min="1" max="1" width="9.5" bestFit="1" customWidth="1"/>
    <col min="2" max="2" width="11.25" bestFit="1" customWidth="1"/>
    <col min="3" max="3" width="7.25" customWidth="1"/>
    <col min="5" max="5" width="10.125" customWidth="1"/>
    <col min="7" max="7" width="9.875" bestFit="1" customWidth="1"/>
    <col min="8" max="8" width="14.625" bestFit="1" customWidth="1"/>
    <col min="9" max="9" width="9.5" customWidth="1"/>
    <col min="10" max="10" width="16" customWidth="1"/>
    <col min="12" max="12" width="16" customWidth="1"/>
    <col min="13" max="13" width="17.375" customWidth="1"/>
    <col min="14" max="14" width="11.75" customWidth="1"/>
    <col min="15" max="15" width="9.75" customWidth="1"/>
    <col min="16" max="16" width="15.375" customWidth="1"/>
    <col min="17" max="17" width="12.875" bestFit="1" customWidth="1"/>
    <col min="18" max="18" width="18" customWidth="1"/>
    <col min="19" max="19" width="8.875" customWidth="1"/>
    <col min="20" max="20" width="10.5" customWidth="1"/>
    <col min="21" max="21" width="21.875" bestFit="1" customWidth="1"/>
    <col min="22" max="22" width="10" bestFit="1" customWidth="1"/>
    <col min="26" max="26" width="14.625" bestFit="1" customWidth="1"/>
    <col min="28" max="28" width="14.625" bestFit="1" customWidth="1"/>
  </cols>
  <sheetData>
    <row r="1" spans="1:30">
      <c r="A1" t="s">
        <v>105</v>
      </c>
    </row>
    <row r="2" spans="1:30">
      <c r="A2" s="22" t="s">
        <v>106</v>
      </c>
      <c r="B2" s="19"/>
      <c r="C2" s="48"/>
      <c r="D2" s="19"/>
      <c r="U2" s="22" t="s">
        <v>44</v>
      </c>
      <c r="V2" s="20"/>
    </row>
    <row r="3" spans="1:30">
      <c r="C3" s="11"/>
      <c r="U3" s="20"/>
      <c r="V3" s="20"/>
      <c r="W3" s="29"/>
      <c r="X3" s="29"/>
      <c r="Y3" s="29"/>
      <c r="Z3" s="29"/>
      <c r="AA3" s="29"/>
      <c r="AB3" s="29"/>
      <c r="AC3" s="29"/>
      <c r="AD3" s="29"/>
    </row>
    <row r="4" spans="1:30">
      <c r="N4" s="3"/>
      <c r="U4" s="20"/>
      <c r="V4" s="20"/>
      <c r="W4" s="29"/>
      <c r="X4" s="29"/>
      <c r="Y4" s="29"/>
      <c r="Z4" s="29"/>
      <c r="AA4" s="29"/>
      <c r="AB4" s="29"/>
      <c r="AC4" s="29"/>
      <c r="AD4" s="29"/>
    </row>
    <row r="5" spans="1:30">
      <c r="N5" s="18"/>
      <c r="P5" s="8"/>
      <c r="Q5" s="8"/>
      <c r="R5" s="8"/>
      <c r="S5" s="8"/>
      <c r="T5" s="8"/>
      <c r="U5" s="20"/>
      <c r="V5" s="20"/>
      <c r="W5" s="29"/>
      <c r="X5" s="29"/>
      <c r="Y5" s="29"/>
      <c r="Z5" s="29"/>
      <c r="AA5" s="29"/>
      <c r="AB5" s="29"/>
      <c r="AC5" s="29"/>
      <c r="AD5" s="29"/>
    </row>
    <row r="6" spans="1:30">
      <c r="N6" s="10"/>
      <c r="O6" s="18"/>
      <c r="P6" s="8"/>
      <c r="Q6" s="8"/>
      <c r="R6" s="8"/>
      <c r="S6" s="8"/>
      <c r="T6" s="8"/>
      <c r="U6" s="20"/>
      <c r="V6" s="20"/>
      <c r="W6" s="29"/>
      <c r="X6" s="29"/>
      <c r="Y6" s="29"/>
      <c r="Z6" s="29"/>
      <c r="AA6" s="29"/>
      <c r="AB6" s="29"/>
      <c r="AC6" s="29"/>
      <c r="AD6" s="29"/>
    </row>
    <row r="7" spans="1:30">
      <c r="U7" s="20"/>
      <c r="V7" s="20"/>
      <c r="W7" s="29"/>
      <c r="X7" s="29"/>
      <c r="Y7" s="29"/>
      <c r="Z7" s="29"/>
      <c r="AA7" s="29"/>
      <c r="AB7" s="29"/>
      <c r="AC7" s="29"/>
      <c r="AD7" s="29"/>
    </row>
    <row r="8" spans="1:30">
      <c r="F8" s="10"/>
      <c r="G8" s="23" t="s">
        <v>49</v>
      </c>
      <c r="U8" s="23" t="s">
        <v>30</v>
      </c>
      <c r="W8" s="29"/>
      <c r="X8" s="23" t="s">
        <v>50</v>
      </c>
      <c r="AC8" s="29"/>
      <c r="AD8" s="29"/>
    </row>
    <row r="9" spans="1:30">
      <c r="A9" s="23" t="s">
        <v>23</v>
      </c>
      <c r="F9" s="10"/>
      <c r="G9" t="s">
        <v>2</v>
      </c>
      <c r="H9" t="s">
        <v>15</v>
      </c>
      <c r="I9" t="s">
        <v>16</v>
      </c>
      <c r="J9" t="s">
        <v>98</v>
      </c>
      <c r="K9" t="s">
        <v>21</v>
      </c>
      <c r="L9" t="s">
        <v>99</v>
      </c>
      <c r="M9" t="s">
        <v>102</v>
      </c>
      <c r="N9" t="s">
        <v>103</v>
      </c>
      <c r="O9" t="s">
        <v>6</v>
      </c>
      <c r="P9" t="s">
        <v>104</v>
      </c>
      <c r="Q9" t="s">
        <v>100</v>
      </c>
      <c r="R9" t="s">
        <v>101</v>
      </c>
      <c r="S9" t="s">
        <v>4</v>
      </c>
      <c r="U9" t="s">
        <v>40</v>
      </c>
      <c r="V9">
        <v>1</v>
      </c>
      <c r="X9" t="s">
        <v>17</v>
      </c>
      <c r="Y9" t="s">
        <v>32</v>
      </c>
      <c r="Z9" t="s">
        <v>41</v>
      </c>
      <c r="AA9" t="s">
        <v>42</v>
      </c>
      <c r="AB9" t="s">
        <v>41</v>
      </c>
    </row>
    <row r="10" spans="1:30">
      <c r="F10" s="10"/>
      <c r="G10">
        <v>0</v>
      </c>
      <c r="H10" s="1"/>
      <c r="I10" s="27">
        <v>1</v>
      </c>
      <c r="K10" s="16"/>
      <c r="S10" s="10">
        <f>S11</f>
        <v>8.9999889037814258E-4</v>
      </c>
      <c r="U10" t="s">
        <v>34</v>
      </c>
      <c r="V10" s="26">
        <v>0.02</v>
      </c>
      <c r="X10">
        <v>0</v>
      </c>
    </row>
    <row r="11" spans="1:30">
      <c r="B11" t="s">
        <v>52</v>
      </c>
      <c r="E11" t="s">
        <v>77</v>
      </c>
      <c r="F11" s="10"/>
      <c r="G11" s="2">
        <f>1/365</f>
        <v>2.7397260273972603E-3</v>
      </c>
      <c r="H11" s="1">
        <f t="shared" ref="H11:H74" si="0">Interpolate_Range($A$17:$A$50,$B$17:$B$50,G11)</f>
        <v>8.9999999999999998E-4</v>
      </c>
      <c r="I11" s="27">
        <f t="shared" ref="I11:I27" si="1">1/(1+H11*G11)</f>
        <v>0.99999753425265536</v>
      </c>
      <c r="K11" s="16"/>
      <c r="S11" s="10">
        <f t="shared" ref="S11:S42" si="2">-LN(I11)/G11</f>
        <v>8.9999889037814258E-4</v>
      </c>
      <c r="U11" t="s">
        <v>31</v>
      </c>
      <c r="V11" s="12" t="s">
        <v>5</v>
      </c>
      <c r="X11">
        <v>0.5</v>
      </c>
      <c r="Y11" s="1">
        <f>$V$10/2</f>
        <v>0.01</v>
      </c>
      <c r="Z11" s="1">
        <f>Y11*Interpolate_Range($G$10:$G$142,$I$10:$I$143,X11)</f>
        <v>9.9943132357688466E-3</v>
      </c>
      <c r="AA11" s="1">
        <f>Q21</f>
        <v>4.1425999999999998E-3</v>
      </c>
      <c r="AB11" s="1">
        <f>AA11*Interpolate_Range($G$10:$G$143,$I$10:$I$143,X11)</f>
        <v>4.1402442010496018E-3</v>
      </c>
    </row>
    <row r="12" spans="1:30">
      <c r="A12" t="s">
        <v>0</v>
      </c>
      <c r="B12" s="1">
        <v>2.7525000000000006E-3</v>
      </c>
      <c r="D12" s="13">
        <v>0</v>
      </c>
      <c r="E12" s="35">
        <v>97.63</v>
      </c>
      <c r="F12" s="10"/>
      <c r="G12" s="2">
        <f>2/365</f>
        <v>5.4794520547945206E-3</v>
      </c>
      <c r="H12" s="1">
        <f t="shared" si="0"/>
        <v>8.9999999999999998E-4</v>
      </c>
      <c r="I12" s="27">
        <f t="shared" si="1"/>
        <v>0.99999506851747033</v>
      </c>
      <c r="K12" s="16"/>
      <c r="S12" s="10">
        <f t="shared" si="2"/>
        <v>8.9999778082802543E-4</v>
      </c>
      <c r="U12" t="s">
        <v>159</v>
      </c>
      <c r="V12" s="41">
        <f>$E$12</f>
        <v>97.63</v>
      </c>
      <c r="X12">
        <v>1</v>
      </c>
      <c r="Y12" s="1">
        <f t="shared" ref="Y12:Y30" si="3">$V$10/2</f>
        <v>0.01</v>
      </c>
      <c r="Z12" s="1">
        <f t="shared" ref="Z12:Z30" si="4">Y12*Interpolate_Range($G$10:$G$142,$I$10:$I$143,X12)</f>
        <v>9.9859697125538605E-3</v>
      </c>
      <c r="AA12" s="1">
        <f>Interpolate_Range($G$27:$G$143,$Q$27:$Q$143,X12)/2</f>
        <v>2.3180116856015109E-3</v>
      </c>
      <c r="AB12" s="1">
        <f t="shared" ref="AB12:AB30" si="5">AA12*Interpolate_Range($G$10:$G$143,$I$10:$I$143,X12)</f>
        <v>2.3147594485762608E-3</v>
      </c>
    </row>
    <row r="13" spans="1:30">
      <c r="A13" t="s">
        <v>1</v>
      </c>
      <c r="B13" s="1">
        <v>4.1425999999999998E-3</v>
      </c>
      <c r="F13" s="10"/>
      <c r="G13" s="2">
        <f>7/365</f>
        <v>1.9178082191780823E-2</v>
      </c>
      <c r="H13" s="1">
        <f t="shared" si="0"/>
        <v>8.9999999999999998E-4</v>
      </c>
      <c r="I13" s="27">
        <f t="shared" si="1"/>
        <v>0.99998274002393939</v>
      </c>
      <c r="K13" s="16"/>
      <c r="S13" s="10">
        <f t="shared" si="2"/>
        <v>8.9999223296221415E-4</v>
      </c>
      <c r="U13" t="s">
        <v>38</v>
      </c>
      <c r="V13" s="12" t="s">
        <v>57</v>
      </c>
      <c r="X13">
        <v>1.5</v>
      </c>
      <c r="Y13" s="1">
        <f t="shared" si="3"/>
        <v>0.01</v>
      </c>
      <c r="Z13" s="1">
        <f t="shared" si="4"/>
        <v>9.9730536215689846E-3</v>
      </c>
      <c r="AA13" s="1">
        <f t="shared" ref="AA13:AA30" si="6">Interpolate_Range($G$27:$G$143,$Q$27:$Q$143,X13)/2</f>
        <v>3.3010797937446244E-3</v>
      </c>
      <c r="AB13" s="1">
        <f t="shared" si="5"/>
        <v>3.2921845792093021E-3</v>
      </c>
    </row>
    <row r="14" spans="1:30">
      <c r="F14" s="10"/>
      <c r="G14" s="2">
        <f>14/365</f>
        <v>3.8356164383561646E-2</v>
      </c>
      <c r="H14" s="1">
        <f t="shared" si="0"/>
        <v>8.9999999999999998E-4</v>
      </c>
      <c r="I14" s="27">
        <f t="shared" si="1"/>
        <v>0.99996548064368185</v>
      </c>
      <c r="K14" s="16"/>
      <c r="S14" s="10">
        <f t="shared" si="2"/>
        <v>8.9998446611200104E-4</v>
      </c>
      <c r="U14" t="s">
        <v>35</v>
      </c>
      <c r="V14" s="12" t="s">
        <v>39</v>
      </c>
      <c r="X14">
        <v>2</v>
      </c>
      <c r="Y14" s="1">
        <f t="shared" si="3"/>
        <v>0.01</v>
      </c>
      <c r="Z14" s="1">
        <f t="shared" si="4"/>
        <v>9.9495631019792322E-3</v>
      </c>
      <c r="AA14" s="1">
        <f t="shared" si="6"/>
        <v>4.0406056812811036E-3</v>
      </c>
      <c r="AB14" s="1">
        <f t="shared" si="5"/>
        <v>4.0202261196122125E-3</v>
      </c>
    </row>
    <row r="15" spans="1:30">
      <c r="F15" s="10"/>
      <c r="G15" s="2">
        <f>21/365</f>
        <v>5.7534246575342465E-2</v>
      </c>
      <c r="H15" s="1">
        <f t="shared" si="0"/>
        <v>8.9999999999999998E-4</v>
      </c>
      <c r="I15" s="38">
        <f t="shared" si="1"/>
        <v>0.99994822185919685</v>
      </c>
      <c r="K15" s="16"/>
      <c r="S15" s="10">
        <f t="shared" si="2"/>
        <v>8.9997669943498912E-4</v>
      </c>
      <c r="X15">
        <v>2.5</v>
      </c>
      <c r="Y15" s="1">
        <f t="shared" si="3"/>
        <v>0.01</v>
      </c>
      <c r="Z15" s="1">
        <f t="shared" si="4"/>
        <v>9.8976480724189721E-3</v>
      </c>
      <c r="AA15" s="1">
        <f t="shared" si="6"/>
        <v>6.6244695119194218E-3</v>
      </c>
      <c r="AB15" s="1">
        <f t="shared" si="5"/>
        <v>6.5566667895447517E-3</v>
      </c>
    </row>
    <row r="16" spans="1:30">
      <c r="B16" t="s">
        <v>107</v>
      </c>
      <c r="E16" t="s">
        <v>54</v>
      </c>
      <c r="F16" s="10"/>
      <c r="G16" s="2">
        <f>1/12</f>
        <v>8.3333333333333329E-2</v>
      </c>
      <c r="H16" s="1">
        <f t="shared" si="0"/>
        <v>9.7499999999999996E-4</v>
      </c>
      <c r="I16" s="38">
        <f t="shared" si="1"/>
        <v>0.99991875660102614</v>
      </c>
      <c r="K16" s="16"/>
      <c r="S16" s="10">
        <f t="shared" si="2"/>
        <v>9.7496039277072748E-4</v>
      </c>
      <c r="X16">
        <v>3</v>
      </c>
      <c r="Y16" s="1">
        <f t="shared" si="3"/>
        <v>0.01</v>
      </c>
      <c r="Z16" s="1">
        <f t="shared" si="4"/>
        <v>9.8457330428587102E-3</v>
      </c>
      <c r="AA16" s="1">
        <f t="shared" si="6"/>
        <v>8.1116850491288785E-3</v>
      </c>
      <c r="AB16" s="1">
        <f t="shared" si="5"/>
        <v>7.9865485521471193E-3</v>
      </c>
    </row>
    <row r="17" spans="1:28">
      <c r="A17" s="2">
        <f>1/365</f>
        <v>2.7397260273972603E-3</v>
      </c>
      <c r="B17" s="10">
        <v>8.9999999999999998E-4</v>
      </c>
      <c r="D17">
        <v>1</v>
      </c>
      <c r="E17" s="1">
        <v>3.3140000000000001E-3</v>
      </c>
      <c r="F17" s="10"/>
      <c r="G17" s="2">
        <f>2/12</f>
        <v>0.16666666666666666</v>
      </c>
      <c r="H17" s="1">
        <f t="shared" si="0"/>
        <v>1E-3</v>
      </c>
      <c r="I17" s="38">
        <f t="shared" si="1"/>
        <v>0.99983336110648224</v>
      </c>
      <c r="K17" s="16"/>
      <c r="S17" s="10">
        <f t="shared" si="2"/>
        <v>9.9991667592482566E-4</v>
      </c>
      <c r="U17" s="23" t="s">
        <v>43</v>
      </c>
      <c r="X17">
        <v>3.5</v>
      </c>
      <c r="Y17" s="1">
        <f t="shared" si="3"/>
        <v>0.01</v>
      </c>
      <c r="Z17" s="1">
        <f t="shared" si="4"/>
        <v>9.7475969412609467E-3</v>
      </c>
      <c r="AA17" s="1">
        <f t="shared" si="6"/>
        <v>1.1417039351303743E-2</v>
      </c>
      <c r="AB17" s="1">
        <f t="shared" si="5"/>
        <v>1.1128869785902423E-2</v>
      </c>
    </row>
    <row r="18" spans="1:28">
      <c r="A18" s="2">
        <f>2/365</f>
        <v>5.4794520547945206E-3</v>
      </c>
      <c r="B18" s="10">
        <v>8.9999999999999998E-4</v>
      </c>
      <c r="D18">
        <v>2</v>
      </c>
      <c r="E18" s="1">
        <v>4.7999999999999996E-3</v>
      </c>
      <c r="F18" s="10"/>
      <c r="G18" s="2">
        <f>3/12</f>
        <v>0.25</v>
      </c>
      <c r="H18" s="1">
        <f t="shared" si="0"/>
        <v>1.0380000000000001E-3</v>
      </c>
      <c r="I18" s="38">
        <f t="shared" si="1"/>
        <v>0.99974056732277961</v>
      </c>
      <c r="K18" s="16"/>
      <c r="M18" s="1">
        <f>M10+N18*0.25*I18</f>
        <v>6.8794647788898787E-4</v>
      </c>
      <c r="N18" s="17">
        <f>B12</f>
        <v>2.7525000000000006E-3</v>
      </c>
      <c r="O18" s="16">
        <f>Interpolate_Range($D$35:$D$49,$E$35:$E$49,G18)</f>
        <v>1.075E-3</v>
      </c>
      <c r="P18" s="32">
        <f>P10+0.25*I18</f>
        <v>0.2499351418306949</v>
      </c>
      <c r="Q18" s="17"/>
      <c r="R18" s="1"/>
      <c r="S18" s="10">
        <f t="shared" si="2"/>
        <v>1.0378653427957265E-3</v>
      </c>
      <c r="U18" t="s">
        <v>45</v>
      </c>
      <c r="V18" s="15">
        <f>$V$9*SUM(Z11:Z30)</f>
        <v>0.18288477380396337</v>
      </c>
      <c r="X18">
        <v>4</v>
      </c>
      <c r="Y18" s="1">
        <f t="shared" si="3"/>
        <v>0.01</v>
      </c>
      <c r="Z18" s="1">
        <f t="shared" si="4"/>
        <v>9.6494608396631813E-3</v>
      </c>
      <c r="AA18" s="1">
        <f t="shared" si="6"/>
        <v>1.3459647709721825E-2</v>
      </c>
      <c r="AB18" s="1">
        <f t="shared" si="5"/>
        <v>1.2987834349062297E-2</v>
      </c>
    </row>
    <row r="19" spans="1:28">
      <c r="A19" s="2">
        <f>7/365</f>
        <v>1.9178082191780823E-2</v>
      </c>
      <c r="B19" s="10">
        <v>8.9999999999999998E-4</v>
      </c>
      <c r="D19">
        <v>3</v>
      </c>
      <c r="E19" s="1">
        <v>7.7479999999999997E-3</v>
      </c>
      <c r="F19" s="10"/>
      <c r="G19" s="2">
        <f>4/12</f>
        <v>0.33333333333333331</v>
      </c>
      <c r="H19" s="1">
        <f t="shared" si="0"/>
        <v>1.075E-3</v>
      </c>
      <c r="I19" s="38">
        <f t="shared" si="1"/>
        <v>0.99964179502345007</v>
      </c>
      <c r="K19" s="16"/>
      <c r="S19" s="10">
        <f t="shared" si="2"/>
        <v>1.0748074418315335E-3</v>
      </c>
      <c r="U19" t="s">
        <v>46</v>
      </c>
      <c r="V19" s="15">
        <f>$V$9*SUM(AB11:AB30)</f>
        <v>0.26783132681724897</v>
      </c>
      <c r="X19">
        <v>4.5</v>
      </c>
      <c r="Y19" s="1">
        <f t="shared" si="3"/>
        <v>0.01</v>
      </c>
      <c r="Z19" s="1">
        <f t="shared" si="4"/>
        <v>9.5150226505311981E-3</v>
      </c>
      <c r="AA19" s="1">
        <f t="shared" si="6"/>
        <v>1.5614146822233674E-2</v>
      </c>
      <c r="AB19" s="1">
        <f t="shared" si="5"/>
        <v>1.4856896068227314E-2</v>
      </c>
    </row>
    <row r="20" spans="1:28">
      <c r="A20" s="2">
        <f>14/365</f>
        <v>3.8356164383561646E-2</v>
      </c>
      <c r="B20" s="10">
        <v>8.9999999999999998E-4</v>
      </c>
      <c r="D20">
        <v>4</v>
      </c>
      <c r="E20" s="1">
        <v>1.1703E-2</v>
      </c>
      <c r="F20" s="10"/>
      <c r="G20" s="2">
        <f>5/12</f>
        <v>0.41666666666666669</v>
      </c>
      <c r="H20" s="1">
        <f t="shared" si="0"/>
        <v>1.1130000000000001E-3</v>
      </c>
      <c r="I20" s="38">
        <f t="shared" si="1"/>
        <v>0.99953646496437276</v>
      </c>
      <c r="K20" s="16"/>
      <c r="S20" s="10">
        <f t="shared" si="2"/>
        <v>1.1127420028860509E-3</v>
      </c>
      <c r="U20" t="s">
        <v>47</v>
      </c>
      <c r="V20" s="28">
        <f>$V$12*(V18-V19)</f>
        <v>-8.2933319706870723</v>
      </c>
      <c r="X20">
        <v>5</v>
      </c>
      <c r="Y20" s="1">
        <f t="shared" si="3"/>
        <v>0.01</v>
      </c>
      <c r="Z20" s="1">
        <f t="shared" si="4"/>
        <v>9.3805844613992165E-3</v>
      </c>
      <c r="AA20" s="1">
        <f t="shared" si="6"/>
        <v>1.7732626067468116E-2</v>
      </c>
      <c r="AB20" s="1">
        <f t="shared" si="5"/>
        <v>1.6634239654829408E-2</v>
      </c>
    </row>
    <row r="21" spans="1:28">
      <c r="A21" s="2">
        <f>21/365</f>
        <v>5.7534246575342465E-2</v>
      </c>
      <c r="B21" s="10">
        <v>8.9999999999999998E-4</v>
      </c>
      <c r="D21">
        <v>5</v>
      </c>
      <c r="E21" s="1">
        <v>1.5675000000000001E-2</v>
      </c>
      <c r="F21" s="10"/>
      <c r="G21" s="2">
        <f>6/12</f>
        <v>0.5</v>
      </c>
      <c r="H21" s="1">
        <f t="shared" si="0"/>
        <v>1.1379999999999999E-3</v>
      </c>
      <c r="I21" s="38">
        <f t="shared" si="1"/>
        <v>0.99943132357688469</v>
      </c>
      <c r="K21" s="16"/>
      <c r="L21" s="15">
        <f>L10+0.5*I21</f>
        <v>0.49971566178844234</v>
      </c>
      <c r="M21" s="1">
        <f>M18+N21*0.25*I21</f>
        <v>1.5328446548455161E-3</v>
      </c>
      <c r="N21" s="39">
        <f>(0.5*I21*B13-O21*(0.25*I18+0.25*I21)-0.25*I18*N18)/(0.25*I21)</f>
        <v>3.3815156960768666E-3</v>
      </c>
      <c r="O21" s="16">
        <f>Interpolate_Range($D$35:$D$49,$E$35:$E$49,G21)</f>
        <v>1.075E-3</v>
      </c>
      <c r="P21" s="32">
        <f>P18+0.25*I21</f>
        <v>0.49979297272491607</v>
      </c>
      <c r="Q21" s="1">
        <f>B13</f>
        <v>4.1425999999999998E-3</v>
      </c>
      <c r="R21" s="1">
        <f>R10+0.5*Q21*I21</f>
        <v>2.0701221005248009E-3</v>
      </c>
      <c r="S21" s="10">
        <f t="shared" si="2"/>
        <v>1.1376763617610792E-3</v>
      </c>
      <c r="X21">
        <v>5.5</v>
      </c>
      <c r="Y21" s="1">
        <f t="shared" si="3"/>
        <v>0.01</v>
      </c>
      <c r="Z21" s="1">
        <f t="shared" si="4"/>
        <v>9.2269261754211896E-3</v>
      </c>
      <c r="AA21" s="1">
        <f t="shared" si="6"/>
        <v>1.8462999994553302E-2</v>
      </c>
      <c r="AB21" s="1">
        <f t="shared" si="5"/>
        <v>1.7035673792654513E-2</v>
      </c>
    </row>
    <row r="22" spans="1:28">
      <c r="A22" s="2">
        <f>1/12</f>
        <v>8.3333333333333329E-2</v>
      </c>
      <c r="B22" s="10">
        <v>9.7499999999999996E-4</v>
      </c>
      <c r="D22">
        <v>6</v>
      </c>
      <c r="E22" s="1">
        <v>1.9154999999999998E-2</v>
      </c>
      <c r="F22" s="10"/>
      <c r="G22" s="2">
        <f>7/12</f>
        <v>0.58333333333333337</v>
      </c>
      <c r="H22" s="1">
        <f t="shared" si="0"/>
        <v>1.175E-3</v>
      </c>
      <c r="I22" s="38">
        <f t="shared" si="1"/>
        <v>0.99931505280755473</v>
      </c>
      <c r="K22" s="16"/>
      <c r="S22" s="10">
        <f t="shared" si="2"/>
        <v>1.1745975016173949E-3</v>
      </c>
      <c r="X22">
        <v>6</v>
      </c>
      <c r="Y22" s="1">
        <f t="shared" si="3"/>
        <v>0.01</v>
      </c>
      <c r="Z22" s="1">
        <f t="shared" si="4"/>
        <v>9.0732678894431627E-3</v>
      </c>
      <c r="AA22" s="1">
        <f t="shared" si="6"/>
        <v>2.0374160584088887E-2</v>
      </c>
      <c r="AB22" s="1">
        <f t="shared" si="5"/>
        <v>1.8486021700197225E-2</v>
      </c>
    </row>
    <row r="23" spans="1:28">
      <c r="A23" s="2">
        <f>2/12</f>
        <v>0.16666666666666666</v>
      </c>
      <c r="B23" s="10">
        <v>1E-3</v>
      </c>
      <c r="D23">
        <v>7</v>
      </c>
      <c r="E23" s="1">
        <v>2.206E-2</v>
      </c>
      <c r="F23" s="10"/>
      <c r="G23" s="2">
        <f>8/12</f>
        <v>0.66666666666666663</v>
      </c>
      <c r="H23" s="1">
        <f t="shared" si="0"/>
        <v>1.2130000000000001E-3</v>
      </c>
      <c r="I23" s="38">
        <f t="shared" si="1"/>
        <v>0.9991919867467175</v>
      </c>
      <c r="K23" s="16"/>
      <c r="S23" s="10">
        <f t="shared" si="2"/>
        <v>1.2125098079168496E-3</v>
      </c>
      <c r="X23">
        <v>6.5</v>
      </c>
      <c r="Y23" s="1">
        <f t="shared" si="3"/>
        <v>0.01</v>
      </c>
      <c r="Z23" s="1">
        <f t="shared" si="4"/>
        <v>8.9089860955684341E-3</v>
      </c>
      <c r="AA23" s="1">
        <f t="shared" si="6"/>
        <v>2.0344562877615973E-2</v>
      </c>
      <c r="AB23" s="1">
        <f t="shared" si="5"/>
        <v>1.8124942779709843E-2</v>
      </c>
    </row>
    <row r="24" spans="1:28">
      <c r="A24" s="2">
        <f>3/12</f>
        <v>0.25</v>
      </c>
      <c r="B24" s="10">
        <v>1.0380000000000001E-3</v>
      </c>
      <c r="D24">
        <v>8</v>
      </c>
      <c r="E24" s="1">
        <v>2.4395E-2</v>
      </c>
      <c r="F24" s="10"/>
      <c r="G24" s="2">
        <f>9/12</f>
        <v>0.75</v>
      </c>
      <c r="H24" s="1">
        <f t="shared" si="0"/>
        <v>1.25E-3</v>
      </c>
      <c r="I24" s="38">
        <f t="shared" si="1"/>
        <v>0.99906337808304713</v>
      </c>
      <c r="K24" s="16"/>
      <c r="M24" s="1">
        <f>M21+N24*0.25*I24</f>
        <v>2.4219963172880171E-3</v>
      </c>
      <c r="N24" s="39">
        <f>N27</f>
        <v>3.5599409685041633E-3</v>
      </c>
      <c r="O24" s="16">
        <f>Interpolate_Range($D$35:$D$49,$E$35:$E$49,G24)</f>
        <v>1.075E-3</v>
      </c>
      <c r="P24" s="32">
        <f>P21+0.25*I24</f>
        <v>0.74955881724567786</v>
      </c>
      <c r="Q24" s="1">
        <f>Interpolate_Interval(G21,G27,Q21,Q27,G24)</f>
        <v>4.3893116856015112E-3</v>
      </c>
      <c r="R24" s="1"/>
      <c r="S24" s="10">
        <f t="shared" si="2"/>
        <v>1.2494144284536607E-3</v>
      </c>
      <c r="X24">
        <v>7</v>
      </c>
      <c r="Y24" s="1">
        <f t="shared" si="3"/>
        <v>0.01</v>
      </c>
      <c r="Z24" s="1">
        <f t="shared" si="4"/>
        <v>8.7447043016937037E-3</v>
      </c>
      <c r="AA24" s="1">
        <f t="shared" si="6"/>
        <v>2.1995871465754907E-2</v>
      </c>
      <c r="AB24" s="1">
        <f t="shared" si="5"/>
        <v>1.9234739182608873E-2</v>
      </c>
    </row>
    <row r="25" spans="1:28">
      <c r="A25" s="2">
        <f>4/12</f>
        <v>0.33333333333333331</v>
      </c>
      <c r="B25" s="10">
        <v>1.075E-3</v>
      </c>
      <c r="D25">
        <v>9</v>
      </c>
      <c r="E25" s="1">
        <v>2.6349999999999998E-2</v>
      </c>
      <c r="F25" s="10"/>
      <c r="G25" s="2">
        <f>10/12</f>
        <v>0.83333333333333337</v>
      </c>
      <c r="H25" s="1">
        <f t="shared" si="0"/>
        <v>1.2999999999999999E-3</v>
      </c>
      <c r="I25" s="38">
        <f t="shared" si="1"/>
        <v>0.99891783900774167</v>
      </c>
      <c r="K25" s="16"/>
      <c r="N25" s="20"/>
      <c r="O25" s="20"/>
      <c r="Q25" s="20"/>
      <c r="S25" s="10">
        <f t="shared" si="2"/>
        <v>1.2992963414852285E-3</v>
      </c>
      <c r="X25">
        <v>7.5</v>
      </c>
      <c r="Y25" s="1">
        <f t="shared" si="3"/>
        <v>0.01</v>
      </c>
      <c r="Z25" s="1">
        <f t="shared" si="4"/>
        <v>8.5802513137627646E-3</v>
      </c>
      <c r="AA25" s="1">
        <f t="shared" si="6"/>
        <v>2.1250548849612999E-2</v>
      </c>
      <c r="AB25" s="1">
        <f t="shared" si="5"/>
        <v>1.8233504968507175E-2</v>
      </c>
    </row>
    <row r="26" spans="1:28">
      <c r="A26" s="2">
        <f>5/12</f>
        <v>0.41666666666666669</v>
      </c>
      <c r="B26" s="10">
        <v>1.1130000000000001E-3</v>
      </c>
      <c r="D26">
        <v>10</v>
      </c>
      <c r="E26" s="1">
        <v>2.801E-2</v>
      </c>
      <c r="F26" s="10"/>
      <c r="G26" s="2">
        <f>11/12</f>
        <v>0.91666666666666663</v>
      </c>
      <c r="H26" s="1">
        <f t="shared" si="0"/>
        <v>1.335E-3</v>
      </c>
      <c r="I26" s="38">
        <f t="shared" si="1"/>
        <v>0.99877774573365841</v>
      </c>
      <c r="K26" s="16"/>
      <c r="N26" s="20"/>
      <c r="O26" s="20"/>
      <c r="Q26" s="20"/>
      <c r="S26" s="10">
        <f t="shared" si="2"/>
        <v>1.334183812679993E-3</v>
      </c>
      <c r="X26">
        <v>8</v>
      </c>
      <c r="Y26" s="1">
        <f t="shared" si="3"/>
        <v>0.01</v>
      </c>
      <c r="Z26" s="1">
        <f t="shared" si="4"/>
        <v>8.4157983258318237E-3</v>
      </c>
      <c r="AA26" s="1">
        <f t="shared" si="6"/>
        <v>2.2607509423193478E-2</v>
      </c>
      <c r="AB26" s="1">
        <f t="shared" si="5"/>
        <v>1.9026023995493885E-2</v>
      </c>
    </row>
    <row r="27" spans="1:28">
      <c r="A27" s="2">
        <f>6/12</f>
        <v>0.5</v>
      </c>
      <c r="B27" s="10">
        <v>1.1379999999999999E-3</v>
      </c>
      <c r="D27">
        <v>12</v>
      </c>
      <c r="E27" s="1">
        <v>3.0665000000000001E-2</v>
      </c>
      <c r="F27" s="10"/>
      <c r="G27" s="2">
        <v>1</v>
      </c>
      <c r="H27" s="1">
        <f t="shared" si="0"/>
        <v>1.405E-3</v>
      </c>
      <c r="I27" s="38">
        <f t="shared" si="1"/>
        <v>0.99859697125538605</v>
      </c>
      <c r="J27" s="15">
        <f>J10+1*I27</f>
        <v>0.99859697125538605</v>
      </c>
      <c r="K27" s="16">
        <f>Interpolate_Range($D$17:$D$31,$E$17:$E$31,G27)</f>
        <v>3.3140000000000001E-3</v>
      </c>
      <c r="L27" s="15">
        <f>L21+0.5*I27</f>
        <v>0.99901414741613537</v>
      </c>
      <c r="M27" s="1">
        <f>M24+N27*0.25*I27</f>
        <v>3.3107328845370728E-3</v>
      </c>
      <c r="N27" s="14">
        <f>(K27*L27-M21)/(0.25*I24+0.25*I27)</f>
        <v>3.5599409685041633E-3</v>
      </c>
      <c r="O27" s="21">
        <f>Interpolate_Range($D$35:$D$49,$E$35:$E$49,G27)</f>
        <v>1.075E-3</v>
      </c>
      <c r="P27" s="32">
        <f>P24+0.25*I27</f>
        <v>0.99920806005952434</v>
      </c>
      <c r="Q27" s="14">
        <f>(M27+O27*P27-R21)/(0.5*I27)</f>
        <v>4.6360233712030218E-3</v>
      </c>
      <c r="R27" s="1">
        <f>R21+0.5*Q27*I27</f>
        <v>4.3848815491010617E-3</v>
      </c>
      <c r="S27" s="10">
        <f t="shared" si="2"/>
        <v>1.4040139110287455E-3</v>
      </c>
      <c r="X27">
        <v>8.5</v>
      </c>
      <c r="Y27" s="1">
        <f t="shared" si="3"/>
        <v>0.01</v>
      </c>
      <c r="Z27" s="1">
        <f t="shared" si="4"/>
        <v>8.2490253643234378E-3</v>
      </c>
      <c r="AA27" s="1">
        <f t="shared" si="6"/>
        <v>2.2093529640428548E-2</v>
      </c>
      <c r="AB27" s="1">
        <f t="shared" si="5"/>
        <v>1.8225008639132678E-2</v>
      </c>
    </row>
    <row r="28" spans="1:28">
      <c r="A28" s="2">
        <f>7/12</f>
        <v>0.58333333333333337</v>
      </c>
      <c r="B28" s="10">
        <v>1.175E-3</v>
      </c>
      <c r="D28">
        <v>15</v>
      </c>
      <c r="E28" s="1">
        <v>3.3140999999999997E-2</v>
      </c>
      <c r="F28" s="10"/>
      <c r="G28" s="13">
        <f>G27+1/4</f>
        <v>1.25</v>
      </c>
      <c r="H28" s="1">
        <f t="shared" si="0"/>
        <v>1.58E-3</v>
      </c>
      <c r="I28" s="37">
        <f>(1-G18*I18*H28)/(1+H28)</f>
        <v>0.99802821789163876</v>
      </c>
      <c r="J28" s="15"/>
      <c r="K28" s="16"/>
      <c r="M28" s="1">
        <f t="shared" ref="M28:M59" si="7">M27+N28*0.25*I28</f>
        <v>4.6938845010689491E-3</v>
      </c>
      <c r="N28" s="17">
        <f>N29</f>
        <v>5.5435371134247942E-3</v>
      </c>
      <c r="O28" s="16">
        <f t="shared" ref="O28:O91" si="8">Interpolate_Range($D$35:$D$49,$E$35:$E$49,G28)</f>
        <v>1.0718749999999999E-3</v>
      </c>
      <c r="P28" s="32">
        <f>P27+0.25*I28</f>
        <v>1.248715114532434</v>
      </c>
      <c r="Q28" s="1">
        <f>Interpolate_Interval(G27,G29,Q27,Q29,G28)</f>
        <v>5.6190914793461354E-3</v>
      </c>
      <c r="R28" s="1"/>
      <c r="S28" s="10">
        <f t="shared" si="2"/>
        <v>1.5789829038941907E-3</v>
      </c>
      <c r="X28">
        <v>9</v>
      </c>
      <c r="Y28" s="1">
        <f t="shared" si="3"/>
        <v>0.01</v>
      </c>
      <c r="Z28" s="1">
        <f t="shared" si="4"/>
        <v>8.082252402815052E-3</v>
      </c>
      <c r="AA28" s="1">
        <f t="shared" si="6"/>
        <v>2.3258113590531423E-2</v>
      </c>
      <c r="AB28" s="1">
        <f t="shared" si="5"/>
        <v>1.8797794445201799E-2</v>
      </c>
    </row>
    <row r="29" spans="1:28">
      <c r="A29" s="2">
        <f>8/12</f>
        <v>0.66666666666666663</v>
      </c>
      <c r="B29" s="10">
        <v>1.2130000000000001E-3</v>
      </c>
      <c r="D29">
        <v>20</v>
      </c>
      <c r="E29" s="1">
        <v>3.5104000000000003E-2</v>
      </c>
      <c r="F29" s="10"/>
      <c r="G29" s="13">
        <f t="shared" ref="G29:G31" si="9">G28+1/4</f>
        <v>1.5</v>
      </c>
      <c r="H29" s="1">
        <f t="shared" si="0"/>
        <v>1.8E-3</v>
      </c>
      <c r="I29" s="37">
        <f>(1-G21*I21*H29)/(1+H29)</f>
        <v>0.99730536215689836</v>
      </c>
      <c r="J29" s="15"/>
      <c r="K29" s="16">
        <f>Interpolate_Range($D$17:$D$31,$E$17:$E$31,G29)</f>
        <v>4.0569999999999998E-3</v>
      </c>
      <c r="L29" s="15">
        <f>L27+0.5*I29</f>
        <v>1.4976668284945847</v>
      </c>
      <c r="M29" s="1">
        <f t="shared" si="7"/>
        <v>6.0760343232025291E-3</v>
      </c>
      <c r="N29" s="14">
        <f>(K29*L29-M27)/(0.25*I28+0.25*I29)</f>
        <v>5.5435371134247942E-3</v>
      </c>
      <c r="O29" s="16">
        <f t="shared" si="8"/>
        <v>1.06875E-3</v>
      </c>
      <c r="P29" s="32">
        <f t="shared" ref="P29:P92" si="10">P28+0.25*I29</f>
        <v>1.4980414550716585</v>
      </c>
      <c r="Q29" s="14">
        <f>(M29+O29*P29-R27)/(0.5*I29)</f>
        <v>6.6021595874892489E-3</v>
      </c>
      <c r="R29" s="1">
        <f>R27+0.5*Q29*I29</f>
        <v>7.6770661283103638E-3</v>
      </c>
      <c r="S29" s="10">
        <f t="shared" si="2"/>
        <v>1.798849943234075E-3</v>
      </c>
      <c r="X29">
        <v>9.5</v>
      </c>
      <c r="Y29" s="1">
        <f t="shared" si="3"/>
        <v>0.01</v>
      </c>
      <c r="Z29" s="1">
        <f t="shared" si="4"/>
        <v>7.9156228859718885E-3</v>
      </c>
      <c r="AA29" s="1">
        <f t="shared" si="6"/>
        <v>2.294784060407741E-2</v>
      </c>
      <c r="AB29" s="1">
        <f t="shared" si="5"/>
        <v>1.8164645226927012E-2</v>
      </c>
    </row>
    <row r="30" spans="1:28">
      <c r="A30" s="2">
        <f>9/12</f>
        <v>0.75</v>
      </c>
      <c r="B30" s="10">
        <v>1.25E-3</v>
      </c>
      <c r="D30">
        <v>25</v>
      </c>
      <c r="E30" s="1">
        <v>3.6501499999999999E-2</v>
      </c>
      <c r="F30" s="10"/>
      <c r="G30" s="13">
        <f t="shared" si="9"/>
        <v>1.75</v>
      </c>
      <c r="H30" s="1">
        <f t="shared" si="0"/>
        <v>2.1199999999999999E-3</v>
      </c>
      <c r="I30" s="37">
        <f>(1-G24*I24*H30)/(1+H30)</f>
        <v>0.99629933463941245</v>
      </c>
      <c r="J30" s="15"/>
      <c r="K30" s="16"/>
      <c r="M30" s="1">
        <f t="shared" si="7"/>
        <v>7.8275456522345025E-3</v>
      </c>
      <c r="N30" s="17">
        <f>N31</f>
        <v>7.0320686489904888E-3</v>
      </c>
      <c r="O30" s="16">
        <f t="shared" si="8"/>
        <v>1.0656250000000002E-3</v>
      </c>
      <c r="P30" s="32">
        <f t="shared" si="10"/>
        <v>1.7471162887315117</v>
      </c>
      <c r="Q30" s="1">
        <f>Interpolate_Interval(G29,G31,Q29,Q31,G30)</f>
        <v>7.3416854750257277E-3</v>
      </c>
      <c r="R30" s="1"/>
      <c r="S30" s="10">
        <f t="shared" si="2"/>
        <v>2.1185884360650368E-3</v>
      </c>
      <c r="X30">
        <v>10</v>
      </c>
      <c r="Y30" s="1">
        <f t="shared" si="3"/>
        <v>0.01</v>
      </c>
      <c r="Z30" s="1">
        <f t="shared" si="4"/>
        <v>7.7489933691287285E-3</v>
      </c>
      <c r="AA30" s="1">
        <f t="shared" si="6"/>
        <v>2.3983118391472956E-2</v>
      </c>
      <c r="AB30" s="1">
        <f t="shared" si="5"/>
        <v>1.8584502538655318E-2</v>
      </c>
    </row>
    <row r="31" spans="1:28">
      <c r="A31" s="2">
        <f>10/12</f>
        <v>0.83333333333333337</v>
      </c>
      <c r="B31" s="10">
        <v>1.2999999999999999E-3</v>
      </c>
      <c r="D31">
        <v>30</v>
      </c>
      <c r="E31" s="1">
        <v>3.6510000000000001E-2</v>
      </c>
      <c r="F31" s="10"/>
      <c r="G31" s="13">
        <f t="shared" si="9"/>
        <v>2</v>
      </c>
      <c r="H31" s="1">
        <f t="shared" si="0"/>
        <v>2.5300000000000001E-3</v>
      </c>
      <c r="I31" s="2">
        <f>(1-SUM($J$27:J27)*H31)/(1+H31)</f>
        <v>0.99495631019792319</v>
      </c>
      <c r="J31" s="15">
        <f>J27+1*I31</f>
        <v>1.9935532814533092</v>
      </c>
      <c r="K31" s="16">
        <f>Interpolate_Range($D$17:$D$31,$E$17:$E$31,G31)</f>
        <v>4.7999999999999996E-3</v>
      </c>
      <c r="L31" s="15">
        <f>L29+0.5*I31</f>
        <v>1.9951449835935462</v>
      </c>
      <c r="M31" s="1">
        <f t="shared" si="7"/>
        <v>9.5766959212490212E-3</v>
      </c>
      <c r="N31" s="14">
        <f>(K31*L31-M29)/(0.25*I30+0.25*I31)</f>
        <v>7.0320686489904888E-3</v>
      </c>
      <c r="O31" s="16">
        <f t="shared" si="8"/>
        <v>1.0625000000000001E-3</v>
      </c>
      <c r="P31" s="32">
        <f t="shared" si="10"/>
        <v>1.9958553662809926</v>
      </c>
      <c r="Q31" s="14">
        <f>(M31+O31*P31-R29)/(0.5*I31)</f>
        <v>8.0812113625622073E-3</v>
      </c>
      <c r="R31" s="1">
        <f>R29+0.5*Q31*I31</f>
        <v>1.1697292247922576E-2</v>
      </c>
      <c r="S31" s="10">
        <f t="shared" si="2"/>
        <v>2.5282260682044379E-3</v>
      </c>
      <c r="Y31" s="1"/>
      <c r="Z31" s="1"/>
      <c r="AA31" s="1"/>
      <c r="AB31" s="1"/>
    </row>
    <row r="32" spans="1:28">
      <c r="A32" s="2">
        <f>11/12</f>
        <v>0.91666666666666663</v>
      </c>
      <c r="B32" s="10">
        <v>1.335E-3</v>
      </c>
      <c r="F32" s="10"/>
      <c r="G32" s="13">
        <f>G31+0.25</f>
        <v>2.25</v>
      </c>
      <c r="H32" s="1">
        <f t="shared" si="0"/>
        <v>3.1925E-3</v>
      </c>
      <c r="I32" s="2">
        <f>Interpolate_Interval(H31,H35,I31,I35,H32)</f>
        <v>0.99236055871991014</v>
      </c>
      <c r="J32" s="15"/>
      <c r="K32" s="16"/>
      <c r="M32" s="1">
        <f t="shared" si="7"/>
        <v>1.2603522561335758E-2</v>
      </c>
      <c r="N32" s="17">
        <f>N33</f>
        <v>1.2200511652704841E-2</v>
      </c>
      <c r="O32" s="16">
        <f t="shared" si="8"/>
        <v>1.059375E-3</v>
      </c>
      <c r="P32" s="32">
        <f t="shared" si="10"/>
        <v>2.2439455059609701</v>
      </c>
      <c r="Q32" s="1">
        <f>Interpolate_Interval(G31,G33,Q31,Q33,G32)</f>
        <v>1.0665075193200525E-2</v>
      </c>
      <c r="R32" s="1"/>
      <c r="S32" s="10">
        <f t="shared" si="2"/>
        <v>3.408342792742847E-3</v>
      </c>
      <c r="Y32" s="1"/>
      <c r="Z32" s="1"/>
      <c r="AA32" s="1"/>
      <c r="AB32" s="1"/>
    </row>
    <row r="33" spans="1:28">
      <c r="A33" s="2">
        <v>1</v>
      </c>
      <c r="B33" s="10">
        <v>1.405E-3</v>
      </c>
      <c r="F33" s="10"/>
      <c r="G33" s="13">
        <f t="shared" ref="G33:G96" si="11">G32+0.25</f>
        <v>2.5</v>
      </c>
      <c r="H33" s="1">
        <f t="shared" si="0"/>
        <v>3.8549999999999999E-3</v>
      </c>
      <c r="I33" s="2">
        <f>Interpolate_Interval(H31,H35,I31,I35,H33)</f>
        <v>0.98976480724189719</v>
      </c>
      <c r="J33" s="15"/>
      <c r="K33" s="16">
        <f>Interpolate_Range($D$17:$D$31,$E$17:$E$31,G33)</f>
        <v>6.2740000000000001E-3</v>
      </c>
      <c r="L33" s="15">
        <f>L31+0.5*I33</f>
        <v>2.4900273872144947</v>
      </c>
      <c r="M33" s="1">
        <f t="shared" si="7"/>
        <v>1.5622431827383741E-2</v>
      </c>
      <c r="N33" s="14">
        <f>(K33*L33-M31)/(0.25*I32+0.25*I33)</f>
        <v>1.2200511652704841E-2</v>
      </c>
      <c r="O33" s="16">
        <f t="shared" si="8"/>
        <v>1.0562499999999999E-3</v>
      </c>
      <c r="P33" s="32">
        <f t="shared" si="10"/>
        <v>2.4913867077714444</v>
      </c>
      <c r="Q33" s="14">
        <f>(M33+O33*P33-R31)/(0.5*I33)</f>
        <v>1.3248939023838844E-2</v>
      </c>
      <c r="R33" s="1">
        <f>R31+0.5*Q33*I33</f>
        <v>1.8253959037467328E-2</v>
      </c>
      <c r="S33" s="10">
        <f t="shared" si="2"/>
        <v>4.1151730079528499E-3</v>
      </c>
      <c r="Y33" s="1"/>
      <c r="Z33" s="1"/>
      <c r="AA33" s="1"/>
      <c r="AB33" s="1"/>
    </row>
    <row r="34" spans="1:28">
      <c r="A34">
        <v>1.25</v>
      </c>
      <c r="B34" s="10">
        <v>1.58E-3</v>
      </c>
      <c r="E34" t="s">
        <v>53</v>
      </c>
      <c r="F34" s="10"/>
      <c r="G34" s="13">
        <f t="shared" si="11"/>
        <v>2.75</v>
      </c>
      <c r="H34" s="1">
        <f t="shared" si="0"/>
        <v>4.5174999999999998E-3</v>
      </c>
      <c r="I34" s="2">
        <f>Interpolate_Interval(H31,H35,I31,I35,H34)</f>
        <v>0.98716905576388414</v>
      </c>
      <c r="J34" s="15"/>
      <c r="K34" s="16"/>
      <c r="M34" s="1">
        <f t="shared" si="7"/>
        <v>1.9369627109025855E-2</v>
      </c>
      <c r="N34" s="17">
        <f>N35</f>
        <v>1.5183601065138679E-2</v>
      </c>
      <c r="O34" s="16">
        <f t="shared" si="8"/>
        <v>1.053125E-3</v>
      </c>
      <c r="P34" s="32">
        <f t="shared" si="10"/>
        <v>2.7381789717124154</v>
      </c>
      <c r="Q34" s="1">
        <f>Interpolate_Interval(G33,G35,Q33,Q35,G34)</f>
        <v>1.4736154561048299E-2</v>
      </c>
      <c r="R34" s="1"/>
      <c r="S34" s="10">
        <f t="shared" si="2"/>
        <v>4.6959897382802896E-3</v>
      </c>
      <c r="Y34" s="1"/>
      <c r="Z34" s="1"/>
      <c r="AA34" s="1"/>
      <c r="AB34" s="1"/>
    </row>
    <row r="35" spans="1:28">
      <c r="A35">
        <v>1.5</v>
      </c>
      <c r="B35" s="10">
        <v>1.8E-3</v>
      </c>
      <c r="D35">
        <v>1</v>
      </c>
      <c r="E35" s="1">
        <v>1.075E-3</v>
      </c>
      <c r="F35" s="10"/>
      <c r="G35" s="13">
        <f t="shared" si="11"/>
        <v>3</v>
      </c>
      <c r="H35" s="1">
        <f t="shared" si="0"/>
        <v>5.1799999999999997E-3</v>
      </c>
      <c r="I35" s="2">
        <f>(1-J31*H35)/(1+H35)</f>
        <v>0.98457330428587109</v>
      </c>
      <c r="J35" s="15">
        <f>J31+1*I35</f>
        <v>2.9781265857391803</v>
      </c>
      <c r="K35" s="16">
        <f>Interpolate_Range($D$17:$D$31,$E$17:$E$31,G35)</f>
        <v>7.7479999999999997E-3</v>
      </c>
      <c r="L35" s="15">
        <f>L33+0.5*I35</f>
        <v>2.9823140393574303</v>
      </c>
      <c r="M35" s="1">
        <f t="shared" si="7"/>
        <v>2.3106969176941369E-2</v>
      </c>
      <c r="N35" s="14">
        <f>(K35*L35-M33)/(0.25*I34+0.25*I35)</f>
        <v>1.5183601065138679E-2</v>
      </c>
      <c r="O35" s="16">
        <f t="shared" si="8"/>
        <v>1.0499999999999999E-3</v>
      </c>
      <c r="P35" s="32">
        <f t="shared" si="10"/>
        <v>2.984322297783883</v>
      </c>
      <c r="Q35" s="14">
        <f>(M35+O35*P35-R33)/(0.5*I35)</f>
        <v>1.6223370098257757E-2</v>
      </c>
      <c r="R35" s="1">
        <f>R33+0.5*Q35*I35</f>
        <v>2.6240507589614447E-2</v>
      </c>
      <c r="S35" s="10">
        <f t="shared" si="2"/>
        <v>5.1823084279715697E-3</v>
      </c>
      <c r="Y35" s="1"/>
      <c r="Z35" s="1"/>
      <c r="AA35" s="1"/>
      <c r="AB35" s="1"/>
    </row>
    <row r="36" spans="1:28">
      <c r="A36">
        <v>1.75</v>
      </c>
      <c r="B36" s="10">
        <v>2.1199999999999999E-3</v>
      </c>
      <c r="D36">
        <v>2</v>
      </c>
      <c r="E36" s="1">
        <v>1.0625000000000001E-3</v>
      </c>
      <c r="F36" s="10"/>
      <c r="G36" s="13">
        <f t="shared" si="11"/>
        <v>3.25</v>
      </c>
      <c r="H36" s="1">
        <f t="shared" si="0"/>
        <v>6.1075000000000001E-3</v>
      </c>
      <c r="I36" s="2">
        <f>Interpolate_Interval(H35,H39,I35,I39,H36)</f>
        <v>0.97966649920598281</v>
      </c>
      <c r="J36" s="15"/>
      <c r="K36" s="16"/>
      <c r="M36" s="1">
        <f t="shared" si="7"/>
        <v>2.8439091898729667E-2</v>
      </c>
      <c r="N36" s="17">
        <f>N37</f>
        <v>2.1771175093197408E-2</v>
      </c>
      <c r="O36" s="16">
        <f t="shared" si="8"/>
        <v>1.0468750000000001E-3</v>
      </c>
      <c r="P36" s="32">
        <f t="shared" si="10"/>
        <v>3.2292389225853788</v>
      </c>
      <c r="Q36" s="1">
        <f>Interpolate_Interval(G35,G37,Q35,Q37,G36)</f>
        <v>1.9528724400432622E-2</v>
      </c>
      <c r="R36" s="1"/>
      <c r="S36" s="10">
        <f t="shared" si="2"/>
        <v>6.3209452823798353E-3</v>
      </c>
      <c r="Y36" s="1"/>
      <c r="Z36" s="1"/>
      <c r="AA36" s="1"/>
      <c r="AB36" s="1"/>
    </row>
    <row r="37" spans="1:28">
      <c r="A37">
        <v>2</v>
      </c>
      <c r="B37" s="10">
        <v>2.5300000000000001E-3</v>
      </c>
      <c r="D37">
        <v>3</v>
      </c>
      <c r="E37" s="1">
        <v>1.0499999999999999E-3</v>
      </c>
      <c r="F37" s="10"/>
      <c r="G37" s="13">
        <f t="shared" si="11"/>
        <v>3.5</v>
      </c>
      <c r="H37" s="1">
        <f t="shared" si="0"/>
        <v>7.0349999999999996E-3</v>
      </c>
      <c r="I37" s="2">
        <f>Interpolate_Interval(H35,H39,I35,I39,H37)</f>
        <v>0.97475969412609464</v>
      </c>
      <c r="J37" s="15"/>
      <c r="K37" s="16">
        <f>Interpolate_Range($D$17:$D$31,$E$17:$E$31,G37)</f>
        <v>9.7254999999999998E-3</v>
      </c>
      <c r="L37" s="15">
        <f>L35+0.5*I37</f>
        <v>3.4696938864204778</v>
      </c>
      <c r="M37" s="1">
        <f t="shared" si="7"/>
        <v>3.3744507892382355E-2</v>
      </c>
      <c r="N37" s="14">
        <f>(K37*L37-M35)/(0.25*I36+0.25*I37)</f>
        <v>2.1771175093197408E-2</v>
      </c>
      <c r="O37" s="16">
        <f t="shared" si="8"/>
        <v>1.04375E-3</v>
      </c>
      <c r="P37" s="32">
        <f t="shared" si="10"/>
        <v>3.4729288461169023</v>
      </c>
      <c r="Q37" s="14">
        <f>(M37+O37*P37-R35)/(0.5*I37)</f>
        <v>2.2834078702607487E-2</v>
      </c>
      <c r="R37" s="1">
        <f>R35+0.5*Q37*I37</f>
        <v>3.736937737551687E-2</v>
      </c>
      <c r="S37" s="10">
        <f t="shared" si="2"/>
        <v>7.3040874072546032E-3</v>
      </c>
      <c r="Y37" s="1"/>
      <c r="Z37" s="1"/>
      <c r="AA37" s="1"/>
      <c r="AB37" s="1"/>
    </row>
    <row r="38" spans="1:28">
      <c r="A38">
        <v>3</v>
      </c>
      <c r="B38" s="10">
        <v>5.1799999999999997E-3</v>
      </c>
      <c r="D38">
        <v>4</v>
      </c>
      <c r="E38" s="1">
        <v>1.0375E-3</v>
      </c>
      <c r="F38" s="10"/>
      <c r="G38" s="13">
        <f t="shared" si="11"/>
        <v>3.75</v>
      </c>
      <c r="H38" s="1">
        <f t="shared" si="0"/>
        <v>7.9625000000000008E-3</v>
      </c>
      <c r="I38" s="2">
        <f>Interpolate_Interval(H35,H39,I35,I39,H38)</f>
        <v>0.96985288904620637</v>
      </c>
      <c r="J38" s="15"/>
      <c r="K38" s="16"/>
      <c r="M38" s="1">
        <f t="shared" si="7"/>
        <v>4.0014218994096157E-2</v>
      </c>
      <c r="N38" s="17">
        <f>N39</f>
        <v>2.5858400475064623E-2</v>
      </c>
      <c r="O38" s="16">
        <f t="shared" si="8"/>
        <v>1.0406249999999999E-3</v>
      </c>
      <c r="P38" s="32">
        <f t="shared" si="10"/>
        <v>3.715392068378454</v>
      </c>
      <c r="Q38" s="1">
        <f>Interpolate_Interval(G37,G39,Q37,Q39,G38)</f>
        <v>2.4876687061025568E-2</v>
      </c>
      <c r="R38" s="1"/>
      <c r="S38" s="10">
        <f t="shared" si="2"/>
        <v>8.162901270259721E-3</v>
      </c>
      <c r="Y38" s="1"/>
      <c r="Z38" s="1"/>
      <c r="AA38" s="1"/>
      <c r="AB38" s="1"/>
    </row>
    <row r="39" spans="1:28">
      <c r="A39">
        <v>4</v>
      </c>
      <c r="B39" s="10">
        <v>8.8900000000000003E-3</v>
      </c>
      <c r="D39">
        <v>5</v>
      </c>
      <c r="E39" s="1">
        <v>1.0375E-3</v>
      </c>
      <c r="F39" s="10"/>
      <c r="G39" s="13">
        <f t="shared" si="11"/>
        <v>4</v>
      </c>
      <c r="H39" s="1">
        <f t="shared" si="0"/>
        <v>8.8900000000000003E-3</v>
      </c>
      <c r="I39" s="2">
        <f>(1-J35*H39)/(1+H39)</f>
        <v>0.96494608396631809</v>
      </c>
      <c r="J39" s="15">
        <f>J35+1*I39</f>
        <v>3.9430726697054985</v>
      </c>
      <c r="K39" s="16">
        <f>Interpolate_Range($D$17:$D$31,$E$17:$E$31,G39)</f>
        <v>1.1703E-2</v>
      </c>
      <c r="L39" s="15">
        <f>L37+0.5*I39</f>
        <v>3.9521669284036367</v>
      </c>
      <c r="M39" s="1">
        <f t="shared" si="7"/>
        <v>4.6252209563107757E-2</v>
      </c>
      <c r="N39" s="14">
        <f>(K39*L39-M37)/(0.25*I38+0.25*I39)</f>
        <v>2.5858400475064623E-2</v>
      </c>
      <c r="O39" s="16">
        <f t="shared" si="8"/>
        <v>1.0375E-3</v>
      </c>
      <c r="P39" s="32">
        <f t="shared" si="10"/>
        <v>3.9566285893700335</v>
      </c>
      <c r="Q39" s="14">
        <f>(M39+O39*P39-R37)/(0.5*I39)</f>
        <v>2.6919295419443649E-2</v>
      </c>
      <c r="R39" s="1">
        <f>R37+0.5*Q39*I39</f>
        <v>5.0357211724579166E-2</v>
      </c>
      <c r="S39" s="10">
        <f t="shared" si="2"/>
        <v>8.9207626853794551E-3</v>
      </c>
      <c r="Y39" s="1"/>
      <c r="Z39" s="1"/>
      <c r="AA39" s="1"/>
      <c r="AB39" s="1"/>
    </row>
    <row r="40" spans="1:28">
      <c r="A40">
        <v>5</v>
      </c>
      <c r="B40" s="10">
        <v>1.269E-2</v>
      </c>
      <c r="D40">
        <v>6</v>
      </c>
      <c r="E40" s="1">
        <v>1.0375E-3</v>
      </c>
      <c r="F40" s="10"/>
      <c r="G40" s="13">
        <f t="shared" si="11"/>
        <v>4.25</v>
      </c>
      <c r="H40" s="1">
        <f t="shared" si="0"/>
        <v>9.8399999999999998E-3</v>
      </c>
      <c r="I40" s="2">
        <f>Interpolate_Interval(H39,H43,I39,I43,H40)</f>
        <v>0.95822417450971897</v>
      </c>
      <c r="J40" s="15"/>
      <c r="K40" s="16"/>
      <c r="M40" s="1">
        <f t="shared" si="7"/>
        <v>5.3458265064699091E-2</v>
      </c>
      <c r="N40" s="17">
        <f>N41</f>
        <v>3.0080875408005046E-2</v>
      </c>
      <c r="O40" s="16">
        <f t="shared" si="8"/>
        <v>1.0375E-3</v>
      </c>
      <c r="P40" s="32">
        <f t="shared" si="10"/>
        <v>4.196184632997463</v>
      </c>
      <c r="Q40" s="1">
        <f>Interpolate_Interval(G39,G41,Q39,Q41,G40)</f>
        <v>2.9073794531955501E-2</v>
      </c>
      <c r="R40" s="1"/>
      <c r="S40" s="10">
        <f t="shared" si="2"/>
        <v>1.0040829591969593E-2</v>
      </c>
      <c r="Y40" s="1"/>
      <c r="Z40" s="1"/>
      <c r="AA40" s="1"/>
      <c r="AB40" s="1"/>
    </row>
    <row r="41" spans="1:28">
      <c r="A41">
        <v>6</v>
      </c>
      <c r="B41" s="10">
        <v>1.601E-2</v>
      </c>
      <c r="D41">
        <v>7</v>
      </c>
      <c r="E41" s="1">
        <v>1.0499999999999999E-3</v>
      </c>
      <c r="F41" s="10"/>
      <c r="G41" s="13">
        <f t="shared" si="11"/>
        <v>4.5</v>
      </c>
      <c r="H41" s="1">
        <f t="shared" si="0"/>
        <v>1.0790000000000001E-2</v>
      </c>
      <c r="I41" s="2">
        <f>Interpolate_Interval(H39,H43,I39,I43,H41)</f>
        <v>0.95150226505311986</v>
      </c>
      <c r="J41" s="15"/>
      <c r="K41" s="16">
        <f>Interpolate_Range($D$17:$D$31,$E$17:$E$31,G41)</f>
        <v>1.3689E-2</v>
      </c>
      <c r="L41" s="15">
        <f>L39+0.5*I41</f>
        <v>4.4279180609301969</v>
      </c>
      <c r="M41" s="1">
        <f t="shared" si="7"/>
        <v>6.0613770336073465E-2</v>
      </c>
      <c r="N41" s="14">
        <f>(K41*L41-M39)/(0.25*I40+0.25*I41)</f>
        <v>3.0080875408005046E-2</v>
      </c>
      <c r="O41" s="16">
        <f t="shared" si="8"/>
        <v>1.0375E-3</v>
      </c>
      <c r="P41" s="32">
        <f t="shared" si="10"/>
        <v>4.4340601992607427</v>
      </c>
      <c r="Q41" s="14">
        <f>(M41+O41*P41-R39)/(0.5*I41)</f>
        <v>3.1228293644467348E-2</v>
      </c>
      <c r="R41" s="1">
        <f>R39+0.5*Q41*I41</f>
        <v>6.5214107792806481E-2</v>
      </c>
      <c r="S41" s="10">
        <f t="shared" si="2"/>
        <v>1.1047380386893502E-2</v>
      </c>
      <c r="Y41" s="1"/>
      <c r="Z41" s="1"/>
      <c r="AA41" s="1"/>
      <c r="AB41" s="1"/>
    </row>
    <row r="42" spans="1:28">
      <c r="A42">
        <v>7</v>
      </c>
      <c r="B42" s="10">
        <v>1.8839999999999999E-2</v>
      </c>
      <c r="D42">
        <v>8</v>
      </c>
      <c r="E42" s="1">
        <v>1.0499999999999999E-3</v>
      </c>
      <c r="F42" s="10"/>
      <c r="G42" s="13">
        <f t="shared" si="11"/>
        <v>4.75</v>
      </c>
      <c r="H42" s="1">
        <f t="shared" si="0"/>
        <v>1.174E-2</v>
      </c>
      <c r="I42" s="2">
        <f>Interpolate_Interval(H39,H43,I39,I43,H42)</f>
        <v>0.94478035559652074</v>
      </c>
      <c r="J42" s="15"/>
      <c r="K42" s="16"/>
      <c r="M42" s="1">
        <f t="shared" si="7"/>
        <v>6.8715530649282111E-2</v>
      </c>
      <c r="N42" s="17">
        <f>N43</f>
        <v>3.430113788974079E-2</v>
      </c>
      <c r="O42" s="16">
        <f t="shared" si="8"/>
        <v>1.0375E-3</v>
      </c>
      <c r="P42" s="32">
        <f t="shared" si="10"/>
        <v>4.6702552881598729</v>
      </c>
      <c r="Q42" s="1">
        <f>Interpolate_Interval(G41,G43,Q41,Q43,G42)</f>
        <v>3.3346772889701788E-2</v>
      </c>
      <c r="R42" s="1"/>
      <c r="S42" s="10">
        <f t="shared" si="2"/>
        <v>1.1958485567188185E-2</v>
      </c>
      <c r="Y42" s="1"/>
      <c r="Z42" s="1"/>
      <c r="AA42" s="1"/>
      <c r="AB42" s="1"/>
    </row>
    <row r="43" spans="1:28">
      <c r="A43">
        <v>8</v>
      </c>
      <c r="B43" s="10">
        <v>2.111E-2</v>
      </c>
      <c r="D43">
        <v>9</v>
      </c>
      <c r="E43" s="1">
        <v>1.0375E-3</v>
      </c>
      <c r="F43" s="10"/>
      <c r="G43" s="13">
        <f t="shared" si="11"/>
        <v>5</v>
      </c>
      <c r="H43" s="1">
        <f t="shared" si="0"/>
        <v>1.269E-2</v>
      </c>
      <c r="I43" s="2">
        <f>(1-J39*H43)/(1+H43)</f>
        <v>0.93805844613992162</v>
      </c>
      <c r="J43" s="15">
        <f>J39+1*I43</f>
        <v>4.8811311158454203</v>
      </c>
      <c r="K43" s="16">
        <f>Interpolate_Range($D$17:$D$31,$E$17:$E$31,G43)</f>
        <v>1.5675000000000001E-2</v>
      </c>
      <c r="L43" s="15">
        <f>L41+0.5*I43</f>
        <v>4.8969472840001576</v>
      </c>
      <c r="M43" s="1">
        <f t="shared" si="7"/>
        <v>7.6759648676702472E-2</v>
      </c>
      <c r="N43" s="14">
        <f>(K43*L43-M41)/(0.25*I42+0.25*I43)</f>
        <v>3.430113788974079E-2</v>
      </c>
      <c r="O43" s="16">
        <f t="shared" si="8"/>
        <v>1.0375E-3</v>
      </c>
      <c r="P43" s="32">
        <f t="shared" si="10"/>
        <v>4.9047698996948537</v>
      </c>
      <c r="Q43" s="14">
        <f>(M43+O43*P43-R41)/(0.5*I43)</f>
        <v>3.5465252134936232E-2</v>
      </c>
      <c r="R43" s="1">
        <f>R41+0.5*Q43*I43</f>
        <v>8.1848347447635889E-2</v>
      </c>
      <c r="S43" s="10">
        <f t="shared" ref="S43:S74" si="12">-LN(I43)/G43</f>
        <v>1.2788604519888721E-2</v>
      </c>
      <c r="Y43" s="1"/>
      <c r="Z43" s="1"/>
      <c r="AA43" s="1"/>
      <c r="AB43" s="1"/>
    </row>
    <row r="44" spans="1:28">
      <c r="A44">
        <v>9</v>
      </c>
      <c r="B44" s="10">
        <v>2.307E-2</v>
      </c>
      <c r="D44">
        <v>10</v>
      </c>
      <c r="E44" s="1">
        <v>1.0499999999999999E-3</v>
      </c>
      <c r="G44" s="13">
        <f t="shared" si="11"/>
        <v>5.25</v>
      </c>
      <c r="H44" s="1">
        <f t="shared" si="0"/>
        <v>1.3520000000000001E-2</v>
      </c>
      <c r="I44" s="2">
        <f>Interpolate_Interval(H43,H47,I43,I47,H44)</f>
        <v>0.93037553184102029</v>
      </c>
      <c r="J44" s="15"/>
      <c r="K44" s="16"/>
      <c r="M44" s="1">
        <f t="shared" si="7"/>
        <v>8.5071484802170264E-2</v>
      </c>
      <c r="N44" s="17">
        <f>N45</f>
        <v>3.5735402924968969E-2</v>
      </c>
      <c r="O44" s="16">
        <f t="shared" si="8"/>
        <v>1.0375E-3</v>
      </c>
      <c r="P44" s="32">
        <f t="shared" si="10"/>
        <v>5.1373637826551084</v>
      </c>
      <c r="Q44" s="1">
        <f>Interpolate_Interval(G43,G45,Q43,Q45,G44)</f>
        <v>3.6195626062021417E-2</v>
      </c>
      <c r="R44" s="1"/>
      <c r="S44" s="10">
        <f t="shared" si="12"/>
        <v>1.3746090792506948E-2</v>
      </c>
      <c r="Y44" s="1"/>
      <c r="Z44" s="1"/>
      <c r="AA44" s="1"/>
      <c r="AB44" s="1"/>
    </row>
    <row r="45" spans="1:28">
      <c r="A45">
        <v>10</v>
      </c>
      <c r="B45" s="10">
        <v>2.477E-2</v>
      </c>
      <c r="D45">
        <v>12</v>
      </c>
      <c r="E45" s="1">
        <v>1.0499999999999999E-3</v>
      </c>
      <c r="F45">
        <v>10.5</v>
      </c>
      <c r="G45" s="13">
        <f t="shared" si="11"/>
        <v>5.5</v>
      </c>
      <c r="H45" s="1">
        <f t="shared" si="0"/>
        <v>1.435E-2</v>
      </c>
      <c r="I45" s="2">
        <f>Interpolate_Interval(H43,H47,I43,I47,H45)</f>
        <v>0.92269261754211895</v>
      </c>
      <c r="J45" s="15"/>
      <c r="K45" s="16">
        <f>Interpolate_Range($D$17:$D$31,$E$17:$E$31,G45)</f>
        <v>1.7415E-2</v>
      </c>
      <c r="L45" s="15">
        <f>L43+0.5*I45</f>
        <v>5.3582935927712168</v>
      </c>
      <c r="M45" s="1">
        <f t="shared" si="7"/>
        <v>9.3314682918110736E-2</v>
      </c>
      <c r="N45" s="14">
        <f>(K45*L45-M43)/(0.25*I44+0.25*I45)</f>
        <v>3.5735402924968969E-2</v>
      </c>
      <c r="O45" s="16">
        <f t="shared" si="8"/>
        <v>1.0375E-3</v>
      </c>
      <c r="P45" s="32">
        <f t="shared" si="10"/>
        <v>5.368036937040638</v>
      </c>
      <c r="Q45" s="14">
        <f>(M45+O45*P45-R43)/(0.5*I45)</f>
        <v>3.6925999989106603E-2</v>
      </c>
      <c r="R45" s="1">
        <f>R43+0.5*Q45*I45</f>
        <v>9.8884021240290401E-2</v>
      </c>
      <c r="S45" s="10">
        <f t="shared" si="12"/>
        <v>1.4628931883524599E-2</v>
      </c>
      <c r="Y45" s="1"/>
      <c r="Z45" s="1"/>
      <c r="AA45" s="1"/>
      <c r="AB45" s="1"/>
    </row>
    <row r="46" spans="1:28">
      <c r="A46">
        <v>12</v>
      </c>
      <c r="B46" s="10">
        <v>2.7505000000000002E-2</v>
      </c>
      <c r="D46">
        <v>15</v>
      </c>
      <c r="E46" s="1">
        <v>1.0625000000000001E-3</v>
      </c>
      <c r="F46">
        <v>10.625</v>
      </c>
      <c r="G46" s="13">
        <f t="shared" si="11"/>
        <v>5.75</v>
      </c>
      <c r="H46" s="1">
        <f t="shared" si="0"/>
        <v>1.5179999999999999E-2</v>
      </c>
      <c r="I46" s="2">
        <f>Interpolate_Interval(H43,H47,I43,I47,H46)</f>
        <v>0.91500970324321762</v>
      </c>
      <c r="J46" s="15"/>
      <c r="K46" s="16"/>
      <c r="M46" s="1">
        <f t="shared" si="7"/>
        <v>0.10235933137435278</v>
      </c>
      <c r="N46" s="17">
        <f>N47</f>
        <v>3.9539027506194209E-2</v>
      </c>
      <c r="O46" s="16">
        <f t="shared" si="8"/>
        <v>1.0375E-3</v>
      </c>
      <c r="P46" s="32">
        <f t="shared" si="10"/>
        <v>5.5967893628514425</v>
      </c>
      <c r="Q46" s="1">
        <f>Interpolate_Interval(G45,G47,Q45,Q47,G46)</f>
        <v>3.8837160578642185E-2</v>
      </c>
      <c r="R46" s="1"/>
      <c r="S46" s="10">
        <f t="shared" si="12"/>
        <v>1.5447062456599688E-2</v>
      </c>
      <c r="Y46" s="1"/>
      <c r="Z46" s="1"/>
      <c r="AA46" s="1"/>
      <c r="AB46" s="1"/>
    </row>
    <row r="47" spans="1:28">
      <c r="A47">
        <v>15</v>
      </c>
      <c r="B47" s="10">
        <v>3.0089999999999999E-2</v>
      </c>
      <c r="D47">
        <v>20</v>
      </c>
      <c r="E47" s="1">
        <v>1.0625000000000001E-3</v>
      </c>
      <c r="F47">
        <v>10.625</v>
      </c>
      <c r="G47" s="13">
        <f t="shared" si="11"/>
        <v>6</v>
      </c>
      <c r="H47" s="1">
        <f t="shared" si="0"/>
        <v>1.601E-2</v>
      </c>
      <c r="I47" s="2">
        <f>(1-J43*H47)/(1+H47)</f>
        <v>0.90732678894431629</v>
      </c>
      <c r="J47" s="15">
        <f>J43+1*I47</f>
        <v>5.7884579047897367</v>
      </c>
      <c r="K47" s="16">
        <f>Interpolate_Range($D$17:$D$31,$E$17:$E$31,G47)</f>
        <v>1.9154999999999998E-2</v>
      </c>
      <c r="L47" s="15">
        <f>L45+0.5*I47</f>
        <v>5.8119569872433745</v>
      </c>
      <c r="M47" s="1">
        <f t="shared" si="7"/>
        <v>0.11132803609064683</v>
      </c>
      <c r="N47" s="14">
        <f>(K47*L47-M45)/(0.25*I46+0.25*I47)</f>
        <v>3.9539027506194209E-2</v>
      </c>
      <c r="O47" s="16">
        <f t="shared" si="8"/>
        <v>1.0375E-3</v>
      </c>
      <c r="P47" s="32">
        <f t="shared" si="10"/>
        <v>5.8236210600875218</v>
      </c>
      <c r="Q47" s="14">
        <f>(M47+O47*P47-R45)/(0.5*I47)</f>
        <v>4.0748321168177774E-2</v>
      </c>
      <c r="R47" s="1">
        <f>R45+0.5*Q47*I47</f>
        <v>0.11737004294048763</v>
      </c>
      <c r="S47" s="10">
        <f t="shared" si="12"/>
        <v>1.6208766206243334E-2</v>
      </c>
      <c r="Y47" s="1"/>
      <c r="Z47" s="1"/>
      <c r="AA47" s="1"/>
      <c r="AB47" s="1"/>
    </row>
    <row r="48" spans="1:28">
      <c r="A48">
        <v>20</v>
      </c>
      <c r="B48" s="10">
        <v>3.2145E-2</v>
      </c>
      <c r="D48">
        <v>25</v>
      </c>
      <c r="E48" s="1">
        <v>1.0625000000000001E-3</v>
      </c>
      <c r="F48">
        <v>10.625</v>
      </c>
      <c r="G48" s="13">
        <f t="shared" si="11"/>
        <v>6.25</v>
      </c>
      <c r="H48" s="1">
        <f t="shared" si="0"/>
        <v>1.67175E-2</v>
      </c>
      <c r="I48" s="2">
        <f>Interpolate_Interval(H47,H51,I47,I51,H48)</f>
        <v>0.89911269925057979</v>
      </c>
      <c r="J48" s="15"/>
      <c r="K48" s="16"/>
      <c r="M48" s="1">
        <f t="shared" si="7"/>
        <v>0.12017919923623147</v>
      </c>
      <c r="N48" s="17">
        <f>N49</f>
        <v>3.9377324568820683E-2</v>
      </c>
      <c r="O48" s="16">
        <f t="shared" si="8"/>
        <v>1.0406249999999999E-3</v>
      </c>
      <c r="P48" s="32">
        <f t="shared" si="10"/>
        <v>6.0483992349001667</v>
      </c>
      <c r="Q48" s="1">
        <f>Interpolate_Interval(G47,G49,Q47,Q49,G48)</f>
        <v>4.071872346170486E-2</v>
      </c>
      <c r="R48" s="1"/>
      <c r="S48" s="10">
        <f t="shared" si="12"/>
        <v>1.7015502670133353E-2</v>
      </c>
      <c r="Y48" s="1"/>
      <c r="Z48" s="1"/>
      <c r="AA48" s="1"/>
      <c r="AB48" s="1"/>
    </row>
    <row r="49" spans="1:28">
      <c r="A49">
        <v>25</v>
      </c>
      <c r="B49" s="10">
        <v>3.3119999999999997E-2</v>
      </c>
      <c r="D49">
        <v>30</v>
      </c>
      <c r="E49" s="1">
        <v>1.0499999999999999E-3</v>
      </c>
      <c r="F49">
        <v>10.5</v>
      </c>
      <c r="G49" s="13">
        <f t="shared" si="11"/>
        <v>6.5</v>
      </c>
      <c r="H49" s="1">
        <f t="shared" si="0"/>
        <v>1.7425E-2</v>
      </c>
      <c r="I49" s="2">
        <f>Interpolate_Interval(H47,H51,I47,I51,H49)</f>
        <v>0.89089860955684341</v>
      </c>
      <c r="J49" s="15"/>
      <c r="K49" s="16">
        <f>Interpolate_Range($D$17:$D$31,$E$17:$E$31,G49)</f>
        <v>2.0607500000000001E-2</v>
      </c>
      <c r="L49" s="15">
        <f>L47+0.5*I49</f>
        <v>6.2574062920217965</v>
      </c>
      <c r="M49" s="1">
        <f t="shared" si="7"/>
        <v>0.12894950016283918</v>
      </c>
      <c r="N49" s="14">
        <f>(K49*L49-M47)/(0.25*I48+0.25*I49)</f>
        <v>3.9377324568820683E-2</v>
      </c>
      <c r="O49" s="16">
        <f t="shared" si="8"/>
        <v>1.04375E-3</v>
      </c>
      <c r="P49" s="32">
        <f t="shared" si="10"/>
        <v>6.2711238872893773</v>
      </c>
      <c r="Q49" s="14">
        <f>(M49+O49*P49-R47)/(0.5*I49)</f>
        <v>4.0689125755231946E-2</v>
      </c>
      <c r="R49" s="1">
        <f>R47+0.5*Q49*I49</f>
        <v>0.13549498572019747</v>
      </c>
      <c r="S49" s="10">
        <f t="shared" si="12"/>
        <v>1.7773023380643824E-2</v>
      </c>
      <c r="Y49" s="1"/>
      <c r="Z49" s="1"/>
      <c r="AA49" s="1"/>
      <c r="AB49" s="1"/>
    </row>
    <row r="50" spans="1:28">
      <c r="A50">
        <v>30</v>
      </c>
      <c r="B50" s="10">
        <v>3.3649999999999999E-2</v>
      </c>
      <c r="G50" s="13">
        <f t="shared" si="11"/>
        <v>6.75</v>
      </c>
      <c r="H50" s="1">
        <f t="shared" si="0"/>
        <v>1.8132499999999999E-2</v>
      </c>
      <c r="I50" s="2">
        <f>Interpolate_Interval(H47,H51,I47,I51,H50)</f>
        <v>0.88268451986310692</v>
      </c>
      <c r="J50" s="15"/>
      <c r="K50" s="16"/>
      <c r="M50" s="1">
        <f t="shared" si="7"/>
        <v>0.13836043406093532</v>
      </c>
      <c r="N50" s="17">
        <f>N51</f>
        <v>4.2646874104263904E-2</v>
      </c>
      <c r="O50" s="16">
        <f t="shared" si="8"/>
        <v>1.0468750000000001E-3</v>
      </c>
      <c r="P50" s="32">
        <f t="shared" si="10"/>
        <v>6.4917950172551544</v>
      </c>
      <c r="Q50" s="1">
        <f>Interpolate_Interval(G49,G51,Q49,Q51,G50)</f>
        <v>4.2340434343370884E-2</v>
      </c>
      <c r="R50" s="1"/>
      <c r="S50" s="10">
        <f t="shared" si="12"/>
        <v>1.8487025832131413E-2</v>
      </c>
      <c r="Y50" s="1"/>
      <c r="Z50" s="1"/>
      <c r="AA50" s="1"/>
      <c r="AB50" s="1"/>
    </row>
    <row r="51" spans="1:28">
      <c r="G51" s="13">
        <f t="shared" si="11"/>
        <v>7</v>
      </c>
      <c r="H51" s="1">
        <f t="shared" si="0"/>
        <v>1.8839999999999999E-2</v>
      </c>
      <c r="I51" s="2">
        <f>(1-J47*H51)/(1+H51)</f>
        <v>0.87447043016937043</v>
      </c>
      <c r="J51" s="15">
        <f>J47+1*I51</f>
        <v>6.6629283349591066</v>
      </c>
      <c r="K51" s="16">
        <f>Interpolate_Range($D$17:$D$31,$E$17:$E$31,G51)</f>
        <v>2.206E-2</v>
      </c>
      <c r="L51" s="15">
        <f>L49+0.5*I51</f>
        <v>6.694641507106482</v>
      </c>
      <c r="M51" s="1">
        <f t="shared" si="7"/>
        <v>0.14768379164676898</v>
      </c>
      <c r="N51" s="14">
        <f>(K51*L51-M49)/(0.25*I50+0.25*I51)</f>
        <v>4.2646874104263904E-2</v>
      </c>
      <c r="O51" s="16">
        <f t="shared" si="8"/>
        <v>1.0499999999999999E-3</v>
      </c>
      <c r="P51" s="32">
        <f t="shared" si="10"/>
        <v>6.7104126247974971</v>
      </c>
      <c r="Q51" s="14">
        <f>(M51+O51*P51-R49)/(0.5*I51)</f>
        <v>4.3991742931509814E-2</v>
      </c>
      <c r="R51" s="1">
        <f>R49+0.5*Q51*I51</f>
        <v>0.15472972490280634</v>
      </c>
      <c r="S51" s="10">
        <f t="shared" si="12"/>
        <v>1.9162399787037952E-2</v>
      </c>
    </row>
    <row r="52" spans="1:28">
      <c r="G52" s="13">
        <f t="shared" si="11"/>
        <v>7.25</v>
      </c>
      <c r="H52" s="1">
        <f t="shared" si="0"/>
        <v>1.9407500000000001E-2</v>
      </c>
      <c r="I52" s="2">
        <f>Interpolate_Interval(H51,H55,I51,I55,H52)</f>
        <v>0.86624778077282338</v>
      </c>
      <c r="J52" s="15"/>
      <c r="K52" s="16"/>
      <c r="M52" s="1">
        <f t="shared" si="7"/>
        <v>0.15661662972330531</v>
      </c>
      <c r="N52" s="17">
        <f>N53</f>
        <v>4.1248420023965476E-2</v>
      </c>
      <c r="O52" s="16">
        <f t="shared" si="8"/>
        <v>1.0499999999999999E-3</v>
      </c>
      <c r="P52" s="32">
        <f t="shared" si="10"/>
        <v>6.926974569990703</v>
      </c>
      <c r="Q52" s="1">
        <f>Interpolate_Interval(G51,G53,Q51,Q53,G52)</f>
        <v>4.3246420315367906E-2</v>
      </c>
      <c r="R52" s="1"/>
      <c r="S52" s="10">
        <f t="shared" si="12"/>
        <v>1.9804729704789002E-2</v>
      </c>
      <c r="T52" s="8"/>
    </row>
    <row r="53" spans="1:28">
      <c r="B53" s="1"/>
      <c r="D53" s="36"/>
      <c r="G53" s="13">
        <f t="shared" si="11"/>
        <v>7.5</v>
      </c>
      <c r="H53" s="1">
        <f t="shared" si="0"/>
        <v>1.9975E-2</v>
      </c>
      <c r="I53" s="2">
        <f>Interpolate_Interval(H51,H55,I51,I55,H53)</f>
        <v>0.85802513137627645</v>
      </c>
      <c r="J53" s="15"/>
      <c r="K53" s="16">
        <f>Interpolate_Range($D$17:$D$31,$E$17:$E$31,G53)</f>
        <v>2.3227499999999998E-2</v>
      </c>
      <c r="L53" s="15">
        <f>L51+0.5*I53</f>
        <v>7.1236540727946203</v>
      </c>
      <c r="M53" s="1">
        <f t="shared" si="7"/>
        <v>0.165464674975837</v>
      </c>
      <c r="N53" s="14">
        <f>(K53*L53-M51)/(0.25*I52+0.25*I53)</f>
        <v>4.1248420023965476E-2</v>
      </c>
      <c r="O53" s="16">
        <f t="shared" si="8"/>
        <v>1.0499999999999999E-3</v>
      </c>
      <c r="P53" s="32">
        <f t="shared" si="10"/>
        <v>7.1414808528347722</v>
      </c>
      <c r="Q53" s="14">
        <f>(M53+O53*P53-R51)/(0.5*I53)</f>
        <v>4.2501097699225998E-2</v>
      </c>
      <c r="R53" s="1">
        <f>R51+0.5*Q53*I53</f>
        <v>0.17296322987131352</v>
      </c>
      <c r="S53" s="10">
        <f t="shared" si="12"/>
        <v>2.0416251903306211E-2</v>
      </c>
      <c r="T53" s="8"/>
    </row>
    <row r="54" spans="1:28">
      <c r="B54" s="1"/>
      <c r="D54" s="36"/>
      <c r="G54" s="13">
        <f t="shared" si="11"/>
        <v>7.75</v>
      </c>
      <c r="H54" s="1">
        <f t="shared" si="0"/>
        <v>2.0542499999999998E-2</v>
      </c>
      <c r="I54" s="2">
        <f>Interpolate_Interval(H51,H55,I51,I55,H54)</f>
        <v>0.84980248197972941</v>
      </c>
      <c r="J54" s="15"/>
      <c r="K54" s="16"/>
      <c r="M54" s="1">
        <f t="shared" si="7"/>
        <v>0.17480086129768768</v>
      </c>
      <c r="N54" s="17">
        <f>N55</f>
        <v>4.3945206185328003E-2</v>
      </c>
      <c r="O54" s="16">
        <f t="shared" si="8"/>
        <v>1.0499999999999999E-3</v>
      </c>
      <c r="P54" s="32">
        <f t="shared" si="10"/>
        <v>7.3539314733297045</v>
      </c>
      <c r="Q54" s="1">
        <f>Interpolate_Interval(G53,G55,Q53,Q55,G54)</f>
        <v>4.3858058272806477E-2</v>
      </c>
      <c r="R54" s="1"/>
      <c r="S54" s="10">
        <f t="shared" si="12"/>
        <v>2.100017169578372E-2</v>
      </c>
      <c r="T54" s="8"/>
    </row>
    <row r="55" spans="1:28">
      <c r="G55" s="13">
        <f t="shared" si="11"/>
        <v>8</v>
      </c>
      <c r="H55" s="1">
        <f t="shared" si="0"/>
        <v>2.111E-2</v>
      </c>
      <c r="I55" s="2">
        <f>(1-J51*H55)/(1+H55)</f>
        <v>0.84157983258318236</v>
      </c>
      <c r="J55" s="15">
        <f>J51+1*I55</f>
        <v>7.5045081675422889</v>
      </c>
      <c r="K55" s="16">
        <f>Interpolate_Range($D$17:$D$31,$E$17:$E$31,G55)</f>
        <v>2.4395E-2</v>
      </c>
      <c r="L55" s="15">
        <f>L53+0.5*I55</f>
        <v>7.5444439890862114</v>
      </c>
      <c r="M55" s="1">
        <f t="shared" si="7"/>
        <v>0.18404671111375812</v>
      </c>
      <c r="N55" s="14">
        <f>(K55*L55-M53)/(0.25*I54+0.25*I55)</f>
        <v>4.3945206185328003E-2</v>
      </c>
      <c r="O55" s="16">
        <f t="shared" si="8"/>
        <v>1.0499999999999999E-3</v>
      </c>
      <c r="P55" s="32">
        <f t="shared" si="10"/>
        <v>7.5643264314755001</v>
      </c>
      <c r="Q55" s="14">
        <f>(M55+O55*P55-R53)/(0.5*I55)</f>
        <v>4.5215018846386956E-2</v>
      </c>
      <c r="R55" s="1">
        <f>R53+0.5*Q55*I55</f>
        <v>0.1919892538668074</v>
      </c>
      <c r="S55" s="10">
        <f t="shared" si="12"/>
        <v>2.1559300058899441E-2</v>
      </c>
    </row>
    <row r="56" spans="1:28">
      <c r="B56" s="1"/>
      <c r="G56" s="13">
        <f t="shared" si="11"/>
        <v>8.25</v>
      </c>
      <c r="H56" s="1">
        <f t="shared" si="0"/>
        <v>2.1600000000000001E-2</v>
      </c>
      <c r="I56" s="2">
        <f>Interpolate_Interval(H55,H59,I55,I59,H56)</f>
        <v>0.83324118450776308</v>
      </c>
      <c r="J56" s="15"/>
      <c r="K56" s="16"/>
      <c r="M56" s="1">
        <f t="shared" si="7"/>
        <v>0.19301137488080114</v>
      </c>
      <c r="N56" s="17">
        <f>N57</f>
        <v>4.3035144847473644E-2</v>
      </c>
      <c r="O56" s="16">
        <f t="shared" si="8"/>
        <v>1.0468750000000001E-3</v>
      </c>
      <c r="P56" s="32">
        <f t="shared" si="10"/>
        <v>7.7726367276024408</v>
      </c>
      <c r="Q56" s="1">
        <f>Interpolate_Interval(G55,G57,Q55,Q57,G56)</f>
        <v>4.4701039063622022E-2</v>
      </c>
      <c r="R56" s="1"/>
      <c r="S56" s="10">
        <f t="shared" si="12"/>
        <v>2.2112986848351762E-2</v>
      </c>
    </row>
    <row r="57" spans="1:28">
      <c r="B57" s="1"/>
      <c r="C57" s="1"/>
      <c r="G57" s="13">
        <f t="shared" si="11"/>
        <v>8.5</v>
      </c>
      <c r="H57" s="1">
        <f t="shared" si="0"/>
        <v>2.2089999999999999E-2</v>
      </c>
      <c r="I57" s="2">
        <f>Interpolate_Interval(H55,H59,I55,I59,H57)</f>
        <v>0.82490253643234379</v>
      </c>
      <c r="J57" s="15"/>
      <c r="K57" s="16">
        <f>Interpolate_Range($D$17:$D$31,$E$17:$E$31,G57)</f>
        <v>2.5372499999999999E-2</v>
      </c>
      <c r="L57" s="15">
        <f>L55+0.5*I57</f>
        <v>7.9568952573023832</v>
      </c>
      <c r="M57" s="1">
        <f t="shared" si="7"/>
        <v>0.20188632491590472</v>
      </c>
      <c r="N57" s="14">
        <f>(K57*L57-M55)/(0.25*I56+0.25*I57)</f>
        <v>4.3035144847473644E-2</v>
      </c>
      <c r="O57" s="16">
        <f t="shared" si="8"/>
        <v>1.04375E-3</v>
      </c>
      <c r="P57" s="32">
        <f t="shared" si="10"/>
        <v>7.9788623617105268</v>
      </c>
      <c r="Q57" s="14">
        <f>(M57+O57*P57-R55)/(0.5*I57)</f>
        <v>4.4187059280857095E-2</v>
      </c>
      <c r="R57" s="1">
        <f>R55+0.5*Q57*I57</f>
        <v>0.21021426250594008</v>
      </c>
      <c r="S57" s="10">
        <f t="shared" si="12"/>
        <v>2.2645886739296933E-2</v>
      </c>
    </row>
    <row r="58" spans="1:28">
      <c r="G58" s="13">
        <f t="shared" si="11"/>
        <v>8.75</v>
      </c>
      <c r="H58" s="1">
        <f t="shared" si="0"/>
        <v>2.2579999999999999E-2</v>
      </c>
      <c r="I58" s="2">
        <f>Interpolate_Interval(H55,H59,I55,I59,H58)</f>
        <v>0.81656388835692439</v>
      </c>
      <c r="J58" s="15"/>
      <c r="M58" s="1">
        <f t="shared" si="7"/>
        <v>0.21114672426195261</v>
      </c>
      <c r="N58" s="17">
        <f>N59</f>
        <v>4.5362766970660502E-2</v>
      </c>
      <c r="O58" s="16">
        <f t="shared" si="8"/>
        <v>1.0406249999999999E-3</v>
      </c>
      <c r="P58" s="32">
        <f t="shared" si="10"/>
        <v>8.183003333799757</v>
      </c>
      <c r="Q58" s="1">
        <f>Interpolate_Interval(G57,G59,Q57,Q59,G58)</f>
        <v>4.535164323095997E-2</v>
      </c>
      <c r="R58" s="1"/>
      <c r="S58" s="10">
        <f t="shared" si="12"/>
        <v>2.3160014059759516E-2</v>
      </c>
    </row>
    <row r="59" spans="1:28">
      <c r="G59" s="13">
        <f t="shared" si="11"/>
        <v>9</v>
      </c>
      <c r="H59" s="1">
        <f t="shared" si="0"/>
        <v>2.307E-2</v>
      </c>
      <c r="I59" s="2">
        <f>(1-J55*H59)/(1+H59)</f>
        <v>0.80822524028150511</v>
      </c>
      <c r="J59" s="15">
        <f>J55+1*I59</f>
        <v>8.312733407823794</v>
      </c>
      <c r="K59" s="16">
        <f>Interpolate_Range($D$17:$D$31,$E$17:$E$31,G59)</f>
        <v>2.6349999999999998E-2</v>
      </c>
      <c r="L59" s="15">
        <f>L57+0.5*I59</f>
        <v>8.3610078774431358</v>
      </c>
      <c r="M59" s="1">
        <f t="shared" si="7"/>
        <v>0.22031255757062662</v>
      </c>
      <c r="N59" s="14">
        <f>(K59*L59-M57)/(0.25*I58+0.25*I59)</f>
        <v>4.5362766970660502E-2</v>
      </c>
      <c r="O59" s="16">
        <f t="shared" si="8"/>
        <v>1.0375E-3</v>
      </c>
      <c r="P59" s="32">
        <f t="shared" si="10"/>
        <v>8.3850596438701324</v>
      </c>
      <c r="Q59" s="14">
        <f>(M59+O59*P59-R57)/(0.5*I59)</f>
        <v>4.6516227181062846E-2</v>
      </c>
      <c r="R59" s="1">
        <f>R57+0.5*Q59*I59</f>
        <v>0.22901205695114188</v>
      </c>
      <c r="S59" s="10">
        <f t="shared" si="12"/>
        <v>2.3657166287057302E-2</v>
      </c>
    </row>
    <row r="60" spans="1:28">
      <c r="G60" s="13">
        <f t="shared" si="11"/>
        <v>9.25</v>
      </c>
      <c r="H60" s="1">
        <f t="shared" si="0"/>
        <v>2.3495000000000002E-2</v>
      </c>
      <c r="I60" s="2">
        <f>Interpolate_Interval(H59,H63,I59,I63,H60)</f>
        <v>0.79989376443934701</v>
      </c>
      <c r="J60" s="15"/>
      <c r="K60" s="16"/>
      <c r="M60" s="1">
        <f t="shared" ref="M60:M91" si="13">M59+N60*0.25*I60</f>
        <v>0.22920736453555654</v>
      </c>
      <c r="N60" s="17">
        <f>N61</f>
        <v>4.4479941514055273E-2</v>
      </c>
      <c r="O60" s="16">
        <f t="shared" si="8"/>
        <v>1.0406249999999999E-3</v>
      </c>
      <c r="P60" s="32">
        <f t="shared" si="10"/>
        <v>8.585033084979969</v>
      </c>
      <c r="Q60" s="1">
        <f>Interpolate_Interval(G59,G61,Q59,Q61,G60)</f>
        <v>4.6205954194608836E-2</v>
      </c>
      <c r="R60" s="1"/>
      <c r="S60" s="10">
        <f t="shared" si="12"/>
        <v>2.4137984279242134E-2</v>
      </c>
    </row>
    <row r="61" spans="1:28">
      <c r="B61" s="1"/>
      <c r="C61" s="32"/>
      <c r="E61" s="1"/>
      <c r="G61" s="13">
        <f t="shared" si="11"/>
        <v>9.5</v>
      </c>
      <c r="H61" s="1">
        <f t="shared" si="0"/>
        <v>2.392E-2</v>
      </c>
      <c r="I61" s="2">
        <f>Interpolate_Interval(H59,H63,I59,I63,H61)</f>
        <v>0.79156228859718891</v>
      </c>
      <c r="J61" s="15"/>
      <c r="K61" s="16">
        <f>Interpolate_Range($D$17:$D$31,$E$17:$E$31,G61)</f>
        <v>2.7179999999999999E-2</v>
      </c>
      <c r="L61" s="15">
        <f>L59+0.5*I61</f>
        <v>8.7567890217417297</v>
      </c>
      <c r="M61" s="1">
        <f t="shared" si="13"/>
        <v>0.23800952561094021</v>
      </c>
      <c r="N61" s="14">
        <f>(K61*L61-M59)/(0.25*I60+0.25*I61)</f>
        <v>4.4479941514055273E-2</v>
      </c>
      <c r="O61" s="16">
        <f t="shared" si="8"/>
        <v>1.04375E-3</v>
      </c>
      <c r="P61" s="32">
        <f t="shared" si="10"/>
        <v>8.7829236571292668</v>
      </c>
      <c r="Q61" s="14">
        <f>(M61+O61*P61-R59)/(0.5*I61)</f>
        <v>4.589568120815482E-2</v>
      </c>
      <c r="R61" s="1">
        <f>R59+0.5*Q61*I61</f>
        <v>0.24717670217806889</v>
      </c>
      <c r="S61" s="10">
        <f t="shared" si="12"/>
        <v>2.4604916405941996E-2</v>
      </c>
    </row>
    <row r="62" spans="1:28">
      <c r="B62" s="1"/>
      <c r="C62" s="32"/>
      <c r="E62" s="1"/>
      <c r="G62" s="13">
        <f t="shared" si="11"/>
        <v>9.75</v>
      </c>
      <c r="H62" s="1">
        <f t="shared" si="0"/>
        <v>2.4344999999999999E-2</v>
      </c>
      <c r="I62" s="2">
        <f>Interpolate_Interval(H59,H63,I59,I63,H62)</f>
        <v>0.78323081275503093</v>
      </c>
      <c r="J62" s="15"/>
      <c r="K62" s="16"/>
      <c r="M62" s="1">
        <f t="shared" si="13"/>
        <v>0.24711827198115832</v>
      </c>
      <c r="N62" s="17">
        <f>N63</f>
        <v>4.6518835683585509E-2</v>
      </c>
      <c r="O62" s="16">
        <f t="shared" si="8"/>
        <v>1.0468750000000001E-3</v>
      </c>
      <c r="P62" s="32">
        <f t="shared" si="10"/>
        <v>8.9787313603180241</v>
      </c>
      <c r="Q62" s="1">
        <f>Interpolate_Interval(G61,G63,Q61,Q63,G62)</f>
        <v>4.6930958995550366E-2</v>
      </c>
      <c r="R62" s="1"/>
      <c r="S62" s="10">
        <f t="shared" si="12"/>
        <v>2.5059266298587773E-2</v>
      </c>
    </row>
    <row r="63" spans="1:28">
      <c r="B63" s="1"/>
      <c r="C63" s="32"/>
      <c r="E63" s="1"/>
      <c r="G63" s="13">
        <f t="shared" si="11"/>
        <v>10</v>
      </c>
      <c r="H63" s="1">
        <f t="shared" si="0"/>
        <v>2.477E-2</v>
      </c>
      <c r="I63" s="2">
        <f>(1-J59*H63)/(1+H63)</f>
        <v>0.77489933691287283</v>
      </c>
      <c r="J63" s="15">
        <f>J59+1*I63</f>
        <v>9.0876327447366663</v>
      </c>
      <c r="K63" s="16">
        <f>Interpolate_Range($D$17:$D$31,$E$17:$E$31,G63)</f>
        <v>2.801E-2</v>
      </c>
      <c r="L63" s="15">
        <f>L61+0.5*I63</f>
        <v>9.1442386901981667</v>
      </c>
      <c r="M63" s="1">
        <f t="shared" si="13"/>
        <v>0.25613012571245064</v>
      </c>
      <c r="N63" s="14">
        <f>(K63*L63-M61)/(0.25*I62+0.25*I63)</f>
        <v>4.6518835683585509E-2</v>
      </c>
      <c r="O63" s="16">
        <f t="shared" si="8"/>
        <v>1.0499999999999999E-3</v>
      </c>
      <c r="P63" s="32">
        <f t="shared" si="10"/>
        <v>9.1724561945462426</v>
      </c>
      <c r="Q63" s="14">
        <f>(M63+O63*P63-R61)/(0.5*I63)</f>
        <v>4.7966236782945912E-2</v>
      </c>
      <c r="R63" s="1">
        <f>R61+0.5*Q63*I63</f>
        <v>0.26576120471672421</v>
      </c>
      <c r="S63" s="10">
        <f t="shared" si="12"/>
        <v>2.5502214591930555E-2</v>
      </c>
    </row>
    <row r="64" spans="1:28">
      <c r="B64" s="1"/>
      <c r="C64" s="32"/>
      <c r="E64" s="1"/>
      <c r="G64" s="13">
        <f t="shared" si="11"/>
        <v>10.25</v>
      </c>
      <c r="H64" s="1">
        <f t="shared" si="0"/>
        <v>2.5111874999999999E-2</v>
      </c>
      <c r="I64" s="2">
        <f>Interpolate_Interval(H63,H67,I63,I67,H64)</f>
        <v>0.76693713175104328</v>
      </c>
      <c r="J64" s="15"/>
      <c r="K64" s="16"/>
      <c r="M64" s="1">
        <f t="shared" si="13"/>
        <v>0.26464975891285974</v>
      </c>
      <c r="N64" s="17">
        <f>N65</f>
        <v>4.4434584519111225E-2</v>
      </c>
      <c r="O64" s="16">
        <f t="shared" si="8"/>
        <v>1.0499999999999999E-3</v>
      </c>
      <c r="P64" s="32">
        <f t="shared" si="10"/>
        <v>9.3641904774840032</v>
      </c>
      <c r="Q64" s="1">
        <f>Interpolate_Interval(G63,G65,Q63,Q65,G64)</f>
        <v>4.6844702336746424E-2</v>
      </c>
      <c r="R64" s="1"/>
      <c r="S64" s="10">
        <f t="shared" si="12"/>
        <v>2.5887848526887018E-2</v>
      </c>
    </row>
    <row r="65" spans="2:19">
      <c r="B65" s="1"/>
      <c r="C65" s="32"/>
      <c r="E65" s="1"/>
      <c r="G65" s="13">
        <f t="shared" si="11"/>
        <v>10.5</v>
      </c>
      <c r="H65" s="1">
        <f t="shared" si="0"/>
        <v>2.5453750000000001E-2</v>
      </c>
      <c r="I65" s="2">
        <f>Interpolate_Interval(H63,H67,I63,I67,H65)</f>
        <v>0.75897492658921373</v>
      </c>
      <c r="J65" s="15"/>
      <c r="K65" s="16">
        <f>Interpolate_Range($D$17:$D$31,$E$17:$E$31,G65)</f>
        <v>2.8673750000000001E-2</v>
      </c>
      <c r="L65" s="15">
        <f>L63+0.5*I65</f>
        <v>9.523726153492774</v>
      </c>
      <c r="M65" s="1">
        <f t="shared" si="13"/>
        <v>0.27308094279371342</v>
      </c>
      <c r="N65" s="14">
        <f>(K65*L65-M63)/(0.25*I64+0.25*I65)</f>
        <v>4.4434584519111225E-2</v>
      </c>
      <c r="O65" s="16">
        <f t="shared" si="8"/>
        <v>1.0499999999999999E-3</v>
      </c>
      <c r="P65" s="32">
        <f t="shared" si="10"/>
        <v>9.553934209131306</v>
      </c>
      <c r="Q65" s="14">
        <f>(M65+O65*P65-R63)/(0.5*I65)</f>
        <v>4.5723167890546937E-2</v>
      </c>
      <c r="R65" s="1">
        <f>R63+0.5*Q65*I65</f>
        <v>0.28311257371330129</v>
      </c>
      <c r="S65" s="10">
        <f t="shared" si="12"/>
        <v>2.626538446942742E-2</v>
      </c>
    </row>
    <row r="66" spans="2:19">
      <c r="B66" s="1"/>
      <c r="C66" s="32"/>
      <c r="E66" s="1"/>
      <c r="G66" s="13">
        <f t="shared" si="11"/>
        <v>10.75</v>
      </c>
      <c r="H66" s="1">
        <f t="shared" si="0"/>
        <v>2.5795625000000003E-2</v>
      </c>
      <c r="I66" s="2">
        <f>Interpolate_Interval(H63,H67,I63,I67,H66)</f>
        <v>0.75101272142738407</v>
      </c>
      <c r="J66" s="15"/>
      <c r="M66" s="1">
        <f t="shared" si="13"/>
        <v>0.28173732785559857</v>
      </c>
      <c r="N66" s="17">
        <f>N67</f>
        <v>4.6105131457335302E-2</v>
      </c>
      <c r="O66" s="16">
        <f t="shared" si="8"/>
        <v>1.0499999999999999E-3</v>
      </c>
      <c r="P66" s="32">
        <f t="shared" si="10"/>
        <v>9.7416873894881526</v>
      </c>
      <c r="Q66" s="1">
        <f>Interpolate_Interval(G65,G67,Q65,Q67,G66)</f>
        <v>4.6565473128025822E-2</v>
      </c>
      <c r="R66" s="1"/>
      <c r="S66" s="10">
        <f t="shared" si="12"/>
        <v>2.6635598887818485E-2</v>
      </c>
    </row>
    <row r="67" spans="2:19">
      <c r="B67" s="1"/>
      <c r="C67" s="32"/>
      <c r="E67" s="1"/>
      <c r="G67" s="13">
        <f t="shared" si="11"/>
        <v>11</v>
      </c>
      <c r="H67" s="1">
        <f t="shared" si="0"/>
        <v>2.6137500000000001E-2</v>
      </c>
      <c r="I67" s="2">
        <f>(1-J63*H67)/(1+H67)</f>
        <v>0.74305051626555452</v>
      </c>
      <c r="J67" s="15">
        <f>J63+1*I67</f>
        <v>9.8306832610022212</v>
      </c>
      <c r="K67" s="16">
        <f>Interpolate_Range($D$17:$D$31,$E$17:$E$31,G67)</f>
        <v>2.9337500000000002E-2</v>
      </c>
      <c r="L67" s="15">
        <f>L65+0.5*I67</f>
        <v>9.8952514116255514</v>
      </c>
      <c r="M67" s="1">
        <f t="shared" si="13"/>
        <v>0.29030193828856465</v>
      </c>
      <c r="N67" s="14">
        <f>(K67*L67-M65)/(0.25*I66+0.25*I67)</f>
        <v>4.6105131457335302E-2</v>
      </c>
      <c r="O67" s="16">
        <f t="shared" si="8"/>
        <v>1.0499999999999999E-3</v>
      </c>
      <c r="P67" s="32">
        <f t="shared" si="10"/>
        <v>9.9274500185545413</v>
      </c>
      <c r="Q67" s="14">
        <f>(M67+O67*P67-R65)/(0.5*I67)</f>
        <v>4.7407778365504707E-2</v>
      </c>
      <c r="R67" s="1">
        <f>R65+0.5*Q67*I67</f>
        <v>0.30072576080804692</v>
      </c>
      <c r="S67" s="10">
        <f t="shared" si="12"/>
        <v>2.6999204271392453E-2</v>
      </c>
    </row>
    <row r="68" spans="2:19">
      <c r="B68" s="1"/>
      <c r="C68" s="32"/>
      <c r="E68" s="1"/>
      <c r="G68" s="13">
        <f t="shared" si="11"/>
        <v>11.25</v>
      </c>
      <c r="H68" s="1">
        <f t="shared" si="0"/>
        <v>2.6479374999999999E-2</v>
      </c>
      <c r="I68" s="2">
        <f>Interpolate_Interval(H67,H71,I67,I71,H68)</f>
        <v>0.7348069885432309</v>
      </c>
      <c r="J68" s="15"/>
      <c r="K68" s="16"/>
      <c r="M68" s="1">
        <f t="shared" si="13"/>
        <v>0.2990846428142514</v>
      </c>
      <c r="N68" s="17">
        <f>N69</f>
        <v>4.780958625937206E-2</v>
      </c>
      <c r="O68" s="16">
        <f t="shared" si="8"/>
        <v>1.0499999999999999E-3</v>
      </c>
      <c r="P68" s="32">
        <f t="shared" si="10"/>
        <v>10.11115176569035</v>
      </c>
      <c r="Q68" s="1">
        <f>Interpolate_Interval(G67,G69,Q67,Q69,G68)</f>
        <v>4.8272271498225175E-2</v>
      </c>
      <c r="R68" s="1"/>
      <c r="S68" s="10">
        <f t="shared" si="12"/>
        <v>2.7390881322340941E-2</v>
      </c>
    </row>
    <row r="69" spans="2:19">
      <c r="B69" s="1"/>
      <c r="C69" s="32"/>
      <c r="E69" s="1"/>
      <c r="G69" s="13">
        <f t="shared" si="11"/>
        <v>11.5</v>
      </c>
      <c r="H69" s="1">
        <f t="shared" si="0"/>
        <v>2.6821250000000001E-2</v>
      </c>
      <c r="I69" s="2">
        <f>Interpolate_Interval(H67,H71,I67,I71,H69)</f>
        <v>0.72656346082090717</v>
      </c>
      <c r="J69" s="15"/>
      <c r="K69" s="16">
        <f>Interpolate_Range($D$17:$D$31,$E$17:$E$31,G69)</f>
        <v>3.000125E-2</v>
      </c>
      <c r="L69" s="15">
        <f>L67+0.5*I69</f>
        <v>10.258533142036004</v>
      </c>
      <c r="M69" s="1">
        <f t="shared" si="13"/>
        <v>0.30776881742750767</v>
      </c>
      <c r="N69" s="14">
        <f>(K69*L69-M67)/(0.25*I68+0.25*I69)</f>
        <v>4.780958625937206E-2</v>
      </c>
      <c r="O69" s="16">
        <f t="shared" si="8"/>
        <v>1.0499999999999999E-3</v>
      </c>
      <c r="P69" s="32">
        <f t="shared" si="10"/>
        <v>10.292792630895576</v>
      </c>
      <c r="Q69" s="14">
        <f>(M69+O69*P69-R67)/(0.5*I69)</f>
        <v>4.9136764630945642E-2</v>
      </c>
      <c r="R69" s="1">
        <f>R67+0.5*Q69*I69</f>
        <v>0.31857624968994802</v>
      </c>
      <c r="S69" s="10">
        <f t="shared" si="12"/>
        <v>2.7776473769309768E-2</v>
      </c>
    </row>
    <row r="70" spans="2:19">
      <c r="B70" s="1"/>
      <c r="C70" s="32"/>
      <c r="E70" s="1"/>
      <c r="G70" s="13">
        <f t="shared" si="11"/>
        <v>11.75</v>
      </c>
      <c r="H70" s="1">
        <f t="shared" si="0"/>
        <v>2.7163125000000003E-2</v>
      </c>
      <c r="I70" s="2">
        <f>Interpolate_Interval(H67,H71,I67,I71,H70)</f>
        <v>0.71831993309858344</v>
      </c>
      <c r="J70" s="15"/>
      <c r="K70" s="16"/>
      <c r="M70" s="1">
        <f t="shared" si="13"/>
        <v>0.31666805573229739</v>
      </c>
      <c r="N70" s="17">
        <f>N71</f>
        <v>4.9555847720396777E-2</v>
      </c>
      <c r="O70" s="16">
        <f t="shared" si="8"/>
        <v>1.0499999999999999E-3</v>
      </c>
      <c r="P70" s="32">
        <f t="shared" si="10"/>
        <v>10.472372614170222</v>
      </c>
      <c r="Q70" s="1">
        <f>Interpolate_Interval(G69,G71,Q69,Q71,G70)</f>
        <v>5.0018181464526093E-2</v>
      </c>
      <c r="R70" s="1"/>
      <c r="S70" s="10">
        <f t="shared" si="12"/>
        <v>2.8156614460045918E-2</v>
      </c>
    </row>
    <row r="71" spans="2:19">
      <c r="B71" s="1"/>
      <c r="C71" s="32"/>
      <c r="E71" s="1"/>
      <c r="G71" s="13">
        <f t="shared" si="11"/>
        <v>12</v>
      </c>
      <c r="H71" s="1">
        <f t="shared" si="0"/>
        <v>2.7505000000000002E-2</v>
      </c>
      <c r="I71" s="2">
        <f>(1-J67*H71)/(1+H71)</f>
        <v>0.71007640537625982</v>
      </c>
      <c r="J71" s="15">
        <f>J67+1*I71</f>
        <v>10.540759666378481</v>
      </c>
      <c r="K71" s="16">
        <f>Interpolate_Range($D$17:$D$31,$E$17:$E$31,G71)</f>
        <v>3.0665000000000001E-2</v>
      </c>
      <c r="L71" s="15">
        <f>L69+0.5*I71</f>
        <v>10.613571344724134</v>
      </c>
      <c r="M71" s="1">
        <f t="shared" si="13"/>
        <v>0.32546516528596559</v>
      </c>
      <c r="N71" s="14">
        <f>(K71*L71-M69)/(0.25*I70+0.25*I71)</f>
        <v>4.9555847720396777E-2</v>
      </c>
      <c r="O71" s="16">
        <f t="shared" si="8"/>
        <v>1.0499999999999999E-3</v>
      </c>
      <c r="P71" s="32">
        <f t="shared" si="10"/>
        <v>10.649891715514288</v>
      </c>
      <c r="Q71" s="14">
        <f>(M71+O71*P71-R69)/(0.5*I71)</f>
        <v>5.0899598298106551E-2</v>
      </c>
      <c r="R71" s="1">
        <f>R69+0.5*Q71*I71</f>
        <v>0.33664755158725557</v>
      </c>
      <c r="S71" s="10">
        <f t="shared" si="12"/>
        <v>2.853189179422182E-2</v>
      </c>
    </row>
    <row r="72" spans="2:19">
      <c r="B72" s="1"/>
      <c r="C72" s="32"/>
      <c r="E72" s="1"/>
      <c r="G72" s="13">
        <f t="shared" si="11"/>
        <v>12.25</v>
      </c>
      <c r="H72" s="1">
        <f t="shared" si="0"/>
        <v>2.7720416666666668E-2</v>
      </c>
      <c r="I72" s="2">
        <f>Interpolate_Interval(H71,H75,I71,I75,H72)</f>
        <v>0.70297166275567158</v>
      </c>
      <c r="J72" s="15"/>
      <c r="K72" s="16"/>
      <c r="M72" s="1">
        <f t="shared" si="13"/>
        <v>0.33310016129699244</v>
      </c>
      <c r="N72" s="17">
        <f>N73</f>
        <v>4.3444118251352741E-2</v>
      </c>
      <c r="O72" s="16">
        <f t="shared" si="8"/>
        <v>1.0510416666666667E-3</v>
      </c>
      <c r="P72" s="32">
        <f t="shared" si="10"/>
        <v>10.825634631203206</v>
      </c>
      <c r="Q72" s="1">
        <f>Interpolate_Interval(G71,G73,Q71,Q73,G72)</f>
        <v>4.7843359922955617E-2</v>
      </c>
      <c r="R72" s="1"/>
      <c r="S72" s="10">
        <f t="shared" si="12"/>
        <v>2.8770505878249138E-2</v>
      </c>
    </row>
    <row r="73" spans="2:19">
      <c r="B73" s="1"/>
      <c r="C73" s="32"/>
      <c r="E73" s="1"/>
      <c r="G73" s="13">
        <f t="shared" si="11"/>
        <v>12.5</v>
      </c>
      <c r="H73" s="1">
        <f t="shared" si="0"/>
        <v>2.7935833333333333E-2</v>
      </c>
      <c r="I73" s="2">
        <f>Interpolate_Interval(H71,H75,I71,I75,H73)</f>
        <v>0.69586692013508322</v>
      </c>
      <c r="J73" s="15"/>
      <c r="K73" s="16">
        <f>Interpolate_Range($D$17:$D$31,$E$17:$E$31,G73)</f>
        <v>3.1077666666666667E-2</v>
      </c>
      <c r="L73" s="15">
        <f>L71+0.5*I73</f>
        <v>10.961504804791675</v>
      </c>
      <c r="M73" s="1">
        <f t="shared" si="13"/>
        <v>0.34065799248838075</v>
      </c>
      <c r="N73" s="14">
        <f>(K73*L73-M71)/(0.25*I72+0.25*I73)</f>
        <v>4.3444118251352741E-2</v>
      </c>
      <c r="O73" s="16">
        <f t="shared" si="8"/>
        <v>1.0520833333333333E-3</v>
      </c>
      <c r="P73" s="32">
        <f t="shared" si="10"/>
        <v>10.999601361236977</v>
      </c>
      <c r="Q73" s="14">
        <f>(M73+O73*P73-R71)/(0.5*I73)</f>
        <v>4.4787121547804676E-2</v>
      </c>
      <c r="R73" s="1">
        <f>R71+0.5*Q73*I73</f>
        <v>0.3522304897538488</v>
      </c>
      <c r="S73" s="10">
        <f t="shared" si="12"/>
        <v>2.9007747490601289E-2</v>
      </c>
    </row>
    <row r="74" spans="2:19">
      <c r="B74" s="1"/>
      <c r="C74" s="32"/>
      <c r="E74" s="1"/>
      <c r="G74" s="13">
        <f t="shared" si="11"/>
        <v>12.75</v>
      </c>
      <c r="H74" s="1">
        <f t="shared" si="0"/>
        <v>2.8151250000000003E-2</v>
      </c>
      <c r="I74" s="2">
        <f>Interpolate_Interval(H71,H75,I71,I75,H74)</f>
        <v>0.68876217751449476</v>
      </c>
      <c r="J74" s="15"/>
      <c r="M74" s="1">
        <f t="shared" si="13"/>
        <v>0.34832566820643845</v>
      </c>
      <c r="N74" s="17">
        <f>N75</f>
        <v>4.4530178737326842E-2</v>
      </c>
      <c r="O74" s="16">
        <f t="shared" si="8"/>
        <v>1.053125E-3</v>
      </c>
      <c r="P74" s="32">
        <f t="shared" si="10"/>
        <v>11.171791905615601</v>
      </c>
      <c r="Q74" s="1">
        <f>Interpolate_Interval(G73,G75,Q73,Q75,G74)</f>
        <v>4.5338129813498301E-2</v>
      </c>
      <c r="R74" s="1"/>
      <c r="S74" s="10">
        <f t="shared" si="12"/>
        <v>2.9243861809372985E-2</v>
      </c>
    </row>
    <row r="75" spans="2:19">
      <c r="B75" s="1"/>
      <c r="C75" s="32"/>
      <c r="E75" s="1"/>
      <c r="G75" s="13">
        <f t="shared" si="11"/>
        <v>13</v>
      </c>
      <c r="H75" s="1">
        <f t="shared" ref="H75:H138" si="14">Interpolate_Range($A$17:$A$50,$B$17:$B$50,G75)</f>
        <v>2.8366666666666669E-2</v>
      </c>
      <c r="I75" s="2">
        <f>(1-J71*H75)/(1+H75)</f>
        <v>0.68165743489390651</v>
      </c>
      <c r="J75" s="15">
        <f>J71+1*I75</f>
        <v>11.222417101272388</v>
      </c>
      <c r="K75" s="16">
        <f>Interpolate_Range($D$17:$D$31,$E$17:$E$31,G75)</f>
        <v>3.1490333333333335E-2</v>
      </c>
      <c r="L75" s="15">
        <f>L73+0.5*I75</f>
        <v>11.302333522238628</v>
      </c>
      <c r="M75" s="1">
        <f t="shared" si="13"/>
        <v>0.35591425005980182</v>
      </c>
      <c r="N75" s="14">
        <f>(K75*L75-M73)/(0.25*I74+0.25*I75)</f>
        <v>4.4530178737326842E-2</v>
      </c>
      <c r="O75" s="16">
        <f t="shared" si="8"/>
        <v>1.0541666666666666E-3</v>
      </c>
      <c r="P75" s="32">
        <f t="shared" si="10"/>
        <v>11.342206264339078</v>
      </c>
      <c r="Q75" s="14">
        <f>(M75+O75*P75-R73)/(0.5*I75)</f>
        <v>4.5889138079191927E-2</v>
      </c>
      <c r="R75" s="1">
        <f>R73+0.5*Q75*I75</f>
        <v>0.36787082583012592</v>
      </c>
      <c r="S75" s="10">
        <f t="shared" ref="S75:S106" si="15">-LN(I75)/G75</f>
        <v>2.9479080169844272E-2</v>
      </c>
    </row>
    <row r="76" spans="2:19">
      <c r="G76" s="13">
        <f t="shared" si="11"/>
        <v>13.25</v>
      </c>
      <c r="H76" s="1">
        <f t="shared" si="14"/>
        <v>2.8582083333333334E-2</v>
      </c>
      <c r="I76" s="2">
        <f>Interpolate_Interval(H75,H79,I75,I79,H76)</f>
        <v>0.67446911416288469</v>
      </c>
      <c r="J76" s="15"/>
      <c r="K76" s="16"/>
      <c r="M76" s="1">
        <f t="shared" si="13"/>
        <v>0.36360936931262011</v>
      </c>
      <c r="N76" s="17">
        <f>N77</f>
        <v>4.5636599756648855E-2</v>
      </c>
      <c r="O76" s="16">
        <f t="shared" si="8"/>
        <v>1.0552083333333333E-3</v>
      </c>
      <c r="P76" s="32">
        <f t="shared" si="10"/>
        <v>11.510823542879798</v>
      </c>
      <c r="Q76" s="1">
        <f>Interpolate_Interval(G75,G77,Q75,Q77,G76)</f>
        <v>4.6452156043994795E-2</v>
      </c>
      <c r="R76" s="1"/>
      <c r="S76" s="10">
        <f t="shared" si="15"/>
        <v>2.9722973214907744E-2</v>
      </c>
    </row>
    <row r="77" spans="2:19">
      <c r="G77" s="13">
        <f t="shared" si="11"/>
        <v>13.5</v>
      </c>
      <c r="H77" s="1">
        <f t="shared" si="14"/>
        <v>2.87975E-2</v>
      </c>
      <c r="I77" s="2">
        <f>Interpolate_Interval(H75,H79,I75,I79,H77)</f>
        <v>0.66728079343186275</v>
      </c>
      <c r="J77" s="15"/>
      <c r="K77" s="16">
        <f>Interpolate_Range($D$17:$D$31,$E$17:$E$31,G77)</f>
        <v>3.1903000000000001E-2</v>
      </c>
      <c r="L77" s="15">
        <f>L75+0.5*I77</f>
        <v>11.63597391895456</v>
      </c>
      <c r="M77" s="1">
        <f t="shared" si="13"/>
        <v>0.37122247593640734</v>
      </c>
      <c r="N77" s="14">
        <f>(K77*L77-M75)/(0.25*I76+0.25*I77)</f>
        <v>4.5636599756648855E-2</v>
      </c>
      <c r="O77" s="16">
        <f t="shared" si="8"/>
        <v>1.0562499999999999E-3</v>
      </c>
      <c r="P77" s="32">
        <f t="shared" si="10"/>
        <v>11.677643741237764</v>
      </c>
      <c r="Q77" s="14">
        <f>(M77+O77*P77-R75)/(0.5*I77)</f>
        <v>4.7015174008797664E-2</v>
      </c>
      <c r="R77" s="1">
        <f>R75+0.5*Q77*I77</f>
        <v>0.38355698713808972</v>
      </c>
      <c r="S77" s="10">
        <f t="shared" si="15"/>
        <v>2.9966247555231338E-2</v>
      </c>
    </row>
    <row r="78" spans="2:19">
      <c r="G78" s="13">
        <f t="shared" si="11"/>
        <v>13.75</v>
      </c>
      <c r="H78" s="1">
        <f t="shared" si="14"/>
        <v>2.9012916666666666E-2</v>
      </c>
      <c r="I78" s="2">
        <f>Interpolate_Interval(H75,H79,I75,I79,H78)</f>
        <v>0.66009247270084082</v>
      </c>
      <c r="J78" s="15"/>
      <c r="K78" s="16"/>
      <c r="M78" s="1">
        <f t="shared" si="13"/>
        <v>0.37894014566395445</v>
      </c>
      <c r="N78" s="17">
        <f>N79</f>
        <v>4.6767203364518908E-2</v>
      </c>
      <c r="O78" s="16">
        <f t="shared" si="8"/>
        <v>1.0572916666666667E-3</v>
      </c>
      <c r="P78" s="32">
        <f t="shared" si="10"/>
        <v>11.842666859412974</v>
      </c>
      <c r="Q78" s="1">
        <f>Interpolate_Interval(G77,G79,Q77,Q79,G78)</f>
        <v>4.7589254185347318E-2</v>
      </c>
      <c r="R78" s="1"/>
      <c r="S78" s="10">
        <f t="shared" si="15"/>
        <v>3.0209115899882726E-2</v>
      </c>
    </row>
    <row r="79" spans="2:19">
      <c r="G79" s="13">
        <f t="shared" si="11"/>
        <v>14</v>
      </c>
      <c r="H79" s="1">
        <f t="shared" si="14"/>
        <v>2.9228333333333332E-2</v>
      </c>
      <c r="I79" s="2">
        <f>(1-J75*H79)/(1+H79)</f>
        <v>0.65290415196981899</v>
      </c>
      <c r="J79" s="15">
        <f>J75+1*I79</f>
        <v>11.875321253242207</v>
      </c>
      <c r="K79" s="16">
        <f>Interpolate_Range($D$17:$D$31,$E$17:$E$31,G79)</f>
        <v>3.2315666666666666E-2</v>
      </c>
      <c r="L79" s="15">
        <f>L77+0.5*I79</f>
        <v>11.962425994939469</v>
      </c>
      <c r="M79" s="1">
        <f t="shared" si="13"/>
        <v>0.38657377097713225</v>
      </c>
      <c r="N79" s="14">
        <f>(K79*L79-M77)/(0.25*I78+0.25*I79)</f>
        <v>4.6767203364518908E-2</v>
      </c>
      <c r="O79" s="16">
        <f t="shared" si="8"/>
        <v>1.0583333333333334E-3</v>
      </c>
      <c r="P79" s="32">
        <f t="shared" si="10"/>
        <v>12.005892897405429</v>
      </c>
      <c r="Q79" s="14">
        <f>(M79+O79*P79-R77)/(0.5*I79)</f>
        <v>4.8163334361896966E-2</v>
      </c>
      <c r="R79" s="1">
        <f>R77+0.5*Q79*I79</f>
        <v>0.39928000762688631</v>
      </c>
      <c r="S79" s="10">
        <f t="shared" si="15"/>
        <v>3.0451781538288453E-2</v>
      </c>
    </row>
    <row r="80" spans="2:19">
      <c r="G80" s="13">
        <f t="shared" si="11"/>
        <v>14.25</v>
      </c>
      <c r="H80" s="1">
        <f t="shared" si="14"/>
        <v>2.9443749999999998E-2</v>
      </c>
      <c r="I80" s="2">
        <f>Interpolate_Interval(H79,H83,I79,I83,H80)</f>
        <v>0.64565273354699948</v>
      </c>
      <c r="J80" s="15"/>
      <c r="K80" s="16"/>
      <c r="M80" s="1">
        <f t="shared" si="13"/>
        <v>0.39430890818539405</v>
      </c>
      <c r="N80" s="17">
        <f>N81</f>
        <v>4.7921347228052746E-2</v>
      </c>
      <c r="O80" s="16">
        <f t="shared" si="8"/>
        <v>1.059375E-3</v>
      </c>
      <c r="P80" s="32">
        <f t="shared" si="10"/>
        <v>12.16730608079218</v>
      </c>
      <c r="Q80" s="1">
        <f>Interpolate_Interval(G79,G81,Q79,Q81,G80)</f>
        <v>4.8750821150068631E-2</v>
      </c>
      <c r="R80" s="1"/>
      <c r="S80" s="10">
        <f t="shared" si="15"/>
        <v>3.0701297116328859E-2</v>
      </c>
    </row>
    <row r="81" spans="7:19">
      <c r="G81" s="13">
        <f t="shared" si="11"/>
        <v>14.5</v>
      </c>
      <c r="H81" s="1">
        <f t="shared" si="14"/>
        <v>2.9659166666666667E-2</v>
      </c>
      <c r="I81" s="2">
        <f>Interpolate_Interval(H79,H83,I79,I83,H81)</f>
        <v>0.63840131512417975</v>
      </c>
      <c r="J81" s="15"/>
      <c r="K81" s="16">
        <f>Interpolate_Range($D$17:$D$31,$E$17:$E$31,G81)</f>
        <v>3.2728333333333332E-2</v>
      </c>
      <c r="L81" s="15">
        <f>L79+0.5*I81</f>
        <v>12.28162665250156</v>
      </c>
      <c r="M81" s="1">
        <f t="shared" si="13"/>
        <v>0.40195717095862188</v>
      </c>
      <c r="N81" s="14">
        <f>(K81*L81-M79)/(0.25*I80+0.25*I81)</f>
        <v>4.7921347228052746E-2</v>
      </c>
      <c r="O81" s="16">
        <f t="shared" si="8"/>
        <v>1.0604166666666668E-3</v>
      </c>
      <c r="P81" s="32">
        <f t="shared" si="10"/>
        <v>12.326906409573224</v>
      </c>
      <c r="Q81" s="14">
        <f>(M81+O81*P81-R79)/(0.5*I81)</f>
        <v>4.9338307938240296E-2</v>
      </c>
      <c r="R81" s="1">
        <f>R79+0.5*Q81*I81</f>
        <v>0.41502882796377349</v>
      </c>
      <c r="S81" s="10">
        <f t="shared" si="15"/>
        <v>3.095090847014138E-2</v>
      </c>
    </row>
    <row r="82" spans="7:19">
      <c r="G82" s="13">
        <f t="shared" si="11"/>
        <v>14.75</v>
      </c>
      <c r="H82" s="1">
        <f t="shared" si="14"/>
        <v>2.9874583333333333E-2</v>
      </c>
      <c r="I82" s="2">
        <f>Interpolate_Interval(H79,H83,I79,I83,H82)</f>
        <v>0.63114989670136024</v>
      </c>
      <c r="J82" s="15"/>
      <c r="M82" s="1">
        <f t="shared" si="13"/>
        <v>0.40970494270904073</v>
      </c>
      <c r="N82" s="17">
        <f>N83</f>
        <v>4.9102577951207878E-2</v>
      </c>
      <c r="O82" s="16">
        <f t="shared" si="8"/>
        <v>1.0614583333333333E-3</v>
      </c>
      <c r="P82" s="32">
        <f t="shared" si="10"/>
        <v>12.484693883748564</v>
      </c>
      <c r="Q82" s="1">
        <f>Interpolate_Interval(G81,G83,Q81,Q83,G82)</f>
        <v>4.9938619266376813E-2</v>
      </c>
      <c r="R82" s="1"/>
      <c r="S82" s="10">
        <f t="shared" si="15"/>
        <v>3.1200806132245209E-2</v>
      </c>
    </row>
    <row r="83" spans="7:19">
      <c r="G83" s="13">
        <f t="shared" si="11"/>
        <v>15</v>
      </c>
      <c r="H83" s="1">
        <f t="shared" si="14"/>
        <v>3.0089999999999999E-2</v>
      </c>
      <c r="I83" s="2">
        <f>(1-J79*H83)/(1+H83)</f>
        <v>0.62389847827854072</v>
      </c>
      <c r="J83" s="15">
        <f>J79+1*I83</f>
        <v>12.499219731520748</v>
      </c>
      <c r="K83" s="16">
        <f>Interpolate_Range($D$17:$D$31,$E$17:$E$31,G83)</f>
        <v>3.3140999999999997E-2</v>
      </c>
      <c r="L83" s="15">
        <f>L81+0.5*I83</f>
        <v>12.59357589164083</v>
      </c>
      <c r="M83" s="1">
        <f t="shared" si="13"/>
        <v>0.41736369862486872</v>
      </c>
      <c r="N83" s="14">
        <f>(K83*L83-M81)/(0.25*I82+0.25*I83)</f>
        <v>4.9102577951207878E-2</v>
      </c>
      <c r="O83" s="16">
        <f t="shared" si="8"/>
        <v>1.0625000000000001E-3</v>
      </c>
      <c r="P83" s="32">
        <f t="shared" si="10"/>
        <v>12.640668503318199</v>
      </c>
      <c r="Q83" s="14">
        <f>(M83+O83*P83-R81)/(0.5*I83)</f>
        <v>5.0538930594513337E-2</v>
      </c>
      <c r="R83" s="1">
        <f>R81+0.5*Q83*I83</f>
        <v>0.43079440890964432</v>
      </c>
      <c r="S83" s="10">
        <f t="shared" si="15"/>
        <v>3.1451174594361898E-2</v>
      </c>
    </row>
    <row r="84" spans="7:19">
      <c r="G84" s="13">
        <f t="shared" si="11"/>
        <v>15.25</v>
      </c>
      <c r="H84" s="1">
        <f t="shared" si="14"/>
        <v>3.0192749999999997E-2</v>
      </c>
      <c r="I84" s="2">
        <f>Interpolate_Interval(H83,H87,I83,I87,H84)</f>
        <v>0.61803562448324389</v>
      </c>
      <c r="J84" s="15"/>
      <c r="K84" s="16"/>
      <c r="M84" s="1">
        <f t="shared" si="13"/>
        <v>0.42373201069467631</v>
      </c>
      <c r="N84" s="17">
        <f>N85</f>
        <v>4.1216472433169601E-2</v>
      </c>
      <c r="O84" s="16">
        <f t="shared" si="8"/>
        <v>1.0625000000000001E-3</v>
      </c>
      <c r="P84" s="32">
        <f t="shared" si="10"/>
        <v>12.79517740943901</v>
      </c>
      <c r="Q84" s="1">
        <f>Interpolate_Interval(G83,G85,Q83,Q85,G84)</f>
        <v>4.65101792414781E-2</v>
      </c>
      <c r="R84" s="1"/>
      <c r="S84" s="10">
        <f t="shared" si="15"/>
        <v>3.1554700222357415E-2</v>
      </c>
    </row>
    <row r="85" spans="7:19">
      <c r="G85" s="13">
        <f t="shared" si="11"/>
        <v>15.5</v>
      </c>
      <c r="H85" s="1">
        <f t="shared" si="14"/>
        <v>3.02955E-2</v>
      </c>
      <c r="I85" s="2">
        <f>Interpolate_Interval(H83,H87,I83,I87,H85)</f>
        <v>0.61217277068794695</v>
      </c>
      <c r="J85" s="15"/>
      <c r="K85" s="16">
        <f>Interpolate_Range($D$17:$D$31,$E$17:$E$31,G85)</f>
        <v>3.33373E-2</v>
      </c>
      <c r="L85" s="15">
        <f>L83+0.5*I85</f>
        <v>12.899662276984804</v>
      </c>
      <c r="M85" s="1">
        <f t="shared" si="13"/>
        <v>0.43003991122652552</v>
      </c>
      <c r="N85" s="14">
        <f>(K85*L85-M83)/(0.25*I84+0.25*I85)</f>
        <v>4.1216472433169601E-2</v>
      </c>
      <c r="O85" s="16">
        <f t="shared" si="8"/>
        <v>1.0625000000000001E-3</v>
      </c>
      <c r="P85" s="32">
        <f t="shared" si="10"/>
        <v>12.948220602110997</v>
      </c>
      <c r="Q85" s="14">
        <f>(M85+O85*P85-R83)/(0.5*I85)</f>
        <v>4.2481427888442856E-2</v>
      </c>
      <c r="R85" s="1">
        <f>R83+0.5*Q85*I85</f>
        <v>0.44379739561626846</v>
      </c>
      <c r="S85" s="10">
        <f t="shared" si="15"/>
        <v>3.1660692339659194E-2</v>
      </c>
    </row>
    <row r="86" spans="7:19">
      <c r="G86" s="13">
        <f t="shared" si="11"/>
        <v>15.75</v>
      </c>
      <c r="H86" s="1">
        <f t="shared" si="14"/>
        <v>3.0398249999999998E-2</v>
      </c>
      <c r="I86" s="2">
        <f>Interpolate_Interval(H83,H87,I83,I87,H86)</f>
        <v>0.60630991689265012</v>
      </c>
      <c r="J86" s="15"/>
      <c r="K86" s="16"/>
      <c r="M86" s="1">
        <f t="shared" si="13"/>
        <v>0.43637040808863914</v>
      </c>
      <c r="N86" s="17">
        <f>N87</f>
        <v>4.1764099090165145E-2</v>
      </c>
      <c r="O86" s="16">
        <f t="shared" si="8"/>
        <v>1.0625000000000001E-3</v>
      </c>
      <c r="P86" s="32">
        <f t="shared" si="10"/>
        <v>13.099798081334159</v>
      </c>
      <c r="Q86" s="1">
        <f>Interpolate_Interval(G85,G87,Q85,Q87,G86)</f>
        <v>4.2758554798791079E-2</v>
      </c>
      <c r="R86" s="1"/>
      <c r="S86" s="10">
        <f t="shared" si="15"/>
        <v>3.1769143468325503E-2</v>
      </c>
    </row>
    <row r="87" spans="7:19">
      <c r="G87" s="13">
        <f t="shared" si="11"/>
        <v>16</v>
      </c>
      <c r="H87" s="1">
        <f t="shared" si="14"/>
        <v>3.0501E-2</v>
      </c>
      <c r="I87" s="2">
        <f>(1-J83*H87)/(1+H87)</f>
        <v>0.60044706309735318</v>
      </c>
      <c r="J87" s="15">
        <f>J83+1*I87</f>
        <v>13.099666794618102</v>
      </c>
      <c r="K87" s="16">
        <f>Interpolate_Range($D$17:$D$31,$E$17:$E$31,G87)</f>
        <v>3.3533599999999997E-2</v>
      </c>
      <c r="L87" s="15">
        <f>L85+0.5*I87</f>
        <v>13.19988580853348</v>
      </c>
      <c r="M87" s="1">
        <f t="shared" si="13"/>
        <v>0.44263969074903825</v>
      </c>
      <c r="N87" s="14">
        <f>(K87*L87-M85)/(0.25*I86+0.25*I87)</f>
        <v>4.1764099090165145E-2</v>
      </c>
      <c r="O87" s="16">
        <f t="shared" si="8"/>
        <v>1.0625000000000001E-3</v>
      </c>
      <c r="P87" s="32">
        <f t="shared" si="10"/>
        <v>13.249909847108498</v>
      </c>
      <c r="Q87" s="14">
        <f>(M87+O87*P87-R85)/(0.5*I87)</f>
        <v>4.3035681709139302E-2</v>
      </c>
      <c r="R87" s="1">
        <f>R85+0.5*Q87*I87</f>
        <v>0.45671771996159105</v>
      </c>
      <c r="S87" s="10">
        <f t="shared" si="15"/>
        <v>3.1880049753548391E-2</v>
      </c>
    </row>
    <row r="88" spans="7:19">
      <c r="G88" s="13">
        <f t="shared" si="11"/>
        <v>16.25</v>
      </c>
      <c r="H88" s="1">
        <f t="shared" si="14"/>
        <v>3.0603749999999999E-2</v>
      </c>
      <c r="I88" s="2">
        <f>Interpolate_Interval(H87,H91,I87,I91,H88)</f>
        <v>0.59464031560895136</v>
      </c>
      <c r="J88" s="15"/>
      <c r="K88" s="16"/>
      <c r="M88" s="1">
        <f t="shared" si="13"/>
        <v>0.44893130312958013</v>
      </c>
      <c r="N88" s="17">
        <f>N89</f>
        <v>4.2322138041372644E-2</v>
      </c>
      <c r="O88" s="16">
        <f t="shared" si="8"/>
        <v>1.0625000000000001E-3</v>
      </c>
      <c r="P88" s="32">
        <f t="shared" si="10"/>
        <v>13.398569926010735</v>
      </c>
      <c r="Q88" s="1">
        <f>Interpolate_Interval(G87,G89,Q87,Q89,G88)</f>
        <v>4.3317118637298868E-2</v>
      </c>
      <c r="R88" s="1"/>
      <c r="S88" s="10">
        <f t="shared" si="15"/>
        <v>3.1987604172855233E-2</v>
      </c>
    </row>
    <row r="89" spans="7:19">
      <c r="G89" s="13">
        <f t="shared" si="11"/>
        <v>16.5</v>
      </c>
      <c r="H89" s="1">
        <f t="shared" si="14"/>
        <v>3.0706499999999998E-2</v>
      </c>
      <c r="I89" s="2">
        <f>Interpolate_Interval(H87,H91,I87,I91,H89)</f>
        <v>0.58883356812054954</v>
      </c>
      <c r="J89" s="15"/>
      <c r="K89" s="16">
        <f>Interpolate_Range($D$17:$D$31,$E$17:$E$31,G89)</f>
        <v>3.37299E-2</v>
      </c>
      <c r="L89" s="15">
        <f>L87+0.5*I89</f>
        <v>13.494302592593755</v>
      </c>
      <c r="M89" s="1">
        <f t="shared" si="13"/>
        <v>0.45516147701792808</v>
      </c>
      <c r="N89" s="14">
        <f>(K89*L89-M87)/(0.25*I88+0.25*I89)</f>
        <v>4.2322138041372644E-2</v>
      </c>
      <c r="O89" s="16">
        <f t="shared" si="8"/>
        <v>1.0625000000000001E-3</v>
      </c>
      <c r="P89" s="32">
        <f t="shared" si="10"/>
        <v>13.545778318040872</v>
      </c>
      <c r="Q89" s="14">
        <f>(M89+O89*P89-R87)/(0.5*I89)</f>
        <v>4.3598555565458427E-2</v>
      </c>
      <c r="R89" s="1">
        <f>R87+0.5*Q89*I89</f>
        <v>0.46955386648084652</v>
      </c>
      <c r="S89" s="10">
        <f t="shared" si="15"/>
        <v>3.2097678916256797E-2</v>
      </c>
    </row>
    <row r="90" spans="7:19">
      <c r="G90" s="13">
        <f t="shared" si="11"/>
        <v>16.75</v>
      </c>
      <c r="H90" s="1">
        <f t="shared" si="14"/>
        <v>3.080925E-2</v>
      </c>
      <c r="I90" s="2">
        <f>Interpolate_Interval(H87,H91,I87,I91,H90)</f>
        <v>0.58302682063214761</v>
      </c>
      <c r="J90" s="15"/>
      <c r="M90" s="1">
        <f t="shared" si="13"/>
        <v>0.46141279421810527</v>
      </c>
      <c r="N90" s="17">
        <f>N91</f>
        <v>4.2888710974902794E-2</v>
      </c>
      <c r="O90" s="16">
        <f t="shared" si="8"/>
        <v>1.0625000000000001E-3</v>
      </c>
      <c r="P90" s="32">
        <f t="shared" si="10"/>
        <v>13.691535023198909</v>
      </c>
      <c r="Q90" s="1">
        <f>Interpolate_Interval(G89,G91,Q89,Q91,G90)</f>
        <v>4.3885418920193063E-2</v>
      </c>
      <c r="R90" s="1"/>
      <c r="S90" s="10">
        <f t="shared" si="15"/>
        <v>3.2210273980596241E-2</v>
      </c>
    </row>
    <row r="91" spans="7:19">
      <c r="G91" s="13">
        <f t="shared" si="11"/>
        <v>17</v>
      </c>
      <c r="H91" s="1">
        <f t="shared" si="14"/>
        <v>3.0911999999999999E-2</v>
      </c>
      <c r="I91" s="2">
        <f>(1-J87*H91)/(1+H91)</f>
        <v>0.57722007314374579</v>
      </c>
      <c r="J91" s="15">
        <f>J87+1*I91</f>
        <v>13.676886867761848</v>
      </c>
      <c r="K91" s="16">
        <f>Interpolate_Range($D$17:$D$31,$E$17:$E$31,G91)</f>
        <v>3.3926199999999997E-2</v>
      </c>
      <c r="L91" s="15">
        <f>L89+0.5*I91</f>
        <v>13.782912629165628</v>
      </c>
      <c r="M91" s="1">
        <f t="shared" si="13"/>
        <v>0.46760185043959884</v>
      </c>
      <c r="N91" s="14">
        <f>(K91*L91-M89)/(0.25*I90+0.25*I91)</f>
        <v>4.2888710974902794E-2</v>
      </c>
      <c r="O91" s="16">
        <f t="shared" si="8"/>
        <v>1.0625000000000001E-3</v>
      </c>
      <c r="P91" s="32">
        <f t="shared" si="10"/>
        <v>13.835840041484847</v>
      </c>
      <c r="Q91" s="14">
        <f>(M91+O91*P91-R89)/(0.5*I91)</f>
        <v>4.4172282274927699E-2</v>
      </c>
      <c r="R91" s="1">
        <f>R89+0.5*Q91*I91</f>
        <v>0.48230243048367649</v>
      </c>
      <c r="S91" s="10">
        <f t="shared" si="15"/>
        <v>3.2325392701811902E-2</v>
      </c>
    </row>
    <row r="92" spans="7:19">
      <c r="G92" s="13">
        <f t="shared" si="11"/>
        <v>17.25</v>
      </c>
      <c r="H92" s="1">
        <f t="shared" si="14"/>
        <v>3.1014750000000001E-2</v>
      </c>
      <c r="I92" s="2">
        <f>Interpolate_Interval(H91,H95,I91,I95,H92)</f>
        <v>0.57147467018712306</v>
      </c>
      <c r="J92" s="15"/>
      <c r="K92" s="16"/>
      <c r="M92" s="1">
        <f t="shared" ref="M92:M123" si="16">M91+N92*0.25*I92</f>
        <v>0.47381188427951393</v>
      </c>
      <c r="N92" s="17">
        <f>N93</f>
        <v>4.3466730295371875E-2</v>
      </c>
      <c r="O92" s="16">
        <f t="shared" ref="O92:O143" si="17">Interpolate_Range($D$35:$D$49,$E$35:$E$49,G92)</f>
        <v>1.0625000000000001E-3</v>
      </c>
      <c r="P92" s="32">
        <f t="shared" si="10"/>
        <v>13.978708709031627</v>
      </c>
      <c r="Q92" s="1">
        <f>Interpolate_Interval(G91,G93,Q91,Q93,G92)</f>
        <v>4.4463813177471959E-2</v>
      </c>
      <c r="R92" s="1"/>
      <c r="S92" s="10">
        <f t="shared" si="15"/>
        <v>3.2436818455758541E-2</v>
      </c>
    </row>
    <row r="93" spans="7:19">
      <c r="G93" s="13">
        <f t="shared" si="11"/>
        <v>17.5</v>
      </c>
      <c r="H93" s="1">
        <f t="shared" si="14"/>
        <v>3.1117499999999999E-2</v>
      </c>
      <c r="I93" s="2">
        <f>Interpolate_Interval(H91,H95,I91,I95,H93)</f>
        <v>0.56572926723050043</v>
      </c>
      <c r="J93" s="15"/>
      <c r="K93" s="16">
        <f>Interpolate_Range($D$17:$D$31,$E$17:$E$31,G93)</f>
        <v>3.41225E-2</v>
      </c>
      <c r="L93" s="15">
        <f>L91+0.5*I93</f>
        <v>14.065777262780879</v>
      </c>
      <c r="M93" s="1">
        <f t="shared" si="16"/>
        <v>0.47995948464924054</v>
      </c>
      <c r="N93" s="14">
        <f>(K93*L93-M91)/(0.25*I92+0.25*I93)</f>
        <v>4.3466730295371875E-2</v>
      </c>
      <c r="O93" s="16">
        <f t="shared" si="17"/>
        <v>1.0625000000000001E-3</v>
      </c>
      <c r="P93" s="32">
        <f t="shared" ref="P93:P143" si="18">P92+0.25*I93</f>
        <v>14.120141025839253</v>
      </c>
      <c r="Q93" s="14">
        <f>(M93+O93*P93-R91)/(0.5*I93)</f>
        <v>4.4755344080016225E-2</v>
      </c>
      <c r="R93" s="1">
        <f>R91+0.5*Q93*I93</f>
        <v>0.49496213448919474</v>
      </c>
      <c r="S93" s="10">
        <f t="shared" si="15"/>
        <v>3.255083666636694E-2</v>
      </c>
    </row>
    <row r="94" spans="7:19">
      <c r="G94" s="13">
        <f t="shared" si="11"/>
        <v>17.75</v>
      </c>
      <c r="H94" s="1">
        <f t="shared" si="14"/>
        <v>3.1220249999999998E-2</v>
      </c>
      <c r="I94" s="2">
        <f>Interpolate_Interval(H91,H95,I91,I95,H94)</f>
        <v>0.55998386427387792</v>
      </c>
      <c r="J94" s="15"/>
      <c r="K94" s="16"/>
      <c r="M94" s="1">
        <f t="shared" si="16"/>
        <v>0.48612687897361773</v>
      </c>
      <c r="N94" s="17">
        <f>N95</f>
        <v>4.4054085968168871E-2</v>
      </c>
      <c r="O94" s="16">
        <f t="shared" si="17"/>
        <v>1.0625000000000001E-3</v>
      </c>
      <c r="P94" s="32">
        <f t="shared" si="18"/>
        <v>14.260136991907721</v>
      </c>
      <c r="Q94" s="1">
        <f>Interpolate_Interval(G93,G95,Q93,Q95,G94)</f>
        <v>4.5052888056553303E-2</v>
      </c>
      <c r="R94" s="1"/>
      <c r="S94" s="10">
        <f t="shared" si="15"/>
        <v>3.2667454054350085E-2</v>
      </c>
    </row>
    <row r="95" spans="7:19">
      <c r="G95" s="13">
        <f t="shared" si="11"/>
        <v>18</v>
      </c>
      <c r="H95" s="1">
        <f t="shared" si="14"/>
        <v>3.1322999999999997E-2</v>
      </c>
      <c r="I95" s="2">
        <f>(1-J91*H95)/(1+H95)</f>
        <v>0.55423846131725529</v>
      </c>
      <c r="J95" s="15">
        <f>J91+1*I95</f>
        <v>14.231125329079102</v>
      </c>
      <c r="K95" s="16">
        <f>Interpolate_Range($D$17:$D$31,$E$17:$E$31,G95)</f>
        <v>3.4318800000000003E-2</v>
      </c>
      <c r="L95" s="15">
        <f>L93+0.5*I95</f>
        <v>14.342896493439506</v>
      </c>
      <c r="M95" s="1">
        <f t="shared" si="16"/>
        <v>0.49223099617905175</v>
      </c>
      <c r="N95" s="14">
        <f>(K95*L95-M93)/(0.25*I94+0.25*I95)</f>
        <v>4.4054085968168871E-2</v>
      </c>
      <c r="O95" s="16">
        <f t="shared" si="17"/>
        <v>1.0625000000000001E-3</v>
      </c>
      <c r="P95" s="32">
        <f t="shared" si="18"/>
        <v>14.398696607237035</v>
      </c>
      <c r="Q95" s="14">
        <f>(M95+O95*P95-R93)/(0.5*I95)</f>
        <v>4.5350432033090374E-2</v>
      </c>
      <c r="R95" s="1">
        <f>R93+0.5*Q95*I95</f>
        <v>0.50752961132424113</v>
      </c>
      <c r="S95" s="10">
        <f t="shared" si="15"/>
        <v>3.2786680514164682E-2</v>
      </c>
    </row>
    <row r="96" spans="7:19">
      <c r="G96" s="13">
        <f t="shared" si="11"/>
        <v>18.25</v>
      </c>
      <c r="H96" s="1">
        <f t="shared" si="14"/>
        <v>3.1425750000000002E-2</v>
      </c>
      <c r="I96" s="2">
        <f>Interpolate_Interval(H95,H99,I95,I99,H96)</f>
        <v>0.54855938225189194</v>
      </c>
      <c r="J96" s="15"/>
      <c r="K96" s="16"/>
      <c r="M96" s="1">
        <f t="shared" si="16"/>
        <v>0.49835484267743357</v>
      </c>
      <c r="N96" s="17">
        <f>N97</f>
        <v>4.4654027961332526E-2</v>
      </c>
      <c r="O96" s="16">
        <f t="shared" si="17"/>
        <v>1.0625000000000001E-3</v>
      </c>
      <c r="P96" s="32">
        <f t="shared" si="18"/>
        <v>14.535836452800009</v>
      </c>
      <c r="Q96" s="1">
        <f>Interpolate_Interval(G95,G97,Q95,Q97,G96)</f>
        <v>4.565304031988407E-2</v>
      </c>
      <c r="R96" s="1"/>
      <c r="S96" s="10">
        <f t="shared" si="15"/>
        <v>3.2901903678544939E-2</v>
      </c>
    </row>
    <row r="97" spans="7:19">
      <c r="G97" s="13">
        <f t="shared" ref="G97:G143" si="19">G96+0.25</f>
        <v>18.5</v>
      </c>
      <c r="H97" s="1">
        <f t="shared" si="14"/>
        <v>3.1528500000000001E-2</v>
      </c>
      <c r="I97" s="2">
        <f>Interpolate_Interval(H95,H99,I95,I99,H97)</f>
        <v>0.54288030318652891</v>
      </c>
      <c r="J97" s="15"/>
      <c r="K97" s="16">
        <f>Interpolate_Range($D$17:$D$31,$E$17:$E$31,G97)</f>
        <v>3.45151E-2</v>
      </c>
      <c r="L97" s="15">
        <f>L95+0.5*I97</f>
        <v>14.61433664503277</v>
      </c>
      <c r="M97" s="1">
        <f t="shared" si="16"/>
        <v>0.50441529073697056</v>
      </c>
      <c r="N97" s="14">
        <f>(K97*L97-M95)/(0.25*I96+0.25*I97)</f>
        <v>4.4654027961332526E-2</v>
      </c>
      <c r="O97" s="16">
        <f t="shared" si="17"/>
        <v>1.0625000000000001E-3</v>
      </c>
      <c r="P97" s="32">
        <f t="shared" si="18"/>
        <v>14.671556528596641</v>
      </c>
      <c r="Q97" s="14">
        <f>(M97+O97*P97-R95)/(0.5*I97)</f>
        <v>4.5955648606677758E-2</v>
      </c>
      <c r="R97" s="1">
        <f>R95+0.5*Q97*I97</f>
        <v>0.52000381954860453</v>
      </c>
      <c r="S97" s="10">
        <f t="shared" si="15"/>
        <v>3.3019806457750663E-2</v>
      </c>
    </row>
    <row r="98" spans="7:19">
      <c r="G98" s="13">
        <f t="shared" si="19"/>
        <v>18.75</v>
      </c>
      <c r="H98" s="1">
        <f t="shared" si="14"/>
        <v>3.163125E-2</v>
      </c>
      <c r="I98" s="2">
        <f>Interpolate_Interval(H95,H99,I95,I99,H98)</f>
        <v>0.537201224121166</v>
      </c>
      <c r="J98" s="15"/>
      <c r="M98" s="1">
        <f t="shared" si="16"/>
        <v>0.51049428971267485</v>
      </c>
      <c r="N98" s="17">
        <f>N99</f>
        <v>4.5264222810729553E-2</v>
      </c>
      <c r="O98" s="16">
        <f t="shared" si="17"/>
        <v>1.0625000000000001E-3</v>
      </c>
      <c r="P98" s="32">
        <f t="shared" si="18"/>
        <v>14.805856834626933</v>
      </c>
      <c r="Q98" s="1">
        <f>Interpolate_Interval(G97,G99,Q97,Q99,G98)</f>
        <v>4.6264930845255535E-2</v>
      </c>
      <c r="R98" s="1"/>
      <c r="S98" s="10">
        <f t="shared" si="15"/>
        <v>3.3140401900217983E-2</v>
      </c>
    </row>
    <row r="99" spans="7:19">
      <c r="G99" s="13">
        <f t="shared" si="19"/>
        <v>19</v>
      </c>
      <c r="H99" s="1">
        <f t="shared" si="14"/>
        <v>3.1733999999999998E-2</v>
      </c>
      <c r="I99" s="2">
        <f>(1-J95*H99)/(1+H99)</f>
        <v>0.53152214505580297</v>
      </c>
      <c r="J99" s="15">
        <f>J95+1*I99</f>
        <v>14.762647474134905</v>
      </c>
      <c r="K99" s="16">
        <f>Interpolate_Range($D$17:$D$31,$E$17:$E$31,G99)</f>
        <v>3.4711400000000003E-2</v>
      </c>
      <c r="L99" s="15">
        <f>L97+0.5*I99</f>
        <v>14.880097717560671</v>
      </c>
      <c r="M99" s="1">
        <f t="shared" si="16"/>
        <v>0.51650902391333553</v>
      </c>
      <c r="N99" s="14">
        <f>(K99*L99-M97)/(0.25*I98+0.25*I99)</f>
        <v>4.5264222810729553E-2</v>
      </c>
      <c r="O99" s="16">
        <f t="shared" si="17"/>
        <v>1.0625000000000001E-3</v>
      </c>
      <c r="P99" s="32">
        <f t="shared" si="18"/>
        <v>14.938737370890884</v>
      </c>
      <c r="Q99" s="14">
        <f>(M99+O99*P99-R97)/(0.5*I99)</f>
        <v>4.6574213083833312E-2</v>
      </c>
      <c r="R99" s="1">
        <f>R97+0.5*Q99*I99</f>
        <v>0.53238143236990709</v>
      </c>
      <c r="S99" s="10">
        <f t="shared" si="15"/>
        <v>3.3263706150754545E-2</v>
      </c>
    </row>
    <row r="100" spans="7:19">
      <c r="G100" s="13">
        <f t="shared" si="19"/>
        <v>19.25</v>
      </c>
      <c r="H100" s="1">
        <f t="shared" si="14"/>
        <v>3.1836749999999997E-2</v>
      </c>
      <c r="I100" s="2">
        <f>Interpolate_Interval(H99,H103,I99,I103,H100)</f>
        <v>0.52591410852394749</v>
      </c>
      <c r="J100" s="15"/>
      <c r="K100" s="16"/>
      <c r="M100" s="1">
        <f t="shared" si="16"/>
        <v>0.52254234545519751</v>
      </c>
      <c r="N100" s="17">
        <f>N101</f>
        <v>4.5888265357971601E-2</v>
      </c>
      <c r="O100" s="16">
        <f t="shared" si="17"/>
        <v>1.0625000000000001E-3</v>
      </c>
      <c r="P100" s="32">
        <f t="shared" si="18"/>
        <v>15.070215898021871</v>
      </c>
      <c r="Q100" s="1">
        <f>Interpolate_Interval(G99,G101,Q99,Q101,G100)</f>
        <v>4.6889002066657789E-2</v>
      </c>
      <c r="R100" s="1"/>
      <c r="S100" s="10">
        <f t="shared" si="15"/>
        <v>3.3382720590002538E-2</v>
      </c>
    </row>
    <row r="101" spans="7:19">
      <c r="G101" s="13">
        <f t="shared" si="19"/>
        <v>19.5</v>
      </c>
      <c r="H101" s="1">
        <f t="shared" si="14"/>
        <v>3.1939500000000003E-2</v>
      </c>
      <c r="I101" s="2">
        <f>Interpolate_Interval(H99,H103,I99,I103,H101)</f>
        <v>0.52030607199209167</v>
      </c>
      <c r="J101" s="15"/>
      <c r="K101" s="16">
        <f>Interpolate_Range($D$17:$D$31,$E$17:$E$31,G101)</f>
        <v>3.49077E-2</v>
      </c>
      <c r="L101" s="15">
        <f>L99+0.5*I101</f>
        <v>15.140250753556717</v>
      </c>
      <c r="M101" s="1">
        <f t="shared" si="16"/>
        <v>0.52851133122993177</v>
      </c>
      <c r="N101" s="14">
        <f>(K101*L101-M99)/(0.25*I100+0.25*I101)</f>
        <v>4.5888265357971601E-2</v>
      </c>
      <c r="O101" s="16">
        <f t="shared" si="17"/>
        <v>1.0625000000000001E-3</v>
      </c>
      <c r="P101" s="32">
        <f t="shared" si="18"/>
        <v>15.200292416019893</v>
      </c>
      <c r="Q101" s="14">
        <f>(M101+O101*P101-R99)/(0.5*I101)</f>
        <v>4.720379104948226E-2</v>
      </c>
      <c r="R101" s="1">
        <f>R99+0.5*Q101*I101</f>
        <v>0.54466164192195288</v>
      </c>
      <c r="S101" s="10">
        <f t="shared" si="15"/>
        <v>3.3504514901482048E-2</v>
      </c>
    </row>
    <row r="102" spans="7:19">
      <c r="G102" s="13">
        <f t="shared" si="19"/>
        <v>19.75</v>
      </c>
      <c r="H102" s="1">
        <f t="shared" si="14"/>
        <v>3.2042250000000001E-2</v>
      </c>
      <c r="I102" s="2">
        <f>Interpolate_Interval(H99,H103,I99,I103,H102)</f>
        <v>0.51469803546023618</v>
      </c>
      <c r="J102" s="15"/>
      <c r="K102" s="16"/>
      <c r="M102" s="1">
        <f t="shared" si="16"/>
        <v>0.53449773393525479</v>
      </c>
      <c r="N102" s="17">
        <f>N103</f>
        <v>4.6523610294879593E-2</v>
      </c>
      <c r="O102" s="16">
        <f t="shared" si="17"/>
        <v>1.0625000000000001E-3</v>
      </c>
      <c r="P102" s="32">
        <f t="shared" si="18"/>
        <v>15.328966924884952</v>
      </c>
      <c r="Q102" s="1">
        <f>Interpolate_Interval(G101,G103,Q101,Q103,G102)</f>
        <v>4.7526000508901607E-2</v>
      </c>
      <c r="R102" s="1"/>
      <c r="S102" s="10">
        <f t="shared" si="15"/>
        <v>3.3629108313642853E-2</v>
      </c>
    </row>
    <row r="103" spans="7:19">
      <c r="G103" s="13">
        <f t="shared" si="19"/>
        <v>20</v>
      </c>
      <c r="H103" s="1">
        <f t="shared" si="14"/>
        <v>3.2145E-2</v>
      </c>
      <c r="I103" s="2">
        <f>(1-J99*H103)/(1+H103)</f>
        <v>0.50908999892838069</v>
      </c>
      <c r="J103" s="15">
        <f>J99+1*I103</f>
        <v>15.271737473063286</v>
      </c>
      <c r="K103" s="16">
        <f>Interpolate_Range($D$17:$D$31,$E$17:$E$31,G103)</f>
        <v>3.5104000000000003E-2</v>
      </c>
      <c r="L103" s="15">
        <f>L101+0.5*I103</f>
        <v>15.394795753020908</v>
      </c>
      <c r="M103" s="1">
        <f t="shared" si="16"/>
        <v>0.54041891011404597</v>
      </c>
      <c r="N103" s="14">
        <f>(K103*L103-M101)/(0.25*I102+0.25*I103)</f>
        <v>4.6523610294879593E-2</v>
      </c>
      <c r="O103" s="16">
        <f t="shared" si="17"/>
        <v>1.0625000000000001E-3</v>
      </c>
      <c r="P103" s="32">
        <f t="shared" si="18"/>
        <v>15.456239424617047</v>
      </c>
      <c r="Q103" s="14">
        <f>(M103+O103*P103-R101)/(0.5*I103)</f>
        <v>4.7848209968320954E-2</v>
      </c>
      <c r="R103" s="1">
        <f>R101+0.5*Q103*I103</f>
        <v>0.5568411645027016</v>
      </c>
      <c r="S103" s="10">
        <f t="shared" si="15"/>
        <v>3.375652314390587E-2</v>
      </c>
    </row>
    <row r="104" spans="7:19">
      <c r="G104" s="13">
        <f t="shared" si="19"/>
        <v>20.25</v>
      </c>
      <c r="H104" s="1">
        <f t="shared" si="14"/>
        <v>3.219375E-2</v>
      </c>
      <c r="I104" s="2">
        <f>Interpolate_Interval(H103,H107,I103,I107,H104)</f>
        <v>0.50438177310825572</v>
      </c>
      <c r="J104" s="15"/>
      <c r="K104" s="16"/>
      <c r="M104" s="1">
        <f t="shared" si="16"/>
        <v>0.54592290277722944</v>
      </c>
      <c r="N104" s="17">
        <f>N105</f>
        <v>4.3649417616858935E-2</v>
      </c>
      <c r="O104" s="16">
        <f t="shared" si="17"/>
        <v>1.0625000000000001E-3</v>
      </c>
      <c r="P104" s="32">
        <f t="shared" si="18"/>
        <v>15.582334867894112</v>
      </c>
      <c r="Q104" s="1">
        <f>Interpolate_Interval(G103,G105,Q103,Q105,G104)</f>
        <v>4.638538946278685E-2</v>
      </c>
      <c r="R104" s="1"/>
      <c r="S104" s="10">
        <f t="shared" si="15"/>
        <v>3.3798607967053591E-2</v>
      </c>
    </row>
    <row r="105" spans="7:19">
      <c r="G105" s="13">
        <f t="shared" si="19"/>
        <v>20.5</v>
      </c>
      <c r="H105" s="1">
        <f t="shared" si="14"/>
        <v>3.22425E-2</v>
      </c>
      <c r="I105" s="2">
        <f>Interpolate_Interval(H103,H107,I103,I107,H105)</f>
        <v>0.49967354728813079</v>
      </c>
      <c r="J105" s="15"/>
      <c r="K105" s="16">
        <f>Interpolate_Range($D$17:$D$31,$E$17:$E$31,G105)</f>
        <v>3.5243750000000004E-2</v>
      </c>
      <c r="L105" s="15">
        <f>L103+0.5*I105</f>
        <v>15.644632526664973</v>
      </c>
      <c r="M105" s="1">
        <f t="shared" si="16"/>
        <v>0.55137551761164871</v>
      </c>
      <c r="N105" s="14">
        <f>(K105*L105-M103)/(0.25*I104+0.25*I105)</f>
        <v>4.3649417616858935E-2</v>
      </c>
      <c r="O105" s="16">
        <f t="shared" si="17"/>
        <v>1.0625000000000001E-3</v>
      </c>
      <c r="P105" s="32">
        <f t="shared" si="18"/>
        <v>15.707253254716145</v>
      </c>
      <c r="Q105" s="14">
        <f>(M105+O105*P105-R103)/(0.5*I105)</f>
        <v>4.4922568957252745E-2</v>
      </c>
      <c r="R105" s="1">
        <f>R103+0.5*Q105*I105</f>
        <v>0.56806447419478467</v>
      </c>
      <c r="S105" s="10">
        <f t="shared" si="15"/>
        <v>3.3843917035085366E-2</v>
      </c>
    </row>
    <row r="106" spans="7:19">
      <c r="G106" s="13">
        <f t="shared" si="19"/>
        <v>20.75</v>
      </c>
      <c r="H106" s="1">
        <f t="shared" si="14"/>
        <v>3.2291250000000001E-2</v>
      </c>
      <c r="I106" s="2">
        <f>Interpolate_Interval(H103,H107,I103,I107,H106)</f>
        <v>0.49496532146800587</v>
      </c>
      <c r="J106" s="15"/>
      <c r="M106" s="1">
        <f t="shared" si="16"/>
        <v>0.55683138805279941</v>
      </c>
      <c r="N106" s="17">
        <f>N107</f>
        <v>4.4090930855270521E-2</v>
      </c>
      <c r="O106" s="16">
        <f t="shared" si="17"/>
        <v>1.0625000000000001E-3</v>
      </c>
      <c r="P106" s="32">
        <f t="shared" si="18"/>
        <v>15.830994585083147</v>
      </c>
      <c r="Q106" s="1">
        <f>Interpolate_Interval(G105,G107,Q105,Q107,G106)</f>
        <v>4.5146408612074918E-2</v>
      </c>
      <c r="R106" s="1"/>
      <c r="S106" s="10">
        <f t="shared" si="15"/>
        <v>3.3892413325686266E-2</v>
      </c>
    </row>
    <row r="107" spans="7:19">
      <c r="G107" s="13">
        <f t="shared" si="19"/>
        <v>21</v>
      </c>
      <c r="H107" s="1">
        <f t="shared" si="14"/>
        <v>3.2340000000000001E-2</v>
      </c>
      <c r="I107" s="2">
        <f>(1-J103*H107)/(1+H107)</f>
        <v>0.49025709564788089</v>
      </c>
      <c r="J107" s="15">
        <f>J103+1*I107</f>
        <v>15.761994568711167</v>
      </c>
      <c r="K107" s="16">
        <f>Interpolate_Range($D$17:$D$31,$E$17:$E$31,G107)</f>
        <v>3.5383500000000005E-2</v>
      </c>
      <c r="L107" s="15">
        <f>L105+0.5*I107</f>
        <v>15.889761074488913</v>
      </c>
      <c r="M107" s="1">
        <f t="shared" si="16"/>
        <v>0.56223536097917848</v>
      </c>
      <c r="N107" s="14">
        <f>(K107*L107-M105)/(0.25*I106+0.25*I107)</f>
        <v>4.4090930855270521E-2</v>
      </c>
      <c r="O107" s="16">
        <f t="shared" si="17"/>
        <v>1.0625000000000001E-3</v>
      </c>
      <c r="P107" s="32">
        <f t="shared" si="18"/>
        <v>15.953558858995118</v>
      </c>
      <c r="Q107" s="14">
        <f>(M107+O107*P107-R105)/(0.5*I107)</f>
        <v>4.537024826689709E-2</v>
      </c>
      <c r="R107" s="1">
        <f>R105+0.5*Q107*I107</f>
        <v>0.57918601726686081</v>
      </c>
      <c r="S107" s="10">
        <f t="shared" ref="S107:S143" si="20">-LN(I107)/G107</f>
        <v>3.3944063832420622E-2</v>
      </c>
    </row>
    <row r="108" spans="7:19">
      <c r="G108" s="13">
        <f t="shared" si="19"/>
        <v>21.25</v>
      </c>
      <c r="H108" s="1">
        <f t="shared" si="14"/>
        <v>3.2388750000000001E-2</v>
      </c>
      <c r="I108" s="2">
        <f>Interpolate_Interval(H107,H111,I107,I111,H108)</f>
        <v>0.48565093131742176</v>
      </c>
      <c r="J108" s="15"/>
      <c r="K108" s="16"/>
      <c r="M108" s="1">
        <f t="shared" si="16"/>
        <v>0.56764337260203968</v>
      </c>
      <c r="N108" s="17">
        <f>N109</f>
        <v>4.4542376214050834E-2</v>
      </c>
      <c r="O108" s="16">
        <f t="shared" si="17"/>
        <v>1.0625000000000001E-3</v>
      </c>
      <c r="P108" s="32">
        <f t="shared" si="18"/>
        <v>16.074971591824472</v>
      </c>
      <c r="Q108" s="1">
        <f>Interpolate_Interval(G107,G109,Q107,Q109,G108)</f>
        <v>4.5596732721335714E-2</v>
      </c>
      <c r="R108" s="1"/>
      <c r="S108" s="10">
        <f t="shared" si="20"/>
        <v>3.3988948774757902E-2</v>
      </c>
    </row>
    <row r="109" spans="7:19">
      <c r="G109" s="13">
        <f t="shared" si="19"/>
        <v>21.5</v>
      </c>
      <c r="H109" s="1">
        <f t="shared" si="14"/>
        <v>3.2437500000000001E-2</v>
      </c>
      <c r="I109" s="2">
        <f>Interpolate_Interval(H107,H111,I107,I111,H109)</f>
        <v>0.48104476698696258</v>
      </c>
      <c r="J109" s="15"/>
      <c r="K109" s="16">
        <f>Interpolate_Range($D$17:$D$31,$E$17:$E$31,G109)</f>
        <v>3.5523249999999999E-2</v>
      </c>
      <c r="L109" s="15">
        <f>L107+0.5*I109</f>
        <v>16.130283457982394</v>
      </c>
      <c r="M109" s="1">
        <f t="shared" si="16"/>
        <v>0.5730000918487731</v>
      </c>
      <c r="N109" s="14">
        <f>(K109*L109-M107)/(0.25*I108+0.25*I109)</f>
        <v>4.4542376214050834E-2</v>
      </c>
      <c r="O109" s="16">
        <f t="shared" si="17"/>
        <v>1.0625000000000001E-3</v>
      </c>
      <c r="P109" s="32">
        <f t="shared" si="18"/>
        <v>16.195232783571214</v>
      </c>
      <c r="Q109" s="14">
        <f>(M109+O109*P109-R107)/(0.5*I109)</f>
        <v>4.5823217175774346E-2</v>
      </c>
      <c r="R109" s="1">
        <f>R107+0.5*Q109*I109</f>
        <v>0.59020752668131748</v>
      </c>
      <c r="S109" s="10">
        <f t="shared" si="20"/>
        <v>3.4036974072010007E-2</v>
      </c>
    </row>
    <row r="110" spans="7:19">
      <c r="G110" s="13">
        <f t="shared" si="19"/>
        <v>21.75</v>
      </c>
      <c r="H110" s="1">
        <f t="shared" si="14"/>
        <v>3.2486250000000001E-2</v>
      </c>
      <c r="I110" s="2">
        <f>Interpolate_Interval(H107,H111,I107,I111,H110)</f>
        <v>0.47643860265650345</v>
      </c>
      <c r="J110" s="15"/>
      <c r="K110" s="16"/>
      <c r="M110" s="1">
        <f t="shared" si="16"/>
        <v>0.57835984426263198</v>
      </c>
      <c r="N110" s="17">
        <f>N111</f>
        <v>4.4998473120978912E-2</v>
      </c>
      <c r="O110" s="16">
        <f t="shared" si="17"/>
        <v>1.0625000000000001E-3</v>
      </c>
      <c r="P110" s="32">
        <f t="shared" si="18"/>
        <v>16.314342434235339</v>
      </c>
      <c r="Q110" s="1">
        <f>Interpolate_Interval(G109,G111,Q109,Q111,G110)</f>
        <v>4.605451027405609E-2</v>
      </c>
      <c r="R110" s="1"/>
      <c r="S110" s="10">
        <f t="shared" si="20"/>
        <v>3.4088111027965474E-2</v>
      </c>
    </row>
    <row r="111" spans="7:19">
      <c r="G111" s="13">
        <f t="shared" si="19"/>
        <v>22</v>
      </c>
      <c r="H111" s="1">
        <f t="shared" si="14"/>
        <v>3.2535000000000001E-2</v>
      </c>
      <c r="I111" s="2">
        <f>(1-J107*H111)/(1+H111)</f>
        <v>0.47183243832604432</v>
      </c>
      <c r="J111" s="15">
        <f>J107+1*I111</f>
        <v>16.23382700703721</v>
      </c>
      <c r="K111" s="16">
        <f>Interpolate_Range($D$17:$D$31,$E$17:$E$31,G111)</f>
        <v>3.5663E-2</v>
      </c>
      <c r="L111" s="15">
        <f>L109+0.5*I111</f>
        <v>16.366199677145417</v>
      </c>
      <c r="M111" s="1">
        <f t="shared" si="16"/>
        <v>0.58366777908603706</v>
      </c>
      <c r="N111" s="14">
        <f>(K111*L111-M109)/(0.25*I110+0.25*I111)</f>
        <v>4.4998473120978912E-2</v>
      </c>
      <c r="O111" s="16">
        <f t="shared" si="17"/>
        <v>1.0625000000000001E-3</v>
      </c>
      <c r="P111" s="32">
        <f t="shared" si="18"/>
        <v>16.432300543816851</v>
      </c>
      <c r="Q111" s="14">
        <f>(M111+O111*P111-R109)/(0.5*I111)</f>
        <v>4.6285803372337828E-2</v>
      </c>
      <c r="R111" s="1">
        <f>R109+0.5*Q111*I111</f>
        <v>0.60112709841384249</v>
      </c>
      <c r="S111" s="10">
        <f t="shared" si="20"/>
        <v>3.4142334544171565E-2</v>
      </c>
    </row>
    <row r="112" spans="7:19">
      <c r="G112" s="13">
        <f t="shared" si="19"/>
        <v>22.25</v>
      </c>
      <c r="H112" s="1">
        <f t="shared" si="14"/>
        <v>3.2583750000000002E-2</v>
      </c>
      <c r="I112" s="2">
        <f>Interpolate_Interval(H111,H115,I111,I115,H112)</f>
        <v>0.46732771008807694</v>
      </c>
      <c r="J112" s="15"/>
      <c r="K112" s="16"/>
      <c r="M112" s="1">
        <f t="shared" si="16"/>
        <v>0.58897955214617148</v>
      </c>
      <c r="N112" s="17">
        <f>N113</f>
        <v>4.5465081102366606E-2</v>
      </c>
      <c r="O112" s="16">
        <f t="shared" si="17"/>
        <v>1.0625000000000001E-3</v>
      </c>
      <c r="P112" s="32">
        <f t="shared" si="18"/>
        <v>16.549132471338869</v>
      </c>
      <c r="Q112" s="1">
        <f>Interpolate_Interval(G111,G113,Q111,Q113,G112)</f>
        <v>4.6519907287520153E-2</v>
      </c>
      <c r="R112" s="1"/>
      <c r="S112" s="10">
        <f t="shared" si="20"/>
        <v>3.41898666404453E-2</v>
      </c>
    </row>
    <row r="113" spans="7:19">
      <c r="G113" s="13">
        <f t="shared" si="19"/>
        <v>22.5</v>
      </c>
      <c r="H113" s="1">
        <f t="shared" si="14"/>
        <v>3.2632499999999995E-2</v>
      </c>
      <c r="I113" s="2">
        <f>Interpolate_Interval(H111,H115,I111,I115,H113)</f>
        <v>0.46282298185011023</v>
      </c>
      <c r="J113" s="15"/>
      <c r="K113" s="16">
        <f>Interpolate_Range($D$17:$D$31,$E$17:$E$31,G113)</f>
        <v>3.5802750000000001E-2</v>
      </c>
      <c r="L113" s="15">
        <f>L111+0.5*I113</f>
        <v>16.597611168070472</v>
      </c>
      <c r="M113" s="1">
        <f t="shared" si="16"/>
        <v>0.59424012324763509</v>
      </c>
      <c r="N113" s="14">
        <f>(K113*L113-M111)/(0.25*I112+0.25*I113)</f>
        <v>4.5465081102366606E-2</v>
      </c>
      <c r="O113" s="16">
        <f t="shared" si="17"/>
        <v>1.0625000000000001E-3</v>
      </c>
      <c r="P113" s="32">
        <f t="shared" si="18"/>
        <v>16.664838216801396</v>
      </c>
      <c r="Q113" s="14">
        <f>(M113+O113*P113-R111)/(0.5*I113)</f>
        <v>4.6754011202702478E-2</v>
      </c>
      <c r="R113" s="1">
        <f>R111+0.5*Q113*I113</f>
        <v>0.6119465138529866</v>
      </c>
      <c r="S113" s="10">
        <f t="shared" si="20"/>
        <v>3.4240472294204252E-2</v>
      </c>
    </row>
    <row r="114" spans="7:19">
      <c r="G114" s="13">
        <f t="shared" si="19"/>
        <v>22.75</v>
      </c>
      <c r="H114" s="1">
        <f t="shared" si="14"/>
        <v>3.2681249999999995E-2</v>
      </c>
      <c r="I114" s="2">
        <f>Interpolate_Interval(H111,H115,I111,I115,H114)</f>
        <v>0.4583182536121429</v>
      </c>
      <c r="J114" s="15"/>
      <c r="M114" s="1">
        <f t="shared" si="16"/>
        <v>0.59950354610844869</v>
      </c>
      <c r="N114" s="17">
        <f>N115</f>
        <v>4.5936838162835968E-2</v>
      </c>
      <c r="O114" s="16">
        <f t="shared" si="17"/>
        <v>1.0625000000000001E-3</v>
      </c>
      <c r="P114" s="32">
        <f t="shared" si="18"/>
        <v>16.779417780204433</v>
      </c>
      <c r="Q114" s="1">
        <f>Interpolate_Interval(G113,G115,Q113,Q115,G114)</f>
        <v>4.6993308076195062E-2</v>
      </c>
      <c r="R114" s="1"/>
      <c r="S114" s="10">
        <f t="shared" si="20"/>
        <v>3.4294130079151726E-2</v>
      </c>
    </row>
    <row r="115" spans="7:19">
      <c r="G115" s="13">
        <f t="shared" si="19"/>
        <v>23</v>
      </c>
      <c r="H115" s="1">
        <f t="shared" si="14"/>
        <v>3.2729999999999995E-2</v>
      </c>
      <c r="I115" s="2">
        <f>(1-J111*H115)/(1+H115)</f>
        <v>0.45381352537417552</v>
      </c>
      <c r="J115" s="15">
        <f>J111+1*I115</f>
        <v>16.687640532411386</v>
      </c>
      <c r="K115" s="16">
        <f>Interpolate_Range($D$17:$D$31,$E$17:$E$31,G115)</f>
        <v>3.5942500000000002E-2</v>
      </c>
      <c r="L115" s="15">
        <f>L113+0.5*I115</f>
        <v>16.824517930757558</v>
      </c>
      <c r="M115" s="1">
        <f t="shared" si="16"/>
        <v>0.60471523572625363</v>
      </c>
      <c r="N115" s="14">
        <f>(K115*L115-M113)/(0.25*I114+0.25*I115)</f>
        <v>4.5936838162835968E-2</v>
      </c>
      <c r="O115" s="16">
        <f t="shared" si="17"/>
        <v>1.0625000000000001E-3</v>
      </c>
      <c r="P115" s="32">
        <f t="shared" si="18"/>
        <v>16.892871161547976</v>
      </c>
      <c r="Q115" s="14">
        <f>(M115+O115*P115-R113)/(0.5*I115)</f>
        <v>4.7232604949687639E-2</v>
      </c>
      <c r="R115" s="1">
        <f>R113+0.5*Q115*I115</f>
        <v>0.62266391133539833</v>
      </c>
      <c r="S115" s="10">
        <f t="shared" si="20"/>
        <v>3.4350821842506443E-2</v>
      </c>
    </row>
    <row r="116" spans="7:19">
      <c r="G116" s="13">
        <f t="shared" si="19"/>
        <v>23.25</v>
      </c>
      <c r="H116" s="1">
        <f t="shared" si="14"/>
        <v>3.2778749999999995E-2</v>
      </c>
      <c r="I116" s="2">
        <f>Interpolate_Interval(H115,H119,I115,I119,H116)</f>
        <v>0.44940955116821546</v>
      </c>
      <c r="J116" s="15"/>
      <c r="K116" s="16"/>
      <c r="M116" s="1">
        <f t="shared" si="16"/>
        <v>0.60993060344926031</v>
      </c>
      <c r="N116" s="17">
        <f>N117</f>
        <v>4.6419731930036782E-2</v>
      </c>
      <c r="O116" s="16">
        <f t="shared" si="17"/>
        <v>1.0625000000000001E-3</v>
      </c>
      <c r="P116" s="32">
        <f t="shared" si="18"/>
        <v>17.00522354934003</v>
      </c>
      <c r="Q116" s="1">
        <f>Interpolate_Interval(G115,G117,Q115,Q117,G116)</f>
        <v>4.7474894790433445E-2</v>
      </c>
      <c r="R116" s="1"/>
      <c r="S116" s="10">
        <f t="shared" si="20"/>
        <v>3.4400888873159383E-2</v>
      </c>
    </row>
    <row r="117" spans="7:19">
      <c r="G117" s="13">
        <f t="shared" si="19"/>
        <v>23.5</v>
      </c>
      <c r="H117" s="1">
        <f t="shared" si="14"/>
        <v>3.2827499999999996E-2</v>
      </c>
      <c r="I117" s="2">
        <f>Interpolate_Interval(H115,H119,I115,I119,H117)</f>
        <v>0.4450055769622554</v>
      </c>
      <c r="J117" s="15"/>
      <c r="K117" s="16">
        <f>Interpolate_Range($D$17:$D$31,$E$17:$E$31,G117)</f>
        <v>3.6082250000000003E-2</v>
      </c>
      <c r="L117" s="15">
        <f>L115+0.5*I117</f>
        <v>17.047020719238684</v>
      </c>
      <c r="M117" s="1">
        <f t="shared" si="16"/>
        <v>0.61509486334675012</v>
      </c>
      <c r="N117" s="14">
        <f>(K117*L117-M115)/(0.25*I116+0.25*I117)</f>
        <v>4.6419731930036782E-2</v>
      </c>
      <c r="O117" s="16">
        <f t="shared" si="17"/>
        <v>1.0625000000000001E-3</v>
      </c>
      <c r="P117" s="32">
        <f t="shared" si="18"/>
        <v>17.116474943580595</v>
      </c>
      <c r="Q117" s="14">
        <f>(M117+O117*P117-R115)/(0.5*I117)</f>
        <v>4.7717184631179257E-2</v>
      </c>
      <c r="R117" s="1">
        <f>R115+0.5*Q117*I117</f>
        <v>0.63328111797430453</v>
      </c>
      <c r="S117" s="10">
        <f t="shared" si="20"/>
        <v>3.4453977208296918E-2</v>
      </c>
    </row>
    <row r="118" spans="7:19">
      <c r="G118" s="13">
        <f t="shared" si="19"/>
        <v>23.75</v>
      </c>
      <c r="H118" s="1">
        <f t="shared" si="14"/>
        <v>3.2876249999999996E-2</v>
      </c>
      <c r="I118" s="2">
        <f>Interpolate_Interval(H115,H119,I115,I119,H118)</f>
        <v>0.4406016027562954</v>
      </c>
      <c r="J118" s="15"/>
      <c r="K118" s="16"/>
      <c r="M118" s="1">
        <f t="shared" si="16"/>
        <v>0.6202618344279458</v>
      </c>
      <c r="N118" s="17">
        <f>N119</f>
        <v>4.6908327603643725E-2</v>
      </c>
      <c r="O118" s="16">
        <f t="shared" si="17"/>
        <v>1.0625000000000001E-3</v>
      </c>
      <c r="P118" s="32">
        <f t="shared" si="18"/>
        <v>17.226625344269667</v>
      </c>
      <c r="Q118" s="1">
        <f>Interpolate_Interval(G117,G119,Q117,Q119,G118)</f>
        <v>4.7965087866587222E-2</v>
      </c>
      <c r="R118" s="1"/>
      <c r="S118" s="10">
        <f t="shared" si="20"/>
        <v>3.4510071871706197E-2</v>
      </c>
    </row>
    <row r="119" spans="7:19">
      <c r="G119" s="13">
        <f t="shared" si="19"/>
        <v>24</v>
      </c>
      <c r="H119" s="1">
        <f t="shared" si="14"/>
        <v>3.2924999999999996E-2</v>
      </c>
      <c r="I119" s="2">
        <f>(1-J115*H119)/(1+H119)</f>
        <v>0.43619762855033534</v>
      </c>
      <c r="J119" s="15">
        <f>J115+1*I119</f>
        <v>17.123838160961721</v>
      </c>
      <c r="K119" s="16">
        <f>Interpolate_Range($D$17:$D$31,$E$17:$E$31,G119)</f>
        <v>3.6221999999999997E-2</v>
      </c>
      <c r="L119" s="15">
        <f>L117+0.5*I119</f>
        <v>17.265119533513854</v>
      </c>
      <c r="M119" s="1">
        <f t="shared" si="16"/>
        <v>0.62537715974293873</v>
      </c>
      <c r="N119" s="14">
        <f>(K119*L119-M117)/(0.25*I118+0.25*I119)</f>
        <v>4.6908327603643725E-2</v>
      </c>
      <c r="O119" s="16">
        <f t="shared" si="17"/>
        <v>1.0625000000000001E-3</v>
      </c>
      <c r="P119" s="32">
        <f t="shared" si="18"/>
        <v>17.33567475140725</v>
      </c>
      <c r="Q119" s="14">
        <f>(M119+O119*P119-R117)/(0.5*I119)</f>
        <v>4.8212991101995194E-2</v>
      </c>
      <c r="R119" s="1">
        <f>R117+0.5*Q119*I119</f>
        <v>0.64379631416630889</v>
      </c>
      <c r="S119" s="10">
        <f t="shared" si="20"/>
        <v>3.4569160910011006E-2</v>
      </c>
    </row>
    <row r="120" spans="7:19">
      <c r="G120" s="13">
        <f t="shared" si="19"/>
        <v>24.25</v>
      </c>
      <c r="H120" s="1">
        <f t="shared" si="14"/>
        <v>3.2973749999999996E-2</v>
      </c>
      <c r="I120" s="2">
        <f>Interpolate_Interval(H119,H123,I119,I123,H120)</f>
        <v>0.43189367211280277</v>
      </c>
      <c r="J120" s="15"/>
      <c r="K120" s="16"/>
      <c r="M120" s="1">
        <f t="shared" si="16"/>
        <v>0.63049604319907049</v>
      </c>
      <c r="N120" s="17">
        <f>N121</f>
        <v>4.7408737720934138E-2</v>
      </c>
      <c r="O120" s="16">
        <f t="shared" si="17"/>
        <v>1.0625000000000001E-3</v>
      </c>
      <c r="P120" s="32">
        <f t="shared" si="18"/>
        <v>17.443648169435452</v>
      </c>
      <c r="Q120" s="1">
        <f>Interpolate_Interval(G119,G121,Q119,Q121,G120)</f>
        <v>4.8464087700330546E-2</v>
      </c>
      <c r="R120" s="1"/>
      <c r="S120" s="10">
        <f t="shared" si="20"/>
        <v>3.4621684552632703E-2</v>
      </c>
    </row>
    <row r="121" spans="7:19">
      <c r="G121" s="13">
        <f t="shared" si="19"/>
        <v>24.5</v>
      </c>
      <c r="H121" s="1">
        <f t="shared" si="14"/>
        <v>3.3022499999999996E-2</v>
      </c>
      <c r="I121" s="2">
        <f>Interpolate_Interval(H119,H123,I119,I123,H121)</f>
        <v>0.42758971567527021</v>
      </c>
      <c r="J121" s="15"/>
      <c r="K121" s="16">
        <f>Interpolate_Range($D$17:$D$31,$E$17:$E$31,G121)</f>
        <v>3.6361749999999998E-2</v>
      </c>
      <c r="L121" s="15">
        <f>L119+0.5*I121</f>
        <v>17.478914391351488</v>
      </c>
      <c r="M121" s="1">
        <f t="shared" si="16"/>
        <v>0.6355639153697249</v>
      </c>
      <c r="N121" s="14">
        <f>(K121*L121-M119)/(0.25*I120+0.25*I121)</f>
        <v>4.7408737720934138E-2</v>
      </c>
      <c r="O121" s="16">
        <f t="shared" si="17"/>
        <v>1.0625000000000001E-3</v>
      </c>
      <c r="P121" s="32">
        <f t="shared" si="18"/>
        <v>17.550545598354269</v>
      </c>
      <c r="Q121" s="14">
        <f>(M121+O121*P121-R119)/(0.5*I121)</f>
        <v>4.8715184298665899E-2</v>
      </c>
      <c r="R121" s="1">
        <f>R119+0.5*Q121*I121</f>
        <v>0.65421137006797636</v>
      </c>
      <c r="S121" s="10">
        <f t="shared" si="20"/>
        <v>3.467718985283294E-2</v>
      </c>
    </row>
    <row r="122" spans="7:19">
      <c r="G122" s="13">
        <f t="shared" si="19"/>
        <v>24.75</v>
      </c>
      <c r="H122" s="1">
        <f t="shared" si="14"/>
        <v>3.3071249999999996E-2</v>
      </c>
      <c r="I122" s="2">
        <f>Interpolate_Interval(H119,H123,I119,I123,H122)</f>
        <v>0.42328575923773765</v>
      </c>
      <c r="J122" s="15"/>
      <c r="M122" s="1">
        <f t="shared" si="16"/>
        <v>0.64063439884067952</v>
      </c>
      <c r="N122" s="17">
        <f>N123</f>
        <v>4.7915464768629817E-2</v>
      </c>
      <c r="O122" s="16">
        <f t="shared" si="17"/>
        <v>1.0625000000000001E-3</v>
      </c>
      <c r="P122" s="32">
        <f t="shared" si="18"/>
        <v>17.656367038163705</v>
      </c>
      <c r="Q122" s="1">
        <f>Interpolate_Interval(G121,G123,Q121,Q123,G122)</f>
        <v>4.8972355071939797E-2</v>
      </c>
      <c r="R122" s="1"/>
      <c r="S122" s="10">
        <f t="shared" si="20"/>
        <v>3.4735667647113659E-2</v>
      </c>
    </row>
    <row r="123" spans="7:19">
      <c r="G123" s="13">
        <f t="shared" si="19"/>
        <v>25</v>
      </c>
      <c r="H123" s="1">
        <f t="shared" si="14"/>
        <v>3.3119999999999997E-2</v>
      </c>
      <c r="I123" s="2">
        <f>(1-J119*H123)/(1+H123)</f>
        <v>0.41898180280020508</v>
      </c>
      <c r="J123" s="15">
        <f>J119+1*I123</f>
        <v>17.542819963761925</v>
      </c>
      <c r="K123" s="16">
        <f>Interpolate_Range($D$17:$D$31,$E$17:$E$31,G123)</f>
        <v>3.6501499999999999E-2</v>
      </c>
      <c r="L123" s="15">
        <f>L121+0.5*I123</f>
        <v>17.68840529275159</v>
      </c>
      <c r="M123" s="1">
        <f t="shared" si="16"/>
        <v>0.64565332579337209</v>
      </c>
      <c r="N123" s="14">
        <f>(K123*L123-M121)/(0.25*I122+0.25*I123)</f>
        <v>4.7915464768629817E-2</v>
      </c>
      <c r="O123" s="16">
        <f t="shared" si="17"/>
        <v>1.0625000000000001E-3</v>
      </c>
      <c r="P123" s="32">
        <f t="shared" si="18"/>
        <v>17.761112488863755</v>
      </c>
      <c r="Q123" s="14">
        <f>(M123+O123*P123-R121)/(0.5*I123)</f>
        <v>4.9229525845213687E-2</v>
      </c>
      <c r="R123" s="1">
        <f>R121+0.5*Q123*I123</f>
        <v>0.66452450781278982</v>
      </c>
      <c r="S123" s="10">
        <f t="shared" si="20"/>
        <v>3.4797111602968868E-2</v>
      </c>
    </row>
    <row r="124" spans="7:19">
      <c r="G124" s="13">
        <f t="shared" si="19"/>
        <v>25.25</v>
      </c>
      <c r="H124" s="1">
        <f t="shared" si="14"/>
        <v>3.3146499999999995E-2</v>
      </c>
      <c r="I124" s="2">
        <f>Interpolate_Interval(H123,H127,I123,I127,H124)</f>
        <v>0.41516351224809028</v>
      </c>
      <c r="J124" s="15"/>
      <c r="K124" s="16"/>
      <c r="M124" s="1">
        <f t="shared" ref="M124:M143" si="21">M123+N124*0.25*I124</f>
        <v>0.64943198649454648</v>
      </c>
      <c r="N124" s="17">
        <f>N125</f>
        <v>3.6406481684415043E-2</v>
      </c>
      <c r="O124" s="16">
        <f t="shared" si="17"/>
        <v>1.0618750000000001E-3</v>
      </c>
      <c r="P124" s="32">
        <f t="shared" si="18"/>
        <v>17.864903366925777</v>
      </c>
      <c r="Q124" s="1">
        <f>Interpolate_Interval(G123,G125,Q123,Q125,G124)</f>
        <v>4.3381604183388475E-2</v>
      </c>
      <c r="R124" s="1"/>
      <c r="S124" s="10">
        <f t="shared" si="20"/>
        <v>3.4815161621152696E-2</v>
      </c>
    </row>
    <row r="125" spans="7:19">
      <c r="G125" s="13">
        <f t="shared" si="19"/>
        <v>25.5</v>
      </c>
      <c r="H125" s="1">
        <f t="shared" si="14"/>
        <v>3.3172999999999994E-2</v>
      </c>
      <c r="I125" s="2">
        <f>Interpolate_Interval(H123,H127,I123,I127,H125)</f>
        <v>0.41134522169597554</v>
      </c>
      <c r="J125" s="15"/>
      <c r="K125" s="16">
        <f>Interpolate_Range($D$17:$D$31,$E$17:$E$31,G125)</f>
        <v>3.6502350000000003E-2</v>
      </c>
      <c r="L125" s="15">
        <f>L123+0.5*I125</f>
        <v>17.894077903599577</v>
      </c>
      <c r="M125" s="1">
        <f t="shared" si="21"/>
        <v>0.65317589456445801</v>
      </c>
      <c r="N125" s="14">
        <f>(K125*L125-M123)/(0.25*I124+0.25*I125)</f>
        <v>3.6406481684415043E-2</v>
      </c>
      <c r="O125" s="16">
        <f t="shared" si="17"/>
        <v>1.0612500000000001E-3</v>
      </c>
      <c r="P125" s="32">
        <f t="shared" si="18"/>
        <v>17.967739672349772</v>
      </c>
      <c r="Q125" s="14">
        <f>(M125+O125*P125-R123)/(0.5*I125)</f>
        <v>3.7533682521563271E-2</v>
      </c>
      <c r="R125" s="1">
        <f>R123+0.5*Q125*I125</f>
        <v>0.67224415829173922</v>
      </c>
      <c r="S125" s="10">
        <f t="shared" si="20"/>
        <v>3.4836174964173364E-2</v>
      </c>
    </row>
    <row r="126" spans="7:19">
      <c r="G126" s="13">
        <f t="shared" si="19"/>
        <v>25.75</v>
      </c>
      <c r="H126" s="1">
        <f t="shared" si="14"/>
        <v>3.31995E-2</v>
      </c>
      <c r="I126" s="2">
        <f>Interpolate_Interval(H123,H127,I123,I127,H126)</f>
        <v>0.40752693114385974</v>
      </c>
      <c r="J126" s="15"/>
      <c r="K126" s="16"/>
      <c r="M126" s="1">
        <f t="shared" si="21"/>
        <v>0.65688504012925442</v>
      </c>
      <c r="N126" s="17">
        <f>N127</f>
        <v>3.6406384769570761E-2</v>
      </c>
      <c r="O126" s="16">
        <f t="shared" si="17"/>
        <v>1.0606250000000002E-3</v>
      </c>
      <c r="P126" s="32">
        <f t="shared" si="18"/>
        <v>18.069621405135738</v>
      </c>
      <c r="Q126" s="1">
        <f>Interpolate_Interval(G125,G127,Q125,Q127,G126)</f>
        <v>3.7532989866511358E-2</v>
      </c>
      <c r="R126" s="1"/>
      <c r="S126" s="10">
        <f t="shared" si="20"/>
        <v>3.4860126593723999E-2</v>
      </c>
    </row>
    <row r="127" spans="7:19">
      <c r="G127" s="13">
        <f t="shared" si="19"/>
        <v>26</v>
      </c>
      <c r="H127" s="1">
        <f t="shared" si="14"/>
        <v>3.3225999999999999E-2</v>
      </c>
      <c r="I127" s="2">
        <f>(1-J123*H127)/(1+H127)</f>
        <v>0.40370864059174494</v>
      </c>
      <c r="J127" s="15">
        <f>J123+1*I127</f>
        <v>17.94652860435367</v>
      </c>
      <c r="K127" s="16">
        <f>Interpolate_Range($D$17:$D$31,$E$17:$E$31,G127)</f>
        <v>3.65032E-2</v>
      </c>
      <c r="L127" s="15">
        <f>L125+0.5*I127</f>
        <v>18.095932223895449</v>
      </c>
      <c r="M127" s="1">
        <f t="shared" si="21"/>
        <v>0.6605594331553003</v>
      </c>
      <c r="N127" s="14">
        <f>(K127*L127-M125)/(0.25*I126+0.25*I127)</f>
        <v>3.6406384769570761E-2</v>
      </c>
      <c r="O127" s="16">
        <f t="shared" si="17"/>
        <v>1.06E-3</v>
      </c>
      <c r="P127" s="32">
        <f t="shared" si="18"/>
        <v>18.170548565283674</v>
      </c>
      <c r="Q127" s="14">
        <f>(M127+O127*P127-R125)/(0.5*I127)</f>
        <v>3.7532297211459446E-2</v>
      </c>
      <c r="R127" s="1">
        <f>R125+0.5*Q127*I127</f>
        <v>0.67982021463450104</v>
      </c>
      <c r="S127" s="10">
        <f t="shared" si="20"/>
        <v>3.4886994148279941E-2</v>
      </c>
    </row>
    <row r="128" spans="7:19">
      <c r="G128" s="13">
        <f t="shared" si="19"/>
        <v>26.25</v>
      </c>
      <c r="H128" s="1">
        <f t="shared" si="14"/>
        <v>3.3252499999999997E-2</v>
      </c>
      <c r="I128" s="2">
        <f>Interpolate_Interval(H127,H131,I127,I131,H128)</f>
        <v>0.3999928095615764</v>
      </c>
      <c r="J128" s="15"/>
      <c r="K128" s="16"/>
      <c r="M128" s="1">
        <f t="shared" si="21"/>
        <v>0.66420046471260241</v>
      </c>
      <c r="N128" s="17">
        <f>N129</f>
        <v>3.6410970100117214E-2</v>
      </c>
      <c r="O128" s="16">
        <f t="shared" si="17"/>
        <v>1.059375E-3</v>
      </c>
      <c r="P128" s="32">
        <f t="shared" si="18"/>
        <v>18.27054676767407</v>
      </c>
      <c r="Q128" s="1">
        <f>Interpolate_Interval(G127,G129,Q127,Q129,G128)</f>
        <v>3.7531529231316377E-2</v>
      </c>
      <c r="R128" s="1"/>
      <c r="S128" s="10">
        <f t="shared" si="20"/>
        <v>3.4906998405020422E-2</v>
      </c>
    </row>
    <row r="129" spans="7:19">
      <c r="G129" s="13">
        <f t="shared" si="19"/>
        <v>26.5</v>
      </c>
      <c r="H129" s="1">
        <f t="shared" si="14"/>
        <v>3.3278999999999996E-2</v>
      </c>
      <c r="I129" s="2">
        <f>Interpolate_Interval(H127,H131,I127,I131,H129)</f>
        <v>0.39627697853140786</v>
      </c>
      <c r="J129" s="15"/>
      <c r="K129" s="16">
        <f>Interpolate_Range($D$17:$D$31,$E$17:$E$31,G129)</f>
        <v>3.6504049999999996E-2</v>
      </c>
      <c r="L129" s="15">
        <f>L127+0.5*I129</f>
        <v>18.294070713161155</v>
      </c>
      <c r="M129" s="1">
        <f t="shared" si="21"/>
        <v>0.66780767201677038</v>
      </c>
      <c r="N129" s="14">
        <f>(K129*L129-M127)/(0.25*I128+0.25*I129)</f>
        <v>3.6410970100117214E-2</v>
      </c>
      <c r="O129" s="16">
        <f t="shared" si="17"/>
        <v>1.05875E-3</v>
      </c>
      <c r="P129" s="32">
        <f t="shared" si="18"/>
        <v>18.369616012306921</v>
      </c>
      <c r="Q129" s="14">
        <f>(M129+O129*P129-R127)/(0.5*I129)</f>
        <v>3.7530761251173314E-2</v>
      </c>
      <c r="R129" s="1">
        <f>R127+0.5*Q129*I129</f>
        <v>0.68725650296980034</v>
      </c>
      <c r="S129" s="10">
        <f t="shared" si="20"/>
        <v>3.4929881942884898E-2</v>
      </c>
    </row>
    <row r="130" spans="7:19">
      <c r="G130" s="13">
        <f t="shared" si="19"/>
        <v>26.75</v>
      </c>
      <c r="H130" s="1">
        <f t="shared" si="14"/>
        <v>3.3305499999999995E-2</v>
      </c>
      <c r="I130" s="2">
        <f>Interpolate_Interval(H127,H131,I127,I131,H130)</f>
        <v>0.39256114750123933</v>
      </c>
      <c r="J130" s="15"/>
      <c r="M130" s="1">
        <f t="shared" si="21"/>
        <v>0.67138104894271289</v>
      </c>
      <c r="N130" s="17">
        <f>N131</f>
        <v>3.6410907688527484E-2</v>
      </c>
      <c r="O130" s="16">
        <f t="shared" si="17"/>
        <v>1.058125E-3</v>
      </c>
      <c r="P130" s="32">
        <f t="shared" si="18"/>
        <v>18.467756299182231</v>
      </c>
      <c r="Q130" s="1">
        <f>Interpolate_Interval(G129,G131,Q129,Q131,G130)</f>
        <v>3.7530045291847863E-2</v>
      </c>
      <c r="R130" s="1"/>
      <c r="S130" s="10">
        <f t="shared" si="20"/>
        <v>3.4955624825479314E-2</v>
      </c>
    </row>
    <row r="131" spans="7:19">
      <c r="G131" s="13">
        <f t="shared" si="19"/>
        <v>27</v>
      </c>
      <c r="H131" s="1">
        <f t="shared" si="14"/>
        <v>3.3332000000000001E-2</v>
      </c>
      <c r="I131" s="2">
        <f>(1-J127*H131)/(1+H131)</f>
        <v>0.38884531647106979</v>
      </c>
      <c r="J131" s="15">
        <f>J127+1*I131</f>
        <v>18.33537392082474</v>
      </c>
      <c r="K131" s="16">
        <f>Interpolate_Range($D$17:$D$31,$E$17:$E$31,G131)</f>
        <v>3.65049E-2</v>
      </c>
      <c r="L131" s="15">
        <f>L129+0.5*I131</f>
        <v>18.488493371396689</v>
      </c>
      <c r="M131" s="1">
        <f t="shared" si="21"/>
        <v>0.67492060167349899</v>
      </c>
      <c r="N131" s="14">
        <f>(K131*L131-M129)/(0.25*I130+0.25*I131)</f>
        <v>3.6410907688527484E-2</v>
      </c>
      <c r="O131" s="16">
        <f t="shared" si="17"/>
        <v>1.0575000000000001E-3</v>
      </c>
      <c r="P131" s="32">
        <f t="shared" si="18"/>
        <v>18.5649676283</v>
      </c>
      <c r="Q131" s="14">
        <f>(M131+O131*P131-R129)/(0.5*I131)</f>
        <v>3.7529329332522419E-2</v>
      </c>
      <c r="R131" s="1">
        <f>R129+0.5*Q131*I131</f>
        <v>0.69455305494042618</v>
      </c>
      <c r="S131" s="10">
        <f t="shared" si="20"/>
        <v>3.4984209573269767E-2</v>
      </c>
    </row>
    <row r="132" spans="7:19">
      <c r="G132" s="13">
        <f t="shared" si="19"/>
        <v>27.25</v>
      </c>
      <c r="H132" s="1">
        <f t="shared" si="14"/>
        <v>3.3358499999999999E-2</v>
      </c>
      <c r="I132" s="2">
        <f>Interpolate_Interval(H131,H135,I131,I135,H132)</f>
        <v>0.38522977317583412</v>
      </c>
      <c r="J132" s="15"/>
      <c r="K132" s="16"/>
      <c r="M132" s="1">
        <f t="shared" si="21"/>
        <v>0.6784276954758075</v>
      </c>
      <c r="N132" s="17">
        <f>N133</f>
        <v>3.6415604883246973E-2</v>
      </c>
      <c r="O132" s="16">
        <f t="shared" si="17"/>
        <v>1.0568750000000001E-3</v>
      </c>
      <c r="P132" s="32">
        <f t="shared" si="18"/>
        <v>18.661275071593959</v>
      </c>
      <c r="Q132" s="1">
        <f>Interpolate_Interval(G131,G133,Q131,Q133,G132)</f>
        <v>3.7528536739008231E-2</v>
      </c>
      <c r="R132" s="1"/>
      <c r="S132" s="10">
        <f t="shared" si="20"/>
        <v>3.500606639533739E-2</v>
      </c>
    </row>
    <row r="133" spans="7:19">
      <c r="G133" s="13">
        <f t="shared" si="19"/>
        <v>27.5</v>
      </c>
      <c r="H133" s="1">
        <f t="shared" si="14"/>
        <v>3.3384999999999998E-2</v>
      </c>
      <c r="I133" s="2">
        <f>Interpolate_Interval(H131,H135,I131,I135,H133)</f>
        <v>0.38161422988059845</v>
      </c>
      <c r="J133" s="15"/>
      <c r="K133" s="16">
        <f>Interpolate_Range($D$17:$D$31,$E$17:$E$31,G133)</f>
        <v>3.6505750000000003E-2</v>
      </c>
      <c r="L133" s="15">
        <f>L131+0.5*I133</f>
        <v>18.679300486336988</v>
      </c>
      <c r="M133" s="1">
        <f t="shared" si="21"/>
        <v>0.68190187372909661</v>
      </c>
      <c r="N133" s="14">
        <f>(K133*L133-M131)/(0.25*I132+0.25*I133)</f>
        <v>3.6415604883246973E-2</v>
      </c>
      <c r="O133" s="16">
        <f t="shared" si="17"/>
        <v>1.0562499999999999E-3</v>
      </c>
      <c r="P133" s="32">
        <f t="shared" si="18"/>
        <v>18.756678629064108</v>
      </c>
      <c r="Q133" s="14">
        <f>(M133+O133*P133-R131)/(0.5*I133)</f>
        <v>3.7527744145494049E-2</v>
      </c>
      <c r="R133" s="1">
        <f>R131+0.5*Q133*I133</f>
        <v>0.70171361553104561</v>
      </c>
      <c r="S133" s="10">
        <f t="shared" si="20"/>
        <v>3.5030729093082365E-2</v>
      </c>
    </row>
    <row r="134" spans="7:19">
      <c r="G134" s="13">
        <f t="shared" si="19"/>
        <v>27.75</v>
      </c>
      <c r="H134" s="1">
        <f t="shared" si="14"/>
        <v>3.3411499999999997E-2</v>
      </c>
      <c r="I134" s="2">
        <f>Interpolate_Interval(H131,H135,I131,I135,H134)</f>
        <v>0.37799868658536279</v>
      </c>
      <c r="J134" s="15"/>
      <c r="K134" s="16"/>
      <c r="M134" s="1">
        <f t="shared" si="21"/>
        <v>0.68534313410990988</v>
      </c>
      <c r="N134" s="17">
        <f>N135</f>
        <v>3.6415580296320769E-2</v>
      </c>
      <c r="O134" s="16">
        <f t="shared" si="17"/>
        <v>1.0556249999999999E-3</v>
      </c>
      <c r="P134" s="32">
        <f t="shared" si="18"/>
        <v>18.851178300710448</v>
      </c>
      <c r="Q134" s="1">
        <f>Interpolate_Interval(G133,G135,Q133,Q135,G134)</f>
        <v>3.7527003426474845E-2</v>
      </c>
      <c r="R134" s="1"/>
      <c r="S134" s="10">
        <f t="shared" si="20"/>
        <v>3.5058182270648046E-2</v>
      </c>
    </row>
    <row r="135" spans="7:19">
      <c r="G135" s="13">
        <f t="shared" si="19"/>
        <v>28</v>
      </c>
      <c r="H135" s="1">
        <f t="shared" si="14"/>
        <v>3.3437999999999996E-2</v>
      </c>
      <c r="I135" s="2">
        <f>(1-J131*H135)/(1+H135)</f>
        <v>0.37438314329012712</v>
      </c>
      <c r="J135" s="15">
        <f>J131+1*I135</f>
        <v>18.709757064114868</v>
      </c>
      <c r="K135" s="16">
        <f>Interpolate_Range($D$17:$D$31,$E$17:$E$31,G135)</f>
        <v>3.65066E-2</v>
      </c>
      <c r="L135" s="15">
        <f>L133+0.5*I135</f>
        <v>18.86649205798205</v>
      </c>
      <c r="M135" s="1">
        <f t="shared" si="21"/>
        <v>0.68875147896392752</v>
      </c>
      <c r="N135" s="14">
        <f>(K135*L135-M133)/(0.25*I134+0.25*I135)</f>
        <v>3.6415580296320769E-2</v>
      </c>
      <c r="O135" s="16">
        <f t="shared" si="17"/>
        <v>1.0549999999999999E-3</v>
      </c>
      <c r="P135" s="32">
        <f t="shared" si="18"/>
        <v>18.944774086532981</v>
      </c>
      <c r="Q135" s="14">
        <f>(M135+O135*P135-R133)/(0.5*I135)</f>
        <v>3.7526262707455647E-2</v>
      </c>
      <c r="R135" s="1">
        <f>R133+0.5*Q135*I135</f>
        <v>0.70873821562521977</v>
      </c>
      <c r="S135" s="10">
        <f t="shared" si="20"/>
        <v>3.5088412809136681E-2</v>
      </c>
    </row>
    <row r="136" spans="7:19">
      <c r="G136" s="13">
        <f t="shared" si="19"/>
        <v>28.25</v>
      </c>
      <c r="H136" s="1">
        <f t="shared" si="14"/>
        <v>3.3464500000000001E-2</v>
      </c>
      <c r="I136" s="2">
        <f>Interpolate_Interval(H135,H139,I135,I139,H136)</f>
        <v>0.37086574528691607</v>
      </c>
      <c r="J136" s="15"/>
      <c r="K136" s="16"/>
      <c r="M136" s="1">
        <f t="shared" si="21"/>
        <v>0.69212824820643515</v>
      </c>
      <c r="N136" s="17">
        <f>N137</f>
        <v>3.6420395093595855E-2</v>
      </c>
      <c r="O136" s="16">
        <f t="shared" si="17"/>
        <v>1.054375E-3</v>
      </c>
      <c r="P136" s="32">
        <f t="shared" si="18"/>
        <v>19.037490522854711</v>
      </c>
      <c r="Q136" s="1">
        <f>Interpolate_Interval(G135,G137,Q135,Q137,G136)</f>
        <v>3.7525443984608088E-2</v>
      </c>
      <c r="R136" s="1"/>
      <c r="S136" s="10">
        <f t="shared" si="20"/>
        <v>3.5112040864013296E-2</v>
      </c>
    </row>
    <row r="137" spans="7:19">
      <c r="G137" s="13">
        <f t="shared" si="19"/>
        <v>28.5</v>
      </c>
      <c r="H137" s="1">
        <f t="shared" si="14"/>
        <v>3.3491E-2</v>
      </c>
      <c r="I137" s="2">
        <f>Interpolate_Interval(H135,H139,I135,I139,H137)</f>
        <v>0.36734834728370591</v>
      </c>
      <c r="J137" s="15"/>
      <c r="K137" s="16">
        <f>Interpolate_Range($D$17:$D$31,$E$17:$E$31,G137)</f>
        <v>3.6507449999999997E-2</v>
      </c>
      <c r="L137" s="15">
        <f>L135+0.5*I137</f>
        <v>19.050166231623905</v>
      </c>
      <c r="M137" s="1">
        <f t="shared" si="21"/>
        <v>0.69547299119269812</v>
      </c>
      <c r="N137" s="14">
        <f>(K137*L137-M135)/(0.25*I136+0.25*I137)</f>
        <v>3.6420395093595855E-2</v>
      </c>
      <c r="O137" s="16">
        <f t="shared" si="17"/>
        <v>1.05375E-3</v>
      </c>
      <c r="P137" s="32">
        <f t="shared" si="18"/>
        <v>19.129327609675638</v>
      </c>
      <c r="Q137" s="14">
        <f>(M137+O137*P137-R135)/(0.5*I137)</f>
        <v>3.7524625261760529E-2</v>
      </c>
      <c r="R137" s="1">
        <f>R135+0.5*Q137*I137</f>
        <v>0.71563052016139383</v>
      </c>
      <c r="S137" s="10">
        <f t="shared" si="20"/>
        <v>3.513841073507025E-2</v>
      </c>
    </row>
    <row r="138" spans="7:19">
      <c r="G138" s="13">
        <f t="shared" si="19"/>
        <v>28.75</v>
      </c>
      <c r="H138" s="1">
        <f t="shared" si="14"/>
        <v>3.3517499999999999E-2</v>
      </c>
      <c r="I138" s="2">
        <f>Interpolate_Interval(H135,H139,I135,I139,H138)</f>
        <v>0.36383094928049581</v>
      </c>
      <c r="J138" s="15"/>
      <c r="M138" s="1">
        <f t="shared" si="21"/>
        <v>0.69878570945489926</v>
      </c>
      <c r="N138" s="17">
        <f>N139</f>
        <v>3.6420411938592294E-2</v>
      </c>
      <c r="O138" s="16">
        <f t="shared" si="17"/>
        <v>1.053125E-3</v>
      </c>
      <c r="P138" s="32">
        <f t="shared" si="18"/>
        <v>19.220285346995762</v>
      </c>
      <c r="Q138" s="1">
        <f>Interpolate_Interval(G137,G139,Q137,Q139,G138)</f>
        <v>3.7523858211329558E-2</v>
      </c>
      <c r="R138" s="1"/>
      <c r="S138" s="10">
        <f t="shared" si="20"/>
        <v>3.5167511105311196E-2</v>
      </c>
    </row>
    <row r="139" spans="7:19">
      <c r="G139" s="13">
        <f t="shared" si="19"/>
        <v>29</v>
      </c>
      <c r="H139" s="1">
        <f t="shared" ref="H139:H143" si="22">Interpolate_Range($A$17:$A$50,$B$17:$B$50,G139)</f>
        <v>3.3543999999999997E-2</v>
      </c>
      <c r="I139" s="2">
        <f>(1-J135*H139)/(1+H139)</f>
        <v>0.36031355127728565</v>
      </c>
      <c r="J139" s="15">
        <f>J135+1*I139</f>
        <v>19.070070615392154</v>
      </c>
      <c r="K139" s="16">
        <f>Interpolate_Range($D$17:$D$31,$E$17:$E$31,G139)</f>
        <v>3.65083E-2</v>
      </c>
      <c r="L139" s="15">
        <f>L137+0.5*I139</f>
        <v>19.230323007262548</v>
      </c>
      <c r="M139" s="1">
        <f t="shared" si="21"/>
        <v>0.70206640144604326</v>
      </c>
      <c r="N139" s="14">
        <f>(K139*L139-M137)/(0.25*I138+0.25*I139)</f>
        <v>3.6420411938592294E-2</v>
      </c>
      <c r="O139" s="16">
        <f t="shared" si="17"/>
        <v>1.0525000000000001E-3</v>
      </c>
      <c r="P139" s="32">
        <f t="shared" si="18"/>
        <v>19.310363734815084</v>
      </c>
      <c r="Q139" s="14">
        <f>(M139+O139*P139-R137)/(0.5*I139)</f>
        <v>3.7523091160898588E-2</v>
      </c>
      <c r="R139" s="1">
        <f>R137+0.5*Q139*I139</f>
        <v>0.72239055927693618</v>
      </c>
      <c r="S139" s="10">
        <f t="shared" si="20"/>
        <v>3.5199332787622176E-2</v>
      </c>
    </row>
    <row r="140" spans="7:19">
      <c r="G140" s="13">
        <f t="shared" si="19"/>
        <v>29.25</v>
      </c>
      <c r="H140" s="1">
        <f t="shared" si="22"/>
        <v>3.3570499999999996E-2</v>
      </c>
      <c r="I140" s="2">
        <f>Interpolate_Interval(H139,H143,I139,I143,H140)</f>
        <v>0.3568921856105437</v>
      </c>
      <c r="J140" s="15"/>
      <c r="K140" s="16"/>
      <c r="M140" s="1">
        <f t="shared" si="21"/>
        <v>0.7053163821852656</v>
      </c>
      <c r="N140" s="17">
        <f>N141</f>
        <v>3.6425350514889876E-2</v>
      </c>
      <c r="O140" s="16">
        <f t="shared" si="17"/>
        <v>1.0518749999999999E-3</v>
      </c>
      <c r="P140" s="32">
        <f t="shared" si="18"/>
        <v>19.399586781217721</v>
      </c>
      <c r="Q140" s="1">
        <f>Interpolate_Interval(G139,G141,Q139,Q141,G140)</f>
        <v>3.7522244671013449E-2</v>
      </c>
      <c r="R140" s="1"/>
      <c r="S140" s="10">
        <f t="shared" si="20"/>
        <v>3.5224668167689738E-2</v>
      </c>
    </row>
    <row r="141" spans="7:19">
      <c r="G141" s="13">
        <f t="shared" si="19"/>
        <v>29.5</v>
      </c>
      <c r="H141" s="1">
        <f t="shared" si="22"/>
        <v>3.3597000000000002E-2</v>
      </c>
      <c r="I141" s="2">
        <f>Interpolate_Interval(H139,H143,I139,I143,H141)</f>
        <v>0.35347081994380081</v>
      </c>
      <c r="J141" s="15"/>
      <c r="K141" s="16">
        <f>Interpolate_Range($D$17:$D$31,$E$17:$E$31,G141)</f>
        <v>3.6509150000000004E-2</v>
      </c>
      <c r="L141" s="15">
        <f>L139+0.5*I141</f>
        <v>19.407058417234449</v>
      </c>
      <c r="M141" s="1">
        <f t="shared" si="21"/>
        <v>0.70853520681357518</v>
      </c>
      <c r="N141" s="14">
        <f>(K141*L141-M139)/(0.25*I140+0.25*I141)</f>
        <v>3.6425350514889876E-2</v>
      </c>
      <c r="O141" s="16">
        <f t="shared" si="17"/>
        <v>1.0512499999999999E-3</v>
      </c>
      <c r="P141" s="32">
        <f t="shared" si="18"/>
        <v>19.48795448620367</v>
      </c>
      <c r="Q141" s="14">
        <f>(M141+O141*P141-R139)/(0.5*I141)</f>
        <v>3.7521398181128311E-2</v>
      </c>
      <c r="R141" s="1">
        <f>R139+0.5*Q141*I141</f>
        <v>0.72902191896719681</v>
      </c>
      <c r="S141" s="10">
        <f t="shared" si="20"/>
        <v>3.5252689599338666E-2</v>
      </c>
    </row>
    <row r="142" spans="7:19">
      <c r="G142" s="13">
        <f t="shared" si="19"/>
        <v>29.75</v>
      </c>
      <c r="H142" s="1">
        <f t="shared" si="22"/>
        <v>3.3623500000000001E-2</v>
      </c>
      <c r="I142" s="2">
        <f>Interpolate_Interval(H139,H143,I139,I143,H142)</f>
        <v>0.3500494542770588</v>
      </c>
      <c r="J142" s="15"/>
      <c r="K142" s="16"/>
      <c r="M142" s="1">
        <f t="shared" si="21"/>
        <v>0.71172288077425061</v>
      </c>
      <c r="N142" s="17">
        <f>N143</f>
        <v>3.6425412714998225E-2</v>
      </c>
      <c r="O142" s="16">
        <f t="shared" si="17"/>
        <v>1.0506249999999999E-3</v>
      </c>
      <c r="P142" s="32">
        <f t="shared" si="18"/>
        <v>19.575466849772933</v>
      </c>
      <c r="Q142" s="1">
        <f>Interpolate_Interval(G141,G143,Q141,Q143,G142)</f>
        <v>3.7520603099516062E-2</v>
      </c>
      <c r="R142" s="1"/>
      <c r="S142" s="10">
        <f t="shared" si="20"/>
        <v>3.5283389463725605E-2</v>
      </c>
    </row>
    <row r="143" spans="7:19">
      <c r="G143" s="13">
        <f t="shared" si="19"/>
        <v>30</v>
      </c>
      <c r="H143" s="1">
        <f t="shared" si="22"/>
        <v>3.3649999999999999E-2</v>
      </c>
      <c r="I143" s="2">
        <f>(1-J139*H143)/(1+H143)</f>
        <v>0.34662808861031685</v>
      </c>
      <c r="J143" s="15">
        <f>J139+1*I143</f>
        <v>19.416698704002471</v>
      </c>
      <c r="K143" s="16">
        <f>Interpolate_Range($D$17:$D$31,$E$17:$E$31,G143)</f>
        <v>3.6510000000000001E-2</v>
      </c>
      <c r="L143" s="15">
        <f>L141+0.5*I143</f>
        <v>19.580372461539607</v>
      </c>
      <c r="M143" s="1">
        <f t="shared" si="21"/>
        <v>0.71487939857081106</v>
      </c>
      <c r="N143" s="14">
        <f>(K143*L143-M141)/(0.25*I142+0.25*I143)</f>
        <v>3.6425412714998225E-2</v>
      </c>
      <c r="O143" s="16">
        <f t="shared" si="17"/>
        <v>1.0499999999999999E-3</v>
      </c>
      <c r="P143" s="32">
        <f t="shared" si="18"/>
        <v>19.662123871925512</v>
      </c>
      <c r="Q143" s="14">
        <f>(M143+O143*P143-R141)/(0.5*I143)</f>
        <v>3.7519808017903812E-2</v>
      </c>
      <c r="R143" s="1">
        <f>R141+0.5*Q143*I143</f>
        <v>0.73552462863633283</v>
      </c>
      <c r="S143" s="10">
        <f t="shared" si="20"/>
        <v>3.5316762152069331E-2</v>
      </c>
    </row>
    <row r="144" spans="7:19">
      <c r="G144" s="13"/>
      <c r="K144" s="16"/>
      <c r="Q144" s="17"/>
      <c r="R144" s="1"/>
    </row>
    <row r="145" spans="7:18">
      <c r="G145" s="13"/>
      <c r="K145" s="16"/>
      <c r="L145" s="15"/>
      <c r="M145" s="15"/>
      <c r="Q145" s="14"/>
      <c r="R145" s="1"/>
    </row>
    <row r="146" spans="7:18">
      <c r="G146" s="13"/>
      <c r="Q146" s="17"/>
      <c r="R146" s="1"/>
    </row>
    <row r="147" spans="7:18">
      <c r="G147" s="13"/>
      <c r="Q147" s="14"/>
      <c r="R147" s="1"/>
    </row>
    <row r="148" spans="7:18">
      <c r="G148" s="13"/>
      <c r="Q148" s="17"/>
      <c r="R148" s="1"/>
    </row>
    <row r="149" spans="7:18">
      <c r="G149" s="13"/>
      <c r="Q149" s="14"/>
      <c r="R149" s="1"/>
    </row>
    <row r="150" spans="7:18">
      <c r="G150" s="13"/>
      <c r="R150" s="1"/>
    </row>
    <row r="151" spans="7:18">
      <c r="G151" s="13"/>
      <c r="R151" s="1"/>
    </row>
    <row r="152" spans="7:18">
      <c r="G152" s="13"/>
      <c r="R152" s="1"/>
    </row>
    <row r="153" spans="7:18">
      <c r="G153" s="13"/>
      <c r="R153" s="1"/>
    </row>
    <row r="154" spans="7:18">
      <c r="G154" s="13"/>
      <c r="R154" s="1"/>
    </row>
    <row r="155" spans="7:18">
      <c r="G155" s="13"/>
      <c r="R155" s="1"/>
    </row>
    <row r="156" spans="7:18">
      <c r="G156" s="13"/>
    </row>
    <row r="157" spans="7:18">
      <c r="G157" s="13"/>
    </row>
    <row r="158" spans="7:18">
      <c r="G158" s="13"/>
    </row>
    <row r="159" spans="7:18">
      <c r="G159" s="13"/>
    </row>
    <row r="160" spans="7:18">
      <c r="G160" s="13"/>
    </row>
    <row r="161" spans="7:7">
      <c r="G161" s="13"/>
    </row>
    <row r="162" spans="7:7">
      <c r="G162" s="13"/>
    </row>
    <row r="163" spans="7:7">
      <c r="G163" s="13"/>
    </row>
    <row r="164" spans="7:7">
      <c r="G164" s="13"/>
    </row>
    <row r="165" spans="7:7">
      <c r="G165" s="13"/>
    </row>
    <row r="166" spans="7:7">
      <c r="G166" s="13"/>
    </row>
    <row r="167" spans="7:7">
      <c r="G167" s="13"/>
    </row>
    <row r="168" spans="7:7">
      <c r="G168" s="13"/>
    </row>
    <row r="169" spans="7:7">
      <c r="G169" s="13"/>
    </row>
    <row r="170" spans="7:7">
      <c r="G170" s="13"/>
    </row>
    <row r="171" spans="7:7">
      <c r="G171" s="13"/>
    </row>
    <row r="172" spans="7:7">
      <c r="G172" s="13"/>
    </row>
    <row r="173" spans="7:7">
      <c r="G173" s="13"/>
    </row>
    <row r="174" spans="7:7">
      <c r="G174" s="13"/>
    </row>
    <row r="175" spans="7:7">
      <c r="G175" s="13"/>
    </row>
    <row r="176" spans="7:7">
      <c r="G176" s="13"/>
    </row>
    <row r="177" spans="7:7">
      <c r="G177" s="13"/>
    </row>
    <row r="178" spans="7:7">
      <c r="G178" s="13"/>
    </row>
    <row r="179" spans="7:7">
      <c r="G179" s="13"/>
    </row>
    <row r="180" spans="7:7">
      <c r="G180" s="13"/>
    </row>
    <row r="181" spans="7:7">
      <c r="G181" s="13"/>
    </row>
    <row r="182" spans="7:7">
      <c r="G182" s="13"/>
    </row>
    <row r="183" spans="7:7">
      <c r="G183" s="13"/>
    </row>
    <row r="184" spans="7:7">
      <c r="G184" s="13"/>
    </row>
    <row r="185" spans="7:7">
      <c r="G185" s="13"/>
    </row>
    <row r="186" spans="7:7">
      <c r="G186" s="13"/>
    </row>
    <row r="187" spans="7:7">
      <c r="G187" s="13"/>
    </row>
    <row r="188" spans="7:7">
      <c r="G188" s="13"/>
    </row>
    <row r="189" spans="7:7">
      <c r="G189" s="13"/>
    </row>
    <row r="190" spans="7:7">
      <c r="G190" s="13"/>
    </row>
    <row r="191" spans="7:7">
      <c r="G191" s="13"/>
    </row>
    <row r="192" spans="7:7">
      <c r="G192" s="13"/>
    </row>
    <row r="193" spans="7:7">
      <c r="G193" s="13"/>
    </row>
    <row r="194" spans="7:7">
      <c r="G194" s="13"/>
    </row>
    <row r="195" spans="7:7">
      <c r="G195" s="13"/>
    </row>
    <row r="196" spans="7:7">
      <c r="G196" s="13"/>
    </row>
    <row r="197" spans="7:7">
      <c r="G197" s="13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197"/>
  <sheetViews>
    <sheetView zoomScale="85" zoomScaleNormal="85" workbookViewId="0"/>
  </sheetViews>
  <sheetFormatPr defaultRowHeight="13.5"/>
  <cols>
    <col min="1" max="1" width="9.5" bestFit="1" customWidth="1"/>
    <col min="2" max="2" width="11.25" bestFit="1" customWidth="1"/>
    <col min="3" max="3" width="7.25" customWidth="1"/>
    <col min="5" max="5" width="10.125" customWidth="1"/>
    <col min="7" max="7" width="9.875" bestFit="1" customWidth="1"/>
    <col min="8" max="8" width="14.625" bestFit="1" customWidth="1"/>
    <col min="9" max="9" width="9.5" customWidth="1"/>
    <col min="10" max="10" width="16" customWidth="1"/>
    <col min="12" max="12" width="17.375" customWidth="1"/>
    <col min="13" max="13" width="14.25" customWidth="1"/>
    <col min="15" max="15" width="14.625" customWidth="1"/>
    <col min="16" max="16" width="15.375" customWidth="1"/>
    <col min="17" max="17" width="18" customWidth="1"/>
    <col min="18" max="18" width="8.875" customWidth="1"/>
    <col min="19" max="19" width="10.5" customWidth="1"/>
    <col min="20" max="20" width="21.875" bestFit="1" customWidth="1"/>
    <col min="21" max="21" width="10" bestFit="1" customWidth="1"/>
    <col min="25" max="25" width="14.625" bestFit="1" customWidth="1"/>
    <col min="27" max="27" width="14.625" bestFit="1" customWidth="1"/>
  </cols>
  <sheetData>
    <row r="1" spans="1:27">
      <c r="A1" t="s">
        <v>108</v>
      </c>
    </row>
    <row r="2" spans="1:27">
      <c r="A2" s="22" t="s">
        <v>109</v>
      </c>
      <c r="B2" s="19"/>
      <c r="C2" s="48"/>
      <c r="D2" s="19"/>
      <c r="T2" s="22" t="s">
        <v>44</v>
      </c>
    </row>
    <row r="3" spans="1:27">
      <c r="C3" s="11"/>
    </row>
    <row r="4" spans="1:27">
      <c r="M4" s="3"/>
    </row>
    <row r="5" spans="1:27">
      <c r="M5" s="18"/>
      <c r="O5" s="8"/>
      <c r="P5" s="8"/>
      <c r="Q5" s="8"/>
      <c r="R5" s="8"/>
      <c r="S5" s="8"/>
    </row>
    <row r="6" spans="1:27">
      <c r="M6" s="10"/>
      <c r="N6" s="18"/>
      <c r="O6" s="8"/>
      <c r="P6" s="8"/>
      <c r="Q6" s="8"/>
      <c r="R6" s="8"/>
      <c r="S6" s="8"/>
    </row>
    <row r="8" spans="1:27">
      <c r="F8" s="10"/>
      <c r="G8" s="23" t="s">
        <v>49</v>
      </c>
      <c r="T8" s="23" t="s">
        <v>30</v>
      </c>
      <c r="W8" s="23" t="s">
        <v>50</v>
      </c>
    </row>
    <row r="9" spans="1:27">
      <c r="A9" s="23" t="s">
        <v>23</v>
      </c>
      <c r="F9" s="10"/>
      <c r="G9" t="s">
        <v>2</v>
      </c>
      <c r="H9" t="s">
        <v>15</v>
      </c>
      <c r="I9" t="s">
        <v>16</v>
      </c>
      <c r="J9" t="s">
        <v>98</v>
      </c>
      <c r="K9" t="s">
        <v>21</v>
      </c>
      <c r="L9" t="s">
        <v>101</v>
      </c>
      <c r="M9" t="s">
        <v>126</v>
      </c>
      <c r="N9" t="s">
        <v>6</v>
      </c>
      <c r="O9" t="s">
        <v>125</v>
      </c>
      <c r="P9" t="s">
        <v>104</v>
      </c>
      <c r="Q9" t="s">
        <v>102</v>
      </c>
      <c r="R9" t="s">
        <v>4</v>
      </c>
      <c r="T9" t="s">
        <v>40</v>
      </c>
      <c r="U9">
        <v>1</v>
      </c>
      <c r="W9" t="s">
        <v>17</v>
      </c>
      <c r="X9" t="s">
        <v>32</v>
      </c>
      <c r="Y9" t="s">
        <v>41</v>
      </c>
      <c r="Z9" t="s">
        <v>42</v>
      </c>
      <c r="AA9" t="s">
        <v>41</v>
      </c>
    </row>
    <row r="10" spans="1:27">
      <c r="F10" s="10"/>
      <c r="G10">
        <v>0</v>
      </c>
      <c r="H10" s="1"/>
      <c r="I10" s="27">
        <v>1</v>
      </c>
      <c r="K10" s="16"/>
      <c r="R10" s="10">
        <f>R11</f>
        <v>9.6999871113334624E-4</v>
      </c>
      <c r="T10" t="s">
        <v>34</v>
      </c>
      <c r="U10" s="26">
        <v>1.4999999999999999E-2</v>
      </c>
      <c r="W10">
        <v>0</v>
      </c>
    </row>
    <row r="11" spans="1:27">
      <c r="B11" t="s">
        <v>58</v>
      </c>
      <c r="E11" t="s">
        <v>92</v>
      </c>
      <c r="F11" s="10"/>
      <c r="G11" s="2">
        <f>1/365</f>
        <v>2.7397260273972603E-3</v>
      </c>
      <c r="H11" s="1">
        <f t="shared" ref="H11:H74" si="0">Interpolate_Range($A$17:$A$50,$B$17:$B$50,G11)</f>
        <v>9.7000000000000005E-4</v>
      </c>
      <c r="I11" s="27">
        <f t="shared" ref="I11:I27" si="1">1/(1+H11*G11)</f>
        <v>0.9999973424728158</v>
      </c>
      <c r="K11" s="16"/>
      <c r="R11" s="10">
        <f t="shared" ref="R11:R74" si="2">-LN(I11)/G11</f>
        <v>9.6999871113334624E-4</v>
      </c>
      <c r="T11" t="s">
        <v>31</v>
      </c>
      <c r="U11" s="12" t="s">
        <v>91</v>
      </c>
      <c r="W11">
        <v>0.25</v>
      </c>
      <c r="X11" s="1">
        <f>$U$10/4</f>
        <v>3.7499999999999999E-3</v>
      </c>
      <c r="Y11" s="1">
        <f>X11*Interpolate_Range($G$10:$G$143,$I$10:$I$143,W11)</f>
        <v>3.7489877733012087E-3</v>
      </c>
      <c r="Z11" s="1">
        <f>$O$18/4</f>
        <v>5.7499999999999999E-4</v>
      </c>
      <c r="AA11" s="1">
        <f>Z11*Interpolate_Range($G$10:$G$143,$I$10:$I$143,W11)</f>
        <v>5.7484479190618529E-4</v>
      </c>
    </row>
    <row r="12" spans="1:27">
      <c r="A12" t="s">
        <v>0</v>
      </c>
      <c r="B12" s="1">
        <v>2.3E-3</v>
      </c>
      <c r="D12" s="13">
        <v>0</v>
      </c>
      <c r="E12">
        <v>129.38999999999999</v>
      </c>
      <c r="F12" s="10"/>
      <c r="G12" s="2">
        <f>2/365</f>
        <v>5.4794520547945206E-3</v>
      </c>
      <c r="H12" s="1">
        <f t="shared" si="0"/>
        <v>9.7000000000000005E-4</v>
      </c>
      <c r="I12" s="27">
        <f t="shared" si="1"/>
        <v>0.99999468495975674</v>
      </c>
      <c r="K12" s="16"/>
      <c r="R12" s="10">
        <f t="shared" si="2"/>
        <v>9.6999742218470126E-4</v>
      </c>
      <c r="T12" t="s">
        <v>161</v>
      </c>
      <c r="U12">
        <f>$E$12</f>
        <v>129.38999999999999</v>
      </c>
      <c r="W12">
        <v>0.5</v>
      </c>
      <c r="X12" s="1">
        <f t="shared" ref="X12:X50" si="3">$U$10/4</f>
        <v>3.7499999999999999E-3</v>
      </c>
      <c r="Y12" s="1">
        <f t="shared" ref="Y12:Y50" si="4">X12*Interpolate_Range($G$10:$G$143,$I$10:$I$143,W12)</f>
        <v>3.7479573632370356E-3</v>
      </c>
      <c r="Z12" s="1">
        <f>$O$21/4</f>
        <v>8.5616768772431425E-4</v>
      </c>
      <c r="AA12" s="1">
        <f t="shared" ref="AA12:AA50" si="5">Z12*Interpolate_Range($G$10:$G$143,$I$10:$I$143,W12)</f>
        <v>8.5570133049919219E-4</v>
      </c>
    </row>
    <row r="13" spans="1:27">
      <c r="A13" t="s">
        <v>1</v>
      </c>
      <c r="B13" s="1">
        <v>3.9427999999999998E-3</v>
      </c>
      <c r="F13" s="10"/>
      <c r="G13" s="2">
        <f>7/365</f>
        <v>1.9178082191780823E-2</v>
      </c>
      <c r="H13" s="1">
        <f t="shared" si="0"/>
        <v>9.7000000000000005E-4</v>
      </c>
      <c r="I13" s="27">
        <f t="shared" si="1"/>
        <v>0.99998139760632954</v>
      </c>
      <c r="K13" s="16"/>
      <c r="R13" s="10">
        <f t="shared" si="2"/>
        <v>9.699909777791684E-4</v>
      </c>
      <c r="T13" t="s">
        <v>38</v>
      </c>
      <c r="U13" s="12" t="s">
        <v>37</v>
      </c>
      <c r="W13">
        <v>0.75</v>
      </c>
      <c r="X13" s="1">
        <f t="shared" si="3"/>
        <v>3.7499999999999999E-3</v>
      </c>
      <c r="Y13" s="1">
        <f t="shared" si="4"/>
        <v>3.7465157403614633E-3</v>
      </c>
      <c r="Z13" s="1">
        <f>$O$24/4</f>
        <v>8.2313978738937318E-4</v>
      </c>
      <c r="AA13" s="1">
        <f t="shared" si="5"/>
        <v>8.2237497865922003E-4</v>
      </c>
    </row>
    <row r="14" spans="1:27">
      <c r="F14" s="10"/>
      <c r="G14" s="2">
        <f>14/365</f>
        <v>3.8356164383561646E-2</v>
      </c>
      <c r="H14" s="1">
        <f t="shared" si="0"/>
        <v>9.7999999999999997E-4</v>
      </c>
      <c r="I14" s="27">
        <f t="shared" si="1"/>
        <v>0.99996241237178696</v>
      </c>
      <c r="K14" s="16"/>
      <c r="R14" s="10">
        <f t="shared" si="2"/>
        <v>9.7998158183281499E-4</v>
      </c>
      <c r="T14" t="s">
        <v>35</v>
      </c>
      <c r="U14" s="12" t="s">
        <v>39</v>
      </c>
      <c r="W14">
        <v>1</v>
      </c>
      <c r="X14" s="1">
        <f t="shared" si="3"/>
        <v>3.7499999999999999E-3</v>
      </c>
      <c r="Y14" s="1">
        <f t="shared" si="4"/>
        <v>3.7446077648186603E-3</v>
      </c>
      <c r="Z14" s="1">
        <f>Interpolate_Range($G$27:$G$143,$O$27:$O$143,W14)/4</f>
        <v>8.2313978738937318E-4</v>
      </c>
      <c r="AA14" s="1">
        <f t="shared" si="5"/>
        <v>8.2195617050384747E-4</v>
      </c>
    </row>
    <row r="15" spans="1:27">
      <c r="F15" s="10"/>
      <c r="G15" s="2">
        <f>21/365</f>
        <v>5.7534246575342465E-2</v>
      </c>
      <c r="H15" s="1">
        <f t="shared" si="0"/>
        <v>9.8499999999999998E-4</v>
      </c>
      <c r="I15" s="38">
        <f t="shared" si="1"/>
        <v>0.99994333197856999</v>
      </c>
      <c r="K15" s="16"/>
      <c r="R15" s="10">
        <f t="shared" si="2"/>
        <v>9.8497209047108654E-4</v>
      </c>
      <c r="W15">
        <v>1.25</v>
      </c>
      <c r="X15" s="1">
        <f t="shared" si="3"/>
        <v>3.7499999999999999E-3</v>
      </c>
      <c r="Y15" s="1">
        <f t="shared" si="4"/>
        <v>3.7422787825523024E-3</v>
      </c>
      <c r="Z15" s="1">
        <f t="shared" ref="Z15:Z50" si="6">Interpolate_Range($G$27:$G$143,$O$27:$O$143,W15)/4</f>
        <v>1.3864874686106961E-3</v>
      </c>
      <c r="AA15" s="1">
        <f t="shared" si="5"/>
        <v>1.3836327029483893E-3</v>
      </c>
    </row>
    <row r="16" spans="1:27">
      <c r="B16" t="s">
        <v>121</v>
      </c>
      <c r="E16" t="s">
        <v>63</v>
      </c>
      <c r="F16" s="10"/>
      <c r="G16" s="2">
        <f>1/12</f>
        <v>8.3333333333333329E-2</v>
      </c>
      <c r="H16" s="1">
        <f t="shared" si="0"/>
        <v>1.01E-3</v>
      </c>
      <c r="I16" s="38">
        <f t="shared" si="1"/>
        <v>0.99991584041676496</v>
      </c>
      <c r="K16" s="16"/>
      <c r="R16" s="10">
        <f t="shared" si="2"/>
        <v>1.0099574982177333E-3</v>
      </c>
      <c r="W16">
        <v>1.5</v>
      </c>
      <c r="X16" s="1">
        <f t="shared" si="3"/>
        <v>3.7499999999999999E-3</v>
      </c>
      <c r="Y16" s="1">
        <f t="shared" si="4"/>
        <v>3.7395588202465309E-3</v>
      </c>
      <c r="Z16" s="1">
        <f t="shared" si="6"/>
        <v>1.3864874686106961E-3</v>
      </c>
      <c r="AA16" s="1">
        <f t="shared" si="5"/>
        <v>1.3826270513078436E-3</v>
      </c>
    </row>
    <row r="17" spans="1:27">
      <c r="A17" s="2">
        <f>1/365</f>
        <v>2.7397260273972603E-3</v>
      </c>
      <c r="B17" s="10">
        <v>9.7000000000000005E-4</v>
      </c>
      <c r="D17">
        <v>1</v>
      </c>
      <c r="E17" s="1">
        <v>4.1599999999999996E-3</v>
      </c>
      <c r="F17" s="10"/>
      <c r="G17" s="2">
        <f>2/12</f>
        <v>0.16666666666666666</v>
      </c>
      <c r="H17" s="1">
        <f t="shared" si="0"/>
        <v>1.0399999999999999E-3</v>
      </c>
      <c r="I17" s="38">
        <f t="shared" si="1"/>
        <v>0.99982669670590429</v>
      </c>
      <c r="K17" s="16"/>
      <c r="R17" s="10">
        <f t="shared" si="2"/>
        <v>1.0399098770808145E-3</v>
      </c>
      <c r="T17" s="23" t="s">
        <v>43</v>
      </c>
      <c r="W17">
        <v>1.75</v>
      </c>
      <c r="X17" s="1">
        <f t="shared" si="3"/>
        <v>3.7499999999999999E-3</v>
      </c>
      <c r="Y17" s="1">
        <f t="shared" si="4"/>
        <v>3.7368737450965126E-3</v>
      </c>
      <c r="Z17" s="1">
        <f t="shared" si="6"/>
        <v>1.3498044340599126E-3</v>
      </c>
      <c r="AA17" s="1">
        <f t="shared" si="5"/>
        <v>1.3450796668408919E-3</v>
      </c>
    </row>
    <row r="18" spans="1:27">
      <c r="A18" s="2">
        <f>2/365</f>
        <v>5.4794520547945206E-3</v>
      </c>
      <c r="B18" s="10">
        <v>9.7000000000000005E-4</v>
      </c>
      <c r="D18">
        <v>2</v>
      </c>
      <c r="E18" s="1">
        <v>5.5079999999999999E-3</v>
      </c>
      <c r="F18" s="10"/>
      <c r="G18" s="2">
        <f>3/12</f>
        <v>0.25</v>
      </c>
      <c r="H18" s="1">
        <f t="shared" si="0"/>
        <v>1.08E-3</v>
      </c>
      <c r="I18" s="38">
        <f t="shared" si="1"/>
        <v>0.99973007288032234</v>
      </c>
      <c r="K18" s="16"/>
      <c r="N18" s="16">
        <f>Interpolate_Range($D$35:$D$49,$E$35:$E$49,G18)</f>
        <v>1.08E-3</v>
      </c>
      <c r="O18" s="17">
        <f>B12</f>
        <v>2.3E-3</v>
      </c>
      <c r="P18" s="32">
        <f>P10+0.25*I18</f>
        <v>0.24993251822008059</v>
      </c>
      <c r="Q18" s="1">
        <f>Q10+O18*0.25*I18</f>
        <v>5.7484479190618529E-4</v>
      </c>
      <c r="R18" s="10">
        <f t="shared" si="2"/>
        <v>1.0798542262385779E-3</v>
      </c>
      <c r="T18" t="s">
        <v>45</v>
      </c>
      <c r="U18" s="15">
        <f>$U$9*SUM(Y11:Y50)</f>
        <v>0.14166205910207155</v>
      </c>
      <c r="W18">
        <v>2</v>
      </c>
      <c r="X18" s="1">
        <f t="shared" si="3"/>
        <v>3.7499999999999999E-3</v>
      </c>
      <c r="Y18" s="1">
        <f t="shared" si="4"/>
        <v>3.7321305953192706E-3</v>
      </c>
      <c r="Z18" s="1">
        <f t="shared" si="6"/>
        <v>1.3498044340599126E-3</v>
      </c>
      <c r="AA18" s="1">
        <f t="shared" si="5"/>
        <v>1.3433723802806967E-3</v>
      </c>
    </row>
    <row r="19" spans="1:27">
      <c r="A19" s="2">
        <f>7/365</f>
        <v>1.9178082191780823E-2</v>
      </c>
      <c r="B19" s="10">
        <v>9.7000000000000005E-4</v>
      </c>
      <c r="D19">
        <v>3</v>
      </c>
      <c r="E19" s="1">
        <v>7.2649999999999998E-3</v>
      </c>
      <c r="F19" s="10"/>
      <c r="G19" s="2">
        <f>4/12</f>
        <v>0.33333333333333331</v>
      </c>
      <c r="H19" s="1">
        <f t="shared" si="0"/>
        <v>1.08E-3</v>
      </c>
      <c r="I19" s="38">
        <f t="shared" si="1"/>
        <v>0.9996401295533609</v>
      </c>
      <c r="K19" s="16"/>
      <c r="R19" s="10">
        <f t="shared" si="2"/>
        <v>1.0798056466430738E-3</v>
      </c>
      <c r="T19" t="s">
        <v>46</v>
      </c>
      <c r="U19" s="15">
        <f>$U$9*SUM(AA11:AA50)</f>
        <v>0.17592068732582819</v>
      </c>
      <c r="W19">
        <v>2.25</v>
      </c>
      <c r="X19" s="1">
        <f t="shared" si="3"/>
        <v>3.7499999999999999E-3</v>
      </c>
      <c r="Y19" s="1">
        <f t="shared" si="4"/>
        <v>3.7255551613600778E-3</v>
      </c>
      <c r="Z19" s="1">
        <f t="shared" si="6"/>
        <v>2.377625070249871E-3</v>
      </c>
      <c r="AA19" s="1">
        <f t="shared" si="5"/>
        <v>2.3621262272662731E-3</v>
      </c>
    </row>
    <row r="20" spans="1:27">
      <c r="A20" s="2">
        <f>14/365</f>
        <v>3.8356164383561646E-2</v>
      </c>
      <c r="B20" s="10">
        <v>9.7999999999999997E-4</v>
      </c>
      <c r="D20">
        <v>4</v>
      </c>
      <c r="E20" s="1">
        <v>9.4649999999999995E-3</v>
      </c>
      <c r="F20" s="10"/>
      <c r="G20" s="2">
        <f>5/12</f>
        <v>0.41666666666666669</v>
      </c>
      <c r="H20" s="1">
        <f t="shared" si="0"/>
        <v>1.09E-3</v>
      </c>
      <c r="I20" s="38">
        <f t="shared" si="1"/>
        <v>0.99954603950705723</v>
      </c>
      <c r="K20" s="16"/>
      <c r="R20" s="10">
        <f t="shared" si="2"/>
        <v>1.0897525540849193E-3</v>
      </c>
      <c r="T20" t="s">
        <v>47</v>
      </c>
      <c r="U20" s="28">
        <f>$U$12*(U18-U19)</f>
        <v>-4.432723905871871</v>
      </c>
      <c r="W20">
        <v>2.5</v>
      </c>
      <c r="X20" s="1">
        <f t="shared" si="3"/>
        <v>3.7499999999999999E-3</v>
      </c>
      <c r="Y20" s="1">
        <f t="shared" si="4"/>
        <v>3.718979727400885E-3</v>
      </c>
      <c r="Z20" s="1">
        <f t="shared" si="6"/>
        <v>2.377625070249871E-3</v>
      </c>
      <c r="AA20" s="1">
        <f t="shared" si="5"/>
        <v>2.3579571828318334E-3</v>
      </c>
    </row>
    <row r="21" spans="1:27">
      <c r="A21" s="2">
        <f>21/365</f>
        <v>5.7534246575342465E-2</v>
      </c>
      <c r="B21" s="10">
        <v>9.8499999999999998E-4</v>
      </c>
      <c r="D21">
        <v>5</v>
      </c>
      <c r="E21" s="1">
        <v>1.1690000000000001E-2</v>
      </c>
      <c r="F21" s="10"/>
      <c r="G21" s="2">
        <f>6/12</f>
        <v>0.5</v>
      </c>
      <c r="H21" s="1">
        <f t="shared" si="0"/>
        <v>1.09E-3</v>
      </c>
      <c r="I21" s="38">
        <f t="shared" si="1"/>
        <v>0.99945529686320955</v>
      </c>
      <c r="K21" s="16"/>
      <c r="L21" s="1">
        <f>L10+M21*0.5*I21</f>
        <v>1.9703261722361313E-3</v>
      </c>
      <c r="M21" s="17">
        <f>B13</f>
        <v>3.9427999999999998E-3</v>
      </c>
      <c r="N21" s="16">
        <f>Interpolate_Range($D$35:$D$49,$E$35:$E$49,G21)</f>
        <v>1.08E-3</v>
      </c>
      <c r="O21" s="1">
        <f>(L21-N21*P21-Q18)/(0.25*I21)</f>
        <v>3.424670750897257E-3</v>
      </c>
      <c r="P21" s="32">
        <f>P18+0.25*I21</f>
        <v>0.499796342435883</v>
      </c>
      <c r="Q21" s="1">
        <f>Q18+O21*0.25*I21</f>
        <v>1.4305461224053775E-3</v>
      </c>
      <c r="R21" s="10">
        <f t="shared" si="2"/>
        <v>1.0897030828749873E-3</v>
      </c>
      <c r="W21">
        <v>2.75</v>
      </c>
      <c r="X21" s="1">
        <f t="shared" si="3"/>
        <v>3.7499999999999999E-3</v>
      </c>
      <c r="Y21" s="1">
        <f t="shared" si="4"/>
        <v>3.7124042934416927E-3</v>
      </c>
      <c r="Z21" s="1">
        <f t="shared" si="6"/>
        <v>2.3744026615322255E-3</v>
      </c>
      <c r="AA21" s="1">
        <f t="shared" si="5"/>
        <v>2.3505980360084312E-3</v>
      </c>
    </row>
    <row r="22" spans="1:27">
      <c r="A22" s="2">
        <f>1/12</f>
        <v>8.3333333333333329E-2</v>
      </c>
      <c r="B22" s="10">
        <v>1.01E-3</v>
      </c>
      <c r="D22">
        <v>6</v>
      </c>
      <c r="E22" s="1">
        <v>1.3690000000000001E-2</v>
      </c>
      <c r="F22" s="10"/>
      <c r="G22" s="2">
        <f>7/12</f>
        <v>0.58333333333333337</v>
      </c>
      <c r="H22" s="1">
        <f t="shared" si="0"/>
        <v>1.1199999999999999E-3</v>
      </c>
      <c r="I22" s="38">
        <f t="shared" si="1"/>
        <v>0.99934709323242144</v>
      </c>
      <c r="K22" s="16"/>
      <c r="R22" s="10">
        <f t="shared" si="2"/>
        <v>1.1196342926106343E-3</v>
      </c>
      <c r="W22">
        <v>3</v>
      </c>
      <c r="X22" s="1">
        <f t="shared" si="3"/>
        <v>3.7499999999999999E-3</v>
      </c>
      <c r="Y22" s="1">
        <f t="shared" si="4"/>
        <v>3.7058288594824995E-3</v>
      </c>
      <c r="Z22" s="1">
        <f t="shared" si="6"/>
        <v>2.3744026615322255E-3</v>
      </c>
      <c r="AA22" s="1">
        <f t="shared" si="5"/>
        <v>2.3464346419035144E-3</v>
      </c>
    </row>
    <row r="23" spans="1:27">
      <c r="A23" s="2">
        <f>2/12</f>
        <v>0.16666666666666666</v>
      </c>
      <c r="B23" s="10">
        <v>1.0399999999999999E-3</v>
      </c>
      <c r="D23">
        <v>7</v>
      </c>
      <c r="E23" s="1">
        <v>1.5429999999999999E-2</v>
      </c>
      <c r="F23" s="10"/>
      <c r="G23" s="2">
        <f>8/12</f>
        <v>0.66666666666666663</v>
      </c>
      <c r="H23" s="1">
        <f t="shared" si="0"/>
        <v>1.17E-3</v>
      </c>
      <c r="I23" s="38">
        <f t="shared" si="1"/>
        <v>0.99922060792581791</v>
      </c>
      <c r="K23" s="16"/>
      <c r="R23" s="10">
        <f t="shared" si="2"/>
        <v>1.1695439371372154E-3</v>
      </c>
      <c r="W23">
        <v>3.25</v>
      </c>
      <c r="X23" s="1">
        <f t="shared" si="3"/>
        <v>3.7499999999999999E-3</v>
      </c>
      <c r="Y23" s="1">
        <f t="shared" si="4"/>
        <v>3.6943113092768884E-3</v>
      </c>
      <c r="Z23" s="1">
        <f t="shared" si="6"/>
        <v>3.7404041008779376E-3</v>
      </c>
      <c r="AA23" s="1">
        <f t="shared" si="5"/>
        <v>3.6848579123037379E-3</v>
      </c>
    </row>
    <row r="24" spans="1:27">
      <c r="A24" s="2">
        <f>3/12</f>
        <v>0.25</v>
      </c>
      <c r="B24" s="10">
        <v>1.08E-3</v>
      </c>
      <c r="D24">
        <v>8</v>
      </c>
      <c r="E24" s="1">
        <v>1.6997999999999999E-2</v>
      </c>
      <c r="F24" s="10"/>
      <c r="G24" s="2">
        <f>9/12</f>
        <v>0.75</v>
      </c>
      <c r="H24" s="1">
        <f t="shared" si="0"/>
        <v>1.24E-3</v>
      </c>
      <c r="I24" s="38">
        <f t="shared" si="1"/>
        <v>0.99907086409639023</v>
      </c>
      <c r="K24" s="16"/>
      <c r="M24" s="20"/>
      <c r="N24" s="16">
        <f>Interpolate_Range($D$35:$D$49,$E$35:$E$49,G24)</f>
        <v>1.08E-3</v>
      </c>
      <c r="O24" s="39">
        <f>O27</f>
        <v>3.2925591495574927E-3</v>
      </c>
      <c r="P24" s="32">
        <f>P21+0.25*I24</f>
        <v>0.74956405845998053</v>
      </c>
      <c r="Q24" s="1">
        <f>Q21+O24*0.25*I24</f>
        <v>2.2529211010645974E-3</v>
      </c>
      <c r="R24" s="10">
        <f t="shared" si="2"/>
        <v>1.2394237572430015E-3</v>
      </c>
      <c r="W24">
        <v>3.5</v>
      </c>
      <c r="X24" s="1">
        <f t="shared" si="3"/>
        <v>3.7499999999999999E-3</v>
      </c>
      <c r="Y24" s="1">
        <f t="shared" si="4"/>
        <v>3.6827937590712769E-3</v>
      </c>
      <c r="Z24" s="1">
        <f t="shared" si="6"/>
        <v>3.7404041008779376E-3</v>
      </c>
      <c r="AA24" s="1">
        <f t="shared" si="5"/>
        <v>3.6733698344314351E-3</v>
      </c>
    </row>
    <row r="25" spans="1:27">
      <c r="A25" s="2">
        <f>4/12</f>
        <v>0.33333333333333331</v>
      </c>
      <c r="B25" s="10">
        <v>1.08E-3</v>
      </c>
      <c r="D25">
        <v>9</v>
      </c>
      <c r="E25" s="1">
        <v>1.8419999999999999E-2</v>
      </c>
      <c r="F25" s="10"/>
      <c r="G25" s="2">
        <f>10/12</f>
        <v>0.83333333333333337</v>
      </c>
      <c r="H25" s="1">
        <f t="shared" si="0"/>
        <v>1.2999999999999999E-3</v>
      </c>
      <c r="I25" s="38">
        <f t="shared" si="1"/>
        <v>0.99891783900774167</v>
      </c>
      <c r="K25" s="16"/>
      <c r="M25" s="20"/>
      <c r="N25" s="20"/>
      <c r="O25" s="20"/>
      <c r="R25" s="10">
        <f t="shared" si="2"/>
        <v>1.2992963414852285E-3</v>
      </c>
      <c r="W25">
        <v>3.75</v>
      </c>
      <c r="X25" s="1">
        <f t="shared" si="3"/>
        <v>3.7499999999999999E-3</v>
      </c>
      <c r="Y25" s="1">
        <f t="shared" si="4"/>
        <v>3.6712762088656654E-3</v>
      </c>
      <c r="Z25" s="1">
        <f t="shared" si="6"/>
        <v>3.7498143965345432E-3</v>
      </c>
      <c r="AA25" s="1">
        <f t="shared" si="5"/>
        <v>3.6710945017757951E-3</v>
      </c>
    </row>
    <row r="26" spans="1:27">
      <c r="A26" s="2">
        <f>5/12</f>
        <v>0.41666666666666669</v>
      </c>
      <c r="B26" s="10">
        <v>1.09E-3</v>
      </c>
      <c r="D26">
        <v>10</v>
      </c>
      <c r="E26" s="1">
        <v>1.968E-2</v>
      </c>
      <c r="F26" s="10"/>
      <c r="G26" s="2">
        <f>11/12</f>
        <v>0.91666666666666663</v>
      </c>
      <c r="H26" s="1">
        <f t="shared" si="0"/>
        <v>1.3600000000000001E-3</v>
      </c>
      <c r="I26" s="38">
        <f t="shared" si="1"/>
        <v>0.99875488557598202</v>
      </c>
      <c r="K26" s="16"/>
      <c r="M26" s="20"/>
      <c r="N26" s="20"/>
      <c r="O26" s="20"/>
      <c r="R26" s="10">
        <f t="shared" si="2"/>
        <v>1.3591529705690658E-3</v>
      </c>
      <c r="W26">
        <v>4</v>
      </c>
      <c r="X26" s="1">
        <f t="shared" si="3"/>
        <v>3.7499999999999999E-3</v>
      </c>
      <c r="Y26" s="1">
        <f t="shared" si="4"/>
        <v>3.6597586586600544E-3</v>
      </c>
      <c r="Z26" s="1">
        <f t="shared" si="6"/>
        <v>3.7498143965345432E-3</v>
      </c>
      <c r="AA26" s="1">
        <f t="shared" si="5"/>
        <v>3.6595775216227791E-3</v>
      </c>
    </row>
    <row r="27" spans="1:27">
      <c r="A27" s="2">
        <f>6/12</f>
        <v>0.5</v>
      </c>
      <c r="B27" s="10">
        <v>1.09E-3</v>
      </c>
      <c r="D27">
        <v>12</v>
      </c>
      <c r="E27" s="1">
        <v>2.1760000000000002E-2</v>
      </c>
      <c r="F27" s="10"/>
      <c r="G27" s="2">
        <v>1</v>
      </c>
      <c r="H27" s="1">
        <f t="shared" si="0"/>
        <v>1.4400000000000001E-3</v>
      </c>
      <c r="I27" s="38">
        <f t="shared" si="1"/>
        <v>0.99856207061830948</v>
      </c>
      <c r="J27" s="15">
        <f>J10+1*I27</f>
        <v>0.99856207061830948</v>
      </c>
      <c r="K27" s="16">
        <f>Interpolate_Range($D$17:$D$31,$E$17:$E$31,G27)</f>
        <v>4.1599999999999996E-3</v>
      </c>
      <c r="L27" s="1">
        <f>L21+M27*0.5*I27</f>
        <v>4.1540182137721673E-3</v>
      </c>
      <c r="M27" s="14">
        <f>(K27*J27-L21)/(0.5*I27)</f>
        <v>4.3736731161516966E-3</v>
      </c>
      <c r="N27" s="21">
        <f>Interpolate_Range($D$35:$D$49,$E$35:$E$49,G27)</f>
        <v>1.08E-3</v>
      </c>
      <c r="O27" s="14">
        <f>(L27-N27*P27-Q21)/(0.25*I24+0.25*I27)</f>
        <v>3.2925591495574927E-3</v>
      </c>
      <c r="P27" s="32">
        <f>P24+0.25*I27</f>
        <v>0.99920457611455793</v>
      </c>
      <c r="Q27" s="1">
        <f>Q24+O27*0.25*I27</f>
        <v>3.074877271568445E-3</v>
      </c>
      <c r="R27" s="10">
        <f t="shared" si="2"/>
        <v>1.438964194254434E-3</v>
      </c>
      <c r="W27">
        <v>4.25</v>
      </c>
      <c r="X27" s="1">
        <f t="shared" si="3"/>
        <v>3.7499999999999999E-3</v>
      </c>
      <c r="Y27" s="1">
        <f t="shared" si="4"/>
        <v>3.6441946485782921E-3</v>
      </c>
      <c r="Z27" s="1">
        <f t="shared" si="6"/>
        <v>4.8981334633741149E-3</v>
      </c>
      <c r="AA27" s="1">
        <f t="shared" si="5"/>
        <v>4.7599338014000549E-3</v>
      </c>
    </row>
    <row r="28" spans="1:27">
      <c r="A28" s="2">
        <f>7/12</f>
        <v>0.58333333333333337</v>
      </c>
      <c r="B28" s="10">
        <v>1.1199999999999999E-3</v>
      </c>
      <c r="D28">
        <v>15</v>
      </c>
      <c r="E28" s="1">
        <v>2.3720000000000001E-2</v>
      </c>
      <c r="F28" s="10"/>
      <c r="G28" s="13">
        <f>G27+1/4</f>
        <v>1.25</v>
      </c>
      <c r="H28" s="1">
        <f t="shared" si="0"/>
        <v>1.65E-3</v>
      </c>
      <c r="I28" s="37">
        <f>(1-G18*I18*H28)/(1+H28)</f>
        <v>0.99794100868061397</v>
      </c>
      <c r="J28" s="15"/>
      <c r="K28" s="16"/>
      <c r="N28" s="16">
        <f t="shared" ref="N28:N91" si="7">Interpolate_Range($D$35:$D$49,$E$35:$E$49,G28)</f>
        <v>1.1175E-3</v>
      </c>
      <c r="O28" s="17">
        <f>O29</f>
        <v>5.5459498744427843E-3</v>
      </c>
      <c r="P28" s="32">
        <f t="shared" ref="P28:P59" si="8">P27+0.25*I28</f>
        <v>1.2486898282847114</v>
      </c>
      <c r="Q28" s="1">
        <f>Q27+O28*0.25*I28</f>
        <v>4.4585099745168347E-3</v>
      </c>
      <c r="R28" s="10">
        <f t="shared" si="2"/>
        <v>1.6488911649389156E-3</v>
      </c>
      <c r="W28">
        <v>4.5</v>
      </c>
      <c r="X28" s="1">
        <f t="shared" si="3"/>
        <v>3.7499999999999999E-3</v>
      </c>
      <c r="Y28" s="1">
        <f t="shared" si="4"/>
        <v>3.6286306384965298E-3</v>
      </c>
      <c r="Z28" s="1">
        <f t="shared" si="6"/>
        <v>4.8981334633741149E-3</v>
      </c>
      <c r="AA28" s="1">
        <f t="shared" si="5"/>
        <v>4.7396045751051828E-3</v>
      </c>
    </row>
    <row r="29" spans="1:27">
      <c r="A29" s="2">
        <f>8/12</f>
        <v>0.66666666666666663</v>
      </c>
      <c r="B29" s="10">
        <v>1.17E-3</v>
      </c>
      <c r="D29">
        <v>20</v>
      </c>
      <c r="E29" s="1">
        <v>2.4853E-2</v>
      </c>
      <c r="F29" s="10"/>
      <c r="G29" s="13">
        <f t="shared" ref="G29:G31" si="9">G28+1/4</f>
        <v>1.5</v>
      </c>
      <c r="H29" s="1">
        <f t="shared" si="0"/>
        <v>1.8600000000000001E-3</v>
      </c>
      <c r="I29" s="37">
        <f>(1-G21*I21*H29)/(1+H29)</f>
        <v>0.9972156853990749</v>
      </c>
      <c r="J29" s="15"/>
      <c r="K29" s="16"/>
      <c r="L29" s="1">
        <f>L27+M29*0.5*I29</f>
        <v>7.5713198066525026E-3</v>
      </c>
      <c r="M29" s="1">
        <f>M31</f>
        <v>6.8536860037711261E-3</v>
      </c>
      <c r="N29" s="16">
        <f t="shared" si="7"/>
        <v>1.155E-3</v>
      </c>
      <c r="O29" s="1">
        <f>(L29-N29*P29-Q27)/(0.25*I28+0.25*I29)</f>
        <v>5.5459498744427843E-3</v>
      </c>
      <c r="P29" s="32">
        <f t="shared" si="8"/>
        <v>1.4979937496344802</v>
      </c>
      <c r="Q29" s="1">
        <f>Q28+O29*0.25*I31</f>
        <v>5.8383905882844998E-3</v>
      </c>
      <c r="R29" s="10">
        <f t="shared" si="2"/>
        <v>1.8587986766196458E-3</v>
      </c>
      <c r="W29">
        <v>4.75</v>
      </c>
      <c r="X29" s="1">
        <f t="shared" si="3"/>
        <v>3.7499999999999999E-3</v>
      </c>
      <c r="Y29" s="1">
        <f t="shared" si="4"/>
        <v>3.6130666284147684E-3</v>
      </c>
      <c r="Z29" s="1">
        <f t="shared" si="6"/>
        <v>4.904432889833066E-3</v>
      </c>
      <c r="AA29" s="1">
        <f t="shared" si="5"/>
        <v>4.7253447481481747E-3</v>
      </c>
    </row>
    <row r="30" spans="1:27">
      <c r="A30" s="2">
        <f>9/12</f>
        <v>0.75</v>
      </c>
      <c r="B30" s="10">
        <v>1.24E-3</v>
      </c>
      <c r="D30">
        <v>25</v>
      </c>
      <c r="E30" s="1">
        <v>2.5020000000000001E-2</v>
      </c>
      <c r="F30" s="10"/>
      <c r="G30" s="13">
        <f t="shared" si="9"/>
        <v>1.75</v>
      </c>
      <c r="H30" s="1">
        <f t="shared" si="0"/>
        <v>2.0049999999999998E-3</v>
      </c>
      <c r="I30" s="37">
        <f>(1-G24*I24*H30)/(1+H30)</f>
        <v>0.99649966535907009</v>
      </c>
      <c r="J30" s="15"/>
      <c r="K30" s="16"/>
      <c r="N30" s="16">
        <f t="shared" si="7"/>
        <v>1.1925E-3</v>
      </c>
      <c r="O30" s="17">
        <f>O31</f>
        <v>5.3992177362396504E-3</v>
      </c>
      <c r="P30" s="32">
        <f t="shared" si="8"/>
        <v>1.7471186659742477</v>
      </c>
      <c r="Q30" s="1">
        <f>Q29+O30*0.25*I30</f>
        <v>7.1834702551253921E-3</v>
      </c>
      <c r="R30" s="10">
        <f t="shared" si="2"/>
        <v>2.0037000832176842E-3</v>
      </c>
      <c r="W30">
        <v>5</v>
      </c>
      <c r="X30" s="1">
        <f t="shared" si="3"/>
        <v>3.7499999999999999E-3</v>
      </c>
      <c r="Y30" s="1">
        <f t="shared" si="4"/>
        <v>3.5975026183330061E-3</v>
      </c>
      <c r="Z30" s="1">
        <f t="shared" si="6"/>
        <v>4.904432889833066E-3</v>
      </c>
      <c r="AA30" s="1">
        <f t="shared" si="5"/>
        <v>4.7049893766967915E-3</v>
      </c>
    </row>
    <row r="31" spans="1:27">
      <c r="A31" s="2">
        <f>10/12</f>
        <v>0.83333333333333337</v>
      </c>
      <c r="B31" s="10">
        <v>1.2999999999999999E-3</v>
      </c>
      <c r="D31">
        <v>30</v>
      </c>
      <c r="E31" s="1">
        <v>2.4943E-2</v>
      </c>
      <c r="F31" s="10"/>
      <c r="G31" s="13">
        <f t="shared" si="9"/>
        <v>2</v>
      </c>
      <c r="H31" s="1">
        <f t="shared" si="0"/>
        <v>2.3900000000000002E-3</v>
      </c>
      <c r="I31" s="2">
        <f>(1-SUM($J$27:J27)*H31)/(1+H31)</f>
        <v>0.99523482541847219</v>
      </c>
      <c r="J31" s="15">
        <f>J27+1*I31</f>
        <v>1.9937968960367818</v>
      </c>
      <c r="K31" s="16">
        <f>Interpolate_Range($D$17:$D$31,$E$17:$E$31,G31)</f>
        <v>5.5079999999999999E-3</v>
      </c>
      <c r="L31" s="1">
        <f>L29+M31*0.5*I31</f>
        <v>1.0981833303370594E-2</v>
      </c>
      <c r="M31" s="14">
        <f>(K31*J31-L27)/(0.5*I29+0.5*I31)</f>
        <v>6.8536860037711261E-3</v>
      </c>
      <c r="N31" s="16">
        <f t="shared" si="7"/>
        <v>1.23E-3</v>
      </c>
      <c r="O31" s="1">
        <f>(L31-N31*P31-Q29)/(0.25*I30+0.25*I31)</f>
        <v>5.3992177362396504E-3</v>
      </c>
      <c r="P31" s="32">
        <f t="shared" si="8"/>
        <v>1.9959273723288657</v>
      </c>
      <c r="Q31" s="1">
        <f>Q30+O31*0.25*I33</f>
        <v>8.5221090087852953E-3</v>
      </c>
      <c r="R31" s="10">
        <f t="shared" si="2"/>
        <v>2.3882821113739208E-3</v>
      </c>
      <c r="W31">
        <v>5.25</v>
      </c>
      <c r="X31" s="1">
        <f t="shared" si="3"/>
        <v>3.7499999999999999E-3</v>
      </c>
      <c r="Y31" s="1">
        <f t="shared" si="4"/>
        <v>3.5792880904955294E-3</v>
      </c>
      <c r="Z31" s="1">
        <f t="shared" si="6"/>
        <v>5.760457219265434E-3</v>
      </c>
      <c r="AA31" s="1">
        <f t="shared" si="5"/>
        <v>5.4982229121935365E-3</v>
      </c>
    </row>
    <row r="32" spans="1:27">
      <c r="A32" s="2">
        <f>11/12</f>
        <v>0.91666666666666663</v>
      </c>
      <c r="B32" s="10">
        <v>1.3600000000000001E-3</v>
      </c>
      <c r="F32" s="10"/>
      <c r="G32" s="13">
        <f>G31+0.25</f>
        <v>2.25</v>
      </c>
      <c r="H32" s="1">
        <f t="shared" si="0"/>
        <v>2.7800000000000004E-3</v>
      </c>
      <c r="I32" s="2">
        <f>Interpolate_Interval(H31,H35,I31,I35,H32)</f>
        <v>0.99348137636268741</v>
      </c>
      <c r="J32" s="15"/>
      <c r="K32" s="16"/>
      <c r="N32" s="16">
        <f t="shared" si="7"/>
        <v>1.235E-3</v>
      </c>
      <c r="O32" s="17">
        <f>O33</f>
        <v>9.510500280999484E-3</v>
      </c>
      <c r="P32" s="32">
        <f t="shared" si="8"/>
        <v>2.2442977164195375</v>
      </c>
      <c r="Q32" s="1">
        <f>Q31+O32*0.25*I32</f>
        <v>1.0884235236051568E-2</v>
      </c>
      <c r="R32" s="10">
        <f t="shared" si="2"/>
        <v>2.9066500661849128E-3</v>
      </c>
      <c r="W32">
        <v>5.5</v>
      </c>
      <c r="X32" s="1">
        <f t="shared" si="3"/>
        <v>3.7499999999999999E-3</v>
      </c>
      <c r="Y32" s="1">
        <f t="shared" si="4"/>
        <v>3.5610735626580526E-3</v>
      </c>
      <c r="Z32" s="1">
        <f t="shared" si="6"/>
        <v>5.760457219265434E-3</v>
      </c>
      <c r="AA32" s="1">
        <f t="shared" si="5"/>
        <v>5.4702431766263625E-3</v>
      </c>
    </row>
    <row r="33" spans="1:27">
      <c r="A33" s="2">
        <v>1</v>
      </c>
      <c r="B33" s="10">
        <v>1.4400000000000001E-3</v>
      </c>
      <c r="F33" s="10"/>
      <c r="G33" s="13">
        <f t="shared" ref="G33:G96" si="10">G32+0.25</f>
        <v>2.5</v>
      </c>
      <c r="H33" s="1">
        <f t="shared" si="0"/>
        <v>3.1700000000000001E-3</v>
      </c>
      <c r="I33" s="2">
        <f>Interpolate_Interval(H31,H35,I31,I35,H33)</f>
        <v>0.99172792730690273</v>
      </c>
      <c r="J33" s="15"/>
      <c r="K33" s="16"/>
      <c r="L33" s="1">
        <f>L31+M33*0.5*I33</f>
        <v>1.6332557244708768E-2</v>
      </c>
      <c r="M33" s="1">
        <f>M35</f>
        <v>1.0790709415370381E-2</v>
      </c>
      <c r="N33" s="16">
        <f t="shared" si="7"/>
        <v>1.24E-3</v>
      </c>
      <c r="O33" s="1">
        <f>(L33-N33*P33-Q31)/(0.25*I32+0.25*I33)</f>
        <v>9.510500280999484E-3</v>
      </c>
      <c r="P33" s="32">
        <f t="shared" si="8"/>
        <v>2.4922296982462631</v>
      </c>
      <c r="Q33" s="1">
        <f>Q32+O33*0.25*I35</f>
        <v>1.3233854330014522E-2</v>
      </c>
      <c r="R33" s="10">
        <f t="shared" si="2"/>
        <v>3.3225904572032313E-3</v>
      </c>
      <c r="W33">
        <v>5.75</v>
      </c>
      <c r="X33" s="1">
        <f t="shared" si="3"/>
        <v>3.7499999999999999E-3</v>
      </c>
      <c r="Y33" s="1">
        <f t="shared" si="4"/>
        <v>3.5428590348205759E-3</v>
      </c>
      <c r="Z33" s="1">
        <f t="shared" si="6"/>
        <v>5.7742319921046288E-3</v>
      </c>
      <c r="AA33" s="1">
        <f t="shared" si="5"/>
        <v>5.4552773286341057E-3</v>
      </c>
    </row>
    <row r="34" spans="1:27">
      <c r="A34">
        <v>1.25</v>
      </c>
      <c r="B34" s="10">
        <v>1.65E-3</v>
      </c>
      <c r="E34" t="s">
        <v>59</v>
      </c>
      <c r="F34" s="10"/>
      <c r="G34" s="13">
        <f t="shared" si="10"/>
        <v>2.75</v>
      </c>
      <c r="H34" s="1">
        <f t="shared" si="0"/>
        <v>3.5600000000000002E-3</v>
      </c>
      <c r="I34" s="2">
        <f>Interpolate_Interval(H31,H35,I31,I35,H34)</f>
        <v>0.98997447825111806</v>
      </c>
      <c r="J34" s="15"/>
      <c r="K34" s="16"/>
      <c r="N34" s="16">
        <f t="shared" si="7"/>
        <v>1.245E-3</v>
      </c>
      <c r="O34" s="17">
        <f>O35</f>
        <v>9.4976106461289022E-3</v>
      </c>
      <c r="P34" s="32">
        <f t="shared" si="8"/>
        <v>2.7397233178090428</v>
      </c>
      <c r="Q34" s="1">
        <f>Q33+O34*0.25*I34</f>
        <v>1.5584452366022954E-2</v>
      </c>
      <c r="R34" s="10">
        <f t="shared" si="2"/>
        <v>3.664042083681744E-3</v>
      </c>
      <c r="W34">
        <v>6</v>
      </c>
      <c r="X34" s="1">
        <f t="shared" si="3"/>
        <v>3.7499999999999999E-3</v>
      </c>
      <c r="Y34" s="1">
        <f t="shared" si="4"/>
        <v>3.5246445069830991E-3</v>
      </c>
      <c r="Z34" s="1">
        <f t="shared" si="6"/>
        <v>5.7742319921046288E-3</v>
      </c>
      <c r="AA34" s="1">
        <f t="shared" si="5"/>
        <v>5.4272306861380421E-3</v>
      </c>
    </row>
    <row r="35" spans="1:27">
      <c r="A35">
        <v>1.5</v>
      </c>
      <c r="B35" s="10">
        <v>1.8600000000000001E-3</v>
      </c>
      <c r="D35">
        <v>1</v>
      </c>
      <c r="E35" s="1">
        <v>1.08E-3</v>
      </c>
      <c r="F35" s="32"/>
      <c r="G35" s="13">
        <f t="shared" si="10"/>
        <v>3</v>
      </c>
      <c r="H35" s="1">
        <f t="shared" si="0"/>
        <v>3.9500000000000004E-3</v>
      </c>
      <c r="I35" s="2">
        <f>(1-J31*H35)/(1+H35)</f>
        <v>0.98822102919533328</v>
      </c>
      <c r="J35" s="15">
        <f>J31+1*I35</f>
        <v>2.9820179252321148</v>
      </c>
      <c r="K35" s="16">
        <f>Interpolate_Range($D$17:$D$31,$E$17:$E$31,G35)</f>
        <v>7.2649999999999998E-3</v>
      </c>
      <c r="L35" s="1">
        <f>L33+M35*0.5*I35</f>
        <v>2.1664360226811313E-2</v>
      </c>
      <c r="M35" s="14">
        <f>(K35*J35-L31)/(0.5*I33+0.5*I35)</f>
        <v>1.0790709415370381E-2</v>
      </c>
      <c r="N35" s="16">
        <f t="shared" si="7"/>
        <v>1.25E-3</v>
      </c>
      <c r="O35" s="1">
        <f>(L35-N35*P35-Q33)/(0.25*I34+0.25*I35)</f>
        <v>9.4976106461289022E-3</v>
      </c>
      <c r="P35" s="32">
        <f t="shared" si="8"/>
        <v>2.9867785751078761</v>
      </c>
      <c r="Q35" s="1">
        <f>Q34+O35*0.25*I37</f>
        <v>1.7916301780266451E-2</v>
      </c>
      <c r="R35" s="10">
        <f t="shared" si="2"/>
        <v>3.9496308313340866E-3</v>
      </c>
      <c r="W35">
        <v>6.25</v>
      </c>
      <c r="X35" s="1">
        <f t="shared" si="3"/>
        <v>3.7499999999999999E-3</v>
      </c>
      <c r="Y35" s="1">
        <f t="shared" si="4"/>
        <v>3.504440867591373E-3</v>
      </c>
      <c r="Z35" s="1">
        <f t="shared" si="6"/>
        <v>6.3781434639120357E-3</v>
      </c>
      <c r="AA35" s="1">
        <f t="shared" si="5"/>
        <v>5.960487097145104E-3</v>
      </c>
    </row>
    <row r="36" spans="1:27">
      <c r="A36">
        <v>1.75</v>
      </c>
      <c r="B36" s="10">
        <v>2.0049999999999998E-3</v>
      </c>
      <c r="D36">
        <v>2</v>
      </c>
      <c r="E36" s="1">
        <v>1.23E-3</v>
      </c>
      <c r="F36" s="32"/>
      <c r="G36" s="13">
        <f t="shared" si="10"/>
        <v>3.25</v>
      </c>
      <c r="H36" s="1">
        <f t="shared" si="0"/>
        <v>4.4825000000000004E-3</v>
      </c>
      <c r="I36" s="2">
        <f>Interpolate_Interval(H35,H39,I35,I39,H36)</f>
        <v>0.98514968247383694</v>
      </c>
      <c r="J36" s="15"/>
      <c r="K36" s="16"/>
      <c r="N36" s="16">
        <f t="shared" si="7"/>
        <v>1.245E-3</v>
      </c>
      <c r="O36" s="17">
        <f>O37</f>
        <v>1.4961616403511751E-2</v>
      </c>
      <c r="P36" s="32">
        <f t="shared" si="8"/>
        <v>3.2330659957263355</v>
      </c>
      <c r="Q36" s="1">
        <f>Q35+O36*0.25*I36</f>
        <v>2.160115969257019E-2</v>
      </c>
      <c r="R36" s="10">
        <f t="shared" si="2"/>
        <v>4.6035961392972124E-3</v>
      </c>
      <c r="W36">
        <v>6.5</v>
      </c>
      <c r="X36" s="1">
        <f t="shared" si="3"/>
        <v>3.7499999999999999E-3</v>
      </c>
      <c r="Y36" s="1">
        <f t="shared" si="4"/>
        <v>3.4842372281996478E-3</v>
      </c>
      <c r="Z36" s="1">
        <f t="shared" si="6"/>
        <v>6.3781434639120357E-3</v>
      </c>
      <c r="AA36" s="1">
        <f t="shared" si="5"/>
        <v>5.9261239743361527E-3</v>
      </c>
    </row>
    <row r="37" spans="1:27">
      <c r="A37">
        <v>2</v>
      </c>
      <c r="B37" s="10">
        <v>2.3900000000000002E-3</v>
      </c>
      <c r="D37">
        <v>3</v>
      </c>
      <c r="E37" s="1">
        <v>1.25E-3</v>
      </c>
      <c r="F37" s="32"/>
      <c r="G37" s="13">
        <f t="shared" si="10"/>
        <v>3.5</v>
      </c>
      <c r="H37" s="1">
        <f t="shared" si="0"/>
        <v>5.0150000000000004E-3</v>
      </c>
      <c r="I37" s="2">
        <f>Interpolate_Interval(H35,H39,I35,I39,H37)</f>
        <v>0.9820783357523406</v>
      </c>
      <c r="J37" s="15"/>
      <c r="K37" s="16"/>
      <c r="L37" s="1">
        <f>L35+M37*0.5*I37</f>
        <v>2.9587975645785504E-2</v>
      </c>
      <c r="M37" s="1">
        <f>M39</f>
        <v>1.6136422382037673E-2</v>
      </c>
      <c r="N37" s="16">
        <f t="shared" si="7"/>
        <v>1.24E-3</v>
      </c>
      <c r="O37" s="1">
        <f>(L37-N37*P37-Q35)/(0.25*I36+0.25*I37)</f>
        <v>1.4961616403511751E-2</v>
      </c>
      <c r="P37" s="32">
        <f t="shared" si="8"/>
        <v>3.4785855796644207</v>
      </c>
      <c r="Q37" s="1">
        <f>Q36+O37*0.25*I39</f>
        <v>2.5251553371257018E-2</v>
      </c>
      <c r="R37" s="10">
        <f t="shared" si="2"/>
        <v>5.1669149049613375E-3</v>
      </c>
      <c r="W37">
        <v>6.75</v>
      </c>
      <c r="X37" s="1">
        <f t="shared" si="3"/>
        <v>3.7499999999999999E-3</v>
      </c>
      <c r="Y37" s="1">
        <f t="shared" si="4"/>
        <v>3.4640335888079217E-3</v>
      </c>
      <c r="Z37" s="1">
        <f t="shared" si="6"/>
        <v>6.3926403394346087E-3</v>
      </c>
      <c r="AA37" s="1">
        <f t="shared" si="5"/>
        <v>5.9051522285253222E-3</v>
      </c>
    </row>
    <row r="38" spans="1:27">
      <c r="A38">
        <v>3</v>
      </c>
      <c r="B38" s="10">
        <v>3.9500000000000004E-3</v>
      </c>
      <c r="D38">
        <v>4</v>
      </c>
      <c r="E38" s="1">
        <v>1.23E-3</v>
      </c>
      <c r="F38" s="32"/>
      <c r="G38" s="13">
        <f t="shared" si="10"/>
        <v>3.75</v>
      </c>
      <c r="H38" s="1">
        <f t="shared" si="0"/>
        <v>5.5475000000000003E-3</v>
      </c>
      <c r="I38" s="2">
        <f>Interpolate_Interval(H35,H39,I35,I39,H38)</f>
        <v>0.97900698903084415</v>
      </c>
      <c r="J38" s="15"/>
      <c r="K38" s="16"/>
      <c r="N38" s="16">
        <f t="shared" si="7"/>
        <v>1.235E-3</v>
      </c>
      <c r="O38" s="17">
        <f>O39</f>
        <v>1.4999257586138173E-2</v>
      </c>
      <c r="P38" s="32">
        <f t="shared" si="8"/>
        <v>3.7233373269221319</v>
      </c>
      <c r="Q38" s="1">
        <f>Q37+O38*0.25*I38</f>
        <v>2.8922647873032812E-2</v>
      </c>
      <c r="R38" s="10">
        <f t="shared" si="2"/>
        <v>5.6577326742241474E-3</v>
      </c>
      <c r="W38">
        <v>7</v>
      </c>
      <c r="X38" s="1">
        <f t="shared" si="3"/>
        <v>3.7499999999999999E-3</v>
      </c>
      <c r="Y38" s="1">
        <f t="shared" si="4"/>
        <v>3.4438299494161961E-3</v>
      </c>
      <c r="Z38" s="1">
        <f t="shared" si="6"/>
        <v>6.3926403394346087E-3</v>
      </c>
      <c r="AA38" s="1">
        <f t="shared" si="5"/>
        <v>5.8707110018109392E-3</v>
      </c>
    </row>
    <row r="39" spans="1:27">
      <c r="A39">
        <v>4</v>
      </c>
      <c r="B39" s="10">
        <v>6.0800000000000003E-3</v>
      </c>
      <c r="D39">
        <v>5</v>
      </c>
      <c r="E39" s="1">
        <v>1.225E-3</v>
      </c>
      <c r="F39" s="32"/>
      <c r="G39" s="13">
        <f t="shared" si="10"/>
        <v>4</v>
      </c>
      <c r="H39" s="1">
        <f t="shared" si="0"/>
        <v>6.0800000000000003E-3</v>
      </c>
      <c r="I39" s="2">
        <f>(1-J35*H39)/(1+H39)</f>
        <v>0.97593564230934782</v>
      </c>
      <c r="J39" s="15">
        <f>J35+1*I39</f>
        <v>3.9579535675414625</v>
      </c>
      <c r="K39" s="16">
        <f>Interpolate_Range($D$17:$D$31,$E$17:$E$31,G39)</f>
        <v>9.4649999999999995E-3</v>
      </c>
      <c r="L39" s="1">
        <f>L37+M39*0.5*I39</f>
        <v>3.7462030516779939E-2</v>
      </c>
      <c r="M39" s="14">
        <f>(K39*J39-L35)/(0.5*I37+0.5*I39)</f>
        <v>1.6136422382037673E-2</v>
      </c>
      <c r="N39" s="16">
        <f t="shared" si="7"/>
        <v>1.23E-3</v>
      </c>
      <c r="O39" s="1">
        <f>(L39-N39*P39-Q37)/(0.25*I38+0.25*I39)</f>
        <v>1.4999257586138173E-2</v>
      </c>
      <c r="P39" s="32">
        <f t="shared" si="8"/>
        <v>3.9673212374994691</v>
      </c>
      <c r="Q39" s="1">
        <f>Q38+O39*0.25*I41</f>
        <v>3.255109891515031E-2</v>
      </c>
      <c r="R39" s="10">
        <f t="shared" si="2"/>
        <v>6.0896587500036594E-3</v>
      </c>
      <c r="W39">
        <v>7.25</v>
      </c>
      <c r="X39" s="1">
        <f t="shared" si="3"/>
        <v>3.7499999999999999E-3</v>
      </c>
      <c r="Y39" s="1">
        <f t="shared" si="4"/>
        <v>3.4219259035909318E-3</v>
      </c>
      <c r="Z39" s="1">
        <f t="shared" si="6"/>
        <v>6.9807082281444005E-3</v>
      </c>
      <c r="AA39" s="1">
        <f t="shared" si="5"/>
        <v>6.369991016346048E-3</v>
      </c>
    </row>
    <row r="40" spans="1:27">
      <c r="A40">
        <v>5</v>
      </c>
      <c r="B40" s="10">
        <v>8.2699999999999996E-3</v>
      </c>
      <c r="D40">
        <v>6</v>
      </c>
      <c r="E40" s="1">
        <v>1.1900000000000001E-3</v>
      </c>
      <c r="F40" s="32"/>
      <c r="G40" s="13">
        <f t="shared" si="10"/>
        <v>4.25</v>
      </c>
      <c r="H40" s="1">
        <f t="shared" si="0"/>
        <v>6.6274999999999997E-3</v>
      </c>
      <c r="I40" s="2">
        <f>Interpolate_Interval(H39,H43,I39,I43,H40)</f>
        <v>0.97178523962087793</v>
      </c>
      <c r="J40" s="15"/>
      <c r="K40" s="16"/>
      <c r="N40" s="16">
        <f t="shared" si="7"/>
        <v>1.22875E-3</v>
      </c>
      <c r="O40" s="17">
        <f>O41</f>
        <v>1.959253385349646E-2</v>
      </c>
      <c r="P40" s="32">
        <f t="shared" si="8"/>
        <v>4.2102675474046887</v>
      </c>
      <c r="Q40" s="1">
        <f>Q39+O40*0.25*I40</f>
        <v>3.7311032716550369E-2</v>
      </c>
      <c r="R40" s="10">
        <f t="shared" si="2"/>
        <v>6.7342225473316225E-3</v>
      </c>
      <c r="W40">
        <v>7.5</v>
      </c>
      <c r="X40" s="1">
        <f t="shared" si="3"/>
        <v>3.7499999999999999E-3</v>
      </c>
      <c r="Y40" s="1">
        <f t="shared" si="4"/>
        <v>3.4000218577656676E-3</v>
      </c>
      <c r="Z40" s="1">
        <f t="shared" si="6"/>
        <v>6.9807082281444005E-3</v>
      </c>
      <c r="AA40" s="1">
        <f t="shared" si="5"/>
        <v>6.3292161489001617E-3</v>
      </c>
    </row>
    <row r="41" spans="1:27">
      <c r="A41">
        <v>6</v>
      </c>
      <c r="B41" s="10">
        <v>1.026E-2</v>
      </c>
      <c r="D41">
        <v>7</v>
      </c>
      <c r="E41" s="1">
        <v>1.15E-3</v>
      </c>
      <c r="F41" s="32"/>
      <c r="G41" s="13">
        <f t="shared" si="10"/>
        <v>4.5</v>
      </c>
      <c r="H41" s="1">
        <f t="shared" si="0"/>
        <v>7.175E-3</v>
      </c>
      <c r="I41" s="2">
        <f>Interpolate_Interval(H39,H43,I39,I43,H41)</f>
        <v>0.96763483693240804</v>
      </c>
      <c r="J41" s="15"/>
      <c r="K41" s="16"/>
      <c r="L41" s="1">
        <f>L39+M41*0.5*I41</f>
        <v>4.7515683646678436E-2</v>
      </c>
      <c r="M41" s="1">
        <f>M43</f>
        <v>2.077984947662807E-2</v>
      </c>
      <c r="N41" s="16">
        <f t="shared" si="7"/>
        <v>1.2274999999999999E-3</v>
      </c>
      <c r="O41" s="1">
        <f>(L41-N41*P41-Q39)/(0.25*I40+0.25*I41)</f>
        <v>1.959253385349646E-2</v>
      </c>
      <c r="P41" s="32">
        <f t="shared" si="8"/>
        <v>4.4521762566377907</v>
      </c>
      <c r="Q41" s="1">
        <f>Q40+O41*0.25*I43</f>
        <v>4.2009978839065806E-2</v>
      </c>
      <c r="R41" s="10">
        <f t="shared" si="2"/>
        <v>7.3112216556399717E-3</v>
      </c>
      <c r="W41">
        <v>7.75</v>
      </c>
      <c r="X41" s="1">
        <f t="shared" si="3"/>
        <v>3.7499999999999999E-3</v>
      </c>
      <c r="Y41" s="1">
        <f t="shared" si="4"/>
        <v>3.3781178119404029E-3</v>
      </c>
      <c r="Z41" s="1">
        <f t="shared" si="6"/>
        <v>6.9958068998093557E-3</v>
      </c>
      <c r="AA41" s="1">
        <f t="shared" si="5"/>
        <v>6.3020426392377477E-3</v>
      </c>
    </row>
    <row r="42" spans="1:27">
      <c r="A42">
        <v>7</v>
      </c>
      <c r="B42" s="10">
        <v>1.205E-2</v>
      </c>
      <c r="D42">
        <v>8</v>
      </c>
      <c r="E42" s="1">
        <v>1.1099999999999999E-3</v>
      </c>
      <c r="F42" s="32"/>
      <c r="G42" s="13">
        <f t="shared" si="10"/>
        <v>4.75</v>
      </c>
      <c r="H42" s="1">
        <f t="shared" si="0"/>
        <v>7.7225000000000002E-3</v>
      </c>
      <c r="I42" s="2">
        <f>Interpolate_Interval(H39,H43,I39,I43,H42)</f>
        <v>0.96348443424393826</v>
      </c>
      <c r="J42" s="15"/>
      <c r="K42" s="16"/>
      <c r="N42" s="16">
        <f t="shared" si="7"/>
        <v>1.2262499999999999E-3</v>
      </c>
      <c r="O42" s="17">
        <f>O43</f>
        <v>1.9617731559332264E-2</v>
      </c>
      <c r="P42" s="32">
        <f t="shared" si="8"/>
        <v>4.6930473651987752</v>
      </c>
      <c r="Q42" s="1">
        <f>Q41+O42*0.25*I42</f>
        <v>4.6735323587213981E-2</v>
      </c>
      <c r="R42" s="10">
        <f t="shared" si="2"/>
        <v>7.8313571973568225E-3</v>
      </c>
      <c r="W42">
        <v>8</v>
      </c>
      <c r="X42" s="1">
        <f t="shared" si="3"/>
        <v>3.7499999999999999E-3</v>
      </c>
      <c r="Y42" s="1">
        <f t="shared" si="4"/>
        <v>3.3562137661151386E-3</v>
      </c>
      <c r="Z42" s="1">
        <f t="shared" si="6"/>
        <v>6.9958068998093557E-3</v>
      </c>
      <c r="AA42" s="1">
        <f t="shared" si="5"/>
        <v>6.2611795792595817E-3</v>
      </c>
    </row>
    <row r="43" spans="1:27">
      <c r="A43">
        <v>8</v>
      </c>
      <c r="B43" s="10">
        <v>1.3690000000000001E-2</v>
      </c>
      <c r="D43">
        <v>9</v>
      </c>
      <c r="E43" s="1">
        <v>1.065E-3</v>
      </c>
      <c r="F43" s="32"/>
      <c r="G43" s="13">
        <f t="shared" si="10"/>
        <v>5</v>
      </c>
      <c r="H43" s="1">
        <f t="shared" si="0"/>
        <v>8.2699999999999996E-3</v>
      </c>
      <c r="I43" s="2">
        <f>(1-J39*H43)/(1+H43)</f>
        <v>0.95933403155546837</v>
      </c>
      <c r="J43" s="15">
        <f>J39+1*I43</f>
        <v>4.9172875990969311</v>
      </c>
      <c r="K43" s="16">
        <f>Interpolate_Range($D$17:$D$31,$E$17:$E$31,G43)</f>
        <v>1.1690000000000001E-2</v>
      </c>
      <c r="L43" s="1">
        <f>L41+M43*0.5*I43</f>
        <v>5.7483092033443137E-2</v>
      </c>
      <c r="M43" s="14">
        <f>(K43*J43-L39)/(0.5*I41+0.5*I43)</f>
        <v>2.077984947662807E-2</v>
      </c>
      <c r="N43" s="16">
        <f t="shared" si="7"/>
        <v>1.225E-3</v>
      </c>
      <c r="O43" s="1">
        <f>(L43-N43*P43-Q41)/(0.25*I42+0.25*I43)</f>
        <v>1.9617731559332264E-2</v>
      </c>
      <c r="P43" s="32">
        <f t="shared" si="8"/>
        <v>4.9328808730876421</v>
      </c>
      <c r="Q43" s="1">
        <f>Q42+O43*0.25*I45</f>
        <v>5.1392669268231356E-2</v>
      </c>
      <c r="R43" s="10">
        <f t="shared" si="2"/>
        <v>8.3031904766087648E-3</v>
      </c>
      <c r="W43">
        <v>8.25</v>
      </c>
      <c r="X43" s="1">
        <f t="shared" si="3"/>
        <v>3.7499999999999999E-3</v>
      </c>
      <c r="Y43" s="1">
        <f t="shared" si="4"/>
        <v>3.3331128246857551E-3</v>
      </c>
      <c r="Z43" s="1">
        <f t="shared" si="6"/>
        <v>7.5316869855452601E-3</v>
      </c>
      <c r="AA43" s="1">
        <f t="shared" si="5"/>
        <v>6.6943899954772538E-3</v>
      </c>
    </row>
    <row r="44" spans="1:27">
      <c r="A44">
        <v>9</v>
      </c>
      <c r="B44" s="10">
        <v>1.5180000000000001E-2</v>
      </c>
      <c r="D44">
        <v>10</v>
      </c>
      <c r="E44" s="1">
        <v>1.0250000000000001E-3</v>
      </c>
      <c r="F44" s="32"/>
      <c r="G44" s="13">
        <f t="shared" si="10"/>
        <v>5.25</v>
      </c>
      <c r="H44" s="1">
        <f t="shared" si="0"/>
        <v>8.7674999999999993E-3</v>
      </c>
      <c r="I44" s="2">
        <f>Interpolate_Interval(H43,H47,I43,I47,H44)</f>
        <v>0.95447682413214119</v>
      </c>
      <c r="J44" s="15"/>
      <c r="K44" s="16"/>
      <c r="N44" s="16">
        <f t="shared" si="7"/>
        <v>1.2162499999999999E-3</v>
      </c>
      <c r="O44" s="17">
        <f>O45</f>
        <v>2.3041828877061736E-2</v>
      </c>
      <c r="P44" s="32">
        <f t="shared" si="8"/>
        <v>5.1715000791206771</v>
      </c>
      <c r="Q44" s="1">
        <f>Q43+O44*0.25*I44</f>
        <v>5.6890892180424896E-2</v>
      </c>
      <c r="R44" s="10">
        <f t="shared" si="2"/>
        <v>8.8746508091331385E-3</v>
      </c>
      <c r="W44">
        <v>8.5</v>
      </c>
      <c r="X44" s="1">
        <f t="shared" si="3"/>
        <v>3.7499999999999999E-3</v>
      </c>
      <c r="Y44" s="1">
        <f t="shared" si="4"/>
        <v>3.3100118832563707E-3</v>
      </c>
      <c r="Z44" s="1">
        <f t="shared" si="6"/>
        <v>7.5316869855452601E-3</v>
      </c>
      <c r="AA44" s="1">
        <f t="shared" si="5"/>
        <v>6.647992912832577E-3</v>
      </c>
    </row>
    <row r="45" spans="1:27">
      <c r="A45">
        <v>10</v>
      </c>
      <c r="B45" s="10">
        <v>1.6552000000000001E-2</v>
      </c>
      <c r="D45">
        <v>12</v>
      </c>
      <c r="E45" s="1">
        <v>9.6500000000000004E-4</v>
      </c>
      <c r="F45" s="32"/>
      <c r="G45" s="13">
        <f t="shared" si="10"/>
        <v>5.5</v>
      </c>
      <c r="H45" s="1">
        <f t="shared" si="0"/>
        <v>9.2649999999999989E-3</v>
      </c>
      <c r="I45" s="2">
        <f>Interpolate_Interval(H43,H47,I43,I47,H45)</f>
        <v>0.94961961670881412</v>
      </c>
      <c r="J45" s="15"/>
      <c r="K45" s="16"/>
      <c r="L45" s="1">
        <f>L43+M45*0.5*I45</f>
        <v>6.8892388124383447E-2</v>
      </c>
      <c r="M45" s="1">
        <f>M47</f>
        <v>2.4029192089528615E-2</v>
      </c>
      <c r="N45" s="16">
        <f t="shared" si="7"/>
        <v>1.2075E-3</v>
      </c>
      <c r="O45" s="1">
        <f>(L45-N45*P45-Q43)/(0.25*I44+0.25*I45)</f>
        <v>2.3041828877061736E-2</v>
      </c>
      <c r="P45" s="32">
        <f t="shared" si="8"/>
        <v>5.4089049832978811</v>
      </c>
      <c r="Q45" s="1">
        <f>Q44+O45*0.25*I47</f>
        <v>6.2305175885916907E-2</v>
      </c>
      <c r="R45" s="10">
        <f t="shared" si="2"/>
        <v>9.3988687336051379E-3</v>
      </c>
      <c r="W45">
        <v>8.75</v>
      </c>
      <c r="X45" s="1">
        <f t="shared" si="3"/>
        <v>3.7499999999999999E-3</v>
      </c>
      <c r="Y45" s="1">
        <f t="shared" si="4"/>
        <v>3.2869109418269863E-3</v>
      </c>
      <c r="Z45" s="1">
        <f t="shared" si="6"/>
        <v>7.54848665436558E-3</v>
      </c>
      <c r="AA45" s="1">
        <f t="shared" si="5"/>
        <v>6.616320900925122E-3</v>
      </c>
    </row>
    <row r="46" spans="1:27">
      <c r="A46">
        <v>12</v>
      </c>
      <c r="B46" s="10">
        <v>1.874E-2</v>
      </c>
      <c r="D46">
        <v>15</v>
      </c>
      <c r="E46" s="1">
        <v>8.5999999999999998E-4</v>
      </c>
      <c r="G46" s="13">
        <f t="shared" si="10"/>
        <v>5.75</v>
      </c>
      <c r="H46" s="1">
        <f t="shared" si="0"/>
        <v>9.7625000000000003E-3</v>
      </c>
      <c r="I46" s="2">
        <f>Interpolate_Interval(H43,H47,I43,I47,H46)</f>
        <v>0.94476240928548694</v>
      </c>
      <c r="J46" s="15"/>
      <c r="K46" s="16"/>
      <c r="N46" s="16">
        <f t="shared" si="7"/>
        <v>1.1987500000000002E-3</v>
      </c>
      <c r="O46" s="17">
        <f>O47</f>
        <v>2.3096927968418515E-2</v>
      </c>
      <c r="P46" s="32">
        <f t="shared" si="8"/>
        <v>5.6450955856192531</v>
      </c>
      <c r="Q46" s="1">
        <f>Q45+O46*0.25*I46</f>
        <v>6.7760453214551014E-2</v>
      </c>
      <c r="R46" s="10">
        <f t="shared" si="2"/>
        <v>9.882052494765578E-3</v>
      </c>
      <c r="W46">
        <v>9</v>
      </c>
      <c r="X46" s="1">
        <f t="shared" si="3"/>
        <v>3.7499999999999999E-3</v>
      </c>
      <c r="Y46" s="1">
        <f t="shared" si="4"/>
        <v>3.2638100003976028E-3</v>
      </c>
      <c r="Z46" s="1">
        <f t="shared" si="6"/>
        <v>7.54848665436558E-3</v>
      </c>
      <c r="AA46" s="1">
        <f t="shared" si="5"/>
        <v>6.5698203281029923E-3</v>
      </c>
    </row>
    <row r="47" spans="1:27">
      <c r="A47">
        <v>15</v>
      </c>
      <c r="B47" s="10">
        <v>2.0969999999999999E-2</v>
      </c>
      <c r="D47">
        <v>20</v>
      </c>
      <c r="E47" s="1">
        <v>7.2999999999999996E-4</v>
      </c>
      <c r="G47" s="13">
        <f t="shared" si="10"/>
        <v>6</v>
      </c>
      <c r="H47" s="1">
        <f t="shared" si="0"/>
        <v>1.026E-2</v>
      </c>
      <c r="I47" s="2">
        <f>(1-J43*H47)/(1+H47)</f>
        <v>0.93990520186215976</v>
      </c>
      <c r="J47" s="15">
        <f>J43+1*I47</f>
        <v>5.8571928009590906</v>
      </c>
      <c r="K47" s="16">
        <f>Interpolate_Range($D$17:$D$31,$E$17:$E$31,G47)</f>
        <v>1.3690000000000001E-2</v>
      </c>
      <c r="L47" s="1">
        <f>L45+M47*0.5*I47</f>
        <v>8.0184969445129956E-2</v>
      </c>
      <c r="M47" s="14">
        <f>(K47*J47-L43)/(0.5*I45+0.5*I47)</f>
        <v>2.4029192089528615E-2</v>
      </c>
      <c r="N47" s="16">
        <f t="shared" si="7"/>
        <v>1.1900000000000001E-3</v>
      </c>
      <c r="O47" s="1">
        <f>(L47-N47*P47-Q45)/(0.25*I46+0.25*I47)</f>
        <v>2.3096927968418515E-2</v>
      </c>
      <c r="P47" s="32">
        <f t="shared" si="8"/>
        <v>5.8800718860847931</v>
      </c>
      <c r="Q47" s="1">
        <f>Q46+O47*0.25*I49</f>
        <v>7.3125464966858317E-2</v>
      </c>
      <c r="R47" s="10">
        <f t="shared" si="2"/>
        <v>1.0329376314417819E-2</v>
      </c>
      <c r="W47">
        <v>9.25</v>
      </c>
      <c r="X47" s="1">
        <f t="shared" si="3"/>
        <v>3.7499999999999999E-3</v>
      </c>
      <c r="Y47" s="1">
        <f t="shared" si="4"/>
        <v>3.2397174189591296E-3</v>
      </c>
      <c r="Z47" s="1">
        <f t="shared" si="6"/>
        <v>7.9088850577068992E-3</v>
      </c>
      <c r="AA47" s="1">
        <f t="shared" si="5"/>
        <v>6.8326807162662996E-3</v>
      </c>
    </row>
    <row r="48" spans="1:27">
      <c r="A48">
        <v>20</v>
      </c>
      <c r="B48" s="10">
        <v>2.2419999999999999E-2</v>
      </c>
      <c r="D48">
        <v>25</v>
      </c>
      <c r="E48" s="1">
        <v>6.3000000000000003E-4</v>
      </c>
      <c r="F48" s="32"/>
      <c r="G48" s="13">
        <f t="shared" si="10"/>
        <v>6.25</v>
      </c>
      <c r="H48" s="1">
        <f t="shared" si="0"/>
        <v>1.07075E-2</v>
      </c>
      <c r="I48" s="2">
        <f>Interpolate_Interval(H47,H51,I47,I51,H48)</f>
        <v>0.93451756469103286</v>
      </c>
      <c r="J48" s="15"/>
      <c r="K48" s="16"/>
      <c r="N48" s="16">
        <f t="shared" si="7"/>
        <v>1.1800000000000001E-3</v>
      </c>
      <c r="O48" s="17">
        <f>O49</f>
        <v>2.5512573855648143E-2</v>
      </c>
      <c r="P48" s="32">
        <f t="shared" si="8"/>
        <v>6.113701277257551</v>
      </c>
      <c r="Q48" s="1">
        <f>Q47+O48*0.25*I48</f>
        <v>7.9085952064003415E-2</v>
      </c>
      <c r="R48" s="10">
        <f t="shared" si="2"/>
        <v>1.0835977031377451E-2</v>
      </c>
      <c r="W48">
        <v>9.5</v>
      </c>
      <c r="X48" s="1">
        <f t="shared" si="3"/>
        <v>3.7499999999999999E-3</v>
      </c>
      <c r="Y48" s="1">
        <f t="shared" si="4"/>
        <v>3.2156248375206568E-3</v>
      </c>
      <c r="Z48" s="1">
        <f t="shared" si="6"/>
        <v>7.9088850577068992E-3</v>
      </c>
      <c r="AA48" s="1">
        <f t="shared" si="5"/>
        <v>6.7818685943088798E-3</v>
      </c>
    </row>
    <row r="49" spans="1:27">
      <c r="A49">
        <v>25</v>
      </c>
      <c r="B49" s="10">
        <v>2.281E-2</v>
      </c>
      <c r="D49">
        <v>30</v>
      </c>
      <c r="E49" s="1">
        <v>5.9500000000000004E-4</v>
      </c>
      <c r="F49" s="32"/>
      <c r="G49" s="13">
        <f t="shared" si="10"/>
        <v>6.5</v>
      </c>
      <c r="H49" s="1">
        <f t="shared" si="0"/>
        <v>1.1155E-2</v>
      </c>
      <c r="I49" s="2">
        <f>Interpolate_Interval(H47,H51,I47,I51,H49)</f>
        <v>0.92912992751990608</v>
      </c>
      <c r="J49" s="15"/>
      <c r="K49" s="16"/>
      <c r="L49" s="1">
        <f>L47+M49*0.5*I49</f>
        <v>9.2436877036530488E-2</v>
      </c>
      <c r="M49" s="1">
        <f>M51</f>
        <v>2.6372861810843022E-2</v>
      </c>
      <c r="N49" s="16">
        <f t="shared" si="7"/>
        <v>1.17E-3</v>
      </c>
      <c r="O49" s="1">
        <f>(L49-N49*P49-Q47)/(0.25*I48+0.25*I49)</f>
        <v>2.5512573855648143E-2</v>
      </c>
      <c r="P49" s="32">
        <f t="shared" si="8"/>
        <v>6.3459837591375274</v>
      </c>
      <c r="Q49" s="1">
        <f>Q48+O49*0.25*I51</f>
        <v>8.4943349792721667E-2</v>
      </c>
      <c r="R49" s="10">
        <f t="shared" si="2"/>
        <v>1.1308721931151519E-2</v>
      </c>
      <c r="W49">
        <v>9.75</v>
      </c>
      <c r="X49" s="1">
        <f t="shared" si="3"/>
        <v>3.7499999999999999E-3</v>
      </c>
      <c r="Y49" s="1">
        <f t="shared" si="4"/>
        <v>3.1915322560821836E-3</v>
      </c>
      <c r="Z49" s="1">
        <f t="shared" si="6"/>
        <v>7.9236031405873122E-3</v>
      </c>
      <c r="AA49" s="1">
        <f t="shared" si="5"/>
        <v>6.7435826686876007E-3</v>
      </c>
    </row>
    <row r="50" spans="1:27">
      <c r="A50">
        <v>30</v>
      </c>
      <c r="B50" s="10">
        <v>2.291E-2</v>
      </c>
      <c r="G50" s="13">
        <f t="shared" si="10"/>
        <v>6.75</v>
      </c>
      <c r="H50" s="1">
        <f t="shared" si="0"/>
        <v>1.16025E-2</v>
      </c>
      <c r="I50" s="2">
        <f>Interpolate_Interval(H47,H51,I47,I51,H50)</f>
        <v>0.92374229034877919</v>
      </c>
      <c r="J50" s="15"/>
      <c r="K50" s="16"/>
      <c r="N50" s="16">
        <f t="shared" si="7"/>
        <v>1.16E-3</v>
      </c>
      <c r="O50" s="17">
        <f>O51</f>
        <v>2.5570561357738435E-2</v>
      </c>
      <c r="P50" s="32">
        <f t="shared" si="8"/>
        <v>6.5769193317247225</v>
      </c>
      <c r="Q50" s="1">
        <f>Q49+O50*0.25*I50</f>
        <v>9.0848502021246988E-2</v>
      </c>
      <c r="R50" s="10">
        <f t="shared" si="2"/>
        <v>1.1751430043119723E-2</v>
      </c>
      <c r="W50">
        <v>10</v>
      </c>
      <c r="X50" s="1">
        <f t="shared" si="3"/>
        <v>3.7499999999999999E-3</v>
      </c>
      <c r="Y50" s="1">
        <f t="shared" si="4"/>
        <v>3.1674396746437109E-3</v>
      </c>
      <c r="Z50" s="1">
        <f t="shared" si="6"/>
        <v>7.9236031405873122E-3</v>
      </c>
      <c r="AA50" s="1">
        <f t="shared" si="5"/>
        <v>6.6926759876340704E-3</v>
      </c>
    </row>
    <row r="51" spans="1:27">
      <c r="G51" s="13">
        <f t="shared" si="10"/>
        <v>7</v>
      </c>
      <c r="H51" s="1">
        <f t="shared" si="0"/>
        <v>1.205E-2</v>
      </c>
      <c r="I51" s="2">
        <f>(1-J47*H51)/(1+H51)</f>
        <v>0.9183546531776523</v>
      </c>
      <c r="J51" s="15">
        <f>J47+1*I51</f>
        <v>6.7755474541367429</v>
      </c>
      <c r="K51" s="16">
        <f>Interpolate_Range($D$17:$D$31,$E$17:$E$31,G51)</f>
        <v>1.5429999999999999E-2</v>
      </c>
      <c r="L51" s="1">
        <f>L49+M51*0.5*I51</f>
        <v>0.10454669721732994</v>
      </c>
      <c r="M51" s="14">
        <f>(K51*J51-L47)/(0.5*I49+0.5*I51)</f>
        <v>2.6372861810843022E-2</v>
      </c>
      <c r="N51" s="16">
        <f t="shared" si="7"/>
        <v>1.15E-3</v>
      </c>
      <c r="O51" s="1">
        <f>(L51-N51*P51-Q49)/(0.25*I50+0.25*I51)</f>
        <v>2.5570561357738435E-2</v>
      </c>
      <c r="P51" s="32">
        <f t="shared" si="8"/>
        <v>6.8065079950191354</v>
      </c>
      <c r="Q51" s="1">
        <f>Q50+O51*0.25*I53</f>
        <v>9.6644533190023571E-2</v>
      </c>
      <c r="R51" s="10">
        <f t="shared" si="2"/>
        <v>1.2167375790182594E-2</v>
      </c>
    </row>
    <row r="52" spans="1:27">
      <c r="G52" s="13">
        <f t="shared" si="10"/>
        <v>7.25</v>
      </c>
      <c r="H52" s="1">
        <f t="shared" si="0"/>
        <v>1.2460000000000001E-2</v>
      </c>
      <c r="I52" s="2">
        <f>Interpolate_Interval(H51,H55,I51,I55,H52)</f>
        <v>0.91251357429091517</v>
      </c>
      <c r="J52" s="15"/>
      <c r="K52" s="16"/>
      <c r="N52" s="16">
        <f t="shared" si="7"/>
        <v>1.14E-3</v>
      </c>
      <c r="O52" s="17">
        <f>O53</f>
        <v>2.7922832912577602E-2</v>
      </c>
      <c r="P52" s="32">
        <f t="shared" si="8"/>
        <v>7.0346363885918644</v>
      </c>
      <c r="Q52" s="1">
        <f>Q51+O52*0.25*I52</f>
        <v>0.10301452420636961</v>
      </c>
      <c r="R52" s="10">
        <f t="shared" si="2"/>
        <v>1.2627905889777464E-2</v>
      </c>
      <c r="S52" s="8"/>
    </row>
    <row r="53" spans="1:27">
      <c r="B53" s="1"/>
      <c r="D53" s="36"/>
      <c r="G53" s="13">
        <f t="shared" si="10"/>
        <v>7.5</v>
      </c>
      <c r="H53" s="1">
        <f t="shared" si="0"/>
        <v>1.2869999999999999E-2</v>
      </c>
      <c r="I53" s="2">
        <f>Interpolate_Interval(H51,H55,I51,I55,H53)</f>
        <v>0.90667249540417805</v>
      </c>
      <c r="J53" s="15"/>
      <c r="K53" s="16"/>
      <c r="L53" s="1">
        <f>L51+M53*0.5*I53</f>
        <v>0.11754901445433026</v>
      </c>
      <c r="M53" s="1">
        <f>M55</f>
        <v>2.8681397754773904E-2</v>
      </c>
      <c r="N53" s="16">
        <f t="shared" si="7"/>
        <v>1.1299999999999999E-3</v>
      </c>
      <c r="O53" s="1">
        <f>(L53-N53*P53-Q51)/(0.25*I52+0.25*I53)</f>
        <v>2.7922832912577602E-2</v>
      </c>
      <c r="P53" s="32">
        <f t="shared" si="8"/>
        <v>7.2613045124429085</v>
      </c>
      <c r="Q53" s="1">
        <f>Q52+O53*0.25*I55</f>
        <v>0.10926219062037799</v>
      </c>
      <c r="R53" s="10">
        <f t="shared" si="2"/>
        <v>1.3063197283501327E-2</v>
      </c>
      <c r="S53" s="8"/>
    </row>
    <row r="54" spans="1:27">
      <c r="B54" s="1"/>
      <c r="D54" s="36"/>
      <c r="G54" s="13">
        <f t="shared" si="10"/>
        <v>7.75</v>
      </c>
      <c r="H54" s="1">
        <f t="shared" si="0"/>
        <v>1.328E-2</v>
      </c>
      <c r="I54" s="2">
        <f>Interpolate_Interval(H51,H55,I51,I55,H54)</f>
        <v>0.90083141651744081</v>
      </c>
      <c r="J54" s="15"/>
      <c r="K54" s="16"/>
      <c r="N54" s="16">
        <f t="shared" si="7"/>
        <v>1.1199999999999999E-3</v>
      </c>
      <c r="O54" s="17">
        <f>O55</f>
        <v>2.7983227599237423E-2</v>
      </c>
      <c r="P54" s="32">
        <f t="shared" si="8"/>
        <v>7.4865123665722688</v>
      </c>
      <c r="Q54" s="1">
        <f>Q53+O54*0.25*I54</f>
        <v>0.11556423325961575</v>
      </c>
      <c r="R54" s="10">
        <f t="shared" si="2"/>
        <v>1.3475760769596752E-2</v>
      </c>
      <c r="S54" s="8"/>
    </row>
    <row r="55" spans="1:27">
      <c r="G55" s="13">
        <f t="shared" si="10"/>
        <v>8</v>
      </c>
      <c r="H55" s="1">
        <f t="shared" si="0"/>
        <v>1.3690000000000001E-2</v>
      </c>
      <c r="I55" s="2">
        <f>(1-J51*H55)/(1+H55)</f>
        <v>0.89499033763070368</v>
      </c>
      <c r="J55" s="15">
        <f>J51+1*I55</f>
        <v>7.6705377917674467</v>
      </c>
      <c r="K55" s="16">
        <f>Interpolate_Range($D$17:$D$31,$E$17:$E$31,G55)</f>
        <v>1.6997999999999999E-2</v>
      </c>
      <c r="L55" s="1">
        <f>L53+M55*0.5*I55</f>
        <v>0.13038380138446307</v>
      </c>
      <c r="M55" s="14">
        <f>(K55*J55-L51)/(0.5*I53+0.5*I55)</f>
        <v>2.8681397754773904E-2</v>
      </c>
      <c r="N55" s="16">
        <f t="shared" si="7"/>
        <v>1.1099999999999999E-3</v>
      </c>
      <c r="O55" s="1">
        <f>(L55-N55*P55-Q53)/(0.25*I54+0.25*I55)</f>
        <v>2.7983227599237423E-2</v>
      </c>
      <c r="P55" s="32">
        <f t="shared" si="8"/>
        <v>7.7102599509799443</v>
      </c>
      <c r="Q55" s="1">
        <f>Q54+O55*0.25*I57</f>
        <v>0.12173922098530532</v>
      </c>
      <c r="R55" s="10">
        <f t="shared" si="2"/>
        <v>1.3867794588613267E-2</v>
      </c>
    </row>
    <row r="56" spans="1:27">
      <c r="B56" s="1"/>
      <c r="G56" s="13">
        <f t="shared" si="10"/>
        <v>8.25</v>
      </c>
      <c r="H56" s="1">
        <f t="shared" si="0"/>
        <v>1.40625E-2</v>
      </c>
      <c r="I56" s="2">
        <f>Interpolate_Interval(H55,H59,I55,I59,H56)</f>
        <v>0.888830086582868</v>
      </c>
      <c r="J56" s="15"/>
      <c r="K56" s="16"/>
      <c r="M56" s="10"/>
      <c r="N56" s="16">
        <f t="shared" si="7"/>
        <v>1.0987499999999999E-3</v>
      </c>
      <c r="O56" s="17">
        <f>O57</f>
        <v>3.012674794218104E-2</v>
      </c>
      <c r="P56" s="32">
        <f t="shared" si="8"/>
        <v>7.9324674726256612</v>
      </c>
      <c r="Q56" s="1">
        <f>Q55+O56*0.25*I56</f>
        <v>0.12843361098078257</v>
      </c>
      <c r="R56" s="10">
        <f t="shared" si="2"/>
        <v>1.4284750356222585E-2</v>
      </c>
    </row>
    <row r="57" spans="1:27">
      <c r="B57" s="1"/>
      <c r="G57" s="13">
        <f t="shared" si="10"/>
        <v>8.5</v>
      </c>
      <c r="H57" s="1">
        <f t="shared" si="0"/>
        <v>1.4435E-2</v>
      </c>
      <c r="I57" s="2">
        <f>Interpolate_Interval(H55,H59,I55,I59,H57)</f>
        <v>0.8826698355350322</v>
      </c>
      <c r="J57" s="15"/>
      <c r="K57" s="16"/>
      <c r="L57" s="1">
        <f>L55+M57*0.5*I57</f>
        <v>0.14394813813163165</v>
      </c>
      <c r="M57" s="1">
        <f>M59</f>
        <v>3.0734791653883885E-2</v>
      </c>
      <c r="N57" s="16">
        <f t="shared" si="7"/>
        <v>1.0874999999999999E-3</v>
      </c>
      <c r="O57" s="1">
        <f>(L57-N57*P57-Q55)/(0.25*I56+0.25*I57)</f>
        <v>3.012674794218104E-2</v>
      </c>
      <c r="P57" s="32">
        <f t="shared" si="8"/>
        <v>8.1531349315094186</v>
      </c>
      <c r="Q57" s="1">
        <f>Q56+O57*0.25*I59</f>
        <v>0.1349888097283258</v>
      </c>
      <c r="R57" s="10">
        <f t="shared" si="2"/>
        <v>1.4682830646132641E-2</v>
      </c>
    </row>
    <row r="58" spans="1:27">
      <c r="G58" s="13">
        <f t="shared" si="10"/>
        <v>8.75</v>
      </c>
      <c r="H58" s="1">
        <f t="shared" si="0"/>
        <v>1.4807500000000001E-2</v>
      </c>
      <c r="I58" s="2">
        <f>Interpolate_Interval(H55,H59,I55,I59,H58)</f>
        <v>0.8765095844871964</v>
      </c>
      <c r="J58" s="15"/>
      <c r="N58" s="16">
        <f t="shared" si="7"/>
        <v>1.0762499999999999E-3</v>
      </c>
      <c r="O58" s="17">
        <f>O59</f>
        <v>3.019394661746232E-2</v>
      </c>
      <c r="P58" s="32">
        <f t="shared" si="8"/>
        <v>8.3722623276312174</v>
      </c>
      <c r="Q58" s="1">
        <f>Q57+O58*0.25*I58</f>
        <v>0.14160513062925092</v>
      </c>
      <c r="R58" s="10">
        <f t="shared" si="2"/>
        <v>1.5063730254470453E-2</v>
      </c>
    </row>
    <row r="59" spans="1:27">
      <c r="G59" s="13">
        <f t="shared" si="10"/>
        <v>9</v>
      </c>
      <c r="H59" s="1">
        <f t="shared" si="0"/>
        <v>1.5180000000000001E-2</v>
      </c>
      <c r="I59" s="2">
        <f>(1-J55*H59)/(1+H59)</f>
        <v>0.87034933343936072</v>
      </c>
      <c r="J59" s="15">
        <f>J55+1*I59</f>
        <v>8.5408871252068082</v>
      </c>
      <c r="K59" s="16">
        <f>Interpolate_Range($D$17:$D$31,$E$17:$E$31,G59)</f>
        <v>1.8419999999999999E-2</v>
      </c>
      <c r="L59" s="1">
        <f>L57+M59*0.5*I59</f>
        <v>0.15732314084630938</v>
      </c>
      <c r="M59" s="14">
        <f>(K59*J59-L55)/(0.5*I57+0.5*I59)</f>
        <v>3.0734791653883885E-2</v>
      </c>
      <c r="N59" s="16">
        <f t="shared" si="7"/>
        <v>1.065E-3</v>
      </c>
      <c r="O59" s="1">
        <f>(L59-N59*P59-Q57)/(0.25*I58+0.25*I59)</f>
        <v>3.019394661746232E-2</v>
      </c>
      <c r="P59" s="32">
        <f t="shared" si="8"/>
        <v>8.5898496609910584</v>
      </c>
      <c r="Q59" s="1">
        <f>Q58+O59*0.25*I61</f>
        <v>0.14807795760830991</v>
      </c>
      <c r="R59" s="10">
        <f t="shared" si="2"/>
        <v>1.5428957248584936E-2</v>
      </c>
    </row>
    <row r="60" spans="1:27">
      <c r="G60" s="13">
        <f t="shared" si="10"/>
        <v>9.25</v>
      </c>
      <c r="H60" s="1">
        <f t="shared" si="0"/>
        <v>1.5523E-2</v>
      </c>
      <c r="I60" s="2">
        <f>Interpolate_Interval(H59,H63,I59,I63,H60)</f>
        <v>0.86392464505576794</v>
      </c>
      <c r="J60" s="15"/>
      <c r="K60" s="16"/>
      <c r="N60" s="16">
        <f t="shared" si="7"/>
        <v>1.0549999999999999E-3</v>
      </c>
      <c r="O60" s="17">
        <f>O61</f>
        <v>3.1635540230827597E-2</v>
      </c>
      <c r="P60" s="32">
        <f t="shared" ref="P60:P91" si="11">P59+0.25*I60</f>
        <v>8.8058308222550004</v>
      </c>
      <c r="Q60" s="1">
        <f>Q59+O60*0.25*I60</f>
        <v>0.15491063832457622</v>
      </c>
      <c r="R60" s="10">
        <f t="shared" si="2"/>
        <v>1.5812943821869103E-2</v>
      </c>
    </row>
    <row r="61" spans="1:27">
      <c r="B61" s="1"/>
      <c r="E61" s="1"/>
      <c r="G61" s="13">
        <f t="shared" si="10"/>
        <v>9.5</v>
      </c>
      <c r="H61" s="1">
        <f t="shared" si="0"/>
        <v>1.5866000000000002E-2</v>
      </c>
      <c r="I61" s="2">
        <f>Interpolate_Interval(H59,H63,I59,I63,H61)</f>
        <v>0.85749995667217516</v>
      </c>
      <c r="J61" s="15"/>
      <c r="K61" s="16"/>
      <c r="L61" s="1">
        <f>L59+M61*0.5*I61</f>
        <v>0.17111862199182218</v>
      </c>
      <c r="M61" s="1">
        <f>M63</f>
        <v>3.2176050944774187E-2</v>
      </c>
      <c r="N61" s="16">
        <f t="shared" si="7"/>
        <v>1.0449999999999999E-3</v>
      </c>
      <c r="O61" s="1">
        <f>(L61-N61*P61-Q59)/(0.25*I60+0.25*I61)</f>
        <v>3.1635540230827597E-2</v>
      </c>
      <c r="P61" s="32">
        <f t="shared" si="11"/>
        <v>9.020205811423045</v>
      </c>
      <c r="Q61" s="1">
        <f>Q60+O61*0.25*I63</f>
        <v>0.16159088267497027</v>
      </c>
      <c r="R61" s="10">
        <f t="shared" si="2"/>
        <v>1.6182542154749364E-2</v>
      </c>
    </row>
    <row r="62" spans="1:27">
      <c r="B62" s="1"/>
      <c r="E62" s="1"/>
      <c r="G62" s="13">
        <f t="shared" si="10"/>
        <v>9.75</v>
      </c>
      <c r="H62" s="1">
        <f t="shared" si="0"/>
        <v>1.6209000000000001E-2</v>
      </c>
      <c r="I62" s="2">
        <f>Interpolate_Interval(H59,H63,I59,I63,H62)</f>
        <v>0.85107526828858238</v>
      </c>
      <c r="J62" s="15"/>
      <c r="K62" s="16"/>
      <c r="N62" s="16">
        <f t="shared" si="7"/>
        <v>1.0350000000000001E-3</v>
      </c>
      <c r="O62" s="17">
        <f>O63</f>
        <v>3.1694412562349249E-2</v>
      </c>
      <c r="P62" s="32">
        <f t="shared" si="11"/>
        <v>9.2329746284951906</v>
      </c>
      <c r="Q62" s="1">
        <f>Q61+O62*0.25*I62</f>
        <v>0.16833446534365787</v>
      </c>
      <c r="R62" s="10">
        <f t="shared" si="2"/>
        <v>1.6538944353575096E-2</v>
      </c>
    </row>
    <row r="63" spans="1:27">
      <c r="B63" s="1"/>
      <c r="E63" s="1"/>
      <c r="G63" s="13">
        <f t="shared" si="10"/>
        <v>10</v>
      </c>
      <c r="H63" s="1">
        <f t="shared" si="0"/>
        <v>1.6552000000000001E-2</v>
      </c>
      <c r="I63" s="2">
        <f>(1-J59*H63)/(1+H63)</f>
        <v>0.8446505799049896</v>
      </c>
      <c r="J63" s="15">
        <f>J59+1*I63</f>
        <v>9.3855377051117976</v>
      </c>
      <c r="K63" s="16">
        <f>Interpolate_Range($D$17:$D$31,$E$17:$E$31,G63)</f>
        <v>1.968E-2</v>
      </c>
      <c r="L63" s="1">
        <f>L61+M63*0.5*I63</f>
        <v>0.18470738203660017</v>
      </c>
      <c r="M63" s="14">
        <f>(K63*J63-L59)/(0.5*I61+0.5*I63)</f>
        <v>3.2176050944774187E-2</v>
      </c>
      <c r="N63" s="16">
        <f t="shared" si="7"/>
        <v>1.0250000000000001E-3</v>
      </c>
      <c r="O63" s="1">
        <f>(L63-N63*P63-Q61)/(0.25*I62+0.25*I63)</f>
        <v>3.1694412562349249E-2</v>
      </c>
      <c r="P63" s="32">
        <f t="shared" si="11"/>
        <v>9.4441372734714388</v>
      </c>
      <c r="Q63" s="1">
        <f>Q62+O63*0.25*I65</f>
        <v>0.17492914224297365</v>
      </c>
      <c r="R63" s="10">
        <f t="shared" si="2"/>
        <v>1.6883225205116634E-2</v>
      </c>
    </row>
    <row r="64" spans="1:27">
      <c r="B64" s="1"/>
      <c r="E64" s="1"/>
      <c r="G64" s="13">
        <f t="shared" si="10"/>
        <v>10.25</v>
      </c>
      <c r="H64" s="1">
        <f t="shared" si="0"/>
        <v>1.68255E-2</v>
      </c>
      <c r="I64" s="2">
        <f>Interpolate_Interval(H63,H67,I63,I67,H64)</f>
        <v>0.83846658213405656</v>
      </c>
      <c r="J64" s="15"/>
      <c r="K64" s="16"/>
      <c r="N64" s="16">
        <f t="shared" si="7"/>
        <v>1.0175000000000002E-3</v>
      </c>
      <c r="O64" s="17">
        <f>O65</f>
        <v>3.1824555968637543E-2</v>
      </c>
      <c r="P64" s="32">
        <f t="shared" si="11"/>
        <v>9.6537539190049522</v>
      </c>
      <c r="Q64" s="1">
        <f>Q63+O64*0.25*I64</f>
        <v>0.18160009891071302</v>
      </c>
      <c r="R64" s="10">
        <f t="shared" si="2"/>
        <v>1.7188346620028227E-2</v>
      </c>
    </row>
    <row r="65" spans="1:18">
      <c r="B65" s="1"/>
      <c r="E65" s="1"/>
      <c r="G65" s="13">
        <f t="shared" si="10"/>
        <v>10.5</v>
      </c>
      <c r="H65" s="1">
        <f t="shared" si="0"/>
        <v>1.7099E-2</v>
      </c>
      <c r="I65" s="2">
        <f>Interpolate_Interval(H63,H67,I63,I67,H65)</f>
        <v>0.83228258436312341</v>
      </c>
      <c r="J65" s="15"/>
      <c r="K65" s="16"/>
      <c r="L65" s="1">
        <f>L63+M65*0.5*I65</f>
        <v>0.19818229764340634</v>
      </c>
      <c r="M65" s="1">
        <f>M67</f>
        <v>3.2380626147830313E-2</v>
      </c>
      <c r="N65" s="16">
        <f t="shared" si="7"/>
        <v>1.01E-3</v>
      </c>
      <c r="O65" s="1">
        <f>(L65-N65*P65-Q63)/(0.25*I64+0.25*I65)</f>
        <v>3.1824555968637543E-2</v>
      </c>
      <c r="P65" s="32">
        <f t="shared" si="11"/>
        <v>9.8618245650957324</v>
      </c>
      <c r="Q65" s="1">
        <f>Q64+O65*0.25*I67</f>
        <v>0.18812345334107416</v>
      </c>
      <c r="R65" s="10">
        <f t="shared" si="2"/>
        <v>1.7484119158086269E-2</v>
      </c>
    </row>
    <row r="66" spans="1:18">
      <c r="B66" s="1"/>
      <c r="E66" s="1"/>
      <c r="G66" s="13">
        <f t="shared" si="10"/>
        <v>10.75</v>
      </c>
      <c r="H66" s="1">
        <f t="shared" si="0"/>
        <v>1.7372499999999999E-2</v>
      </c>
      <c r="I66" s="2">
        <f>Interpolate_Interval(H63,H67,I63,I67,H66)</f>
        <v>0.82609858659219038</v>
      </c>
      <c r="J66" s="15"/>
      <c r="N66" s="16">
        <f t="shared" si="7"/>
        <v>1.0025000000000001E-3</v>
      </c>
      <c r="O66" s="17">
        <f>O67</f>
        <v>3.1862580847862337E-2</v>
      </c>
      <c r="P66" s="32">
        <f t="shared" si="11"/>
        <v>10.068349211743779</v>
      </c>
      <c r="Q66" s="1">
        <f>Q65+O66*0.25*I66</f>
        <v>0.19470386159197378</v>
      </c>
      <c r="R66" s="10">
        <f t="shared" si="2"/>
        <v>1.7771270544695326E-2</v>
      </c>
    </row>
    <row r="67" spans="1:18">
      <c r="B67" s="1"/>
      <c r="E67" s="1"/>
      <c r="G67" s="13">
        <f t="shared" si="10"/>
        <v>11</v>
      </c>
      <c r="H67" s="1">
        <f t="shared" si="0"/>
        <v>1.7646000000000002E-2</v>
      </c>
      <c r="I67" s="2">
        <f>(1-J63*H67)/(1+H67)</f>
        <v>0.81991458882125723</v>
      </c>
      <c r="J67" s="15">
        <f>J63+1*I67</f>
        <v>10.205452293933055</v>
      </c>
      <c r="K67" s="16">
        <f>Interpolate_Range($D$17:$D$31,$E$17:$E$31,G67)</f>
        <v>2.0720000000000002E-2</v>
      </c>
      <c r="L67" s="1">
        <f>L65+M67*0.5*I67</f>
        <v>0.21145697153029291</v>
      </c>
      <c r="M67" s="14">
        <f>(K67*J67-L63)/(0.5*I65+0.5*I67)</f>
        <v>3.2380626147830313E-2</v>
      </c>
      <c r="N67" s="16">
        <f t="shared" si="7"/>
        <v>9.9500000000000001E-4</v>
      </c>
      <c r="O67" s="1">
        <f>(L67-N67*P67-Q65)/(0.25*I66+0.25*I67)</f>
        <v>3.1862580847862337E-2</v>
      </c>
      <c r="P67" s="32">
        <f t="shared" si="11"/>
        <v>10.273327858949093</v>
      </c>
      <c r="Q67" s="1">
        <f>Q66+O67*0.25*I69</f>
        <v>0.20113128989015061</v>
      </c>
      <c r="R67" s="10">
        <f t="shared" si="2"/>
        <v>1.805046401117651E-2</v>
      </c>
    </row>
    <row r="68" spans="1:18">
      <c r="B68" s="1"/>
      <c r="E68" s="1"/>
      <c r="G68" s="13">
        <f t="shared" si="10"/>
        <v>11.25</v>
      </c>
      <c r="H68" s="1">
        <f t="shared" si="0"/>
        <v>1.7919500000000001E-2</v>
      </c>
      <c r="I68" s="2">
        <f>Interpolate_Interval(H67,H71,I67,I71,H68)</f>
        <v>0.813404104251084</v>
      </c>
      <c r="J68" s="15"/>
      <c r="K68" s="16"/>
      <c r="N68" s="16">
        <f t="shared" si="7"/>
        <v>9.875000000000001E-4</v>
      </c>
      <c r="O68" s="17">
        <f>O69</f>
        <v>3.436020831581145E-2</v>
      </c>
      <c r="P68" s="32">
        <f t="shared" si="11"/>
        <v>10.476678885011864</v>
      </c>
      <c r="Q68" s="1">
        <f>Q67+O68*0.25*I68</f>
        <v>0.20811847350690144</v>
      </c>
      <c r="R68" s="10">
        <f t="shared" si="2"/>
        <v>1.8357976864442987E-2</v>
      </c>
    </row>
    <row r="69" spans="1:18">
      <c r="B69" s="1"/>
      <c r="E69" s="1"/>
      <c r="G69" s="13">
        <f t="shared" si="10"/>
        <v>11.5</v>
      </c>
      <c r="H69" s="1">
        <f t="shared" si="0"/>
        <v>1.8193000000000001E-2</v>
      </c>
      <c r="I69" s="2">
        <f>Interpolate_Interval(H67,H71,I67,I71,H69)</f>
        <v>0.80689361968091089</v>
      </c>
      <c r="J69" s="15"/>
      <c r="K69" s="16"/>
      <c r="L69" s="1">
        <f>L67+M69*0.5*I69</f>
        <v>0.22551456596626868</v>
      </c>
      <c r="M69" s="1">
        <f>M71</f>
        <v>3.4843736753142014E-2</v>
      </c>
      <c r="N69" s="16">
        <f t="shared" si="7"/>
        <v>9.7999999999999997E-4</v>
      </c>
      <c r="O69" s="1">
        <f>(L69-N69*P69-Q67)/(0.25*I68+0.25*I69)</f>
        <v>3.436020831581145E-2</v>
      </c>
      <c r="P69" s="32">
        <f t="shared" si="11"/>
        <v>10.678402289932093</v>
      </c>
      <c r="Q69" s="1">
        <f>Q68+O69*0.25*I71</f>
        <v>0.21493788091910124</v>
      </c>
      <c r="R69" s="10">
        <f t="shared" si="2"/>
        <v>1.8657690552887473E-2</v>
      </c>
    </row>
    <row r="70" spans="1:18">
      <c r="B70" s="1"/>
      <c r="E70" s="1"/>
      <c r="G70" s="13">
        <f t="shared" si="10"/>
        <v>11.75</v>
      </c>
      <c r="H70" s="1">
        <f t="shared" si="0"/>
        <v>1.84665E-2</v>
      </c>
      <c r="I70" s="2">
        <f>Interpolate_Interval(H67,H71,I67,I71,H70)</f>
        <v>0.80038313511073766</v>
      </c>
      <c r="J70" s="15"/>
      <c r="K70" s="16"/>
      <c r="N70" s="16">
        <f t="shared" si="7"/>
        <v>9.7250000000000006E-4</v>
      </c>
      <c r="O70" s="17">
        <f>O71</f>
        <v>3.4418962322203712E-2</v>
      </c>
      <c r="P70" s="32">
        <f t="shared" si="11"/>
        <v>10.878498073709777</v>
      </c>
      <c r="Q70" s="1">
        <f>Q69+O70*0.25*I70</f>
        <v>0.22182497016177719</v>
      </c>
      <c r="R70" s="10">
        <f t="shared" si="2"/>
        <v>1.8950191240071166E-2</v>
      </c>
    </row>
    <row r="71" spans="1:18">
      <c r="B71" s="1"/>
      <c r="E71" s="1"/>
      <c r="G71" s="13">
        <f t="shared" si="10"/>
        <v>12</v>
      </c>
      <c r="H71" s="1">
        <f t="shared" si="0"/>
        <v>1.874E-2</v>
      </c>
      <c r="I71" s="2">
        <f>(1-J67*H71)/(1+H71)</f>
        <v>0.79387265054056444</v>
      </c>
      <c r="J71" s="15">
        <f>J67+1*I71</f>
        <v>10.999324944473619</v>
      </c>
      <c r="K71" s="16">
        <f>Interpolate_Range($D$17:$D$31,$E$17:$E$31,G71)</f>
        <v>2.1760000000000002E-2</v>
      </c>
      <c r="L71" s="1">
        <f>L69+M71*0.5*I71</f>
        <v>0.23934531079174595</v>
      </c>
      <c r="M71" s="14">
        <f>(K71*J71-L67)/(0.5*I69+0.5*I71)</f>
        <v>3.4843736753142014E-2</v>
      </c>
      <c r="N71" s="16">
        <f t="shared" si="7"/>
        <v>9.6500000000000004E-4</v>
      </c>
      <c r="O71" s="1">
        <f>(L71-N71*P71-Q69)/(0.25*I70+0.25*I71)</f>
        <v>3.4418962322203712E-2</v>
      </c>
      <c r="P71" s="32">
        <f t="shared" si="11"/>
        <v>11.076966236344918</v>
      </c>
      <c r="Q71" s="1">
        <f>Q70+O71*0.25*I73</f>
        <v>0.22855625951999314</v>
      </c>
      <c r="R71" s="10">
        <f t="shared" si="2"/>
        <v>1.9236018362184359E-2</v>
      </c>
    </row>
    <row r="72" spans="1:18">
      <c r="B72" s="1"/>
      <c r="E72" s="1"/>
      <c r="G72" s="13">
        <f t="shared" si="10"/>
        <v>12.25</v>
      </c>
      <c r="H72" s="1">
        <f t="shared" si="0"/>
        <v>1.8925833333333333E-2</v>
      </c>
      <c r="I72" s="2">
        <f>Interpolate_Interval(H71,H75,I71,I75,H72)</f>
        <v>0.7880747503746085</v>
      </c>
      <c r="J72" s="15"/>
      <c r="K72" s="16"/>
      <c r="N72" s="16">
        <f t="shared" si="7"/>
        <v>9.5625000000000007E-4</v>
      </c>
      <c r="O72" s="17">
        <f>O73</f>
        <v>3.1184982011093213E-2</v>
      </c>
      <c r="P72" s="32">
        <f t="shared" si="11"/>
        <v>11.273984923938569</v>
      </c>
      <c r="Q72" s="1">
        <f>Q71+O72*0.25*I72</f>
        <v>0.23470028374845037</v>
      </c>
      <c r="R72" s="10">
        <f t="shared" si="2"/>
        <v>1.9441823080961956E-2</v>
      </c>
    </row>
    <row r="73" spans="1:18">
      <c r="B73" s="1"/>
      <c r="E73" s="1"/>
      <c r="G73" s="13">
        <f t="shared" si="10"/>
        <v>12.5</v>
      </c>
      <c r="H73" s="1">
        <f t="shared" si="0"/>
        <v>1.9111666666666666E-2</v>
      </c>
      <c r="I73" s="2">
        <f>Interpolate_Interval(H71,H75,I71,I75,H73)</f>
        <v>0.78227685020865256</v>
      </c>
      <c r="J73" s="15"/>
      <c r="K73" s="16"/>
      <c r="L73" s="1">
        <f>L71+M73*0.5*I73</f>
        <v>0.25166650866813822</v>
      </c>
      <c r="M73" s="1">
        <f>M75</f>
        <v>3.150086282907625E-2</v>
      </c>
      <c r="N73" s="16">
        <f t="shared" si="7"/>
        <v>9.4749999999999999E-4</v>
      </c>
      <c r="O73" s="1">
        <f>(L73-N73*P73-Q71)/(0.25*I72+0.25*I73)</f>
        <v>3.1184982011093213E-2</v>
      </c>
      <c r="P73" s="32">
        <f t="shared" si="11"/>
        <v>11.469554136490732</v>
      </c>
      <c r="Q73" s="1">
        <f>Q72+O73*0.25*I75</f>
        <v>0.24070870241762451</v>
      </c>
      <c r="R73" s="10">
        <f t="shared" si="2"/>
        <v>1.9643725815222522E-2</v>
      </c>
    </row>
    <row r="74" spans="1:18">
      <c r="B74" s="1"/>
      <c r="E74" s="1"/>
      <c r="G74" s="13">
        <f t="shared" si="10"/>
        <v>12.75</v>
      </c>
      <c r="H74" s="1">
        <f t="shared" si="0"/>
        <v>1.9297499999999999E-2</v>
      </c>
      <c r="I74" s="2">
        <f>Interpolate_Interval(H71,H75,I71,I75,H74)</f>
        <v>0.77647895004269651</v>
      </c>
      <c r="J74" s="15"/>
      <c r="N74" s="16">
        <f t="shared" si="7"/>
        <v>9.3875000000000002E-4</v>
      </c>
      <c r="O74" s="17">
        <f>O75</f>
        <v>3.1205473830224262E-2</v>
      </c>
      <c r="P74" s="32">
        <f t="shared" si="11"/>
        <v>11.663673874001406</v>
      </c>
      <c r="Q74" s="1">
        <f>Q73+O74*0.25*I74</f>
        <v>0.24676630080644385</v>
      </c>
      <c r="R74" s="10">
        <f t="shared" si="2"/>
        <v>1.9842019257058374E-2</v>
      </c>
    </row>
    <row r="75" spans="1:18">
      <c r="B75" s="1"/>
      <c r="E75" s="1"/>
      <c r="G75" s="13">
        <f t="shared" si="10"/>
        <v>13</v>
      </c>
      <c r="H75" s="1">
        <f t="shared" ref="H75:H138" si="12">Interpolate_Range($A$17:$A$50,$B$17:$B$50,G75)</f>
        <v>1.9483333333333332E-2</v>
      </c>
      <c r="I75" s="2">
        <f>(1-J71*H75)/(1+H75)</f>
        <v>0.77068104987674058</v>
      </c>
      <c r="J75" s="15">
        <f>J71+1*I75</f>
        <v>11.77000599435036</v>
      </c>
      <c r="K75" s="16">
        <f>Interpolate_Range($D$17:$D$31,$E$17:$E$31,G75)</f>
        <v>2.2413333333333334E-2</v>
      </c>
      <c r="L75" s="1">
        <f>L73+M75*0.5*I75</f>
        <v>0.26380506768670609</v>
      </c>
      <c r="M75" s="14">
        <f>(K75*J75-L71)/(0.5*I73+0.5*I75)</f>
        <v>3.150086282907625E-2</v>
      </c>
      <c r="N75" s="16">
        <f t="shared" si="7"/>
        <v>9.3000000000000005E-4</v>
      </c>
      <c r="O75" s="1">
        <f>(L75-N75*P75-Q73)/(0.25*I74+0.25*I75)</f>
        <v>3.1205473830224262E-2</v>
      </c>
      <c r="P75" s="32">
        <f t="shared" si="11"/>
        <v>11.856344136470591</v>
      </c>
      <c r="Q75" s="1">
        <f>Q74+O75*0.25*I77</f>
        <v>0.25268561743170176</v>
      </c>
      <c r="R75" s="10">
        <f t="shared" ref="R75:R138" si="13">-LN(I75)/G75</f>
        <v>2.0036974976712734E-2</v>
      </c>
    </row>
    <row r="76" spans="1:18">
      <c r="A76" s="10"/>
      <c r="B76" s="10"/>
      <c r="C76" s="1"/>
      <c r="G76" s="13">
        <f t="shared" si="10"/>
        <v>13.25</v>
      </c>
      <c r="H76" s="1">
        <f t="shared" si="12"/>
        <v>1.9669166666666665E-2</v>
      </c>
      <c r="I76" s="2">
        <f>Interpolate_Interval(H75,H79,I75,I79,H76)</f>
        <v>0.76471733924103857</v>
      </c>
      <c r="J76" s="15"/>
      <c r="K76" s="16"/>
      <c r="N76" s="16">
        <f t="shared" si="7"/>
        <v>9.2124999999999998E-4</v>
      </c>
      <c r="O76" s="17">
        <f>O77</f>
        <v>3.2845928980554683E-2</v>
      </c>
      <c r="P76" s="32">
        <f t="shared" si="11"/>
        <v>12.047523471280851</v>
      </c>
      <c r="Q76" s="1">
        <f>Q75+O76*0.25*I76</f>
        <v>0.25896508028542925</v>
      </c>
      <c r="R76" s="10">
        <f t="shared" si="13"/>
        <v>2.0245207896035816E-2</v>
      </c>
    </row>
    <row r="77" spans="1:18">
      <c r="A77" s="10"/>
      <c r="B77" s="10"/>
      <c r="C77" s="1"/>
      <c r="G77" s="13">
        <f t="shared" si="10"/>
        <v>13.5</v>
      </c>
      <c r="H77" s="1">
        <f t="shared" si="12"/>
        <v>1.9854999999999998E-2</v>
      </c>
      <c r="I77" s="2">
        <f>Interpolate_Interval(H75,H79,I75,I79,H77)</f>
        <v>0.75875362860533657</v>
      </c>
      <c r="J77" s="15"/>
      <c r="K77" s="16"/>
      <c r="L77" s="1">
        <f>L75+M77*0.5*I77</f>
        <v>0.27636202807422589</v>
      </c>
      <c r="M77" s="1">
        <f>M79</f>
        <v>3.3098913571196355E-2</v>
      </c>
      <c r="N77" s="16">
        <f t="shared" si="7"/>
        <v>9.1250000000000001E-4</v>
      </c>
      <c r="O77" s="1">
        <f>(L77-N77*P77-Q75)/(0.25*I76+0.25*I77)</f>
        <v>3.2845928980554683E-2</v>
      </c>
      <c r="P77" s="32">
        <f t="shared" si="11"/>
        <v>12.237211878432184</v>
      </c>
      <c r="Q77" s="1">
        <f>Q76+O77*0.25*I79</f>
        <v>0.26509763042715606</v>
      </c>
      <c r="R77" s="10">
        <f t="shared" si="13"/>
        <v>2.0450233649885709E-2</v>
      </c>
    </row>
    <row r="78" spans="1:18">
      <c r="A78" s="10"/>
      <c r="B78" s="10"/>
      <c r="C78" s="1"/>
      <c r="G78" s="13">
        <f t="shared" si="10"/>
        <v>13.75</v>
      </c>
      <c r="H78" s="1">
        <f t="shared" si="12"/>
        <v>2.0040833333333334E-2</v>
      </c>
      <c r="I78" s="2">
        <f>Interpolate_Interval(H75,H79,I75,I79,H78)</f>
        <v>0.75278991796963446</v>
      </c>
      <c r="J78" s="15"/>
      <c r="K78" s="16"/>
      <c r="N78" s="16">
        <f t="shared" si="7"/>
        <v>9.0375000000000004E-4</v>
      </c>
      <c r="O78" s="17">
        <f>O79</f>
        <v>3.2904746072837214E-2</v>
      </c>
      <c r="P78" s="32">
        <f t="shared" si="11"/>
        <v>12.425409357924593</v>
      </c>
      <c r="Q78" s="1">
        <f>Q77+O78*0.25*I78</f>
        <v>0.27129022070140174</v>
      </c>
      <c r="R78" s="10">
        <f t="shared" si="13"/>
        <v>2.0652296982426342E-2</v>
      </c>
    </row>
    <row r="79" spans="1:18">
      <c r="A79" s="10"/>
      <c r="B79" s="10"/>
      <c r="C79" s="1"/>
      <c r="G79" s="13">
        <f t="shared" si="10"/>
        <v>14</v>
      </c>
      <c r="H79" s="1">
        <f t="shared" si="12"/>
        <v>2.0226666666666667E-2</v>
      </c>
      <c r="I79" s="2">
        <f>(1-J75*H79)/(1+H79)</f>
        <v>0.74682620733393246</v>
      </c>
      <c r="J79" s="15">
        <f>J75+1*I79</f>
        <v>12.516832201684291</v>
      </c>
      <c r="K79" s="16">
        <f>Interpolate_Range($D$17:$D$31,$E$17:$E$31,G79)</f>
        <v>2.3066666666666669E-2</v>
      </c>
      <c r="L79" s="1">
        <f>L77+M79*0.5*I79</f>
        <v>0.28872159611885101</v>
      </c>
      <c r="M79" s="14">
        <f>(K79*J79-L75)/(0.5*I77+0.5*I79)</f>
        <v>3.3098913571196355E-2</v>
      </c>
      <c r="N79" s="16">
        <f t="shared" si="7"/>
        <v>8.9499999999999996E-4</v>
      </c>
      <c r="O79" s="1">
        <f>(L79-N79*P79-Q77)/(0.25*I78+0.25*I79)</f>
        <v>3.2904746072837214E-2</v>
      </c>
      <c r="P79" s="32">
        <f t="shared" si="11"/>
        <v>12.612115909758076</v>
      </c>
      <c r="Q79" s="1">
        <f>Q78+O79*0.25*I81</f>
        <v>0.27733317754985698</v>
      </c>
      <c r="R79" s="10">
        <f t="shared" si="13"/>
        <v>2.0851626792067316E-2</v>
      </c>
    </row>
    <row r="80" spans="1:18">
      <c r="A80" s="10"/>
      <c r="B80" s="10"/>
      <c r="C80" s="1"/>
      <c r="G80" s="13">
        <f t="shared" si="10"/>
        <v>14.25</v>
      </c>
      <c r="H80" s="1">
        <f t="shared" si="12"/>
        <v>2.04125E-2</v>
      </c>
      <c r="I80" s="2">
        <f>Interpolate_Interval(H79,H83,I79,I83,H80)</f>
        <v>0.7407131177791354</v>
      </c>
      <c r="J80" s="15"/>
      <c r="K80" s="16"/>
      <c r="N80" s="16">
        <f t="shared" si="7"/>
        <v>8.8624999999999999E-4</v>
      </c>
      <c r="O80" s="17">
        <f>O81</f>
        <v>3.4596126273169006E-2</v>
      </c>
      <c r="P80" s="32">
        <f t="shared" si="11"/>
        <v>12.79729418920286</v>
      </c>
      <c r="Q80" s="1">
        <f>Q79+O80*0.25*I80</f>
        <v>0.28373962868857688</v>
      </c>
      <c r="R80" s="10">
        <f t="shared" si="13"/>
        <v>2.1062588360970656E-2</v>
      </c>
    </row>
    <row r="81" spans="1:18">
      <c r="A81" s="10"/>
      <c r="B81" s="10"/>
      <c r="C81" s="1"/>
      <c r="G81" s="13">
        <f t="shared" si="10"/>
        <v>14.5</v>
      </c>
      <c r="H81" s="1">
        <f t="shared" si="12"/>
        <v>2.0598333333333333E-2</v>
      </c>
      <c r="I81" s="2">
        <f>Interpolate_Interval(H79,H83,I79,I83,H81)</f>
        <v>0.73460002822433834</v>
      </c>
      <c r="J81" s="15"/>
      <c r="K81" s="16"/>
      <c r="L81" s="1">
        <f>L79+M81*0.5*I81</f>
        <v>0.30148398605497478</v>
      </c>
      <c r="M81" s="1">
        <f>M83</f>
        <v>3.4746499988497992E-2</v>
      </c>
      <c r="N81" s="16">
        <f t="shared" si="7"/>
        <v>8.7750000000000002E-4</v>
      </c>
      <c r="O81" s="1">
        <f>(L81-N81*P81-Q79)/(0.25*I80+0.25*I81)</f>
        <v>3.4596126273169006E-2</v>
      </c>
      <c r="P81" s="32">
        <f t="shared" si="11"/>
        <v>12.980944196258944</v>
      </c>
      <c r="Q81" s="1">
        <f>Q80+O81*0.25*I83</f>
        <v>0.28998746291367911</v>
      </c>
      <c r="R81" s="10">
        <f t="shared" si="13"/>
        <v>2.1270972908634549E-2</v>
      </c>
    </row>
    <row r="82" spans="1:18">
      <c r="A82" s="10"/>
      <c r="B82" s="10"/>
      <c r="C82" s="1"/>
      <c r="G82" s="13">
        <f t="shared" si="10"/>
        <v>14.75</v>
      </c>
      <c r="H82" s="1">
        <f t="shared" si="12"/>
        <v>2.0784166666666666E-2</v>
      </c>
      <c r="I82" s="2">
        <f>Interpolate_Interval(H79,H83,I79,I83,H82)</f>
        <v>0.72848693866954128</v>
      </c>
      <c r="J82" s="15"/>
      <c r="N82" s="16">
        <f t="shared" si="7"/>
        <v>8.6874999999999995E-4</v>
      </c>
      <c r="O82" s="17">
        <f>O83</f>
        <v>3.465792897281561E-2</v>
      </c>
      <c r="P82" s="32">
        <f t="shared" si="11"/>
        <v>13.163065930926329</v>
      </c>
      <c r="Q82" s="1">
        <f>Q81+O82*0.25*I82</f>
        <v>0.29629942505818729</v>
      </c>
      <c r="R82" s="10">
        <f t="shared" si="13"/>
        <v>2.1476988649604987E-2</v>
      </c>
    </row>
    <row r="83" spans="1:18">
      <c r="A83" s="10"/>
      <c r="B83" s="10"/>
      <c r="C83" s="1"/>
      <c r="G83" s="13">
        <f t="shared" si="10"/>
        <v>15</v>
      </c>
      <c r="H83" s="1">
        <f t="shared" si="12"/>
        <v>2.0969999999999999E-2</v>
      </c>
      <c r="I83" s="2">
        <f>(1-J79*H83)/(1+H83)</f>
        <v>0.72237384911474423</v>
      </c>
      <c r="J83" s="15">
        <f>J79+1*I83</f>
        <v>13.239206050799035</v>
      </c>
      <c r="K83" s="16">
        <f>Interpolate_Range($D$17:$D$31,$E$17:$E$31,G83)</f>
        <v>2.3720000000000001E-2</v>
      </c>
      <c r="L83" s="1">
        <f>L81+M83*0.5*I83</f>
        <v>0.31403396752495316</v>
      </c>
      <c r="M83" s="14">
        <f>(K83*J83-L79)/(0.5*I81+0.5*I83)</f>
        <v>3.4746499988497992E-2</v>
      </c>
      <c r="N83" s="16">
        <f t="shared" si="7"/>
        <v>8.5999999999999998E-4</v>
      </c>
      <c r="O83" s="1">
        <f>(L83-N83*P83-Q81)/(0.25*I82+0.25*I83)</f>
        <v>3.465792897281561E-2</v>
      </c>
      <c r="P83" s="32">
        <f t="shared" si="11"/>
        <v>13.343659393205016</v>
      </c>
      <c r="Q83" s="1">
        <f>Q82+O83*0.25*I85</f>
        <v>0.30247698555606051</v>
      </c>
      <c r="R83" s="10">
        <f t="shared" si="13"/>
        <v>2.1680831836124858E-2</v>
      </c>
    </row>
    <row r="84" spans="1:18">
      <c r="A84" s="10"/>
      <c r="B84" s="10"/>
      <c r="C84" s="1"/>
      <c r="G84" s="13">
        <f t="shared" si="10"/>
        <v>15.25</v>
      </c>
      <c r="H84" s="1">
        <f t="shared" si="12"/>
        <v>2.1042499999999999E-2</v>
      </c>
      <c r="I84" s="2">
        <f>Interpolate_Interval(H83,H87,I83,I87,H84)</f>
        <v>0.71767449787536564</v>
      </c>
      <c r="J84" s="15"/>
      <c r="K84" s="16"/>
      <c r="N84" s="16">
        <f t="shared" si="7"/>
        <v>8.5349999999999998E-4</v>
      </c>
      <c r="O84" s="17">
        <f>O85</f>
        <v>2.7797000137672018E-2</v>
      </c>
      <c r="P84" s="32">
        <f t="shared" si="11"/>
        <v>13.523078017673857</v>
      </c>
      <c r="Q84" s="1">
        <f>Q83+O84*0.25*I84</f>
        <v>0.3074642850851218</v>
      </c>
      <c r="R84" s="10">
        <f t="shared" si="13"/>
        <v>2.1753387429742456E-2</v>
      </c>
    </row>
    <row r="85" spans="1:18">
      <c r="A85" s="10"/>
      <c r="B85" s="10"/>
      <c r="C85" s="1"/>
      <c r="G85" s="13">
        <f t="shared" si="10"/>
        <v>15.5</v>
      </c>
      <c r="H85" s="1">
        <f t="shared" si="12"/>
        <v>2.1114999999999998E-2</v>
      </c>
      <c r="I85" s="2">
        <f>Interpolate_Interval(H83,H87,I83,I87,H85)</f>
        <v>0.71297514663598704</v>
      </c>
      <c r="J85" s="15"/>
      <c r="K85" s="16"/>
      <c r="L85" s="1">
        <f>L83+M85*0.5*I85</f>
        <v>0.32402394721569105</v>
      </c>
      <c r="M85" s="1">
        <f>M87</f>
        <v>2.8023360247193367E-2</v>
      </c>
      <c r="N85" s="16">
        <f t="shared" si="7"/>
        <v>8.4699999999999999E-4</v>
      </c>
      <c r="O85" s="1">
        <f>(L85-N85*P85-Q83)/(0.25*I84+0.25*I85)</f>
        <v>2.7797000137672018E-2</v>
      </c>
      <c r="P85" s="32">
        <f t="shared" si="11"/>
        <v>13.701321804332853</v>
      </c>
      <c r="Q85" s="1">
        <f>Q84+O85*0.25*I87</f>
        <v>0.31235361371389714</v>
      </c>
      <c r="R85" s="10">
        <f t="shared" si="13"/>
        <v>2.1826368814736118E-2</v>
      </c>
    </row>
    <row r="86" spans="1:18">
      <c r="A86" s="10"/>
      <c r="B86" s="10"/>
      <c r="C86" s="1"/>
      <c r="G86" s="13">
        <f t="shared" si="10"/>
        <v>15.75</v>
      </c>
      <c r="H86" s="1">
        <f t="shared" si="12"/>
        <v>2.1187499999999998E-2</v>
      </c>
      <c r="I86" s="2">
        <f>Interpolate_Interval(H83,H87,I83,I87,H86)</f>
        <v>0.70827579539660845</v>
      </c>
      <c r="J86" s="15"/>
      <c r="K86" s="16"/>
      <c r="N86" s="16">
        <f t="shared" si="7"/>
        <v>8.4049999999999999E-4</v>
      </c>
      <c r="O86" s="17">
        <f>O87</f>
        <v>2.7785763207518886E-2</v>
      </c>
      <c r="P86" s="32">
        <f t="shared" si="11"/>
        <v>13.878390753182005</v>
      </c>
      <c r="Q86" s="1">
        <f>Q85+O86*0.25*I86</f>
        <v>0.31727360959802398</v>
      </c>
      <c r="R86" s="10">
        <f t="shared" si="13"/>
        <v>2.189979172186568E-2</v>
      </c>
    </row>
    <row r="87" spans="1:18">
      <c r="A87" s="10"/>
      <c r="B87" s="10"/>
      <c r="C87" s="1"/>
      <c r="G87" s="13">
        <f t="shared" si="10"/>
        <v>16</v>
      </c>
      <c r="H87" s="1">
        <f t="shared" si="12"/>
        <v>2.1259999999999998E-2</v>
      </c>
      <c r="I87" s="2">
        <f>(1-J83*H87)/(1+H87)</f>
        <v>0.70357644415722986</v>
      </c>
      <c r="J87" s="15">
        <f>J83+1*I87</f>
        <v>13.942782494956266</v>
      </c>
      <c r="K87" s="16">
        <f>Interpolate_Range($D$17:$D$31,$E$17:$E$31,G87)</f>
        <v>2.3946600000000002E-2</v>
      </c>
      <c r="L87" s="1">
        <f>L85+M87*0.5*I87</f>
        <v>0.33388223529371974</v>
      </c>
      <c r="M87" s="14">
        <f>(K87*J87-L83)/(0.5*I85+0.5*I87)</f>
        <v>2.8023360247193367E-2</v>
      </c>
      <c r="N87" s="16">
        <f t="shared" si="7"/>
        <v>8.34E-4</v>
      </c>
      <c r="O87" s="1">
        <f>(L87-N87*P87-Q85)/(0.25*I86+0.25*I87)</f>
        <v>2.7785763207518886E-2</v>
      </c>
      <c r="P87" s="32">
        <f t="shared" si="11"/>
        <v>14.054284864221312</v>
      </c>
      <c r="Q87" s="1">
        <f>Q86+O87*0.25*I89</f>
        <v>0.32209566401983458</v>
      </c>
      <c r="R87" s="10">
        <f t="shared" si="13"/>
        <v>2.1973671606579863E-2</v>
      </c>
    </row>
    <row r="88" spans="1:18">
      <c r="A88" s="10"/>
      <c r="B88" s="10"/>
      <c r="C88" s="1"/>
      <c r="G88" s="13">
        <f t="shared" si="10"/>
        <v>16.25</v>
      </c>
      <c r="H88" s="1">
        <f t="shared" si="12"/>
        <v>2.1332499999999997E-2</v>
      </c>
      <c r="I88" s="2">
        <f>Interpolate_Interval(H87,H91,I87,I91,H88)</f>
        <v>0.69887636112283968</v>
      </c>
      <c r="J88" s="15"/>
      <c r="K88" s="16"/>
      <c r="N88" s="16">
        <f t="shared" si="7"/>
        <v>8.275E-4</v>
      </c>
      <c r="O88" s="17">
        <f>O89</f>
        <v>2.8385434427050091E-2</v>
      </c>
      <c r="P88" s="32">
        <f t="shared" si="11"/>
        <v>14.229003954502023</v>
      </c>
      <c r="Q88" s="1">
        <f>Q87+O88*0.25*I88</f>
        <v>0.32705514130015151</v>
      </c>
      <c r="R88" s="10">
        <f t="shared" si="13"/>
        <v>2.2048088125905679E-2</v>
      </c>
    </row>
    <row r="89" spans="1:18">
      <c r="G89" s="13">
        <f t="shared" si="10"/>
        <v>16.5</v>
      </c>
      <c r="H89" s="1">
        <f t="shared" si="12"/>
        <v>2.1405E-2</v>
      </c>
      <c r="I89" s="2">
        <f>Interpolate_Interval(H87,H91,I87,I91,H89)</f>
        <v>0.69417627808844917</v>
      </c>
      <c r="J89" s="15"/>
      <c r="K89" s="16"/>
      <c r="L89" s="1">
        <f>L87+M89*0.5*I89</f>
        <v>0.34380575703349869</v>
      </c>
      <c r="M89" s="1">
        <f>M91</f>
        <v>2.8590783214619029E-2</v>
      </c>
      <c r="N89" s="16">
        <f t="shared" si="7"/>
        <v>8.2100000000000001E-4</v>
      </c>
      <c r="O89" s="1">
        <f>(L89-N89*P89-Q87)/(0.25*I88+0.25*I89)</f>
        <v>2.8385434427050091E-2</v>
      </c>
      <c r="P89" s="32">
        <f t="shared" si="11"/>
        <v>14.402548024024135</v>
      </c>
      <c r="Q89" s="1">
        <f>Q88+O89*0.25*I91</f>
        <v>0.33191455815638765</v>
      </c>
      <c r="R89" s="10">
        <f t="shared" si="13"/>
        <v>2.2122990770869252E-2</v>
      </c>
    </row>
    <row r="90" spans="1:18">
      <c r="G90" s="13">
        <f t="shared" si="10"/>
        <v>16.75</v>
      </c>
      <c r="H90" s="1">
        <f t="shared" si="12"/>
        <v>2.14775E-2</v>
      </c>
      <c r="I90" s="2">
        <f>Interpolate_Interval(H87,H91,I87,I91,H90)</f>
        <v>0.68947619505405888</v>
      </c>
      <c r="J90" s="15"/>
      <c r="N90" s="16">
        <f t="shared" si="7"/>
        <v>8.1450000000000001E-4</v>
      </c>
      <c r="O90" s="17">
        <f>O91</f>
        <v>2.8424136505520919E-2</v>
      </c>
      <c r="P90" s="32">
        <f t="shared" si="11"/>
        <v>14.574917072787649</v>
      </c>
      <c r="Q90" s="1">
        <f>Q89+O90*0.25*I90</f>
        <v>0.33681399952776858</v>
      </c>
      <c r="R90" s="10">
        <f t="shared" si="13"/>
        <v>2.219839446474663E-2</v>
      </c>
    </row>
    <row r="91" spans="1:18">
      <c r="G91" s="13">
        <f t="shared" si="10"/>
        <v>17</v>
      </c>
      <c r="H91" s="1">
        <f t="shared" si="12"/>
        <v>2.155E-2</v>
      </c>
      <c r="I91" s="2">
        <f>(1-J87*H91)/(1+H91)</f>
        <v>0.6847761120196687</v>
      </c>
      <c r="J91" s="15">
        <f>J87+1*I91</f>
        <v>14.627558606975935</v>
      </c>
      <c r="K91" s="16">
        <f>Interpolate_Range($D$17:$D$31,$E$17:$E$31,G91)</f>
        <v>2.4173200000000002E-2</v>
      </c>
      <c r="L91" s="1">
        <f>L89+M91*0.5*I91</f>
        <v>0.35359489971815072</v>
      </c>
      <c r="M91" s="14">
        <f>(K91*J91-L87)/(0.5*I89+0.5*I91)</f>
        <v>2.8590783214619029E-2</v>
      </c>
      <c r="N91" s="16">
        <f t="shared" si="7"/>
        <v>8.0800000000000002E-4</v>
      </c>
      <c r="O91" s="1">
        <f>(L91-N91*P91-Q89)/(0.25*I90+0.25*I91)</f>
        <v>2.8424136505520919E-2</v>
      </c>
      <c r="P91" s="32">
        <f t="shared" si="11"/>
        <v>14.746111100792566</v>
      </c>
      <c r="Q91" s="1">
        <f>Q90+O91*0.25*I93</f>
        <v>0.3416132907418869</v>
      </c>
      <c r="R91" s="10">
        <f t="shared" si="13"/>
        <v>2.2274313994816716E-2</v>
      </c>
    </row>
    <row r="92" spans="1:18">
      <c r="G92" s="13">
        <f t="shared" si="10"/>
        <v>17.25</v>
      </c>
      <c r="H92" s="1">
        <f t="shared" si="12"/>
        <v>2.1622499999999999E-2</v>
      </c>
      <c r="I92" s="2">
        <f>Interpolate_Interval(H91,H95,I91,I95,H92)</f>
        <v>0.68007931450671832</v>
      </c>
      <c r="J92" s="15"/>
      <c r="K92" s="16"/>
      <c r="N92" s="16">
        <f t="shared" ref="N92:N143" si="14">Interpolate_Range($D$35:$D$49,$E$35:$E$49,G92)</f>
        <v>8.0150000000000002E-4</v>
      </c>
      <c r="O92" s="17">
        <f>O93</f>
        <v>2.9037655687370146E-2</v>
      </c>
      <c r="P92" s="32">
        <f t="shared" ref="P92:P123" si="15">P91+0.25*I92</f>
        <v>14.916130929419246</v>
      </c>
      <c r="Q92" s="1">
        <f>Q91+O92*0.25*I92</f>
        <v>0.34655026798557409</v>
      </c>
      <c r="R92" s="10">
        <f t="shared" si="13"/>
        <v>2.2350483978742813E-2</v>
      </c>
    </row>
    <row r="93" spans="1:18">
      <c r="G93" s="13">
        <f t="shared" si="10"/>
        <v>17.5</v>
      </c>
      <c r="H93" s="1">
        <f t="shared" si="12"/>
        <v>2.1694999999999999E-2</v>
      </c>
      <c r="I93" s="2">
        <f>Interpolate_Interval(H91,H95,I91,I95,H93)</f>
        <v>0.67538251699376806</v>
      </c>
      <c r="J93" s="15"/>
      <c r="K93" s="16"/>
      <c r="L93" s="1">
        <f>L91+M93*0.5*I93</f>
        <v>0.36344570559614853</v>
      </c>
      <c r="M93" s="1">
        <f>M95</f>
        <v>2.9171041980314383E-2</v>
      </c>
      <c r="N93" s="16">
        <f t="shared" si="14"/>
        <v>7.9499999999999992E-4</v>
      </c>
      <c r="O93" s="1">
        <f>(L93-N93*P93-Q91)/(0.25*I92+0.25*I93)</f>
        <v>2.9037655687370146E-2</v>
      </c>
      <c r="P93" s="32">
        <f t="shared" si="15"/>
        <v>15.084976558667689</v>
      </c>
      <c r="Q93" s="1">
        <f>Q92+O93*0.25*I95</f>
        <v>0.35138495723750052</v>
      </c>
      <c r="R93" s="10">
        <f t="shared" si="13"/>
        <v>2.242720324435277E-2</v>
      </c>
    </row>
    <row r="94" spans="1:18">
      <c r="G94" s="13">
        <f t="shared" si="10"/>
        <v>17.75</v>
      </c>
      <c r="H94" s="1">
        <f t="shared" si="12"/>
        <v>2.1767499999999999E-2</v>
      </c>
      <c r="I94" s="2">
        <f>Interpolate_Interval(H91,H95,I91,I95,H94)</f>
        <v>0.67068571948081779</v>
      </c>
      <c r="J94" s="15"/>
      <c r="K94" s="16"/>
      <c r="N94" s="16">
        <f t="shared" si="14"/>
        <v>7.8849999999999992E-4</v>
      </c>
      <c r="O94" s="17">
        <f>O95</f>
        <v>2.9077449056443924E-2</v>
      </c>
      <c r="P94" s="32">
        <f t="shared" si="15"/>
        <v>15.252647988537893</v>
      </c>
      <c r="Q94" s="1">
        <f>Q93+O94*0.25*I94</f>
        <v>0.35626041469777248</v>
      </c>
      <c r="R94" s="10">
        <f t="shared" si="13"/>
        <v>2.2504486088198498E-2</v>
      </c>
    </row>
    <row r="95" spans="1:18">
      <c r="G95" s="13">
        <f t="shared" si="10"/>
        <v>18</v>
      </c>
      <c r="H95" s="1">
        <f t="shared" si="12"/>
        <v>2.1839999999999998E-2</v>
      </c>
      <c r="I95" s="2">
        <f>(1-J91*H95)/(1+H95)</f>
        <v>0.66598892196786741</v>
      </c>
      <c r="J95" s="15">
        <f>J91+1*I95</f>
        <v>15.293547528943803</v>
      </c>
      <c r="K95" s="16">
        <f>Interpolate_Range($D$17:$D$31,$E$17:$E$31,G95)</f>
        <v>2.4399799999999999E-2</v>
      </c>
      <c r="L95" s="1">
        <f>L93+M95*0.5*I95</f>
        <v>0.37315950099672301</v>
      </c>
      <c r="M95" s="14">
        <f>(K95*J95-L91)/(0.5*I93+0.5*I95)</f>
        <v>2.9171041980314383E-2</v>
      </c>
      <c r="N95" s="16">
        <f t="shared" si="14"/>
        <v>7.8199999999999993E-4</v>
      </c>
      <c r="O95" s="1">
        <f>(L95-N95*P95-Q93)/(0.25*I94+0.25*I95)</f>
        <v>2.9077449056443924E-2</v>
      </c>
      <c r="P95" s="32">
        <f t="shared" si="15"/>
        <v>15.419145219029859</v>
      </c>
      <c r="Q95" s="1">
        <f>Q94+O95*0.25*I97</f>
        <v>0.36103354884541927</v>
      </c>
      <c r="R95" s="10">
        <f t="shared" si="13"/>
        <v>2.2582346792331662E-2</v>
      </c>
    </row>
    <row r="96" spans="1:18">
      <c r="G96" s="13">
        <f t="shared" si="10"/>
        <v>18.25</v>
      </c>
      <c r="H96" s="1">
        <f t="shared" si="12"/>
        <v>2.1912499999999998E-2</v>
      </c>
      <c r="I96" s="2">
        <f>Interpolate_Interval(H95,H99,I95,I99,H96)</f>
        <v>0.66129933658573836</v>
      </c>
      <c r="J96" s="15"/>
      <c r="K96" s="16"/>
      <c r="N96" s="16">
        <f t="shared" si="14"/>
        <v>7.7549999999999993E-4</v>
      </c>
      <c r="O96" s="17">
        <f>O97</f>
        <v>2.9705517877102048E-2</v>
      </c>
      <c r="P96" s="32">
        <f t="shared" si="15"/>
        <v>15.584470053176293</v>
      </c>
      <c r="Q96" s="1">
        <f>Q95+O96*0.25*I96</f>
        <v>0.3659446086616851</v>
      </c>
      <c r="R96" s="10">
        <f t="shared" si="13"/>
        <v>2.2660202054748106E-2</v>
      </c>
    </row>
    <row r="97" spans="7:18">
      <c r="G97" s="13">
        <f t="shared" ref="G97:G143" si="16">G96+0.25</f>
        <v>18.5</v>
      </c>
      <c r="H97" s="1">
        <f t="shared" si="12"/>
        <v>2.1984999999999998E-2</v>
      </c>
      <c r="I97" s="2">
        <f>Interpolate_Interval(H95,H99,I95,I99,H97)</f>
        <v>0.65660975120360932</v>
      </c>
      <c r="J97" s="15"/>
      <c r="K97" s="16"/>
      <c r="L97" s="1">
        <f>L95+M97*0.5*I97</f>
        <v>0.38293153253291118</v>
      </c>
      <c r="M97" s="1">
        <f>M99</f>
        <v>2.9765112437868523E-2</v>
      </c>
      <c r="N97" s="16">
        <f t="shared" si="14"/>
        <v>7.6899999999999994E-4</v>
      </c>
      <c r="O97" s="1">
        <f>(L97-N97*P97-Q95)/(0.25*I96+0.25*I97)</f>
        <v>2.9705517877102048E-2</v>
      </c>
      <c r="P97" s="32">
        <f t="shared" si="15"/>
        <v>15.748622490977196</v>
      </c>
      <c r="Q97" s="1">
        <f>Q96+O97*0.25*I99</f>
        <v>0.37075118855614719</v>
      </c>
      <c r="R97" s="10">
        <f t="shared" si="13"/>
        <v>2.2738671511813812E-2</v>
      </c>
    </row>
    <row r="98" spans="7:18">
      <c r="G98" s="13">
        <f t="shared" si="16"/>
        <v>18.75</v>
      </c>
      <c r="H98" s="1">
        <f t="shared" si="12"/>
        <v>2.2057500000000001E-2</v>
      </c>
      <c r="I98" s="2">
        <f>Interpolate_Interval(H95,H99,I95,I99,H98)</f>
        <v>0.65192016582147994</v>
      </c>
      <c r="J98" s="15"/>
      <c r="N98" s="16">
        <f t="shared" si="14"/>
        <v>7.6249999999999994E-4</v>
      </c>
      <c r="O98" s="17">
        <f>O99</f>
        <v>2.9746482955425441E-2</v>
      </c>
      <c r="P98" s="32">
        <f t="shared" si="15"/>
        <v>15.911602532432566</v>
      </c>
      <c r="Q98" s="1">
        <f>Q97+O98*0.25*I98</f>
        <v>0.37559927158137391</v>
      </c>
      <c r="R98" s="10">
        <f t="shared" si="13"/>
        <v>2.2817769045950516E-2</v>
      </c>
    </row>
    <row r="99" spans="7:18">
      <c r="G99" s="13">
        <f t="shared" si="16"/>
        <v>19</v>
      </c>
      <c r="H99" s="1">
        <f t="shared" si="12"/>
        <v>2.213E-2</v>
      </c>
      <c r="I99" s="2">
        <f>(1-J95*H99)/(1+H99)</f>
        <v>0.64723058043935089</v>
      </c>
      <c r="J99" s="15">
        <f>J95+1*I99</f>
        <v>15.940778109383153</v>
      </c>
      <c r="K99" s="16">
        <f>Interpolate_Range($D$17:$D$31,$E$17:$E$31,G99)</f>
        <v>2.46264E-2</v>
      </c>
      <c r="L99" s="1">
        <f>L97+M99*0.5*I99</f>
        <v>0.39256397803291326</v>
      </c>
      <c r="M99" s="14">
        <f>(K99*J99-L95)/(0.5*I97+0.5*I99)</f>
        <v>2.9765112437868523E-2</v>
      </c>
      <c r="N99" s="16">
        <f t="shared" si="14"/>
        <v>7.5599999999999994E-4</v>
      </c>
      <c r="O99" s="1">
        <f>(L99-N99*P99-Q97)/(0.25*I98+0.25*I99)</f>
        <v>2.9746482955425441E-2</v>
      </c>
      <c r="P99" s="32">
        <f t="shared" si="15"/>
        <v>16.073410177542403</v>
      </c>
      <c r="Q99" s="1">
        <f>Q98+O99*0.25*I101</f>
        <v>0.38034289486969575</v>
      </c>
      <c r="R99" s="10">
        <f t="shared" si="13"/>
        <v>2.2897508630752284E-2</v>
      </c>
    </row>
    <row r="100" spans="7:18">
      <c r="G100" s="13">
        <f t="shared" si="16"/>
        <v>19.25</v>
      </c>
      <c r="H100" s="1">
        <f t="shared" si="12"/>
        <v>2.22025E-2</v>
      </c>
      <c r="I100" s="2">
        <f>Interpolate_Interval(H99,H103,I99,I103,H100)</f>
        <v>0.64255203951067885</v>
      </c>
      <c r="J100" s="15"/>
      <c r="K100" s="16"/>
      <c r="N100" s="16">
        <f t="shared" si="14"/>
        <v>7.4949999999999995E-4</v>
      </c>
      <c r="O100" s="17">
        <f>O101</f>
        <v>3.0390218287494677E-2</v>
      </c>
      <c r="P100" s="32">
        <f t="shared" si="15"/>
        <v>16.234048187420072</v>
      </c>
      <c r="Q100" s="1">
        <f>Q99+O100*0.25*I100</f>
        <v>0.38522471905514688</v>
      </c>
      <c r="R100" s="10">
        <f t="shared" si="13"/>
        <v>2.2977011436121981E-2</v>
      </c>
    </row>
    <row r="101" spans="7:18">
      <c r="G101" s="13">
        <f t="shared" si="16"/>
        <v>19.5</v>
      </c>
      <c r="H101" s="1">
        <f t="shared" si="12"/>
        <v>2.2275E-2</v>
      </c>
      <c r="I101" s="2">
        <f>Interpolate_Interval(H99,H103,I99,I103,H101)</f>
        <v>0.6378734985820067</v>
      </c>
      <c r="J101" s="15"/>
      <c r="K101" s="16"/>
      <c r="L101" s="1">
        <f>L99+M101*0.5*I101</f>
        <v>0.40225138057619036</v>
      </c>
      <c r="M101" s="1">
        <f>M103</f>
        <v>3.0374055560584326E-2</v>
      </c>
      <c r="N101" s="16">
        <f t="shared" si="14"/>
        <v>7.4299999999999995E-4</v>
      </c>
      <c r="O101" s="1">
        <f>(L101-N101*P101-Q99)/(0.25*I100+0.25*I101)</f>
        <v>3.0390218287494677E-2</v>
      </c>
      <c r="P101" s="32">
        <f t="shared" si="15"/>
        <v>16.393516562065575</v>
      </c>
      <c r="Q101" s="1">
        <f>Q100+O101*0.25*I103</f>
        <v>0.38999990683053098</v>
      </c>
      <c r="R101" s="10">
        <f t="shared" si="13"/>
        <v>2.3057194532393556E-2</v>
      </c>
    </row>
    <row r="102" spans="7:18">
      <c r="G102" s="13">
        <f t="shared" si="16"/>
        <v>19.75</v>
      </c>
      <c r="H102" s="1">
        <f t="shared" si="12"/>
        <v>2.2347499999999999E-2</v>
      </c>
      <c r="I102" s="2">
        <f>Interpolate_Interval(H99,H103,I99,I103,H102)</f>
        <v>0.63319495765333467</v>
      </c>
      <c r="J102" s="15"/>
      <c r="K102" s="16"/>
      <c r="N102" s="16">
        <f t="shared" si="14"/>
        <v>7.3649999999999996E-4</v>
      </c>
      <c r="O102" s="17">
        <f>O103</f>
        <v>3.0432445345678003E-2</v>
      </c>
      <c r="P102" s="32">
        <f t="shared" si="15"/>
        <v>16.551815301478907</v>
      </c>
      <c r="Q102" s="1">
        <f>Q101+O102*0.25*I102</f>
        <v>0.39481732456601698</v>
      </c>
      <c r="R102" s="10">
        <f t="shared" si="13"/>
        <v>2.3138071609289323E-2</v>
      </c>
    </row>
    <row r="103" spans="7:18">
      <c r="G103" s="13">
        <f t="shared" si="16"/>
        <v>20</v>
      </c>
      <c r="H103" s="1">
        <f t="shared" si="12"/>
        <v>2.2419999999999999E-2</v>
      </c>
      <c r="I103" s="2">
        <f>(1-J99*H103)/(1+H103)</f>
        <v>0.62851641672466263</v>
      </c>
      <c r="J103" s="15">
        <f>J99+1*I103</f>
        <v>16.569294526107814</v>
      </c>
      <c r="K103" s="16">
        <f>Interpolate_Range($D$17:$D$31,$E$17:$E$31,G103)</f>
        <v>2.4853E-2</v>
      </c>
      <c r="L103" s="1">
        <f>L101+M103*0.5*I103</f>
        <v>0.41179667685735749</v>
      </c>
      <c r="M103" s="14">
        <f>(K103*J103-L99)/(0.5*I101+0.5*I103)</f>
        <v>3.0374055560584326E-2</v>
      </c>
      <c r="N103" s="16">
        <f t="shared" si="14"/>
        <v>7.2999999999999996E-4</v>
      </c>
      <c r="O103" s="1">
        <f>(L103-N103*P103-Q101)/(0.25*I102+0.25*I103)</f>
        <v>3.0432445345678003E-2</v>
      </c>
      <c r="P103" s="32">
        <f t="shared" si="15"/>
        <v>16.708944405660073</v>
      </c>
      <c r="Q103" s="1">
        <f>Q102+O103*0.25*I105</f>
        <v>0.39954173206634325</v>
      </c>
      <c r="R103" s="10">
        <f t="shared" si="13"/>
        <v>2.3219656540411162E-2</v>
      </c>
    </row>
    <row r="104" spans="7:18">
      <c r="G104" s="13">
        <f t="shared" si="16"/>
        <v>20.25</v>
      </c>
      <c r="H104" s="1">
        <f t="shared" si="12"/>
        <v>2.2439499999999998E-2</v>
      </c>
      <c r="I104" s="2">
        <f>Interpolate_Interval(H103,H107,I103,I107,H104)</f>
        <v>0.62474311660170245</v>
      </c>
      <c r="J104" s="15"/>
      <c r="K104" s="16"/>
      <c r="N104" s="16">
        <f t="shared" si="14"/>
        <v>7.2499999999999995E-4</v>
      </c>
      <c r="O104" s="17">
        <f>O105</f>
        <v>2.5554163644894681E-2</v>
      </c>
      <c r="P104" s="32">
        <f t="shared" si="15"/>
        <v>16.8651301848105</v>
      </c>
      <c r="Q104" s="1">
        <f>Q103+O104*0.25*I104</f>
        <v>0.4035329290257586</v>
      </c>
      <c r="R104" s="10">
        <f t="shared" si="13"/>
        <v>2.3230356897391901E-2</v>
      </c>
    </row>
    <row r="105" spans="7:18">
      <c r="G105" s="13">
        <f t="shared" si="16"/>
        <v>20.5</v>
      </c>
      <c r="H105" s="1">
        <f t="shared" si="12"/>
        <v>2.2459E-2</v>
      </c>
      <c r="I105" s="2">
        <f>Interpolate_Interval(H103,H107,I103,I107,H105)</f>
        <v>0.6209698164787415</v>
      </c>
      <c r="J105" s="15"/>
      <c r="K105" s="16"/>
      <c r="L105" s="1">
        <f>L103+M105*0.5*I105</f>
        <v>0.41975468840299784</v>
      </c>
      <c r="M105" s="1">
        <f>M107</f>
        <v>2.5630912596579663E-2</v>
      </c>
      <c r="N105" s="16">
        <f t="shared" si="14"/>
        <v>7.1999999999999994E-4</v>
      </c>
      <c r="O105" s="1">
        <f>(L105-N105*P105-Q103)/(0.25*I104+0.25*I105)</f>
        <v>2.5554163644894681E-2</v>
      </c>
      <c r="P105" s="32">
        <f t="shared" si="15"/>
        <v>17.020372638930187</v>
      </c>
      <c r="Q105" s="1">
        <f>Q104+O105*0.25*I107</f>
        <v>0.40745180833855638</v>
      </c>
      <c r="R105" s="10">
        <f t="shared" si="13"/>
        <v>2.3242575752879278E-2</v>
      </c>
    </row>
    <row r="106" spans="7:18">
      <c r="G106" s="13">
        <f t="shared" si="16"/>
        <v>20.75</v>
      </c>
      <c r="H106" s="1">
        <f t="shared" si="12"/>
        <v>2.2478499999999998E-2</v>
      </c>
      <c r="I106" s="2">
        <f>Interpolate_Interval(H103,H107,I103,I107,H106)</f>
        <v>0.61719651635578132</v>
      </c>
      <c r="J106" s="15"/>
      <c r="N106" s="16">
        <f t="shared" si="14"/>
        <v>7.1499999999999992E-4</v>
      </c>
      <c r="O106" s="17">
        <f>O107</f>
        <v>2.5552260215163328E-2</v>
      </c>
      <c r="P106" s="32">
        <f t="shared" si="15"/>
        <v>17.174671768019131</v>
      </c>
      <c r="Q106" s="1">
        <f>Q105+O106*0.25*I106</f>
        <v>0.41139449983601017</v>
      </c>
      <c r="R106" s="10">
        <f t="shared" si="13"/>
        <v>2.3256279652063394E-2</v>
      </c>
    </row>
    <row r="107" spans="7:18">
      <c r="G107" s="13">
        <f t="shared" si="16"/>
        <v>21</v>
      </c>
      <c r="H107" s="1">
        <f t="shared" si="12"/>
        <v>2.2498000000000001E-2</v>
      </c>
      <c r="I107" s="2">
        <f>(1-J103*H107)/(1+H107)</f>
        <v>0.61342321623282037</v>
      </c>
      <c r="J107" s="15">
        <f>J103+1*I107</f>
        <v>17.182717742340635</v>
      </c>
      <c r="K107" s="16">
        <f>Interpolate_Range($D$17:$D$31,$E$17:$E$31,G107)</f>
        <v>2.4886399999999999E-2</v>
      </c>
      <c r="L107" s="1">
        <f>L105+M107*0.5*I107</f>
        <v>0.42761598682298596</v>
      </c>
      <c r="M107" s="14">
        <f>(K107*J107-L103)/(0.5*I105+0.5*I107)</f>
        <v>2.5630912596579663E-2</v>
      </c>
      <c r="N107" s="16">
        <f t="shared" si="14"/>
        <v>7.1000000000000002E-4</v>
      </c>
      <c r="O107" s="1">
        <f>(L107-N107*P107-Q105)/(0.25*I106+0.25*I107)</f>
        <v>2.5552260215163328E-2</v>
      </c>
      <c r="P107" s="32">
        <f t="shared" si="15"/>
        <v>17.328027572077335</v>
      </c>
      <c r="Q107" s="1">
        <f>Q106+O107*0.25*I109</f>
        <v>0.41526564449133474</v>
      </c>
      <c r="R107" s="10">
        <f t="shared" si="13"/>
        <v>2.3271437122793778E-2</v>
      </c>
    </row>
    <row r="108" spans="7:18">
      <c r="G108" s="13">
        <f t="shared" si="16"/>
        <v>21.25</v>
      </c>
      <c r="H108" s="1">
        <f t="shared" si="12"/>
        <v>2.2517499999999999E-2</v>
      </c>
      <c r="I108" s="2">
        <f>Interpolate_Interval(H107,H111,I107,I111,H108)</f>
        <v>0.60970982610006397</v>
      </c>
      <c r="J108" s="15"/>
      <c r="K108" s="16"/>
      <c r="N108" s="16">
        <f t="shared" si="14"/>
        <v>7.0500000000000001E-4</v>
      </c>
      <c r="O108" s="17">
        <f>O109</f>
        <v>2.5666714152752408E-2</v>
      </c>
      <c r="P108" s="32">
        <f t="shared" si="15"/>
        <v>17.48045502860235</v>
      </c>
      <c r="Q108" s="1">
        <f>Q107+O108*0.25*I108</f>
        <v>0.4191779564469934</v>
      </c>
      <c r="R108" s="10">
        <f t="shared" si="13"/>
        <v>2.3283394348773141E-2</v>
      </c>
    </row>
    <row r="109" spans="7:18">
      <c r="G109" s="13">
        <f t="shared" si="16"/>
        <v>21.5</v>
      </c>
      <c r="H109" s="1">
        <f t="shared" si="12"/>
        <v>2.2536999999999998E-2</v>
      </c>
      <c r="I109" s="2">
        <f>Interpolate_Interval(H107,H111,I107,I111,H109)</f>
        <v>0.60599643596730757</v>
      </c>
      <c r="J109" s="15"/>
      <c r="K109" s="16"/>
      <c r="L109" s="1">
        <f>L107+M109*0.5*I109</f>
        <v>0.43540880866819925</v>
      </c>
      <c r="M109" s="1">
        <f>M111</f>
        <v>2.571903523747366E-2</v>
      </c>
      <c r="N109" s="16">
        <f t="shared" si="14"/>
        <v>6.9999999999999999E-4</v>
      </c>
      <c r="O109" s="1">
        <f>(L109-N109*P109-Q107)/(0.25*I108+0.25*I109)</f>
        <v>2.5666714152752408E-2</v>
      </c>
      <c r="P109" s="32">
        <f t="shared" si="15"/>
        <v>17.631954137594178</v>
      </c>
      <c r="Q109" s="1">
        <f>Q108+O109*0.25*I111</f>
        <v>0.42301878551034577</v>
      </c>
      <c r="R109" s="10">
        <f t="shared" si="13"/>
        <v>2.329679879870623E-2</v>
      </c>
    </row>
    <row r="110" spans="7:18">
      <c r="G110" s="13">
        <f t="shared" si="16"/>
        <v>21.75</v>
      </c>
      <c r="H110" s="1">
        <f t="shared" si="12"/>
        <v>2.25565E-2</v>
      </c>
      <c r="I110" s="2">
        <f>Interpolate_Interval(H107,H111,I107,I111,H110)</f>
        <v>0.60228304583455061</v>
      </c>
      <c r="J110" s="15"/>
      <c r="K110" s="16"/>
      <c r="N110" s="16">
        <f t="shared" si="14"/>
        <v>6.9499999999999998E-4</v>
      </c>
      <c r="O110" s="17">
        <f>O111</f>
        <v>2.5695556950715636E-2</v>
      </c>
      <c r="P110" s="32">
        <f t="shared" si="15"/>
        <v>17.782524899052817</v>
      </c>
      <c r="Q110" s="1">
        <f>Q109+O110*0.25*I110</f>
        <v>0.42688778508651881</v>
      </c>
      <c r="R110" s="10">
        <f t="shared" si="13"/>
        <v>2.3311621534088466E-2</v>
      </c>
    </row>
    <row r="111" spans="7:18">
      <c r="G111" s="13">
        <f t="shared" si="16"/>
        <v>22</v>
      </c>
      <c r="H111" s="1">
        <f t="shared" si="12"/>
        <v>2.2575999999999999E-2</v>
      </c>
      <c r="I111" s="2">
        <f>(1-J107*H111)/(1+H111)</f>
        <v>0.59856965570179421</v>
      </c>
      <c r="J111" s="15">
        <f>J107+1*I111</f>
        <v>17.78128739804243</v>
      </c>
      <c r="K111" s="16">
        <f>Interpolate_Range($D$17:$D$31,$E$17:$E$31,G111)</f>
        <v>2.4919799999999999E-2</v>
      </c>
      <c r="L111" s="1">
        <f>L109+M111*0.5*I111</f>
        <v>0.44310612570173774</v>
      </c>
      <c r="M111" s="14">
        <f>(K111*J111-L107)/(0.5*I109+0.5*I111)</f>
        <v>2.571903523747366E-2</v>
      </c>
      <c r="N111" s="16">
        <f t="shared" si="14"/>
        <v>6.8999999999999997E-4</v>
      </c>
      <c r="O111" s="1">
        <f>(L111-N111*P111-Q109)/(0.25*I110+0.25*I111)</f>
        <v>2.5695556950715636E-2</v>
      </c>
      <c r="P111" s="32">
        <f t="shared" si="15"/>
        <v>17.932167312978265</v>
      </c>
      <c r="Q111" s="1">
        <f>Q110+O111*0.25*I113</f>
        <v>0.43068598501805672</v>
      </c>
      <c r="R111" s="10">
        <f t="shared" si="13"/>
        <v>2.3327835316380205E-2</v>
      </c>
    </row>
    <row r="112" spans="7:18">
      <c r="G112" s="13">
        <f t="shared" si="16"/>
        <v>22.25</v>
      </c>
      <c r="H112" s="1">
        <f t="shared" si="12"/>
        <v>2.2595500000000001E-2</v>
      </c>
      <c r="I112" s="2">
        <f>Interpolate_Interval(H111,H115,I111,I115,H112)</f>
        <v>0.59491569810779932</v>
      </c>
      <c r="J112" s="15"/>
      <c r="K112" s="16"/>
      <c r="N112" s="16">
        <f t="shared" si="14"/>
        <v>6.8499999999999995E-4</v>
      </c>
      <c r="O112" s="17">
        <f>O113</f>
        <v>2.581224123541033E-2</v>
      </c>
      <c r="P112" s="32">
        <f t="shared" si="15"/>
        <v>18.080896237505215</v>
      </c>
      <c r="Q112" s="1">
        <f>Q111+O112*0.25*I112</f>
        <v>0.43452501189662945</v>
      </c>
      <c r="R112" s="10">
        <f t="shared" si="13"/>
        <v>2.3340924374249464E-2</v>
      </c>
    </row>
    <row r="113" spans="7:18">
      <c r="G113" s="13">
        <f t="shared" si="16"/>
        <v>22.5</v>
      </c>
      <c r="H113" s="1">
        <f t="shared" si="12"/>
        <v>2.2615E-2</v>
      </c>
      <c r="I113" s="2">
        <f>Interpolate_Interval(H111,H115,I111,I115,H113)</f>
        <v>0.59126174051380498</v>
      </c>
      <c r="J113" s="15"/>
      <c r="K113" s="16"/>
      <c r="L113" s="1">
        <f>L111+M113*0.5*I113</f>
        <v>0.45073598350387312</v>
      </c>
      <c r="M113" s="1">
        <f>M115</f>
        <v>2.5808731664271313E-2</v>
      </c>
      <c r="N113" s="16">
        <f t="shared" si="14"/>
        <v>6.8000000000000005E-4</v>
      </c>
      <c r="O113" s="1">
        <f>(L113-N113*P113-Q111)/(0.25*I112+0.25*I113)</f>
        <v>2.581224123541033E-2</v>
      </c>
      <c r="P113" s="32">
        <f t="shared" si="15"/>
        <v>18.228711672633665</v>
      </c>
      <c r="Q113" s="1">
        <f>Q112+O113*0.25*I115</f>
        <v>0.43829330114904214</v>
      </c>
      <c r="R113" s="10">
        <f t="shared" si="13"/>
        <v>2.3355399211881903E-2</v>
      </c>
    </row>
    <row r="114" spans="7:18">
      <c r="G114" s="13">
        <f t="shared" si="16"/>
        <v>22.75</v>
      </c>
      <c r="H114" s="1">
        <f t="shared" si="12"/>
        <v>2.2634499999999998E-2</v>
      </c>
      <c r="I114" s="2">
        <f>Interpolate_Interval(H111,H115,I111,I115,H114)</f>
        <v>0.58760778291981064</v>
      </c>
      <c r="J114" s="15"/>
      <c r="N114" s="16">
        <f t="shared" si="14"/>
        <v>6.7500000000000004E-4</v>
      </c>
      <c r="O114" s="17">
        <f>O115</f>
        <v>2.58416209701464E-2</v>
      </c>
      <c r="P114" s="32">
        <f t="shared" si="15"/>
        <v>18.375613618363616</v>
      </c>
      <c r="Q114" s="1">
        <f>Q113+O114*0.25*I114</f>
        <v>0.44208948555037259</v>
      </c>
      <c r="R114" s="10">
        <f t="shared" si="13"/>
        <v>2.3371234703365471E-2</v>
      </c>
    </row>
    <row r="115" spans="7:18">
      <c r="G115" s="13">
        <f t="shared" si="16"/>
        <v>23</v>
      </c>
      <c r="H115" s="1">
        <f t="shared" si="12"/>
        <v>2.2654000000000001E-2</v>
      </c>
      <c r="I115" s="2">
        <f>(1-J111*H115)/(1+H115)</f>
        <v>0.58395382532581575</v>
      </c>
      <c r="J115" s="15">
        <f>J111+1*I115</f>
        <v>18.365241223368244</v>
      </c>
      <c r="K115" s="16">
        <f>Interpolate_Range($D$17:$D$31,$E$17:$E$31,G115)</f>
        <v>2.4953200000000002E-2</v>
      </c>
      <c r="L115" s="1">
        <f>L113+M115*0.5*I115</f>
        <v>0.45827153729495251</v>
      </c>
      <c r="M115" s="14">
        <f>(K115*J115-L111)/(0.5*I113+0.5*I115)</f>
        <v>2.5808731664271313E-2</v>
      </c>
      <c r="N115" s="16">
        <f t="shared" si="14"/>
        <v>6.7000000000000002E-4</v>
      </c>
      <c r="O115" s="1">
        <f>(L115-N115*P115-Q113)/(0.25*I114+0.25*I115)</f>
        <v>2.58416209701464E-2</v>
      </c>
      <c r="P115" s="32">
        <f t="shared" si="15"/>
        <v>18.521602074695071</v>
      </c>
      <c r="Q115" s="1">
        <f>Q114+O115*0.25*I117</f>
        <v>0.44581561346167808</v>
      </c>
      <c r="R115" s="10">
        <f t="shared" si="13"/>
        <v>2.3388407195770733E-2</v>
      </c>
    </row>
    <row r="116" spans="7:18">
      <c r="G116" s="13">
        <f t="shared" si="16"/>
        <v>23.25</v>
      </c>
      <c r="H116" s="1">
        <f t="shared" si="12"/>
        <v>2.2673499999999999E-2</v>
      </c>
      <c r="I116" s="2">
        <f>Interpolate_Interval(H115,H119,I115,I119,H116)</f>
        <v>0.58035881530052846</v>
      </c>
      <c r="J116" s="15"/>
      <c r="K116" s="16"/>
      <c r="N116" s="16">
        <f t="shared" si="14"/>
        <v>6.6500000000000001E-4</v>
      </c>
      <c r="O116" s="17">
        <f>O117</f>
        <v>2.596043773215095E-2</v>
      </c>
      <c r="P116" s="32">
        <f t="shared" si="15"/>
        <v>18.666691778520203</v>
      </c>
      <c r="Q116" s="1">
        <f>Q115+O116*0.25*I116</f>
        <v>0.44958220568340668</v>
      </c>
      <c r="R116" s="10">
        <f t="shared" si="13"/>
        <v>2.3402525576559429E-2</v>
      </c>
    </row>
    <row r="117" spans="7:18">
      <c r="G117" s="13">
        <f t="shared" si="16"/>
        <v>23.5</v>
      </c>
      <c r="H117" s="1">
        <f t="shared" si="12"/>
        <v>2.2693000000000001E-2</v>
      </c>
      <c r="I117" s="2">
        <f>Interpolate_Interval(H115,H119,I115,I119,H117)</f>
        <v>0.57676380527524063</v>
      </c>
      <c r="J117" s="15"/>
      <c r="K117" s="16"/>
      <c r="L117" s="1">
        <f>L115+M117*0.5*I117</f>
        <v>0.46574064849835201</v>
      </c>
      <c r="M117" s="1">
        <f>M119</f>
        <v>2.5900069092702958E-2</v>
      </c>
      <c r="N117" s="16">
        <f t="shared" si="14"/>
        <v>6.6E-4</v>
      </c>
      <c r="O117" s="1">
        <f>(L117-N117*P117-Q115)/(0.25*I116+0.25*I117)</f>
        <v>2.596043773215095E-2</v>
      </c>
      <c r="P117" s="32">
        <f t="shared" si="15"/>
        <v>18.810882729839012</v>
      </c>
      <c r="Q117" s="1">
        <f>Q116+O117*0.25*I119</f>
        <v>0.45327880187970432</v>
      </c>
      <c r="R117" s="10">
        <f t="shared" si="13"/>
        <v>2.3417976420855129E-2</v>
      </c>
    </row>
    <row r="118" spans="7:18">
      <c r="G118" s="13">
        <f t="shared" si="16"/>
        <v>23.75</v>
      </c>
      <c r="H118" s="1">
        <f t="shared" si="12"/>
        <v>2.27125E-2</v>
      </c>
      <c r="I118" s="2">
        <f>Interpolate_Interval(H115,H119,I115,I119,H118)</f>
        <v>0.57316879524995334</v>
      </c>
      <c r="J118" s="15"/>
      <c r="K118" s="16"/>
      <c r="N118" s="16">
        <f t="shared" si="14"/>
        <v>6.5499999999999998E-4</v>
      </c>
      <c r="O118" s="17">
        <f>O119</f>
        <v>2.5990376125467993E-2</v>
      </c>
      <c r="P118" s="32">
        <f t="shared" si="15"/>
        <v>18.954174928651501</v>
      </c>
      <c r="Q118" s="1">
        <f>Q117+O118*0.25*I118</f>
        <v>0.45700302002268622</v>
      </c>
      <c r="R118" s="10">
        <f t="shared" si="13"/>
        <v>2.3434737855157182E-2</v>
      </c>
    </row>
    <row r="119" spans="7:18">
      <c r="G119" s="13">
        <f t="shared" si="16"/>
        <v>24</v>
      </c>
      <c r="H119" s="1">
        <f t="shared" si="12"/>
        <v>2.2731999999999999E-2</v>
      </c>
      <c r="I119" s="2">
        <f>(1-J115*H119)/(1+H119)</f>
        <v>0.56957378522466606</v>
      </c>
      <c r="J119" s="15">
        <f>J115+1*I119</f>
        <v>18.93481500859291</v>
      </c>
      <c r="K119" s="16">
        <f>Interpolate_Range($D$17:$D$31,$E$17:$E$31,G119)</f>
        <v>2.4986600000000001E-2</v>
      </c>
      <c r="L119" s="1">
        <f>L117+M119*0.5*I119</f>
        <v>0.47311664869370762</v>
      </c>
      <c r="M119" s="14">
        <f>(K119*J119-L115)/(0.5*I117+0.5*I119)</f>
        <v>2.5900069092702958E-2</v>
      </c>
      <c r="N119" s="16">
        <f t="shared" si="14"/>
        <v>6.4999999999999997E-4</v>
      </c>
      <c r="O119" s="1">
        <f>(L119-N119*P119-Q117)/(0.25*I118+0.25*I119)</f>
        <v>2.5990376125467993E-2</v>
      </c>
      <c r="P119" s="32">
        <f t="shared" si="15"/>
        <v>19.096568374957666</v>
      </c>
      <c r="Q119" s="1">
        <f>Q118+O119*0.25*I121</f>
        <v>0.4606579210579595</v>
      </c>
      <c r="R119" s="10">
        <f t="shared" si="13"/>
        <v>2.3452789294763372E-2</v>
      </c>
    </row>
    <row r="120" spans="7:18">
      <c r="G120" s="13">
        <f t="shared" si="16"/>
        <v>24.25</v>
      </c>
      <c r="H120" s="1">
        <f t="shared" si="12"/>
        <v>2.2751500000000001E-2</v>
      </c>
      <c r="I120" s="2">
        <f>Interpolate_Interval(H119,H123,I119,I123,H120)</f>
        <v>0.56603723063201294</v>
      </c>
      <c r="J120" s="15"/>
      <c r="K120" s="16"/>
      <c r="N120" s="16">
        <f t="shared" si="14"/>
        <v>6.4500000000000007E-4</v>
      </c>
      <c r="O120" s="17">
        <f>O121</f>
        <v>2.6111417543450602E-2</v>
      </c>
      <c r="P120" s="32">
        <f t="shared" si="15"/>
        <v>19.238077682615671</v>
      </c>
      <c r="Q120" s="1">
        <f>Q119+O120*0.25*I120</f>
        <v>0.46435292967650221</v>
      </c>
      <c r="R120" s="10">
        <f t="shared" si="13"/>
        <v>2.34678525542464E-2</v>
      </c>
    </row>
    <row r="121" spans="7:18">
      <c r="G121" s="13">
        <f t="shared" si="16"/>
        <v>24.5</v>
      </c>
      <c r="H121" s="1">
        <f t="shared" si="12"/>
        <v>2.2771E-2</v>
      </c>
      <c r="I121" s="2">
        <f>Interpolate_Interval(H119,H123,I119,I123,H121)</f>
        <v>0.56250067603936038</v>
      </c>
      <c r="J121" s="15"/>
      <c r="K121" s="16"/>
      <c r="L121" s="1">
        <f>L119+M121*0.5*I121</f>
        <v>0.48042722200667681</v>
      </c>
      <c r="M121" s="1">
        <f>M123</f>
        <v>2.5993118317452983E-2</v>
      </c>
      <c r="N121" s="16">
        <f t="shared" si="14"/>
        <v>6.4000000000000005E-4</v>
      </c>
      <c r="O121" s="1">
        <f>(L121-N121*P121-Q119)/(0.25*I120+0.25*I121)</f>
        <v>2.6111417543450602E-2</v>
      </c>
      <c r="P121" s="32">
        <f t="shared" si="15"/>
        <v>19.378702851625512</v>
      </c>
      <c r="Q121" s="1">
        <f>Q120+O121*0.25*I123</f>
        <v>0.46797867995481945</v>
      </c>
      <c r="R121" s="10">
        <f t="shared" si="13"/>
        <v>2.3484201757409479E-2</v>
      </c>
    </row>
    <row r="122" spans="7:18">
      <c r="G122" s="13">
        <f t="shared" si="16"/>
        <v>24.75</v>
      </c>
      <c r="H122" s="1">
        <f t="shared" si="12"/>
        <v>2.2790500000000002E-2</v>
      </c>
      <c r="I122" s="2">
        <f>Interpolate_Interval(H119,H123,I119,I123,H122)</f>
        <v>0.55896412144670726</v>
      </c>
      <c r="J122" s="15"/>
      <c r="N122" s="16">
        <f t="shared" si="14"/>
        <v>6.3500000000000004E-4</v>
      </c>
      <c r="O122" s="17">
        <f>O123</f>
        <v>2.6141938680599719E-2</v>
      </c>
      <c r="P122" s="32">
        <f t="shared" si="15"/>
        <v>19.518443881987189</v>
      </c>
      <c r="Q122" s="1">
        <f>Q121+O122*0.25*I122</f>
        <v>0.47163178140169826</v>
      </c>
      <c r="R122" s="10">
        <f t="shared" si="13"/>
        <v>2.3501817832136104E-2</v>
      </c>
    </row>
    <row r="123" spans="7:18">
      <c r="G123" s="13">
        <f t="shared" si="16"/>
        <v>25</v>
      </c>
      <c r="H123" s="1">
        <f t="shared" si="12"/>
        <v>2.281E-2</v>
      </c>
      <c r="I123" s="2">
        <f>(1-J119*H123)/(1+H123)</f>
        <v>0.5554275668540547</v>
      </c>
      <c r="J123" s="15">
        <f>J119+1*I123</f>
        <v>19.490242575446963</v>
      </c>
      <c r="K123" s="16">
        <f>Interpolate_Range($D$17:$D$31,$E$17:$E$31,G123)</f>
        <v>2.5020000000000001E-2</v>
      </c>
      <c r="L123" s="1">
        <f>L121+M123*0.5*I123</f>
        <v>0.48764586923768305</v>
      </c>
      <c r="M123" s="14">
        <f>(K123*J123-L119)/(0.5*I121+0.5*I123)</f>
        <v>2.5993118317452983E-2</v>
      </c>
      <c r="N123" s="16">
        <f t="shared" si="14"/>
        <v>6.3000000000000003E-4</v>
      </c>
      <c r="O123" s="1">
        <f>(L123-N123*P123-Q121)/(0.25*I122+0.25*I123)</f>
        <v>2.6141938680599719E-2</v>
      </c>
      <c r="P123" s="32">
        <f t="shared" si="15"/>
        <v>19.657300773700701</v>
      </c>
      <c r="Q123" s="1">
        <f>Q122+O123*0.25*I125</f>
        <v>0.47522001295898186</v>
      </c>
      <c r="R123" s="10">
        <f t="shared" si="13"/>
        <v>2.3520682844251663E-2</v>
      </c>
    </row>
    <row r="124" spans="7:18">
      <c r="G124" s="13">
        <f t="shared" si="16"/>
        <v>25.25</v>
      </c>
      <c r="H124" s="1">
        <f t="shared" si="12"/>
        <v>2.2815000000000002E-2</v>
      </c>
      <c r="I124" s="2">
        <f>Interpolate_Interval(H123,H127,I123,I127,H124)</f>
        <v>0.55223294599751171</v>
      </c>
      <c r="J124" s="15"/>
      <c r="K124" s="16"/>
      <c r="N124" s="16">
        <f t="shared" si="14"/>
        <v>6.2825000000000001E-4</v>
      </c>
      <c r="O124" s="17">
        <f>O125</f>
        <v>2.4012922858973589E-2</v>
      </c>
      <c r="P124" s="32">
        <f t="shared" ref="P124:P143" si="17">P123+0.25*I124</f>
        <v>19.79535901020008</v>
      </c>
      <c r="Q124" s="1">
        <f>Q123+O124*0.25*I124</f>
        <v>0.47853519474208733</v>
      </c>
      <c r="R124" s="10">
        <f t="shared" si="13"/>
        <v>2.351625022197406E-2</v>
      </c>
    </row>
    <row r="125" spans="7:18">
      <c r="G125" s="13">
        <f t="shared" si="16"/>
        <v>25.5</v>
      </c>
      <c r="H125" s="1">
        <f t="shared" si="12"/>
        <v>2.282E-2</v>
      </c>
      <c r="I125" s="2">
        <f>Interpolate_Interval(H123,H127,I123,I127,H125)</f>
        <v>0.54903832514097095</v>
      </c>
      <c r="J125" s="15"/>
      <c r="K125" s="16"/>
      <c r="L125" s="1">
        <f>L123+M125*0.5*I125</f>
        <v>0.49431898402671048</v>
      </c>
      <c r="M125" s="1">
        <f>M127</f>
        <v>2.4308375147815201E-2</v>
      </c>
      <c r="N125" s="16">
        <f t="shared" si="14"/>
        <v>6.265E-4</v>
      </c>
      <c r="O125" s="1">
        <f>(L125-N125*P125-Q123)/(0.25*I124+0.25*I125)</f>
        <v>2.4012922858973589E-2</v>
      </c>
      <c r="P125" s="32">
        <f t="shared" si="17"/>
        <v>19.932618591485323</v>
      </c>
      <c r="Q125" s="1">
        <f>Q124+O125*0.25*I127</f>
        <v>0.481792842387049</v>
      </c>
      <c r="R125" s="10">
        <f t="shared" si="13"/>
        <v>2.3513216898399771E-2</v>
      </c>
    </row>
    <row r="126" spans="7:18">
      <c r="G126" s="13">
        <f t="shared" si="16"/>
        <v>25.75</v>
      </c>
      <c r="H126" s="1">
        <f t="shared" si="12"/>
        <v>2.2825000000000002E-2</v>
      </c>
      <c r="I126" s="2">
        <f>Interpolate_Interval(H123,H127,I123,I127,H126)</f>
        <v>0.54584370428442797</v>
      </c>
      <c r="J126" s="15"/>
      <c r="K126" s="16"/>
      <c r="N126" s="16">
        <f t="shared" si="14"/>
        <v>6.2474999999999998E-4</v>
      </c>
      <c r="O126" s="17">
        <f>O127</f>
        <v>2.4011353409163508E-2</v>
      </c>
      <c r="P126" s="32">
        <f t="shared" si="17"/>
        <v>20.069079517556428</v>
      </c>
      <c r="Q126" s="1">
        <f>Q125+O126*0.25*I126</f>
        <v>0.48506945390948408</v>
      </c>
      <c r="R126" s="10">
        <f t="shared" si="13"/>
        <v>2.3511557285654201E-2</v>
      </c>
    </row>
    <row r="127" spans="7:18">
      <c r="G127" s="13">
        <f t="shared" si="16"/>
        <v>26</v>
      </c>
      <c r="H127" s="1">
        <f t="shared" si="12"/>
        <v>2.283E-2</v>
      </c>
      <c r="I127" s="2">
        <f>(1-J123*H127)/(1+H127)</f>
        <v>0.5426490834278872</v>
      </c>
      <c r="J127" s="15">
        <f>J123+1*I127</f>
        <v>20.032891658874849</v>
      </c>
      <c r="K127" s="16">
        <f>Interpolate_Range($D$17:$D$31,$E$17:$E$31,G127)</f>
        <v>2.5004600000000002E-2</v>
      </c>
      <c r="L127" s="1">
        <f>L125+M127*0.5*I127</f>
        <v>0.50091444277350206</v>
      </c>
      <c r="M127" s="14">
        <f>(K127*J127-L123)/(0.5*I125+0.5*I127)</f>
        <v>2.4308375147815201E-2</v>
      </c>
      <c r="N127" s="16">
        <f t="shared" si="14"/>
        <v>6.2300000000000007E-4</v>
      </c>
      <c r="O127" s="1">
        <f>(L127-N127*P127-Q125)/(0.25*I126+0.25*I127)</f>
        <v>2.4011353409163508E-2</v>
      </c>
      <c r="P127" s="32">
        <f t="shared" si="17"/>
        <v>20.204741788413401</v>
      </c>
      <c r="Q127" s="1">
        <f>Q126+O127*0.25*I129</f>
        <v>0.48828932816232784</v>
      </c>
      <c r="R127" s="10">
        <f t="shared" si="13"/>
        <v>2.35112470445525E-2</v>
      </c>
    </row>
    <row r="128" spans="7:18">
      <c r="G128" s="13">
        <f t="shared" si="16"/>
        <v>26.25</v>
      </c>
      <c r="H128" s="1">
        <f t="shared" si="12"/>
        <v>2.2835000000000001E-2</v>
      </c>
      <c r="I128" s="2">
        <f>Interpolate_Interval(H127,H131,I127,I131,H128)</f>
        <v>0.53952052367095582</v>
      </c>
      <c r="J128" s="15"/>
      <c r="K128" s="16"/>
      <c r="N128" s="16">
        <f t="shared" si="14"/>
        <v>6.2125000000000006E-4</v>
      </c>
      <c r="O128" s="17">
        <f>O129</f>
        <v>2.3976561493453476E-2</v>
      </c>
      <c r="P128" s="32">
        <f t="shared" si="17"/>
        <v>20.33962191933114</v>
      </c>
      <c r="Q128" s="1">
        <f>Q127+O128*0.25*I128</f>
        <v>0.49152328991552208</v>
      </c>
      <c r="R128" s="10">
        <f t="shared" si="13"/>
        <v>2.3507598208966328E-2</v>
      </c>
    </row>
    <row r="129" spans="7:18">
      <c r="G129" s="13">
        <f t="shared" si="16"/>
        <v>26.5</v>
      </c>
      <c r="H129" s="1">
        <f t="shared" si="12"/>
        <v>2.2839999999999999E-2</v>
      </c>
      <c r="I129" s="2">
        <f>Interpolate_Interval(H127,H131,I127,I131,H129)</f>
        <v>0.53639196391402655</v>
      </c>
      <c r="J129" s="15"/>
      <c r="K129" s="16"/>
      <c r="L129" s="1">
        <f>L127+M129*0.5*I129</f>
        <v>0.50742196812680362</v>
      </c>
      <c r="M129" s="1">
        <f>M131</f>
        <v>2.4264067290704541E-2</v>
      </c>
      <c r="N129" s="16">
        <f t="shared" si="14"/>
        <v>6.1950000000000004E-4</v>
      </c>
      <c r="O129" s="1">
        <f>(L129-N129*P129-Q127)/(0.25*I128+0.25*I129)</f>
        <v>2.3976561493453476E-2</v>
      </c>
      <c r="P129" s="32">
        <f t="shared" si="17"/>
        <v>20.473719910309647</v>
      </c>
      <c r="Q129" s="1">
        <f>Q128+O129*0.25*I131</f>
        <v>0.49470099258966782</v>
      </c>
      <c r="R129" s="10">
        <f t="shared" si="13"/>
        <v>2.3505287139785374E-2</v>
      </c>
    </row>
    <row r="130" spans="7:18">
      <c r="G130" s="13">
        <f t="shared" si="16"/>
        <v>26.75</v>
      </c>
      <c r="H130" s="1">
        <f t="shared" si="12"/>
        <v>2.2845000000000001E-2</v>
      </c>
      <c r="I130" s="2">
        <f>Interpolate_Interval(H127,H131,I127,I131,H130)</f>
        <v>0.53326340415709517</v>
      </c>
      <c r="J130" s="15"/>
      <c r="N130" s="16">
        <f t="shared" si="14"/>
        <v>6.1775000000000003E-4</v>
      </c>
      <c r="O130" s="17">
        <f>O131</f>
        <v>2.3987304923984931E-2</v>
      </c>
      <c r="P130" s="32">
        <f t="shared" si="17"/>
        <v>20.607035761348921</v>
      </c>
      <c r="Q130" s="1">
        <f>Q129+O130*0.25*I130</f>
        <v>0.49789888055974746</v>
      </c>
      <c r="R130" s="10">
        <f t="shared" si="13"/>
        <v>2.3504291036427399E-2</v>
      </c>
    </row>
    <row r="131" spans="7:18">
      <c r="G131" s="13">
        <f t="shared" si="16"/>
        <v>27</v>
      </c>
      <c r="H131" s="1">
        <f t="shared" si="12"/>
        <v>2.2849999999999999E-2</v>
      </c>
      <c r="I131" s="2">
        <f>(1-J127*H131)/(1+H131)</f>
        <v>0.53013484440016589</v>
      </c>
      <c r="J131" s="15">
        <f>J127+1*I131</f>
        <v>20.563026503275015</v>
      </c>
      <c r="K131" s="16">
        <f>Interpolate_Range($D$17:$D$31,$E$17:$E$31,G131)</f>
        <v>2.49892E-2</v>
      </c>
      <c r="L131" s="1">
        <f>L129+M131*0.5*I131</f>
        <v>0.51385358189564001</v>
      </c>
      <c r="M131" s="14">
        <f>(K131*J131-L127)/(0.5*I129+0.5*I131)</f>
        <v>2.4264067290704541E-2</v>
      </c>
      <c r="N131" s="16">
        <f t="shared" si="14"/>
        <v>6.1600000000000001E-4</v>
      </c>
      <c r="O131" s="1">
        <f>(L131-N131*P131-Q129)/(0.25*I130+0.25*I131)</f>
        <v>2.3987304923984931E-2</v>
      </c>
      <c r="P131" s="32">
        <f t="shared" si="17"/>
        <v>20.739569472448963</v>
      </c>
      <c r="Q131" s="1">
        <f>Q130+O131*0.25*I133</f>
        <v>0.50104126104200974</v>
      </c>
      <c r="R131" s="10">
        <f t="shared" si="13"/>
        <v>2.3504588199984217E-2</v>
      </c>
    </row>
    <row r="132" spans="7:18">
      <c r="G132" s="13">
        <f t="shared" si="16"/>
        <v>27.25</v>
      </c>
      <c r="H132" s="1">
        <f t="shared" si="12"/>
        <v>2.2855E-2</v>
      </c>
      <c r="I132" s="2">
        <f>Interpolate_Interval(H131,H135,I131,I135,H132)</f>
        <v>0.52707105222190775</v>
      </c>
      <c r="J132" s="15"/>
      <c r="K132" s="16"/>
      <c r="N132" s="16">
        <f t="shared" si="14"/>
        <v>6.1425E-4</v>
      </c>
      <c r="O132" s="17">
        <f>O133</f>
        <v>2.3952033217651752E-2</v>
      </c>
      <c r="P132" s="32">
        <f t="shared" si="17"/>
        <v>20.871337235504441</v>
      </c>
      <c r="Q132" s="1">
        <f>Q131+O132*0.25*I132</f>
        <v>0.50419736687973016</v>
      </c>
      <c r="R132" s="10">
        <f t="shared" si="13"/>
        <v>2.3501648278099731E-2</v>
      </c>
    </row>
    <row r="133" spans="7:18">
      <c r="G133" s="13">
        <f t="shared" si="16"/>
        <v>27.5</v>
      </c>
      <c r="H133" s="1">
        <f t="shared" si="12"/>
        <v>2.2859999999999998E-2</v>
      </c>
      <c r="I133" s="2">
        <f>Interpolate_Interval(H131,H135,I131,I135,H133)</f>
        <v>0.52400726004365183</v>
      </c>
      <c r="J133" s="15"/>
      <c r="K133" s="16"/>
      <c r="L133" s="1">
        <f>L131+M133*0.5*I133</f>
        <v>0.52019905937288491</v>
      </c>
      <c r="M133" s="1">
        <f>M135</f>
        <v>2.4219044128191286E-2</v>
      </c>
      <c r="N133" s="16">
        <f t="shared" si="14"/>
        <v>6.1249999999999998E-4</v>
      </c>
      <c r="O133" s="1">
        <f>(L133-N133*P133-Q131)/(0.25*I132+0.25*I133)</f>
        <v>2.3952033217651752E-2</v>
      </c>
      <c r="P133" s="32">
        <f t="shared" si="17"/>
        <v>21.002339050515353</v>
      </c>
      <c r="Q133" s="1">
        <f>Q132+O133*0.25*I135</f>
        <v>0.50729843467843139</v>
      </c>
      <c r="R133" s="10">
        <f t="shared" si="13"/>
        <v>2.3499990534979563E-2</v>
      </c>
    </row>
    <row r="134" spans="7:18">
      <c r="G134" s="13">
        <f t="shared" si="16"/>
        <v>27.75</v>
      </c>
      <c r="H134" s="1">
        <f t="shared" si="12"/>
        <v>2.2865E-2</v>
      </c>
      <c r="I134" s="2">
        <f>Interpolate_Interval(H131,H135,I131,I135,H134)</f>
        <v>0.52094346786539381</v>
      </c>
      <c r="J134" s="15"/>
      <c r="K134" s="16"/>
      <c r="N134" s="16">
        <f t="shared" si="14"/>
        <v>6.1075000000000007E-4</v>
      </c>
      <c r="O134" s="17">
        <f>O135</f>
        <v>2.39629422466721E-2</v>
      </c>
      <c r="P134" s="32">
        <f t="shared" si="17"/>
        <v>21.132574917481701</v>
      </c>
      <c r="Q134" s="1">
        <f>Q133+O134*0.25*I134</f>
        <v>0.51041926923699121</v>
      </c>
      <c r="R134" s="10">
        <f t="shared" si="13"/>
        <v>2.349959459792034E-2</v>
      </c>
    </row>
    <row r="135" spans="7:18">
      <c r="G135" s="13">
        <f t="shared" si="16"/>
        <v>28</v>
      </c>
      <c r="H135" s="1">
        <f t="shared" si="12"/>
        <v>2.2870000000000001E-2</v>
      </c>
      <c r="I135" s="2">
        <f>(1-J131*H135)/(1+H135)</f>
        <v>0.51787967568713567</v>
      </c>
      <c r="J135" s="15">
        <f>J131+1*I135</f>
        <v>21.080906178962152</v>
      </c>
      <c r="K135" s="16">
        <f>Interpolate_Range($D$17:$D$31,$E$17:$E$31,G135)</f>
        <v>2.4973800000000001E-2</v>
      </c>
      <c r="L135" s="1">
        <f>L133+M135*0.5*I135</f>
        <v>0.52647033473216498</v>
      </c>
      <c r="M135" s="14">
        <f>(K135*J135-L131)/(0.5*I133+0.5*I135)</f>
        <v>2.4219044128191286E-2</v>
      </c>
      <c r="N135" s="16">
        <f t="shared" si="14"/>
        <v>6.0900000000000006E-4</v>
      </c>
      <c r="O135" s="1">
        <f>(L135-N135*P135-Q133)/(0.25*I134+0.25*I135)</f>
        <v>2.39629422466721E-2</v>
      </c>
      <c r="P135" s="32">
        <f t="shared" si="17"/>
        <v>21.262044836403486</v>
      </c>
      <c r="Q135" s="1">
        <f>Q134+O135*0.25*I137</f>
        <v>0.51348580148799883</v>
      </c>
      <c r="R135" s="10">
        <f t="shared" si="13"/>
        <v>2.3500441072270367E-2</v>
      </c>
    </row>
    <row r="136" spans="7:18">
      <c r="G136" s="13">
        <f t="shared" si="16"/>
        <v>28.25</v>
      </c>
      <c r="H136" s="1">
        <f t="shared" si="12"/>
        <v>2.2875E-2</v>
      </c>
      <c r="I136" s="2">
        <f>Interpolate_Interval(H135,H139,I135,I139,H136)</f>
        <v>0.51487938144727274</v>
      </c>
      <c r="J136" s="15"/>
      <c r="K136" s="16"/>
      <c r="N136" s="16">
        <f t="shared" si="14"/>
        <v>6.0725000000000004E-4</v>
      </c>
      <c r="O136" s="17">
        <f>O137</f>
        <v>2.392710335401688E-2</v>
      </c>
      <c r="P136" s="32">
        <f t="shared" si="17"/>
        <v>21.390764681765305</v>
      </c>
      <c r="Q136" s="1">
        <f>Q135+O136*0.25*I136</f>
        <v>0.51656569453168411</v>
      </c>
      <c r="R136" s="10">
        <f t="shared" si="13"/>
        <v>2.3498145717947751E-2</v>
      </c>
    </row>
    <row r="137" spans="7:18">
      <c r="G137" s="13">
        <f t="shared" si="16"/>
        <v>28.5</v>
      </c>
      <c r="H137" s="1">
        <f t="shared" si="12"/>
        <v>2.2880000000000001E-2</v>
      </c>
      <c r="I137" s="2">
        <f>Interpolate_Interval(H135,H139,I135,I139,H137)</f>
        <v>0.51187908720740771</v>
      </c>
      <c r="J137" s="15"/>
      <c r="K137" s="16"/>
      <c r="L137" s="1">
        <f>L135+M137*0.5*I137</f>
        <v>0.53265723419941191</v>
      </c>
      <c r="M137" s="1">
        <f>M139</f>
        <v>2.4173284753631778E-2</v>
      </c>
      <c r="N137" s="16">
        <f t="shared" si="14"/>
        <v>6.0550000000000003E-4</v>
      </c>
      <c r="O137" s="1">
        <f>(L137-N137*P137-Q135)/(0.25*I136+0.25*I137)</f>
        <v>2.392710335401688E-2</v>
      </c>
      <c r="P137" s="32">
        <f t="shared" si="17"/>
        <v>21.518734453567156</v>
      </c>
      <c r="Q137" s="1">
        <f>Q136+O137*0.25*I139</f>
        <v>0.51959174631259208</v>
      </c>
      <c r="R137" s="10">
        <f t="shared" si="13"/>
        <v>2.3497082092291396E-2</v>
      </c>
    </row>
    <row r="138" spans="7:18">
      <c r="G138" s="13">
        <f t="shared" si="16"/>
        <v>28.75</v>
      </c>
      <c r="H138" s="1">
        <f t="shared" si="12"/>
        <v>2.2884999999999999E-2</v>
      </c>
      <c r="I138" s="2">
        <f>Interpolate_Interval(H135,H139,I135,I139,H138)</f>
        <v>0.50887879296754479</v>
      </c>
      <c r="J138" s="15"/>
      <c r="N138" s="16">
        <f t="shared" si="14"/>
        <v>6.0375000000000001E-4</v>
      </c>
      <c r="O138" s="17">
        <f>O139</f>
        <v>2.3938182354793523E-2</v>
      </c>
      <c r="P138" s="32">
        <f t="shared" si="17"/>
        <v>21.645954151809043</v>
      </c>
      <c r="Q138" s="1">
        <f>Q137+O138*0.25*I138</f>
        <v>0.52263715464822813</v>
      </c>
      <c r="R138" s="10">
        <f t="shared" si="13"/>
        <v>2.349723194969288E-2</v>
      </c>
    </row>
    <row r="139" spans="7:18">
      <c r="G139" s="13">
        <f t="shared" si="16"/>
        <v>29</v>
      </c>
      <c r="H139" s="1">
        <f t="shared" ref="H139:H143" si="18">Interpolate_Range($A$17:$A$50,$B$17:$B$50,G139)</f>
        <v>2.2890000000000001E-2</v>
      </c>
      <c r="I139" s="2">
        <f>(1-J135*H139)/(1+H139)</f>
        <v>0.50587849872767976</v>
      </c>
      <c r="J139" s="15">
        <f>J135+1*I139</f>
        <v>21.586784677689831</v>
      </c>
      <c r="K139" s="16">
        <f>Interpolate_Range($D$17:$D$31,$E$17:$E$31,G139)</f>
        <v>2.4958399999999999E-2</v>
      </c>
      <c r="L139" s="1">
        <f>L137+M139*0.5*I139</f>
        <v>0.53877160669965385</v>
      </c>
      <c r="M139" s="14">
        <f>(K139*J139-L135)/(0.5*I137+0.5*I139)</f>
        <v>2.4173284753631778E-2</v>
      </c>
      <c r="N139" s="16">
        <f t="shared" si="14"/>
        <v>6.02E-4</v>
      </c>
      <c r="O139" s="1">
        <f>(L139-N139*P139-Q137)/(0.25*I138+0.25*I139)</f>
        <v>2.3938182354793523E-2</v>
      </c>
      <c r="P139" s="32">
        <f t="shared" si="17"/>
        <v>21.772423776490964</v>
      </c>
      <c r="Q139" s="1">
        <f>Q138+O139*0.25*I141</f>
        <v>0.52562944188797789</v>
      </c>
      <c r="R139" s="10">
        <f t="shared" ref="R139:R143" si="19">-LN(I139)/G139</f>
        <v>2.3498577917927536E-2</v>
      </c>
    </row>
    <row r="140" spans="7:18">
      <c r="G140" s="13">
        <f t="shared" si="16"/>
        <v>29.25</v>
      </c>
      <c r="H140" s="1">
        <f t="shared" si="18"/>
        <v>2.2894999999999999E-2</v>
      </c>
      <c r="I140" s="2">
        <f>Interpolate_Interval(H139,H143,I139,I143,H140)</f>
        <v>0.50294045625585893</v>
      </c>
      <c r="J140" s="15"/>
      <c r="K140" s="16"/>
      <c r="N140" s="16">
        <f t="shared" si="14"/>
        <v>6.0025000000000009E-4</v>
      </c>
      <c r="O140" s="17">
        <f>O141</f>
        <v>2.3901759653586246E-2</v>
      </c>
      <c r="P140" s="32">
        <f t="shared" si="17"/>
        <v>21.898158890554928</v>
      </c>
      <c r="Q140" s="1">
        <f>Q139+O140*0.25*I140</f>
        <v>0.52863473236435099</v>
      </c>
      <c r="R140" s="10">
        <f t="shared" si="19"/>
        <v>2.3496871559468963E-2</v>
      </c>
    </row>
    <row r="141" spans="7:18">
      <c r="G141" s="13">
        <f t="shared" si="16"/>
        <v>29.5</v>
      </c>
      <c r="H141" s="1">
        <f t="shared" si="18"/>
        <v>2.29E-2</v>
      </c>
      <c r="I141" s="2">
        <f>Interpolate_Interval(H139,H143,I139,I143,H141)</f>
        <v>0.5000024137840362</v>
      </c>
      <c r="J141" s="15"/>
      <c r="K141" s="16"/>
      <c r="L141" s="1">
        <f>L139+M141*0.5*I141</f>
        <v>0.54480332770163031</v>
      </c>
      <c r="M141" s="1">
        <f>M143</f>
        <v>2.4126767534293287E-2</v>
      </c>
      <c r="N141" s="16">
        <f t="shared" si="14"/>
        <v>5.9850000000000007E-4</v>
      </c>
      <c r="O141" s="1">
        <f>(L141-N141*P141-Q139)/(0.25*I140+0.25*I141)</f>
        <v>2.3901759653586246E-2</v>
      </c>
      <c r="P141" s="32">
        <f t="shared" si="17"/>
        <v>22.023159494000936</v>
      </c>
      <c r="Q141" s="1">
        <f>Q140+O141*0.25*I143</f>
        <v>0.53158735455196393</v>
      </c>
      <c r="R141" s="10">
        <f t="shared" si="19"/>
        <v>2.3496350949272053E-2</v>
      </c>
    </row>
    <row r="142" spans="7:18">
      <c r="G142" s="13">
        <f t="shared" si="16"/>
        <v>29.75</v>
      </c>
      <c r="H142" s="1">
        <f t="shared" si="18"/>
        <v>2.2904999999999998E-2</v>
      </c>
      <c r="I142" s="2">
        <f>Interpolate_Interval(H139,H143,I139,I143,H142)</f>
        <v>0.49706437131221537</v>
      </c>
      <c r="J142" s="15"/>
      <c r="K142" s="16"/>
      <c r="N142" s="16">
        <f t="shared" si="14"/>
        <v>5.9675000000000006E-4</v>
      </c>
      <c r="O142" s="17">
        <f>O143</f>
        <v>2.3913013580247448E-2</v>
      </c>
      <c r="P142" s="32">
        <f t="shared" si="17"/>
        <v>22.147425586828991</v>
      </c>
      <c r="Q142" s="1">
        <f>Q141+O142*0.25*I142</f>
        <v>0.53455893131732546</v>
      </c>
      <c r="R142" s="10">
        <f t="shared" si="19"/>
        <v>2.349699971527993E-2</v>
      </c>
    </row>
    <row r="143" spans="7:18">
      <c r="G143" s="13">
        <f t="shared" si="16"/>
        <v>30</v>
      </c>
      <c r="H143" s="1">
        <f t="shared" si="18"/>
        <v>2.291E-2</v>
      </c>
      <c r="I143" s="2">
        <f>(1-J139*H143)/(1+H143)</f>
        <v>0.49412632884039254</v>
      </c>
      <c r="J143" s="15">
        <f>J139+1*I143</f>
        <v>22.080911006530222</v>
      </c>
      <c r="K143" s="16">
        <f>Interpolate_Range($D$17:$D$31,$E$17:$E$31,G143)</f>
        <v>2.4943E-2</v>
      </c>
      <c r="L143" s="1">
        <f>L141+M143*0.5*I143</f>
        <v>0.55076416323588329</v>
      </c>
      <c r="M143" s="14">
        <f>(K143*J143-L139)/(0.5*I141+0.5*I143)</f>
        <v>2.4126767534293287E-2</v>
      </c>
      <c r="N143" s="16">
        <f t="shared" si="14"/>
        <v>5.9500000000000004E-4</v>
      </c>
      <c r="O143" s="1">
        <f>(L143-N143*P143-Q141)/(0.25*I142+0.25*I143)</f>
        <v>2.3913013580247448E-2</v>
      </c>
      <c r="P143" s="32">
        <f t="shared" si="17"/>
        <v>22.27095716903909</v>
      </c>
      <c r="Q143" s="1">
        <f>Q142+O143*0.25*I145</f>
        <v>0.53455893131732546</v>
      </c>
      <c r="R143" s="10">
        <f t="shared" si="19"/>
        <v>2.3498802269636021E-2</v>
      </c>
    </row>
    <row r="144" spans="7:18">
      <c r="G144" s="13"/>
      <c r="K144" s="16"/>
    </row>
    <row r="145" spans="7:12">
      <c r="G145" s="13"/>
      <c r="K145" s="16"/>
      <c r="L145" s="15"/>
    </row>
    <row r="146" spans="7:12">
      <c r="G146" s="13"/>
    </row>
    <row r="147" spans="7:12">
      <c r="G147" s="13"/>
    </row>
    <row r="148" spans="7:12">
      <c r="G148" s="13"/>
    </row>
    <row r="149" spans="7:12">
      <c r="G149" s="13"/>
    </row>
    <row r="150" spans="7:12">
      <c r="G150" s="13"/>
    </row>
    <row r="151" spans="7:12">
      <c r="G151" s="13"/>
    </row>
    <row r="152" spans="7:12">
      <c r="G152" s="13"/>
    </row>
    <row r="153" spans="7:12">
      <c r="G153" s="13"/>
    </row>
    <row r="154" spans="7:12">
      <c r="G154" s="13"/>
    </row>
    <row r="155" spans="7:12">
      <c r="G155" s="13"/>
    </row>
    <row r="156" spans="7:12">
      <c r="G156" s="13"/>
    </row>
    <row r="157" spans="7:12">
      <c r="G157" s="13"/>
    </row>
    <row r="158" spans="7:12">
      <c r="G158" s="13"/>
    </row>
    <row r="159" spans="7:12">
      <c r="G159" s="13"/>
    </row>
    <row r="160" spans="7:12">
      <c r="G160" s="13"/>
    </row>
    <row r="161" spans="7:7">
      <c r="G161" s="13"/>
    </row>
    <row r="162" spans="7:7">
      <c r="G162" s="13"/>
    </row>
    <row r="163" spans="7:7">
      <c r="G163" s="13"/>
    </row>
    <row r="164" spans="7:7">
      <c r="G164" s="13"/>
    </row>
    <row r="165" spans="7:7">
      <c r="G165" s="13"/>
    </row>
    <row r="166" spans="7:7">
      <c r="G166" s="13"/>
    </row>
    <row r="167" spans="7:7">
      <c r="G167" s="13"/>
    </row>
    <row r="168" spans="7:7">
      <c r="G168" s="13"/>
    </row>
    <row r="169" spans="7:7">
      <c r="G169" s="13"/>
    </row>
    <row r="170" spans="7:7">
      <c r="G170" s="13"/>
    </row>
    <row r="171" spans="7:7">
      <c r="G171" s="13"/>
    </row>
    <row r="172" spans="7:7">
      <c r="G172" s="13"/>
    </row>
    <row r="173" spans="7:7">
      <c r="G173" s="13"/>
    </row>
    <row r="174" spans="7:7">
      <c r="G174" s="13"/>
    </row>
    <row r="175" spans="7:7">
      <c r="G175" s="13"/>
    </row>
    <row r="176" spans="7:7">
      <c r="G176" s="13"/>
    </row>
    <row r="177" spans="7:7">
      <c r="G177" s="13"/>
    </row>
    <row r="178" spans="7:7">
      <c r="G178" s="13"/>
    </row>
    <row r="179" spans="7:7">
      <c r="G179" s="13"/>
    </row>
    <row r="180" spans="7:7">
      <c r="G180" s="13"/>
    </row>
    <row r="181" spans="7:7">
      <c r="G181" s="13"/>
    </row>
    <row r="182" spans="7:7">
      <c r="G182" s="13"/>
    </row>
    <row r="183" spans="7:7">
      <c r="G183" s="13"/>
    </row>
    <row r="184" spans="7:7">
      <c r="G184" s="13"/>
    </row>
    <row r="185" spans="7:7">
      <c r="G185" s="13"/>
    </row>
    <row r="186" spans="7:7">
      <c r="G186" s="13"/>
    </row>
    <row r="187" spans="7:7">
      <c r="G187" s="13"/>
    </row>
    <row r="188" spans="7:7">
      <c r="G188" s="13"/>
    </row>
    <row r="189" spans="7:7">
      <c r="G189" s="13"/>
    </row>
    <row r="190" spans="7:7">
      <c r="G190" s="13"/>
    </row>
    <row r="191" spans="7:7">
      <c r="G191" s="13"/>
    </row>
    <row r="192" spans="7:7">
      <c r="G192" s="13"/>
    </row>
    <row r="193" spans="7:7">
      <c r="G193" s="13"/>
    </row>
    <row r="194" spans="7:7">
      <c r="G194" s="13"/>
    </row>
    <row r="195" spans="7:7">
      <c r="G195" s="13"/>
    </row>
    <row r="196" spans="7:7">
      <c r="G196" s="13"/>
    </row>
    <row r="197" spans="7:7">
      <c r="G197" s="13"/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191"/>
  <sheetViews>
    <sheetView zoomScale="85" zoomScaleNormal="85" workbookViewId="0"/>
  </sheetViews>
  <sheetFormatPr defaultRowHeight="13.5"/>
  <cols>
    <col min="1" max="1" width="9.5" bestFit="1" customWidth="1"/>
    <col min="2" max="2" width="11.25" bestFit="1" customWidth="1"/>
    <col min="3" max="3" width="7.25" customWidth="1"/>
    <col min="5" max="5" width="10.125" customWidth="1"/>
    <col min="7" max="7" width="9.875" bestFit="1" customWidth="1"/>
    <col min="8" max="8" width="10.125" customWidth="1"/>
    <col min="9" max="9" width="14.125" customWidth="1"/>
    <col min="10" max="10" width="16" customWidth="1"/>
    <col min="11" max="11" width="28" customWidth="1"/>
    <col min="12" max="13" width="13.125" customWidth="1"/>
    <col min="14" max="14" width="21.125" customWidth="1"/>
    <col min="15" max="15" width="17.75" customWidth="1"/>
    <col min="16" max="16" width="17.125" customWidth="1"/>
    <col min="17" max="17" width="22.25" customWidth="1"/>
    <col min="18" max="18" width="20.125" customWidth="1"/>
    <col min="19" max="19" width="18" customWidth="1"/>
    <col min="20" max="20" width="10.5" customWidth="1"/>
    <col min="21" max="21" width="21.875" bestFit="1" customWidth="1"/>
    <col min="22" max="22" width="14.5" customWidth="1"/>
    <col min="25" max="25" width="9.875" bestFit="1" customWidth="1"/>
    <col min="26" max="26" width="14.625" bestFit="1" customWidth="1"/>
    <col min="28" max="28" width="14.625" bestFit="1" customWidth="1"/>
  </cols>
  <sheetData>
    <row r="1" spans="1:31">
      <c r="A1" t="s">
        <v>110</v>
      </c>
    </row>
    <row r="2" spans="1:31">
      <c r="A2" s="22" t="s">
        <v>111</v>
      </c>
      <c r="B2" s="19"/>
      <c r="C2" s="48"/>
      <c r="D2" s="19"/>
      <c r="U2" s="22" t="s">
        <v>44</v>
      </c>
    </row>
    <row r="3" spans="1:31">
      <c r="C3" s="11"/>
    </row>
    <row r="4" spans="1:31">
      <c r="O4" s="3"/>
    </row>
    <row r="5" spans="1:31">
      <c r="O5" s="18"/>
      <c r="Q5" s="8"/>
      <c r="R5" s="8"/>
      <c r="S5" s="8"/>
      <c r="T5" s="8"/>
    </row>
    <row r="6" spans="1:31">
      <c r="O6" s="10"/>
      <c r="P6" s="18"/>
      <c r="Q6" s="8"/>
      <c r="R6" s="8"/>
      <c r="S6" s="8"/>
      <c r="T6" s="8"/>
    </row>
    <row r="8" spans="1:31">
      <c r="F8" s="10"/>
      <c r="G8" s="23" t="s">
        <v>49</v>
      </c>
      <c r="U8" s="23" t="s">
        <v>30</v>
      </c>
      <c r="W8" s="29"/>
      <c r="X8" s="23" t="s">
        <v>50</v>
      </c>
    </row>
    <row r="9" spans="1:31">
      <c r="A9" s="23" t="s">
        <v>23</v>
      </c>
      <c r="F9" s="10"/>
      <c r="G9" t="s">
        <v>2</v>
      </c>
      <c r="H9" t="s">
        <v>141</v>
      </c>
      <c r="I9" t="s">
        <v>112</v>
      </c>
      <c r="J9" t="s">
        <v>114</v>
      </c>
      <c r="K9" t="s">
        <v>117</v>
      </c>
      <c r="L9" t="s">
        <v>113</v>
      </c>
      <c r="M9" t="s">
        <v>115</v>
      </c>
      <c r="N9" t="s">
        <v>118</v>
      </c>
      <c r="O9" s="7" t="s">
        <v>11</v>
      </c>
      <c r="P9" t="s">
        <v>116</v>
      </c>
      <c r="Q9" t="s">
        <v>119</v>
      </c>
      <c r="R9" t="s">
        <v>120</v>
      </c>
      <c r="S9" t="s">
        <v>4</v>
      </c>
      <c r="U9" t="s">
        <v>78</v>
      </c>
      <c r="V9" t="s">
        <v>122</v>
      </c>
      <c r="X9" t="s">
        <v>17</v>
      </c>
      <c r="Y9" t="s">
        <v>32</v>
      </c>
      <c r="Z9" t="s">
        <v>41</v>
      </c>
      <c r="AA9" t="s">
        <v>42</v>
      </c>
      <c r="AB9" t="s">
        <v>41</v>
      </c>
    </row>
    <row r="10" spans="1:31">
      <c r="F10" s="10"/>
      <c r="G10">
        <v>0</v>
      </c>
      <c r="H10" s="13">
        <f>Interpolate_Range($D$17:$D$27,$E$17:$E$27,G10)</f>
        <v>97.63</v>
      </c>
      <c r="I10" s="1"/>
      <c r="J10" s="2">
        <f>Interpolate_Range('試算番号4-1'!$G$10:$G$143,'試算番号4-1'!$I$10:$I$143,G10)</f>
        <v>1</v>
      </c>
      <c r="K10" s="2"/>
      <c r="L10" s="27"/>
      <c r="M10" s="2">
        <f>Interpolate_Range('試算番号4-2'!$G$10:$G$143,'試算番号4-2'!$I$10:$I$143,G10)</f>
        <v>1</v>
      </c>
      <c r="N10" s="2"/>
      <c r="P10" s="33">
        <f>M10/J10*$E$17/H10</f>
        <v>1</v>
      </c>
      <c r="R10" s="15">
        <f t="shared" ref="R10:R41" si="0">J10*P10</f>
        <v>1</v>
      </c>
      <c r="S10" s="10">
        <f>S11</f>
        <v>-8.0911231931979409E-4</v>
      </c>
      <c r="U10" t="s">
        <v>74</v>
      </c>
      <c r="V10">
        <v>100</v>
      </c>
      <c r="X10">
        <v>0</v>
      </c>
    </row>
    <row r="11" spans="1:31">
      <c r="F11" s="10"/>
      <c r="G11" s="2">
        <f>7/365</f>
        <v>1.9178082191780823E-2</v>
      </c>
      <c r="H11" s="13">
        <f t="shared" ref="H11:H20" si="1">Interpolate_Range($D$17:$D$27,$E$17:$E$27,G11)</f>
        <v>97.626799999999989</v>
      </c>
      <c r="I11" s="1"/>
      <c r="J11" s="2">
        <f>Interpolate_Range('試算番号4-1'!$G$10:$G$143,'試算番号4-1'!$I$10:$I$143,G11)</f>
        <v>0.99998600019599726</v>
      </c>
      <c r="K11" s="2"/>
      <c r="L11" s="27"/>
      <c r="M11" s="2">
        <f>Interpolate_Range('試算番号4-2'!$G$10:$G$143,'試算番号4-2'!$I$10:$I$143,G11)</f>
        <v>0.99998274002393939</v>
      </c>
      <c r="N11" s="2"/>
      <c r="P11" s="33">
        <f t="shared" ref="P11:P20" si="2">M11/J11*$E$17/H11</f>
        <v>1.0000295175601979</v>
      </c>
      <c r="R11" s="15">
        <f t="shared" si="0"/>
        <v>1.000015517342955</v>
      </c>
      <c r="S11" s="10">
        <f t="shared" ref="S11:S42" si="3">-LN(R11)/G11</f>
        <v>-8.0911231931979409E-4</v>
      </c>
      <c r="U11" t="s">
        <v>75</v>
      </c>
      <c r="V11">
        <v>1</v>
      </c>
      <c r="X11">
        <v>0.25</v>
      </c>
      <c r="Y11" s="1">
        <f>$I$16/4</f>
        <v>3.8572500000000001E-4</v>
      </c>
      <c r="Z11" s="1">
        <f t="shared" ref="Z11:Z50" si="4">Y11*Interpolate_Range($G$10:$G$137,$R$10:$R$137,X11)</f>
        <v>3.8582094301903286E-4</v>
      </c>
      <c r="AA11" s="1">
        <f>$L$16/4</f>
        <v>6.8812500000000015E-4</v>
      </c>
      <c r="AB11" s="1">
        <f t="shared" ref="AB11:AB50" si="5">AA11*Interpolate_Range($G$10:$G$137,$M$10:$M$137,X11)</f>
        <v>6.8794647788898787E-4</v>
      </c>
      <c r="AC11" s="1"/>
      <c r="AD11" s="1"/>
      <c r="AE11" s="1"/>
    </row>
    <row r="12" spans="1:31">
      <c r="B12" s="1"/>
      <c r="F12" s="10"/>
      <c r="G12" s="2">
        <f>14/365</f>
        <v>3.8356164383561646E-2</v>
      </c>
      <c r="H12" s="13">
        <f t="shared" si="1"/>
        <v>97.623499999999993</v>
      </c>
      <c r="I12" s="1"/>
      <c r="J12" s="2">
        <f>Interpolate_Range('試算番号4-1'!$G$10:$G$143,'試算番号4-1'!$I$10:$I$143,G12)</f>
        <v>0.99997200078397808</v>
      </c>
      <c r="K12" s="2"/>
      <c r="L12" s="27"/>
      <c r="M12" s="2">
        <f>Interpolate_Range('試算番号4-2'!$G$10:$G$143,'試算番号4-2'!$I$10:$I$143,G12)</f>
        <v>0.99996548064368185</v>
      </c>
      <c r="N12" s="2"/>
      <c r="P12" s="33">
        <f t="shared" si="2"/>
        <v>1.0000600615720514</v>
      </c>
      <c r="R12" s="15">
        <f t="shared" si="0"/>
        <v>1.0000320606743525</v>
      </c>
      <c r="S12" s="10">
        <f t="shared" si="3"/>
        <v>-8.3585418237929778E-4</v>
      </c>
      <c r="U12" t="s">
        <v>34</v>
      </c>
      <c r="V12" s="26" t="s">
        <v>72</v>
      </c>
      <c r="X12">
        <v>0.5</v>
      </c>
      <c r="Y12" s="1">
        <f t="shared" ref="Y12:Y49" si="6">Interpolate_Range($G$19:$G$137,$I$19:$I$137,X12)/4</f>
        <v>5.1236391623091606E-4</v>
      </c>
      <c r="Z12" s="1">
        <f t="shared" si="4"/>
        <v>5.1273690440747791E-4</v>
      </c>
      <c r="AA12" s="1">
        <f t="shared" ref="AA12:AA49" si="7">Interpolate_Range($G$19:$G$137,$L$19:$L$137,X12)/4</f>
        <v>8.4537892401921665E-4</v>
      </c>
      <c r="AB12" s="1">
        <f t="shared" si="5"/>
        <v>8.4489817695652827E-4</v>
      </c>
      <c r="AC12" s="1"/>
      <c r="AD12" s="1"/>
      <c r="AE12" s="1"/>
    </row>
    <row r="13" spans="1:31">
      <c r="B13" s="1"/>
      <c r="F13" s="10"/>
      <c r="G13" s="2">
        <f>21/365</f>
        <v>5.7534246575342465E-2</v>
      </c>
      <c r="H13" s="13">
        <f t="shared" si="1"/>
        <v>97.620099999999994</v>
      </c>
      <c r="I13" s="1"/>
      <c r="J13" s="2">
        <f>Interpolate_Range('試算番号4-1'!$G$10:$G$143,'試算番号4-1'!$I$10:$I$143,G13)</f>
        <v>0.9999580017639258</v>
      </c>
      <c r="K13" s="2"/>
      <c r="L13" s="27"/>
      <c r="M13" s="2">
        <f>Interpolate_Range('試算番号4-2'!$G$10:$G$143,'試算番号4-2'!$I$10:$I$143,G13)</f>
        <v>0.99994822185919685</v>
      </c>
      <c r="N13" s="2"/>
      <c r="P13" s="33">
        <f t="shared" si="2"/>
        <v>1.0000916322335176</v>
      </c>
      <c r="R13" s="15">
        <f t="shared" si="0"/>
        <v>1.0000496301490511</v>
      </c>
      <c r="S13" s="10">
        <f t="shared" si="3"/>
        <v>-8.6259785206428631E-4</v>
      </c>
      <c r="U13" t="s">
        <v>31</v>
      </c>
      <c r="V13" s="12" t="s">
        <v>73</v>
      </c>
      <c r="X13">
        <v>0.75</v>
      </c>
      <c r="Y13" s="1">
        <f t="shared" si="6"/>
        <v>4.3208090275554593E-4</v>
      </c>
      <c r="Z13" s="1">
        <f t="shared" si="4"/>
        <v>4.3266802341383899E-4</v>
      </c>
      <c r="AA13" s="1">
        <f t="shared" si="7"/>
        <v>8.8998524212604083E-4</v>
      </c>
      <c r="AB13" s="1">
        <f t="shared" si="5"/>
        <v>8.8915166244250094E-4</v>
      </c>
      <c r="AC13" s="1"/>
      <c r="AD13" s="1"/>
      <c r="AE13" s="1"/>
    </row>
    <row r="14" spans="1:31">
      <c r="F14" s="10"/>
      <c r="G14" s="2">
        <f>1/12</f>
        <v>8.3333333333333329E-2</v>
      </c>
      <c r="H14" s="13">
        <f t="shared" si="1"/>
        <v>97.614099999999993</v>
      </c>
      <c r="I14" s="1"/>
      <c r="J14" s="2">
        <f>Interpolate_Range('試算番号4-1'!$G$10:$G$143,'試算番号4-1'!$I$10:$I$143,G14)</f>
        <v>0.99993833713587665</v>
      </c>
      <c r="K14" s="2"/>
      <c r="L14" s="27"/>
      <c r="M14" s="2">
        <f>Interpolate_Range('試算番号4-2'!$G$10:$G$143,'試算番号4-2'!$I$10:$I$143,G14)</f>
        <v>0.99991875660102614</v>
      </c>
      <c r="N14" s="2"/>
      <c r="P14" s="33">
        <f t="shared" si="2"/>
        <v>1.0001433013724206</v>
      </c>
      <c r="R14" s="15">
        <f t="shared" si="0"/>
        <v>1.0000816296719242</v>
      </c>
      <c r="S14" s="10">
        <f t="shared" si="3"/>
        <v>-9.7951608484542099E-4</v>
      </c>
      <c r="U14" t="s">
        <v>77</v>
      </c>
      <c r="V14" s="41">
        <f>$E$17</f>
        <v>97.63</v>
      </c>
      <c r="X14">
        <v>1</v>
      </c>
      <c r="Y14" s="1">
        <f t="shared" si="6"/>
        <v>4.3208090275554593E-4</v>
      </c>
      <c r="Z14" s="1">
        <f t="shared" si="4"/>
        <v>4.3299396424161543E-4</v>
      </c>
      <c r="AA14" s="1">
        <f t="shared" si="7"/>
        <v>8.8998524212604083E-4</v>
      </c>
      <c r="AB14" s="1">
        <f t="shared" si="5"/>
        <v>8.8873656724905578E-4</v>
      </c>
      <c r="AC14" s="1"/>
      <c r="AD14" s="1"/>
      <c r="AE14" s="1"/>
    </row>
    <row r="15" spans="1:31">
      <c r="F15" s="10"/>
      <c r="G15" s="2">
        <f>2/12</f>
        <v>0.16666666666666666</v>
      </c>
      <c r="H15" s="13">
        <f t="shared" si="1"/>
        <v>97.599699999999999</v>
      </c>
      <c r="I15" s="1"/>
      <c r="J15" s="2">
        <f>Interpolate_Range('試算番号4-1'!$G$10:$G$143,'試算番号4-1'!$I$10:$I$143,G15)</f>
        <v>0.99987501562304715</v>
      </c>
      <c r="K15" s="2"/>
      <c r="L15" s="38"/>
      <c r="M15" s="2">
        <f>Interpolate_Range('試算番号4-2'!$G$10:$G$143,'試算番号4-2'!$I$10:$I$143,G15)</f>
        <v>0.99983336110648224</v>
      </c>
      <c r="N15" s="2"/>
      <c r="P15" s="33">
        <f t="shared" si="2"/>
        <v>1.0002687791172151</v>
      </c>
      <c r="R15" s="15">
        <f t="shared" si="0"/>
        <v>1.0001437611470718</v>
      </c>
      <c r="S15" s="10">
        <f t="shared" si="3"/>
        <v>-8.6250488657035245E-4</v>
      </c>
      <c r="U15" t="s">
        <v>38</v>
      </c>
      <c r="V15" s="12" t="s">
        <v>37</v>
      </c>
      <c r="X15">
        <v>1.25</v>
      </c>
      <c r="Y15" s="1">
        <f t="shared" si="6"/>
        <v>4.9873879338430756E-4</v>
      </c>
      <c r="Z15" s="1">
        <f t="shared" si="4"/>
        <v>5.0047370490137011E-4</v>
      </c>
      <c r="AA15" s="1">
        <f t="shared" si="7"/>
        <v>1.3858842783561985E-3</v>
      </c>
      <c r="AB15" s="1">
        <f t="shared" si="5"/>
        <v>1.3831516165318765E-3</v>
      </c>
      <c r="AC15" s="1"/>
      <c r="AD15" s="1"/>
      <c r="AE15" s="1"/>
    </row>
    <row r="16" spans="1:31">
      <c r="B16" t="s">
        <v>67</v>
      </c>
      <c r="E16" t="s">
        <v>68</v>
      </c>
      <c r="F16" s="10"/>
      <c r="G16" s="2">
        <f>3/12</f>
        <v>0.25</v>
      </c>
      <c r="H16" s="13">
        <f t="shared" si="1"/>
        <v>97.580399999999997</v>
      </c>
      <c r="I16" s="1">
        <f>'試算番号4-1'!$P$18</f>
        <v>1.5429E-3</v>
      </c>
      <c r="J16" s="2">
        <f>Interpolate_Range('試算番号4-1'!$G$10:$G$143,'試算番号4-1'!$I$10:$I$143,G16)</f>
        <v>0.99981003609314234</v>
      </c>
      <c r="K16" s="1">
        <f>K10+J16*0.25*I16*P16</f>
        <v>3.8582094301903291E-4</v>
      </c>
      <c r="L16" s="14">
        <f>'試算番号4-2'!$N$18</f>
        <v>2.7525000000000006E-3</v>
      </c>
      <c r="M16" s="2">
        <f>Interpolate_Range('試算番号4-2'!$G$10:$G$143,'試算番号4-2'!$I$10:$I$143,G16)</f>
        <v>0.99974056732277961</v>
      </c>
      <c r="N16" s="1">
        <f>N10+M16*0.25*L16</f>
        <v>6.8794647788898787E-4</v>
      </c>
      <c r="P16" s="33">
        <f t="shared" si="2"/>
        <v>1.0004387815106786</v>
      </c>
      <c r="Q16" s="2">
        <f>Q10+J16*0.25*P16</f>
        <v>0.25006218356279269</v>
      </c>
      <c r="R16" s="15">
        <f t="shared" si="0"/>
        <v>1.0002487342511708</v>
      </c>
      <c r="S16" s="10">
        <f t="shared" si="3"/>
        <v>-9.9481328774237397E-4</v>
      </c>
      <c r="U16" t="s">
        <v>35</v>
      </c>
      <c r="V16" s="12" t="s">
        <v>39</v>
      </c>
      <c r="X16">
        <v>1.5</v>
      </c>
      <c r="Y16" s="1">
        <f t="shared" si="6"/>
        <v>4.9873879338430756E-4</v>
      </c>
      <c r="Z16" s="1">
        <f t="shared" si="4"/>
        <v>5.0118900511150245E-4</v>
      </c>
      <c r="AA16" s="1">
        <f t="shared" si="7"/>
        <v>1.3858842783561985E-3</v>
      </c>
      <c r="AB16" s="1">
        <f t="shared" si="5"/>
        <v>1.3821498221335802E-3</v>
      </c>
      <c r="AC16" s="1"/>
      <c r="AD16" s="1"/>
      <c r="AE16" s="1"/>
    </row>
    <row r="17" spans="1:31">
      <c r="A17">
        <v>1</v>
      </c>
      <c r="B17" s="1">
        <v>-1.9675000000000001E-3</v>
      </c>
      <c r="D17" s="13">
        <v>0</v>
      </c>
      <c r="E17" s="35">
        <v>97.63</v>
      </c>
      <c r="F17" s="10"/>
      <c r="G17" s="2">
        <f>4/12</f>
        <v>0.33333333333333331</v>
      </c>
      <c r="H17" s="13">
        <f t="shared" si="1"/>
        <v>97.561099999999996</v>
      </c>
      <c r="I17" s="1"/>
      <c r="J17" s="2">
        <f>Interpolate_Range('試算番号4-1'!$G$10:$G$143,'試算番号4-1'!$I$10:$I$143,G17)</f>
        <v>0.99974339919420696</v>
      </c>
      <c r="L17" s="14"/>
      <c r="M17" s="2">
        <f>Interpolate_Range('試算番号4-2'!$G$10:$G$143,'試算番号4-2'!$I$10:$I$143,G17)</f>
        <v>0.99964179502345007</v>
      </c>
      <c r="N17" s="2"/>
      <c r="P17" s="33">
        <f t="shared" si="2"/>
        <v>1.0006045220766724</v>
      </c>
      <c r="R17" s="15">
        <f t="shared" si="0"/>
        <v>1.0003477661500273</v>
      </c>
      <c r="S17" s="10">
        <f t="shared" si="3"/>
        <v>-1.0431170801875509E-3</v>
      </c>
      <c r="X17">
        <v>1.75</v>
      </c>
      <c r="Y17" s="1">
        <f t="shared" si="6"/>
        <v>5.3770207964405137E-4</v>
      </c>
      <c r="Z17" s="1">
        <f t="shared" si="4"/>
        <v>5.4126084352671289E-4</v>
      </c>
      <c r="AA17" s="1">
        <f t="shared" si="7"/>
        <v>1.7580171622476222E-3</v>
      </c>
      <c r="AB17" s="1">
        <f t="shared" si="5"/>
        <v>1.7515113290319741E-3</v>
      </c>
      <c r="AC17" s="1"/>
      <c r="AD17" s="1"/>
      <c r="AE17" s="1"/>
    </row>
    <row r="18" spans="1:31">
      <c r="A18">
        <v>2</v>
      </c>
      <c r="B18" s="1">
        <v>-3.7499999999999999E-3</v>
      </c>
      <c r="D18" s="13">
        <f>7/365</f>
        <v>1.9178082191780823E-2</v>
      </c>
      <c r="E18" s="35">
        <v>97.626799999999989</v>
      </c>
      <c r="F18" s="32"/>
      <c r="G18" s="2">
        <f>5/12</f>
        <v>0.41666666666666669</v>
      </c>
      <c r="H18" s="13">
        <f t="shared" si="1"/>
        <v>97.527299999999997</v>
      </c>
      <c r="I18" s="1"/>
      <c r="J18" s="2">
        <f>Interpolate_Range('試算番号4-1'!$G$10:$G$143,'試算番号4-1'!$I$10:$I$143,G18)</f>
        <v>0.99967510559068307</v>
      </c>
      <c r="L18" s="14"/>
      <c r="M18" s="2">
        <f>Interpolate_Range('試算番号4-2'!$G$10:$G$143,'試算番号4-2'!$I$10:$I$143,G18)</f>
        <v>0.99953646496437276</v>
      </c>
      <c r="N18" s="2"/>
      <c r="P18" s="33">
        <f t="shared" si="2"/>
        <v>1.0009142067566816</v>
      </c>
      <c r="R18" s="15">
        <f t="shared" si="0"/>
        <v>1.0005890153267005</v>
      </c>
      <c r="S18" s="10">
        <f t="shared" si="3"/>
        <v>-1.4132206206249073E-3</v>
      </c>
      <c r="T18" s="32"/>
      <c r="U18" s="23" t="s">
        <v>43</v>
      </c>
      <c r="X18">
        <v>2</v>
      </c>
      <c r="Y18" s="1">
        <f t="shared" si="6"/>
        <v>5.3770207964405137E-4</v>
      </c>
      <c r="Z18" s="1">
        <f t="shared" si="4"/>
        <v>5.4211644449683695E-4</v>
      </c>
      <c r="AA18" s="1">
        <f t="shared" si="7"/>
        <v>1.7580171622476222E-3</v>
      </c>
      <c r="AB18" s="1">
        <f t="shared" si="5"/>
        <v>1.7491502690145178E-3</v>
      </c>
      <c r="AC18" s="1"/>
      <c r="AD18" s="1"/>
      <c r="AE18" s="1"/>
    </row>
    <row r="19" spans="1:31">
      <c r="A19">
        <v>3</v>
      </c>
      <c r="B19" s="1">
        <v>-5.0000000000000001E-3</v>
      </c>
      <c r="D19" s="13">
        <f>14/365</f>
        <v>3.8356164383561646E-2</v>
      </c>
      <c r="E19" s="35">
        <v>97.623499999999993</v>
      </c>
      <c r="F19" s="32"/>
      <c r="G19" s="2">
        <f>6/12</f>
        <v>0.5</v>
      </c>
      <c r="H19" s="13">
        <f t="shared" si="1"/>
        <v>97.503500000000003</v>
      </c>
      <c r="I19" s="1">
        <f>'試算番号4-1'!$P$21</f>
        <v>2.0494556649236642E-3</v>
      </c>
      <c r="J19" s="2">
        <f>Interpolate_Range('試算番号4-1'!$G$10:$G$143,'試算番号4-1'!$I$10:$I$143,G19)</f>
        <v>0.9996051559633945</v>
      </c>
      <c r="K19" s="1">
        <f>K16+J19*0.25*I19*P19</f>
        <v>8.9855784742651093E-4</v>
      </c>
      <c r="L19" s="14">
        <f>'試算番号4-2'!$N$21</f>
        <v>3.3815156960768666E-3</v>
      </c>
      <c r="M19" s="2">
        <f>Interpolate_Range('試算番号4-2'!$G$10:$G$143,'試算番号4-2'!$I$10:$I$143,G19)</f>
        <v>0.99943132357688469</v>
      </c>
      <c r="N19" s="1">
        <f>N16+M19*0.25*L19</f>
        <v>1.5328446548455161E-3</v>
      </c>
      <c r="P19" s="33">
        <f t="shared" si="2"/>
        <v>1.0011232626568172</v>
      </c>
      <c r="Q19" s="2">
        <f>Q16+J19*0.25*P19</f>
        <v>0.50024417733945525</v>
      </c>
      <c r="R19" s="15">
        <f t="shared" si="0"/>
        <v>1.00072797510665</v>
      </c>
      <c r="S19" s="10">
        <f t="shared" si="3"/>
        <v>-1.4554205225963013E-3</v>
      </c>
      <c r="U19" t="s">
        <v>45</v>
      </c>
      <c r="V19" s="34">
        <f>$V$10*SUM(Z11:Z50)</f>
        <v>110.46753407884695</v>
      </c>
      <c r="X19">
        <v>2.25</v>
      </c>
      <c r="Y19" s="1">
        <f t="shared" si="6"/>
        <v>6.8874740834983883E-4</v>
      </c>
      <c r="Z19" s="1">
        <f t="shared" si="4"/>
        <v>6.9535796256767126E-4</v>
      </c>
      <c r="AA19" s="1">
        <f t="shared" si="7"/>
        <v>3.0501279131762101E-3</v>
      </c>
      <c r="AB19" s="1">
        <f t="shared" si="5"/>
        <v>3.0268266400867373E-3</v>
      </c>
      <c r="AC19" s="1"/>
      <c r="AD19" s="1"/>
      <c r="AE19" s="1"/>
    </row>
    <row r="20" spans="1:31">
      <c r="A20">
        <v>4</v>
      </c>
      <c r="B20" s="1">
        <v>-5.9874999999999998E-3</v>
      </c>
      <c r="D20" s="13">
        <f>21/365</f>
        <v>5.7534246575342465E-2</v>
      </c>
      <c r="E20" s="35">
        <v>97.620099999999994</v>
      </c>
      <c r="F20" s="32"/>
      <c r="G20" s="2">
        <f>9/12</f>
        <v>0.75</v>
      </c>
      <c r="H20" s="13">
        <f t="shared" si="1"/>
        <v>97.406199999999998</v>
      </c>
      <c r="I20" s="1">
        <f>'試算番号4-1'!$P$24</f>
        <v>1.7283236110221837E-3</v>
      </c>
      <c r="J20" s="2">
        <f>Interpolate_Range('試算番号4-1'!$G$10:$G$143,'試算番号4-1'!$I$10:$I$143,G20)</f>
        <v>0.99939286883218437</v>
      </c>
      <c r="K20" s="1">
        <f t="shared" ref="K20:K51" si="8">K19+J20*0.25*I20*P20</f>
        <v>1.33122587084035E-3</v>
      </c>
      <c r="L20" s="14">
        <f>'試算番号4-2'!$N$24</f>
        <v>3.5599409685041633E-3</v>
      </c>
      <c r="M20" s="2">
        <f>Interpolate_Range('試算番号4-2'!$G$10:$G$143,'試算番号4-2'!$I$10:$I$143,G20)</f>
        <v>0.99906337808304713</v>
      </c>
      <c r="N20" s="1">
        <f>N19+M20*0.25*L20</f>
        <v>2.4219963172880171E-3</v>
      </c>
      <c r="P20" s="33">
        <f t="shared" si="2"/>
        <v>1.0019671466086477</v>
      </c>
      <c r="Q20" s="2">
        <f t="shared" ref="Q20:Q51" si="9">Q19+J20*0.25*P20</f>
        <v>0.75058388262065878</v>
      </c>
      <c r="R20" s="15">
        <f t="shared" si="0"/>
        <v>1.0013588211248143</v>
      </c>
      <c r="S20" s="10">
        <f t="shared" si="3"/>
        <v>-1.8105316837934962E-3</v>
      </c>
      <c r="U20" t="s">
        <v>46</v>
      </c>
      <c r="V20" s="34">
        <f>$V$14*$V$11*SUM(AB11:AB50)</f>
        <v>100.65940643611033</v>
      </c>
      <c r="X20">
        <v>2.5</v>
      </c>
      <c r="Y20" s="1">
        <f t="shared" si="6"/>
        <v>6.8874740834983883E-4</v>
      </c>
      <c r="Z20" s="1">
        <f t="shared" si="4"/>
        <v>6.9641774314444459E-4</v>
      </c>
      <c r="AA20" s="1">
        <f t="shared" si="7"/>
        <v>3.0501279131762101E-3</v>
      </c>
      <c r="AB20" s="1">
        <f t="shared" si="5"/>
        <v>3.0189092660479816E-3</v>
      </c>
      <c r="AC20" s="1"/>
      <c r="AD20" s="1"/>
      <c r="AE20" s="1"/>
    </row>
    <row r="21" spans="1:31">
      <c r="A21">
        <v>5</v>
      </c>
      <c r="B21" s="1">
        <v>-6.6900000000000006E-3</v>
      </c>
      <c r="D21" s="13">
        <f>1/12</f>
        <v>8.3333333333333329E-2</v>
      </c>
      <c r="E21" s="35">
        <v>97.614099999999993</v>
      </c>
      <c r="F21" s="32"/>
      <c r="G21" s="2">
        <v>1</v>
      </c>
      <c r="I21" s="1">
        <f>Interpolate_Range('試算番号4-1'!$G$27:$G$143,'試算番号4-1'!$P$27:$P$143,G21)</f>
        <v>1.7283236110221837E-3</v>
      </c>
      <c r="J21" s="2">
        <f>Interpolate_Range('試算番号4-1'!$G$10:$G$143,'試算番号4-1'!$I$10:$I$143,G21)</f>
        <v>0.99917068832868705</v>
      </c>
      <c r="K21" s="1">
        <f t="shared" si="8"/>
        <v>1.7642198350819654E-3</v>
      </c>
      <c r="L21" s="14">
        <f>Interpolate_Range('試算番号4-2'!$G$27:$G$143,'試算番号4-2'!$N$27:$N$143,G21)</f>
        <v>3.5599409685041633E-3</v>
      </c>
      <c r="M21" s="2">
        <f>Interpolate_Range('試算番号4-2'!$G$10:$G$143,'試算番号4-2'!$I$10:$I$143,G21)</f>
        <v>0.99859697125538605</v>
      </c>
      <c r="N21" s="1">
        <f>N20+M21*0.25*L21</f>
        <v>3.3107328845370728E-3</v>
      </c>
      <c r="O21" s="1">
        <f t="shared" ref="O21:O52" si="10">Interpolate_Range($A$17:$A$31,$B$17:$B$31,G21)</f>
        <v>-1.9675000000000001E-3</v>
      </c>
      <c r="P21" s="33">
        <f t="shared" ref="P21:P52" si="11">(N21+M21-K20-O21*Q20)/(J21+0.25*J21*(I21+O21))</f>
        <v>1.0029449264438099</v>
      </c>
      <c r="Q21" s="2">
        <f t="shared" si="9"/>
        <v>1.0011121757483152</v>
      </c>
      <c r="R21" s="15">
        <f t="shared" si="0"/>
        <v>1.002113172510626</v>
      </c>
      <c r="S21" s="10">
        <f t="shared" si="3"/>
        <v>-2.1109429020753651E-3</v>
      </c>
      <c r="T21" s="32"/>
      <c r="U21" t="s">
        <v>47</v>
      </c>
      <c r="V21" s="28">
        <f>V19-V20</f>
        <v>9.808127642736622</v>
      </c>
      <c r="X21">
        <v>2.75</v>
      </c>
      <c r="Y21" s="1">
        <f t="shared" si="6"/>
        <v>7.7260611477877861E-4</v>
      </c>
      <c r="Z21" s="1">
        <f t="shared" si="4"/>
        <v>7.8301912195711306E-4</v>
      </c>
      <c r="AA21" s="1">
        <f t="shared" si="7"/>
        <v>3.7959002662846697E-3</v>
      </c>
      <c r="AB21" s="1">
        <f t="shared" si="5"/>
        <v>3.7471952816421138E-3</v>
      </c>
      <c r="AC21" s="1"/>
      <c r="AD21" s="1"/>
      <c r="AE21" s="1"/>
    </row>
    <row r="22" spans="1:31">
      <c r="A22">
        <v>6</v>
      </c>
      <c r="B22" s="1">
        <v>-7.1387500000000001E-3</v>
      </c>
      <c r="D22" s="13">
        <f>2/12</f>
        <v>0.16666666666666666</v>
      </c>
      <c r="E22" s="35">
        <v>97.599699999999999</v>
      </c>
      <c r="F22" s="32"/>
      <c r="G22" s="13">
        <f>G21+1/4</f>
        <v>1.25</v>
      </c>
      <c r="I22" s="1">
        <f>Interpolate_Range('試算番号4-1'!$G$27:$G$143,'試算番号4-1'!$P$27:$P$143,G22)</f>
        <v>1.9949551735372302E-3</v>
      </c>
      <c r="J22" s="2">
        <f>Interpolate_Range('試算番号4-1'!$G$10:$G$143,'試算番号4-1'!$I$10:$I$143,G22)</f>
        <v>0.99891348658382184</v>
      </c>
      <c r="K22" s="1">
        <f t="shared" si="8"/>
        <v>2.2646935399833353E-3</v>
      </c>
      <c r="L22" s="14">
        <f>Interpolate_Range('試算番号4-2'!$G$27:$G$143,'試算番号4-2'!$N$27:$N$143,G22)</f>
        <v>5.5435371134247942E-3</v>
      </c>
      <c r="M22" s="2">
        <f>Interpolate_Range('試算番号4-2'!$G$10:$G$143,'試算番号4-2'!$I$10:$I$143,G22)</f>
        <v>0.99802821789163876</v>
      </c>
      <c r="N22" s="1">
        <f t="shared" ref="N22:N85" si="12">N21+M22*0.25*L22</f>
        <v>4.6938845010689491E-3</v>
      </c>
      <c r="O22" s="1">
        <f t="shared" si="10"/>
        <v>-2.4131249999999999E-3</v>
      </c>
      <c r="P22" s="33">
        <f t="shared" si="11"/>
        <v>1.0045700763599279</v>
      </c>
      <c r="Q22" s="2">
        <f t="shared" si="9"/>
        <v>1.2519818251219332</v>
      </c>
      <c r="R22" s="15">
        <f t="shared" si="0"/>
        <v>1.0034785974944718</v>
      </c>
      <c r="S22" s="10">
        <f t="shared" si="3"/>
        <v>-2.7780489350309112E-3</v>
      </c>
      <c r="T22" s="32"/>
      <c r="X22">
        <v>3</v>
      </c>
      <c r="Y22" s="1">
        <f t="shared" si="6"/>
        <v>7.7260611477877861E-4</v>
      </c>
      <c r="Z22" s="1">
        <f t="shared" si="4"/>
        <v>7.8494354255989509E-4</v>
      </c>
      <c r="AA22" s="1">
        <f t="shared" si="7"/>
        <v>3.7959002662846697E-3</v>
      </c>
      <c r="AB22" s="1">
        <f t="shared" si="5"/>
        <v>3.7373420679155151E-3</v>
      </c>
      <c r="AC22" s="1"/>
      <c r="AD22" s="1"/>
      <c r="AE22" s="1"/>
    </row>
    <row r="23" spans="1:31">
      <c r="A23">
        <v>7</v>
      </c>
      <c r="B23" s="1">
        <v>-7.3950000000000005E-3</v>
      </c>
      <c r="D23" s="13">
        <f>3/12</f>
        <v>0.25</v>
      </c>
      <c r="E23" s="35">
        <v>97.580399999999997</v>
      </c>
      <c r="F23" s="32"/>
      <c r="G23" s="13">
        <f>G22+1/4</f>
        <v>1.5</v>
      </c>
      <c r="I23" s="1">
        <f>Interpolate_Range('試算番号4-1'!$G$27:$G$143,'試算番号4-1'!$P$27:$P$143,G23)</f>
        <v>1.9949551735372302E-3</v>
      </c>
      <c r="J23" s="2">
        <f>Interpolate_Range('試算番号4-1'!$G$10:$G$143,'試算番号4-1'!$I$10:$I$143,G23)</f>
        <v>0.99862144989435397</v>
      </c>
      <c r="K23" s="1">
        <f t="shared" si="8"/>
        <v>2.7658825450948376E-3</v>
      </c>
      <c r="L23" s="14">
        <f>Interpolate_Range('試算番号4-2'!$G$27:$G$143,'試算番号4-2'!$N$27:$N$143,G23)</f>
        <v>5.5435371134247942E-3</v>
      </c>
      <c r="M23" s="2">
        <f>Interpolate_Range('試算番号4-2'!$G$10:$G$143,'試算番号4-2'!$I$10:$I$143,G23)</f>
        <v>0.99730536215689836</v>
      </c>
      <c r="N23" s="1">
        <f t="shared" si="12"/>
        <v>6.0760343232025291E-3</v>
      </c>
      <c r="O23" s="1">
        <f t="shared" si="10"/>
        <v>-2.8587500000000002E-3</v>
      </c>
      <c r="P23" s="33">
        <f t="shared" si="11"/>
        <v>1.0063000506466069</v>
      </c>
      <c r="Q23" s="2">
        <f t="shared" si="9"/>
        <v>1.5032100290233024</v>
      </c>
      <c r="R23" s="15">
        <f t="shared" si="0"/>
        <v>1.0049128156054763</v>
      </c>
      <c r="S23" s="10">
        <f t="shared" si="3"/>
        <v>-3.2671914044449576E-3</v>
      </c>
      <c r="T23" s="32"/>
      <c r="X23">
        <v>3.25</v>
      </c>
      <c r="Y23" s="1">
        <f t="shared" si="6"/>
        <v>9.4671811322275294E-4</v>
      </c>
      <c r="Z23" s="1">
        <f t="shared" si="4"/>
        <v>9.6329583491880887E-4</v>
      </c>
      <c r="AA23" s="1">
        <f t="shared" si="7"/>
        <v>5.4427937732993521E-3</v>
      </c>
      <c r="AB23" s="1">
        <f t="shared" si="5"/>
        <v>5.3321227217882983E-3</v>
      </c>
      <c r="AC23" s="1"/>
      <c r="AD23" s="1"/>
      <c r="AE23" s="1"/>
    </row>
    <row r="24" spans="1:31">
      <c r="A24">
        <v>8</v>
      </c>
      <c r="B24" s="1">
        <v>-7.4599999999999996E-3</v>
      </c>
      <c r="D24" s="13">
        <f>4/12</f>
        <v>0.33333333333333331</v>
      </c>
      <c r="E24" s="35">
        <v>97.561099999999996</v>
      </c>
      <c r="F24" s="32"/>
      <c r="G24" s="13">
        <f>G23+1/4</f>
        <v>1.75</v>
      </c>
      <c r="I24" s="1">
        <f>Interpolate_Range('試算番号4-1'!$G$27:$G$143,'試算番号4-1'!$P$27:$P$143,G24)</f>
        <v>2.1508083185762055E-3</v>
      </c>
      <c r="J24" s="2">
        <f>Interpolate_Range('試算番号4-1'!$G$10:$G$143,'試算番号4-1'!$I$10:$I$143,G24)</f>
        <v>0.99831331706021953</v>
      </c>
      <c r="K24" s="1">
        <f t="shared" si="8"/>
        <v>3.3071433886215505E-3</v>
      </c>
      <c r="L24" s="14">
        <f>Interpolate_Range('試算番号4-2'!$G$27:$G$143,'試算番号4-2'!$N$27:$N$143,G24)</f>
        <v>7.0320686489904888E-3</v>
      </c>
      <c r="M24" s="2">
        <f>Interpolate_Range('試算番号4-2'!$G$10:$G$143,'試算番号4-2'!$I$10:$I$143,G24)</f>
        <v>0.99629933463941245</v>
      </c>
      <c r="N24" s="1">
        <f t="shared" si="12"/>
        <v>7.8275456522345025E-3</v>
      </c>
      <c r="O24" s="1">
        <f t="shared" si="10"/>
        <v>-3.304375E-3</v>
      </c>
      <c r="P24" s="33">
        <f t="shared" si="11"/>
        <v>1.0083191825305642</v>
      </c>
      <c r="Q24" s="2">
        <f t="shared" si="9"/>
        <v>1.7548646459651864</v>
      </c>
      <c r="R24" s="15">
        <f t="shared" si="0"/>
        <v>1.0066184677675365</v>
      </c>
      <c r="S24" s="10">
        <f t="shared" si="3"/>
        <v>-3.7695210693008082E-3</v>
      </c>
      <c r="T24" s="32"/>
      <c r="X24">
        <v>3.5</v>
      </c>
      <c r="Y24" s="1">
        <f t="shared" si="6"/>
        <v>9.4671811322275294E-4</v>
      </c>
      <c r="Z24" s="1">
        <f t="shared" si="4"/>
        <v>9.6485009259752997E-4</v>
      </c>
      <c r="AA24" s="1">
        <f t="shared" si="7"/>
        <v>5.4427937732993521E-3</v>
      </c>
      <c r="AB24" s="1">
        <f t="shared" si="5"/>
        <v>5.3054159936526887E-3</v>
      </c>
      <c r="AC24" s="1"/>
      <c r="AD24" s="1"/>
      <c r="AE24" s="1"/>
    </row>
    <row r="25" spans="1:31">
      <c r="A25">
        <v>9</v>
      </c>
      <c r="B25" s="1">
        <v>-7.4000000000000003E-3</v>
      </c>
      <c r="D25" s="13">
        <f>5/12</f>
        <v>0.41666666666666669</v>
      </c>
      <c r="E25" s="35">
        <v>97.527299999999997</v>
      </c>
      <c r="F25" s="32"/>
      <c r="G25" s="13">
        <f>G24+1/4</f>
        <v>2</v>
      </c>
      <c r="I25" s="1">
        <f>Interpolate_Range('試算番号4-1'!$G$27:$G$143,'試算番号4-1'!$P$27:$P$143,G25)</f>
        <v>2.1508083185762055E-3</v>
      </c>
      <c r="J25" s="2">
        <f>Interpolate_Range('試算番号4-1'!$G$10:$G$143,'試算番号4-1'!$I$10:$I$143,G25)</f>
        <v>0.99798287490113791</v>
      </c>
      <c r="K25" s="1">
        <f t="shared" si="8"/>
        <v>3.8492598331183875E-3</v>
      </c>
      <c r="L25" s="14">
        <f>Interpolate_Range('試算番号4-2'!$G$27:$G$143,'試算番号4-2'!$N$27:$N$143,G25)</f>
        <v>7.0320686489904888E-3</v>
      </c>
      <c r="M25" s="2">
        <f>Interpolate_Range('試算番号4-2'!$G$10:$G$143,'試算番号4-2'!$I$10:$I$143,G25)</f>
        <v>0.99495631019792319</v>
      </c>
      <c r="N25" s="1">
        <f t="shared" si="12"/>
        <v>9.5766959212490212E-3</v>
      </c>
      <c r="O25" s="1">
        <f t="shared" si="10"/>
        <v>-3.7499999999999999E-3</v>
      </c>
      <c r="P25" s="33">
        <f t="shared" si="11"/>
        <v>1.0102474808380415</v>
      </c>
      <c r="Q25" s="2">
        <f t="shared" si="9"/>
        <v>2.0069170672872816</v>
      </c>
      <c r="R25" s="15">
        <f t="shared" si="0"/>
        <v>1.0082096852883808</v>
      </c>
      <c r="S25" s="10">
        <f t="shared" si="3"/>
        <v>-4.0880845676046652E-3</v>
      </c>
      <c r="T25" s="32"/>
      <c r="X25">
        <v>3.75</v>
      </c>
      <c r="Y25" s="1">
        <f t="shared" si="6"/>
        <v>1.0566394099160105E-3</v>
      </c>
      <c r="Z25" s="1">
        <f t="shared" si="4"/>
        <v>1.079645887082546E-3</v>
      </c>
      <c r="AA25" s="1">
        <f t="shared" si="7"/>
        <v>6.4646001187661558E-3</v>
      </c>
      <c r="AB25" s="1">
        <f t="shared" si="5"/>
        <v>6.2697111017138048E-3</v>
      </c>
      <c r="AC25" s="1"/>
      <c r="AD25" s="1"/>
      <c r="AE25" s="1"/>
    </row>
    <row r="26" spans="1:31">
      <c r="A26">
        <v>10</v>
      </c>
      <c r="B26" s="1">
        <v>-7.20625E-3</v>
      </c>
      <c r="D26" s="13">
        <f>6/12</f>
        <v>0.5</v>
      </c>
      <c r="E26" s="35">
        <v>97.503500000000003</v>
      </c>
      <c r="F26" s="32"/>
      <c r="G26" s="13">
        <f t="shared" ref="G26:G57" si="13">G25+0.25</f>
        <v>2.25</v>
      </c>
      <c r="I26" s="1">
        <f>Interpolate_Range('試算番号4-1'!$G$27:$G$143,'試算番号4-1'!$P$27:$P$143,G26)</f>
        <v>2.7549896333993553E-3</v>
      </c>
      <c r="J26" s="2">
        <f>Interpolate_Range('試算番号4-1'!$G$10:$G$143,'試算番号4-1'!$I$10:$I$143,G26)</f>
        <v>0.99746016740156285</v>
      </c>
      <c r="K26" s="1">
        <f t="shared" si="8"/>
        <v>4.5446177956860586E-3</v>
      </c>
      <c r="L26" s="14">
        <f>Interpolate_Range('試算番号4-2'!$G$27:$G$143,'試算番号4-2'!$N$27:$N$143,G26)</f>
        <v>1.2200511652704841E-2</v>
      </c>
      <c r="M26" s="2">
        <f>Interpolate_Range('試算番号4-2'!$G$10:$G$143,'試算番号4-2'!$I$10:$I$143,G26)</f>
        <v>0.99236055871991014</v>
      </c>
      <c r="N26" s="1">
        <f t="shared" si="12"/>
        <v>1.2603522561335758E-2</v>
      </c>
      <c r="O26" s="1">
        <f t="shared" si="10"/>
        <v>-4.0625000000000001E-3</v>
      </c>
      <c r="P26" s="33">
        <f t="shared" si="11"/>
        <v>1.012168675974513</v>
      </c>
      <c r="Q26" s="2">
        <f t="shared" si="9"/>
        <v>2.2593165515313207</v>
      </c>
      <c r="R26" s="15">
        <f t="shared" si="0"/>
        <v>1.0095979369761559</v>
      </c>
      <c r="S26" s="10">
        <f t="shared" si="3"/>
        <v>-4.2454086202614464E-3</v>
      </c>
      <c r="T26" s="32"/>
      <c r="X26">
        <v>4</v>
      </c>
      <c r="Y26" s="1">
        <f t="shared" si="6"/>
        <v>1.0566394099160105E-3</v>
      </c>
      <c r="Z26" s="1">
        <f t="shared" si="4"/>
        <v>1.0825161370115128E-3</v>
      </c>
      <c r="AA26" s="1">
        <f t="shared" si="7"/>
        <v>6.4646001187661558E-3</v>
      </c>
      <c r="AB26" s="1">
        <f t="shared" si="5"/>
        <v>6.2379905690115971E-3</v>
      </c>
      <c r="AC26" s="1"/>
      <c r="AD26" s="1"/>
      <c r="AE26" s="1"/>
    </row>
    <row r="27" spans="1:31">
      <c r="A27">
        <v>12</v>
      </c>
      <c r="B27" s="1">
        <v>-6.6387500000000006E-3</v>
      </c>
      <c r="D27" s="13">
        <f>9/12</f>
        <v>0.75</v>
      </c>
      <c r="E27" s="35">
        <v>97.406199999999998</v>
      </c>
      <c r="F27" s="32"/>
      <c r="G27" s="13">
        <f t="shared" si="13"/>
        <v>2.5</v>
      </c>
      <c r="I27" s="1">
        <f>Interpolate_Range('試算番号4-1'!$G$27:$G$143,'試算番号4-1'!$P$27:$P$143,G27)</f>
        <v>2.7549896333993553E-3</v>
      </c>
      <c r="J27" s="2">
        <f>Interpolate_Range('試算番号4-1'!$G$10:$G$143,'試算番号4-1'!$I$10:$I$143,G27)</f>
        <v>0.9969374599019879</v>
      </c>
      <c r="K27" s="1">
        <f t="shared" si="8"/>
        <v>5.2410355388305034E-3</v>
      </c>
      <c r="L27" s="14">
        <f>Interpolate_Range('試算番号4-2'!$G$27:$G$143,'試算番号4-2'!$N$27:$N$143,G27)</f>
        <v>1.2200511652704841E-2</v>
      </c>
      <c r="M27" s="2">
        <f>Interpolate_Range('試算番号4-2'!$G$10:$G$143,'試算番号4-2'!$I$10:$I$143,G27)</f>
        <v>0.98976480724189719</v>
      </c>
      <c r="N27" s="1">
        <f t="shared" si="12"/>
        <v>1.5622431827383741E-2</v>
      </c>
      <c r="O27" s="1">
        <f t="shared" si="10"/>
        <v>-4.3750000000000004E-3</v>
      </c>
      <c r="P27" s="33">
        <f t="shared" si="11"/>
        <v>1.0142428034024769</v>
      </c>
      <c r="Q27" s="2">
        <f t="shared" si="9"/>
        <v>2.512100712568305</v>
      </c>
      <c r="R27" s="15">
        <f t="shared" si="0"/>
        <v>1.0111366441479366</v>
      </c>
      <c r="S27" s="10">
        <f t="shared" si="3"/>
        <v>-4.4300353287001345E-3</v>
      </c>
      <c r="T27" s="32"/>
      <c r="X27">
        <v>4.25</v>
      </c>
      <c r="Y27" s="1">
        <f t="shared" si="6"/>
        <v>1.4997779370337515E-3</v>
      </c>
      <c r="Z27" s="1">
        <f t="shared" si="4"/>
        <v>1.5383603410454188E-3</v>
      </c>
      <c r="AA27" s="1">
        <f t="shared" si="7"/>
        <v>7.5202188520012616E-3</v>
      </c>
      <c r="AB27" s="1">
        <f t="shared" si="5"/>
        <v>7.2060555015913356E-3</v>
      </c>
      <c r="AC27" s="1"/>
      <c r="AD27" s="1"/>
      <c r="AE27" s="1"/>
    </row>
    <row r="28" spans="1:31">
      <c r="A28">
        <v>15</v>
      </c>
      <c r="B28" s="1">
        <v>-5.6662500000000003E-3</v>
      </c>
      <c r="E28" s="1"/>
      <c r="F28" s="10"/>
      <c r="G28" s="13">
        <f t="shared" si="13"/>
        <v>2.75</v>
      </c>
      <c r="I28" s="1">
        <f>Interpolate_Range('試算番号4-1'!$G$27:$G$143,'試算番号4-1'!$P$27:$P$143,G28)</f>
        <v>3.0904244591151145E-3</v>
      </c>
      <c r="J28" s="2">
        <f>Interpolate_Range('試算番号4-1'!$G$10:$G$143,'試算番号4-1'!$I$10:$I$143,G28)</f>
        <v>0.99641475240241284</v>
      </c>
      <c r="K28" s="1">
        <f t="shared" si="8"/>
        <v>6.0240546607876165E-3</v>
      </c>
      <c r="L28" s="14">
        <f>Interpolate_Range('試算番号4-2'!$G$27:$G$143,'試算番号4-2'!$N$27:$N$143,G28)</f>
        <v>1.5183601065138679E-2</v>
      </c>
      <c r="M28" s="2">
        <f>Interpolate_Range('試算番号4-2'!$G$10:$G$143,'試算番号4-2'!$I$10:$I$143,G28)</f>
        <v>0.98716905576388414</v>
      </c>
      <c r="N28" s="1">
        <f t="shared" si="12"/>
        <v>1.9369627109025855E-2</v>
      </c>
      <c r="O28" s="1">
        <f t="shared" si="10"/>
        <v>-4.6874999999999998E-3</v>
      </c>
      <c r="P28" s="33">
        <f t="shared" si="11"/>
        <v>1.017124412419568</v>
      </c>
      <c r="Q28" s="2">
        <f t="shared" si="9"/>
        <v>2.7654701549591785</v>
      </c>
      <c r="R28" s="15">
        <f t="shared" si="0"/>
        <v>1.0134777695634936</v>
      </c>
      <c r="S28" s="10">
        <f t="shared" si="3"/>
        <v>-4.8682735804410522E-3</v>
      </c>
      <c r="T28" s="32"/>
      <c r="X28">
        <v>4.5</v>
      </c>
      <c r="Y28" s="1">
        <f t="shared" si="6"/>
        <v>1.4997779370337515E-3</v>
      </c>
      <c r="Z28" s="1">
        <f t="shared" si="4"/>
        <v>1.5402731470289695E-3</v>
      </c>
      <c r="AA28" s="1">
        <f t="shared" si="7"/>
        <v>7.5202188520012616E-3</v>
      </c>
      <c r="AB28" s="1">
        <f t="shared" si="5"/>
        <v>7.155505271374373E-3</v>
      </c>
      <c r="AC28" s="1"/>
      <c r="AD28" s="1"/>
      <c r="AE28" s="1"/>
    </row>
    <row r="29" spans="1:31">
      <c r="A29">
        <v>20</v>
      </c>
      <c r="B29" s="1">
        <v>-4.0887500000000004E-3</v>
      </c>
      <c r="E29" s="1"/>
      <c r="F29" s="10"/>
      <c r="G29" s="13">
        <f t="shared" si="13"/>
        <v>3</v>
      </c>
      <c r="I29" s="1">
        <f>Interpolate_Range('試算番号4-1'!$G$27:$G$143,'試算番号4-1'!$P$27:$P$143,G29)</f>
        <v>3.0904244591151145E-3</v>
      </c>
      <c r="J29" s="2">
        <f>Interpolate_Range('試算番号4-1'!$G$10:$G$143,'試算番号4-1'!$I$10:$I$143,G29)</f>
        <v>0.99589204490283789</v>
      </c>
      <c r="K29" s="1">
        <f t="shared" si="8"/>
        <v>6.8089982033475117E-3</v>
      </c>
      <c r="L29" s="14">
        <f>Interpolate_Range('試算番号4-2'!$G$27:$G$143,'試算番号4-2'!$N$27:$N$143,G29)</f>
        <v>1.5183601065138679E-2</v>
      </c>
      <c r="M29" s="2">
        <f>Interpolate_Range('試算番号4-2'!$G$10:$G$143,'試算番号4-2'!$I$10:$I$143,G29)</f>
        <v>0.98457330428587109</v>
      </c>
      <c r="N29" s="1">
        <f t="shared" si="12"/>
        <v>2.3106969176941369E-2</v>
      </c>
      <c r="O29" s="1">
        <f t="shared" si="10"/>
        <v>-5.0000000000000001E-3</v>
      </c>
      <c r="P29" s="33">
        <f t="shared" si="11"/>
        <v>1.0201593555924442</v>
      </c>
      <c r="Q29" s="2">
        <f t="shared" si="9"/>
        <v>3.0194623016511084</v>
      </c>
      <c r="R29" s="15">
        <f t="shared" si="0"/>
        <v>1.0159685867677206</v>
      </c>
      <c r="S29" s="10">
        <f t="shared" si="3"/>
        <v>-5.2808100475314384E-3</v>
      </c>
      <c r="T29" s="32"/>
      <c r="X29">
        <v>4.75</v>
      </c>
      <c r="Y29" s="1">
        <f t="shared" si="6"/>
        <v>1.6848094544357976E-3</v>
      </c>
      <c r="Z29" s="1">
        <f t="shared" si="4"/>
        <v>1.7338752983592268E-3</v>
      </c>
      <c r="AA29" s="1">
        <f t="shared" si="7"/>
        <v>8.5752844724351976E-3</v>
      </c>
      <c r="AB29" s="1">
        <f t="shared" si="5"/>
        <v>8.1017603132086495E-3</v>
      </c>
      <c r="AC29" s="1"/>
      <c r="AD29" s="1"/>
      <c r="AE29" s="1"/>
    </row>
    <row r="30" spans="1:31">
      <c r="A30">
        <v>25</v>
      </c>
      <c r="B30" s="1">
        <v>-3.0500000000000002E-3</v>
      </c>
      <c r="E30" s="1"/>
      <c r="F30" s="10"/>
      <c r="G30" s="13">
        <f t="shared" si="13"/>
        <v>3.25</v>
      </c>
      <c r="I30" s="1">
        <f>Interpolate_Range('試算番号4-1'!$G$27:$G$143,'試算番号4-1'!$P$27:$P$143,G30)</f>
        <v>3.7868724528910117E-3</v>
      </c>
      <c r="J30" s="2">
        <f>Interpolate_Range('試算番号4-1'!$G$10:$G$143,'試算番号4-1'!$I$10:$I$143,G30)</f>
        <v>0.99512539170901126</v>
      </c>
      <c r="K30" s="1">
        <f t="shared" si="8"/>
        <v>7.7722940382663206E-3</v>
      </c>
      <c r="L30" s="14">
        <f>Interpolate_Range('試算番号4-2'!$G$27:$G$143,'試算番号4-2'!$N$27:$N$143,G30)</f>
        <v>2.1771175093197408E-2</v>
      </c>
      <c r="M30" s="2">
        <f>Interpolate_Range('試算番号4-2'!$G$10:$G$143,'試算番号4-2'!$I$10:$I$143,G30)</f>
        <v>0.97966649920598281</v>
      </c>
      <c r="N30" s="1">
        <f t="shared" si="12"/>
        <v>2.8439091898729667E-2</v>
      </c>
      <c r="O30" s="1">
        <f t="shared" si="10"/>
        <v>-5.2468749999999998E-3</v>
      </c>
      <c r="P30" s="33">
        <f t="shared" si="11"/>
        <v>1.0224949887781341</v>
      </c>
      <c r="Q30" s="2">
        <f t="shared" si="9"/>
        <v>3.2738399832081937</v>
      </c>
      <c r="R30" s="15">
        <f t="shared" si="0"/>
        <v>1.0175107262283418</v>
      </c>
      <c r="S30" s="10">
        <f t="shared" si="3"/>
        <v>-5.3412861620939266E-3</v>
      </c>
      <c r="T30" s="32"/>
      <c r="X30">
        <v>5</v>
      </c>
      <c r="Y30" s="1">
        <f t="shared" si="6"/>
        <v>1.6848094544357976E-3</v>
      </c>
      <c r="Z30" s="1">
        <f t="shared" si="4"/>
        <v>1.7375050275443866E-3</v>
      </c>
      <c r="AA30" s="1">
        <f t="shared" si="7"/>
        <v>8.5752844724351976E-3</v>
      </c>
      <c r="AB30" s="1">
        <f t="shared" si="5"/>
        <v>8.0441180274203588E-3</v>
      </c>
      <c r="AC30" s="1"/>
      <c r="AD30" s="1"/>
      <c r="AE30" s="1"/>
    </row>
    <row r="31" spans="1:31">
      <c r="A31">
        <v>30</v>
      </c>
      <c r="B31" s="1">
        <v>-2.4437500000000002E-3</v>
      </c>
      <c r="E31" s="1"/>
      <c r="F31" s="10"/>
      <c r="G31" s="13">
        <f t="shared" si="13"/>
        <v>3.5</v>
      </c>
      <c r="I31" s="1">
        <f>Interpolate_Range('試算番号4-1'!$G$27:$G$143,'試算番号4-1'!$P$27:$P$143,G31)</f>
        <v>3.7868724528910117E-3</v>
      </c>
      <c r="J31" s="2">
        <f>Interpolate_Range('試算番号4-1'!$G$10:$G$143,'試算番号4-1'!$I$10:$I$143,G31)</f>
        <v>0.99435873851518475</v>
      </c>
      <c r="K31" s="1">
        <f t="shared" si="8"/>
        <v>8.7371441308638498E-3</v>
      </c>
      <c r="L31" s="14">
        <f>Interpolate_Range('試算番号4-2'!$G$27:$G$143,'試算番号4-2'!$N$27:$N$143,G31)</f>
        <v>2.1771175093197408E-2</v>
      </c>
      <c r="M31" s="2">
        <f>Interpolate_Range('試算番号4-2'!$G$10:$G$143,'試算番号4-2'!$I$10:$I$143,G31)</f>
        <v>0.97475969412609464</v>
      </c>
      <c r="N31" s="1">
        <f t="shared" si="12"/>
        <v>3.3744507892382355E-2</v>
      </c>
      <c r="O31" s="1">
        <f t="shared" si="10"/>
        <v>-5.4937500000000004E-3</v>
      </c>
      <c r="P31" s="33">
        <f t="shared" si="11"/>
        <v>1.0249343813500573</v>
      </c>
      <c r="Q31" s="2">
        <f t="shared" si="9"/>
        <v>3.5286280978332147</v>
      </c>
      <c r="R31" s="15">
        <f t="shared" si="0"/>
        <v>1.0191524585000844</v>
      </c>
      <c r="S31" s="10">
        <f t="shared" si="3"/>
        <v>-5.420388242613366E-3</v>
      </c>
      <c r="T31" s="32"/>
      <c r="X31">
        <v>5.25</v>
      </c>
      <c r="Y31" s="1">
        <f t="shared" si="6"/>
        <v>2.184352862775235E-3</v>
      </c>
      <c r="Z31" s="1">
        <f t="shared" si="4"/>
        <v>2.2541978506959272E-3</v>
      </c>
      <c r="AA31" s="1">
        <f t="shared" si="7"/>
        <v>8.9338507312422422E-3</v>
      </c>
      <c r="AB31" s="1">
        <f t="shared" si="5"/>
        <v>8.3118361254677885E-3</v>
      </c>
      <c r="AC31" s="1"/>
      <c r="AD31" s="1"/>
      <c r="AE31" s="1"/>
    </row>
    <row r="32" spans="1:31">
      <c r="A32" s="2"/>
      <c r="B32" s="10"/>
      <c r="F32" s="10"/>
      <c r="G32" s="13">
        <f t="shared" si="13"/>
        <v>3.75</v>
      </c>
      <c r="I32" s="1">
        <f>Interpolate_Range('試算番号4-1'!$G$27:$G$143,'試算番号4-1'!$P$27:$P$143,G32)</f>
        <v>4.2265576396640419E-3</v>
      </c>
      <c r="J32" s="2">
        <f>Interpolate_Range('試算番号4-1'!$G$10:$G$143,'試算番号4-1'!$I$10:$I$143,G32)</f>
        <v>0.99359208532135823</v>
      </c>
      <c r="K32" s="1">
        <f t="shared" si="8"/>
        <v>9.8167900179463967E-3</v>
      </c>
      <c r="L32" s="14">
        <f>Interpolate_Range('試算番号4-2'!$G$27:$G$143,'試算番号4-2'!$N$27:$N$143,G32)</f>
        <v>2.5858400475064623E-2</v>
      </c>
      <c r="M32" s="2">
        <f>Interpolate_Range('試算番号4-2'!$G$10:$G$143,'試算番号4-2'!$I$10:$I$143,G32)</f>
        <v>0.96985288904620637</v>
      </c>
      <c r="N32" s="1">
        <f t="shared" si="12"/>
        <v>4.0014218994096157E-2</v>
      </c>
      <c r="O32" s="1">
        <f t="shared" si="10"/>
        <v>-5.7406250000000001E-3</v>
      </c>
      <c r="P32" s="33">
        <f t="shared" si="11"/>
        <v>1.0283629147831677</v>
      </c>
      <c r="Q32" s="2">
        <f t="shared" si="9"/>
        <v>3.7840714110748541</v>
      </c>
      <c r="R32" s="15">
        <f t="shared" si="0"/>
        <v>1.0217732529665577</v>
      </c>
      <c r="S32" s="10">
        <f t="shared" si="3"/>
        <v>-5.7438936490061283E-3</v>
      </c>
      <c r="T32" s="32"/>
      <c r="X32">
        <v>5.5</v>
      </c>
      <c r="Y32" s="1">
        <f t="shared" si="6"/>
        <v>2.184352862775235E-3</v>
      </c>
      <c r="Z32" s="1">
        <f t="shared" si="4"/>
        <v>2.2556989418838118E-3</v>
      </c>
      <c r="AA32" s="1">
        <f t="shared" si="7"/>
        <v>8.9338507312422422E-3</v>
      </c>
      <c r="AB32" s="1">
        <f t="shared" si="5"/>
        <v>8.2431981159404779E-3</v>
      </c>
      <c r="AC32" s="1"/>
      <c r="AD32" s="1"/>
      <c r="AE32" s="1"/>
    </row>
    <row r="33" spans="1:31">
      <c r="A33" s="2"/>
      <c r="B33" s="10"/>
      <c r="F33" s="10"/>
      <c r="G33" s="13">
        <f t="shared" si="13"/>
        <v>4</v>
      </c>
      <c r="I33" s="1">
        <f>Interpolate_Range('試算番号4-1'!$G$27:$G$143,'試算番号4-1'!$P$27:$P$143,G33)</f>
        <v>4.2265576396640419E-3</v>
      </c>
      <c r="J33" s="2">
        <f>Interpolate_Range('試算番号4-1'!$G$10:$G$143,'試算番号4-1'!$I$10:$I$143,G33)</f>
        <v>0.9928254321275316</v>
      </c>
      <c r="K33" s="1">
        <f t="shared" si="8"/>
        <v>1.089930615495791E-2</v>
      </c>
      <c r="L33" s="14">
        <f>Interpolate_Range('試算番号4-2'!$G$27:$G$143,'試算番号4-2'!$N$27:$N$143,G33)</f>
        <v>2.5858400475064623E-2</v>
      </c>
      <c r="M33" s="2">
        <f>Interpolate_Range('試算番号4-2'!$G$10:$G$143,'試算番号4-2'!$I$10:$I$143,G33)</f>
        <v>0.96494608396631809</v>
      </c>
      <c r="N33" s="1">
        <f t="shared" si="12"/>
        <v>4.6252209563107757E-2</v>
      </c>
      <c r="O33" s="1">
        <f t="shared" si="10"/>
        <v>-5.9874999999999998E-3</v>
      </c>
      <c r="P33" s="33">
        <f t="shared" si="11"/>
        <v>1.0318930345031341</v>
      </c>
      <c r="Q33" s="2">
        <f t="shared" si="9"/>
        <v>4.0401938230473453</v>
      </c>
      <c r="R33" s="15">
        <f t="shared" si="0"/>
        <v>1.0244896478899639</v>
      </c>
      <c r="S33" s="10">
        <f t="shared" si="3"/>
        <v>-6.048646024292643E-3</v>
      </c>
      <c r="T33" s="32"/>
      <c r="X33">
        <v>5.75</v>
      </c>
      <c r="Y33" s="1">
        <f t="shared" si="6"/>
        <v>2.4292167830201844E-3</v>
      </c>
      <c r="Z33" s="1">
        <f t="shared" si="4"/>
        <v>2.5117012961107829E-3</v>
      </c>
      <c r="AA33" s="1">
        <f t="shared" si="7"/>
        <v>9.8847568765485522E-3</v>
      </c>
      <c r="AB33" s="1">
        <f t="shared" si="5"/>
        <v>9.0446484562420448E-3</v>
      </c>
      <c r="AC33" s="1"/>
      <c r="AD33" s="1"/>
      <c r="AE33" s="1"/>
    </row>
    <row r="34" spans="1:31">
      <c r="B34" s="10"/>
      <c r="F34" s="10"/>
      <c r="G34" s="13">
        <f t="shared" si="13"/>
        <v>4.25</v>
      </c>
      <c r="I34" s="1">
        <f>Interpolate_Range('試算番号4-1'!$G$27:$G$143,'試算番号4-1'!$P$27:$P$143,G34)</f>
        <v>5.9991117481350059E-3</v>
      </c>
      <c r="J34" s="2">
        <f>Interpolate_Range('試算番号4-1'!$G$10:$G$143,'試算番号4-1'!$I$10:$I$143,G34)</f>
        <v>0.99172775886141706</v>
      </c>
      <c r="K34" s="1">
        <f t="shared" si="8"/>
        <v>1.2437666496003329E-2</v>
      </c>
      <c r="L34" s="14">
        <f>Interpolate_Range('試算番号4-2'!$G$27:$G$143,'試算番号4-2'!$N$27:$N$143,G34)</f>
        <v>3.0080875408005046E-2</v>
      </c>
      <c r="M34" s="2">
        <f>Interpolate_Range('試算番号4-2'!$G$10:$G$143,'試算番号4-2'!$I$10:$I$143,G34)</f>
        <v>0.95822417450971897</v>
      </c>
      <c r="N34" s="1">
        <f t="shared" si="12"/>
        <v>5.3458265064699091E-2</v>
      </c>
      <c r="O34" s="1">
        <f t="shared" si="10"/>
        <v>-6.1631250000000002E-3</v>
      </c>
      <c r="P34" s="33">
        <f t="shared" si="11"/>
        <v>1.0342812348953441</v>
      </c>
      <c r="Q34" s="2">
        <f t="shared" si="9"/>
        <v>4.29662517582614</v>
      </c>
      <c r="R34" s="15">
        <f t="shared" si="0"/>
        <v>1.0257254111151783</v>
      </c>
      <c r="S34" s="10">
        <f t="shared" si="3"/>
        <v>-5.9764895146159286E-3</v>
      </c>
      <c r="T34" s="32"/>
      <c r="X34">
        <v>6</v>
      </c>
      <c r="Y34" s="1">
        <f t="shared" si="6"/>
        <v>2.4292167830201844E-3</v>
      </c>
      <c r="Z34" s="1">
        <f t="shared" si="4"/>
        <v>2.5147963132223241E-3</v>
      </c>
      <c r="AA34" s="1">
        <f t="shared" si="7"/>
        <v>9.8847568765485522E-3</v>
      </c>
      <c r="AB34" s="1">
        <f t="shared" si="5"/>
        <v>8.9687047162940476E-3</v>
      </c>
      <c r="AC34" s="1"/>
      <c r="AD34" s="1"/>
      <c r="AE34" s="1"/>
    </row>
    <row r="35" spans="1:31">
      <c r="B35" s="10"/>
      <c r="E35" s="1"/>
      <c r="F35" s="10"/>
      <c r="G35" s="13">
        <f t="shared" si="13"/>
        <v>4.5</v>
      </c>
      <c r="I35" s="1">
        <f>Interpolate_Range('試算番号4-1'!$G$27:$G$143,'試算番号4-1'!$P$27:$P$143,G35)</f>
        <v>5.9991117481350059E-3</v>
      </c>
      <c r="J35" s="2">
        <f>Interpolate_Range('試算番号4-1'!$G$10:$G$143,'試算番号4-1'!$I$10:$I$143,G35)</f>
        <v>0.99063008559530252</v>
      </c>
      <c r="K35" s="1">
        <f t="shared" si="8"/>
        <v>1.3977939643032298E-2</v>
      </c>
      <c r="L35" s="14">
        <f>Interpolate_Range('試算番号4-2'!$G$27:$G$143,'試算番号4-2'!$N$27:$N$143,G35)</f>
        <v>3.0080875408005046E-2</v>
      </c>
      <c r="M35" s="2">
        <f>Interpolate_Range('試算番号4-2'!$G$10:$G$143,'試算番号4-2'!$I$10:$I$143,G35)</f>
        <v>0.95150226505311986</v>
      </c>
      <c r="N35" s="1">
        <f t="shared" si="12"/>
        <v>6.0613770336073465E-2</v>
      </c>
      <c r="O35" s="1">
        <f t="shared" si="10"/>
        <v>-6.3387500000000006E-3</v>
      </c>
      <c r="P35" s="33">
        <f t="shared" si="11"/>
        <v>1.0367147322188641</v>
      </c>
      <c r="Q35" s="2">
        <f t="shared" si="9"/>
        <v>4.5533753768051115</v>
      </c>
      <c r="R35" s="15">
        <f t="shared" si="0"/>
        <v>1.0270008039158844</v>
      </c>
      <c r="S35" s="10">
        <f t="shared" si="3"/>
        <v>-5.9206030504261277E-3</v>
      </c>
      <c r="T35" s="32"/>
      <c r="X35">
        <v>6.25</v>
      </c>
      <c r="Y35" s="1">
        <f t="shared" si="6"/>
        <v>2.912879289312421E-3</v>
      </c>
      <c r="Z35" s="1">
        <f t="shared" si="4"/>
        <v>3.0151389071239147E-3</v>
      </c>
      <c r="AA35" s="1">
        <f t="shared" si="7"/>
        <v>9.8443311422051708E-3</v>
      </c>
      <c r="AB35" s="1">
        <f t="shared" si="5"/>
        <v>8.8511631455846351E-3</v>
      </c>
      <c r="AC35" s="1"/>
      <c r="AD35" s="1"/>
      <c r="AE35" s="1"/>
    </row>
    <row r="36" spans="1:31">
      <c r="B36" s="10"/>
      <c r="E36" s="1"/>
      <c r="F36" s="10"/>
      <c r="G36" s="13">
        <f t="shared" si="13"/>
        <v>4.75</v>
      </c>
      <c r="I36" s="1">
        <f>Interpolate_Range('試算番号4-1'!$G$27:$G$143,'試算番号4-1'!$P$27:$P$143,G36)</f>
        <v>6.7392378177431904E-3</v>
      </c>
      <c r="J36" s="2">
        <f>Interpolate_Range('試算番号4-1'!$G$10:$G$143,'試算番号4-1'!$I$10:$I$143,G36)</f>
        <v>0.98953241232918809</v>
      </c>
      <c r="K36" s="1">
        <f t="shared" si="8"/>
        <v>1.5711814941391525E-2</v>
      </c>
      <c r="L36" s="14">
        <f>Interpolate_Range('試算番号4-2'!$G$27:$G$143,'試算番号4-2'!$N$27:$N$143,G36)</f>
        <v>3.430113788974079E-2</v>
      </c>
      <c r="M36" s="2">
        <f>Interpolate_Range('試算番号4-2'!$G$10:$G$143,'試算番号4-2'!$I$10:$I$143,G36)</f>
        <v>0.94478035559652074</v>
      </c>
      <c r="N36" s="1">
        <f t="shared" si="12"/>
        <v>6.8715530649282111E-2</v>
      </c>
      <c r="O36" s="1">
        <f t="shared" si="10"/>
        <v>-6.5143750000000002E-3</v>
      </c>
      <c r="P36" s="33">
        <f t="shared" si="11"/>
        <v>1.0400088725290246</v>
      </c>
      <c r="Q36" s="2">
        <f t="shared" si="9"/>
        <v>4.8106559989244628</v>
      </c>
      <c r="R36" s="15">
        <f t="shared" si="0"/>
        <v>1.0291224884774048</v>
      </c>
      <c r="S36" s="10">
        <f t="shared" si="3"/>
        <v>-6.0434707765958471E-3</v>
      </c>
      <c r="T36" s="32"/>
      <c r="X36">
        <v>6.5</v>
      </c>
      <c r="Y36" s="1">
        <f t="shared" si="6"/>
        <v>2.912879289312421E-3</v>
      </c>
      <c r="Z36" s="1">
        <f t="shared" si="4"/>
        <v>3.0146415004766629E-3</v>
      </c>
      <c r="AA36" s="1">
        <f t="shared" si="7"/>
        <v>9.8443311422051708E-3</v>
      </c>
      <c r="AB36" s="1">
        <f t="shared" si="5"/>
        <v>8.7703009266077193E-3</v>
      </c>
      <c r="AC36" s="1"/>
      <c r="AD36" s="1"/>
      <c r="AE36" s="1"/>
    </row>
    <row r="37" spans="1:31">
      <c r="B37" s="10"/>
      <c r="E37" s="1"/>
      <c r="F37" s="10"/>
      <c r="G37" s="13">
        <f t="shared" si="13"/>
        <v>5</v>
      </c>
      <c r="I37" s="1">
        <f>Interpolate_Range('試算番号4-1'!$G$27:$G$143,'試算番号4-1'!$P$27:$P$143,G37)</f>
        <v>6.7392378177431904E-3</v>
      </c>
      <c r="J37" s="2">
        <f>Interpolate_Range('試算番号4-1'!$G$10:$G$143,'試算番号4-1'!$I$10:$I$143,G37)</f>
        <v>0.98843473906307355</v>
      </c>
      <c r="K37" s="1">
        <f t="shared" si="8"/>
        <v>1.7449319968935912E-2</v>
      </c>
      <c r="L37" s="14">
        <f>Interpolate_Range('試算番号4-2'!$G$27:$G$143,'試算番号4-2'!$N$27:$N$143,G37)</f>
        <v>3.430113788974079E-2</v>
      </c>
      <c r="M37" s="2">
        <f>Interpolate_Range('試算番号4-2'!$G$10:$G$143,'試算番号4-2'!$I$10:$I$143,G37)</f>
        <v>0.93805844613992162</v>
      </c>
      <c r="N37" s="1">
        <f t="shared" si="12"/>
        <v>7.6759648676702472E-2</v>
      </c>
      <c r="O37" s="1">
        <f t="shared" si="10"/>
        <v>-6.6900000000000006E-3</v>
      </c>
      <c r="P37" s="33">
        <f t="shared" si="11"/>
        <v>1.0433434128689987</v>
      </c>
      <c r="Q37" s="2">
        <f t="shared" si="9"/>
        <v>5.0684752174375491</v>
      </c>
      <c r="R37" s="15">
        <f t="shared" si="0"/>
        <v>1.0312768740523452</v>
      </c>
      <c r="S37" s="10">
        <f t="shared" si="3"/>
        <v>-6.1595436028657208E-3</v>
      </c>
      <c r="T37" s="32"/>
      <c r="X37">
        <v>6.75</v>
      </c>
      <c r="Y37" s="1">
        <f t="shared" si="6"/>
        <v>3.1992514964432513E-3</v>
      </c>
      <c r="Z37" s="1">
        <f t="shared" si="4"/>
        <v>3.3116784050498181E-3</v>
      </c>
      <c r="AA37" s="1">
        <f t="shared" si="7"/>
        <v>1.0661718526065976E-2</v>
      </c>
      <c r="AB37" s="1">
        <f t="shared" si="5"/>
        <v>9.4109338980961389E-3</v>
      </c>
      <c r="AC37" s="1"/>
      <c r="AD37" s="1"/>
      <c r="AE37" s="1"/>
    </row>
    <row r="38" spans="1:31">
      <c r="B38" s="10"/>
      <c r="E38" s="1"/>
      <c r="F38" s="10"/>
      <c r="G38" s="13">
        <f t="shared" si="13"/>
        <v>5.25</v>
      </c>
      <c r="I38" s="1">
        <f>Interpolate_Range('試算番号4-1'!$G$27:$G$143,'試算番号4-1'!$P$27:$P$143,G38)</f>
        <v>8.7374114511009401E-3</v>
      </c>
      <c r="J38" s="2">
        <f>Interpolate_Range('試算番号4-1'!$G$10:$G$143,'試算番号4-1'!$I$10:$I$143,G38)</f>
        <v>0.9865896076112074</v>
      </c>
      <c r="K38" s="1">
        <f t="shared" si="8"/>
        <v>1.9703517819631838E-2</v>
      </c>
      <c r="L38" s="14">
        <f>Interpolate_Range('試算番号4-2'!$G$27:$G$143,'試算番号4-2'!$N$27:$N$143,G38)</f>
        <v>3.5735402924968969E-2</v>
      </c>
      <c r="M38" s="2">
        <f>Interpolate_Range('試算番号4-2'!$G$10:$G$143,'試算番号4-2'!$I$10:$I$143,G38)</f>
        <v>0.93037553184102029</v>
      </c>
      <c r="N38" s="1">
        <f t="shared" si="12"/>
        <v>8.5071484802170264E-2</v>
      </c>
      <c r="O38" s="1">
        <f t="shared" si="10"/>
        <v>-6.8021875000000009E-3</v>
      </c>
      <c r="P38" s="33">
        <f t="shared" si="11"/>
        <v>1.0460024428893322</v>
      </c>
      <c r="Q38" s="2">
        <f t="shared" si="9"/>
        <v>5.3264690023601871</v>
      </c>
      <c r="R38" s="15">
        <f t="shared" si="0"/>
        <v>1.0319751396905505</v>
      </c>
      <c r="S38" s="10">
        <f t="shared" si="3"/>
        <v>-5.9951575851570774E-3</v>
      </c>
      <c r="T38" s="32"/>
      <c r="X38">
        <v>7</v>
      </c>
      <c r="Y38" s="1">
        <f t="shared" si="6"/>
        <v>3.1992514964432513E-3</v>
      </c>
      <c r="Z38" s="1">
        <f t="shared" si="4"/>
        <v>3.3121638563697589E-3</v>
      </c>
      <c r="AA38" s="1">
        <f t="shared" si="7"/>
        <v>1.0661718526065976E-2</v>
      </c>
      <c r="AB38" s="1">
        <f t="shared" si="5"/>
        <v>9.3233575858336602E-3</v>
      </c>
      <c r="AC38" s="1"/>
      <c r="AD38" s="1"/>
      <c r="AE38" s="1"/>
    </row>
    <row r="39" spans="1:31">
      <c r="B39" s="10"/>
      <c r="E39" s="1"/>
      <c r="F39" s="10"/>
      <c r="G39" s="13">
        <f t="shared" si="13"/>
        <v>5.5</v>
      </c>
      <c r="I39" s="1">
        <f>Interpolate_Range('試算番号4-1'!$G$27:$G$143,'試算番号4-1'!$P$27:$P$143,G39)</f>
        <v>8.7374114511009401E-3</v>
      </c>
      <c r="J39" s="2">
        <f>Interpolate_Range('試算番号4-1'!$G$10:$G$143,'試算番号4-1'!$I$10:$I$143,G39)</f>
        <v>0.98474447615934113</v>
      </c>
      <c r="K39" s="1">
        <f t="shared" si="8"/>
        <v>2.1959216761515649E-2</v>
      </c>
      <c r="L39" s="14">
        <f>Interpolate_Range('試算番号4-2'!$G$27:$G$143,'試算番号4-2'!$N$27:$N$143,G39)</f>
        <v>3.5735402924968969E-2</v>
      </c>
      <c r="M39" s="2">
        <f>Interpolate_Range('試算番号4-2'!$G$10:$G$143,'試算番号4-2'!$I$10:$I$143,G39)</f>
        <v>0.92269261754211895</v>
      </c>
      <c r="N39" s="1">
        <f t="shared" si="12"/>
        <v>9.3314682918110736E-2</v>
      </c>
      <c r="O39" s="1">
        <f t="shared" si="10"/>
        <v>-6.9143750000000004E-3</v>
      </c>
      <c r="P39" s="33">
        <f t="shared" si="11"/>
        <v>1.0486602021915274</v>
      </c>
      <c r="Q39" s="2">
        <f t="shared" si="9"/>
        <v>5.5846345877292478</v>
      </c>
      <c r="R39" s="15">
        <f t="shared" si="0"/>
        <v>1.0326623414762444</v>
      </c>
      <c r="S39" s="10">
        <f t="shared" si="3"/>
        <v>-5.8436845359038057E-3</v>
      </c>
      <c r="T39" s="32"/>
      <c r="X39">
        <v>7.25</v>
      </c>
      <c r="Y39" s="1">
        <f t="shared" si="6"/>
        <v>3.3223058076226582E-3</v>
      </c>
      <c r="Z39" s="1">
        <f t="shared" si="4"/>
        <v>3.4372549207493364E-3</v>
      </c>
      <c r="AA39" s="1">
        <f t="shared" si="7"/>
        <v>1.0312105005991369E-2</v>
      </c>
      <c r="AB39" s="1">
        <f t="shared" si="5"/>
        <v>8.9328380765363452E-3</v>
      </c>
      <c r="AC39" s="1"/>
      <c r="AD39" s="1"/>
      <c r="AE39" s="1"/>
    </row>
    <row r="40" spans="1:31">
      <c r="B40" s="10"/>
      <c r="E40" s="1"/>
      <c r="F40" s="10"/>
      <c r="G40" s="13">
        <f t="shared" si="13"/>
        <v>5.75</v>
      </c>
      <c r="I40" s="1">
        <f>Interpolate_Range('試算番号4-1'!$G$27:$G$143,'試算番号4-1'!$P$27:$P$143,G40)</f>
        <v>9.7168671320807375E-3</v>
      </c>
      <c r="J40" s="2">
        <f>Interpolate_Range('試算番号4-1'!$G$10:$G$143,'試算番号4-1'!$I$10:$I$143,G40)</f>
        <v>0.98289934470747498</v>
      </c>
      <c r="K40" s="1">
        <f t="shared" si="8"/>
        <v>2.4470918057626433E-2</v>
      </c>
      <c r="L40" s="14">
        <f>Interpolate_Range('試算番号4-2'!$G$27:$G$143,'試算番号4-2'!$N$27:$N$143,G40)</f>
        <v>3.9539027506194209E-2</v>
      </c>
      <c r="M40" s="2">
        <f>Interpolate_Range('試算番号4-2'!$G$10:$G$143,'試算番号4-2'!$I$10:$I$143,G40)</f>
        <v>0.91500970324321762</v>
      </c>
      <c r="N40" s="1">
        <f t="shared" si="12"/>
        <v>0.10235933137435278</v>
      </c>
      <c r="O40" s="1">
        <f t="shared" si="10"/>
        <v>-7.0265624999999998E-3</v>
      </c>
      <c r="P40" s="33">
        <f t="shared" si="11"/>
        <v>1.0519441220362793</v>
      </c>
      <c r="Q40" s="2">
        <f t="shared" si="9"/>
        <v>5.8431233847838326</v>
      </c>
      <c r="R40" s="15">
        <f t="shared" si="0"/>
        <v>1.0339551882183391</v>
      </c>
      <c r="S40" s="10">
        <f t="shared" si="3"/>
        <v>-5.8072064116470815E-3</v>
      </c>
      <c r="T40" s="32"/>
      <c r="X40">
        <v>7.5</v>
      </c>
      <c r="Y40" s="1">
        <f t="shared" si="6"/>
        <v>3.3223058076226582E-3</v>
      </c>
      <c r="Z40" s="1">
        <f t="shared" si="4"/>
        <v>3.4346986389375521E-3</v>
      </c>
      <c r="AA40" s="1">
        <f t="shared" si="7"/>
        <v>1.0312105005991369E-2</v>
      </c>
      <c r="AB40" s="1">
        <f t="shared" si="5"/>
        <v>8.8480452525317027E-3</v>
      </c>
      <c r="AC40" s="1"/>
      <c r="AD40" s="1"/>
      <c r="AE40" s="1"/>
    </row>
    <row r="41" spans="1:31">
      <c r="B41" s="10"/>
      <c r="E41" s="1"/>
      <c r="F41" s="10"/>
      <c r="G41" s="13">
        <f t="shared" si="13"/>
        <v>6</v>
      </c>
      <c r="I41" s="1">
        <f>Interpolate_Range('試算番号4-1'!$G$27:$G$143,'試算番号4-1'!$P$27:$P$143,G41)</f>
        <v>9.7168671320807375E-3</v>
      </c>
      <c r="J41" s="2">
        <f>Interpolate_Range('試算番号4-1'!$G$10:$G$143,'試算番号4-1'!$I$10:$I$143,G41)</f>
        <v>0.98105421325560882</v>
      </c>
      <c r="K41" s="1">
        <f t="shared" si="8"/>
        <v>2.6985714370848755E-2</v>
      </c>
      <c r="L41" s="14">
        <f>Interpolate_Range('試算番号4-2'!$G$27:$G$143,'試算番号4-2'!$N$27:$N$143,G41)</f>
        <v>3.9539027506194209E-2</v>
      </c>
      <c r="M41" s="2">
        <f>Interpolate_Range('試算番号4-2'!$G$10:$G$143,'試算番号4-2'!$I$10:$I$143,G41)</f>
        <v>0.90732678894431629</v>
      </c>
      <c r="N41" s="1">
        <f t="shared" si="12"/>
        <v>0.11132803609064683</v>
      </c>
      <c r="O41" s="1">
        <f t="shared" si="10"/>
        <v>-7.1387500000000001E-3</v>
      </c>
      <c r="P41" s="33">
        <f t="shared" si="11"/>
        <v>1.0552212655271223</v>
      </c>
      <c r="Q41" s="2">
        <f t="shared" si="9"/>
        <v>6.1019307018994073</v>
      </c>
      <c r="R41" s="15">
        <f t="shared" si="0"/>
        <v>1.0352292684622988</v>
      </c>
      <c r="S41" s="10">
        <f t="shared" si="3"/>
        <v>-5.7704862681541144E-3</v>
      </c>
      <c r="T41" s="32"/>
      <c r="X41">
        <v>7.75</v>
      </c>
      <c r="Y41" s="1">
        <f t="shared" si="6"/>
        <v>3.5882154825036001E-3</v>
      </c>
      <c r="Z41" s="1">
        <f t="shared" si="4"/>
        <v>3.7076417610393299E-3</v>
      </c>
      <c r="AA41" s="1">
        <f t="shared" si="7"/>
        <v>1.0986301546332001E-2</v>
      </c>
      <c r="AB41" s="1">
        <f t="shared" si="5"/>
        <v>9.3361863218506726E-3</v>
      </c>
      <c r="AC41" s="1"/>
      <c r="AD41" s="1"/>
      <c r="AE41" s="1"/>
    </row>
    <row r="42" spans="1:31">
      <c r="B42" s="10"/>
      <c r="E42" s="1"/>
      <c r="F42" s="10"/>
      <c r="G42" s="13">
        <f t="shared" si="13"/>
        <v>6.25</v>
      </c>
      <c r="I42" s="1">
        <f>Interpolate_Range('試算番号4-1'!$G$27:$G$143,'試算番号4-1'!$P$27:$P$143,G42)</f>
        <v>1.1651517157249684E-2</v>
      </c>
      <c r="J42" s="2">
        <f>Interpolate_Range('試算番号4-1'!$G$10:$G$143,'試算番号4-1'!$I$10:$I$143,G42)</f>
        <v>0.97821637245756654</v>
      </c>
      <c r="K42" s="1">
        <f t="shared" si="8"/>
        <v>3.000085327797267E-2</v>
      </c>
      <c r="L42" s="14">
        <f>Interpolate_Range('試算番号4-2'!$G$27:$G$143,'試算番号4-2'!$N$27:$N$143,G42)</f>
        <v>3.9377324568820683E-2</v>
      </c>
      <c r="M42" s="2">
        <f>Interpolate_Range('試算番号4-2'!$G$10:$G$143,'試算番号4-2'!$I$10:$I$143,G42)</f>
        <v>0.89911269925057979</v>
      </c>
      <c r="N42" s="1">
        <f t="shared" si="12"/>
        <v>0.12017919923623147</v>
      </c>
      <c r="O42" s="1">
        <f t="shared" si="10"/>
        <v>-7.2028125E-3</v>
      </c>
      <c r="P42" s="33">
        <f t="shared" si="11"/>
        <v>1.0581565139815923</v>
      </c>
      <c r="Q42" s="2">
        <f t="shared" si="9"/>
        <v>6.360707208549262</v>
      </c>
      <c r="R42" s="15">
        <f t="shared" ref="R42:R73" si="14">J42*P42</f>
        <v>1.0351060265994174</v>
      </c>
      <c r="S42" s="10">
        <f t="shared" si="3"/>
        <v>-5.5206180207124176E-3</v>
      </c>
      <c r="T42" s="32"/>
      <c r="X42">
        <v>8</v>
      </c>
      <c r="Y42" s="1">
        <f t="shared" si="6"/>
        <v>3.5882154825036001E-3</v>
      </c>
      <c r="Z42" s="1">
        <f t="shared" si="4"/>
        <v>3.7053894049561857E-3</v>
      </c>
      <c r="AA42" s="1">
        <f t="shared" si="7"/>
        <v>1.0986301546332001E-2</v>
      </c>
      <c r="AB42" s="1">
        <f t="shared" si="5"/>
        <v>9.2458498160704426E-3</v>
      </c>
      <c r="AC42" s="1"/>
      <c r="AD42" s="1"/>
      <c r="AE42" s="1"/>
    </row>
    <row r="43" spans="1:31">
      <c r="B43" s="10"/>
      <c r="E43" s="1"/>
      <c r="F43" s="10"/>
      <c r="G43" s="13">
        <f t="shared" si="13"/>
        <v>6.5</v>
      </c>
      <c r="I43" s="1">
        <f>Interpolate_Range('試算番号4-1'!$G$27:$G$143,'試算番号4-1'!$P$27:$P$143,G43)</f>
        <v>1.1651517157249684E-2</v>
      </c>
      <c r="J43" s="2">
        <f>Interpolate_Range('試算番号4-1'!$G$10:$G$143,'試算番号4-1'!$I$10:$I$143,G43)</f>
        <v>0.97537853165952437</v>
      </c>
      <c r="K43" s="1">
        <f t="shared" si="8"/>
        <v>3.3015494778449332E-2</v>
      </c>
      <c r="L43" s="14">
        <f>Interpolate_Range('試算番号4-2'!$G$27:$G$143,'試算番号4-2'!$N$27:$N$143,G43)</f>
        <v>3.9377324568820683E-2</v>
      </c>
      <c r="M43" s="2">
        <f>Interpolate_Range('試算番号4-2'!$G$10:$G$143,'試算番号4-2'!$I$10:$I$143,G43)</f>
        <v>0.89089860955684341</v>
      </c>
      <c r="N43" s="1">
        <f t="shared" si="12"/>
        <v>0.12894950016283918</v>
      </c>
      <c r="O43" s="1">
        <f t="shared" si="10"/>
        <v>-7.2668750000000008E-3</v>
      </c>
      <c r="P43" s="33">
        <f t="shared" si="11"/>
        <v>1.061060123681689</v>
      </c>
      <c r="Q43" s="2">
        <f t="shared" si="9"/>
        <v>6.6194410249090421</v>
      </c>
      <c r="R43" s="15">
        <f t="shared" si="14"/>
        <v>1.0349352654391191</v>
      </c>
      <c r="S43" s="10">
        <f t="shared" ref="S43:S74" si="15">-LN(R43)/G43</f>
        <v>-5.2829045064358131E-3</v>
      </c>
      <c r="T43" s="32"/>
      <c r="X43">
        <v>8.25</v>
      </c>
      <c r="Y43" s="1">
        <f t="shared" si="6"/>
        <v>3.8317419774074172E-3</v>
      </c>
      <c r="Z43" s="1">
        <f t="shared" si="4"/>
        <v>3.9510119845052706E-3</v>
      </c>
      <c r="AA43" s="1">
        <f t="shared" si="7"/>
        <v>1.0758786211868411E-2</v>
      </c>
      <c r="AB43" s="1">
        <f t="shared" si="5"/>
        <v>8.964663767043024E-3</v>
      </c>
      <c r="AC43" s="1"/>
      <c r="AD43" s="1"/>
      <c r="AE43" s="1"/>
    </row>
    <row r="44" spans="1:31">
      <c r="B44" s="10"/>
      <c r="E44" s="1"/>
      <c r="G44" s="13">
        <f t="shared" si="13"/>
        <v>6.75</v>
      </c>
      <c r="I44" s="1">
        <f>Interpolate_Range('試算番号4-1'!$G$27:$G$143,'試算番号4-1'!$P$27:$P$143,G44)</f>
        <v>1.2797005985773005E-2</v>
      </c>
      <c r="J44" s="2">
        <f>Interpolate_Range('試算番号4-1'!$G$10:$G$143,'試算番号4-1'!$I$10:$I$143,G44)</f>
        <v>0.97254069086148209</v>
      </c>
      <c r="K44" s="1">
        <f t="shared" si="8"/>
        <v>3.6327173183499151E-2</v>
      </c>
      <c r="L44" s="14">
        <f>Interpolate_Range('試算番号4-2'!$G$27:$G$143,'試算番号4-2'!$N$27:$N$143,G44)</f>
        <v>4.2646874104263904E-2</v>
      </c>
      <c r="M44" s="2">
        <f>Interpolate_Range('試算番号4-2'!$G$10:$G$143,'試算番号4-2'!$I$10:$I$143,G44)</f>
        <v>0.88268451986310692</v>
      </c>
      <c r="N44" s="1">
        <f t="shared" si="12"/>
        <v>0.13836043406093532</v>
      </c>
      <c r="O44" s="1">
        <f t="shared" si="10"/>
        <v>-7.3309375000000006E-3</v>
      </c>
      <c r="P44" s="33">
        <f t="shared" si="11"/>
        <v>1.0643684511629992</v>
      </c>
      <c r="Q44" s="2">
        <f t="shared" si="9"/>
        <v>6.8782264321153495</v>
      </c>
      <c r="R44" s="15">
        <f t="shared" si="14"/>
        <v>1.0351416288252289</v>
      </c>
      <c r="S44" s="10">
        <f t="shared" si="15"/>
        <v>-5.1167787852348413E-3</v>
      </c>
      <c r="T44" s="32"/>
      <c r="X44">
        <v>8.5</v>
      </c>
      <c r="Y44" s="1">
        <f t="shared" si="6"/>
        <v>3.8317419774074172E-3</v>
      </c>
      <c r="Z44" s="1">
        <f t="shared" si="4"/>
        <v>3.9447945431096308E-3</v>
      </c>
      <c r="AA44" s="1">
        <f t="shared" si="7"/>
        <v>1.0758786211868411E-2</v>
      </c>
      <c r="AB44" s="1">
        <f t="shared" si="5"/>
        <v>8.8749500351035793E-3</v>
      </c>
      <c r="AC44" s="1"/>
      <c r="AD44" s="1"/>
      <c r="AE44" s="1"/>
    </row>
    <row r="45" spans="1:31">
      <c r="B45" s="10"/>
      <c r="E45" s="1"/>
      <c r="G45" s="13">
        <f t="shared" si="13"/>
        <v>7</v>
      </c>
      <c r="I45" s="1">
        <f>Interpolate_Range('試算番号4-1'!$G$27:$G$143,'試算番号4-1'!$P$27:$P$143,G45)</f>
        <v>1.2797005985773005E-2</v>
      </c>
      <c r="J45" s="2">
        <f>Interpolate_Range('試算番号4-1'!$G$10:$G$143,'試算番号4-1'!$I$10:$I$143,G45)</f>
        <v>0.96970285006343981</v>
      </c>
      <c r="K45" s="1">
        <f t="shared" si="8"/>
        <v>3.963933703986891E-2</v>
      </c>
      <c r="L45" s="14">
        <f>Interpolate_Range('試算番号4-2'!$G$27:$G$143,'試算番号4-2'!$N$27:$N$143,G45)</f>
        <v>4.2646874104263904E-2</v>
      </c>
      <c r="M45" s="2">
        <f>Interpolate_Range('試算番号4-2'!$G$10:$G$143,'試算番号4-2'!$I$10:$I$143,G45)</f>
        <v>0.87447043016937043</v>
      </c>
      <c r="N45" s="1">
        <f t="shared" si="12"/>
        <v>0.14768379164676898</v>
      </c>
      <c r="O45" s="1">
        <f t="shared" si="10"/>
        <v>-7.3950000000000005E-3</v>
      </c>
      <c r="P45" s="33">
        <f t="shared" si="11"/>
        <v>1.0676398112966832</v>
      </c>
      <c r="Q45" s="2">
        <f t="shared" si="9"/>
        <v>7.1370497740792462</v>
      </c>
      <c r="R45" s="15">
        <f t="shared" si="14"/>
        <v>1.0352933678555867</v>
      </c>
      <c r="S45" s="10">
        <f t="shared" si="15"/>
        <v>-4.9549762510326468E-3</v>
      </c>
      <c r="T45" s="32"/>
      <c r="X45">
        <v>8.75</v>
      </c>
      <c r="Y45" s="1">
        <f t="shared" si="6"/>
        <v>4.0989599078790307E-3</v>
      </c>
      <c r="Z45" s="1">
        <f t="shared" si="4"/>
        <v>4.213680114721092E-3</v>
      </c>
      <c r="AA45" s="1">
        <f t="shared" si="7"/>
        <v>1.1340691742665126E-2</v>
      </c>
      <c r="AB45" s="1">
        <f t="shared" si="5"/>
        <v>9.2603993460478994E-3</v>
      </c>
      <c r="AC45" s="1"/>
      <c r="AD45" s="1"/>
      <c r="AE45" s="1"/>
    </row>
    <row r="46" spans="1:31">
      <c r="B46" s="10"/>
      <c r="E46" s="1"/>
      <c r="G46" s="13">
        <f t="shared" si="13"/>
        <v>7.25</v>
      </c>
      <c r="I46" s="1">
        <f>Interpolate_Range('試算番号4-1'!$G$27:$G$143,'試算番号4-1'!$P$27:$P$143,G46)</f>
        <v>1.3289223230490633E-2</v>
      </c>
      <c r="J46" s="2">
        <f>Interpolate_Range('試算番号4-1'!$G$10:$G$143,'試算番号4-1'!$I$10:$I$143,G46)</f>
        <v>0.96658676633109564</v>
      </c>
      <c r="K46" s="1">
        <f t="shared" si="8"/>
        <v>4.3076591960618249E-2</v>
      </c>
      <c r="L46" s="14">
        <f>Interpolate_Range('試算番号4-2'!$G$27:$G$143,'試算番号4-2'!$N$27:$N$143,G46)</f>
        <v>4.1248420023965476E-2</v>
      </c>
      <c r="M46" s="2">
        <f>Interpolate_Range('試算番号4-2'!$G$10:$G$143,'試算番号4-2'!$I$10:$I$143,G46)</f>
        <v>0.86624778077282338</v>
      </c>
      <c r="N46" s="1">
        <f t="shared" si="12"/>
        <v>0.15661662972330531</v>
      </c>
      <c r="O46" s="1">
        <f t="shared" si="10"/>
        <v>-7.4112500000000003E-3</v>
      </c>
      <c r="P46" s="33">
        <f t="shared" si="11"/>
        <v>1.0703635028290375</v>
      </c>
      <c r="Q46" s="2">
        <f t="shared" si="9"/>
        <v>7.395699573328832</v>
      </c>
      <c r="R46" s="15">
        <f t="shared" si="14"/>
        <v>1.0345991969983439</v>
      </c>
      <c r="S46" s="10">
        <f t="shared" si="15"/>
        <v>-4.6916003365524896E-3</v>
      </c>
      <c r="T46" s="32"/>
      <c r="X46">
        <v>9</v>
      </c>
      <c r="Y46" s="1">
        <f t="shared" si="6"/>
        <v>4.0989599078790307E-3</v>
      </c>
      <c r="Z46" s="1">
        <f t="shared" si="4"/>
        <v>4.2070593635423316E-3</v>
      </c>
      <c r="AA46" s="1">
        <f t="shared" si="7"/>
        <v>1.1340691742665126E-2</v>
      </c>
      <c r="AB46" s="1">
        <f t="shared" si="5"/>
        <v>9.1658333086740013E-3</v>
      </c>
      <c r="AC46" s="1"/>
      <c r="AD46" s="1"/>
      <c r="AE46" s="1"/>
    </row>
    <row r="47" spans="1:31">
      <c r="B47" s="10"/>
      <c r="E47" s="1"/>
      <c r="G47" s="13">
        <f t="shared" si="13"/>
        <v>7.5</v>
      </c>
      <c r="I47" s="1">
        <f>Interpolate_Range('試算番号4-1'!$G$27:$G$143,'試算番号4-1'!$P$27:$P$143,G47)</f>
        <v>1.3289223230490633E-2</v>
      </c>
      <c r="J47" s="2">
        <f>Interpolate_Range('試算番号4-1'!$G$10:$G$143,'試算番号4-1'!$I$10:$I$143,G47)</f>
        <v>0.96347068259875146</v>
      </c>
      <c r="K47" s="1">
        <f t="shared" si="8"/>
        <v>4.6511290599555798E-2</v>
      </c>
      <c r="L47" s="14">
        <f>Interpolate_Range('試算番号4-2'!$G$27:$G$143,'試算番号4-2'!$N$27:$N$143,G47)</f>
        <v>4.1248420023965476E-2</v>
      </c>
      <c r="M47" s="2">
        <f>Interpolate_Range('試算番号4-2'!$G$10:$G$143,'試算番号4-2'!$I$10:$I$143,G47)</f>
        <v>0.85802513137627645</v>
      </c>
      <c r="N47" s="1">
        <f t="shared" si="12"/>
        <v>0.165464674975837</v>
      </c>
      <c r="O47" s="1">
        <f t="shared" si="10"/>
        <v>-7.4275000000000001E-3</v>
      </c>
      <c r="P47" s="33">
        <f t="shared" si="11"/>
        <v>1.073026699882027</v>
      </c>
      <c r="Q47" s="2">
        <f t="shared" si="9"/>
        <v>7.6541570150743379</v>
      </c>
      <c r="R47" s="15">
        <f t="shared" si="14"/>
        <v>1.0338297669820222</v>
      </c>
      <c r="S47" s="10">
        <f t="shared" si="15"/>
        <v>-4.4360169491246635E-3</v>
      </c>
      <c r="T47" s="32"/>
      <c r="X47">
        <v>9.25</v>
      </c>
      <c r="Y47" s="1">
        <f t="shared" si="6"/>
        <v>4.2427478179936969E-3</v>
      </c>
      <c r="Z47" s="1">
        <f t="shared" si="4"/>
        <v>4.3446904702956401E-3</v>
      </c>
      <c r="AA47" s="1">
        <f t="shared" si="7"/>
        <v>1.1119985378513818E-2</v>
      </c>
      <c r="AB47" s="1">
        <f t="shared" si="5"/>
        <v>8.8948069649299154E-3</v>
      </c>
      <c r="AC47" s="1"/>
      <c r="AD47" s="1"/>
      <c r="AE47" s="1"/>
    </row>
    <row r="48" spans="1:31">
      <c r="B48" s="10"/>
      <c r="E48" s="1"/>
      <c r="G48" s="13">
        <f t="shared" si="13"/>
        <v>7.75</v>
      </c>
      <c r="I48" s="1">
        <f>Interpolate_Range('試算番号4-1'!$G$27:$G$143,'試算番号4-1'!$P$27:$P$143,G48)</f>
        <v>1.43528619300144E-2</v>
      </c>
      <c r="J48" s="2">
        <f>Interpolate_Range('試算番号4-1'!$G$10:$G$143,'試算番号4-1'!$I$10:$I$143,G48)</f>
        <v>0.96035459886640728</v>
      </c>
      <c r="K48" s="1">
        <f t="shared" si="8"/>
        <v>5.0218932360595131E-2</v>
      </c>
      <c r="L48" s="14">
        <f>Interpolate_Range('試算番号4-2'!$G$27:$G$143,'試算番号4-2'!$N$27:$N$143,G48)</f>
        <v>4.3945206185328003E-2</v>
      </c>
      <c r="M48" s="2">
        <f>Interpolate_Range('試算番号4-2'!$G$10:$G$143,'試算番号4-2'!$I$10:$I$143,G48)</f>
        <v>0.84980248197972941</v>
      </c>
      <c r="N48" s="1">
        <f t="shared" si="12"/>
        <v>0.17480086129768768</v>
      </c>
      <c r="O48" s="1">
        <f t="shared" si="10"/>
        <v>-7.4437499999999998E-3</v>
      </c>
      <c r="P48" s="33">
        <f t="shared" si="11"/>
        <v>1.0759389483280946</v>
      </c>
      <c r="Q48" s="2">
        <f t="shared" si="9"/>
        <v>7.9124777443559307</v>
      </c>
      <c r="R48" s="15">
        <f t="shared" si="14"/>
        <v>1.0332829171263713</v>
      </c>
      <c r="S48" s="10">
        <f t="shared" si="15"/>
        <v>-4.2246492587123749E-3</v>
      </c>
      <c r="T48" s="32"/>
      <c r="X48">
        <v>9.5</v>
      </c>
      <c r="Y48" s="1">
        <f t="shared" si="6"/>
        <v>4.2427478179936969E-3</v>
      </c>
      <c r="Z48" s="1">
        <f t="shared" si="4"/>
        <v>4.3342685264332213E-3</v>
      </c>
      <c r="AA48" s="1">
        <f t="shared" si="7"/>
        <v>1.1119985378513818E-2</v>
      </c>
      <c r="AB48" s="1">
        <f t="shared" si="5"/>
        <v>8.8021610753836761E-3</v>
      </c>
      <c r="AC48" s="1"/>
      <c r="AD48" s="1"/>
      <c r="AE48" s="1"/>
    </row>
    <row r="49" spans="1:31">
      <c r="B49" s="10"/>
      <c r="E49" s="1"/>
      <c r="G49" s="13">
        <f t="shared" si="13"/>
        <v>8</v>
      </c>
      <c r="I49" s="1">
        <f>Interpolate_Range('試算番号4-1'!$G$27:$G$143,'試算番号4-1'!$P$27:$P$143,G49)</f>
        <v>1.43528619300144E-2</v>
      </c>
      <c r="J49" s="2">
        <f>Interpolate_Range('試算番号4-1'!$G$10:$G$143,'試算番号4-1'!$I$10:$I$143,G49)</f>
        <v>0.95723851513406311</v>
      </c>
      <c r="K49" s="1">
        <f t="shared" si="8"/>
        <v>5.3924321765551314E-2</v>
      </c>
      <c r="L49" s="14">
        <f>Interpolate_Range('試算番号4-2'!$G$27:$G$143,'試算番号4-2'!$N$27:$N$143,G49)</f>
        <v>4.3945206185328003E-2</v>
      </c>
      <c r="M49" s="2">
        <f>Interpolate_Range('試算番号4-2'!$G$10:$G$143,'試算番号4-2'!$I$10:$I$143,G49)</f>
        <v>0.84157983258318236</v>
      </c>
      <c r="N49" s="1">
        <f t="shared" si="12"/>
        <v>0.18404671111375812</v>
      </c>
      <c r="O49" s="1">
        <f t="shared" si="10"/>
        <v>-7.4599999999999996E-3</v>
      </c>
      <c r="P49" s="33">
        <f t="shared" si="11"/>
        <v>1.0787856856369082</v>
      </c>
      <c r="Q49" s="2">
        <f t="shared" si="9"/>
        <v>8.1706415463226705</v>
      </c>
      <c r="R49" s="15">
        <f t="shared" si="14"/>
        <v>1.0326552078669562</v>
      </c>
      <c r="S49" s="10">
        <f t="shared" si="15"/>
        <v>-4.0166696181345458E-3</v>
      </c>
      <c r="T49" s="32"/>
      <c r="X49">
        <v>9.75</v>
      </c>
      <c r="Y49" s="1">
        <f t="shared" si="6"/>
        <v>4.4997511497133352E-3</v>
      </c>
      <c r="Z49" s="1">
        <f t="shared" si="4"/>
        <v>4.585878659808593E-3</v>
      </c>
      <c r="AA49" s="1">
        <f t="shared" si="7"/>
        <v>1.1629708920896377E-2</v>
      </c>
      <c r="AB49" s="1">
        <f t="shared" si="5"/>
        <v>9.1087463702181036E-3</v>
      </c>
      <c r="AC49" s="1"/>
      <c r="AD49" s="1"/>
      <c r="AE49" s="1"/>
    </row>
    <row r="50" spans="1:31">
      <c r="B50" s="10"/>
      <c r="G50" s="13">
        <f t="shared" si="13"/>
        <v>8.25</v>
      </c>
      <c r="I50" s="1">
        <f>Interpolate_Range('試算番号4-1'!$G$27:$G$143,'試算番号4-1'!$P$27:$P$143,G50)</f>
        <v>1.5326967909629669E-2</v>
      </c>
      <c r="J50" s="2">
        <f>Interpolate_Range('試算番号4-1'!$G$10:$G$143,'試算番号4-1'!$I$10:$I$143,G50)</f>
        <v>0.95369796485478053</v>
      </c>
      <c r="K50" s="1">
        <f t="shared" si="8"/>
        <v>5.7875333750056587E-2</v>
      </c>
      <c r="L50" s="14">
        <f>Interpolate_Range('試算番号4-2'!$G$27:$G$143,'試算番号4-2'!$N$27:$N$143,G50)</f>
        <v>4.3035144847473644E-2</v>
      </c>
      <c r="M50" s="2">
        <f>Interpolate_Range('試算番号4-2'!$G$10:$G$143,'試算番号4-2'!$I$10:$I$143,G50)</f>
        <v>0.83324118450776308</v>
      </c>
      <c r="N50" s="1">
        <f t="shared" si="12"/>
        <v>0.19301137488080114</v>
      </c>
      <c r="O50" s="1">
        <f t="shared" si="10"/>
        <v>-7.4450000000000002E-3</v>
      </c>
      <c r="P50" s="33">
        <f t="shared" si="11"/>
        <v>1.0811880435676915</v>
      </c>
      <c r="Q50" s="2">
        <f t="shared" si="9"/>
        <v>8.428423255516627</v>
      </c>
      <c r="R50" s="15">
        <f t="shared" si="14"/>
        <v>1.0311268367758291</v>
      </c>
      <c r="S50" s="10">
        <f t="shared" si="15"/>
        <v>-3.7154206701874681E-3</v>
      </c>
      <c r="T50" s="32"/>
      <c r="X50">
        <v>10</v>
      </c>
      <c r="Y50" s="33">
        <f>1+Interpolate_Range($G$19:$G$137,$I$19:$I$137,X50)/4</f>
        <v>1.0044997511497133</v>
      </c>
      <c r="Z50" s="32">
        <f t="shared" si="4"/>
        <v>1.0211696353605024</v>
      </c>
      <c r="AA50" s="33">
        <f>1+Interpolate_Range($G$19:$G$137,$L$19:$L$137,X50)/4</f>
        <v>1.0116297089208963</v>
      </c>
      <c r="AB50" s="32">
        <f t="shared" si="5"/>
        <v>0.78391119064416515</v>
      </c>
      <c r="AC50" s="1"/>
      <c r="AD50" s="1"/>
      <c r="AE50" s="1"/>
    </row>
    <row r="51" spans="1:31">
      <c r="G51" s="13">
        <f t="shared" si="13"/>
        <v>8.5</v>
      </c>
      <c r="I51" s="1">
        <f>Interpolate_Range('試算番号4-1'!$G$27:$G$143,'試算番号4-1'!$P$27:$P$143,G51)</f>
        <v>1.5326967909629669E-2</v>
      </c>
      <c r="J51" s="2">
        <f>Interpolate_Range('試算番号4-1'!$G$10:$G$143,'試算番号4-1'!$I$10:$I$143,G51)</f>
        <v>0.95015741457549807</v>
      </c>
      <c r="K51" s="1">
        <f t="shared" si="8"/>
        <v>6.1820128293166215E-2</v>
      </c>
      <c r="L51" s="14">
        <f>Interpolate_Range('試算番号4-2'!$G$27:$G$143,'試算番号4-2'!$N$27:$N$143,G51)</f>
        <v>4.3035144847473644E-2</v>
      </c>
      <c r="M51" s="2">
        <f>Interpolate_Range('試算番号4-2'!$G$10:$G$143,'試算番号4-2'!$I$10:$I$143,G51)</f>
        <v>0.82490253643234379</v>
      </c>
      <c r="N51" s="1">
        <f t="shared" si="12"/>
        <v>0.20188632491590472</v>
      </c>
      <c r="O51" s="1">
        <f t="shared" si="10"/>
        <v>-7.43E-3</v>
      </c>
      <c r="P51" s="33">
        <f t="shared" si="11"/>
        <v>1.0835091176926388</v>
      </c>
      <c r="Q51" s="2">
        <f t="shared" si="9"/>
        <v>8.6857993110005811</v>
      </c>
      <c r="R51" s="15">
        <f t="shared" si="14"/>
        <v>1.0295042219358168</v>
      </c>
      <c r="S51" s="10">
        <f t="shared" si="15"/>
        <v>-3.420864521749026E-3</v>
      </c>
      <c r="T51" s="32"/>
      <c r="U51" s="1"/>
      <c r="V51" s="10"/>
    </row>
    <row r="52" spans="1:31">
      <c r="G52" s="13">
        <f t="shared" si="13"/>
        <v>8.75</v>
      </c>
      <c r="I52" s="1">
        <f>Interpolate_Range('試算番号4-1'!$G$27:$G$143,'試算番号4-1'!$P$27:$P$143,G52)</f>
        <v>1.6395839631516123E-2</v>
      </c>
      <c r="J52" s="2">
        <f>Interpolate_Range('試算番号4-1'!$G$10:$G$143,'試算番号4-1'!$I$10:$I$143,G52)</f>
        <v>0.94661686429621561</v>
      </c>
      <c r="K52" s="1">
        <f t="shared" ref="K52:K83" si="16">K51+J52*0.25*I52*P52</f>
        <v>6.6033808407887307E-2</v>
      </c>
      <c r="L52" s="14">
        <f>Interpolate_Range('試算番号4-2'!$G$27:$G$143,'試算番号4-2'!$N$27:$N$143,G52)</f>
        <v>4.5362766970660502E-2</v>
      </c>
      <c r="M52" s="2">
        <f>Interpolate_Range('試算番号4-2'!$G$10:$G$143,'試算番号4-2'!$I$10:$I$143,G52)</f>
        <v>0.81656388835692439</v>
      </c>
      <c r="N52" s="1">
        <f t="shared" si="12"/>
        <v>0.21114672426195261</v>
      </c>
      <c r="O52" s="1">
        <f t="shared" si="10"/>
        <v>-7.4149999999999997E-3</v>
      </c>
      <c r="P52" s="33">
        <f t="shared" si="11"/>
        <v>1.0859595650143297</v>
      </c>
      <c r="Q52" s="2">
        <f t="shared" ref="Q52:Q83" si="17">Q51+J52*0.25*P52</f>
        <v>8.9427962205471676</v>
      </c>
      <c r="R52" s="15">
        <f t="shared" si="14"/>
        <v>1.0279876381863471</v>
      </c>
      <c r="S52" s="10">
        <f t="shared" si="15"/>
        <v>-3.1546447828701527E-3</v>
      </c>
      <c r="T52" s="32"/>
      <c r="U52" s="1"/>
      <c r="V52" s="10"/>
      <c r="W52" s="8"/>
    </row>
    <row r="53" spans="1:31">
      <c r="B53" s="1"/>
      <c r="D53" s="36"/>
      <c r="G53" s="13">
        <f t="shared" si="13"/>
        <v>9</v>
      </c>
      <c r="I53" s="1">
        <f>Interpolate_Range('試算番号4-1'!$G$27:$G$143,'試算番号4-1'!$P$27:$P$143,G53)</f>
        <v>1.6395839631516123E-2</v>
      </c>
      <c r="J53" s="2">
        <f>Interpolate_Range('試算番号4-1'!$G$10:$G$143,'試算番号4-1'!$I$10:$I$143,G53)</f>
        <v>0.94307631401693304</v>
      </c>
      <c r="K53" s="1">
        <f t="shared" si="16"/>
        <v>7.0240867771429641E-2</v>
      </c>
      <c r="L53" s="14">
        <f>Interpolate_Range('試算番号4-2'!$G$27:$G$143,'試算番号4-2'!$N$27:$N$143,G53)</f>
        <v>4.5362766970660502E-2</v>
      </c>
      <c r="M53" s="2">
        <f>Interpolate_Range('試算番号4-2'!$G$10:$G$143,'試算番号4-2'!$I$10:$I$143,G53)</f>
        <v>0.80822524028150511</v>
      </c>
      <c r="N53" s="1">
        <f t="shared" si="12"/>
        <v>0.22031255757062662</v>
      </c>
      <c r="O53" s="1">
        <f t="shared" ref="O53:O84" si="18">Interpolate_Range($A$17:$A$31,$B$17:$B$31,G53)</f>
        <v>-7.4000000000000003E-3</v>
      </c>
      <c r="P53" s="33">
        <f t="shared" ref="P53:P84" si="19">(N53+M53-K52-O53*Q52)/(J53+0.25*J53*(I53+O53))</f>
        <v>1.0883238141158615</v>
      </c>
      <c r="Q53" s="2">
        <f t="shared" si="17"/>
        <v>9.1993893233154775</v>
      </c>
      <c r="R53" s="15">
        <f t="shared" si="14"/>
        <v>1.0263724110732364</v>
      </c>
      <c r="S53" s="10">
        <f t="shared" si="15"/>
        <v>-2.8922949605701617E-3</v>
      </c>
      <c r="T53" s="32"/>
      <c r="U53" s="1"/>
      <c r="V53" s="10"/>
      <c r="W53" s="8"/>
    </row>
    <row r="54" spans="1:31">
      <c r="B54" s="1"/>
      <c r="D54" s="36"/>
      <c r="G54" s="13">
        <f t="shared" si="13"/>
        <v>9.25</v>
      </c>
      <c r="I54" s="1">
        <f>Interpolate_Range('試算番号4-1'!$G$27:$G$143,'試算番号4-1'!$P$27:$P$143,G54)</f>
        <v>1.6970991271974788E-2</v>
      </c>
      <c r="J54" s="2">
        <f>Interpolate_Range('試算番号4-1'!$G$10:$G$143,'試算番号4-1'!$I$10:$I$143,G54)</f>
        <v>0.9392638081821284</v>
      </c>
      <c r="K54" s="1">
        <f t="shared" si="16"/>
        <v>7.4585558241725275E-2</v>
      </c>
      <c r="L54" s="14">
        <f>Interpolate_Range('試算番号4-2'!$G$27:$G$143,'試算番号4-2'!$N$27:$N$143,G54)</f>
        <v>4.4479941514055273E-2</v>
      </c>
      <c r="M54" s="2">
        <f>Interpolate_Range('試算番号4-2'!$G$10:$G$143,'試算番号4-2'!$I$10:$I$143,G54)</f>
        <v>0.79989376443934701</v>
      </c>
      <c r="N54" s="1">
        <f t="shared" si="12"/>
        <v>0.22920736453555654</v>
      </c>
      <c r="O54" s="1">
        <f t="shared" si="18"/>
        <v>-7.3515625000000005E-3</v>
      </c>
      <c r="P54" s="33">
        <f t="shared" si="19"/>
        <v>1.0902448257235522</v>
      </c>
      <c r="Q54" s="2">
        <f t="shared" si="17"/>
        <v>9.455396200030469</v>
      </c>
      <c r="R54" s="15">
        <f t="shared" si="14"/>
        <v>1.0240275068599645</v>
      </c>
      <c r="S54" s="10">
        <f t="shared" si="15"/>
        <v>-2.5668528026452451E-3</v>
      </c>
      <c r="T54" s="32"/>
      <c r="U54" s="1"/>
      <c r="V54" s="10"/>
      <c r="W54" s="8"/>
    </row>
    <row r="55" spans="1:31">
      <c r="G55" s="13">
        <f t="shared" si="13"/>
        <v>9.5</v>
      </c>
      <c r="I55" s="1">
        <f>Interpolate_Range('試算番号4-1'!$G$27:$G$143,'試算番号4-1'!$P$27:$P$143,G55)</f>
        <v>1.6970991271974788E-2</v>
      </c>
      <c r="J55" s="2">
        <f>Interpolate_Range('試算番号4-1'!$G$10:$G$143,'試算番号4-1'!$I$10:$I$143,G55)</f>
        <v>0.93545130234732365</v>
      </c>
      <c r="K55" s="1">
        <f t="shared" si="16"/>
        <v>7.8919826768158494E-2</v>
      </c>
      <c r="L55" s="14">
        <f>Interpolate_Range('試算番号4-2'!$G$27:$G$143,'試算番号4-2'!$N$27:$N$143,G55)</f>
        <v>4.4479941514055273E-2</v>
      </c>
      <c r="M55" s="2">
        <f>Interpolate_Range('試算番号4-2'!$G$10:$G$143,'試算番号4-2'!$I$10:$I$143,G55)</f>
        <v>0.79156228859718891</v>
      </c>
      <c r="N55" s="1">
        <f t="shared" si="12"/>
        <v>0.23800952561094021</v>
      </c>
      <c r="O55" s="1">
        <f t="shared" si="18"/>
        <v>-7.3031250000000006E-3</v>
      </c>
      <c r="P55" s="33">
        <f t="shared" si="19"/>
        <v>1.0920622918556311</v>
      </c>
      <c r="Q55" s="2">
        <f t="shared" si="17"/>
        <v>9.7107889733206569</v>
      </c>
      <c r="R55" s="15">
        <f t="shared" si="14"/>
        <v>1.0215710931607531</v>
      </c>
      <c r="S55" s="10">
        <f t="shared" si="15"/>
        <v>-2.2464978613393537E-3</v>
      </c>
      <c r="T55" s="32"/>
      <c r="U55" s="1"/>
      <c r="V55" s="10"/>
    </row>
    <row r="56" spans="1:31">
      <c r="A56" s="13"/>
      <c r="B56" s="35"/>
      <c r="E56" s="1"/>
      <c r="G56" s="13">
        <f t="shared" si="13"/>
        <v>9.75</v>
      </c>
      <c r="I56" s="1">
        <f>Interpolate_Range('試算番号4-1'!$G$27:$G$143,'試算番号4-1'!$P$27:$P$143,G56)</f>
        <v>1.7999004598853341E-2</v>
      </c>
      <c r="J56" s="2">
        <f>Interpolate_Range('試算番号4-1'!$G$10:$G$143,'試算番号4-1'!$I$10:$I$143,G56)</f>
        <v>0.93163879651251891</v>
      </c>
      <c r="K56" s="1">
        <f t="shared" si="16"/>
        <v>8.3505705427967092E-2</v>
      </c>
      <c r="L56" s="14">
        <f>Interpolate_Range('試算番号4-2'!$G$27:$G$143,'試算番号4-2'!$N$27:$N$143,G56)</f>
        <v>4.6518835683585509E-2</v>
      </c>
      <c r="M56" s="2">
        <f>Interpolate_Range('試算番号4-2'!$G$10:$G$143,'試算番号4-2'!$I$10:$I$143,G56)</f>
        <v>0.78323081275503093</v>
      </c>
      <c r="N56" s="1">
        <f t="shared" si="12"/>
        <v>0.24711827198115832</v>
      </c>
      <c r="O56" s="1">
        <f t="shared" si="18"/>
        <v>-7.2546874999999999E-3</v>
      </c>
      <c r="P56" s="33">
        <f t="shared" si="19"/>
        <v>1.0939223537856337</v>
      </c>
      <c r="Q56" s="2">
        <f t="shared" si="17"/>
        <v>9.9655740996104036</v>
      </c>
      <c r="R56" s="15">
        <f t="shared" si="14"/>
        <v>1.0191405051589897</v>
      </c>
      <c r="S56" s="10">
        <f t="shared" si="15"/>
        <v>-1.9445774433696512E-3</v>
      </c>
      <c r="T56" s="32"/>
      <c r="U56" s="1"/>
      <c r="V56" s="10"/>
    </row>
    <row r="57" spans="1:31">
      <c r="A57" s="13"/>
      <c r="B57" s="35"/>
      <c r="E57" s="1"/>
      <c r="G57" s="13">
        <f t="shared" si="13"/>
        <v>10</v>
      </c>
      <c r="I57" s="1">
        <f>Interpolate_Range('試算番号4-1'!$G$27:$G$143,'試算番号4-1'!$P$27:$P$143,G57)</f>
        <v>1.7999004598853341E-2</v>
      </c>
      <c r="J57" s="2">
        <f>Interpolate_Range('試算番号4-1'!$G$10:$G$143,'試算番号4-1'!$I$10:$I$143,G57)</f>
        <v>0.92782629067771427</v>
      </c>
      <c r="K57" s="1">
        <f t="shared" si="16"/>
        <v>8.8080130892489603E-2</v>
      </c>
      <c r="L57" s="14">
        <f>Interpolate_Range('試算番号4-2'!$G$27:$G$143,'試算番号4-2'!$N$27:$N$143,G57)</f>
        <v>4.6518835683585509E-2</v>
      </c>
      <c r="M57" s="2">
        <f>Interpolate_Range('試算番号4-2'!$G$10:$G$143,'試算番号4-2'!$I$10:$I$143,G57)</f>
        <v>0.77489933691287283</v>
      </c>
      <c r="N57" s="1">
        <f t="shared" si="12"/>
        <v>0.25613012571245064</v>
      </c>
      <c r="O57" s="1">
        <f t="shared" si="18"/>
        <v>-7.20625E-3</v>
      </c>
      <c r="P57" s="33">
        <f t="shared" si="19"/>
        <v>1.0956740718711753</v>
      </c>
      <c r="Q57" s="2">
        <f t="shared" si="17"/>
        <v>10.219722902084399</v>
      </c>
      <c r="R57" s="15">
        <f t="shared" si="14"/>
        <v>1.0165952098959798</v>
      </c>
      <c r="S57" s="10">
        <f t="shared" si="15"/>
        <v>-1.6459014132863188E-3</v>
      </c>
      <c r="T57" s="32"/>
      <c r="U57" s="1"/>
      <c r="V57" s="10"/>
    </row>
    <row r="58" spans="1:31">
      <c r="A58" s="13"/>
      <c r="B58" s="35"/>
      <c r="E58" s="1"/>
      <c r="G58" s="13">
        <f t="shared" ref="G58:G89" si="20">G57+0.25</f>
        <v>10.25</v>
      </c>
      <c r="I58" s="1">
        <f>Interpolate_Range('試算番号4-1'!$G$27:$G$143,'試算番号4-1'!$P$27:$P$143,G58)</f>
        <v>1.834599361070479E-2</v>
      </c>
      <c r="J58" s="2">
        <f>Interpolate_Range('試算番号4-1'!$G$10:$G$143,'試算番号4-1'!$I$10:$I$143,G58)</f>
        <v>0.92364133762049339</v>
      </c>
      <c r="K58" s="1">
        <f t="shared" si="16"/>
        <v>9.2728945711345129E-2</v>
      </c>
      <c r="L58" s="14">
        <f>Interpolate_Range('試算番号4-2'!$G$27:$G$143,'試算番号4-2'!$N$27:$N$143,G58)</f>
        <v>4.4434584519111225E-2</v>
      </c>
      <c r="M58" s="2">
        <f>Interpolate_Range('試算番号4-2'!$G$10:$G$143,'試算番号4-2'!$I$10:$I$143,G58)</f>
        <v>0.76693713175104328</v>
      </c>
      <c r="N58" s="1">
        <f t="shared" si="12"/>
        <v>0.26464975891285974</v>
      </c>
      <c r="O58" s="1">
        <f t="shared" si="18"/>
        <v>-7.1353125000000002E-3</v>
      </c>
      <c r="P58" s="33">
        <f t="shared" si="19"/>
        <v>1.0973815106629898</v>
      </c>
      <c r="Q58" s="2">
        <f t="shared" si="17"/>
        <v>10.473119633681589</v>
      </c>
      <c r="R58" s="15">
        <f t="shared" si="14"/>
        <v>1.0135869263887616</v>
      </c>
      <c r="S58" s="10">
        <f t="shared" si="15"/>
        <v>-1.3166294386179446E-3</v>
      </c>
      <c r="T58" s="32"/>
      <c r="U58" s="1"/>
      <c r="V58" s="10"/>
    </row>
    <row r="59" spans="1:31">
      <c r="A59" s="13"/>
      <c r="B59" s="35"/>
      <c r="E59" s="1"/>
      <c r="G59" s="13">
        <f t="shared" si="20"/>
        <v>10.5</v>
      </c>
      <c r="I59" s="1">
        <f>Interpolate_Range('試算番号4-1'!$G$27:$G$143,'試算番号4-1'!$P$27:$P$143,G59)</f>
        <v>1.834599361070479E-2</v>
      </c>
      <c r="J59" s="2">
        <f>Interpolate_Range('試算番号4-1'!$G$10:$G$143,'試算番号4-1'!$I$10:$I$143,G59)</f>
        <v>0.91945638456327239</v>
      </c>
      <c r="K59" s="1">
        <f t="shared" si="16"/>
        <v>9.7363432892123639E-2</v>
      </c>
      <c r="L59" s="14">
        <f>Interpolate_Range('試算番号4-2'!$G$27:$G$143,'試算番号4-2'!$N$27:$N$143,G59)</f>
        <v>4.4434584519111225E-2</v>
      </c>
      <c r="M59" s="2">
        <f>Interpolate_Range('試算番号4-2'!$G$10:$G$143,'試算番号4-2'!$I$10:$I$143,G59)</f>
        <v>0.75897492658921373</v>
      </c>
      <c r="N59" s="1">
        <f t="shared" si="12"/>
        <v>0.27308094279371342</v>
      </c>
      <c r="O59" s="1">
        <f t="shared" si="18"/>
        <v>-7.0643750000000003E-3</v>
      </c>
      <c r="P59" s="33">
        <f t="shared" si="19"/>
        <v>1.0989787775157116</v>
      </c>
      <c r="Q59" s="2">
        <f t="shared" si="17"/>
        <v>10.72573539705318</v>
      </c>
      <c r="R59" s="15">
        <f t="shared" si="14"/>
        <v>1.010463053486361</v>
      </c>
      <c r="S59" s="10">
        <f t="shared" si="15"/>
        <v>-9.9130424636544208E-4</v>
      </c>
      <c r="T59" s="32"/>
      <c r="U59" s="1"/>
      <c r="V59" s="10"/>
    </row>
    <row r="60" spans="1:31">
      <c r="A60" s="13"/>
      <c r="B60" s="35"/>
      <c r="E60" s="1"/>
      <c r="G60" s="13">
        <f t="shared" si="20"/>
        <v>10.75</v>
      </c>
      <c r="I60" s="1">
        <f>Interpolate_Range('試算番号4-1'!$G$27:$G$143,'試算番号4-1'!$P$27:$P$143,G60)</f>
        <v>1.9323173481922959E-2</v>
      </c>
      <c r="J60" s="2">
        <f>Interpolate_Range('試算番号4-1'!$G$10:$G$143,'試算番号4-1'!$I$10:$I$143,G60)</f>
        <v>0.9152714315060515</v>
      </c>
      <c r="K60" s="1">
        <f t="shared" si="16"/>
        <v>0.10222944983338834</v>
      </c>
      <c r="L60" s="14">
        <f>Interpolate_Range('試算番号4-2'!$G$27:$G$143,'試算番号4-2'!$N$27:$N$143,G60)</f>
        <v>4.6105131457335302E-2</v>
      </c>
      <c r="M60" s="2">
        <f>Interpolate_Range('試算番号4-2'!$G$10:$G$143,'試算番号4-2'!$I$10:$I$143,G60)</f>
        <v>0.75101272142738407</v>
      </c>
      <c r="N60" s="1">
        <f t="shared" si="12"/>
        <v>0.28173732785559857</v>
      </c>
      <c r="O60" s="1">
        <f t="shared" si="18"/>
        <v>-6.9934375000000005E-3</v>
      </c>
      <c r="P60" s="33">
        <f t="shared" si="19"/>
        <v>1.1005385204832248</v>
      </c>
      <c r="Q60" s="2">
        <f t="shared" si="17"/>
        <v>10.977558263820738</v>
      </c>
      <c r="R60" s="15">
        <f t="shared" si="14"/>
        <v>1.0072914670702331</v>
      </c>
      <c r="S60" s="10">
        <f t="shared" si="15"/>
        <v>-6.7581514788971682E-4</v>
      </c>
      <c r="T60" s="32"/>
      <c r="U60" s="1"/>
      <c r="V60" s="10"/>
    </row>
    <row r="61" spans="1:31">
      <c r="A61" s="13"/>
      <c r="B61" s="35"/>
      <c r="E61" s="1"/>
      <c r="G61" s="13">
        <f t="shared" si="20"/>
        <v>11</v>
      </c>
      <c r="I61" s="1">
        <f>Interpolate_Range('試算番号4-1'!$G$27:$G$143,'試算番号4-1'!$P$27:$P$143,G61)</f>
        <v>1.9323173481922959E-2</v>
      </c>
      <c r="J61" s="2">
        <f>Interpolate_Range('試算番号4-1'!$G$10:$G$143,'試算番号4-1'!$I$10:$I$143,G61)</f>
        <v>0.91108647844883062</v>
      </c>
      <c r="K61" s="1">
        <f t="shared" si="16"/>
        <v>0.10707957881556102</v>
      </c>
      <c r="L61" s="14">
        <f>Interpolate_Range('試算番号4-2'!$G$27:$G$143,'試算番号4-2'!$N$27:$N$143,G61)</f>
        <v>4.6105131457335302E-2</v>
      </c>
      <c r="M61" s="2">
        <f>Interpolate_Range('試算番号4-2'!$G$10:$G$143,'試算番号4-2'!$I$10:$I$143,G61)</f>
        <v>0.74305051626555452</v>
      </c>
      <c r="N61" s="1">
        <f t="shared" si="12"/>
        <v>0.29030193828856465</v>
      </c>
      <c r="O61" s="1">
        <f t="shared" si="18"/>
        <v>-6.9224999999999998E-3</v>
      </c>
      <c r="P61" s="33">
        <f t="shared" si="19"/>
        <v>1.1019838385541536</v>
      </c>
      <c r="Q61" s="2">
        <f t="shared" si="17"/>
        <v>11.228558907514696</v>
      </c>
      <c r="R61" s="15">
        <f t="shared" si="14"/>
        <v>1.0040025747758285</v>
      </c>
      <c r="S61" s="10">
        <f t="shared" si="15"/>
        <v>-3.6314416218241835E-4</v>
      </c>
      <c r="T61" s="32"/>
      <c r="U61" s="1"/>
      <c r="V61" s="10"/>
    </row>
    <row r="62" spans="1:31">
      <c r="A62" s="13"/>
      <c r="B62" s="35"/>
      <c r="E62" s="1"/>
      <c r="G62" s="13">
        <f t="shared" si="20"/>
        <v>11.25</v>
      </c>
      <c r="I62" s="1">
        <f>Interpolate_Range('試算番号4-1'!$G$27:$G$143,'試算番号4-1'!$P$27:$P$143,G62)</f>
        <v>2.0321582581068004E-2</v>
      </c>
      <c r="J62" s="2">
        <f>Interpolate_Range('試算番号4-1'!$G$10:$G$143,'試算番号4-1'!$I$10:$I$143,G62)</f>
        <v>0.90651683702900576</v>
      </c>
      <c r="K62" s="1">
        <f t="shared" si="16"/>
        <v>0.11216188699077723</v>
      </c>
      <c r="L62" s="14">
        <f>Interpolate_Range('試算番号4-2'!$G$27:$G$143,'試算番号4-2'!$N$27:$N$143,G62)</f>
        <v>4.780958625937206E-2</v>
      </c>
      <c r="M62" s="2">
        <f>Interpolate_Range('試算番号4-2'!$G$10:$G$143,'試算番号4-2'!$I$10:$I$143,G62)</f>
        <v>0.7348069885432309</v>
      </c>
      <c r="N62" s="1">
        <f t="shared" si="12"/>
        <v>0.2990846428142514</v>
      </c>
      <c r="O62" s="1">
        <f t="shared" si="18"/>
        <v>-6.8515625E-3</v>
      </c>
      <c r="P62" s="33">
        <f t="shared" si="19"/>
        <v>1.1035387453285668</v>
      </c>
      <c r="Q62" s="2">
        <f t="shared" si="17"/>
        <v>11.478653020753248</v>
      </c>
      <c r="R62" s="15">
        <f t="shared" si="14"/>
        <v>1.0003764529542098</v>
      </c>
      <c r="S62" s="10">
        <f t="shared" si="15"/>
        <v>-3.3456187873306904E-5</v>
      </c>
      <c r="T62" s="32"/>
      <c r="U62" s="1"/>
      <c r="V62" s="10"/>
    </row>
    <row r="63" spans="1:31">
      <c r="A63" s="13"/>
      <c r="B63" s="35"/>
      <c r="E63" s="1"/>
      <c r="G63" s="13">
        <f t="shared" si="20"/>
        <v>11.5</v>
      </c>
      <c r="I63" s="1">
        <f>Interpolate_Range('試算番号4-1'!$G$27:$G$143,'試算番号4-1'!$P$27:$P$143,G63)</f>
        <v>2.0321582581068004E-2</v>
      </c>
      <c r="J63" s="2">
        <f>Interpolate_Range('試算番号4-1'!$G$10:$G$143,'試算番号4-1'!$I$10:$I$143,G63)</f>
        <v>0.9019471956091808</v>
      </c>
      <c r="K63" s="1">
        <f t="shared" si="16"/>
        <v>0.11722515664836546</v>
      </c>
      <c r="L63" s="14">
        <f>Interpolate_Range('試算番号4-2'!$G$27:$G$143,'試算番号4-2'!$N$27:$N$143,G63)</f>
        <v>4.780958625937206E-2</v>
      </c>
      <c r="M63" s="2">
        <f>Interpolate_Range('試算番号4-2'!$G$10:$G$143,'試算番号4-2'!$I$10:$I$143,G63)</f>
        <v>0.72656346082090717</v>
      </c>
      <c r="N63" s="1">
        <f t="shared" si="12"/>
        <v>0.30776881742750767</v>
      </c>
      <c r="O63" s="1">
        <f t="shared" si="18"/>
        <v>-6.7806250000000002E-3</v>
      </c>
      <c r="P63" s="33">
        <f t="shared" si="19"/>
        <v>1.1049748920752898</v>
      </c>
      <c r="Q63" s="2">
        <f t="shared" si="17"/>
        <v>11.727810272034715</v>
      </c>
      <c r="R63" s="15">
        <f t="shared" si="14"/>
        <v>0.99662900512586483</v>
      </c>
      <c r="S63" s="10">
        <f t="shared" si="15"/>
        <v>2.9362517205325575E-4</v>
      </c>
      <c r="T63" s="32"/>
      <c r="U63" s="1"/>
      <c r="V63" s="10"/>
    </row>
    <row r="64" spans="1:31">
      <c r="A64" s="13"/>
      <c r="B64" s="35"/>
      <c r="E64" s="1"/>
      <c r="G64" s="13">
        <f t="shared" si="20"/>
        <v>11.75</v>
      </c>
      <c r="I64" s="1">
        <f>Interpolate_Range('試算番号4-1'!$G$27:$G$143,'試算番号4-1'!$P$27:$P$143,G64)</f>
        <v>2.1323482219625618E-2</v>
      </c>
      <c r="J64" s="2">
        <f>Interpolate_Range('試算番号4-1'!$G$10:$G$143,'試算番号4-1'!$I$10:$I$143,G64)</f>
        <v>0.89737755418935594</v>
      </c>
      <c r="K64" s="1">
        <f t="shared" si="16"/>
        <v>0.12251778106982215</v>
      </c>
      <c r="L64" s="14">
        <f>Interpolate_Range('試算番号4-2'!$G$27:$G$143,'試算番号4-2'!$N$27:$N$143,G64)</f>
        <v>4.9555847720396777E-2</v>
      </c>
      <c r="M64" s="2">
        <f>Interpolate_Range('試算番号4-2'!$G$10:$G$143,'試算番号4-2'!$I$10:$I$143,G64)</f>
        <v>0.71831993309858344</v>
      </c>
      <c r="N64" s="1">
        <f t="shared" si="12"/>
        <v>0.31666805573229739</v>
      </c>
      <c r="O64" s="1">
        <f t="shared" si="18"/>
        <v>-6.7096875000000004E-3</v>
      </c>
      <c r="P64" s="33">
        <f t="shared" si="19"/>
        <v>1.1063632385104882</v>
      </c>
      <c r="Q64" s="2">
        <f t="shared" si="17"/>
        <v>11.976016656289604</v>
      </c>
      <c r="R64" s="15">
        <f t="shared" si="14"/>
        <v>0.992825537019557</v>
      </c>
      <c r="S64" s="10">
        <f t="shared" si="15"/>
        <v>6.1279346408617372E-4</v>
      </c>
      <c r="T64" s="32"/>
      <c r="U64" s="1"/>
      <c r="V64" s="10"/>
    </row>
    <row r="65" spans="1:22">
      <c r="A65" s="13"/>
      <c r="B65" s="35"/>
      <c r="E65" s="1"/>
      <c r="G65" s="13">
        <f t="shared" si="20"/>
        <v>12</v>
      </c>
      <c r="I65" s="1">
        <f>Interpolate_Range('試算番号4-1'!$G$27:$G$143,'試算番号4-1'!$P$27:$P$143,G65)</f>
        <v>2.1323482219625618E-2</v>
      </c>
      <c r="J65" s="2">
        <f>Interpolate_Range('試算番号4-1'!$G$10:$G$143,'試算番号4-1'!$I$10:$I$143,G65)</f>
        <v>0.89280791276953098</v>
      </c>
      <c r="K65" s="1">
        <f t="shared" si="16"/>
        <v>0.12778947437916391</v>
      </c>
      <c r="L65" s="14">
        <f>Interpolate_Range('試算番号4-2'!$G$27:$G$143,'試算番号4-2'!$N$27:$N$143,G65)</f>
        <v>4.9555847720396777E-2</v>
      </c>
      <c r="M65" s="2">
        <f>Interpolate_Range('試算番号4-2'!$G$10:$G$143,'試算番号4-2'!$I$10:$I$143,G65)</f>
        <v>0.71007640537625982</v>
      </c>
      <c r="N65" s="1">
        <f t="shared" si="12"/>
        <v>0.32546516528596559</v>
      </c>
      <c r="O65" s="1">
        <f t="shared" si="18"/>
        <v>-6.6387500000000006E-3</v>
      </c>
      <c r="P65" s="33">
        <f t="shared" si="19"/>
        <v>1.1076281093146674</v>
      </c>
      <c r="Q65" s="2">
        <f t="shared" si="17"/>
        <v>12.223241441390126</v>
      </c>
      <c r="R65" s="15">
        <f t="shared" si="14"/>
        <v>0.98889914040209004</v>
      </c>
      <c r="S65" s="10">
        <f t="shared" si="15"/>
        <v>9.3024449609302874E-4</v>
      </c>
      <c r="T65" s="32"/>
      <c r="U65" s="1"/>
      <c r="V65" s="10"/>
    </row>
    <row r="66" spans="1:22">
      <c r="A66" s="13"/>
      <c r="B66" s="35"/>
      <c r="E66" s="1"/>
      <c r="G66" s="13">
        <f t="shared" si="20"/>
        <v>12.25</v>
      </c>
      <c r="I66" s="1">
        <f>Interpolate_Range('試算番号4-1'!$G$27:$G$143,'試算番号4-1'!$P$27:$P$143,G66)</f>
        <v>2.1618461464783148E-2</v>
      </c>
      <c r="J66" s="2">
        <f>Interpolate_Range('試算番号4-1'!$G$10:$G$143,'試算番号4-1'!$I$10:$I$143,G66)</f>
        <v>0.8880881014835228</v>
      </c>
      <c r="K66" s="1">
        <f t="shared" si="16"/>
        <v>0.1331115672349798</v>
      </c>
      <c r="L66" s="14">
        <f>Interpolate_Range('試算番号4-2'!$G$27:$G$143,'試算番号4-2'!$N$27:$N$143,G66)</f>
        <v>4.3444118251352741E-2</v>
      </c>
      <c r="M66" s="2">
        <f>Interpolate_Range('試算番号4-2'!$G$10:$G$143,'試算番号4-2'!$I$10:$I$143,G66)</f>
        <v>0.70297166275567158</v>
      </c>
      <c r="N66" s="1">
        <f t="shared" si="12"/>
        <v>0.33310016129699244</v>
      </c>
      <c r="O66" s="1">
        <f t="shared" si="18"/>
        <v>-6.5577083333333338E-3</v>
      </c>
      <c r="P66" s="33">
        <f t="shared" si="19"/>
        <v>1.1088214134102672</v>
      </c>
      <c r="Q66" s="2">
        <f t="shared" si="17"/>
        <v>12.469424217370076</v>
      </c>
      <c r="R66" s="15">
        <f t="shared" si="14"/>
        <v>0.98473110391980057</v>
      </c>
      <c r="S66" s="10">
        <f t="shared" si="15"/>
        <v>1.2560543692427578E-3</v>
      </c>
      <c r="T66" s="32"/>
      <c r="U66" s="1"/>
      <c r="V66" s="10"/>
    </row>
    <row r="67" spans="1:22">
      <c r="B67" s="1"/>
      <c r="E67" s="1"/>
      <c r="G67" s="13">
        <f t="shared" si="20"/>
        <v>12.5</v>
      </c>
      <c r="I67" s="1">
        <f>Interpolate_Range('試算番号4-1'!$G$27:$G$143,'試算番号4-1'!$P$27:$P$143,G67)</f>
        <v>2.1618461464783148E-2</v>
      </c>
      <c r="J67" s="2">
        <f>Interpolate_Range('試算番号4-1'!$G$10:$G$143,'試算番号4-1'!$I$10:$I$143,G67)</f>
        <v>0.88336829019751462</v>
      </c>
      <c r="K67" s="1">
        <f t="shared" si="16"/>
        <v>0.13841058809283377</v>
      </c>
      <c r="L67" s="14">
        <f>Interpolate_Range('試算番号4-2'!$G$27:$G$143,'試算番号4-2'!$N$27:$N$143,G67)</f>
        <v>4.3444118251352741E-2</v>
      </c>
      <c r="M67" s="2">
        <f>Interpolate_Range('試算番号4-2'!$G$10:$G$143,'試算番号4-2'!$I$10:$I$143,G67)</f>
        <v>0.69586692013508322</v>
      </c>
      <c r="N67" s="1">
        <f t="shared" si="12"/>
        <v>0.34065799248838075</v>
      </c>
      <c r="O67" s="1">
        <f t="shared" si="18"/>
        <v>-6.476666666666667E-3</v>
      </c>
      <c r="P67" s="33">
        <f t="shared" si="19"/>
        <v>1.1099132391774618</v>
      </c>
      <c r="Q67" s="2">
        <f t="shared" si="17"/>
        <v>12.71453975746002</v>
      </c>
      <c r="R67" s="15">
        <f t="shared" si="14"/>
        <v>0.98046216035977951</v>
      </c>
      <c r="S67" s="10">
        <f t="shared" si="15"/>
        <v>1.5784981022654366E-3</v>
      </c>
      <c r="T67" s="32"/>
      <c r="U67" s="1"/>
      <c r="V67" s="10"/>
    </row>
    <row r="68" spans="1:22">
      <c r="B68" s="1"/>
      <c r="E68" s="1"/>
      <c r="G68" s="13">
        <f t="shared" si="20"/>
        <v>12.75</v>
      </c>
      <c r="I68" s="1">
        <f>Interpolate_Range('試算番号4-1'!$G$27:$G$143,'試算番号4-1'!$P$27:$P$143,G68)</f>
        <v>2.2574478510786204E-2</v>
      </c>
      <c r="J68" s="2">
        <f>Interpolate_Range('試算番号4-1'!$G$10:$G$143,'試算番号4-1'!$I$10:$I$143,G68)</f>
        <v>0.87864847891150633</v>
      </c>
      <c r="K68" s="1">
        <f t="shared" si="16"/>
        <v>0.14391902528796743</v>
      </c>
      <c r="L68" s="14">
        <f>Interpolate_Range('試算番号4-2'!$G$27:$G$143,'試算番号4-2'!$N$27:$N$143,G68)</f>
        <v>4.4530178737326842E-2</v>
      </c>
      <c r="M68" s="2">
        <f>Interpolate_Range('試算番号4-2'!$G$10:$G$143,'試算番号4-2'!$I$10:$I$143,G68)</f>
        <v>0.68876217751449476</v>
      </c>
      <c r="N68" s="1">
        <f t="shared" si="12"/>
        <v>0.34832566820643845</v>
      </c>
      <c r="O68" s="1">
        <f t="shared" si="18"/>
        <v>-6.3956250000000003E-3</v>
      </c>
      <c r="P68" s="33">
        <f t="shared" si="19"/>
        <v>1.1108502200983448</v>
      </c>
      <c r="Q68" s="2">
        <f t="shared" si="17"/>
        <v>12.958551471507</v>
      </c>
      <c r="R68" s="15">
        <f t="shared" si="14"/>
        <v>0.97604685618792264</v>
      </c>
      <c r="S68" s="10">
        <f t="shared" si="15"/>
        <v>1.9015439476192473E-3</v>
      </c>
      <c r="T68" s="32"/>
      <c r="U68" s="1"/>
      <c r="V68" s="10"/>
    </row>
    <row r="69" spans="1:22">
      <c r="B69" s="1"/>
      <c r="E69" s="1"/>
      <c r="G69" s="13">
        <f t="shared" si="20"/>
        <v>13</v>
      </c>
      <c r="I69" s="1">
        <f>Interpolate_Range('試算番号4-1'!$G$27:$G$143,'試算番号4-1'!$P$27:$P$143,G69)</f>
        <v>2.2574478510786204E-2</v>
      </c>
      <c r="J69" s="2">
        <f>Interpolate_Range('試算番号4-1'!$G$10:$G$143,'試算番号4-1'!$I$10:$I$143,G69)</f>
        <v>0.87392866762549815</v>
      </c>
      <c r="K69" s="1">
        <f t="shared" si="16"/>
        <v>0.14940197819661855</v>
      </c>
      <c r="L69" s="14">
        <f>Interpolate_Range('試算番号4-2'!$G$27:$G$143,'試算番号4-2'!$N$27:$N$143,G69)</f>
        <v>4.4530178737326842E-2</v>
      </c>
      <c r="M69" s="2">
        <f>Interpolate_Range('試算番号4-2'!$G$10:$G$143,'試算番号4-2'!$I$10:$I$143,G69)</f>
        <v>0.68165743489390651</v>
      </c>
      <c r="N69" s="1">
        <f t="shared" si="12"/>
        <v>0.35591425005980182</v>
      </c>
      <c r="O69" s="1">
        <f t="shared" si="18"/>
        <v>-6.3145833333333335E-3</v>
      </c>
      <c r="P69" s="33">
        <f t="shared" si="19"/>
        <v>1.1116825659516023</v>
      </c>
      <c r="Q69" s="2">
        <f t="shared" si="17"/>
        <v>13.201434287428146</v>
      </c>
      <c r="R69" s="15">
        <f t="shared" si="14"/>
        <v>0.97153126368457876</v>
      </c>
      <c r="S69" s="10">
        <f t="shared" si="15"/>
        <v>2.2216792187660802E-3</v>
      </c>
      <c r="T69" s="32"/>
      <c r="U69" s="1"/>
      <c r="V69" s="10"/>
    </row>
    <row r="70" spans="1:22">
      <c r="B70" s="1"/>
      <c r="E70" s="1"/>
      <c r="G70" s="13">
        <f t="shared" si="20"/>
        <v>13.25</v>
      </c>
      <c r="I70" s="1">
        <f>Interpolate_Range('試算番号4-1'!$G$27:$G$143,'試算番号4-1'!$P$27:$P$143,G70)</f>
        <v>2.355402363083078E-2</v>
      </c>
      <c r="J70" s="2">
        <f>Interpolate_Range('試算番号4-1'!$G$10:$G$143,'試算番号4-1'!$I$10:$I$143,G70)</f>
        <v>0.86888566892751917</v>
      </c>
      <c r="K70" s="1">
        <f t="shared" si="16"/>
        <v>0.15509487920745973</v>
      </c>
      <c r="L70" s="14">
        <f>Interpolate_Range('試算番号4-2'!$G$27:$G$143,'試算番号4-2'!$N$27:$N$143,G70)</f>
        <v>4.5636599756648855E-2</v>
      </c>
      <c r="M70" s="2">
        <f>Interpolate_Range('試算番号4-2'!$G$10:$G$143,'試算番号4-2'!$I$10:$I$143,G70)</f>
        <v>0.67446911416288469</v>
      </c>
      <c r="N70" s="1">
        <f t="shared" si="12"/>
        <v>0.36360936931262011</v>
      </c>
      <c r="O70" s="1">
        <f t="shared" si="18"/>
        <v>-6.2335416666666667E-3</v>
      </c>
      <c r="P70" s="33">
        <f t="shared" si="19"/>
        <v>1.11266873003828</v>
      </c>
      <c r="Q70" s="2">
        <f t="shared" si="17"/>
        <v>13.443129765876657</v>
      </c>
      <c r="R70" s="15">
        <f t="shared" si="14"/>
        <v>0.96678191379404421</v>
      </c>
      <c r="S70" s="10">
        <f t="shared" si="15"/>
        <v>2.5496103860911056E-3</v>
      </c>
      <c r="T70" s="32"/>
      <c r="U70" s="1"/>
      <c r="V70" s="10"/>
    </row>
    <row r="71" spans="1:22">
      <c r="B71" s="1"/>
      <c r="E71" s="1"/>
      <c r="G71" s="13">
        <f t="shared" si="20"/>
        <v>13.5</v>
      </c>
      <c r="I71" s="1">
        <f>Interpolate_Range('試算番号4-1'!$G$27:$G$143,'試算番号4-1'!$P$27:$P$143,G71)</f>
        <v>2.355402363083078E-2</v>
      </c>
      <c r="J71" s="2">
        <f>Interpolate_Range('試算番号4-1'!$G$10:$G$143,'試算番号4-1'!$I$10:$I$143,G71)</f>
        <v>0.8638426702295402</v>
      </c>
      <c r="K71" s="1">
        <f t="shared" si="16"/>
        <v>0.16075922425976594</v>
      </c>
      <c r="L71" s="14">
        <f>Interpolate_Range('試算番号4-2'!$G$27:$G$143,'試算番号4-2'!$N$27:$N$143,G71)</f>
        <v>4.5636599756648855E-2</v>
      </c>
      <c r="M71" s="2">
        <f>Interpolate_Range('試算番号4-2'!$G$10:$G$143,'試算番号4-2'!$I$10:$I$143,G71)</f>
        <v>0.66728079343186275</v>
      </c>
      <c r="N71" s="1">
        <f t="shared" si="12"/>
        <v>0.37122247593640734</v>
      </c>
      <c r="O71" s="1">
        <f t="shared" si="18"/>
        <v>-6.1525E-3</v>
      </c>
      <c r="P71" s="33">
        <f t="shared" si="19"/>
        <v>1.113550541701154</v>
      </c>
      <c r="Q71" s="2">
        <f t="shared" si="17"/>
        <v>13.683612884221326</v>
      </c>
      <c r="R71" s="15">
        <f t="shared" si="14"/>
        <v>0.96193247337867582</v>
      </c>
      <c r="S71" s="10">
        <f t="shared" si="15"/>
        <v>2.8748907239410861E-3</v>
      </c>
      <c r="T71" s="32"/>
      <c r="U71" s="1"/>
      <c r="V71" s="10"/>
    </row>
    <row r="72" spans="1:22">
      <c r="B72" s="1"/>
      <c r="E72" s="1"/>
      <c r="G72" s="13">
        <f t="shared" si="20"/>
        <v>13.75</v>
      </c>
      <c r="I72" s="1">
        <f>Interpolate_Range('試算番号4-1'!$G$27:$G$143,'試算番号4-1'!$P$27:$P$143,G72)</f>
        <v>2.4538449300093027E-2</v>
      </c>
      <c r="J72" s="2">
        <f>Interpolate_Range('試算番号4-1'!$G$10:$G$143,'試算番号4-1'!$I$10:$I$143,G72)</f>
        <v>0.85879967153156123</v>
      </c>
      <c r="K72" s="1">
        <f t="shared" si="16"/>
        <v>0.16662964921239756</v>
      </c>
      <c r="L72" s="14">
        <f>Interpolate_Range('試算番号4-2'!$G$27:$G$143,'試算番号4-2'!$N$27:$N$143,G72)</f>
        <v>4.6767203364518908E-2</v>
      </c>
      <c r="M72" s="2">
        <f>Interpolate_Range('試算番号4-2'!$G$10:$G$143,'試算番号4-2'!$I$10:$I$143,G72)</f>
        <v>0.66009247270084082</v>
      </c>
      <c r="N72" s="1">
        <f t="shared" si="12"/>
        <v>0.37894014566395445</v>
      </c>
      <c r="O72" s="1">
        <f t="shared" si="18"/>
        <v>-6.0714583333333341E-3</v>
      </c>
      <c r="P72" s="33">
        <f t="shared" si="19"/>
        <v>1.1142702821421544</v>
      </c>
      <c r="Q72" s="2">
        <f t="shared" si="17"/>
        <v>13.922846622296591</v>
      </c>
      <c r="R72" s="15">
        <f t="shared" si="14"/>
        <v>0.95693495230106229</v>
      </c>
      <c r="S72" s="10">
        <f t="shared" si="15"/>
        <v>3.2014443830246614E-3</v>
      </c>
      <c r="T72" s="32"/>
      <c r="U72" s="1"/>
      <c r="V72" s="10"/>
    </row>
    <row r="73" spans="1:22">
      <c r="B73" s="1"/>
      <c r="E73" s="1"/>
      <c r="G73" s="13">
        <f t="shared" si="20"/>
        <v>14</v>
      </c>
      <c r="I73" s="1">
        <f>Interpolate_Range('試算番号4-1'!$G$27:$G$143,'試算番号4-1'!$P$27:$P$143,G73)</f>
        <v>2.4538449300093027E-2</v>
      </c>
      <c r="J73" s="2">
        <f>Interpolate_Range('試算番号4-1'!$G$10:$G$143,'試算番号4-1'!$I$10:$I$143,G73)</f>
        <v>0.85375667283358225</v>
      </c>
      <c r="K73" s="1">
        <f t="shared" si="16"/>
        <v>0.17246880783843208</v>
      </c>
      <c r="L73" s="14">
        <f>Interpolate_Range('試算番号4-2'!$G$27:$G$143,'試算番号4-2'!$N$27:$N$143,G73)</f>
        <v>4.6767203364518908E-2</v>
      </c>
      <c r="M73" s="2">
        <f>Interpolate_Range('試算番号4-2'!$G$10:$G$143,'試算番号4-2'!$I$10:$I$143,G73)</f>
        <v>0.65290415196981899</v>
      </c>
      <c r="N73" s="1">
        <f t="shared" si="12"/>
        <v>0.38657377097713225</v>
      </c>
      <c r="O73" s="1">
        <f t="shared" si="18"/>
        <v>-5.9904166666666673E-3</v>
      </c>
      <c r="P73" s="33">
        <f t="shared" si="19"/>
        <v>1.1148823485314479</v>
      </c>
      <c r="Q73" s="2">
        <f t="shared" si="17"/>
        <v>14.160806183417366</v>
      </c>
      <c r="R73" s="15">
        <f t="shared" si="14"/>
        <v>0.95183824448309917</v>
      </c>
      <c r="S73" s="10">
        <f t="shared" si="15"/>
        <v>3.5257264203266774E-3</v>
      </c>
      <c r="T73" s="32"/>
      <c r="U73" s="1"/>
      <c r="V73" s="10"/>
    </row>
    <row r="74" spans="1:22">
      <c r="B74" s="1"/>
      <c r="E74" s="1"/>
      <c r="G74" s="13">
        <f t="shared" si="20"/>
        <v>14.25</v>
      </c>
      <c r="I74" s="1">
        <f>Interpolate_Range('試算番号4-1'!$G$27:$G$143,'試算番号4-1'!$P$27:$P$143,G74)</f>
        <v>2.5545002383306883E-2</v>
      </c>
      <c r="J74" s="2">
        <f>Interpolate_Range('試算番号4-1'!$G$10:$G$143,'試算番号4-1'!$I$10:$I$143,G74)</f>
        <v>0.84840723745581959</v>
      </c>
      <c r="K74" s="1">
        <f t="shared" si="16"/>
        <v>0.1785135723985308</v>
      </c>
      <c r="L74" s="14">
        <f>Interpolate_Range('試算番号4-2'!$G$27:$G$143,'試算番号4-2'!$N$27:$N$143,G74)</f>
        <v>4.7921347228052746E-2</v>
      </c>
      <c r="M74" s="2">
        <f>Interpolate_Range('試算番号4-2'!$G$10:$G$143,'試算番号4-2'!$I$10:$I$143,G74)</f>
        <v>0.64565273354699948</v>
      </c>
      <c r="N74" s="1">
        <f t="shared" si="12"/>
        <v>0.39430890818539405</v>
      </c>
      <c r="O74" s="1">
        <f t="shared" si="18"/>
        <v>-5.9093750000000006E-3</v>
      </c>
      <c r="P74" s="33">
        <f t="shared" si="19"/>
        <v>1.1156528241493273</v>
      </c>
      <c r="Q74" s="2">
        <f t="shared" si="17"/>
        <v>14.397438166041445</v>
      </c>
      <c r="R74" s="15">
        <f t="shared" ref="R74:R105" si="21">J74*P74</f>
        <v>0.94652793049631412</v>
      </c>
      <c r="S74" s="10">
        <f t="shared" si="15"/>
        <v>3.8564771598215788E-3</v>
      </c>
      <c r="T74" s="32"/>
      <c r="U74" s="1"/>
      <c r="V74" s="10"/>
    </row>
    <row r="75" spans="1:22">
      <c r="B75" s="1"/>
      <c r="E75" s="1"/>
      <c r="G75" s="13">
        <f t="shared" si="20"/>
        <v>14.5</v>
      </c>
      <c r="I75" s="1">
        <f>Interpolate_Range('試算番号4-1'!$G$27:$G$143,'試算番号4-1'!$P$27:$P$143,G75)</f>
        <v>2.5545002383306883E-2</v>
      </c>
      <c r="J75" s="2">
        <f>Interpolate_Range('試算番号4-1'!$G$10:$G$143,'試算番号4-1'!$I$10:$I$143,G75)</f>
        <v>0.84305780207805703</v>
      </c>
      <c r="K75" s="1">
        <f t="shared" si="16"/>
        <v>0.18452379448757508</v>
      </c>
      <c r="L75" s="14">
        <f>Interpolate_Range('試算番号4-2'!$G$27:$G$143,'試算番号4-2'!$N$27:$N$143,G75)</f>
        <v>4.7921347228052746E-2</v>
      </c>
      <c r="M75" s="2">
        <f>Interpolate_Range('試算番号4-2'!$G$10:$G$143,'試算番号4-2'!$I$10:$I$143,G75)</f>
        <v>0.63840131512417975</v>
      </c>
      <c r="N75" s="1">
        <f t="shared" si="12"/>
        <v>0.40195717095862188</v>
      </c>
      <c r="O75" s="1">
        <f t="shared" si="18"/>
        <v>-5.8283333333333338E-3</v>
      </c>
      <c r="P75" s="33">
        <f t="shared" si="19"/>
        <v>1.116316161163035</v>
      </c>
      <c r="Q75" s="2">
        <f t="shared" si="17"/>
        <v>14.632717928355026</v>
      </c>
      <c r="R75" s="15">
        <f t="shared" si="21"/>
        <v>0.94111904925432233</v>
      </c>
      <c r="S75" s="10">
        <f t="shared" ref="S75:S106" si="22">-LN(R75)/G75</f>
        <v>4.1852161272354022E-3</v>
      </c>
      <c r="T75" s="32"/>
      <c r="U75" s="1"/>
      <c r="V75" s="10"/>
    </row>
    <row r="76" spans="1:22">
      <c r="A76" s="10"/>
      <c r="B76" s="10"/>
      <c r="C76" s="1"/>
      <c r="G76" s="13">
        <f t="shared" si="20"/>
        <v>14.75</v>
      </c>
      <c r="I76" s="1">
        <f>Interpolate_Range('試算番号4-1'!$G$27:$G$143,'試算番号4-1'!$P$27:$P$143,G76)</f>
        <v>2.6557625055053113E-2</v>
      </c>
      <c r="J76" s="2">
        <f>Interpolate_Range('試算番号4-1'!$G$10:$G$143,'試算番号4-1'!$I$10:$I$143,G76)</f>
        <v>0.83770836670029447</v>
      </c>
      <c r="K76" s="1">
        <f t="shared" si="16"/>
        <v>0.19073537203432164</v>
      </c>
      <c r="L76" s="14">
        <f>Interpolate_Range('試算番号4-2'!$G$27:$G$143,'試算番号4-2'!$N$27:$N$143,G76)</f>
        <v>4.9102577951207878E-2</v>
      </c>
      <c r="M76" s="2">
        <f>Interpolate_Range('試算番号4-2'!$G$10:$G$143,'試算番号4-2'!$I$10:$I$143,G76)</f>
        <v>0.63114989670136024</v>
      </c>
      <c r="N76" s="1">
        <f t="shared" si="12"/>
        <v>0.40970494270904073</v>
      </c>
      <c r="O76" s="1">
        <f t="shared" si="18"/>
        <v>-5.747291666666667E-3</v>
      </c>
      <c r="P76" s="33">
        <f t="shared" si="19"/>
        <v>1.1168113386331813</v>
      </c>
      <c r="Q76" s="2">
        <f t="shared" si="17"/>
        <v>14.866608478954719</v>
      </c>
      <c r="R76" s="15">
        <f t="shared" si="21"/>
        <v>0.93556220239877175</v>
      </c>
      <c r="S76" s="10">
        <f t="shared" si="22"/>
        <v>4.5157725020642213E-3</v>
      </c>
      <c r="T76" s="32"/>
      <c r="U76" s="1"/>
      <c r="V76" s="10"/>
    </row>
    <row r="77" spans="1:22">
      <c r="A77" s="10"/>
      <c r="B77" s="10"/>
      <c r="C77" s="1"/>
      <c r="G77" s="13">
        <f t="shared" si="20"/>
        <v>15</v>
      </c>
      <c r="I77" s="1">
        <f>Interpolate_Range('試算番号4-1'!$G$27:$G$143,'試算番号4-1'!$P$27:$P$143,G77)</f>
        <v>2.6557625055053113E-2</v>
      </c>
      <c r="J77" s="2">
        <f>Interpolate_Range('試算番号4-1'!$G$10:$G$143,'試算番号4-1'!$I$10:$I$143,G77)</f>
        <v>0.8323589313225318</v>
      </c>
      <c r="K77" s="1">
        <f t="shared" si="16"/>
        <v>0.19690940877641788</v>
      </c>
      <c r="L77" s="14">
        <f>Interpolate_Range('試算番号4-2'!$G$27:$G$143,'試算番号4-2'!$N$27:$N$143,G77)</f>
        <v>4.9102577951207878E-2</v>
      </c>
      <c r="M77" s="2">
        <f>Interpolate_Range('試算番号4-2'!$G$10:$G$143,'試算番号4-2'!$I$10:$I$143,G77)</f>
        <v>0.62389847827854072</v>
      </c>
      <c r="N77" s="1">
        <f t="shared" si="12"/>
        <v>0.41736369862486872</v>
      </c>
      <c r="O77" s="1">
        <f t="shared" si="18"/>
        <v>-5.6662500000000003E-3</v>
      </c>
      <c r="P77" s="33">
        <f t="shared" si="19"/>
        <v>1.1171958708841898</v>
      </c>
      <c r="Q77" s="2">
        <f t="shared" si="17"/>
        <v>15.099085469246496</v>
      </c>
      <c r="R77" s="15">
        <f t="shared" si="21"/>
        <v>0.9299079611671095</v>
      </c>
      <c r="S77" s="10">
        <f t="shared" si="22"/>
        <v>4.8446442812880245E-3</v>
      </c>
      <c r="T77" s="32"/>
      <c r="U77" s="1"/>
      <c r="V77" s="10"/>
    </row>
    <row r="78" spans="1:22">
      <c r="A78" s="10"/>
      <c r="B78" s="10"/>
      <c r="C78" s="1"/>
      <c r="G78" s="13">
        <f t="shared" si="20"/>
        <v>15.25</v>
      </c>
      <c r="I78" s="1">
        <f>Interpolate_Range('試算番号4-1'!$G$27:$G$143,'試算番号4-1'!$P$27:$P$143,G78)</f>
        <v>2.2884139047521398E-2</v>
      </c>
      <c r="J78" s="2">
        <f>Interpolate_Range('試算番号4-1'!$G$10:$G$143,'試算番号4-1'!$I$10:$I$143,G78)</f>
        <v>0.82775881854766187</v>
      </c>
      <c r="K78" s="1">
        <f t="shared" si="16"/>
        <v>0.20220263396394816</v>
      </c>
      <c r="L78" s="14">
        <f>Interpolate_Range('試算番号4-2'!$G$27:$G$143,'試算番号4-2'!$N$27:$N$143,G78)</f>
        <v>4.1216472433169601E-2</v>
      </c>
      <c r="M78" s="2">
        <f>Interpolate_Range('試算番号4-2'!$G$10:$G$143,'試算番号4-2'!$I$10:$I$143,G78)</f>
        <v>0.61803562448324389</v>
      </c>
      <c r="N78" s="1">
        <f t="shared" si="12"/>
        <v>0.42373201069467631</v>
      </c>
      <c r="O78" s="1">
        <f t="shared" si="18"/>
        <v>-5.5873750000000003E-3</v>
      </c>
      <c r="P78" s="33">
        <f t="shared" si="19"/>
        <v>1.1177430227584553</v>
      </c>
      <c r="Q78" s="2">
        <f t="shared" si="17"/>
        <v>15.330390880236104</v>
      </c>
      <c r="R78" s="15">
        <f t="shared" si="21"/>
        <v>0.92522164395843132</v>
      </c>
      <c r="S78" s="10">
        <f t="shared" si="22"/>
        <v>5.0965216447623951E-3</v>
      </c>
      <c r="T78" s="32"/>
      <c r="U78" s="1"/>
      <c r="V78" s="10"/>
    </row>
    <row r="79" spans="1:22">
      <c r="A79" s="10"/>
      <c r="B79" s="10"/>
      <c r="C79" s="1"/>
      <c r="G79" s="13">
        <f t="shared" si="20"/>
        <v>15.5</v>
      </c>
      <c r="I79" s="1">
        <f>Interpolate_Range('試算番号4-1'!$G$27:$G$143,'試算番号4-1'!$P$27:$P$143,G79)</f>
        <v>2.2884139047521398E-2</v>
      </c>
      <c r="J79" s="2">
        <f>Interpolate_Range('試算番号4-1'!$G$10:$G$143,'試算番号4-1'!$I$10:$I$143,G79)</f>
        <v>0.82315870577279204</v>
      </c>
      <c r="K79" s="1">
        <f t="shared" si="16"/>
        <v>0.20746861255649529</v>
      </c>
      <c r="L79" s="14">
        <f>Interpolate_Range('試算番号4-2'!$G$27:$G$143,'試算番号4-2'!$N$27:$N$143,G79)</f>
        <v>4.1216472433169601E-2</v>
      </c>
      <c r="M79" s="2">
        <f>Interpolate_Range('試算番号4-2'!$G$10:$G$143,'試算番号4-2'!$I$10:$I$143,G79)</f>
        <v>0.61217277068794695</v>
      </c>
      <c r="N79" s="1">
        <f t="shared" si="12"/>
        <v>0.43003991122652552</v>
      </c>
      <c r="O79" s="1">
        <f t="shared" si="18"/>
        <v>-5.5085000000000004E-3</v>
      </c>
      <c r="P79" s="33">
        <f t="shared" si="19"/>
        <v>1.1182037052211706</v>
      </c>
      <c r="Q79" s="2">
        <f t="shared" si="17"/>
        <v>15.560505658931154</v>
      </c>
      <c r="R79" s="15">
        <f t="shared" si="21"/>
        <v>0.92045911478019948</v>
      </c>
      <c r="S79" s="10">
        <f t="shared" si="22"/>
        <v>5.3472706846735812E-3</v>
      </c>
      <c r="T79" s="32"/>
      <c r="U79" s="1"/>
      <c r="V79" s="10"/>
    </row>
    <row r="80" spans="1:22">
      <c r="A80" s="10"/>
      <c r="B80" s="10"/>
      <c r="C80" s="1"/>
      <c r="G80" s="13">
        <f t="shared" si="20"/>
        <v>15.75</v>
      </c>
      <c r="I80" s="1">
        <f>Interpolate_Range('試算番号4-1'!$G$27:$G$143,'試算番号4-1'!$P$27:$P$143,G80)</f>
        <v>2.3546339233193925E-2</v>
      </c>
      <c r="J80" s="2">
        <f>Interpolate_Range('試算番号4-1'!$G$10:$G$143,'試算番号4-1'!$I$10:$I$143,G80)</f>
        <v>0.81855859299792211</v>
      </c>
      <c r="K80" s="1">
        <f t="shared" si="16"/>
        <v>0.21285809129636216</v>
      </c>
      <c r="L80" s="14">
        <f>Interpolate_Range('試算番号4-2'!$G$27:$G$143,'試算番号4-2'!$N$27:$N$143,G80)</f>
        <v>4.1764099090165145E-2</v>
      </c>
      <c r="M80" s="2">
        <f>Interpolate_Range('試算番号4-2'!$G$10:$G$143,'試算番号4-2'!$I$10:$I$143,G80)</f>
        <v>0.60630991689265012</v>
      </c>
      <c r="N80" s="1">
        <f t="shared" si="12"/>
        <v>0.43637040808863914</v>
      </c>
      <c r="O80" s="1">
        <f t="shared" si="18"/>
        <v>-5.4296250000000004E-3</v>
      </c>
      <c r="P80" s="33">
        <f t="shared" si="19"/>
        <v>1.1184938122219423</v>
      </c>
      <c r="Q80" s="2">
        <f t="shared" si="17"/>
        <v>15.789393839233473</v>
      </c>
      <c r="R80" s="15">
        <f t="shared" si="21"/>
        <v>0.91555272120927522</v>
      </c>
      <c r="S80" s="10">
        <f t="shared" si="22"/>
        <v>5.6017351864253509E-3</v>
      </c>
      <c r="T80" s="32"/>
      <c r="U80" s="1"/>
      <c r="V80" s="10"/>
    </row>
    <row r="81" spans="1:22">
      <c r="A81" s="10"/>
      <c r="B81" s="10"/>
      <c r="C81" s="1"/>
      <c r="G81" s="13">
        <f t="shared" si="20"/>
        <v>16</v>
      </c>
      <c r="I81" s="1">
        <f>Interpolate_Range('試算番号4-1'!$G$27:$G$143,'試算番号4-1'!$P$27:$P$143,G81)</f>
        <v>2.3546339233193925E-2</v>
      </c>
      <c r="J81" s="2">
        <f>Interpolate_Range('試算番号4-1'!$G$10:$G$143,'試算番号4-1'!$I$10:$I$143,G81)</f>
        <v>0.81395848022305217</v>
      </c>
      <c r="K81" s="1">
        <f t="shared" si="16"/>
        <v>0.21821824862430497</v>
      </c>
      <c r="L81" s="14">
        <f>Interpolate_Range('試算番号4-2'!$G$27:$G$143,'試算番号4-2'!$N$27:$N$143,G81)</f>
        <v>4.1764099090165145E-2</v>
      </c>
      <c r="M81" s="2">
        <f>Interpolate_Range('試算番号4-2'!$G$10:$G$143,'試算番号4-2'!$I$10:$I$143,G81)</f>
        <v>0.60044706309735318</v>
      </c>
      <c r="N81" s="1">
        <f t="shared" si="12"/>
        <v>0.44263969074903825</v>
      </c>
      <c r="O81" s="1">
        <f t="shared" si="18"/>
        <v>-5.3507500000000005E-3</v>
      </c>
      <c r="P81" s="33">
        <f t="shared" si="19"/>
        <v>1.1186954700582297</v>
      </c>
      <c r="Q81" s="2">
        <f t="shared" si="17"/>
        <v>16.017036755393725</v>
      </c>
      <c r="R81" s="15">
        <f t="shared" si="21"/>
        <v>0.91057166464100958</v>
      </c>
      <c r="S81" s="10">
        <f t="shared" si="22"/>
        <v>5.8551671128673323E-3</v>
      </c>
      <c r="T81" s="32"/>
      <c r="U81" s="1"/>
      <c r="V81" s="10"/>
    </row>
    <row r="82" spans="1:22">
      <c r="A82" s="10"/>
      <c r="B82" s="10"/>
      <c r="C82" s="1"/>
      <c r="G82" s="13">
        <f t="shared" si="20"/>
        <v>16.25</v>
      </c>
      <c r="I82" s="1">
        <f>Interpolate_Range('試算番号4-1'!$G$27:$G$143,'試算番号4-1'!$P$27:$P$143,G82)</f>
        <v>2.4245543983335928E-2</v>
      </c>
      <c r="J82" s="2">
        <f>Interpolate_Range('試算番号4-1'!$G$10:$G$143,'試算番号4-1'!$I$10:$I$143,G82)</f>
        <v>0.80918258613114591</v>
      </c>
      <c r="K82" s="1">
        <f t="shared" si="16"/>
        <v>0.22370682170735301</v>
      </c>
      <c r="L82" s="14">
        <f>Interpolate_Range('試算番号4-2'!$G$27:$G$143,'試算番号4-2'!$N$27:$N$143,G82)</f>
        <v>4.2322138041372644E-2</v>
      </c>
      <c r="M82" s="2">
        <f>Interpolate_Range('試算番号4-2'!$G$10:$G$143,'試算番号4-2'!$I$10:$I$143,G82)</f>
        <v>0.59464031560895136</v>
      </c>
      <c r="N82" s="1">
        <f t="shared" si="12"/>
        <v>0.44893130312958013</v>
      </c>
      <c r="O82" s="1">
        <f t="shared" si="18"/>
        <v>-5.2718750000000005E-3</v>
      </c>
      <c r="P82" s="33">
        <f t="shared" si="19"/>
        <v>1.119028073890141</v>
      </c>
      <c r="Q82" s="2">
        <f t="shared" si="17"/>
        <v>16.243411263089669</v>
      </c>
      <c r="R82" s="15">
        <f t="shared" si="21"/>
        <v>0.90549803078377933</v>
      </c>
      <c r="S82" s="10">
        <f t="shared" si="22"/>
        <v>6.1089339316339761E-3</v>
      </c>
      <c r="T82" s="32"/>
      <c r="U82" s="1"/>
      <c r="V82" s="10"/>
    </row>
    <row r="83" spans="1:22">
      <c r="A83" s="10"/>
      <c r="B83" s="10"/>
      <c r="C83" s="1"/>
      <c r="G83" s="13">
        <f t="shared" si="20"/>
        <v>16.5</v>
      </c>
      <c r="I83" s="1">
        <f>Interpolate_Range('試算番号4-1'!$G$27:$G$143,'試算番号4-1'!$P$27:$P$143,G83)</f>
        <v>2.4245543983335928E-2</v>
      </c>
      <c r="J83" s="2">
        <f>Interpolate_Range('試算番号4-1'!$G$10:$G$143,'試算番号4-1'!$I$10:$I$143,G83)</f>
        <v>0.80440669203923965</v>
      </c>
      <c r="K83" s="1">
        <f t="shared" si="16"/>
        <v>0.22916420125820972</v>
      </c>
      <c r="L83" s="14">
        <f>Interpolate_Range('試算番号4-2'!$G$27:$G$143,'試算番号4-2'!$N$27:$N$143,G83)</f>
        <v>4.2322138041372644E-2</v>
      </c>
      <c r="M83" s="2">
        <f>Interpolate_Range('試算番号4-2'!$G$10:$G$143,'試算番号4-2'!$I$10:$I$143,G83)</f>
        <v>0.58883356812054954</v>
      </c>
      <c r="N83" s="1">
        <f t="shared" si="12"/>
        <v>0.45516147701792808</v>
      </c>
      <c r="O83" s="1">
        <f t="shared" si="18"/>
        <v>-5.1930000000000006E-3</v>
      </c>
      <c r="P83" s="33">
        <f t="shared" si="19"/>
        <v>1.119274328710218</v>
      </c>
      <c r="Q83" s="2">
        <f t="shared" si="17"/>
        <v>16.468499203150227</v>
      </c>
      <c r="R83" s="15">
        <f t="shared" si="21"/>
        <v>0.90035176024222707</v>
      </c>
      <c r="S83" s="10">
        <f t="shared" si="22"/>
        <v>6.3618028669175644E-3</v>
      </c>
      <c r="T83" s="32"/>
      <c r="U83" s="1"/>
      <c r="V83" s="10"/>
    </row>
    <row r="84" spans="1:22">
      <c r="A84" s="10"/>
      <c r="B84" s="10"/>
      <c r="C84" s="1"/>
      <c r="G84" s="13">
        <f t="shared" si="20"/>
        <v>16.75</v>
      </c>
      <c r="I84" s="1">
        <f>Interpolate_Range('試算番号4-1'!$G$27:$G$143,'試算番号4-1'!$P$27:$P$143,G84)</f>
        <v>2.4949227041731418E-2</v>
      </c>
      <c r="J84" s="2">
        <f>Interpolate_Range('試算番号4-1'!$G$10:$G$143,'試算番号4-1'!$I$10:$I$143,G84)</f>
        <v>0.79963079794733327</v>
      </c>
      <c r="K84" s="1">
        <f t="shared" ref="K84:K115" si="23">K83+J84*0.25*I84*P84</f>
        <v>0.23474695868843271</v>
      </c>
      <c r="L84" s="14">
        <f>Interpolate_Range('試算番号4-2'!$G$27:$G$143,'試算番号4-2'!$N$27:$N$143,G84)</f>
        <v>4.2888710974902794E-2</v>
      </c>
      <c r="M84" s="2">
        <f>Interpolate_Range('試算番号4-2'!$G$10:$G$143,'試算番号4-2'!$I$10:$I$143,G84)</f>
        <v>0.58302682063214761</v>
      </c>
      <c r="N84" s="1">
        <f t="shared" si="12"/>
        <v>0.46141279421810527</v>
      </c>
      <c r="O84" s="1">
        <f t="shared" si="18"/>
        <v>-5.1141250000000006E-3</v>
      </c>
      <c r="P84" s="33">
        <f t="shared" si="19"/>
        <v>1.1193403040802825</v>
      </c>
      <c r="Q84" s="2">
        <f t="shared" ref="Q84:Q115" si="24">Q83+J84*0.25*P84</f>
        <v>16.692263948281809</v>
      </c>
      <c r="R84" s="15">
        <f t="shared" si="21"/>
        <v>0.89505898052632693</v>
      </c>
      <c r="S84" s="10">
        <f t="shared" si="22"/>
        <v>6.6188455432344877E-3</v>
      </c>
      <c r="T84" s="32"/>
      <c r="U84" s="1"/>
      <c r="V84" s="10"/>
    </row>
    <row r="85" spans="1:22">
      <c r="A85" s="10"/>
      <c r="B85" s="10"/>
      <c r="C85" s="1"/>
      <c r="G85" s="13">
        <f t="shared" si="20"/>
        <v>17</v>
      </c>
      <c r="I85" s="1">
        <f>Interpolate_Range('試算番号4-1'!$G$27:$G$143,'試算番号4-1'!$P$27:$P$143,G85)</f>
        <v>2.4949227041731418E-2</v>
      </c>
      <c r="J85" s="2">
        <f>Interpolate_Range('試算番号4-1'!$G$10:$G$143,'試算番号4-1'!$I$10:$I$143,G85)</f>
        <v>0.79485490385542701</v>
      </c>
      <c r="K85" s="1">
        <f t="shared" si="23"/>
        <v>0.24029626147090463</v>
      </c>
      <c r="L85" s="14">
        <f>Interpolate_Range('試算番号4-2'!$G$27:$G$143,'試算番号4-2'!$N$27:$N$143,G85)</f>
        <v>4.2888710974902794E-2</v>
      </c>
      <c r="M85" s="2">
        <f>Interpolate_Range('試算番号4-2'!$G$10:$G$143,'試算番号4-2'!$I$10:$I$143,G85)</f>
        <v>0.57722007314374579</v>
      </c>
      <c r="N85" s="1">
        <f t="shared" si="12"/>
        <v>0.46760185043959884</v>
      </c>
      <c r="O85" s="1">
        <f t="shared" ref="O85:O116" si="25">Interpolate_Range($A$17:$A$31,$B$17:$B$31,G85)</f>
        <v>-5.0352500000000007E-3</v>
      </c>
      <c r="P85" s="33">
        <f t="shared" ref="P85:P116" si="26">(N85+M85-K84-O85*Q84)/(J85+0.25*J85*(I85+O85))</f>
        <v>1.1193179276651839</v>
      </c>
      <c r="Q85" s="2">
        <f t="shared" si="24"/>
        <v>16.914687784226299</v>
      </c>
      <c r="R85" s="15">
        <f t="shared" si="21"/>
        <v>0.88969534377796555</v>
      </c>
      <c r="S85" s="10">
        <f t="shared" si="22"/>
        <v>6.8750697187855035E-3</v>
      </c>
      <c r="T85" s="32"/>
      <c r="U85" s="1"/>
      <c r="V85" s="10"/>
    </row>
    <row r="86" spans="1:22">
      <c r="A86" s="10"/>
      <c r="B86" s="10"/>
      <c r="C86" s="1"/>
      <c r="G86" s="13">
        <f t="shared" si="20"/>
        <v>17.25</v>
      </c>
      <c r="I86" s="1">
        <f>Interpolate_Range('試算番号4-1'!$G$27:$G$143,'試算番号4-1'!$P$27:$P$143,G86)</f>
        <v>2.5666815114207726E-2</v>
      </c>
      <c r="J86" s="2">
        <f>Interpolate_Range('試算番号4-1'!$G$10:$G$143,'試算番号4-1'!$I$10:$I$143,G86)</f>
        <v>0.78991386111667228</v>
      </c>
      <c r="K86" s="1">
        <f t="shared" si="23"/>
        <v>0.24597021600028357</v>
      </c>
      <c r="L86" s="14">
        <f>Interpolate_Range('試算番号4-2'!$G$27:$G$143,'試算番号4-2'!$N$27:$N$143,G86)</f>
        <v>4.3466730295371875E-2</v>
      </c>
      <c r="M86" s="2">
        <f>Interpolate_Range('試算番号4-2'!$G$10:$G$143,'試算番号4-2'!$I$10:$I$143,G86)</f>
        <v>0.57147467018712306</v>
      </c>
      <c r="N86" s="1">
        <f t="shared" ref="N86:N137" si="27">N85+M86*0.25*L86</f>
        <v>0.47381188427951393</v>
      </c>
      <c r="O86" s="1">
        <f t="shared" si="25"/>
        <v>-4.9563750000000007E-3</v>
      </c>
      <c r="P86" s="33">
        <f t="shared" si="26"/>
        <v>1.119422741212321</v>
      </c>
      <c r="Q86" s="2">
        <f t="shared" si="24"/>
        <v>17.135749669159509</v>
      </c>
      <c r="R86" s="15">
        <f t="shared" si="21"/>
        <v>0.88424753973283388</v>
      </c>
      <c r="S86" s="10">
        <f t="shared" si="22"/>
        <v>7.1314917809400741E-3</v>
      </c>
      <c r="T86" s="32"/>
      <c r="U86" s="1"/>
      <c r="V86" s="10"/>
    </row>
    <row r="87" spans="1:22">
      <c r="A87" s="10"/>
      <c r="B87" s="10"/>
      <c r="C87" s="1"/>
      <c r="G87" s="13">
        <f t="shared" si="20"/>
        <v>17.5</v>
      </c>
      <c r="I87" s="1">
        <f>Interpolate_Range('試算番号4-1'!$G$27:$G$143,'試算番号4-1'!$P$27:$P$143,G87)</f>
        <v>2.5666815114207726E-2</v>
      </c>
      <c r="J87" s="2">
        <f>Interpolate_Range('試算番号4-1'!$G$10:$G$143,'試算番号4-1'!$I$10:$I$143,G87)</f>
        <v>0.78497281837791755</v>
      </c>
      <c r="K87" s="1">
        <f t="shared" si="23"/>
        <v>0.25160877317289648</v>
      </c>
      <c r="L87" s="14">
        <f>Interpolate_Range('試算番号4-2'!$G$27:$G$143,'試算番号4-2'!$N$27:$N$143,G87)</f>
        <v>4.3466730295371875E-2</v>
      </c>
      <c r="M87" s="2">
        <f>Interpolate_Range('試算番号4-2'!$G$10:$G$143,'試算番号4-2'!$I$10:$I$143,G87)</f>
        <v>0.56572926723050043</v>
      </c>
      <c r="N87" s="1">
        <f t="shared" si="27"/>
        <v>0.47995948464924054</v>
      </c>
      <c r="O87" s="1">
        <f t="shared" si="25"/>
        <v>-4.8774999999999999E-3</v>
      </c>
      <c r="P87" s="33">
        <f t="shared" si="26"/>
        <v>1.1194414378189705</v>
      </c>
      <c r="Q87" s="2">
        <f t="shared" si="24"/>
        <v>17.355432444272957</v>
      </c>
      <c r="R87" s="15">
        <f t="shared" si="21"/>
        <v>0.87873110045378566</v>
      </c>
      <c r="S87" s="10">
        <f t="shared" si="22"/>
        <v>7.3872196226149643E-3</v>
      </c>
      <c r="T87" s="32"/>
      <c r="U87" s="1"/>
      <c r="V87" s="10"/>
    </row>
    <row r="88" spans="1:22">
      <c r="A88" s="10"/>
      <c r="B88" s="10"/>
      <c r="C88" s="1"/>
      <c r="G88" s="13">
        <f t="shared" si="20"/>
        <v>17.75</v>
      </c>
      <c r="I88" s="1">
        <f>Interpolate_Range('試算番号4-1'!$G$27:$G$143,'試算番号4-1'!$P$27:$P$143,G88)</f>
        <v>2.6389557360264711E-2</v>
      </c>
      <c r="J88" s="2">
        <f>Interpolate_Range('試算番号4-1'!$G$10:$G$143,'試算番号4-1'!$I$10:$I$143,G88)</f>
        <v>0.78003177563916282</v>
      </c>
      <c r="K88" s="1">
        <f t="shared" si="23"/>
        <v>0.25736876627332256</v>
      </c>
      <c r="L88" s="14">
        <f>Interpolate_Range('試算番号4-2'!$G$27:$G$143,'試算番号4-2'!$N$27:$N$143,G88)</f>
        <v>4.4054085968168871E-2</v>
      </c>
      <c r="M88" s="2">
        <f>Interpolate_Range('試算番号4-2'!$G$10:$G$143,'試算番号4-2'!$I$10:$I$143,G88)</f>
        <v>0.55998386427387792</v>
      </c>
      <c r="N88" s="1">
        <f t="shared" si="27"/>
        <v>0.48612687897361773</v>
      </c>
      <c r="O88" s="1">
        <f t="shared" si="25"/>
        <v>-4.7986249999999999E-3</v>
      </c>
      <c r="P88" s="33">
        <f t="shared" si="26"/>
        <v>1.1192769346390135</v>
      </c>
      <c r="Q88" s="2">
        <f t="shared" si="24"/>
        <v>17.573700337962563</v>
      </c>
      <c r="R88" s="15">
        <f t="shared" si="21"/>
        <v>0.87307157475842889</v>
      </c>
      <c r="S88" s="10">
        <f t="shared" si="22"/>
        <v>7.6471965848021505E-3</v>
      </c>
      <c r="T88" s="32"/>
      <c r="U88" s="1"/>
      <c r="V88" s="10"/>
    </row>
    <row r="89" spans="1:22">
      <c r="G89" s="13">
        <f t="shared" si="20"/>
        <v>18</v>
      </c>
      <c r="I89" s="1">
        <f>Interpolate_Range('試算番号4-1'!$G$27:$G$143,'試算番号4-1'!$P$27:$P$143,G89)</f>
        <v>2.6389557360264711E-2</v>
      </c>
      <c r="J89" s="2">
        <f>Interpolate_Range('試算番号4-1'!$G$10:$G$143,'試算番号4-1'!$I$10:$I$143,G89)</f>
        <v>0.77509073290040809</v>
      </c>
      <c r="K89" s="1">
        <f t="shared" si="23"/>
        <v>0.26309098131654385</v>
      </c>
      <c r="L89" s="14">
        <f>Interpolate_Range('試算番号4-2'!$G$27:$G$143,'試算番号4-2'!$N$27:$N$143,G89)</f>
        <v>4.4054085968168871E-2</v>
      </c>
      <c r="M89" s="2">
        <f>Interpolate_Range('試算番号4-2'!$G$10:$G$143,'試算番号4-2'!$I$10:$I$143,G89)</f>
        <v>0.55423846131725529</v>
      </c>
      <c r="N89" s="1">
        <f t="shared" si="27"/>
        <v>0.49223099617905175</v>
      </c>
      <c r="O89" s="1">
        <f t="shared" si="25"/>
        <v>-4.71975E-3</v>
      </c>
      <c r="P89" s="33">
        <f t="shared" si="26"/>
        <v>1.1190242959323193</v>
      </c>
      <c r="Q89" s="2">
        <f t="shared" si="24"/>
        <v>17.79053667837945</v>
      </c>
      <c r="R89" s="15">
        <f t="shared" si="21"/>
        <v>0.8673453616675445</v>
      </c>
      <c r="S89" s="10">
        <f t="shared" si="22"/>
        <v>7.9065578052567777E-3</v>
      </c>
      <c r="T89" s="32"/>
      <c r="U89" s="1"/>
      <c r="V89" s="10"/>
    </row>
    <row r="90" spans="1:22">
      <c r="G90" s="13">
        <f t="shared" ref="G90:G121" si="28">G89+0.25</f>
        <v>18.25</v>
      </c>
      <c r="I90" s="1">
        <f>Interpolate_Range('試算番号4-1'!$G$27:$G$143,'試算番号4-1'!$P$27:$P$143,G90)</f>
        <v>2.7127313234579689E-2</v>
      </c>
      <c r="J90" s="2">
        <f>Interpolate_Range('試算番号4-1'!$G$10:$G$143,'試算番号4-1'!$I$10:$I$143,G90)</f>
        <v>0.7699954061914478</v>
      </c>
      <c r="K90" s="1">
        <f t="shared" si="23"/>
        <v>0.26893382235370572</v>
      </c>
      <c r="L90" s="14">
        <f>Interpolate_Range('試算番号4-2'!$G$27:$G$143,'試算番号4-2'!$N$27:$N$143,G90)</f>
        <v>4.4654027961332526E-2</v>
      </c>
      <c r="M90" s="2">
        <f>Interpolate_Range('試算番号4-2'!$G$10:$G$143,'試算番号4-2'!$I$10:$I$143,G90)</f>
        <v>0.54855938225189194</v>
      </c>
      <c r="N90" s="1">
        <f t="shared" si="27"/>
        <v>0.49835484267743357</v>
      </c>
      <c r="O90" s="1">
        <f t="shared" si="25"/>
        <v>-4.640875E-3</v>
      </c>
      <c r="P90" s="33">
        <f t="shared" si="26"/>
        <v>1.1188945176019556</v>
      </c>
      <c r="Q90" s="2">
        <f t="shared" si="24"/>
        <v>18.005922588021026</v>
      </c>
      <c r="R90" s="15">
        <f t="shared" si="21"/>
        <v>0.86154363856630178</v>
      </c>
      <c r="S90" s="10">
        <f t="shared" si="22"/>
        <v>8.1660038426504336E-3</v>
      </c>
      <c r="T90" s="32"/>
      <c r="U90" s="1"/>
      <c r="V90" s="10"/>
    </row>
    <row r="91" spans="1:22">
      <c r="G91" s="13">
        <f t="shared" si="28"/>
        <v>18.5</v>
      </c>
      <c r="I91" s="1">
        <f>Interpolate_Range('試算番号4-1'!$G$27:$G$143,'試算番号4-1'!$P$27:$P$143,G91)</f>
        <v>2.7127313234579689E-2</v>
      </c>
      <c r="J91" s="2">
        <f>Interpolate_Range('試算番号4-1'!$G$10:$G$143,'試算番号4-1'!$I$10:$I$143,G91)</f>
        <v>0.7649000794824875</v>
      </c>
      <c r="K91" s="1">
        <f t="shared" si="23"/>
        <v>0.27473688114126088</v>
      </c>
      <c r="L91" s="14">
        <f>Interpolate_Range('試算番号4-2'!$G$27:$G$143,'試算番号4-2'!$N$27:$N$143,G91)</f>
        <v>4.4654027961332526E-2</v>
      </c>
      <c r="M91" s="2">
        <f>Interpolate_Range('試算番号4-2'!$G$10:$G$143,'試算番号4-2'!$I$10:$I$143,G91)</f>
        <v>0.54288030318652891</v>
      </c>
      <c r="N91" s="1">
        <f t="shared" si="27"/>
        <v>0.50441529073697056</v>
      </c>
      <c r="O91" s="1">
        <f t="shared" si="25"/>
        <v>-4.5620000000000001E-3</v>
      </c>
      <c r="P91" s="33">
        <f t="shared" si="26"/>
        <v>1.1186789685614629</v>
      </c>
      <c r="Q91" s="2">
        <f t="shared" si="24"/>
        <v>18.219841996013038</v>
      </c>
      <c r="R91" s="15">
        <f t="shared" si="21"/>
        <v>0.85567763196805013</v>
      </c>
      <c r="S91" s="10">
        <f t="shared" si="22"/>
        <v>8.4249498345653883E-3</v>
      </c>
      <c r="T91" s="32"/>
      <c r="U91" s="1"/>
      <c r="V91" s="10"/>
    </row>
    <row r="92" spans="1:22">
      <c r="G92" s="13">
        <f t="shared" si="28"/>
        <v>18.75</v>
      </c>
      <c r="I92" s="1">
        <f>Interpolate_Range('試算番号4-1'!$G$27:$G$143,'試算番号4-1'!$P$27:$P$143,G92)</f>
        <v>2.7871167601672794E-2</v>
      </c>
      <c r="J92" s="2">
        <f>Interpolate_Range('試算番号4-1'!$G$10:$G$143,'試算番号4-1'!$I$10:$I$143,G92)</f>
        <v>0.75980475277352721</v>
      </c>
      <c r="K92" s="1">
        <f t="shared" si="23"/>
        <v>0.28065722173454294</v>
      </c>
      <c r="L92" s="14">
        <f>Interpolate_Range('試算番号4-2'!$G$27:$G$143,'試算番号4-2'!$N$27:$N$143,G92)</f>
        <v>4.5264222810729553E-2</v>
      </c>
      <c r="M92" s="2">
        <f>Interpolate_Range('試算番号4-2'!$G$10:$G$143,'試算番号4-2'!$I$10:$I$143,G92)</f>
        <v>0.537201224121166</v>
      </c>
      <c r="N92" s="1">
        <f t="shared" si="27"/>
        <v>0.51049428971267485</v>
      </c>
      <c r="O92" s="1">
        <f t="shared" si="25"/>
        <v>-4.4831250000000001E-3</v>
      </c>
      <c r="P92" s="33">
        <f t="shared" si="26"/>
        <v>1.1182773140876259</v>
      </c>
      <c r="Q92" s="2">
        <f t="shared" si="24"/>
        <v>18.432260100553687</v>
      </c>
      <c r="R92" s="15">
        <f t="shared" si="21"/>
        <v>0.84967241816259265</v>
      </c>
      <c r="S92" s="10">
        <f t="shared" si="22"/>
        <v>8.6882343560901031E-3</v>
      </c>
      <c r="T92" s="32"/>
      <c r="U92" s="1"/>
      <c r="V92" s="10"/>
    </row>
    <row r="93" spans="1:22">
      <c r="G93" s="13">
        <f t="shared" si="28"/>
        <v>19</v>
      </c>
      <c r="I93" s="1">
        <f>Interpolate_Range('試算番号4-1'!$G$27:$G$143,'試算番号4-1'!$P$27:$P$143,G93)</f>
        <v>2.7871167601672794E-2</v>
      </c>
      <c r="J93" s="2">
        <f>Interpolate_Range('試算番号4-1'!$G$10:$G$143,'試算番号4-1'!$I$10:$I$143,G93)</f>
        <v>0.75470942606456703</v>
      </c>
      <c r="K93" s="1">
        <f t="shared" si="23"/>
        <v>0.28653528600444916</v>
      </c>
      <c r="L93" s="14">
        <f>Interpolate_Range('試算番号4-2'!$G$27:$G$143,'試算番号4-2'!$N$27:$N$143,G93)</f>
        <v>4.5264222810729553E-2</v>
      </c>
      <c r="M93" s="2">
        <f>Interpolate_Range('試算番号4-2'!$G$10:$G$143,'試算番号4-2'!$I$10:$I$143,G93)</f>
        <v>0.53152214505580297</v>
      </c>
      <c r="N93" s="1">
        <f t="shared" si="27"/>
        <v>0.51650902391333553</v>
      </c>
      <c r="O93" s="1">
        <f t="shared" si="25"/>
        <v>-4.4042500000000002E-3</v>
      </c>
      <c r="P93" s="33">
        <f t="shared" si="26"/>
        <v>1.1177878495182998</v>
      </c>
      <c r="Q93" s="2">
        <f t="shared" si="24"/>
        <v>18.643161357146663</v>
      </c>
      <c r="R93" s="15">
        <f t="shared" si="21"/>
        <v>0.84360502637190271</v>
      </c>
      <c r="S93" s="10">
        <f t="shared" si="22"/>
        <v>8.951098534447928E-3</v>
      </c>
      <c r="T93" s="32"/>
      <c r="U93" s="1"/>
      <c r="V93" s="10"/>
    </row>
    <row r="94" spans="1:22">
      <c r="G94" s="13">
        <f t="shared" si="28"/>
        <v>19.25</v>
      </c>
      <c r="I94" s="1">
        <f>Interpolate_Range('試算番号4-1'!$G$27:$G$143,'試算番号4-1'!$P$27:$P$143,G94)</f>
        <v>2.8631228147866256E-2</v>
      </c>
      <c r="J94" s="2">
        <f>Interpolate_Range('試算番号4-1'!$G$10:$G$143,'試算番号4-1'!$I$10:$I$143,G94)</f>
        <v>0.74947087736917473</v>
      </c>
      <c r="K94" s="1">
        <f t="shared" si="23"/>
        <v>0.2925297416098066</v>
      </c>
      <c r="L94" s="14">
        <f>Interpolate_Range('試算番号4-2'!$G$27:$G$143,'試算番号4-2'!$N$27:$N$143,G94)</f>
        <v>4.5888265357971601E-2</v>
      </c>
      <c r="M94" s="2">
        <f>Interpolate_Range('試算番号4-2'!$G$10:$G$143,'試算番号4-2'!$I$10:$I$143,G94)</f>
        <v>0.52591410852394749</v>
      </c>
      <c r="N94" s="1">
        <f t="shared" si="27"/>
        <v>0.52254234545519751</v>
      </c>
      <c r="O94" s="1">
        <f t="shared" si="25"/>
        <v>-4.3253750000000002E-3</v>
      </c>
      <c r="P94" s="33">
        <f t="shared" si="26"/>
        <v>1.1174162942313492</v>
      </c>
      <c r="Q94" s="2">
        <f t="shared" si="24"/>
        <v>18.852529099752708</v>
      </c>
      <c r="R94" s="15">
        <f t="shared" si="21"/>
        <v>0.83747097042418117</v>
      </c>
      <c r="S94" s="10">
        <f t="shared" si="22"/>
        <v>9.2139573020127256E-3</v>
      </c>
      <c r="T94" s="32"/>
      <c r="U94" s="1"/>
      <c r="V94" s="10"/>
    </row>
    <row r="95" spans="1:22">
      <c r="G95" s="13">
        <f t="shared" si="28"/>
        <v>19.5</v>
      </c>
      <c r="I95" s="1">
        <f>Interpolate_Range('試算番号4-1'!$G$27:$G$143,'試算番号4-1'!$P$27:$P$143,G95)</f>
        <v>2.8631228147866256E-2</v>
      </c>
      <c r="J95" s="2">
        <f>Interpolate_Range('試算番号4-1'!$G$10:$G$143,'試算番号4-1'!$I$10:$I$143,G95)</f>
        <v>0.74423232867378242</v>
      </c>
      <c r="K95" s="1">
        <f t="shared" si="23"/>
        <v>0.29847986417924388</v>
      </c>
      <c r="L95" s="14">
        <f>Interpolate_Range('試算番号4-2'!$G$27:$G$143,'試算番号4-2'!$N$27:$N$143,G95)</f>
        <v>4.5888265357971601E-2</v>
      </c>
      <c r="M95" s="2">
        <f>Interpolate_Range('試算番号4-2'!$G$10:$G$143,'試算番号4-2'!$I$10:$I$143,G95)</f>
        <v>0.52030607199209167</v>
      </c>
      <c r="N95" s="1">
        <f t="shared" si="27"/>
        <v>0.52851133122993177</v>
      </c>
      <c r="O95" s="1">
        <f t="shared" si="25"/>
        <v>-4.2465000000000003E-3</v>
      </c>
      <c r="P95" s="33">
        <f t="shared" si="26"/>
        <v>1.116959417926648</v>
      </c>
      <c r="Q95" s="2">
        <f t="shared" si="24"/>
        <v>19.060348426912125</v>
      </c>
      <c r="R95" s="15">
        <f t="shared" si="21"/>
        <v>0.8312773086376618</v>
      </c>
      <c r="S95" s="10">
        <f t="shared" si="22"/>
        <v>9.4765043618086839E-3</v>
      </c>
      <c r="T95" s="32"/>
      <c r="U95" s="1"/>
      <c r="V95" s="10"/>
    </row>
    <row r="96" spans="1:22">
      <c r="G96" s="13">
        <f t="shared" si="28"/>
        <v>19.75</v>
      </c>
      <c r="I96" s="1">
        <f>Interpolate_Range('試算番号4-1'!$G$27:$G$143,'試算番号4-1'!$P$27:$P$143,G96)</f>
        <v>2.9398484523993733E-2</v>
      </c>
      <c r="J96" s="2">
        <f>Interpolate_Range('試算番号4-1'!$G$10:$G$143,'試算番号4-1'!$I$10:$I$143,G96)</f>
        <v>0.73899377997839011</v>
      </c>
      <c r="K96" s="1">
        <f t="shared" si="23"/>
        <v>0.30454292493198309</v>
      </c>
      <c r="L96" s="14">
        <f>Interpolate_Range('試算番号4-2'!$G$27:$G$143,'試算番号4-2'!$N$27:$N$143,G96)</f>
        <v>4.6523610294879593E-2</v>
      </c>
      <c r="M96" s="2">
        <f>Interpolate_Range('試算番号4-2'!$G$10:$G$143,'試算番号4-2'!$I$10:$I$143,G96)</f>
        <v>0.51469803546023618</v>
      </c>
      <c r="N96" s="1">
        <f t="shared" si="27"/>
        <v>0.53449773393525479</v>
      </c>
      <c r="O96" s="1">
        <f t="shared" si="25"/>
        <v>-4.1676250000000003E-3</v>
      </c>
      <c r="P96" s="33">
        <f t="shared" si="26"/>
        <v>1.1163135207405384</v>
      </c>
      <c r="Q96" s="2">
        <f t="shared" si="24"/>
        <v>19.266585613995382</v>
      </c>
      <c r="R96" s="15">
        <f t="shared" si="21"/>
        <v>0.82494874833303544</v>
      </c>
      <c r="S96" s="10">
        <f t="shared" si="22"/>
        <v>9.74349457265156E-3</v>
      </c>
      <c r="T96" s="32"/>
      <c r="U96" s="1"/>
      <c r="V96" s="10"/>
    </row>
    <row r="97" spans="7:22">
      <c r="G97" s="13">
        <f t="shared" si="28"/>
        <v>20</v>
      </c>
      <c r="I97" s="1">
        <f>Interpolate_Range('試算番号4-1'!$G$27:$G$143,'試算番号4-1'!$P$27:$P$143,G97)</f>
        <v>2.9398484523993733E-2</v>
      </c>
      <c r="J97" s="2">
        <f>Interpolate_Range('試算番号4-1'!$G$10:$G$143,'試算番号4-1'!$I$10:$I$143,G97)</f>
        <v>0.7337552312829978</v>
      </c>
      <c r="K97" s="1">
        <f t="shared" si="23"/>
        <v>0.31055905163405312</v>
      </c>
      <c r="L97" s="14">
        <f>Interpolate_Range('試算番号4-2'!$G$27:$G$143,'試算番号4-2'!$N$27:$N$143,G97)</f>
        <v>4.6523610294879593E-2</v>
      </c>
      <c r="M97" s="2">
        <f>Interpolate_Range('試算番号4-2'!$G$10:$G$143,'試算番号4-2'!$I$10:$I$143,G97)</f>
        <v>0.50908999892838069</v>
      </c>
      <c r="N97" s="1">
        <f t="shared" si="27"/>
        <v>0.54041891011404597</v>
      </c>
      <c r="O97" s="1">
        <f t="shared" si="25"/>
        <v>-4.0887500000000004E-3</v>
      </c>
      <c r="P97" s="33">
        <f t="shared" si="26"/>
        <v>1.1155802359367508</v>
      </c>
      <c r="Q97" s="2">
        <f t="shared" si="24"/>
        <v>19.471226322504009</v>
      </c>
      <c r="R97" s="15">
        <f t="shared" si="21"/>
        <v>0.8185628340345118</v>
      </c>
      <c r="S97" s="10">
        <f t="shared" si="22"/>
        <v>1.0010255890903166E-2</v>
      </c>
      <c r="T97" s="32"/>
      <c r="U97" s="1"/>
      <c r="V97" s="10"/>
    </row>
    <row r="98" spans="7:22">
      <c r="G98" s="13">
        <f t="shared" si="28"/>
        <v>20.25</v>
      </c>
      <c r="I98" s="1">
        <f>Interpolate_Range('試算番号4-1'!$G$27:$G$143,'試算番号4-1'!$P$27:$P$143,G98)</f>
        <v>2.232056118906682E-2</v>
      </c>
      <c r="J98" s="2">
        <f>Interpolate_Range('試算番号4-1'!$G$10:$G$143,'試算番号4-1'!$I$10:$I$143,G98)</f>
        <v>0.72985862291796089</v>
      </c>
      <c r="K98" s="1">
        <f t="shared" si="23"/>
        <v>0.31510476628234141</v>
      </c>
      <c r="L98" s="14">
        <f>Interpolate_Range('試算番号4-2'!$G$27:$G$143,'試算番号4-2'!$N$27:$N$143,G98)</f>
        <v>4.3649417616858935E-2</v>
      </c>
      <c r="M98" s="2">
        <f>Interpolate_Range('試算番号4-2'!$G$10:$G$143,'試算番号4-2'!$I$10:$I$143,G98)</f>
        <v>0.50438177310825572</v>
      </c>
      <c r="N98" s="1">
        <f t="shared" si="27"/>
        <v>0.54592290277722944</v>
      </c>
      <c r="O98" s="1">
        <f t="shared" si="25"/>
        <v>-4.0368125000000005E-3</v>
      </c>
      <c r="P98" s="33">
        <f t="shared" si="26"/>
        <v>1.1161390639730311</v>
      </c>
      <c r="Q98" s="2">
        <f t="shared" si="24"/>
        <v>19.674882252558085</v>
      </c>
      <c r="R98" s="15">
        <f t="shared" si="21"/>
        <v>0.81462372021629836</v>
      </c>
      <c r="S98" s="10">
        <f t="shared" si="22"/>
        <v>1.0124887177305397E-2</v>
      </c>
      <c r="T98" s="32"/>
      <c r="U98" s="1"/>
      <c r="V98" s="10"/>
    </row>
    <row r="99" spans="7:22">
      <c r="G99" s="13">
        <f t="shared" si="28"/>
        <v>20.5</v>
      </c>
      <c r="I99" s="1">
        <f>Interpolate_Range('試算番号4-1'!$G$27:$G$143,'試算番号4-1'!$P$27:$P$143,G99)</f>
        <v>2.232056118906682E-2</v>
      </c>
      <c r="J99" s="2">
        <f>Interpolate_Range('試算番号4-1'!$G$10:$G$143,'試算番号4-1'!$I$10:$I$143,G99)</f>
        <v>0.72596201455292386</v>
      </c>
      <c r="K99" s="1">
        <f t="shared" si="23"/>
        <v>0.31962819752623478</v>
      </c>
      <c r="L99" s="14">
        <f>Interpolate_Range('試算番号4-2'!$G$27:$G$143,'試算番号4-2'!$N$27:$N$143,G99)</f>
        <v>4.3649417616858935E-2</v>
      </c>
      <c r="M99" s="2">
        <f>Interpolate_Range('試算番号4-2'!$G$10:$G$143,'試算番号4-2'!$I$10:$I$143,G99)</f>
        <v>0.49967354728813079</v>
      </c>
      <c r="N99" s="1">
        <f t="shared" si="27"/>
        <v>0.55137551761164871</v>
      </c>
      <c r="O99" s="1">
        <f t="shared" si="25"/>
        <v>-3.9848750000000006E-3</v>
      </c>
      <c r="P99" s="33">
        <f t="shared" si="26"/>
        <v>1.1166291937075763</v>
      </c>
      <c r="Q99" s="2">
        <f t="shared" si="24"/>
        <v>19.877539847301225</v>
      </c>
      <c r="R99" s="15">
        <f t="shared" si="21"/>
        <v>0.81063037897255918</v>
      </c>
      <c r="S99" s="10">
        <f t="shared" si="22"/>
        <v>1.0241126260811341E-2</v>
      </c>
      <c r="T99" s="32"/>
      <c r="U99" s="1"/>
      <c r="V99" s="10"/>
    </row>
    <row r="100" spans="7:22">
      <c r="G100" s="13">
        <f t="shared" si="28"/>
        <v>20.75</v>
      </c>
      <c r="I100" s="1">
        <f>Interpolate_Range('試算番号4-1'!$G$27:$G$143,'試算番号4-1'!$P$27:$P$143,G100)</f>
        <v>2.2617203345196141E-2</v>
      </c>
      <c r="J100" s="2">
        <f>Interpolate_Range('試算番号4-1'!$G$10:$G$143,'試算番号4-1'!$I$10:$I$143,G100)</f>
        <v>0.72206540618788695</v>
      </c>
      <c r="K100" s="1">
        <f t="shared" si="23"/>
        <v>0.32418883249247155</v>
      </c>
      <c r="L100" s="14">
        <f>Interpolate_Range('試算番号4-2'!$G$27:$G$143,'試算番号4-2'!$N$27:$N$143,G100)</f>
        <v>4.4090930855270521E-2</v>
      </c>
      <c r="M100" s="2">
        <f>Interpolate_Range('試算番号4-2'!$G$10:$G$143,'試算番号4-2'!$I$10:$I$143,G100)</f>
        <v>0.49496532146800587</v>
      </c>
      <c r="N100" s="1">
        <f t="shared" si="27"/>
        <v>0.55683138805279941</v>
      </c>
      <c r="O100" s="1">
        <f t="shared" si="25"/>
        <v>-3.9329375000000007E-3</v>
      </c>
      <c r="P100" s="33">
        <f t="shared" si="26"/>
        <v>1.1170429261094281</v>
      </c>
      <c r="Q100" s="2">
        <f t="shared" si="24"/>
        <v>20.079184360843854</v>
      </c>
      <c r="R100" s="15">
        <f t="shared" si="21"/>
        <v>0.80657805417050998</v>
      </c>
      <c r="S100" s="10">
        <f t="shared" si="22"/>
        <v>1.0359258059534318E-2</v>
      </c>
      <c r="T100" s="32"/>
      <c r="U100" s="1"/>
      <c r="V100" s="10"/>
    </row>
    <row r="101" spans="7:22">
      <c r="G101" s="13">
        <f t="shared" si="28"/>
        <v>21</v>
      </c>
      <c r="I101" s="1">
        <f>Interpolate_Range('試算番号4-1'!$G$27:$G$143,'試算番号4-1'!$P$27:$P$143,G101)</f>
        <v>2.2617203345196141E-2</v>
      </c>
      <c r="J101" s="2">
        <f>Interpolate_Range('試算番号4-1'!$G$10:$G$143,'試算番号4-1'!$I$10:$I$143,G101)</f>
        <v>0.71816879782285004</v>
      </c>
      <c r="K101" s="1">
        <f t="shared" si="23"/>
        <v>0.32872625126288213</v>
      </c>
      <c r="L101" s="14">
        <f>Interpolate_Range('試算番号4-2'!$G$27:$G$143,'試算番号4-2'!$N$27:$N$143,G101)</f>
        <v>4.4090930855270521E-2</v>
      </c>
      <c r="M101" s="2">
        <f>Interpolate_Range('試算番号4-2'!$G$10:$G$143,'試算番号4-2'!$I$10:$I$143,G101)</f>
        <v>0.49025709564788089</v>
      </c>
      <c r="N101" s="1">
        <f t="shared" si="27"/>
        <v>0.56223536097917848</v>
      </c>
      <c r="O101" s="1">
        <f t="shared" si="25"/>
        <v>-3.8810000000000003E-3</v>
      </c>
      <c r="P101" s="33">
        <f t="shared" si="26"/>
        <v>1.1173864986535866</v>
      </c>
      <c r="Q101" s="2">
        <f t="shared" si="24"/>
        <v>20.279802390454236</v>
      </c>
      <c r="R101" s="15">
        <f t="shared" si="21"/>
        <v>0.80247211844152999</v>
      </c>
      <c r="S101" s="10">
        <f t="shared" si="22"/>
        <v>1.0478960378884364E-2</v>
      </c>
      <c r="T101" s="32"/>
      <c r="U101" s="1"/>
      <c r="V101" s="10"/>
    </row>
    <row r="102" spans="7:22">
      <c r="G102" s="13">
        <f t="shared" si="28"/>
        <v>21.25</v>
      </c>
      <c r="I102" s="1">
        <f>Interpolate_Range('試算番号4-1'!$G$27:$G$143,'試算番号4-1'!$P$27:$P$143,G102)</f>
        <v>2.2957550761933575E-2</v>
      </c>
      <c r="J102" s="2">
        <f>Interpolate_Range('試算番号4-1'!$G$10:$G$143,'試算番号4-1'!$I$10:$I$143,G102)</f>
        <v>0.71423730192422752</v>
      </c>
      <c r="K102" s="1">
        <f t="shared" si="23"/>
        <v>0.3333085934590696</v>
      </c>
      <c r="L102" s="14">
        <f>Interpolate_Range('試算番号4-2'!$G$27:$G$143,'試算番号4-2'!$N$27:$N$143,G102)</f>
        <v>4.4542376214050834E-2</v>
      </c>
      <c r="M102" s="2">
        <f>Interpolate_Range('試算番号4-2'!$G$10:$G$143,'試算番号4-2'!$I$10:$I$143,G102)</f>
        <v>0.48565093131742176</v>
      </c>
      <c r="N102" s="1">
        <f t="shared" si="27"/>
        <v>0.56764337260203968</v>
      </c>
      <c r="O102" s="1">
        <f t="shared" si="25"/>
        <v>-3.8290625000000004E-3</v>
      </c>
      <c r="P102" s="33">
        <f t="shared" si="26"/>
        <v>1.1178394387098478</v>
      </c>
      <c r="Q102" s="2">
        <f t="shared" si="24"/>
        <v>20.479403046626391</v>
      </c>
      <c r="R102" s="15">
        <f t="shared" si="21"/>
        <v>0.79840262468861456</v>
      </c>
      <c r="S102" s="10">
        <f t="shared" si="22"/>
        <v>1.0594930190806914E-2</v>
      </c>
      <c r="T102" s="32"/>
      <c r="U102" s="1"/>
      <c r="V102" s="10"/>
    </row>
    <row r="103" spans="7:22">
      <c r="G103" s="13">
        <f t="shared" si="28"/>
        <v>21.5</v>
      </c>
      <c r="I103" s="1">
        <f>Interpolate_Range('試算番号4-1'!$G$27:$G$143,'試算番号4-1'!$P$27:$P$143,G103)</f>
        <v>2.2957550761933575E-2</v>
      </c>
      <c r="J103" s="2">
        <f>Interpolate_Range('試算番号4-1'!$G$10:$G$143,'試算番号4-1'!$I$10:$I$143,G103)</f>
        <v>0.710305806025605</v>
      </c>
      <c r="K103" s="1">
        <f t="shared" si="23"/>
        <v>0.33786727930310062</v>
      </c>
      <c r="L103" s="14">
        <f>Interpolate_Range('試算番号4-2'!$G$27:$G$143,'試算番号4-2'!$N$27:$N$143,G103)</f>
        <v>4.4542376214050834E-2</v>
      </c>
      <c r="M103" s="2">
        <f>Interpolate_Range('試算番号4-2'!$G$10:$G$143,'試算番号4-2'!$I$10:$I$143,G103)</f>
        <v>0.48104476698696258</v>
      </c>
      <c r="N103" s="1">
        <f t="shared" si="27"/>
        <v>0.5730000918487731</v>
      </c>
      <c r="O103" s="1">
        <f t="shared" si="25"/>
        <v>-3.7771250000000001E-3</v>
      </c>
      <c r="P103" s="33">
        <f t="shared" si="26"/>
        <v>1.1182238165016531</v>
      </c>
      <c r="Q103" s="2">
        <f t="shared" si="24"/>
        <v>20.677973263950701</v>
      </c>
      <c r="R103" s="15">
        <f t="shared" si="21"/>
        <v>0.79428086929723496</v>
      </c>
      <c r="S103" s="10">
        <f t="shared" si="22"/>
        <v>1.0712471656607703E-2</v>
      </c>
      <c r="T103" s="32"/>
      <c r="U103" s="1"/>
      <c r="V103" s="10"/>
    </row>
    <row r="104" spans="7:22">
      <c r="G104" s="13">
        <f t="shared" si="28"/>
        <v>21.75</v>
      </c>
      <c r="I104" s="1">
        <f>Interpolate_Range('試算番号4-1'!$G$27:$G$143,'試算番号4-1'!$P$27:$P$143,G104)</f>
        <v>2.3300846184254233E-2</v>
      </c>
      <c r="J104" s="2">
        <f>Interpolate_Range('試算番号4-1'!$G$10:$G$143,'試算番号4-1'!$I$10:$I$143,G104)</f>
        <v>0.70637431012698237</v>
      </c>
      <c r="K104" s="1">
        <f t="shared" si="23"/>
        <v>0.34246974308152489</v>
      </c>
      <c r="L104" s="14">
        <f>Interpolate_Range('試算番号4-2'!$G$27:$G$143,'試算番号4-2'!$N$27:$N$143,G104)</f>
        <v>4.4998473120978912E-2</v>
      </c>
      <c r="M104" s="2">
        <f>Interpolate_Range('試算番号4-2'!$G$10:$G$143,'試算番号4-2'!$I$10:$I$143,G104)</f>
        <v>0.47643860265650345</v>
      </c>
      <c r="N104" s="1">
        <f t="shared" si="27"/>
        <v>0.57835984426263198</v>
      </c>
      <c r="O104" s="1">
        <f t="shared" si="25"/>
        <v>-3.7251875000000002E-3</v>
      </c>
      <c r="P104" s="33">
        <f t="shared" si="26"/>
        <v>1.1185200706846163</v>
      </c>
      <c r="Q104" s="2">
        <f t="shared" si="24"/>
        <v>20.87549672477396</v>
      </c>
      <c r="R104" s="15">
        <f t="shared" si="21"/>
        <v>0.79009384329302945</v>
      </c>
      <c r="S104" s="10">
        <f t="shared" si="22"/>
        <v>1.0832347199880625E-2</v>
      </c>
      <c r="T104" s="32"/>
      <c r="U104" s="1"/>
      <c r="V104" s="10"/>
    </row>
    <row r="105" spans="7:22">
      <c r="G105" s="13">
        <f t="shared" si="28"/>
        <v>22</v>
      </c>
      <c r="I105" s="1">
        <f>Interpolate_Range('試算番号4-1'!$G$27:$G$143,'試算番号4-1'!$P$27:$P$143,G105)</f>
        <v>2.3300846184254233E-2</v>
      </c>
      <c r="J105" s="2">
        <f>Interpolate_Range('試算番号4-1'!$G$10:$G$143,'試算番号4-1'!$I$10:$I$143,G105)</f>
        <v>0.70244281422835997</v>
      </c>
      <c r="K105" s="1">
        <f t="shared" si="23"/>
        <v>0.34704751633299152</v>
      </c>
      <c r="L105" s="14">
        <f>Interpolate_Range('試算番号4-2'!$G$27:$G$143,'試算番号4-2'!$N$27:$N$143,G105)</f>
        <v>4.4998473120978912E-2</v>
      </c>
      <c r="M105" s="2">
        <f>Interpolate_Range('試算番号4-2'!$G$10:$G$143,'試算番号4-2'!$I$10:$I$143,G105)</f>
        <v>0.47183243832604432</v>
      </c>
      <c r="N105" s="1">
        <f t="shared" si="27"/>
        <v>0.58366777908603706</v>
      </c>
      <c r="O105" s="1">
        <f t="shared" si="25"/>
        <v>-3.6732500000000003E-3</v>
      </c>
      <c r="P105" s="33">
        <f t="shared" si="26"/>
        <v>1.1187462726251789</v>
      </c>
      <c r="Q105" s="2">
        <f t="shared" si="24"/>
        <v>21.071960544811539</v>
      </c>
      <c r="R105" s="15">
        <f t="shared" si="21"/>
        <v>0.78585528015031869</v>
      </c>
      <c r="S105" s="10">
        <f t="shared" si="22"/>
        <v>1.0953755702346199E-2</v>
      </c>
      <c r="T105" s="32"/>
      <c r="U105" s="1"/>
      <c r="V105" s="10"/>
    </row>
    <row r="106" spans="7:22">
      <c r="G106" s="13">
        <f t="shared" si="28"/>
        <v>22.25</v>
      </c>
      <c r="I106" s="1">
        <f>Interpolate_Range('試算番号4-1'!$G$27:$G$143,'試算番号4-1'!$P$27:$P$143,G106)</f>
        <v>2.3648600045263861E-2</v>
      </c>
      <c r="J106" s="2">
        <f>Interpolate_Range('試算番号4-1'!$G$10:$G$143,'試算番号4-1'!$I$10:$I$143,G106)</f>
        <v>0.69848004405766417</v>
      </c>
      <c r="K106" s="1">
        <f t="shared" si="23"/>
        <v>0.35166877378902106</v>
      </c>
      <c r="L106" s="14">
        <f>Interpolate_Range('試算番号4-2'!$G$27:$G$143,'試算番号4-2'!$N$27:$N$143,G106)</f>
        <v>4.5465081102366606E-2</v>
      </c>
      <c r="M106" s="2">
        <f>Interpolate_Range('試算番号4-2'!$G$10:$G$143,'試算番号4-2'!$I$10:$I$143,G106)</f>
        <v>0.46732771008807694</v>
      </c>
      <c r="N106" s="1">
        <f t="shared" si="27"/>
        <v>0.58897955214617148</v>
      </c>
      <c r="O106" s="1">
        <f t="shared" si="25"/>
        <v>-3.6213125000000004E-3</v>
      </c>
      <c r="P106" s="33">
        <f t="shared" si="26"/>
        <v>1.1190789240637087</v>
      </c>
      <c r="Q106" s="2">
        <f t="shared" si="24"/>
        <v>21.267374118857546</v>
      </c>
      <c r="R106" s="15">
        <f t="shared" ref="R106:R137" si="29">J106*P106</f>
        <v>0.78165429618402271</v>
      </c>
      <c r="S106" s="10">
        <f t="shared" si="22"/>
        <v>1.1071582592020925E-2</v>
      </c>
      <c r="T106" s="32"/>
      <c r="U106" s="1"/>
      <c r="V106" s="10"/>
    </row>
    <row r="107" spans="7:22">
      <c r="G107" s="13">
        <f t="shared" si="28"/>
        <v>22.5</v>
      </c>
      <c r="I107" s="1">
        <f>Interpolate_Range('試算番号4-1'!$G$27:$G$143,'試算番号4-1'!$P$27:$P$143,G107)</f>
        <v>2.3648600045263861E-2</v>
      </c>
      <c r="J107" s="2">
        <f>Interpolate_Range('試算番号4-1'!$G$10:$G$143,'試算番号4-1'!$I$10:$I$143,G107)</f>
        <v>0.69451727388696838</v>
      </c>
      <c r="K107" s="1">
        <f t="shared" si="23"/>
        <v>0.35626489784052801</v>
      </c>
      <c r="L107" s="14">
        <f>Interpolate_Range('試算番号4-2'!$G$27:$G$143,'試算番号4-2'!$N$27:$N$143,G107)</f>
        <v>4.5465081102366606E-2</v>
      </c>
      <c r="M107" s="2">
        <f>Interpolate_Range('試算番号4-2'!$G$10:$G$143,'試算番号4-2'!$I$10:$I$143,G107)</f>
        <v>0.46282298185011023</v>
      </c>
      <c r="N107" s="1">
        <f t="shared" si="27"/>
        <v>0.59424012324763509</v>
      </c>
      <c r="O107" s="1">
        <f t="shared" si="25"/>
        <v>-3.5693750000000005E-3</v>
      </c>
      <c r="P107" s="33">
        <f t="shared" si="26"/>
        <v>1.1193431478607005</v>
      </c>
      <c r="Q107" s="2">
        <f t="shared" si="24"/>
        <v>21.461724906756615</v>
      </c>
      <c r="R107" s="15">
        <f t="shared" si="29"/>
        <v>0.77740315159627149</v>
      </c>
      <c r="S107" s="10">
        <f t="shared" ref="S107:S137" si="30">-LN(R107)/G107</f>
        <v>1.1190942513368293E-2</v>
      </c>
      <c r="T107" s="32"/>
      <c r="U107" s="1"/>
      <c r="V107" s="10"/>
    </row>
    <row r="108" spans="7:22">
      <c r="G108" s="13">
        <f t="shared" si="28"/>
        <v>22.75</v>
      </c>
      <c r="I108" s="1">
        <f>Interpolate_Range('試算番号4-1'!$G$27:$G$143,'試算番号4-1'!$P$27:$P$143,G108)</f>
        <v>2.3999382052512105E-2</v>
      </c>
      <c r="J108" s="2">
        <f>Interpolate_Range('試算番号4-1'!$G$10:$G$143,'試算番号4-1'!$I$10:$I$143,G108)</f>
        <v>0.69055450371627258</v>
      </c>
      <c r="K108" s="1">
        <f t="shared" si="23"/>
        <v>0.36090330993937569</v>
      </c>
      <c r="L108" s="14">
        <f>Interpolate_Range('試算番号4-2'!$G$27:$G$143,'試算番号4-2'!$N$27:$N$143,G108)</f>
        <v>4.5936838162835968E-2</v>
      </c>
      <c r="M108" s="2">
        <f>Interpolate_Range('試算番号4-2'!$G$10:$G$143,'試算番号4-2'!$I$10:$I$143,G108)</f>
        <v>0.4583182536121429</v>
      </c>
      <c r="N108" s="1">
        <f t="shared" si="27"/>
        <v>0.59950354610844869</v>
      </c>
      <c r="O108" s="1">
        <f t="shared" si="25"/>
        <v>-3.5174375000000002E-3</v>
      </c>
      <c r="P108" s="33">
        <f t="shared" si="26"/>
        <v>1.1195185670652725</v>
      </c>
      <c r="Q108" s="2">
        <f t="shared" si="24"/>
        <v>21.654997053876844</v>
      </c>
      <c r="R108" s="15">
        <f t="shared" si="29"/>
        <v>0.77308858848091189</v>
      </c>
      <c r="S108" s="10">
        <f t="shared" si="30"/>
        <v>1.1312599274417563E-2</v>
      </c>
      <c r="T108" s="32"/>
      <c r="U108" s="1"/>
      <c r="V108" s="10"/>
    </row>
    <row r="109" spans="7:22">
      <c r="G109" s="13">
        <f t="shared" si="28"/>
        <v>23</v>
      </c>
      <c r="I109" s="1">
        <f>Interpolate_Range('試算番号4-1'!$G$27:$G$143,'試算番号4-1'!$P$27:$P$143,G109)</f>
        <v>2.3999382052512105E-2</v>
      </c>
      <c r="J109" s="2">
        <f>Interpolate_Range('試算番号4-1'!$G$10:$G$143,'試算番号4-1'!$I$10:$I$143,G109)</f>
        <v>0.68659173354557679</v>
      </c>
      <c r="K109" s="1">
        <f t="shared" si="23"/>
        <v>0.36551553889125732</v>
      </c>
      <c r="L109" s="14">
        <f>Interpolate_Range('試算番号4-2'!$G$27:$G$143,'試算番号4-2'!$N$27:$N$143,G109)</f>
        <v>4.5936838162835968E-2</v>
      </c>
      <c r="M109" s="2">
        <f>Interpolate_Range('試算番号4-2'!$G$10:$G$143,'試算番号4-2'!$I$10:$I$143,G109)</f>
        <v>0.45381352537417552</v>
      </c>
      <c r="N109" s="1">
        <f t="shared" si="27"/>
        <v>0.60471523572625363</v>
      </c>
      <c r="O109" s="1">
        <f t="shared" si="25"/>
        <v>-3.4655000000000003E-3</v>
      </c>
      <c r="P109" s="33">
        <f t="shared" si="26"/>
        <v>1.119624051284219</v>
      </c>
      <c r="Q109" s="2">
        <f t="shared" si="24"/>
        <v>21.847178208449481</v>
      </c>
      <c r="R109" s="15">
        <f t="shared" si="29"/>
        <v>0.76872461829055372</v>
      </c>
      <c r="S109" s="10">
        <f t="shared" si="30"/>
        <v>1.1435759881056268E-2</v>
      </c>
      <c r="T109" s="32"/>
      <c r="U109" s="1"/>
      <c r="V109" s="10"/>
    </row>
    <row r="110" spans="7:22">
      <c r="G110" s="13">
        <f t="shared" si="28"/>
        <v>23.25</v>
      </c>
      <c r="I110" s="1">
        <f>Interpolate_Range('試算番号4-1'!$G$27:$G$143,'試算番号4-1'!$P$27:$P$143,G110)</f>
        <v>2.4354844634871222E-2</v>
      </c>
      <c r="J110" s="2">
        <f>Interpolate_Range('試算番号4-1'!$G$10:$G$143,'試算番号4-1'!$I$10:$I$143,G110)</f>
        <v>0.68260127858584752</v>
      </c>
      <c r="K110" s="1">
        <f t="shared" si="23"/>
        <v>0.37016974633918481</v>
      </c>
      <c r="L110" s="14">
        <f>Interpolate_Range('試算番号4-2'!$G$27:$G$143,'試算番号4-2'!$N$27:$N$143,G110)</f>
        <v>4.6419731930036782E-2</v>
      </c>
      <c r="M110" s="2">
        <f>Interpolate_Range('試算番号4-2'!$G$10:$G$143,'試算番号4-2'!$I$10:$I$143,G110)</f>
        <v>0.44940955116821546</v>
      </c>
      <c r="N110" s="1">
        <f t="shared" si="27"/>
        <v>0.60993060344926031</v>
      </c>
      <c r="O110" s="1">
        <f t="shared" si="25"/>
        <v>-3.4135625000000004E-3</v>
      </c>
      <c r="P110" s="33">
        <f t="shared" si="26"/>
        <v>1.1198330150327998</v>
      </c>
      <c r="Q110" s="2">
        <f t="shared" si="24"/>
        <v>22.03827807041549</v>
      </c>
      <c r="R110" s="15">
        <f t="shared" si="29"/>
        <v>0.76439944786403369</v>
      </c>
      <c r="S110" s="10">
        <f t="shared" si="30"/>
        <v>1.1555474792652089E-2</v>
      </c>
      <c r="T110" s="32"/>
      <c r="U110" s="1"/>
      <c r="V110" s="10"/>
    </row>
    <row r="111" spans="7:22">
      <c r="G111" s="13">
        <f t="shared" si="28"/>
        <v>23.5</v>
      </c>
      <c r="I111" s="1">
        <f>Interpolate_Range('試算番号4-1'!$G$27:$G$143,'試算番号4-1'!$P$27:$P$143,G111)</f>
        <v>2.4354844634871222E-2</v>
      </c>
      <c r="J111" s="2">
        <f>Interpolate_Range('試算番号4-1'!$G$10:$G$143,'試算番号4-1'!$I$10:$I$143,G111)</f>
        <v>0.67861082362611813</v>
      </c>
      <c r="K111" s="1">
        <f t="shared" si="23"/>
        <v>0.37479732677561095</v>
      </c>
      <c r="L111" s="14">
        <f>Interpolate_Range('試算番号4-2'!$G$27:$G$143,'試算番号4-2'!$N$27:$N$143,G111)</f>
        <v>4.6419731930036782E-2</v>
      </c>
      <c r="M111" s="2">
        <f>Interpolate_Range('試算番号4-2'!$G$10:$G$143,'試算番号4-2'!$I$10:$I$143,G111)</f>
        <v>0.4450055769622554</v>
      </c>
      <c r="N111" s="1">
        <f t="shared" si="27"/>
        <v>0.61509486334675012</v>
      </c>
      <c r="O111" s="1">
        <f t="shared" si="25"/>
        <v>-3.361625E-3</v>
      </c>
      <c r="P111" s="33">
        <f t="shared" si="26"/>
        <v>1.1199736939338956</v>
      </c>
      <c r="Q111" s="2">
        <f t="shared" si="24"/>
        <v>22.228284638135506</v>
      </c>
      <c r="R111" s="15">
        <f t="shared" si="29"/>
        <v>0.7600262708800668</v>
      </c>
      <c r="S111" s="10">
        <f t="shared" si="30"/>
        <v>1.1676692738371366E-2</v>
      </c>
      <c r="T111" s="32"/>
      <c r="U111" s="1"/>
      <c r="V111" s="10"/>
    </row>
    <row r="112" spans="7:22">
      <c r="G112" s="13">
        <f t="shared" si="28"/>
        <v>23.75</v>
      </c>
      <c r="I112" s="1">
        <f>Interpolate_Range('試算番号4-1'!$G$27:$G$143,'試算番号4-1'!$P$27:$P$143,G112)</f>
        <v>2.4713657824448239E-2</v>
      </c>
      <c r="J112" s="2">
        <f>Interpolate_Range('試算番号4-1'!$G$10:$G$143,'試算番号4-1'!$I$10:$I$143,G112)</f>
        <v>0.67462036866638886</v>
      </c>
      <c r="K112" s="1">
        <f t="shared" si="23"/>
        <v>0.3794656849701053</v>
      </c>
      <c r="L112" s="14">
        <f>Interpolate_Range('試算番号4-2'!$G$27:$G$143,'試算番号4-2'!$N$27:$N$143,G112)</f>
        <v>4.6908327603643725E-2</v>
      </c>
      <c r="M112" s="2">
        <f>Interpolate_Range('試算番号4-2'!$G$10:$G$143,'試算番号4-2'!$I$10:$I$143,G112)</f>
        <v>0.4406016027562954</v>
      </c>
      <c r="N112" s="1">
        <f t="shared" si="27"/>
        <v>0.6202618344279458</v>
      </c>
      <c r="O112" s="1">
        <f t="shared" si="25"/>
        <v>-3.3096875000000001E-3</v>
      </c>
      <c r="P112" s="33">
        <f t="shared" si="26"/>
        <v>1.1200249149857824</v>
      </c>
      <c r="Q112" s="2">
        <f t="shared" si="24"/>
        <v>22.417182543401317</v>
      </c>
      <c r="R112" s="15">
        <f t="shared" si="29"/>
        <v>0.7555916210632494</v>
      </c>
      <c r="S112" s="10">
        <f t="shared" si="30"/>
        <v>1.1800178211924002E-2</v>
      </c>
      <c r="T112" s="32"/>
      <c r="U112" s="1"/>
      <c r="V112" s="10"/>
    </row>
    <row r="113" spans="7:22">
      <c r="G113" s="13">
        <f t="shared" si="28"/>
        <v>24</v>
      </c>
      <c r="I113" s="1">
        <f>Interpolate_Range('試算番号4-1'!$G$27:$G$143,'試算番号4-1'!$P$27:$P$143,G113)</f>
        <v>2.4713657824448239E-2</v>
      </c>
      <c r="J113" s="2">
        <f>Interpolate_Range('試算番号4-1'!$G$10:$G$143,'試算番号4-1'!$I$10:$I$143,G113)</f>
        <v>0.6706299137066597</v>
      </c>
      <c r="K113" s="1">
        <f t="shared" si="23"/>
        <v>0.38410635227299272</v>
      </c>
      <c r="L113" s="14">
        <f>Interpolate_Range('試算番号4-2'!$G$27:$G$143,'試算番号4-2'!$N$27:$N$143,G113)</f>
        <v>4.6908327603643725E-2</v>
      </c>
      <c r="M113" s="2">
        <f>Interpolate_Range('試算番号4-2'!$G$10:$G$143,'試算番号4-2'!$I$10:$I$143,G113)</f>
        <v>0.43619762855033534</v>
      </c>
      <c r="N113" s="1">
        <f t="shared" si="27"/>
        <v>0.62537715974293873</v>
      </c>
      <c r="O113" s="1">
        <f t="shared" si="25"/>
        <v>-3.2577500000000002E-3</v>
      </c>
      <c r="P113" s="33">
        <f t="shared" si="26"/>
        <v>1.1200063239678861</v>
      </c>
      <c r="Q113" s="2">
        <f t="shared" si="24"/>
        <v>22.604959979499693</v>
      </c>
      <c r="R113" s="15">
        <f t="shared" si="29"/>
        <v>0.75110974439349665</v>
      </c>
      <c r="S113" s="10">
        <f t="shared" si="30"/>
        <v>1.1925146119894136E-2</v>
      </c>
      <c r="T113" s="32"/>
      <c r="U113" s="1"/>
      <c r="V113" s="10"/>
    </row>
    <row r="114" spans="7:22">
      <c r="G114" s="13">
        <f t="shared" si="28"/>
        <v>24.25</v>
      </c>
      <c r="I114" s="1">
        <f>Interpolate_Range('試算番号4-1'!$G$27:$G$143,'試算番号4-1'!$P$27:$P$143,G114)</f>
        <v>2.5077388399282301E-2</v>
      </c>
      <c r="J114" s="2">
        <f>Interpolate_Range('試算番号4-1'!$G$10:$G$143,'試算番号4-1'!$I$10:$I$143,G114)</f>
        <v>0.6666153353592168</v>
      </c>
      <c r="K114" s="1">
        <f t="shared" si="23"/>
        <v>0.38878747266470964</v>
      </c>
      <c r="L114" s="14">
        <f>Interpolate_Range('試算番号4-2'!$G$27:$G$143,'試算番号4-2'!$N$27:$N$143,G114)</f>
        <v>4.7408737720934138E-2</v>
      </c>
      <c r="M114" s="2">
        <f>Interpolate_Range('試算番号4-2'!$G$10:$G$143,'試算番号4-2'!$I$10:$I$143,G114)</f>
        <v>0.43189367211280277</v>
      </c>
      <c r="N114" s="1">
        <f t="shared" si="27"/>
        <v>0.63049604319907049</v>
      </c>
      <c r="O114" s="1">
        <f t="shared" si="25"/>
        <v>-3.2058125000000003E-3</v>
      </c>
      <c r="P114" s="33">
        <f t="shared" si="26"/>
        <v>1.1200881312625679</v>
      </c>
      <c r="Q114" s="2">
        <f t="shared" si="24"/>
        <v>22.791626960813062</v>
      </c>
      <c r="R114" s="15">
        <f t="shared" si="29"/>
        <v>0.74666792525347514</v>
      </c>
      <c r="S114" s="10">
        <f t="shared" si="30"/>
        <v>1.2046793286402024E-2</v>
      </c>
      <c r="T114" s="32"/>
      <c r="U114" s="1"/>
      <c r="V114" s="10"/>
    </row>
    <row r="115" spans="7:22">
      <c r="G115" s="13">
        <f t="shared" si="28"/>
        <v>24.5</v>
      </c>
      <c r="I115" s="1">
        <f>Interpolate_Range('試算番号4-1'!$G$27:$G$143,'試算番号4-1'!$P$27:$P$143,G115)</f>
        <v>2.5077388399282301E-2</v>
      </c>
      <c r="J115" s="2">
        <f>Interpolate_Range('試算番号4-1'!$G$10:$G$143,'試算番号4-1'!$I$10:$I$143,G115)</f>
        <v>0.6626007570117739</v>
      </c>
      <c r="K115" s="1">
        <f t="shared" si="23"/>
        <v>0.39344045858181609</v>
      </c>
      <c r="L115" s="14">
        <f>Interpolate_Range('試算番号4-2'!$G$27:$G$143,'試算番号4-2'!$N$27:$N$143,G115)</f>
        <v>4.7408737720934138E-2</v>
      </c>
      <c r="M115" s="2">
        <f>Interpolate_Range('試算番号4-2'!$G$10:$G$143,'試算番号4-2'!$I$10:$I$143,G115)</f>
        <v>0.42758971567527021</v>
      </c>
      <c r="N115" s="1">
        <f t="shared" si="27"/>
        <v>0.6355639153697249</v>
      </c>
      <c r="O115" s="1">
        <f t="shared" si="25"/>
        <v>-3.1538750000000004E-3</v>
      </c>
      <c r="P115" s="33">
        <f t="shared" si="26"/>
        <v>1.1201018004649899</v>
      </c>
      <c r="Q115" s="2">
        <f t="shared" si="24"/>
        <v>22.977172036042649</v>
      </c>
      <c r="R115" s="15">
        <f t="shared" si="29"/>
        <v>0.74218030091835319</v>
      </c>
      <c r="S115" s="10">
        <f t="shared" si="30"/>
        <v>1.2169921313526176E-2</v>
      </c>
      <c r="T115" s="32"/>
      <c r="U115" s="1"/>
      <c r="V115" s="10"/>
    </row>
    <row r="116" spans="7:22">
      <c r="G116" s="13">
        <f t="shared" si="28"/>
        <v>24.75</v>
      </c>
      <c r="I116" s="1">
        <f>Interpolate_Range('試算番号4-1'!$G$27:$G$143,'試算番号4-1'!$P$27:$P$143,G116)</f>
        <v>2.5444823913604697E-2</v>
      </c>
      <c r="J116" s="2">
        <f>Interpolate_Range('試算番号4-1'!$G$10:$G$143,'試算番号4-1'!$I$10:$I$143,G116)</f>
        <v>0.658586178664331</v>
      </c>
      <c r="K116" s="1">
        <f t="shared" ref="K116:K137" si="31">K115+J116*0.25*I116*P116</f>
        <v>0.39813269553997505</v>
      </c>
      <c r="L116" s="14">
        <f>Interpolate_Range('試算番号4-2'!$G$27:$G$143,'試算番号4-2'!$N$27:$N$143,G116)</f>
        <v>4.7915464768629817E-2</v>
      </c>
      <c r="M116" s="2">
        <f>Interpolate_Range('試算番号4-2'!$G$10:$G$143,'試算番号4-2'!$I$10:$I$143,G116)</f>
        <v>0.42328575923773765</v>
      </c>
      <c r="N116" s="1">
        <f t="shared" si="27"/>
        <v>0.64063439884067952</v>
      </c>
      <c r="O116" s="1">
        <f t="shared" si="25"/>
        <v>-3.1019375000000001E-3</v>
      </c>
      <c r="P116" s="33">
        <f t="shared" si="26"/>
        <v>1.1200253832640157</v>
      </c>
      <c r="Q116" s="2">
        <f t="shared" ref="Q116:Q137" si="32">Q115+J116*0.25*P116</f>
        <v>23.161580345335373</v>
      </c>
      <c r="R116" s="15">
        <f t="shared" si="29"/>
        <v>0.73763323717090079</v>
      </c>
      <c r="S116" s="10">
        <f t="shared" si="30"/>
        <v>1.2295294808670906E-2</v>
      </c>
      <c r="T116" s="32"/>
      <c r="U116" s="1"/>
      <c r="V116" s="10"/>
    </row>
    <row r="117" spans="7:22">
      <c r="G117" s="13">
        <f t="shared" si="28"/>
        <v>25</v>
      </c>
      <c r="I117" s="1">
        <f>Interpolate_Range('試算番号4-1'!$G$27:$G$143,'試算番号4-1'!$P$27:$P$143,G117)</f>
        <v>2.5444823913604697E-2</v>
      </c>
      <c r="J117" s="2">
        <f>Interpolate_Range('試算番号4-1'!$G$10:$G$143,'試算番号4-1'!$I$10:$I$143,G117)</f>
        <v>0.6545716003168881</v>
      </c>
      <c r="K117" s="1">
        <f t="shared" si="31"/>
        <v>0.40279572142011594</v>
      </c>
      <c r="L117" s="14">
        <f>Interpolate_Range('試算番号4-2'!$G$27:$G$143,'試算番号4-2'!$N$27:$N$143,G117)</f>
        <v>4.7915464768629817E-2</v>
      </c>
      <c r="M117" s="2">
        <f>Interpolate_Range('試算番号4-2'!$G$10:$G$143,'試算番号4-2'!$I$10:$I$143,G117)</f>
        <v>0.41898180280020508</v>
      </c>
      <c r="N117" s="1">
        <f t="shared" si="27"/>
        <v>0.64565332579337209</v>
      </c>
      <c r="O117" s="1">
        <f t="shared" ref="O117:O137" si="33">Interpolate_Range($A$17:$A$31,$B$17:$B$31,G117)</f>
        <v>-3.0500000000000002E-3</v>
      </c>
      <c r="P117" s="33">
        <f t="shared" ref="P117:P137" si="34">(N117+M117-K116-O117*Q116)/(J117+0.25*J117*(I117+O117))</f>
        <v>1.1198792779351203</v>
      </c>
      <c r="Q117" s="2">
        <f t="shared" si="32"/>
        <v>23.344840638115301</v>
      </c>
      <c r="R117" s="15">
        <f t="shared" si="29"/>
        <v>0.73304117111971279</v>
      </c>
      <c r="S117" s="10">
        <f t="shared" si="30"/>
        <v>1.2422136428239229E-2</v>
      </c>
      <c r="T117" s="32"/>
      <c r="U117" s="1"/>
      <c r="V117" s="10"/>
    </row>
    <row r="118" spans="7:22">
      <c r="G118" s="13">
        <f t="shared" si="28"/>
        <v>25.25</v>
      </c>
      <c r="I118" s="1">
        <f>Interpolate_Range('試算番号4-1'!$G$27:$G$143,'試算番号4-1'!$P$27:$P$143,G118)</f>
        <v>2.1002123610383356E-2</v>
      </c>
      <c r="J118" s="2">
        <f>Interpolate_Range('試算番号4-1'!$G$10:$G$143,'試算番号4-1'!$I$10:$I$143,G118)</f>
        <v>0.65143188818594178</v>
      </c>
      <c r="K118" s="1">
        <f t="shared" si="31"/>
        <v>0.40662344522628202</v>
      </c>
      <c r="L118" s="14">
        <f>Interpolate_Range('試算番号4-2'!$G$27:$G$143,'試算番号4-2'!$N$27:$N$143,G118)</f>
        <v>3.6406481684415043E-2</v>
      </c>
      <c r="M118" s="2">
        <f>Interpolate_Range('試算番号4-2'!$G$10:$G$143,'試算番号4-2'!$I$10:$I$143,G118)</f>
        <v>0.41516351224809028</v>
      </c>
      <c r="N118" s="1">
        <f t="shared" si="27"/>
        <v>0.64943198649454648</v>
      </c>
      <c r="O118" s="1">
        <f t="shared" si="33"/>
        <v>-3.0196875000000002E-3</v>
      </c>
      <c r="P118" s="33">
        <f t="shared" si="34"/>
        <v>1.1190986206320408</v>
      </c>
      <c r="Q118" s="2">
        <f t="shared" si="32"/>
        <v>23.527094769991454</v>
      </c>
      <c r="R118" s="15">
        <f t="shared" si="29"/>
        <v>0.72901652750461332</v>
      </c>
      <c r="S118" s="10">
        <f t="shared" si="30"/>
        <v>1.2517183198272497E-2</v>
      </c>
      <c r="T118" s="32"/>
      <c r="U118" s="1"/>
      <c r="V118" s="10"/>
    </row>
    <row r="119" spans="7:22">
      <c r="G119" s="13">
        <f t="shared" si="28"/>
        <v>25.5</v>
      </c>
      <c r="I119" s="1">
        <f>Interpolate_Range('試算番号4-1'!$G$27:$G$143,'試算番号4-1'!$P$27:$P$143,G119)</f>
        <v>2.1002123610383356E-2</v>
      </c>
      <c r="J119" s="2">
        <f>Interpolate_Range('試算番号4-1'!$G$10:$G$143,'試算番号4-1'!$I$10:$I$143,G119)</f>
        <v>0.64829217605499545</v>
      </c>
      <c r="K119" s="1">
        <f t="shared" si="31"/>
        <v>0.41042989284373144</v>
      </c>
      <c r="L119" s="14">
        <f>Interpolate_Range('試算番号4-2'!$G$27:$G$143,'試算番号4-2'!$N$27:$N$143,G119)</f>
        <v>3.6406481684415043E-2</v>
      </c>
      <c r="M119" s="2">
        <f>Interpolate_Range('試算番号4-2'!$G$10:$G$143,'試算番号4-2'!$I$10:$I$143,G119)</f>
        <v>0.41134522169597554</v>
      </c>
      <c r="N119" s="1">
        <f t="shared" si="27"/>
        <v>0.65317589456445801</v>
      </c>
      <c r="O119" s="1">
        <f t="shared" si="33"/>
        <v>-2.9893750000000003E-3</v>
      </c>
      <c r="P119" s="33">
        <f t="shared" si="34"/>
        <v>1.1182678993864237</v>
      </c>
      <c r="Q119" s="2">
        <f t="shared" si="32"/>
        <v>23.708335852467872</v>
      </c>
      <c r="R119" s="15">
        <f t="shared" si="29"/>
        <v>0.72496432990567328</v>
      </c>
      <c r="S119" s="10">
        <f t="shared" si="30"/>
        <v>1.2613051979134675E-2</v>
      </c>
      <c r="T119" s="32"/>
      <c r="U119" s="1"/>
      <c r="V119" s="10"/>
    </row>
    <row r="120" spans="7:22">
      <c r="G120" s="13">
        <f t="shared" si="28"/>
        <v>25.75</v>
      </c>
      <c r="I120" s="1">
        <f>Interpolate_Range('試算番号4-1'!$G$27:$G$143,'試算番号4-1'!$P$27:$P$143,G120)</f>
        <v>2.1140806809187694E-2</v>
      </c>
      <c r="J120" s="2">
        <f>Interpolate_Range('試算番号4-1'!$G$10:$G$143,'試算番号4-1'!$I$10:$I$143,G120)</f>
        <v>0.64515246392404957</v>
      </c>
      <c r="K120" s="1">
        <f t="shared" si="31"/>
        <v>0.41423978283217366</v>
      </c>
      <c r="L120" s="14">
        <f>Interpolate_Range('試算番号4-2'!$G$27:$G$143,'試算番号4-2'!$N$27:$N$143,G120)</f>
        <v>3.6406384769570761E-2</v>
      </c>
      <c r="M120" s="2">
        <f>Interpolate_Range('試算番号4-2'!$G$10:$G$143,'試算番号4-2'!$I$10:$I$143,G120)</f>
        <v>0.40752693114385974</v>
      </c>
      <c r="N120" s="1">
        <f t="shared" si="27"/>
        <v>0.65688504012925442</v>
      </c>
      <c r="O120" s="1">
        <f t="shared" si="33"/>
        <v>-2.9590625000000003E-3</v>
      </c>
      <c r="P120" s="33">
        <f t="shared" si="34"/>
        <v>1.1173481365812554</v>
      </c>
      <c r="Q120" s="2">
        <f t="shared" si="32"/>
        <v>23.888550828311956</v>
      </c>
      <c r="R120" s="15">
        <f t="shared" si="29"/>
        <v>0.72085990337634243</v>
      </c>
      <c r="S120" s="10">
        <f t="shared" si="30"/>
        <v>1.2711086188281911E-2</v>
      </c>
      <c r="T120" s="32"/>
      <c r="U120" s="1"/>
      <c r="V120" s="10"/>
    </row>
    <row r="121" spans="7:22">
      <c r="G121" s="13">
        <f t="shared" si="28"/>
        <v>26</v>
      </c>
      <c r="I121" s="1">
        <f>Interpolate_Range('試算番号4-1'!$G$27:$G$143,'試算番号4-1'!$P$27:$P$143,G121)</f>
        <v>2.1140806809187694E-2</v>
      </c>
      <c r="J121" s="2">
        <f>Interpolate_Range('試算番号4-1'!$G$10:$G$143,'試算番号4-1'!$I$10:$I$143,G121)</f>
        <v>0.64201275179310324</v>
      </c>
      <c r="K121" s="1">
        <f t="shared" si="31"/>
        <v>0.41802783809453198</v>
      </c>
      <c r="L121" s="14">
        <f>Interpolate_Range('試算番号4-2'!$G$27:$G$143,'試算番号4-2'!$N$27:$N$143,G121)</f>
        <v>3.6406384769570761E-2</v>
      </c>
      <c r="M121" s="2">
        <f>Interpolate_Range('試算番号4-2'!$G$10:$G$143,'試算番号4-2'!$I$10:$I$143,G121)</f>
        <v>0.40370864059174494</v>
      </c>
      <c r="N121" s="1">
        <f t="shared" si="27"/>
        <v>0.6605594331553003</v>
      </c>
      <c r="O121" s="1">
        <f t="shared" si="33"/>
        <v>-2.9287500000000004E-3</v>
      </c>
      <c r="P121" s="33">
        <f t="shared" si="34"/>
        <v>1.11637752773177</v>
      </c>
      <c r="Q121" s="2">
        <f t="shared" si="32"/>
        <v>24.067732980466719</v>
      </c>
      <c r="R121" s="15">
        <f t="shared" si="29"/>
        <v>0.71672860861905507</v>
      </c>
      <c r="S121" s="10">
        <f t="shared" si="30"/>
        <v>1.2809923832008093E-2</v>
      </c>
      <c r="T121" s="32"/>
      <c r="U121" s="1"/>
      <c r="V121" s="10"/>
    </row>
    <row r="122" spans="7:22">
      <c r="G122" s="13">
        <f t="shared" ref="G122:G137" si="35">G121+0.25</f>
        <v>26.25</v>
      </c>
      <c r="I122" s="1">
        <f>Interpolate_Range('試算番号4-1'!$G$27:$G$143,'試算番号4-1'!$P$27:$P$143,G122)</f>
        <v>2.1302482098494547E-2</v>
      </c>
      <c r="J122" s="2">
        <f>Interpolate_Range('試算番号4-1'!$G$10:$G$143,'試算番号4-1'!$I$10:$I$143,G122)</f>
        <v>0.63889188714002876</v>
      </c>
      <c r="K122" s="1">
        <f t="shared" si="31"/>
        <v>0.42182311688627266</v>
      </c>
      <c r="L122" s="14">
        <f>Interpolate_Range('試算番号4-2'!$G$27:$G$143,'試算番号4-2'!$N$27:$N$143,G122)</f>
        <v>3.6410970100117214E-2</v>
      </c>
      <c r="M122" s="2">
        <f>Interpolate_Range('試算番号4-2'!$G$10:$G$143,'試算番号4-2'!$I$10:$I$143,G122)</f>
        <v>0.3999928095615764</v>
      </c>
      <c r="N122" s="1">
        <f t="shared" si="27"/>
        <v>0.66420046471260241</v>
      </c>
      <c r="O122" s="1">
        <f t="shared" si="33"/>
        <v>-2.8984375E-3</v>
      </c>
      <c r="P122" s="33">
        <f t="shared" si="34"/>
        <v>1.1154396871470278</v>
      </c>
      <c r="Q122" s="2">
        <f t="shared" si="32"/>
        <v>24.245894322144782</v>
      </c>
      <c r="R122" s="15">
        <f t="shared" si="29"/>
        <v>0.71264536671224787</v>
      </c>
      <c r="S122" s="10">
        <f t="shared" si="30"/>
        <v>1.2905575778799992E-2</v>
      </c>
      <c r="T122" s="32"/>
      <c r="U122" s="1"/>
      <c r="V122" s="10"/>
    </row>
    <row r="123" spans="7:22">
      <c r="G123" s="13">
        <f t="shared" si="35"/>
        <v>26.5</v>
      </c>
      <c r="I123" s="1">
        <f>Interpolate_Range('試算番号4-1'!$G$27:$G$143,'試算番号4-1'!$P$27:$P$143,G123)</f>
        <v>2.1302482098494547E-2</v>
      </c>
      <c r="J123" s="2">
        <f>Interpolate_Range('試算番号4-1'!$G$10:$G$143,'試算番号4-1'!$I$10:$I$143,G123)</f>
        <v>0.63577102248695427</v>
      </c>
      <c r="K123" s="1">
        <f t="shared" si="31"/>
        <v>0.42559651307172119</v>
      </c>
      <c r="L123" s="14">
        <f>Interpolate_Range('試算番号4-2'!$G$27:$G$143,'試算番号4-2'!$N$27:$N$143,G123)</f>
        <v>3.6410970100117214E-2</v>
      </c>
      <c r="M123" s="2">
        <f>Interpolate_Range('試算番号4-2'!$G$10:$G$143,'試算番号4-2'!$I$10:$I$143,G123)</f>
        <v>0.39627697853140786</v>
      </c>
      <c r="N123" s="1">
        <f t="shared" si="27"/>
        <v>0.66780767201677038</v>
      </c>
      <c r="O123" s="1">
        <f t="shared" si="33"/>
        <v>-2.868125E-3</v>
      </c>
      <c r="P123" s="33">
        <f t="shared" si="34"/>
        <v>1.1144522333274445</v>
      </c>
      <c r="Q123" s="2">
        <f t="shared" si="32"/>
        <v>24.423028431118645</v>
      </c>
      <c r="R123" s="15">
        <f t="shared" si="29"/>
        <v>0.70853643589545912</v>
      </c>
      <c r="S123" s="10">
        <f t="shared" si="30"/>
        <v>1.3002029975958666E-2</v>
      </c>
      <c r="T123" s="32"/>
      <c r="U123" s="1"/>
      <c r="V123" s="10"/>
    </row>
    <row r="124" spans="7:22">
      <c r="G124" s="13">
        <f t="shared" si="35"/>
        <v>26.75</v>
      </c>
      <c r="I124" s="1">
        <f>Interpolate_Range('試算番号4-1'!$G$27:$G$143,'試算番号4-1'!$P$27:$P$143,G124)</f>
        <v>2.1465963304872833E-2</v>
      </c>
      <c r="J124" s="2">
        <f>Interpolate_Range('試算番号4-1'!$G$10:$G$143,'試算番号4-1'!$I$10:$I$143,G124)</f>
        <v>0.63265015783387968</v>
      </c>
      <c r="K124" s="1">
        <f t="shared" si="31"/>
        <v>0.42937652627549833</v>
      </c>
      <c r="L124" s="14">
        <f>Interpolate_Range('試算番号4-2'!$G$27:$G$143,'試算番号4-2'!$N$27:$N$143,G124)</f>
        <v>3.6410907688527484E-2</v>
      </c>
      <c r="M124" s="2">
        <f>Interpolate_Range('試算番号4-2'!$G$10:$G$143,'試算番号4-2'!$I$10:$I$143,G124)</f>
        <v>0.39256114750123933</v>
      </c>
      <c r="N124" s="1">
        <f t="shared" si="27"/>
        <v>0.67138104894271289</v>
      </c>
      <c r="O124" s="1">
        <f t="shared" si="33"/>
        <v>-2.8378125000000001E-3</v>
      </c>
      <c r="P124" s="33">
        <f t="shared" si="34"/>
        <v>1.1133694613071723</v>
      </c>
      <c r="Q124" s="2">
        <f t="shared" si="32"/>
        <v>24.599121772474497</v>
      </c>
      <c r="R124" s="15">
        <f t="shared" si="29"/>
        <v>0.70437336542340412</v>
      </c>
      <c r="S124" s="10">
        <f t="shared" si="30"/>
        <v>1.3100811768090704E-2</v>
      </c>
      <c r="T124" s="32"/>
      <c r="U124" s="1"/>
      <c r="V124" s="10"/>
    </row>
    <row r="125" spans="7:22">
      <c r="G125" s="13">
        <f t="shared" si="35"/>
        <v>27</v>
      </c>
      <c r="I125" s="1">
        <f>Interpolate_Range('試算番号4-1'!$G$27:$G$143,'試算番号4-1'!$P$27:$P$143,G125)</f>
        <v>2.1465963304872833E-2</v>
      </c>
      <c r="J125" s="2">
        <f>Interpolate_Range('試算番号4-1'!$G$10:$G$143,'試算番号4-1'!$I$10:$I$143,G125)</f>
        <v>0.62952929318080564</v>
      </c>
      <c r="K125" s="1">
        <f t="shared" si="31"/>
        <v>0.43313406442919444</v>
      </c>
      <c r="L125" s="14">
        <f>Interpolate_Range('試算番号4-2'!$G$27:$G$143,'試算番号4-2'!$N$27:$N$143,G125)</f>
        <v>3.6410907688527484E-2</v>
      </c>
      <c r="M125" s="2">
        <f>Interpolate_Range('試算番号4-2'!$G$10:$G$143,'試算番号4-2'!$I$10:$I$143,G125)</f>
        <v>0.38884531647106979</v>
      </c>
      <c r="N125" s="1">
        <f t="shared" si="27"/>
        <v>0.67492060167349899</v>
      </c>
      <c r="O125" s="1">
        <f t="shared" si="33"/>
        <v>-2.8075000000000001E-3</v>
      </c>
      <c r="P125" s="33">
        <f t="shared" si="34"/>
        <v>1.1122362982233178</v>
      </c>
      <c r="Q125" s="2">
        <f t="shared" si="32"/>
        <v>24.774168105142138</v>
      </c>
      <c r="R125" s="15">
        <f t="shared" si="29"/>
        <v>0.70018533067056099</v>
      </c>
      <c r="S125" s="10">
        <f t="shared" si="30"/>
        <v>1.3200378551117479E-2</v>
      </c>
      <c r="T125" s="32"/>
      <c r="U125" s="1"/>
      <c r="V125" s="10"/>
    </row>
    <row r="126" spans="7:22">
      <c r="G126" s="13">
        <f t="shared" si="35"/>
        <v>27.25</v>
      </c>
      <c r="I126" s="1">
        <f>Interpolate_Range('試算番号4-1'!$G$27:$G$143,'試算番号4-1'!$P$27:$P$143,G126)</f>
        <v>2.1630337747521784E-2</v>
      </c>
      <c r="J126" s="2">
        <f>Interpolate_Range('試算番号4-1'!$G$10:$G$143,'試算番号4-1'!$I$10:$I$143,G126)</f>
        <v>0.62642789256813525</v>
      </c>
      <c r="K126" s="1">
        <f t="shared" si="31"/>
        <v>0.43689798790546253</v>
      </c>
      <c r="L126" s="14">
        <f>Interpolate_Range('試算番号4-2'!$G$27:$G$143,'試算番号4-2'!$N$27:$N$143,G126)</f>
        <v>3.6415604883246973E-2</v>
      </c>
      <c r="M126" s="2">
        <f>Interpolate_Range('試算番号4-2'!$G$10:$G$143,'試算番号4-2'!$I$10:$I$143,G126)</f>
        <v>0.38522977317583412</v>
      </c>
      <c r="N126" s="1">
        <f t="shared" si="27"/>
        <v>0.6784276954758075</v>
      </c>
      <c r="O126" s="1">
        <f t="shared" si="33"/>
        <v>-2.7771875000000001E-3</v>
      </c>
      <c r="P126" s="33">
        <f t="shared" si="34"/>
        <v>1.1111338767515546</v>
      </c>
      <c r="Q126" s="2">
        <f t="shared" si="32"/>
        <v>24.948179418335773</v>
      </c>
      <c r="R126" s="15">
        <f t="shared" si="29"/>
        <v>0.69604525277453844</v>
      </c>
      <c r="S126" s="10">
        <f t="shared" si="30"/>
        <v>1.3296902840627416E-2</v>
      </c>
      <c r="T126" s="32"/>
      <c r="U126" s="1"/>
      <c r="V126" s="10"/>
    </row>
    <row r="127" spans="7:22">
      <c r="G127" s="13">
        <f t="shared" si="35"/>
        <v>27.5</v>
      </c>
      <c r="I127" s="1">
        <f>Interpolate_Range('試算番号4-1'!$G$27:$G$143,'試算番号4-1'!$P$27:$P$143,G127)</f>
        <v>2.1630337747521784E-2</v>
      </c>
      <c r="J127" s="2">
        <f>Interpolate_Range('試算番号4-1'!$G$10:$G$143,'試算番号4-1'!$I$10:$I$143,G127)</f>
        <v>0.62332649195546486</v>
      </c>
      <c r="K127" s="1">
        <f t="shared" si="31"/>
        <v>0.44063939481802977</v>
      </c>
      <c r="L127" s="14">
        <f>Interpolate_Range('試算番号4-2'!$G$27:$G$143,'試算番号4-2'!$N$27:$N$143,G127)</f>
        <v>3.6415604883246973E-2</v>
      </c>
      <c r="M127" s="2">
        <f>Interpolate_Range('試算番号4-2'!$G$10:$G$143,'試算番号4-2'!$I$10:$I$143,G127)</f>
        <v>0.38161422988059845</v>
      </c>
      <c r="N127" s="1">
        <f t="shared" si="27"/>
        <v>0.68190187372909661</v>
      </c>
      <c r="O127" s="1">
        <f t="shared" si="33"/>
        <v>-2.7468750000000002E-3</v>
      </c>
      <c r="P127" s="33">
        <f t="shared" si="34"/>
        <v>1.1099822901292005</v>
      </c>
      <c r="Q127" s="2">
        <f t="shared" si="32"/>
        <v>25.121149760095506</v>
      </c>
      <c r="R127" s="15">
        <f t="shared" si="29"/>
        <v>0.69188136703892755</v>
      </c>
      <c r="S127" s="10">
        <f t="shared" si="30"/>
        <v>1.3394209926398429E-2</v>
      </c>
      <c r="T127" s="32"/>
      <c r="U127" s="1"/>
      <c r="V127" s="10"/>
    </row>
    <row r="128" spans="7:22">
      <c r="G128" s="13">
        <f t="shared" si="35"/>
        <v>27.75</v>
      </c>
      <c r="I128" s="1">
        <f>Interpolate_Range('試算番号4-1'!$G$27:$G$143,'試算番号4-1'!$P$27:$P$143,G128)</f>
        <v>2.1796501461324148E-2</v>
      </c>
      <c r="J128" s="2">
        <f>Interpolate_Range('試算番号4-1'!$G$10:$G$143,'試算番号4-1'!$I$10:$I$143,G128)</f>
        <v>0.62022509134279458</v>
      </c>
      <c r="K128" s="1">
        <f t="shared" si="31"/>
        <v>0.44438657004045856</v>
      </c>
      <c r="L128" s="14">
        <f>Interpolate_Range('試算番号4-2'!$G$27:$G$143,'試算番号4-2'!$N$27:$N$143,G128)</f>
        <v>3.6415580296320769E-2</v>
      </c>
      <c r="M128" s="2">
        <f>Interpolate_Range('試算番号4-2'!$G$10:$G$143,'試算番号4-2'!$I$10:$I$143,G128)</f>
        <v>0.37799868658536279</v>
      </c>
      <c r="N128" s="1">
        <f t="shared" si="27"/>
        <v>0.68534313410990988</v>
      </c>
      <c r="O128" s="1">
        <f t="shared" si="33"/>
        <v>-2.7165625000000002E-3</v>
      </c>
      <c r="P128" s="33">
        <f t="shared" si="34"/>
        <v>1.1087352885090138</v>
      </c>
      <c r="Q128" s="2">
        <f t="shared" si="32"/>
        <v>25.293066121493126</v>
      </c>
      <c r="R128" s="15">
        <f t="shared" si="29"/>
        <v>0.68766544559048282</v>
      </c>
      <c r="S128" s="10">
        <f t="shared" si="30"/>
        <v>1.3493795685078067E-2</v>
      </c>
      <c r="T128" s="32"/>
      <c r="U128" s="1"/>
      <c r="V128" s="10"/>
    </row>
    <row r="129" spans="7:22">
      <c r="G129" s="13">
        <f t="shared" si="35"/>
        <v>28</v>
      </c>
      <c r="I129" s="1">
        <f>Interpolate_Range('試算番号4-1'!$G$27:$G$143,'試算番号4-1'!$P$27:$P$143,G129)</f>
        <v>2.1796501461324148E-2</v>
      </c>
      <c r="J129" s="2">
        <f>Interpolate_Range('試算番号4-1'!$G$10:$G$143,'試算番号4-1'!$I$10:$I$143,G129)</f>
        <v>0.61712369073012419</v>
      </c>
      <c r="K129" s="1">
        <f t="shared" si="31"/>
        <v>0.44811064638078929</v>
      </c>
      <c r="L129" s="14">
        <f>Interpolate_Range('試算番号4-2'!$G$27:$G$143,'試算番号4-2'!$N$27:$N$143,G129)</f>
        <v>3.6415580296320769E-2</v>
      </c>
      <c r="M129" s="2">
        <f>Interpolate_Range('試算番号4-2'!$G$10:$G$143,'試算番号4-2'!$I$10:$I$143,G129)</f>
        <v>0.37438314329012712</v>
      </c>
      <c r="N129" s="1">
        <f t="shared" si="27"/>
        <v>0.68875147896392752</v>
      </c>
      <c r="O129" s="1">
        <f t="shared" si="33"/>
        <v>-2.6862500000000003E-3</v>
      </c>
      <c r="P129" s="33">
        <f t="shared" si="34"/>
        <v>1.1074383443309983</v>
      </c>
      <c r="Q129" s="2">
        <f t="shared" si="32"/>
        <v>25.463922731070529</v>
      </c>
      <c r="R129" s="15">
        <f t="shared" si="29"/>
        <v>0.68342643830960381</v>
      </c>
      <c r="S129" s="10">
        <f t="shared" si="30"/>
        <v>1.3594151914798444E-2</v>
      </c>
      <c r="T129" s="32"/>
      <c r="U129" s="1"/>
      <c r="V129" s="10"/>
    </row>
    <row r="130" spans="7:22">
      <c r="G130" s="13">
        <f t="shared" si="35"/>
        <v>28.25</v>
      </c>
      <c r="I130" s="1">
        <f>Interpolate_Range('試算番号4-1'!$G$27:$G$143,'試算番号4-1'!$P$27:$P$143,G130)</f>
        <v>2.1963584195660062E-2</v>
      </c>
      <c r="J130" s="2">
        <f>Interpolate_Range('試算番号4-1'!$G$10:$G$143,'試算番号4-1'!$I$10:$I$143,G130)</f>
        <v>0.61404235303827548</v>
      </c>
      <c r="K130" s="1">
        <f t="shared" si="31"/>
        <v>0.45184025694569202</v>
      </c>
      <c r="L130" s="14">
        <f>Interpolate_Range('試算番号4-2'!$G$27:$G$143,'試算番号4-2'!$N$27:$N$143,G130)</f>
        <v>3.6420395093595855E-2</v>
      </c>
      <c r="M130" s="2">
        <f>Interpolate_Range('試算番号4-2'!$G$10:$G$143,'試算番号4-2'!$I$10:$I$143,G130)</f>
        <v>0.37086574528691607</v>
      </c>
      <c r="N130" s="1">
        <f t="shared" si="27"/>
        <v>0.69212824820643515</v>
      </c>
      <c r="O130" s="1">
        <f t="shared" si="33"/>
        <v>-2.6559375000000003E-3</v>
      </c>
      <c r="P130" s="33">
        <f t="shared" si="34"/>
        <v>1.1061701560298272</v>
      </c>
      <c r="Q130" s="2">
        <f t="shared" si="32"/>
        <v>25.633731562437845</v>
      </c>
      <c r="R130" s="15">
        <f t="shared" si="29"/>
        <v>0.67923532546927134</v>
      </c>
      <c r="S130" s="10">
        <f t="shared" si="30"/>
        <v>1.3691597696611031E-2</v>
      </c>
      <c r="T130" s="32"/>
      <c r="U130" s="1"/>
      <c r="V130" s="10"/>
    </row>
    <row r="131" spans="7:22">
      <c r="G131" s="13">
        <f t="shared" si="35"/>
        <v>28.5</v>
      </c>
      <c r="I131" s="1">
        <f>Interpolate_Range('試算番号4-1'!$G$27:$G$143,'試算番号4-1'!$P$27:$P$143,G131)</f>
        <v>2.1963584195660062E-2</v>
      </c>
      <c r="J131" s="2">
        <f>Interpolate_Range('試算番号4-1'!$G$10:$G$143,'試算番号4-1'!$I$10:$I$143,G131)</f>
        <v>0.61096101534642622</v>
      </c>
      <c r="K131" s="1">
        <f t="shared" si="31"/>
        <v>0.45554673400460394</v>
      </c>
      <c r="L131" s="14">
        <f>Interpolate_Range('試算番号4-2'!$G$27:$G$143,'試算番号4-2'!$N$27:$N$143,G131)</f>
        <v>3.6420395093595855E-2</v>
      </c>
      <c r="M131" s="2">
        <f>Interpolate_Range('試算番号4-2'!$G$10:$G$143,'試算番号4-2'!$I$10:$I$143,G131)</f>
        <v>0.36734834728370591</v>
      </c>
      <c r="N131" s="1">
        <f t="shared" si="27"/>
        <v>0.69547299119269812</v>
      </c>
      <c r="O131" s="1">
        <f t="shared" si="33"/>
        <v>-2.6256250000000004E-3</v>
      </c>
      <c r="P131" s="33">
        <f t="shared" si="34"/>
        <v>1.104853243955108</v>
      </c>
      <c r="Q131" s="2">
        <f t="shared" si="32"/>
        <v>25.802487127371744</v>
      </c>
      <c r="R131" s="15">
        <f t="shared" si="29"/>
        <v>0.67502225973560548</v>
      </c>
      <c r="S131" s="10">
        <f t="shared" si="30"/>
        <v>1.3789810921658494E-2</v>
      </c>
      <c r="T131" s="32"/>
      <c r="U131" s="1"/>
      <c r="V131" s="10"/>
    </row>
    <row r="132" spans="7:22">
      <c r="G132" s="13">
        <f t="shared" si="35"/>
        <v>28.75</v>
      </c>
      <c r="I132" s="1">
        <f>Interpolate_Range('試算番号4-1'!$G$27:$G$143,'試算番号4-1'!$P$27:$P$143,G132)</f>
        <v>2.2132552506343987E-2</v>
      </c>
      <c r="J132" s="2">
        <f>Interpolate_Range('試算番号4-1'!$G$10:$G$143,'試算番号4-1'!$I$10:$I$143,G132)</f>
        <v>0.60787967765457707</v>
      </c>
      <c r="K132" s="1">
        <f t="shared" si="31"/>
        <v>0.45925813756245976</v>
      </c>
      <c r="L132" s="14">
        <f>Interpolate_Range('試算番号4-2'!$G$27:$G$143,'試算番号4-2'!$N$27:$N$143,G132)</f>
        <v>3.6420411938592294E-2</v>
      </c>
      <c r="M132" s="2">
        <f>Interpolate_Range('試算番号4-2'!$G$10:$G$143,'試算番号4-2'!$I$10:$I$143,G132)</f>
        <v>0.36383094928049581</v>
      </c>
      <c r="N132" s="1">
        <f t="shared" si="27"/>
        <v>0.69878570945489926</v>
      </c>
      <c r="O132" s="1">
        <f t="shared" si="33"/>
        <v>-2.5953125000000004E-3</v>
      </c>
      <c r="P132" s="33">
        <f t="shared" si="34"/>
        <v>1.1034408134807905</v>
      </c>
      <c r="Q132" s="2">
        <f t="shared" si="32"/>
        <v>25.970176938874147</v>
      </c>
      <c r="R132" s="15">
        <f t="shared" si="29"/>
        <v>0.67075924600960724</v>
      </c>
      <c r="S132" s="10">
        <f t="shared" si="30"/>
        <v>1.3890261050002614E-2</v>
      </c>
      <c r="T132" s="32"/>
      <c r="U132" s="1"/>
      <c r="V132" s="10"/>
    </row>
    <row r="133" spans="7:22">
      <c r="G133" s="13">
        <f t="shared" si="35"/>
        <v>29</v>
      </c>
      <c r="I133" s="1">
        <f>Interpolate_Range('試算番号4-1'!$G$27:$G$143,'試算番号4-1'!$P$27:$P$143,G133)</f>
        <v>2.2132552506343987E-2</v>
      </c>
      <c r="J133" s="2">
        <f>Interpolate_Range('試算番号4-1'!$G$10:$G$143,'試算番号4-1'!$I$10:$I$143,G133)</f>
        <v>0.60479833996272792</v>
      </c>
      <c r="K133" s="1">
        <f t="shared" si="31"/>
        <v>0.46294583578364745</v>
      </c>
      <c r="L133" s="14">
        <f>Interpolate_Range('試算番号4-2'!$G$27:$G$143,'試算番号4-2'!$N$27:$N$143,G133)</f>
        <v>3.6420411938592294E-2</v>
      </c>
      <c r="M133" s="2">
        <f>Interpolate_Range('試算番号4-2'!$G$10:$G$143,'試算番号4-2'!$I$10:$I$143,G133)</f>
        <v>0.36031355127728565</v>
      </c>
      <c r="N133" s="1">
        <f t="shared" si="27"/>
        <v>0.70206640144604326</v>
      </c>
      <c r="O133" s="1">
        <f t="shared" si="33"/>
        <v>-2.565E-3</v>
      </c>
      <c r="P133" s="33">
        <f t="shared" si="34"/>
        <v>1.1019788809627971</v>
      </c>
      <c r="Q133" s="2">
        <f t="shared" si="32"/>
        <v>26.136795688344218</v>
      </c>
      <c r="R133" s="15">
        <f t="shared" si="29"/>
        <v>0.66647499788028419</v>
      </c>
      <c r="S133" s="10">
        <f t="shared" si="30"/>
        <v>1.3991470780162083E-2</v>
      </c>
      <c r="T133" s="32"/>
      <c r="U133" s="1"/>
      <c r="V133" s="10"/>
    </row>
    <row r="134" spans="7:22">
      <c r="G134" s="13">
        <f t="shared" si="35"/>
        <v>29.25</v>
      </c>
      <c r="I134" s="1">
        <f>Interpolate_Range('試算番号4-1'!$G$27:$G$143,'試算番号4-1'!$P$27:$P$143,G134)</f>
        <v>2.2302467573634445E-2</v>
      </c>
      <c r="J134" s="2">
        <f>Interpolate_Range('試算番号4-1'!$G$10:$G$143,'試算番号4-1'!$I$10:$I$143,G134)</f>
        <v>0.60173764638461669</v>
      </c>
      <c r="K134" s="1">
        <f t="shared" si="31"/>
        <v>0.46663822447922121</v>
      </c>
      <c r="L134" s="14">
        <f>Interpolate_Range('試算番号4-2'!$G$27:$G$143,'試算番号4-2'!$N$27:$N$143,G134)</f>
        <v>3.6425350514889876E-2</v>
      </c>
      <c r="M134" s="2">
        <f>Interpolate_Range('試算番号4-2'!$G$10:$G$143,'試算番号4-2'!$I$10:$I$143,G134)</f>
        <v>0.3568921856105437</v>
      </c>
      <c r="N134" s="1">
        <f t="shared" si="27"/>
        <v>0.7053163821852656</v>
      </c>
      <c r="O134" s="1">
        <f t="shared" si="33"/>
        <v>-2.5346875E-3</v>
      </c>
      <c r="P134" s="33">
        <f t="shared" si="34"/>
        <v>1.1005437312900717</v>
      </c>
      <c r="Q134" s="2">
        <f t="shared" si="32"/>
        <v>26.302355336996676</v>
      </c>
      <c r="R134" s="15">
        <f t="shared" si="29"/>
        <v>0.6622385946098317</v>
      </c>
      <c r="S134" s="10">
        <f t="shared" si="30"/>
        <v>1.4089893099503283E-2</v>
      </c>
      <c r="T134" s="32"/>
      <c r="U134" s="1"/>
      <c r="V134" s="10"/>
    </row>
    <row r="135" spans="7:22">
      <c r="G135" s="13">
        <f t="shared" si="35"/>
        <v>29.5</v>
      </c>
      <c r="I135" s="1">
        <f>Interpolate_Range('試算番号4-1'!$G$27:$G$143,'試算番号4-1'!$P$27:$P$143,G135)</f>
        <v>2.2302467573634445E-2</v>
      </c>
      <c r="J135" s="2">
        <f>Interpolate_Range('試算番号4-1'!$G$10:$G$143,'試算番号4-1'!$I$10:$I$143,G135)</f>
        <v>0.5986769528065059</v>
      </c>
      <c r="K135" s="1">
        <f t="shared" si="31"/>
        <v>0.47030688040175783</v>
      </c>
      <c r="L135" s="14">
        <f>Interpolate_Range('試算番号4-2'!$G$27:$G$143,'試算番号4-2'!$N$27:$N$143,G135)</f>
        <v>3.6425350514889876E-2</v>
      </c>
      <c r="M135" s="2">
        <f>Interpolate_Range('試算番号4-2'!$G$10:$G$143,'試算番号4-2'!$I$10:$I$143,G135)</f>
        <v>0.35347081994380081</v>
      </c>
      <c r="N135" s="1">
        <f t="shared" si="27"/>
        <v>0.70853520681357518</v>
      </c>
      <c r="O135" s="1">
        <f t="shared" si="33"/>
        <v>-2.5043750000000001E-3</v>
      </c>
      <c r="P135" s="33">
        <f t="shared" si="34"/>
        <v>1.0990602909921634</v>
      </c>
      <c r="Q135" s="2">
        <f t="shared" si="32"/>
        <v>26.466850853487131</v>
      </c>
      <c r="R135" s="15">
        <f t="shared" si="29"/>
        <v>0.65798206596182007</v>
      </c>
      <c r="S135" s="10">
        <f t="shared" si="30"/>
        <v>1.41890713018789E-2</v>
      </c>
      <c r="T135" s="32"/>
      <c r="U135" s="1"/>
      <c r="V135" s="10"/>
    </row>
    <row r="136" spans="7:22">
      <c r="G136" s="13">
        <f t="shared" si="35"/>
        <v>29.75</v>
      </c>
      <c r="I136" s="1">
        <f>Interpolate_Range('試算番号4-1'!$G$27:$G$143,'試算番号4-1'!$P$27:$P$143,G136)</f>
        <v>2.2474369878227197E-2</v>
      </c>
      <c r="J136" s="2">
        <f>Interpolate_Range('試算番号4-1'!$G$10:$G$143,'試算番号4-1'!$I$10:$I$143,G136)</f>
        <v>0.59561625922839467</v>
      </c>
      <c r="K136" s="1">
        <f t="shared" si="31"/>
        <v>0.47397962877588085</v>
      </c>
      <c r="L136" s="14">
        <f>Interpolate_Range('試算番号4-2'!$G$27:$G$143,'試算番号4-2'!$N$27:$N$143,G136)</f>
        <v>3.6425412714998225E-2</v>
      </c>
      <c r="M136" s="2">
        <f>Interpolate_Range('試算番号4-2'!$G$10:$G$143,'試算番号4-2'!$I$10:$I$143,G136)</f>
        <v>0.3500494542770588</v>
      </c>
      <c r="N136" s="1">
        <f t="shared" si="27"/>
        <v>0.71172288077425061</v>
      </c>
      <c r="O136" s="1">
        <f t="shared" si="33"/>
        <v>-2.4740625000000001E-3</v>
      </c>
      <c r="P136" s="33">
        <f t="shared" si="34"/>
        <v>1.0974812208080982</v>
      </c>
      <c r="Q136" s="2">
        <f t="shared" si="32"/>
        <v>26.630270268314913</v>
      </c>
      <c r="R136" s="15">
        <f t="shared" si="29"/>
        <v>0.65367765931113131</v>
      </c>
      <c r="S136" s="10">
        <f t="shared" si="30"/>
        <v>1.4290451250390943E-2</v>
      </c>
      <c r="T136" s="32"/>
      <c r="U136" s="1"/>
      <c r="V136" s="10"/>
    </row>
    <row r="137" spans="7:22">
      <c r="G137" s="13">
        <f t="shared" si="35"/>
        <v>30</v>
      </c>
      <c r="I137" s="1">
        <f>Interpolate_Range('試算番号4-1'!$G$27:$G$143,'試算番号4-1'!$P$27:$P$143,G137)</f>
        <v>2.2474369878227197E-2</v>
      </c>
      <c r="J137" s="2">
        <f>Interpolate_Range('試算番号4-1'!$G$10:$G$143,'試算番号4-1'!$I$10:$I$143,G137)</f>
        <v>0.59255556565028344</v>
      </c>
      <c r="K137" s="1">
        <f t="shared" si="31"/>
        <v>0.47762808337915114</v>
      </c>
      <c r="L137" s="14">
        <f>Interpolate_Range('試算番号4-2'!$G$27:$G$143,'試算番号4-2'!$N$27:$N$143,G137)</f>
        <v>3.6425412714998225E-2</v>
      </c>
      <c r="M137" s="2">
        <f>Interpolate_Range('試算番号4-2'!$G$10:$G$143,'試算番号4-2'!$I$10:$I$143,G137)</f>
        <v>0.34662808861031685</v>
      </c>
      <c r="N137" s="1">
        <f t="shared" si="27"/>
        <v>0.71487939857081106</v>
      </c>
      <c r="O137" s="1">
        <f t="shared" si="33"/>
        <v>-2.4437500000000002E-3</v>
      </c>
      <c r="P137" s="33">
        <f t="shared" si="34"/>
        <v>1.0958530794829779</v>
      </c>
      <c r="Q137" s="2">
        <f t="shared" si="32"/>
        <v>26.792608728660571</v>
      </c>
      <c r="R137" s="15">
        <f t="shared" si="29"/>
        <v>0.64935384138264107</v>
      </c>
      <c r="S137" s="10">
        <f t="shared" si="30"/>
        <v>1.439258335694509E-2</v>
      </c>
      <c r="T137" s="32"/>
      <c r="U137" s="1"/>
      <c r="V137" s="10"/>
    </row>
    <row r="138" spans="7:22">
      <c r="G138" s="13"/>
      <c r="M138" s="16"/>
      <c r="N138" s="16"/>
    </row>
    <row r="139" spans="7:22">
      <c r="G139" s="13"/>
      <c r="L139" s="16"/>
      <c r="M139" s="15"/>
      <c r="N139" s="15"/>
    </row>
    <row r="140" spans="7:22">
      <c r="G140" s="13"/>
    </row>
    <row r="141" spans="7:22">
      <c r="G141" s="13"/>
    </row>
    <row r="142" spans="7:22">
      <c r="G142" s="13"/>
    </row>
    <row r="143" spans="7:22">
      <c r="G143" s="13"/>
    </row>
    <row r="144" spans="7:22">
      <c r="G144" s="13"/>
    </row>
    <row r="145" spans="7:7">
      <c r="G145" s="13"/>
    </row>
    <row r="146" spans="7:7">
      <c r="G146" s="13"/>
    </row>
    <row r="147" spans="7:7">
      <c r="G147" s="13"/>
    </row>
    <row r="148" spans="7:7">
      <c r="G148" s="13"/>
    </row>
    <row r="149" spans="7:7">
      <c r="G149" s="13"/>
    </row>
    <row r="150" spans="7:7">
      <c r="G150" s="13"/>
    </row>
    <row r="151" spans="7:7">
      <c r="G151" s="13"/>
    </row>
    <row r="152" spans="7:7">
      <c r="G152" s="13"/>
    </row>
    <row r="153" spans="7:7">
      <c r="G153" s="13"/>
    </row>
    <row r="154" spans="7:7">
      <c r="G154" s="13"/>
    </row>
    <row r="155" spans="7:7">
      <c r="G155" s="13"/>
    </row>
    <row r="156" spans="7:7">
      <c r="G156" s="13"/>
    </row>
    <row r="157" spans="7:7">
      <c r="G157" s="13"/>
    </row>
    <row r="158" spans="7:7">
      <c r="G158" s="13"/>
    </row>
    <row r="159" spans="7:7">
      <c r="G159" s="13"/>
    </row>
    <row r="160" spans="7:7">
      <c r="G160" s="13"/>
    </row>
    <row r="161" spans="7:7">
      <c r="G161" s="13"/>
    </row>
    <row r="162" spans="7:7">
      <c r="G162" s="13"/>
    </row>
    <row r="163" spans="7:7">
      <c r="G163" s="13"/>
    </row>
    <row r="164" spans="7:7">
      <c r="G164" s="13"/>
    </row>
    <row r="165" spans="7:7">
      <c r="G165" s="13"/>
    </row>
    <row r="166" spans="7:7">
      <c r="G166" s="13"/>
    </row>
    <row r="167" spans="7:7">
      <c r="G167" s="13"/>
    </row>
    <row r="168" spans="7:7">
      <c r="G168" s="13"/>
    </row>
    <row r="169" spans="7:7">
      <c r="G169" s="13"/>
    </row>
    <row r="170" spans="7:7">
      <c r="G170" s="13"/>
    </row>
    <row r="171" spans="7:7">
      <c r="G171" s="13"/>
    </row>
    <row r="172" spans="7:7">
      <c r="G172" s="13"/>
    </row>
    <row r="173" spans="7:7">
      <c r="G173" s="13"/>
    </row>
    <row r="174" spans="7:7">
      <c r="G174" s="13"/>
    </row>
    <row r="175" spans="7:7">
      <c r="G175" s="13"/>
    </row>
    <row r="176" spans="7:7">
      <c r="G176" s="13"/>
    </row>
    <row r="177" spans="7:7">
      <c r="G177" s="13"/>
    </row>
    <row r="178" spans="7:7">
      <c r="G178" s="13"/>
    </row>
    <row r="179" spans="7:7">
      <c r="G179" s="13"/>
    </row>
    <row r="180" spans="7:7">
      <c r="G180" s="13"/>
    </row>
    <row r="181" spans="7:7">
      <c r="G181" s="13"/>
    </row>
    <row r="182" spans="7:7">
      <c r="G182" s="13"/>
    </row>
    <row r="183" spans="7:7">
      <c r="G183" s="13"/>
    </row>
    <row r="184" spans="7:7">
      <c r="G184" s="13"/>
    </row>
    <row r="185" spans="7:7">
      <c r="G185" s="13"/>
    </row>
    <row r="186" spans="7:7">
      <c r="G186" s="13"/>
    </row>
    <row r="187" spans="7:7">
      <c r="G187" s="13"/>
    </row>
    <row r="188" spans="7:7">
      <c r="G188" s="13"/>
    </row>
    <row r="189" spans="7:7">
      <c r="G189" s="13"/>
    </row>
    <row r="190" spans="7:7">
      <c r="G190" s="13"/>
    </row>
    <row r="191" spans="7:7">
      <c r="G191" s="13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G191"/>
  <sheetViews>
    <sheetView zoomScale="85" zoomScaleNormal="85" workbookViewId="0"/>
  </sheetViews>
  <sheetFormatPr defaultRowHeight="13.5"/>
  <cols>
    <col min="1" max="1" width="9.5" bestFit="1" customWidth="1"/>
    <col min="2" max="2" width="11.25" bestFit="1" customWidth="1"/>
    <col min="3" max="6" width="7.25" customWidth="1"/>
    <col min="8" max="8" width="9.875" bestFit="1" customWidth="1"/>
    <col min="9" max="10" width="14.125" customWidth="1"/>
    <col min="11" max="11" width="16" customWidth="1"/>
    <col min="12" max="12" width="14.875" customWidth="1"/>
    <col min="13" max="13" width="28.25" customWidth="1"/>
    <col min="14" max="14" width="13.125" customWidth="1"/>
    <col min="15" max="15" width="12.625" customWidth="1"/>
    <col min="16" max="16" width="22.125" customWidth="1"/>
    <col min="17" max="17" width="17.125" customWidth="1"/>
    <col min="18" max="18" width="18.25" customWidth="1"/>
    <col min="19" max="19" width="23.875" customWidth="1"/>
    <col min="20" max="20" width="19" customWidth="1"/>
    <col min="21" max="21" width="10.5" customWidth="1"/>
    <col min="22" max="22" width="10.5" style="20" customWidth="1"/>
    <col min="23" max="23" width="21.875" bestFit="1" customWidth="1"/>
    <col min="24" max="24" width="18.125" customWidth="1"/>
    <col min="26" max="26" width="9.875" bestFit="1" customWidth="1"/>
    <col min="28" max="28" width="14.625" bestFit="1" customWidth="1"/>
    <col min="30" max="30" width="14.625" bestFit="1" customWidth="1"/>
  </cols>
  <sheetData>
    <row r="1" spans="1:33">
      <c r="A1" t="s">
        <v>123</v>
      </c>
    </row>
    <row r="2" spans="1:33">
      <c r="A2" s="22" t="s">
        <v>124</v>
      </c>
      <c r="B2" s="19"/>
      <c r="C2" s="48"/>
      <c r="D2" s="48"/>
      <c r="E2" s="11"/>
      <c r="F2" s="11"/>
      <c r="W2" s="22" t="s">
        <v>44</v>
      </c>
    </row>
    <row r="3" spans="1:33">
      <c r="C3" s="11"/>
      <c r="D3" s="11"/>
      <c r="E3" s="11"/>
      <c r="F3" s="11"/>
    </row>
    <row r="4" spans="1:33">
      <c r="P4" s="3"/>
    </row>
    <row r="5" spans="1:33">
      <c r="P5" s="18"/>
      <c r="R5" s="8"/>
      <c r="S5" s="8"/>
      <c r="T5" s="8"/>
      <c r="U5" s="8"/>
      <c r="V5" s="43"/>
    </row>
    <row r="6" spans="1:33">
      <c r="P6" s="10"/>
      <c r="Q6" s="18"/>
      <c r="R6" s="15"/>
      <c r="S6" s="8"/>
      <c r="T6" s="8"/>
      <c r="U6" s="8"/>
      <c r="V6" s="43"/>
    </row>
    <row r="7" spans="1:33">
      <c r="R7" s="15"/>
    </row>
    <row r="8" spans="1:33">
      <c r="G8" s="10"/>
      <c r="H8" s="23" t="s">
        <v>49</v>
      </c>
      <c r="W8" s="23" t="s">
        <v>30</v>
      </c>
      <c r="X8" s="29"/>
      <c r="Z8" s="23" t="s">
        <v>50</v>
      </c>
    </row>
    <row r="9" spans="1:33">
      <c r="A9" s="23" t="s">
        <v>23</v>
      </c>
      <c r="G9" s="10"/>
      <c r="H9" t="s">
        <v>2</v>
      </c>
      <c r="I9" t="s">
        <v>142</v>
      </c>
      <c r="J9" t="s">
        <v>143</v>
      </c>
      <c r="K9" t="s">
        <v>129</v>
      </c>
      <c r="L9" t="s">
        <v>130</v>
      </c>
      <c r="M9" t="s">
        <v>127</v>
      </c>
      <c r="N9" t="s">
        <v>113</v>
      </c>
      <c r="O9" t="s">
        <v>115</v>
      </c>
      <c r="P9" t="s">
        <v>118</v>
      </c>
      <c r="Q9" s="7" t="s">
        <v>14</v>
      </c>
      <c r="R9" t="s">
        <v>131</v>
      </c>
      <c r="S9" t="s">
        <v>162</v>
      </c>
      <c r="T9" t="s">
        <v>128</v>
      </c>
      <c r="U9" t="s">
        <v>4</v>
      </c>
      <c r="W9" t="s">
        <v>78</v>
      </c>
      <c r="X9" t="s">
        <v>132</v>
      </c>
      <c r="Z9" t="s">
        <v>17</v>
      </c>
      <c r="AA9" t="s">
        <v>32</v>
      </c>
      <c r="AB9" t="s">
        <v>41</v>
      </c>
      <c r="AC9" t="s">
        <v>42</v>
      </c>
      <c r="AD9" t="s">
        <v>41</v>
      </c>
    </row>
    <row r="10" spans="1:33">
      <c r="G10" s="10"/>
      <c r="H10">
        <v>0</v>
      </c>
      <c r="I10" s="15">
        <f>Interpolate_Range($D$17:$D$27,$E$17:$E$27,H10)</f>
        <v>1.3253098432858752</v>
      </c>
      <c r="J10" s="15">
        <f>1/I10</f>
        <v>0.75454053636293383</v>
      </c>
      <c r="K10" s="1"/>
      <c r="L10" s="2">
        <f>Interpolate_Range('試算番号4-3'!$G$10:$G$143,'試算番号4-3'!$I$10:$I$143,H10)</f>
        <v>1</v>
      </c>
      <c r="M10" s="2"/>
      <c r="N10" s="27"/>
      <c r="O10" s="2">
        <f>Interpolate_Range('試算番号4-2'!$G$10:$G$143,'試算番号4-2'!$I$10:$I$143,H10)</f>
        <v>1</v>
      </c>
      <c r="P10" s="2"/>
      <c r="R10" s="33">
        <f>O10/L10*$J$10/J10</f>
        <v>1</v>
      </c>
      <c r="T10" s="15">
        <f t="shared" ref="T10:T15" si="0">L10*R10</f>
        <v>1</v>
      </c>
      <c r="U10" s="10">
        <f>U11</f>
        <v>-1.2402506785238297E-4</v>
      </c>
      <c r="V10" s="37"/>
      <c r="W10" t="s">
        <v>133</v>
      </c>
      <c r="X10">
        <v>1</v>
      </c>
      <c r="Z10">
        <v>0</v>
      </c>
    </row>
    <row r="11" spans="1:33">
      <c r="B11" t="s">
        <v>77</v>
      </c>
      <c r="E11" t="s">
        <v>92</v>
      </c>
      <c r="G11" s="10"/>
      <c r="H11" s="2">
        <f>7/365</f>
        <v>1.9178082191780823E-2</v>
      </c>
      <c r="I11" s="15">
        <f t="shared" ref="I11:I20" si="1">Interpolate_Range($D$17:$D$27,$E$17:$E$27,H11)</f>
        <v>1.3253358708879119</v>
      </c>
      <c r="J11" s="15">
        <f t="shared" ref="J11:J20" si="2">1/I11</f>
        <v>0.75452571832229032</v>
      </c>
      <c r="L11" s="2">
        <f>Interpolate_Range('試算番号4-3'!$G$10:$G$143,'試算番号4-3'!$I$10:$I$143,H11)</f>
        <v>0.99998139760632954</v>
      </c>
      <c r="O11" s="2">
        <f>Interpolate_Range('試算番号4-2'!$G$10:$G$143,'試算番号4-2'!$I$10:$I$143,H11)</f>
        <v>0.99998274002393939</v>
      </c>
      <c r="R11" s="33">
        <f t="shared" ref="R11:R20" si="3">O11/L11*$J$10/J11</f>
        <v>1.0000209813497476</v>
      </c>
      <c r="T11" s="15">
        <f t="shared" si="0"/>
        <v>1.0000023785657739</v>
      </c>
      <c r="U11" s="10">
        <f t="shared" ref="U11:U15" si="4">-LN(T11)/H11</f>
        <v>-1.2402506785238297E-4</v>
      </c>
      <c r="V11" s="37"/>
      <c r="W11" t="s">
        <v>75</v>
      </c>
      <c r="X11">
        <v>1</v>
      </c>
      <c r="Z11">
        <v>0.25</v>
      </c>
      <c r="AA11" s="1">
        <f>$K$16/4</f>
        <v>5.7499999999999999E-4</v>
      </c>
      <c r="AB11" s="1">
        <f>AA11*Interpolate_Range($H$10:$H$137,$T$10:$T$137,Z11)</f>
        <v>5.7504612044093507E-4</v>
      </c>
      <c r="AC11" s="1">
        <f>$N$16/4</f>
        <v>6.8812500000000015E-4</v>
      </c>
      <c r="AD11" s="1">
        <f>AC11*Interpolate_Range($H$10:$H$137,$O$10:$O$137,Z11)</f>
        <v>6.8794647788898787E-4</v>
      </c>
      <c r="AE11" s="1"/>
      <c r="AF11" s="1"/>
      <c r="AG11" s="1"/>
    </row>
    <row r="12" spans="1:33">
      <c r="A12" s="13">
        <v>0</v>
      </c>
      <c r="B12" s="35">
        <v>97.63</v>
      </c>
      <c r="D12" s="13">
        <v>0</v>
      </c>
      <c r="E12">
        <v>129.38999999999999</v>
      </c>
      <c r="G12" s="10"/>
      <c r="H12" s="2">
        <f>14/365</f>
        <v>3.8356164383561646E-2</v>
      </c>
      <c r="I12" s="15">
        <f t="shared" si="1"/>
        <v>1.325365306509191</v>
      </c>
      <c r="J12" s="15">
        <f t="shared" si="2"/>
        <v>0.75450896072860596</v>
      </c>
      <c r="L12" s="2">
        <f>Interpolate_Range('試算番号4-3'!$G$10:$G$143,'試算番号4-3'!$I$10:$I$143,H12)</f>
        <v>0.99996241237178696</v>
      </c>
      <c r="O12" s="2">
        <f>Interpolate_Range('試算番号4-2'!$G$10:$G$143,'試算番号4-2'!$I$10:$I$143,H12)</f>
        <v>0.99996548064368185</v>
      </c>
      <c r="R12" s="33">
        <f t="shared" si="3"/>
        <v>1.0000449177659072</v>
      </c>
      <c r="T12" s="15">
        <f t="shared" si="0"/>
        <v>1.0000073284493418</v>
      </c>
      <c r="U12" s="10">
        <f t="shared" si="4"/>
        <v>-1.9106244345958937E-4</v>
      </c>
      <c r="V12" s="37"/>
      <c r="W12" t="s">
        <v>34</v>
      </c>
      <c r="X12" s="26" t="s">
        <v>91</v>
      </c>
      <c r="Z12">
        <v>0.5</v>
      </c>
      <c r="AA12" s="1">
        <f>Interpolate_Range($H$19:$H$137,$K$19:$K$137,Z12)/4</f>
        <v>8.5616768772431425E-4</v>
      </c>
      <c r="AB12" s="1">
        <f t="shared" ref="AB12:AB50" si="5">AA12*Interpolate_Range($H$10:$H$137,$T$10:$T$137,Z12)</f>
        <v>8.5634001387941772E-4</v>
      </c>
      <c r="AC12" s="1">
        <f>Interpolate_Range($H$19:$H$137,$N$19:$N$137,Z12)/4</f>
        <v>8.4537892401921665E-4</v>
      </c>
      <c r="AD12" s="1">
        <f t="shared" ref="AD12:AD50" si="6">AC12*Interpolate_Range($H$10:$H$137,$O$10:$O$137,Z12)</f>
        <v>8.4489817695652827E-4</v>
      </c>
      <c r="AE12" s="1"/>
      <c r="AF12" s="1"/>
      <c r="AG12" s="1"/>
    </row>
    <row r="13" spans="1:33">
      <c r="G13" s="10"/>
      <c r="H13" s="2">
        <f>21/365</f>
        <v>5.7534246575342465E-2</v>
      </c>
      <c r="I13" s="15">
        <f t="shared" si="1"/>
        <v>1.3253950774481895</v>
      </c>
      <c r="J13" s="15">
        <f t="shared" si="2"/>
        <v>0.75449201299684965</v>
      </c>
      <c r="L13" s="2">
        <f>Interpolate_Range('試算番号4-3'!$G$10:$G$143,'試算番号4-3'!$I$10:$I$143,H13)</f>
        <v>0.99994333197856999</v>
      </c>
      <c r="O13" s="2">
        <f>Interpolate_Range('試算番号4-2'!$G$10:$G$143,'試算番号4-2'!$I$10:$I$143,H13)</f>
        <v>0.99994822185919685</v>
      </c>
      <c r="R13" s="33">
        <f t="shared" si="3"/>
        <v>1.0000692031027907</v>
      </c>
      <c r="T13" s="15">
        <f t="shared" si="0"/>
        <v>1.0000125311597579</v>
      </c>
      <c r="U13" s="10">
        <f t="shared" si="4"/>
        <v>-2.1780212637562973E-4</v>
      </c>
      <c r="V13" s="37"/>
      <c r="W13" t="s">
        <v>31</v>
      </c>
      <c r="X13" s="12" t="s">
        <v>73</v>
      </c>
      <c r="Z13">
        <v>0.75</v>
      </c>
      <c r="AA13" s="1">
        <f t="shared" ref="AA13:AA49" si="7">Interpolate_Range($H$19:$H$137,$K$19:$K$137,Z13)/4</f>
        <v>8.2313978738937318E-4</v>
      </c>
      <c r="AB13" s="1">
        <f t="shared" si="5"/>
        <v>8.2342886885866618E-4</v>
      </c>
      <c r="AC13" s="1">
        <f t="shared" ref="AC13:AC49" si="8">Interpolate_Range($H$19:$H$137,$N$19:$N$137,Z13)/4</f>
        <v>8.8998524212604083E-4</v>
      </c>
      <c r="AD13" s="1">
        <f t="shared" si="6"/>
        <v>8.8915166244250094E-4</v>
      </c>
      <c r="AE13" s="1"/>
      <c r="AF13" s="1"/>
      <c r="AG13" s="1"/>
    </row>
    <row r="14" spans="1:33">
      <c r="G14" s="10"/>
      <c r="H14" s="2">
        <f>1/12</f>
        <v>8.3333333333333329E-2</v>
      </c>
      <c r="I14" s="15">
        <f t="shared" si="1"/>
        <v>1.3254447871772621</v>
      </c>
      <c r="J14" s="15">
        <f t="shared" si="2"/>
        <v>0.75446371638735199</v>
      </c>
      <c r="L14" s="2">
        <f>Interpolate_Range('試算番号4-3'!$G$10:$G$143,'試算番号4-3'!$I$10:$I$143,H14)</f>
        <v>0.99991584041676496</v>
      </c>
      <c r="O14" s="2">
        <f>Interpolate_Range('試算番号4-2'!$G$10:$G$143,'試算番号4-2'!$I$10:$I$143,H14)</f>
        <v>0.99991875660102614</v>
      </c>
      <c r="R14" s="33">
        <f t="shared" si="3"/>
        <v>1.0001047373628453</v>
      </c>
      <c r="T14" s="15">
        <f t="shared" si="0"/>
        <v>1.0000205689649575</v>
      </c>
      <c r="U14" s="10">
        <f t="shared" si="4"/>
        <v>-2.4682504103090892E-4</v>
      </c>
      <c r="V14" s="37"/>
      <c r="W14" t="s">
        <v>92</v>
      </c>
      <c r="X14" s="13">
        <f>$E$12</f>
        <v>129.38999999999999</v>
      </c>
      <c r="Z14">
        <v>1</v>
      </c>
      <c r="AA14" s="1">
        <f t="shared" si="7"/>
        <v>8.2313978738937318E-4</v>
      </c>
      <c r="AB14" s="1">
        <f t="shared" si="5"/>
        <v>8.235018199053819E-4</v>
      </c>
      <c r="AC14" s="1">
        <f t="shared" si="8"/>
        <v>8.8998524212604083E-4</v>
      </c>
      <c r="AD14" s="1">
        <f t="shared" si="6"/>
        <v>8.8873656724905578E-4</v>
      </c>
      <c r="AE14" s="1"/>
      <c r="AF14" s="1"/>
      <c r="AG14" s="1"/>
    </row>
    <row r="15" spans="1:33">
      <c r="G15" s="10"/>
      <c r="H15" s="2">
        <f>2/12</f>
        <v>0.16666666666666666</v>
      </c>
      <c r="I15" s="15">
        <f t="shared" si="1"/>
        <v>1.325586041760374</v>
      </c>
      <c r="J15" s="15">
        <f t="shared" si="2"/>
        <v>0.75438332065718139</v>
      </c>
      <c r="L15" s="2">
        <f>Interpolate_Range('試算番号4-3'!$G$10:$G$143,'試算番号4-3'!$I$10:$I$143,H15)</f>
        <v>0.99982669670590429</v>
      </c>
      <c r="O15" s="2">
        <f>Interpolate_Range('試算番号4-2'!$G$10:$G$143,'試算番号4-2'!$I$10:$I$143,H15)</f>
        <v>0.99983336110648224</v>
      </c>
      <c r="R15" s="33">
        <f t="shared" si="3"/>
        <v>1.000215069889953</v>
      </c>
      <c r="T15" s="15">
        <f t="shared" si="0"/>
        <v>1.0000417293235369</v>
      </c>
      <c r="U15" s="10">
        <f t="shared" si="4"/>
        <v>-2.5037071735712246E-4</v>
      </c>
      <c r="V15" s="37"/>
      <c r="W15" t="s">
        <v>77</v>
      </c>
      <c r="X15" s="41">
        <f>$B$12</f>
        <v>97.63</v>
      </c>
      <c r="Z15">
        <v>1.25</v>
      </c>
      <c r="AA15" s="1">
        <f t="shared" si="7"/>
        <v>1.3864874686106961E-3</v>
      </c>
      <c r="AB15" s="1">
        <f t="shared" si="5"/>
        <v>1.3871930065674294E-3</v>
      </c>
      <c r="AC15" s="1">
        <f t="shared" si="8"/>
        <v>1.3858842783561985E-3</v>
      </c>
      <c r="AD15" s="1">
        <f t="shared" si="6"/>
        <v>1.3831516165318765E-3</v>
      </c>
      <c r="AE15" s="1"/>
      <c r="AF15" s="1"/>
      <c r="AG15" s="1"/>
    </row>
    <row r="16" spans="1:33">
      <c r="B16" t="s">
        <v>82</v>
      </c>
      <c r="E16" t="s">
        <v>144</v>
      </c>
      <c r="G16" s="10"/>
      <c r="H16" s="2">
        <f>3/12</f>
        <v>0.25</v>
      </c>
      <c r="I16" s="15">
        <f t="shared" si="1"/>
        <v>1.3257600911658487</v>
      </c>
      <c r="J16" s="15">
        <f t="shared" si="2"/>
        <v>0.75428428315459295</v>
      </c>
      <c r="K16" s="1">
        <f>'試算番号4-3'!$O$18</f>
        <v>2.3E-3</v>
      </c>
      <c r="L16" s="2">
        <f>Interpolate_Range('試算番号4-3'!$G$10:$G$143,'試算番号4-3'!$I$10:$I$143,H16)</f>
        <v>0.99973007288032234</v>
      </c>
      <c r="M16" s="1">
        <f>M10+L16*0.25*K16*R16</f>
        <v>5.7504612044093507E-4</v>
      </c>
      <c r="N16" s="14">
        <f>'試算番号4-2'!$N$18</f>
        <v>2.7525000000000006E-3</v>
      </c>
      <c r="O16" s="2">
        <f>Interpolate_Range('試算番号4-2'!$G$10:$G$143,'試算番号4-2'!$I$10:$I$143,H16)</f>
        <v>0.99974056732277961</v>
      </c>
      <c r="P16" s="1">
        <f>P10+O16*0.25*N16</f>
        <v>6.8794647788898787E-4</v>
      </c>
      <c r="Q16" s="1">
        <f>Interpolate_Range($A$17:$A$31,$B$17:$B$31,H16)</f>
        <v>-1.6100000000000001E-3</v>
      </c>
      <c r="R16" s="33">
        <f t="shared" si="3"/>
        <v>1.0003502311190506</v>
      </c>
      <c r="S16" s="2">
        <f>S10+L16*0.25*R16</f>
        <v>0.25002005236562397</v>
      </c>
      <c r="T16" s="15">
        <f t="shared" ref="T16:T19" si="9">L16*R16</f>
        <v>1.0000802094624959</v>
      </c>
      <c r="U16" s="10">
        <f>-LN(T16)/H16</f>
        <v>-3.2082498355574454E-4</v>
      </c>
      <c r="V16" s="37"/>
      <c r="W16" t="s">
        <v>38</v>
      </c>
      <c r="X16" s="12" t="s">
        <v>37</v>
      </c>
      <c r="Z16">
        <v>1.5</v>
      </c>
      <c r="AA16" s="1">
        <f t="shared" si="7"/>
        <v>1.3864874686106961E-3</v>
      </c>
      <c r="AB16" s="1">
        <f t="shared" si="5"/>
        <v>1.3872063295098189E-3</v>
      </c>
      <c r="AC16" s="1">
        <f t="shared" si="8"/>
        <v>1.3858842783561985E-3</v>
      </c>
      <c r="AD16" s="1">
        <f t="shared" si="6"/>
        <v>1.3821498221335802E-3</v>
      </c>
      <c r="AE16" s="1"/>
      <c r="AF16" s="1"/>
      <c r="AG16" s="1"/>
    </row>
    <row r="17" spans="1:33">
      <c r="A17">
        <v>1</v>
      </c>
      <c r="B17" s="1">
        <v>-1.6100000000000001E-3</v>
      </c>
      <c r="D17" s="13">
        <v>0</v>
      </c>
      <c r="E17">
        <v>1.3253098432858752</v>
      </c>
      <c r="G17" s="10"/>
      <c r="H17" s="2">
        <f>4/12</f>
        <v>0.33333333333333331</v>
      </c>
      <c r="I17" s="15">
        <f t="shared" si="1"/>
        <v>1.3259157594574067</v>
      </c>
      <c r="J17" s="15">
        <f t="shared" si="2"/>
        <v>0.7541957268908408</v>
      </c>
      <c r="L17" s="2">
        <f>Interpolate_Range('試算番号4-3'!$G$10:$G$143,'試算番号4-3'!$I$10:$I$143,H17)</f>
        <v>0.9996401295533609</v>
      </c>
      <c r="O17" s="2">
        <f>Interpolate_Range('試算番号4-2'!$G$10:$G$143,'試算番号4-2'!$I$10:$I$143,H17)</f>
        <v>0.99964179502345007</v>
      </c>
      <c r="R17" s="33">
        <f t="shared" si="3"/>
        <v>1.0004588551444245</v>
      </c>
      <c r="T17" s="15">
        <f t="shared" si="9"/>
        <v>1.0000988195693796</v>
      </c>
      <c r="U17" s="10">
        <f t="shared" ref="U17:U18" si="10">-LN(T17)/H17</f>
        <v>-2.9644406114287373E-4</v>
      </c>
      <c r="V17" s="37"/>
      <c r="W17" t="s">
        <v>35</v>
      </c>
      <c r="X17" s="12" t="s">
        <v>39</v>
      </c>
      <c r="Z17">
        <v>1.75</v>
      </c>
      <c r="AA17" s="1">
        <f t="shared" si="7"/>
        <v>1.3498044340599126E-3</v>
      </c>
      <c r="AB17" s="1">
        <f t="shared" si="5"/>
        <v>1.3508120205773216E-3</v>
      </c>
      <c r="AC17" s="1">
        <f t="shared" si="8"/>
        <v>1.7580171622476222E-3</v>
      </c>
      <c r="AD17" s="1">
        <f t="shared" si="6"/>
        <v>1.7515113290319741E-3</v>
      </c>
      <c r="AE17" s="1"/>
      <c r="AF17" s="1"/>
      <c r="AG17" s="1"/>
    </row>
    <row r="18" spans="1:33">
      <c r="A18">
        <v>2</v>
      </c>
      <c r="B18" s="1">
        <v>-2.3749999999999999E-3</v>
      </c>
      <c r="D18" s="13">
        <f>7/365</f>
        <v>1.9178082191780823E-2</v>
      </c>
      <c r="E18">
        <v>1.3253358708879119</v>
      </c>
      <c r="G18" s="10"/>
      <c r="H18" s="2">
        <f>5/12</f>
        <v>0.41666666666666669</v>
      </c>
      <c r="I18" s="15">
        <f t="shared" si="1"/>
        <v>1.3261476530161298</v>
      </c>
      <c r="J18" s="15">
        <f t="shared" si="2"/>
        <v>0.75406384630372458</v>
      </c>
      <c r="L18" s="2">
        <f>Interpolate_Range('試算番号4-3'!$G$10:$G$143,'試算番号4-3'!$I$10:$I$143,H18)</f>
        <v>0.99954603950705723</v>
      </c>
      <c r="O18" s="2">
        <f>Interpolate_Range('試算番号4-2'!$G$10:$G$143,'試算番号4-2'!$I$10:$I$143,H18)</f>
        <v>0.99953646496437276</v>
      </c>
      <c r="R18" s="33">
        <f t="shared" si="3"/>
        <v>1.0006225764567087</v>
      </c>
      <c r="T18" s="15">
        <f t="shared" si="9"/>
        <v>1.0001683333386509</v>
      </c>
      <c r="U18" s="10">
        <f t="shared" si="10"/>
        <v>-4.0396601324200684E-4</v>
      </c>
      <c r="V18" s="37"/>
      <c r="Z18">
        <v>2</v>
      </c>
      <c r="AA18" s="1">
        <f t="shared" si="7"/>
        <v>1.3498044340599126E-3</v>
      </c>
      <c r="AB18" s="1">
        <f t="shared" si="5"/>
        <v>1.3507908859466378E-3</v>
      </c>
      <c r="AC18" s="1">
        <f t="shared" si="8"/>
        <v>1.7580171622476222E-3</v>
      </c>
      <c r="AD18" s="1">
        <f t="shared" si="6"/>
        <v>1.7491502690145178E-3</v>
      </c>
      <c r="AE18" s="1"/>
      <c r="AF18" s="1"/>
      <c r="AG18" s="1"/>
    </row>
    <row r="19" spans="1:33">
      <c r="A19">
        <v>3</v>
      </c>
      <c r="B19" s="1">
        <v>-2.64E-3</v>
      </c>
      <c r="D19" s="13">
        <f>14/365</f>
        <v>3.8356164383561646E-2</v>
      </c>
      <c r="E19">
        <v>1.325365306509191</v>
      </c>
      <c r="G19" s="10"/>
      <c r="H19" s="2">
        <f>6/12</f>
        <v>0.5</v>
      </c>
      <c r="I19" s="15">
        <f t="shared" si="1"/>
        <v>1.3263308496618069</v>
      </c>
      <c r="J19" s="15">
        <f t="shared" si="2"/>
        <v>0.7539596928285156</v>
      </c>
      <c r="K19" s="1">
        <f>'試算番号4-3'!$O$21</f>
        <v>3.424670750897257E-3</v>
      </c>
      <c r="L19" s="2">
        <f>Interpolate_Range('試算番号4-3'!$G$10:$G$143,'試算番号4-3'!$I$10:$I$143,H19)</f>
        <v>0.99945529686320955</v>
      </c>
      <c r="M19" s="1">
        <f>M16+L19*0.25*K19*R19</f>
        <v>1.4313861343203528E-3</v>
      </c>
      <c r="N19" s="14">
        <f>'試算番号4-2'!$N$21</f>
        <v>3.3815156960768666E-3</v>
      </c>
      <c r="O19" s="2">
        <f>Interpolate_Range('試算番号4-2'!$G$10:$G$143,'試算番号4-2'!$I$10:$I$143,H19)</f>
        <v>0.99943132357688469</v>
      </c>
      <c r="P19" s="1">
        <f>P16+O19*0.25*N19</f>
        <v>1.5328446548455161E-3</v>
      </c>
      <c r="Q19" s="1">
        <f t="shared" ref="Q19:Q50" si="11">Interpolate_Range($A$17:$A$31,$B$17:$B$31,H19)</f>
        <v>-1.6100000000000001E-3</v>
      </c>
      <c r="R19" s="33">
        <f t="shared" si="3"/>
        <v>1.0007463858678973</v>
      </c>
      <c r="S19" s="2">
        <f>S16+L19*0.25*R19</f>
        <v>0.50007037140871979</v>
      </c>
      <c r="T19" s="15">
        <f t="shared" si="9"/>
        <v>1.0002012761723833</v>
      </c>
      <c r="U19" s="10">
        <f t="shared" ref="U19:U50" si="12">-LN(T19)/H19</f>
        <v>-4.0251183810429482E-4</v>
      </c>
      <c r="V19" s="37"/>
      <c r="W19" s="23" t="s">
        <v>43</v>
      </c>
      <c r="Z19">
        <v>2.25</v>
      </c>
      <c r="AA19" s="1">
        <f t="shared" si="7"/>
        <v>2.377625070249871E-3</v>
      </c>
      <c r="AB19" s="1">
        <f t="shared" si="5"/>
        <v>2.3765027528428509E-3</v>
      </c>
      <c r="AC19" s="1">
        <f t="shared" si="8"/>
        <v>3.0501279131762101E-3</v>
      </c>
      <c r="AD19" s="1">
        <f t="shared" si="6"/>
        <v>3.0268266400867373E-3</v>
      </c>
      <c r="AE19" s="1"/>
      <c r="AF19" s="1"/>
      <c r="AG19" s="1"/>
    </row>
    <row r="20" spans="1:33">
      <c r="A20">
        <v>4</v>
      </c>
      <c r="B20" s="1">
        <v>-2.6800000000000001E-3</v>
      </c>
      <c r="D20" s="13">
        <f>21/365</f>
        <v>5.7534246575342465E-2</v>
      </c>
      <c r="E20">
        <v>1.3253950774481895</v>
      </c>
      <c r="G20" s="10"/>
      <c r="H20" s="2">
        <f>9/12</f>
        <v>0.75</v>
      </c>
      <c r="I20" s="15">
        <f t="shared" si="1"/>
        <v>1.3270181980202491</v>
      </c>
      <c r="J20" s="15">
        <f t="shared" si="2"/>
        <v>0.75356916844989708</v>
      </c>
      <c r="K20" s="1">
        <f>'試算番号4-3'!$O$24</f>
        <v>3.2925591495574927E-3</v>
      </c>
      <c r="L20" s="2">
        <f>Interpolate_Range('試算番号4-3'!$G$10:$G$143,'試算番号4-3'!$I$10:$I$143,H20)</f>
        <v>0.99907086409639023</v>
      </c>
      <c r="M20" s="1">
        <f>M19+L20*0.25*K20*R20</f>
        <v>2.254815003179019E-3</v>
      </c>
      <c r="N20" s="14">
        <f>'試算番号4-2'!$N$24</f>
        <v>3.5599409685041633E-3</v>
      </c>
      <c r="O20" s="2">
        <f>Interpolate_Range('試算番号4-2'!$G$10:$G$143,'試算番号4-2'!$I$10:$I$143,H20)</f>
        <v>0.99906337808304713</v>
      </c>
      <c r="P20" s="1">
        <f>P19+O20*0.25*N20</f>
        <v>2.4219963172880171E-3</v>
      </c>
      <c r="Q20" s="1">
        <f t="shared" si="11"/>
        <v>-1.6100000000000001E-3</v>
      </c>
      <c r="R20" s="33">
        <f t="shared" si="3"/>
        <v>1.0012815202636205</v>
      </c>
      <c r="S20" s="2">
        <f>S19+L20*0.25*R20</f>
        <v>0.75015816982210048</v>
      </c>
      <c r="T20" s="15">
        <f t="shared" ref="T20:T51" si="13">L20*R20</f>
        <v>1.0003511936535225</v>
      </c>
      <c r="U20" s="10">
        <f t="shared" si="12"/>
        <v>-4.6817599928798741E-4</v>
      </c>
      <c r="V20" s="37"/>
      <c r="W20" t="s">
        <v>45</v>
      </c>
      <c r="X20" s="34">
        <f>$X$14*$X$10*SUM(AB11:AB50)</f>
        <v>136.31178190913164</v>
      </c>
      <c r="Z20">
        <v>2.5</v>
      </c>
      <c r="AA20" s="1">
        <f t="shared" si="7"/>
        <v>2.377625070249871E-3</v>
      </c>
      <c r="AB20" s="1">
        <f t="shared" si="5"/>
        <v>2.3737076316191399E-3</v>
      </c>
      <c r="AC20" s="1">
        <f t="shared" si="8"/>
        <v>3.0501279131762101E-3</v>
      </c>
      <c r="AD20" s="1">
        <f t="shared" si="6"/>
        <v>3.0189092660479816E-3</v>
      </c>
      <c r="AE20" s="1"/>
      <c r="AF20" s="1"/>
      <c r="AG20" s="1"/>
    </row>
    <row r="21" spans="1:33">
      <c r="A21">
        <v>5</v>
      </c>
      <c r="B21" s="1">
        <v>-2.65E-3</v>
      </c>
      <c r="D21" s="13">
        <f>1/12</f>
        <v>8.3333333333333329E-2</v>
      </c>
      <c r="E21">
        <v>1.3254447871772621</v>
      </c>
      <c r="G21" s="10"/>
      <c r="H21" s="2">
        <v>1</v>
      </c>
      <c r="K21" s="1">
        <f>Interpolate_Range('試算番号4-3'!$G$27:$G$143,'試算番号4-3'!$O$27:$O$143,H21)</f>
        <v>3.2925591495574927E-3</v>
      </c>
      <c r="L21" s="2">
        <f>Interpolate_Range('試算番号4-3'!$G$10:$G$143,'試算番号4-3'!$I$10:$I$143,H21)</f>
        <v>0.99856207061830948</v>
      </c>
      <c r="M21" s="1">
        <f>M20+L21*0.25*K21*R21</f>
        <v>3.0783168230844008E-3</v>
      </c>
      <c r="N21" s="14">
        <f>Interpolate_Range('試算番号4-2'!$G$27:$G$143,'試算番号4-2'!$N$27:$N$143,H21)</f>
        <v>3.5599409685041633E-3</v>
      </c>
      <c r="O21" s="2">
        <f>Interpolate_Range('試算番号4-2'!$G$10:$G$143,'試算番号4-2'!$I$10:$I$143,H21)</f>
        <v>0.99859697125538605</v>
      </c>
      <c r="P21" s="1">
        <f>P20+O21*0.25*N21</f>
        <v>3.3107328845370728E-3</v>
      </c>
      <c r="Q21" s="1">
        <f t="shared" si="11"/>
        <v>-1.6100000000000001E-3</v>
      </c>
      <c r="R21" s="33">
        <f t="shared" ref="R21:R52" si="14">(P21+O21-M20-Q21*S20)/(L21+0.25*L21*(K21+Q21))</f>
        <v>1.0018804523367553</v>
      </c>
      <c r="S21" s="2">
        <f>S20+L21*0.25*R21</f>
        <v>1.0002681245714502</v>
      </c>
      <c r="T21" s="15">
        <f t="shared" si="13"/>
        <v>1.0004398189973989</v>
      </c>
      <c r="U21" s="10">
        <f t="shared" si="12"/>
        <v>-4.3972230537391737E-4</v>
      </c>
      <c r="V21" s="45"/>
      <c r="W21" t="s">
        <v>46</v>
      </c>
      <c r="X21" s="34">
        <f>$X$15*$X$11*SUM(AD11:AD50)</f>
        <v>100.65940643611033</v>
      </c>
      <c r="Z21">
        <v>2.75</v>
      </c>
      <c r="AA21" s="1">
        <f t="shared" si="7"/>
        <v>2.3744026615322255E-3</v>
      </c>
      <c r="AB21" s="1">
        <f t="shared" si="5"/>
        <v>2.3695162910676811E-3</v>
      </c>
      <c r="AC21" s="1">
        <f t="shared" si="8"/>
        <v>3.7959002662846697E-3</v>
      </c>
      <c r="AD21" s="1">
        <f t="shared" si="6"/>
        <v>3.7471952816421138E-3</v>
      </c>
      <c r="AE21" s="1"/>
      <c r="AF21" s="1"/>
      <c r="AG21" s="1"/>
    </row>
    <row r="22" spans="1:33">
      <c r="A22">
        <v>6</v>
      </c>
      <c r="B22" s="1">
        <v>-2.5950000000000001E-3</v>
      </c>
      <c r="D22" s="13">
        <f>2/12</f>
        <v>0.16666666666666666</v>
      </c>
      <c r="E22">
        <v>1.325586041760374</v>
      </c>
      <c r="G22" s="10"/>
      <c r="H22" s="13">
        <f>H21+1/4</f>
        <v>1.25</v>
      </c>
      <c r="K22" s="1">
        <f>Interpolate_Range('試算番号4-3'!$G$27:$G$143,'試算番号4-3'!$O$27:$O$143,H22)</f>
        <v>5.5459498744427843E-3</v>
      </c>
      <c r="L22" s="2">
        <f>Interpolate_Range('試算番号4-3'!$G$10:$G$143,'試算番号4-3'!$I$10:$I$143,H22)</f>
        <v>0.99794100868061397</v>
      </c>
      <c r="M22" s="1">
        <f t="shared" ref="M22:M85" si="15">M21+L22*0.25*K22*R22</f>
        <v>4.4655098296518302E-3</v>
      </c>
      <c r="N22" s="14">
        <f>Interpolate_Range('試算番号4-2'!$G$27:$G$143,'試算番号4-2'!$N$27:$N$143,H22)</f>
        <v>5.5435371134247942E-3</v>
      </c>
      <c r="O22" s="2">
        <f>Interpolate_Range('試算番号4-2'!$G$10:$G$143,'試算番号4-2'!$I$10:$I$143,H22)</f>
        <v>0.99802821789163876</v>
      </c>
      <c r="P22" s="1">
        <f t="shared" ref="P22:P85" si="16">P21+O22*0.25*N22</f>
        <v>4.6938845010689491E-3</v>
      </c>
      <c r="Q22" s="1">
        <f t="shared" si="11"/>
        <v>-1.8012500000000001E-3</v>
      </c>
      <c r="R22" s="33">
        <f t="shared" si="14"/>
        <v>1.0025731565981735</v>
      </c>
      <c r="S22" s="2">
        <f t="shared" ref="S22:S85" si="17">S21+L22*0.25*R22</f>
        <v>1.2503953413643722</v>
      </c>
      <c r="T22" s="15">
        <f t="shared" si="13"/>
        <v>1.0005088671716884</v>
      </c>
      <c r="U22" s="10">
        <f t="shared" si="12"/>
        <v>-4.0699019415635807E-4</v>
      </c>
      <c r="V22" s="45"/>
      <c r="W22" t="s">
        <v>47</v>
      </c>
      <c r="X22" s="28">
        <f>X20-X21</f>
        <v>35.652375473021308</v>
      </c>
      <c r="Z22">
        <v>3</v>
      </c>
      <c r="AA22" s="1">
        <f t="shared" si="7"/>
        <v>2.3744026615322255E-3</v>
      </c>
      <c r="AB22" s="1">
        <f t="shared" si="5"/>
        <v>2.3685987177275371E-3</v>
      </c>
      <c r="AC22" s="1">
        <f t="shared" si="8"/>
        <v>3.7959002662846697E-3</v>
      </c>
      <c r="AD22" s="1">
        <f t="shared" si="6"/>
        <v>3.7373420679155151E-3</v>
      </c>
      <c r="AE22" s="1"/>
      <c r="AF22" s="1"/>
      <c r="AG22" s="1"/>
    </row>
    <row r="23" spans="1:33">
      <c r="A23">
        <v>7</v>
      </c>
      <c r="B23" s="1">
        <v>-2.555E-3</v>
      </c>
      <c r="D23" s="13">
        <f>3/12</f>
        <v>0.25</v>
      </c>
      <c r="E23">
        <v>1.3257600911658487</v>
      </c>
      <c r="G23" s="10"/>
      <c r="H23" s="13">
        <f t="shared" ref="H23:H25" si="18">H22+1/4</f>
        <v>1.5</v>
      </c>
      <c r="K23" s="1">
        <f>Interpolate_Range('試算番号4-3'!$G$27:$G$143,'試算番号4-3'!$O$27:$O$143,H23)</f>
        <v>5.5459498744427843E-3</v>
      </c>
      <c r="L23" s="2">
        <f>Interpolate_Range('試算番号4-3'!$G$10:$G$143,'試算番号4-3'!$I$10:$I$143,H23)</f>
        <v>0.9972156853990749</v>
      </c>
      <c r="M23" s="1">
        <f t="shared" si="15"/>
        <v>5.8527161591616491E-3</v>
      </c>
      <c r="N23" s="14">
        <f>Interpolate_Range('試算番号4-2'!$G$27:$G$143,'試算番号4-2'!$N$27:$N$143,H23)</f>
        <v>5.5435371134247942E-3</v>
      </c>
      <c r="O23" s="2">
        <f>Interpolate_Range('試算番号4-2'!$G$10:$G$143,'試算番号4-2'!$I$10:$I$143,H23)</f>
        <v>0.99730536215689836</v>
      </c>
      <c r="P23" s="1">
        <f t="shared" si="16"/>
        <v>6.0760343232025291E-3</v>
      </c>
      <c r="Q23" s="1">
        <f t="shared" si="11"/>
        <v>-1.9924999999999999E-3</v>
      </c>
      <c r="R23" s="33">
        <f t="shared" si="14"/>
        <v>1.0033120125905564</v>
      </c>
      <c r="S23" s="2">
        <f t="shared" si="17"/>
        <v>1.5005249604405264</v>
      </c>
      <c r="T23" s="15">
        <f t="shared" si="13"/>
        <v>1.0005184763046169</v>
      </c>
      <c r="U23" s="10">
        <f t="shared" si="12"/>
        <v>-3.4556129481208434E-4</v>
      </c>
      <c r="V23" s="45"/>
      <c r="Z23">
        <v>3.25</v>
      </c>
      <c r="AA23" s="1">
        <f t="shared" si="7"/>
        <v>3.7404041008779376E-3</v>
      </c>
      <c r="AB23" s="1">
        <f t="shared" si="5"/>
        <v>3.7215097231182892E-3</v>
      </c>
      <c r="AC23" s="1">
        <f t="shared" si="8"/>
        <v>5.4427937732993521E-3</v>
      </c>
      <c r="AD23" s="1">
        <f t="shared" si="6"/>
        <v>5.3321227217882983E-3</v>
      </c>
      <c r="AE23" s="1"/>
      <c r="AF23" s="1"/>
      <c r="AG23" s="1"/>
    </row>
    <row r="24" spans="1:33">
      <c r="A24">
        <v>8</v>
      </c>
      <c r="B24" s="1">
        <v>-2.4599999999999999E-3</v>
      </c>
      <c r="D24" s="13">
        <f>4/12</f>
        <v>0.33333333333333331</v>
      </c>
      <c r="E24">
        <v>1.3259157594574067</v>
      </c>
      <c r="G24" s="10"/>
      <c r="H24" s="13">
        <f t="shared" si="18"/>
        <v>1.75</v>
      </c>
      <c r="K24" s="1">
        <f>Interpolate_Range('試算番号4-3'!$G$27:$G$143,'試算番号4-3'!$O$27:$O$143,H24)</f>
        <v>5.3992177362396504E-3</v>
      </c>
      <c r="L24" s="2">
        <f>Interpolate_Range('試算番号4-3'!$G$10:$G$143,'試算番号4-3'!$I$10:$I$143,H24)</f>
        <v>0.99649966535907009</v>
      </c>
      <c r="M24" s="1">
        <f t="shared" si="15"/>
        <v>7.2035281797389709E-3</v>
      </c>
      <c r="N24" s="14">
        <f>Interpolate_Range('試算番号4-2'!$G$27:$G$143,'試算番号4-2'!$N$27:$N$143,H24)</f>
        <v>7.0320686489904888E-3</v>
      </c>
      <c r="O24" s="2">
        <f>Interpolate_Range('試算番号4-2'!$G$10:$G$143,'試算番号4-2'!$I$10:$I$143,H24)</f>
        <v>0.99629933463941245</v>
      </c>
      <c r="P24" s="1">
        <f t="shared" si="16"/>
        <v>7.8275456522345025E-3</v>
      </c>
      <c r="Q24" s="1">
        <f t="shared" si="11"/>
        <v>-2.1837499999999999E-3</v>
      </c>
      <c r="R24" s="33">
        <f t="shared" si="14"/>
        <v>1.0042617206086335</v>
      </c>
      <c r="S24" s="2">
        <f t="shared" si="17"/>
        <v>1.7507115775703832</v>
      </c>
      <c r="T24" s="15">
        <f t="shared" si="13"/>
        <v>1.0007464685194272</v>
      </c>
      <c r="U24" s="10">
        <f t="shared" si="12"/>
        <v>-4.2639431449841448E-4</v>
      </c>
      <c r="V24" s="45"/>
      <c r="Z24">
        <v>3.5</v>
      </c>
      <c r="AA24" s="1">
        <f t="shared" si="7"/>
        <v>3.7404041008779376E-3</v>
      </c>
      <c r="AB24" s="1">
        <f t="shared" si="5"/>
        <v>3.7117071769663442E-3</v>
      </c>
      <c r="AC24" s="1">
        <f t="shared" si="8"/>
        <v>5.4427937732993521E-3</v>
      </c>
      <c r="AD24" s="1">
        <f t="shared" si="6"/>
        <v>5.3054159936526887E-3</v>
      </c>
      <c r="AE24" s="1"/>
      <c r="AF24" s="1"/>
      <c r="AG24" s="1"/>
    </row>
    <row r="25" spans="1:33">
      <c r="A25">
        <v>9</v>
      </c>
      <c r="B25" s="1">
        <v>-2.3899999999999998E-3</v>
      </c>
      <c r="D25" s="13">
        <f>5/12</f>
        <v>0.41666666666666669</v>
      </c>
      <c r="E25">
        <v>1.3261476530161298</v>
      </c>
      <c r="G25" s="10"/>
      <c r="H25" s="13">
        <f t="shared" si="18"/>
        <v>2</v>
      </c>
      <c r="K25" s="1">
        <f>Interpolate_Range('試算番号4-3'!$G$27:$G$143,'試算番号4-3'!$O$27:$O$143,H25)</f>
        <v>5.3992177362396504E-3</v>
      </c>
      <c r="L25" s="2">
        <f>Interpolate_Range('試算番号4-3'!$G$10:$G$143,'試算番号4-3'!$I$10:$I$143,H25)</f>
        <v>0.99523482541847219</v>
      </c>
      <c r="M25" s="1">
        <f t="shared" si="15"/>
        <v>8.5543190656856092E-3</v>
      </c>
      <c r="N25" s="14">
        <f>Interpolate_Range('試算番号4-2'!$G$27:$G$143,'試算番号4-2'!$N$27:$N$143,H25)</f>
        <v>7.0320686489904888E-3</v>
      </c>
      <c r="O25" s="2">
        <f>Interpolate_Range('試算番号4-2'!$G$10:$G$143,'試算番号4-2'!$I$10:$I$143,H25)</f>
        <v>0.99495631019792319</v>
      </c>
      <c r="P25" s="1">
        <f t="shared" si="16"/>
        <v>9.5766959212490212E-3</v>
      </c>
      <c r="Q25" s="1">
        <f t="shared" si="11"/>
        <v>-2.3749999999999999E-3</v>
      </c>
      <c r="R25" s="33">
        <f t="shared" si="14"/>
        <v>1.0055223002756621</v>
      </c>
      <c r="S25" s="2">
        <f t="shared" si="17"/>
        <v>2.0008942803126906</v>
      </c>
      <c r="T25" s="15">
        <f t="shared" si="13"/>
        <v>1.0007308109692292</v>
      </c>
      <c r="U25" s="10">
        <f t="shared" si="12"/>
        <v>-3.6527202846327967E-4</v>
      </c>
      <c r="V25" s="45"/>
      <c r="Z25">
        <v>3.75</v>
      </c>
      <c r="AA25" s="1">
        <f t="shared" si="7"/>
        <v>3.7498143965345432E-3</v>
      </c>
      <c r="AB25" s="1">
        <f t="shared" si="5"/>
        <v>3.7148367210647665E-3</v>
      </c>
      <c r="AC25" s="1">
        <f t="shared" si="8"/>
        <v>6.4646001187661558E-3</v>
      </c>
      <c r="AD25" s="1">
        <f t="shared" si="6"/>
        <v>6.2697111017138048E-3</v>
      </c>
      <c r="AE25" s="1"/>
      <c r="AF25" s="1"/>
      <c r="AG25" s="1"/>
    </row>
    <row r="26" spans="1:33">
      <c r="A26">
        <v>10</v>
      </c>
      <c r="B26" s="1">
        <v>-2.3400000000000001E-3</v>
      </c>
      <c r="D26" s="13">
        <f>6/12</f>
        <v>0.5</v>
      </c>
      <c r="E26">
        <v>1.3263308496618069</v>
      </c>
      <c r="G26" s="10"/>
      <c r="H26" s="13">
        <f>H25+0.25</f>
        <v>2.25</v>
      </c>
      <c r="K26" s="1">
        <f>Interpolate_Range('試算番号4-3'!$G$27:$G$143,'試算番号4-3'!$O$27:$O$143,H26)</f>
        <v>9.510500280999484E-3</v>
      </c>
      <c r="L26" s="2">
        <f>Interpolate_Range('試算番号4-3'!$G$10:$G$143,'試算番号4-3'!$I$10:$I$143,H26)</f>
        <v>0.99348137636268741</v>
      </c>
      <c r="M26" s="1">
        <f t="shared" si="15"/>
        <v>1.0930821818528461E-2</v>
      </c>
      <c r="N26" s="14">
        <f>Interpolate_Range('試算番号4-2'!$G$27:$G$143,'試算番号4-2'!$N$27:$N$143,H26)</f>
        <v>1.2200511652704841E-2</v>
      </c>
      <c r="O26" s="2">
        <f>Interpolate_Range('試算番号4-2'!$G$10:$G$143,'試算番号4-2'!$I$10:$I$143,H26)</f>
        <v>0.99236055871991014</v>
      </c>
      <c r="P26" s="1">
        <f t="shared" si="16"/>
        <v>1.2603522561335758E-2</v>
      </c>
      <c r="Q26" s="1">
        <f t="shared" si="11"/>
        <v>-2.4412499999999998E-3</v>
      </c>
      <c r="R26" s="33">
        <f t="shared" si="14"/>
        <v>1.0060862647434452</v>
      </c>
      <c r="S26" s="2">
        <f t="shared" si="17"/>
        <v>2.2507762720719189</v>
      </c>
      <c r="T26" s="15">
        <f t="shared" si="13"/>
        <v>0.99952796703691305</v>
      </c>
      <c r="U26" s="10">
        <f t="shared" si="12"/>
        <v>2.0984195809652659E-4</v>
      </c>
      <c r="V26" s="45"/>
      <c r="Z26">
        <v>4</v>
      </c>
      <c r="AA26" s="1">
        <f t="shared" si="7"/>
        <v>3.7498143965345432E-3</v>
      </c>
      <c r="AB26" s="1">
        <f t="shared" si="5"/>
        <v>3.7085471654000981E-3</v>
      </c>
      <c r="AC26" s="1">
        <f t="shared" si="8"/>
        <v>6.4646001187661558E-3</v>
      </c>
      <c r="AD26" s="1">
        <f t="shared" si="6"/>
        <v>6.2379905690115971E-3</v>
      </c>
      <c r="AE26" s="1"/>
      <c r="AF26" s="1"/>
      <c r="AG26" s="1"/>
    </row>
    <row r="27" spans="1:33">
      <c r="A27">
        <v>12</v>
      </c>
      <c r="B27" s="1">
        <v>-2.2199999999999998E-3</v>
      </c>
      <c r="D27" s="13">
        <f>9/12</f>
        <v>0.75</v>
      </c>
      <c r="E27">
        <v>1.3270181980202491</v>
      </c>
      <c r="G27" s="10"/>
      <c r="H27" s="13">
        <f t="shared" ref="H27:H90" si="19">H26+0.25</f>
        <v>2.5</v>
      </c>
      <c r="K27" s="1">
        <f>Interpolate_Range('試算番号4-3'!$G$27:$G$143,'試算番号4-3'!$O$27:$O$143,H27)</f>
        <v>9.510500280999484E-3</v>
      </c>
      <c r="L27" s="2">
        <f>Interpolate_Range('試算番号4-3'!$G$10:$G$143,'試算番号4-3'!$I$10:$I$143,H27)</f>
        <v>0.99172792730690273</v>
      </c>
      <c r="M27" s="1">
        <f t="shared" si="15"/>
        <v>1.33045294501476E-2</v>
      </c>
      <c r="N27" s="14">
        <f>Interpolate_Range('試算番号4-2'!$G$27:$G$143,'試算番号4-2'!$N$27:$N$143,H27)</f>
        <v>1.2200511652704841E-2</v>
      </c>
      <c r="O27" s="2">
        <f>Interpolate_Range('試算番号4-2'!$G$10:$G$143,'試算番号4-2'!$I$10:$I$143,H27)</f>
        <v>0.98976480724189719</v>
      </c>
      <c r="P27" s="1">
        <f t="shared" si="16"/>
        <v>1.5622431827383741E-2</v>
      </c>
      <c r="Q27" s="1">
        <f t="shared" si="11"/>
        <v>-2.5075000000000002E-3</v>
      </c>
      <c r="R27" s="33">
        <f t="shared" si="14"/>
        <v>1.0066797009301036</v>
      </c>
      <c r="S27" s="2">
        <f t="shared" si="17"/>
        <v>2.500364365388255</v>
      </c>
      <c r="T27" s="15">
        <f t="shared" si="13"/>
        <v>0.99835237326534443</v>
      </c>
      <c r="U27" s="10">
        <f t="shared" si="12"/>
        <v>6.5959422574072678E-4</v>
      </c>
      <c r="V27" s="45"/>
      <c r="Z27">
        <v>4.25</v>
      </c>
      <c r="AA27" s="1">
        <f t="shared" si="7"/>
        <v>4.8981334633741149E-3</v>
      </c>
      <c r="AB27" s="1">
        <f t="shared" si="5"/>
        <v>4.8260394323864165E-3</v>
      </c>
      <c r="AC27" s="1">
        <f t="shared" si="8"/>
        <v>7.5202188520012616E-3</v>
      </c>
      <c r="AD27" s="1">
        <f t="shared" si="6"/>
        <v>7.2060555015913356E-3</v>
      </c>
      <c r="AE27" s="1"/>
      <c r="AF27" s="1"/>
      <c r="AG27" s="1"/>
    </row>
    <row r="28" spans="1:33">
      <c r="A28">
        <v>15</v>
      </c>
      <c r="B28" s="1">
        <v>-2.1149999999999997E-3</v>
      </c>
      <c r="G28" s="10"/>
      <c r="H28" s="13">
        <f t="shared" si="19"/>
        <v>2.75</v>
      </c>
      <c r="K28" s="1">
        <f>Interpolate_Range('試算番号4-3'!$G$27:$G$143,'試算番号4-3'!$O$27:$O$143,H28)</f>
        <v>9.4976106461289022E-3</v>
      </c>
      <c r="L28" s="2">
        <f>Interpolate_Range('試算番号4-3'!$G$10:$G$143,'試算番号4-3'!$I$10:$I$143,H28)</f>
        <v>0.98997447825111806</v>
      </c>
      <c r="M28" s="1">
        <f t="shared" si="15"/>
        <v>1.5674045741215281E-2</v>
      </c>
      <c r="N28" s="14">
        <f>Interpolate_Range('試算番号4-2'!$G$27:$G$143,'試算番号4-2'!$N$27:$N$143,H28)</f>
        <v>1.5183601065138679E-2</v>
      </c>
      <c r="O28" s="2">
        <f>Interpolate_Range('試算番号4-2'!$G$10:$G$143,'試算番号4-2'!$I$10:$I$143,H28)</f>
        <v>0.98716905576388414</v>
      </c>
      <c r="P28" s="1">
        <f t="shared" si="16"/>
        <v>1.9369627109025855E-2</v>
      </c>
      <c r="Q28" s="1">
        <f t="shared" si="11"/>
        <v>-2.5737500000000001E-3</v>
      </c>
      <c r="R28" s="33">
        <f t="shared" si="14"/>
        <v>1.0080482731498301</v>
      </c>
      <c r="S28" s="2">
        <f t="shared" si="17"/>
        <v>2.7498498812041161</v>
      </c>
      <c r="T28" s="15">
        <f t="shared" si="13"/>
        <v>0.99794206326344359</v>
      </c>
      <c r="U28" s="10">
        <f t="shared" si="12"/>
        <v>7.4911170838015727E-4</v>
      </c>
      <c r="V28" s="45"/>
      <c r="Z28">
        <v>4.5</v>
      </c>
      <c r="AA28" s="1">
        <f t="shared" si="7"/>
        <v>4.8981334633741149E-3</v>
      </c>
      <c r="AB28" s="1">
        <f t="shared" si="5"/>
        <v>4.8076621154798729E-3</v>
      </c>
      <c r="AC28" s="1">
        <f t="shared" si="8"/>
        <v>7.5202188520012616E-3</v>
      </c>
      <c r="AD28" s="1">
        <f t="shared" si="6"/>
        <v>7.155505271374373E-3</v>
      </c>
      <c r="AE28" s="1"/>
      <c r="AF28" s="1"/>
      <c r="AG28" s="1"/>
    </row>
    <row r="29" spans="1:33">
      <c r="A29">
        <v>20</v>
      </c>
      <c r="B29" s="1">
        <v>-1.9499999999999999E-3</v>
      </c>
      <c r="G29" s="10"/>
      <c r="H29" s="13">
        <f t="shared" si="19"/>
        <v>3</v>
      </c>
      <c r="K29" s="1">
        <f>Interpolate_Range('試算番号4-3'!$G$27:$G$143,'試算番号4-3'!$O$27:$O$143,H29)</f>
        <v>9.4976106461289022E-3</v>
      </c>
      <c r="L29" s="2">
        <f>Interpolate_Range('試算番号4-3'!$G$10:$G$143,'試算番号4-3'!$I$10:$I$143,H29)</f>
        <v>0.98822102919533328</v>
      </c>
      <c r="M29" s="1">
        <f t="shared" si="15"/>
        <v>1.8042644458942818E-2</v>
      </c>
      <c r="N29" s="14">
        <f>Interpolate_Range('試算番号4-2'!$G$27:$G$143,'試算番号4-2'!$N$27:$N$143,H29)</f>
        <v>1.5183601065138679E-2</v>
      </c>
      <c r="O29" s="2">
        <f>Interpolate_Range('試算番号4-2'!$G$10:$G$143,'試算番号4-2'!$I$10:$I$143,H29)</f>
        <v>0.98457330428587109</v>
      </c>
      <c r="P29" s="1">
        <f t="shared" si="16"/>
        <v>2.3106969176941369E-2</v>
      </c>
      <c r="Q29" s="1">
        <f t="shared" si="11"/>
        <v>-2.64E-3</v>
      </c>
      <c r="R29" s="33">
        <f t="shared" si="14"/>
        <v>1.0094458526260259</v>
      </c>
      <c r="S29" s="2">
        <f t="shared" si="17"/>
        <v>2.9992387860538789</v>
      </c>
      <c r="T29" s="15">
        <f t="shared" si="13"/>
        <v>0.99755561939905202</v>
      </c>
      <c r="U29" s="10">
        <f t="shared" si="12"/>
        <v>8.1579099218009735E-4</v>
      </c>
      <c r="V29" s="45"/>
      <c r="Z29">
        <v>4.75</v>
      </c>
      <c r="AA29" s="1">
        <f t="shared" si="7"/>
        <v>4.904432889833066E-3</v>
      </c>
      <c r="AB29" s="1">
        <f t="shared" si="5"/>
        <v>4.8000950056989134E-3</v>
      </c>
      <c r="AC29" s="1">
        <f t="shared" si="8"/>
        <v>8.5752844724351976E-3</v>
      </c>
      <c r="AD29" s="1">
        <f t="shared" si="6"/>
        <v>8.1017603132086495E-3</v>
      </c>
      <c r="AE29" s="1"/>
      <c r="AF29" s="1"/>
      <c r="AG29" s="1"/>
    </row>
    <row r="30" spans="1:33">
      <c r="A30">
        <v>25</v>
      </c>
      <c r="B30" s="1">
        <v>-1.8699999999999999E-3</v>
      </c>
      <c r="G30" s="10"/>
      <c r="H30" s="13">
        <f t="shared" si="19"/>
        <v>3.25</v>
      </c>
      <c r="K30" s="1">
        <f>Interpolate_Range('試算番号4-3'!$G$27:$G$143,'試算番号4-3'!$O$27:$O$143,H30)</f>
        <v>1.4961616403511751E-2</v>
      </c>
      <c r="L30" s="2">
        <f>Interpolate_Range('試算番号4-3'!$G$10:$G$143,'試算番号4-3'!$I$10:$I$143,H30)</f>
        <v>0.98514968247383694</v>
      </c>
      <c r="M30" s="1">
        <f t="shared" si="15"/>
        <v>2.1764154182061107E-2</v>
      </c>
      <c r="N30" s="14">
        <f>Interpolate_Range('試算番号4-2'!$G$27:$G$143,'試算番号4-2'!$N$27:$N$143,H30)</f>
        <v>2.1771175093197408E-2</v>
      </c>
      <c r="O30" s="2">
        <f>Interpolate_Range('試算番号4-2'!$G$10:$G$143,'試算番号4-2'!$I$10:$I$143,H30)</f>
        <v>0.97966649920598281</v>
      </c>
      <c r="P30" s="1">
        <f t="shared" si="16"/>
        <v>2.8439091898729667E-2</v>
      </c>
      <c r="Q30" s="1">
        <f t="shared" si="11"/>
        <v>-2.65E-3</v>
      </c>
      <c r="R30" s="33">
        <f t="shared" si="14"/>
        <v>1.0099466008423748</v>
      </c>
      <c r="S30" s="2">
        <f t="shared" si="17"/>
        <v>3.2479759293377279</v>
      </c>
      <c r="T30" s="15">
        <f t="shared" si="13"/>
        <v>0.99494857313539642</v>
      </c>
      <c r="U30" s="10">
        <f t="shared" si="12"/>
        <v>1.5582241385642579E-3</v>
      </c>
      <c r="V30" s="45"/>
      <c r="Z30">
        <v>5</v>
      </c>
      <c r="AA30" s="1">
        <f t="shared" si="7"/>
        <v>4.904432889833066E-3</v>
      </c>
      <c r="AB30" s="1">
        <f t="shared" si="5"/>
        <v>4.7861034715663787E-3</v>
      </c>
      <c r="AC30" s="1">
        <f t="shared" si="8"/>
        <v>8.5752844724351976E-3</v>
      </c>
      <c r="AD30" s="1">
        <f t="shared" si="6"/>
        <v>8.0441180274203588E-3</v>
      </c>
      <c r="AE30" s="1"/>
      <c r="AF30" s="1"/>
      <c r="AG30" s="1"/>
    </row>
    <row r="31" spans="1:33">
      <c r="A31">
        <v>30</v>
      </c>
      <c r="B31" s="1">
        <v>-1.83E-3</v>
      </c>
      <c r="G31" s="10"/>
      <c r="H31" s="13">
        <f t="shared" si="19"/>
        <v>3.5</v>
      </c>
      <c r="K31" s="1">
        <f>Interpolate_Range('試算番号4-3'!$G$27:$G$143,'試算番号4-3'!$O$27:$O$143,H31)</f>
        <v>1.4961616403511751E-2</v>
      </c>
      <c r="L31" s="2">
        <f>Interpolate_Range('試算番号4-3'!$G$10:$G$143,'試算番号4-3'!$I$10:$I$143,H31)</f>
        <v>0.9820783357523406</v>
      </c>
      <c r="M31" s="1">
        <f t="shared" si="15"/>
        <v>2.5475861359027453E-2</v>
      </c>
      <c r="N31" s="14">
        <f>Interpolate_Range('試算番号4-2'!$G$27:$G$143,'試算番号4-2'!$N$27:$N$143,H31)</f>
        <v>2.1771175093197408E-2</v>
      </c>
      <c r="O31" s="2">
        <f>Interpolate_Range('試算番号4-2'!$G$10:$G$143,'試算番号4-2'!$I$10:$I$143,H31)</f>
        <v>0.97475969412609464</v>
      </c>
      <c r="P31" s="1">
        <f t="shared" si="16"/>
        <v>3.3744507892382355E-2</v>
      </c>
      <c r="Q31" s="1">
        <f t="shared" si="11"/>
        <v>-2.66E-3</v>
      </c>
      <c r="R31" s="33">
        <f t="shared" si="14"/>
        <v>1.0104365594162514</v>
      </c>
      <c r="S31" s="2">
        <f t="shared" si="17"/>
        <v>3.4960578930014363</v>
      </c>
      <c r="T31" s="15">
        <f t="shared" si="13"/>
        <v>0.9923278546548332</v>
      </c>
      <c r="U31" s="10">
        <f t="shared" si="12"/>
        <v>2.2004936159787476E-3</v>
      </c>
      <c r="V31" s="45"/>
      <c r="Z31">
        <v>5.25</v>
      </c>
      <c r="AA31" s="1">
        <f t="shared" si="7"/>
        <v>5.760457219265434E-3</v>
      </c>
      <c r="AB31" s="1">
        <f t="shared" si="5"/>
        <v>5.5961553923954809E-3</v>
      </c>
      <c r="AC31" s="1">
        <f t="shared" si="8"/>
        <v>8.9338507312422422E-3</v>
      </c>
      <c r="AD31" s="1">
        <f t="shared" si="6"/>
        <v>8.3118361254677885E-3</v>
      </c>
      <c r="AE31" s="1"/>
      <c r="AF31" s="1"/>
      <c r="AG31" s="1"/>
    </row>
    <row r="32" spans="1:33">
      <c r="A32" s="2"/>
      <c r="B32" s="10"/>
      <c r="G32" s="10"/>
      <c r="H32" s="13">
        <f t="shared" si="19"/>
        <v>3.75</v>
      </c>
      <c r="K32" s="1">
        <f>Interpolate_Range('試算番号4-3'!$G$27:$G$143,'試算番号4-3'!$O$27:$O$143,H32)</f>
        <v>1.4999257586138173E-2</v>
      </c>
      <c r="L32" s="2">
        <f>Interpolate_Range('試算番号4-3'!$G$10:$G$143,'試算番号4-3'!$I$10:$I$143,H32)</f>
        <v>0.97900698903084415</v>
      </c>
      <c r="M32" s="1">
        <f t="shared" si="15"/>
        <v>2.9190698080092219E-2</v>
      </c>
      <c r="N32" s="14">
        <f>Interpolate_Range('試算番号4-2'!$G$27:$G$143,'試算番号4-2'!$N$27:$N$143,H32)</f>
        <v>2.5858400475064623E-2</v>
      </c>
      <c r="O32" s="2">
        <f>Interpolate_Range('試算番号4-2'!$G$10:$G$143,'試算番号4-2'!$I$10:$I$143,H32)</f>
        <v>0.96985288904620637</v>
      </c>
      <c r="P32" s="1">
        <f t="shared" si="16"/>
        <v>4.0014218994096157E-2</v>
      </c>
      <c r="Q32" s="1">
        <f t="shared" si="11"/>
        <v>-2.6700000000000001E-3</v>
      </c>
      <c r="R32" s="33">
        <f t="shared" si="14"/>
        <v>1.0119153073471174</v>
      </c>
      <c r="S32" s="2">
        <f t="shared" si="17"/>
        <v>3.7437259325514671</v>
      </c>
      <c r="T32" s="15">
        <f t="shared" si="13"/>
        <v>0.99067215820012267</v>
      </c>
      <c r="U32" s="10">
        <f t="shared" si="12"/>
        <v>2.4990982819498952E-3</v>
      </c>
      <c r="V32" s="45"/>
      <c r="Z32">
        <v>5.5</v>
      </c>
      <c r="AA32" s="1">
        <f t="shared" si="7"/>
        <v>5.760457219265434E-3</v>
      </c>
      <c r="AB32" s="1">
        <f t="shared" si="5"/>
        <v>5.5705332486099511E-3</v>
      </c>
      <c r="AC32" s="1">
        <f t="shared" si="8"/>
        <v>8.9338507312422422E-3</v>
      </c>
      <c r="AD32" s="1">
        <f t="shared" si="6"/>
        <v>8.2431981159404779E-3</v>
      </c>
      <c r="AE32" s="1"/>
      <c r="AF32" s="1"/>
      <c r="AG32" s="1"/>
    </row>
    <row r="33" spans="1:33">
      <c r="A33" s="2"/>
      <c r="B33" s="10"/>
      <c r="G33" s="10"/>
      <c r="H33" s="13">
        <f t="shared" si="19"/>
        <v>4</v>
      </c>
      <c r="K33" s="1">
        <f>Interpolate_Range('試算番号4-3'!$G$27:$G$143,'試算番号4-3'!$O$27:$O$143,H33)</f>
        <v>1.4999257586138173E-2</v>
      </c>
      <c r="L33" s="2">
        <f>Interpolate_Range('試算番号4-3'!$G$10:$G$143,'試算番号4-3'!$I$10:$I$143,H33)</f>
        <v>0.97593564230934782</v>
      </c>
      <c r="M33" s="1">
        <f t="shared" si="15"/>
        <v>3.2899245245492315E-2</v>
      </c>
      <c r="N33" s="14">
        <f>Interpolate_Range('試算番号4-2'!$G$27:$G$143,'試算番号4-2'!$N$27:$N$143,H33)</f>
        <v>2.5858400475064623E-2</v>
      </c>
      <c r="O33" s="2">
        <f>Interpolate_Range('試算番号4-2'!$G$10:$G$143,'試算番号4-2'!$I$10:$I$143,H33)</f>
        <v>0.96494608396631809</v>
      </c>
      <c r="P33" s="1">
        <f t="shared" si="16"/>
        <v>4.6252209563107757E-2</v>
      </c>
      <c r="Q33" s="1">
        <f t="shared" si="11"/>
        <v>-2.6800000000000001E-3</v>
      </c>
      <c r="R33" s="33">
        <f t="shared" si="14"/>
        <v>1.0133812287041277</v>
      </c>
      <c r="S33" s="2">
        <f t="shared" si="17"/>
        <v>3.9909746476363668</v>
      </c>
      <c r="T33" s="15">
        <f t="shared" si="13"/>
        <v>0.98899486033959894</v>
      </c>
      <c r="U33" s="10">
        <f t="shared" si="12"/>
        <v>2.7665360496024602E-3</v>
      </c>
      <c r="V33" s="45"/>
      <c r="Z33">
        <v>5.75</v>
      </c>
      <c r="AA33" s="1">
        <f t="shared" si="7"/>
        <v>5.7742319921046288E-3</v>
      </c>
      <c r="AB33" s="1">
        <f t="shared" si="5"/>
        <v>5.5627907909164449E-3</v>
      </c>
      <c r="AC33" s="1">
        <f t="shared" si="8"/>
        <v>9.8847568765485522E-3</v>
      </c>
      <c r="AD33" s="1">
        <f t="shared" si="6"/>
        <v>9.0446484562420448E-3</v>
      </c>
      <c r="AE33" s="1"/>
      <c r="AF33" s="1"/>
      <c r="AG33" s="1"/>
    </row>
    <row r="34" spans="1:33">
      <c r="B34" s="10"/>
      <c r="G34" s="10"/>
      <c r="H34" s="13">
        <f t="shared" si="19"/>
        <v>4.25</v>
      </c>
      <c r="K34" s="1">
        <f>Interpolate_Range('試算番号4-3'!$G$27:$G$143,'試算番号4-3'!$O$27:$O$143,H34)</f>
        <v>1.959253385349646E-2</v>
      </c>
      <c r="L34" s="2">
        <f>Interpolate_Range('試算番号4-3'!$G$10:$G$143,'試算番号4-3'!$I$10:$I$143,H34)</f>
        <v>0.97178523962087793</v>
      </c>
      <c r="M34" s="1">
        <f t="shared" si="15"/>
        <v>3.772528467787873E-2</v>
      </c>
      <c r="N34" s="14">
        <f>Interpolate_Range('試算番号4-2'!$G$27:$G$143,'試算番号4-2'!$N$27:$N$143,H34)</f>
        <v>3.0080875408005046E-2</v>
      </c>
      <c r="O34" s="2">
        <f>Interpolate_Range('試算番号4-2'!$G$10:$G$143,'試算番号4-2'!$I$10:$I$143,H34)</f>
        <v>0.95822417450971897</v>
      </c>
      <c r="P34" s="1">
        <f t="shared" si="16"/>
        <v>5.3458265064699091E-2</v>
      </c>
      <c r="Q34" s="1">
        <f t="shared" si="11"/>
        <v>-2.6725E-3</v>
      </c>
      <c r="R34" s="33">
        <f t="shared" si="14"/>
        <v>1.0138879307453641</v>
      </c>
      <c r="S34" s="2">
        <f t="shared" si="17"/>
        <v>4.237294979068392</v>
      </c>
      <c r="T34" s="15">
        <f t="shared" si="13"/>
        <v>0.98528132572809979</v>
      </c>
      <c r="U34" s="10">
        <f t="shared" si="12"/>
        <v>3.488957344127313E-3</v>
      </c>
      <c r="V34" s="45"/>
      <c r="Z34">
        <v>6</v>
      </c>
      <c r="AA34" s="1">
        <f t="shared" si="7"/>
        <v>5.7742319921046288E-3</v>
      </c>
      <c r="AB34" s="1">
        <f t="shared" si="5"/>
        <v>5.5413607967896563E-3</v>
      </c>
      <c r="AC34" s="1">
        <f t="shared" si="8"/>
        <v>9.8847568765485522E-3</v>
      </c>
      <c r="AD34" s="1">
        <f t="shared" si="6"/>
        <v>8.9687047162940476E-3</v>
      </c>
      <c r="AE34" s="1"/>
      <c r="AF34" s="1"/>
      <c r="AG34" s="1"/>
    </row>
    <row r="35" spans="1:33">
      <c r="B35" s="10"/>
      <c r="G35" s="10"/>
      <c r="H35" s="13">
        <f t="shared" si="19"/>
        <v>4.5</v>
      </c>
      <c r="K35" s="1">
        <f>Interpolate_Range('試算番号4-3'!$G$27:$G$143,'試算番号4-3'!$O$27:$O$143,H35)</f>
        <v>1.959253385349646E-2</v>
      </c>
      <c r="L35" s="2">
        <f>Interpolate_Range('試算番号4-3'!$G$10:$G$143,'試算番号4-3'!$I$10:$I$143,H35)</f>
        <v>0.96763483693240804</v>
      </c>
      <c r="M35" s="1">
        <f t="shared" si="15"/>
        <v>4.2532946793358603E-2</v>
      </c>
      <c r="N35" s="14">
        <f>Interpolate_Range('試算番号4-2'!$G$27:$G$143,'試算番号4-2'!$N$27:$N$143,H35)</f>
        <v>3.0080875408005046E-2</v>
      </c>
      <c r="O35" s="2">
        <f>Interpolate_Range('試算番号4-2'!$G$10:$G$143,'試算番号4-2'!$I$10:$I$143,H35)</f>
        <v>0.95150226505311986</v>
      </c>
      <c r="P35" s="1">
        <f t="shared" si="16"/>
        <v>6.0613770336073465E-2</v>
      </c>
      <c r="Q35" s="1">
        <f t="shared" si="11"/>
        <v>-2.6649999999999998E-3</v>
      </c>
      <c r="R35" s="33">
        <f t="shared" si="14"/>
        <v>1.0143593287786419</v>
      </c>
      <c r="S35" s="2">
        <f t="shared" si="17"/>
        <v>4.4826773349917888</v>
      </c>
      <c r="T35" s="15">
        <f t="shared" si="13"/>
        <v>0.98152942369358798</v>
      </c>
      <c r="U35" s="10">
        <f t="shared" si="12"/>
        <v>4.1429527606603386E-3</v>
      </c>
      <c r="V35" s="45"/>
      <c r="Z35">
        <v>6.25</v>
      </c>
      <c r="AA35" s="1">
        <f t="shared" si="7"/>
        <v>6.3781434639120357E-3</v>
      </c>
      <c r="AB35" s="1">
        <f t="shared" si="5"/>
        <v>6.0896960977442202E-3</v>
      </c>
      <c r="AC35" s="1">
        <f t="shared" si="8"/>
        <v>9.8443311422051708E-3</v>
      </c>
      <c r="AD35" s="1">
        <f t="shared" si="6"/>
        <v>8.8511631455846351E-3</v>
      </c>
      <c r="AE35" s="1"/>
      <c r="AF35" s="1"/>
      <c r="AG35" s="1"/>
    </row>
    <row r="36" spans="1:33">
      <c r="A36" s="13"/>
      <c r="B36" s="35"/>
      <c r="G36" s="10"/>
      <c r="H36" s="13">
        <f t="shared" si="19"/>
        <v>4.75</v>
      </c>
      <c r="K36" s="1">
        <f>Interpolate_Range('試算番号4-3'!$G$27:$G$143,'試算番号4-3'!$O$27:$O$143,H36)</f>
        <v>1.9617731559332264E-2</v>
      </c>
      <c r="L36" s="2">
        <f>Interpolate_Range('試算番号4-3'!$G$10:$G$143,'試算番号4-3'!$I$10:$I$143,H36)</f>
        <v>0.96348443424393826</v>
      </c>
      <c r="M36" s="1">
        <f t="shared" si="15"/>
        <v>4.7333041799057514E-2</v>
      </c>
      <c r="N36" s="14">
        <f>Interpolate_Range('試算番号4-2'!$G$27:$G$143,'試算番号4-2'!$N$27:$N$143,H36)</f>
        <v>3.430113788974079E-2</v>
      </c>
      <c r="O36" s="2">
        <f>Interpolate_Range('試算番号4-2'!$G$10:$G$143,'試算番号4-2'!$I$10:$I$143,H36)</f>
        <v>0.94478035559652074</v>
      </c>
      <c r="P36" s="1">
        <f t="shared" si="16"/>
        <v>6.8715530649282111E-2</v>
      </c>
      <c r="Q36" s="1">
        <f t="shared" si="11"/>
        <v>-2.6575000000000001E-3</v>
      </c>
      <c r="R36" s="33">
        <f t="shared" si="14"/>
        <v>1.0158190061328398</v>
      </c>
      <c r="S36" s="2">
        <f t="shared" si="17"/>
        <v>4.7273587850963237</v>
      </c>
      <c r="T36" s="15">
        <f t="shared" si="13"/>
        <v>0.97872580041813884</v>
      </c>
      <c r="U36" s="10">
        <f t="shared" si="12"/>
        <v>4.5271067306620599E-3</v>
      </c>
      <c r="V36" s="45"/>
      <c r="Z36">
        <v>6.5</v>
      </c>
      <c r="AA36" s="1">
        <f t="shared" si="7"/>
        <v>6.3781434639120357E-3</v>
      </c>
      <c r="AB36" s="1">
        <f t="shared" si="5"/>
        <v>6.0581102285179487E-3</v>
      </c>
      <c r="AC36" s="1">
        <f t="shared" si="8"/>
        <v>9.8443311422051708E-3</v>
      </c>
      <c r="AD36" s="1">
        <f t="shared" si="6"/>
        <v>8.7703009266077193E-3</v>
      </c>
      <c r="AE36" s="1"/>
      <c r="AF36" s="1"/>
      <c r="AG36" s="1"/>
    </row>
    <row r="37" spans="1:33">
      <c r="A37" s="13"/>
      <c r="B37" s="35"/>
      <c r="G37" s="10"/>
      <c r="H37" s="13">
        <f t="shared" si="19"/>
        <v>5</v>
      </c>
      <c r="K37" s="1">
        <f>Interpolate_Range('試算番号4-3'!$G$27:$G$143,'試算番号4-3'!$O$27:$O$143,H37)</f>
        <v>1.9617731559332264E-2</v>
      </c>
      <c r="L37" s="2">
        <f>Interpolate_Range('試算番号4-3'!$G$10:$G$143,'試算番号4-3'!$I$10:$I$143,H37)</f>
        <v>0.95933403155546837</v>
      </c>
      <c r="M37" s="1">
        <f t="shared" si="15"/>
        <v>5.211914527062389E-2</v>
      </c>
      <c r="N37" s="14">
        <f>Interpolate_Range('試算番号4-2'!$G$27:$G$143,'試算番号4-2'!$N$27:$N$143,H37)</f>
        <v>3.430113788974079E-2</v>
      </c>
      <c r="O37" s="2">
        <f>Interpolate_Range('試算番号4-2'!$G$10:$G$143,'試算番号4-2'!$I$10:$I$143,H37)</f>
        <v>0.93805844613992162</v>
      </c>
      <c r="P37" s="1">
        <f t="shared" si="16"/>
        <v>7.6759648676702472E-2</v>
      </c>
      <c r="Q37" s="1">
        <f t="shared" si="11"/>
        <v>-2.65E-3</v>
      </c>
      <c r="R37" s="33">
        <f t="shared" si="14"/>
        <v>1.0172400165814051</v>
      </c>
      <c r="S37" s="2">
        <f t="shared" si="17"/>
        <v>4.9713270266379714</v>
      </c>
      <c r="T37" s="15">
        <f t="shared" si="13"/>
        <v>0.97587296616659081</v>
      </c>
      <c r="U37" s="10">
        <f t="shared" si="12"/>
        <v>4.8845717312960227E-3</v>
      </c>
      <c r="V37" s="45"/>
      <c r="Z37">
        <v>6.75</v>
      </c>
      <c r="AA37" s="1">
        <f t="shared" si="7"/>
        <v>6.3926403394346087E-3</v>
      </c>
      <c r="AB37" s="1">
        <f t="shared" si="5"/>
        <v>6.0443572857695818E-3</v>
      </c>
      <c r="AC37" s="1">
        <f t="shared" si="8"/>
        <v>1.0661718526065976E-2</v>
      </c>
      <c r="AD37" s="1">
        <f t="shared" si="6"/>
        <v>9.4109338980961389E-3</v>
      </c>
      <c r="AE37" s="1"/>
      <c r="AF37" s="1"/>
      <c r="AG37" s="1"/>
    </row>
    <row r="38" spans="1:33">
      <c r="A38" s="13"/>
      <c r="B38" s="35"/>
      <c r="E38" s="15"/>
      <c r="G38" s="32"/>
      <c r="H38" s="13">
        <f t="shared" si="19"/>
        <v>5.25</v>
      </c>
      <c r="K38" s="1">
        <f>Interpolate_Range('試算番号4-3'!$G$27:$G$143,'試算番号4-3'!$O$27:$O$143,H38)</f>
        <v>2.3041828877061736E-2</v>
      </c>
      <c r="L38" s="2">
        <f>Interpolate_Range('試算番号4-3'!$G$10:$G$143,'試算番号4-3'!$I$10:$I$143,H38)</f>
        <v>0.95447682413214119</v>
      </c>
      <c r="M38" s="1">
        <f t="shared" si="15"/>
        <v>5.7715300663019373E-2</v>
      </c>
      <c r="N38" s="14">
        <f>Interpolate_Range('試算番号4-2'!$G$27:$G$143,'試算番号4-2'!$N$27:$N$143,H38)</f>
        <v>3.5735402924968969E-2</v>
      </c>
      <c r="O38" s="2">
        <f>Interpolate_Range('試算番号4-2'!$G$10:$G$143,'試算番号4-2'!$I$10:$I$143,H38)</f>
        <v>0.93037553184102029</v>
      </c>
      <c r="P38" s="1">
        <f t="shared" si="16"/>
        <v>8.5071484802170264E-2</v>
      </c>
      <c r="Q38" s="1">
        <f t="shared" si="11"/>
        <v>-2.6362500000000001E-3</v>
      </c>
      <c r="R38" s="33">
        <f t="shared" si="14"/>
        <v>1.0178116605612255</v>
      </c>
      <c r="S38" s="2">
        <f t="shared" si="17"/>
        <v>5.214196436972256</v>
      </c>
      <c r="T38" s="15">
        <f t="shared" si="13"/>
        <v>0.97147764133713943</v>
      </c>
      <c r="U38" s="10">
        <f t="shared" si="12"/>
        <v>5.5118142872047811E-3</v>
      </c>
      <c r="V38" s="45"/>
      <c r="Z38">
        <v>7</v>
      </c>
      <c r="AA38" s="1">
        <f t="shared" si="7"/>
        <v>6.3926403394346087E-3</v>
      </c>
      <c r="AB38" s="1">
        <f t="shared" si="5"/>
        <v>6.0164056357762379E-3</v>
      </c>
      <c r="AC38" s="1">
        <f t="shared" si="8"/>
        <v>1.0661718526065976E-2</v>
      </c>
      <c r="AD38" s="1">
        <f t="shared" si="6"/>
        <v>9.3233575858336602E-3</v>
      </c>
      <c r="AE38" s="1"/>
      <c r="AF38" s="1"/>
      <c r="AG38" s="1"/>
    </row>
    <row r="39" spans="1:33">
      <c r="A39" s="13"/>
      <c r="B39" s="35"/>
      <c r="E39" s="15"/>
      <c r="G39" s="32"/>
      <c r="H39" s="13">
        <f t="shared" si="19"/>
        <v>5.5</v>
      </c>
      <c r="K39" s="1">
        <f>Interpolate_Range('試算番号4-3'!$G$27:$G$143,'試算番号4-3'!$O$27:$O$143,H39)</f>
        <v>2.3041828877061736E-2</v>
      </c>
      <c r="L39" s="2">
        <f>Interpolate_Range('試算番号4-3'!$G$10:$G$143,'試算番号4-3'!$I$10:$I$143,H39)</f>
        <v>0.94961961670881412</v>
      </c>
      <c r="M39" s="1">
        <f t="shared" si="15"/>
        <v>6.3285833911629327E-2</v>
      </c>
      <c r="N39" s="14">
        <f>Interpolate_Range('試算番号4-2'!$G$27:$G$143,'試算番号4-2'!$N$27:$N$143,H39)</f>
        <v>3.5735402924968969E-2</v>
      </c>
      <c r="O39" s="2">
        <f>Interpolate_Range('試算番号4-2'!$G$10:$G$143,'試算番号4-2'!$I$10:$I$143,H39)</f>
        <v>0.92269261754211895</v>
      </c>
      <c r="P39" s="1">
        <f t="shared" si="16"/>
        <v>9.3314682918110736E-2</v>
      </c>
      <c r="Q39" s="1">
        <f t="shared" si="11"/>
        <v>-2.6224999999999998E-3</v>
      </c>
      <c r="R39" s="33">
        <f t="shared" si="14"/>
        <v>1.0183337502091525</v>
      </c>
      <c r="S39" s="2">
        <f t="shared" si="17"/>
        <v>5.4559538633610725</v>
      </c>
      <c r="T39" s="15">
        <f t="shared" si="13"/>
        <v>0.96702970555526468</v>
      </c>
      <c r="U39" s="10">
        <f t="shared" si="12"/>
        <v>6.0956481288678569E-3</v>
      </c>
      <c r="V39" s="45"/>
      <c r="Z39">
        <v>7.25</v>
      </c>
      <c r="AA39" s="1">
        <f t="shared" si="7"/>
        <v>6.9807082281444005E-3</v>
      </c>
      <c r="AB39" s="1">
        <f t="shared" si="5"/>
        <v>6.532213580132902E-3</v>
      </c>
      <c r="AC39" s="1">
        <f t="shared" si="8"/>
        <v>1.0312105005991369E-2</v>
      </c>
      <c r="AD39" s="1">
        <f t="shared" si="6"/>
        <v>8.9328380765363452E-3</v>
      </c>
      <c r="AE39" s="1"/>
      <c r="AF39" s="1"/>
      <c r="AG39" s="1"/>
    </row>
    <row r="40" spans="1:33">
      <c r="A40" s="13"/>
      <c r="B40" s="35"/>
      <c r="E40" s="15"/>
      <c r="G40" s="32"/>
      <c r="H40" s="13">
        <f t="shared" si="19"/>
        <v>5.75</v>
      </c>
      <c r="K40" s="1">
        <f>Interpolate_Range('試算番号4-3'!$G$27:$G$143,'試算番号4-3'!$O$27:$O$143,H40)</f>
        <v>2.3096927968418515E-2</v>
      </c>
      <c r="L40" s="2">
        <f>Interpolate_Range('試算番号4-3'!$G$10:$G$143,'試算番号4-3'!$I$10:$I$143,H40)</f>
        <v>0.94476240928548694</v>
      </c>
      <c r="M40" s="1">
        <f t="shared" si="15"/>
        <v>6.8848624702545769E-2</v>
      </c>
      <c r="N40" s="14">
        <f>Interpolate_Range('試算番号4-2'!$G$27:$G$143,'試算番号4-2'!$N$27:$N$143,H40)</f>
        <v>3.9539027506194209E-2</v>
      </c>
      <c r="O40" s="2">
        <f>Interpolate_Range('試算番号4-2'!$G$10:$G$143,'試算番号4-2'!$I$10:$I$143,H40)</f>
        <v>0.91500970324321762</v>
      </c>
      <c r="P40" s="1">
        <f t="shared" si="16"/>
        <v>0.10235933137435278</v>
      </c>
      <c r="Q40" s="1">
        <f t="shared" si="11"/>
        <v>-2.60875E-3</v>
      </c>
      <c r="R40" s="33">
        <f t="shared" si="14"/>
        <v>1.0197081570386923</v>
      </c>
      <c r="S40" s="2">
        <f t="shared" si="17"/>
        <v>5.696799347164057</v>
      </c>
      <c r="T40" s="15">
        <f t="shared" si="13"/>
        <v>0.9633819352119386</v>
      </c>
      <c r="U40" s="10">
        <f t="shared" si="12"/>
        <v>6.4878845285770616E-3</v>
      </c>
      <c r="V40" s="45"/>
      <c r="Z40">
        <v>7.5</v>
      </c>
      <c r="AA40" s="1">
        <f t="shared" si="7"/>
        <v>6.9807082281444005E-3</v>
      </c>
      <c r="AB40" s="1">
        <f t="shared" si="5"/>
        <v>6.4941364419868067E-3</v>
      </c>
      <c r="AC40" s="1">
        <f t="shared" si="8"/>
        <v>1.0312105005991369E-2</v>
      </c>
      <c r="AD40" s="1">
        <f t="shared" si="6"/>
        <v>8.8480452525317027E-3</v>
      </c>
      <c r="AE40" s="1"/>
      <c r="AF40" s="1"/>
      <c r="AG40" s="1"/>
    </row>
    <row r="41" spans="1:33">
      <c r="A41" s="13"/>
      <c r="B41" s="35"/>
      <c r="E41" s="15"/>
      <c r="G41" s="32"/>
      <c r="H41" s="13">
        <f t="shared" si="19"/>
        <v>6</v>
      </c>
      <c r="K41" s="1">
        <f>Interpolate_Range('試算番号4-3'!$G$27:$G$143,'試算番号4-3'!$O$27:$O$143,H41)</f>
        <v>2.3096927968418515E-2</v>
      </c>
      <c r="L41" s="2">
        <f>Interpolate_Range('試算番号4-3'!$G$10:$G$143,'試算番号4-3'!$I$10:$I$143,H41)</f>
        <v>0.93990520186215976</v>
      </c>
      <c r="M41" s="1">
        <f t="shared" si="15"/>
        <v>7.4389985499335426E-2</v>
      </c>
      <c r="N41" s="14">
        <f>Interpolate_Range('試算番号4-2'!$G$27:$G$143,'試算番号4-2'!$N$27:$N$143,H41)</f>
        <v>3.9539027506194209E-2</v>
      </c>
      <c r="O41" s="2">
        <f>Interpolate_Range('試算番号4-2'!$G$10:$G$143,'試算番号4-2'!$I$10:$I$143,H41)</f>
        <v>0.90732678894431629</v>
      </c>
      <c r="P41" s="1">
        <f t="shared" si="16"/>
        <v>0.11132803609064683</v>
      </c>
      <c r="Q41" s="1">
        <f t="shared" si="11"/>
        <v>-2.5950000000000001E-3</v>
      </c>
      <c r="R41" s="33">
        <f t="shared" si="14"/>
        <v>1.0210291615101454</v>
      </c>
      <c r="S41" s="2">
        <f t="shared" si="17"/>
        <v>5.9367170022031432</v>
      </c>
      <c r="T41" s="15">
        <f t="shared" si="13"/>
        <v>0.95967062015634497</v>
      </c>
      <c r="U41" s="10">
        <f t="shared" si="12"/>
        <v>6.8608595662846793E-3</v>
      </c>
      <c r="V41" s="45"/>
      <c r="Z41">
        <v>7.75</v>
      </c>
      <c r="AA41" s="1">
        <f t="shared" si="7"/>
        <v>6.9958068998093557E-3</v>
      </c>
      <c r="AB41" s="1">
        <f t="shared" si="5"/>
        <v>6.4734837970507591E-3</v>
      </c>
      <c r="AC41" s="1">
        <f t="shared" si="8"/>
        <v>1.0986301546332001E-2</v>
      </c>
      <c r="AD41" s="1">
        <f t="shared" si="6"/>
        <v>9.3361863218506726E-3</v>
      </c>
      <c r="AE41" s="1"/>
      <c r="AF41" s="1"/>
      <c r="AG41" s="1"/>
    </row>
    <row r="42" spans="1:33">
      <c r="A42" s="13"/>
      <c r="B42" s="35"/>
      <c r="E42" s="15"/>
      <c r="G42" s="32"/>
      <c r="H42" s="13">
        <f t="shared" si="19"/>
        <v>6.25</v>
      </c>
      <c r="K42" s="1">
        <f>Interpolate_Range('試算番号4-3'!$G$27:$G$143,'試算番号4-3'!$O$27:$O$143,H42)</f>
        <v>2.5512573855648143E-2</v>
      </c>
      <c r="L42" s="2">
        <f>Interpolate_Range('試算番号4-3'!$G$10:$G$143,'試算番号4-3'!$I$10:$I$143,H42)</f>
        <v>0.93451756469103286</v>
      </c>
      <c r="M42" s="1">
        <f t="shared" si="15"/>
        <v>8.0479681597079647E-2</v>
      </c>
      <c r="N42" s="14">
        <f>Interpolate_Range('試算番号4-2'!$G$27:$G$143,'試算番号4-2'!$N$27:$N$143,H42)</f>
        <v>3.9377324568820683E-2</v>
      </c>
      <c r="O42" s="2">
        <f>Interpolate_Range('試算番号4-2'!$G$10:$G$143,'試算番号4-2'!$I$10:$I$143,H42)</f>
        <v>0.89911269925057979</v>
      </c>
      <c r="P42" s="1">
        <f t="shared" si="16"/>
        <v>0.12017919923623147</v>
      </c>
      <c r="Q42" s="1">
        <f t="shared" si="11"/>
        <v>-2.5850000000000001E-3</v>
      </c>
      <c r="R42" s="33">
        <f t="shared" si="14"/>
        <v>1.0216775908567948</v>
      </c>
      <c r="S42" s="2">
        <f t="shared" si="17"/>
        <v>6.1754109157298664</v>
      </c>
      <c r="T42" s="15">
        <f t="shared" si="13"/>
        <v>0.95477565410689336</v>
      </c>
      <c r="U42" s="10">
        <f t="shared" si="12"/>
        <v>7.404621322291677E-3</v>
      </c>
      <c r="V42" s="45"/>
      <c r="Z42">
        <v>8</v>
      </c>
      <c r="AA42" s="1">
        <f t="shared" si="7"/>
        <v>6.9958068998093557E-3</v>
      </c>
      <c r="AB42" s="1">
        <f t="shared" si="5"/>
        <v>6.4383005415743653E-3</v>
      </c>
      <c r="AC42" s="1">
        <f t="shared" si="8"/>
        <v>1.0986301546332001E-2</v>
      </c>
      <c r="AD42" s="1">
        <f t="shared" si="6"/>
        <v>9.2458498160704426E-3</v>
      </c>
      <c r="AE42" s="1"/>
      <c r="AF42" s="1"/>
      <c r="AG42" s="1"/>
    </row>
    <row r="43" spans="1:33">
      <c r="A43" s="13"/>
      <c r="B43" s="35"/>
      <c r="E43" s="15"/>
      <c r="G43" s="32"/>
      <c r="H43" s="13">
        <f t="shared" si="19"/>
        <v>6.5</v>
      </c>
      <c r="K43" s="1">
        <f>Interpolate_Range('試算番号4-3'!$G$27:$G$143,'試算番号4-3'!$O$27:$O$143,H43)</f>
        <v>2.5512573855648143E-2</v>
      </c>
      <c r="L43" s="2">
        <f>Interpolate_Range('試算番号4-3'!$G$10:$G$143,'試算番号4-3'!$I$10:$I$143,H43)</f>
        <v>0.92912992751990608</v>
      </c>
      <c r="M43" s="1">
        <f t="shared" si="15"/>
        <v>8.6537791825597593E-2</v>
      </c>
      <c r="N43" s="14">
        <f>Interpolate_Range('試算番号4-2'!$G$27:$G$143,'試算番号4-2'!$N$27:$N$143,H43)</f>
        <v>3.9377324568820683E-2</v>
      </c>
      <c r="O43" s="2">
        <f>Interpolate_Range('試算番号4-2'!$G$10:$G$143,'試算番号4-2'!$I$10:$I$143,H43)</f>
        <v>0.89089860955684341</v>
      </c>
      <c r="P43" s="1">
        <f t="shared" si="16"/>
        <v>0.12894950016283918</v>
      </c>
      <c r="Q43" s="1">
        <f t="shared" si="11"/>
        <v>-2.575E-3</v>
      </c>
      <c r="R43" s="33">
        <f t="shared" si="14"/>
        <v>1.0222719360501704</v>
      </c>
      <c r="S43" s="2">
        <f t="shared" si="17"/>
        <v>6.4128667781918489</v>
      </c>
      <c r="T43" s="15">
        <f t="shared" si="13"/>
        <v>0.94982344984792888</v>
      </c>
      <c r="U43" s="10">
        <f t="shared" si="12"/>
        <v>7.9198698344157149E-3</v>
      </c>
      <c r="V43" s="45"/>
      <c r="Z43">
        <v>8.25</v>
      </c>
      <c r="AA43" s="1">
        <f t="shared" si="7"/>
        <v>7.5316869855452601E-3</v>
      </c>
      <c r="AB43" s="1">
        <f t="shared" si="5"/>
        <v>6.8874920164242077E-3</v>
      </c>
      <c r="AC43" s="1">
        <f t="shared" si="8"/>
        <v>1.0758786211868411E-2</v>
      </c>
      <c r="AD43" s="1">
        <f t="shared" si="6"/>
        <v>8.964663767043024E-3</v>
      </c>
      <c r="AE43" s="1"/>
      <c r="AF43" s="1"/>
      <c r="AG43" s="1"/>
    </row>
    <row r="44" spans="1:33">
      <c r="A44" s="13"/>
      <c r="B44" s="35"/>
      <c r="E44" s="15"/>
      <c r="G44" s="32"/>
      <c r="H44" s="13">
        <f t="shared" si="19"/>
        <v>6.75</v>
      </c>
      <c r="K44" s="1">
        <f>Interpolate_Range('試算番号4-3'!$G$27:$G$143,'試算番号4-3'!$O$27:$O$143,H44)</f>
        <v>2.5570561357738435E-2</v>
      </c>
      <c r="L44" s="2">
        <f>Interpolate_Range('試算番号4-3'!$G$10:$G$143,'試算番号4-3'!$I$10:$I$143,H44)</f>
        <v>0.92374229034877919</v>
      </c>
      <c r="M44" s="1">
        <f t="shared" si="15"/>
        <v>9.2582149111367168E-2</v>
      </c>
      <c r="N44" s="14">
        <f>Interpolate_Range('試算番号4-2'!$G$27:$G$143,'試算番号4-2'!$N$27:$N$143,H44)</f>
        <v>4.2646874104263904E-2</v>
      </c>
      <c r="O44" s="2">
        <f>Interpolate_Range('試算番号4-2'!$G$10:$G$143,'試算番号4-2'!$I$10:$I$143,H44)</f>
        <v>0.88268451986310692</v>
      </c>
      <c r="P44" s="1">
        <f t="shared" si="16"/>
        <v>0.13836043406093532</v>
      </c>
      <c r="Q44" s="1">
        <f t="shared" si="11"/>
        <v>-2.565E-3</v>
      </c>
      <c r="R44" s="33">
        <f t="shared" si="14"/>
        <v>1.0235734917335098</v>
      </c>
      <c r="S44" s="2">
        <f t="shared" si="17"/>
        <v>6.649246308590401</v>
      </c>
      <c r="T44" s="15">
        <f t="shared" si="13"/>
        <v>0.94551812159420956</v>
      </c>
      <c r="U44" s="10">
        <f t="shared" si="12"/>
        <v>8.2995888767324558E-3</v>
      </c>
      <c r="V44" s="45"/>
      <c r="Z44">
        <v>8.5</v>
      </c>
      <c r="AA44" s="1">
        <f t="shared" si="7"/>
        <v>7.5316869855452601E-3</v>
      </c>
      <c r="AB44" s="1">
        <f t="shared" si="5"/>
        <v>6.8430801049536513E-3</v>
      </c>
      <c r="AC44" s="1">
        <f t="shared" si="8"/>
        <v>1.0758786211868411E-2</v>
      </c>
      <c r="AD44" s="1">
        <f t="shared" si="6"/>
        <v>8.8749500351035793E-3</v>
      </c>
      <c r="AE44" s="1"/>
      <c r="AF44" s="1"/>
      <c r="AG44" s="1"/>
    </row>
    <row r="45" spans="1:33">
      <c r="A45" s="13"/>
      <c r="B45" s="35"/>
      <c r="E45" s="15"/>
      <c r="G45" s="32"/>
      <c r="H45" s="13">
        <f t="shared" si="19"/>
        <v>7</v>
      </c>
      <c r="K45" s="1">
        <f>Interpolate_Range('試算番号4-3'!$G$27:$G$143,'試算番号4-3'!$O$27:$O$143,H45)</f>
        <v>2.5570561357738435E-2</v>
      </c>
      <c r="L45" s="2">
        <f>Interpolate_Range('試算番号4-3'!$G$10:$G$143,'試算番号4-3'!$I$10:$I$143,H45)</f>
        <v>0.9183546531776523</v>
      </c>
      <c r="M45" s="1">
        <f t="shared" si="15"/>
        <v>9.8598554747143408E-2</v>
      </c>
      <c r="N45" s="14">
        <f>Interpolate_Range('試算番号4-2'!$G$27:$G$143,'試算番号4-2'!$N$27:$N$143,H45)</f>
        <v>4.2646874104263904E-2</v>
      </c>
      <c r="O45" s="2">
        <f>Interpolate_Range('試算番号4-2'!$G$10:$G$143,'試算番号4-2'!$I$10:$I$143,H45)</f>
        <v>0.87447043016937043</v>
      </c>
      <c r="P45" s="1">
        <f t="shared" si="16"/>
        <v>0.14768379164676898</v>
      </c>
      <c r="Q45" s="1">
        <f t="shared" si="11"/>
        <v>-2.555E-3</v>
      </c>
      <c r="R45" s="33">
        <f t="shared" si="14"/>
        <v>1.0248172042398878</v>
      </c>
      <c r="S45" s="2">
        <f t="shared" si="17"/>
        <v>6.8845327206329543</v>
      </c>
      <c r="T45" s="15">
        <f t="shared" si="13"/>
        <v>0.9411456481702134</v>
      </c>
      <c r="U45" s="10">
        <f t="shared" si="12"/>
        <v>8.665338738833914E-3</v>
      </c>
      <c r="V45" s="45"/>
      <c r="Z45">
        <v>8.75</v>
      </c>
      <c r="AA45" s="1">
        <f t="shared" si="7"/>
        <v>7.54848665436558E-3</v>
      </c>
      <c r="AB45" s="1">
        <f t="shared" si="5"/>
        <v>6.816855375073076E-3</v>
      </c>
      <c r="AC45" s="1">
        <f t="shared" si="8"/>
        <v>1.1340691742665126E-2</v>
      </c>
      <c r="AD45" s="1">
        <f t="shared" si="6"/>
        <v>9.2603993460478994E-3</v>
      </c>
      <c r="AE45" s="1"/>
      <c r="AF45" s="1"/>
      <c r="AG45" s="1"/>
    </row>
    <row r="46" spans="1:33">
      <c r="A46" s="13"/>
      <c r="B46" s="35"/>
      <c r="E46" s="2"/>
      <c r="G46" s="32"/>
      <c r="H46" s="13">
        <f t="shared" si="19"/>
        <v>7.25</v>
      </c>
      <c r="K46" s="1">
        <f>Interpolate_Range('試算番号4-3'!$G$27:$G$143,'試算番号4-3'!$O$27:$O$143,H46)</f>
        <v>2.7922832912577602E-2</v>
      </c>
      <c r="L46" s="2">
        <f>Interpolate_Range('試算番号4-3'!$G$10:$G$143,'試算番号4-3'!$I$10:$I$143,H46)</f>
        <v>0.91251357429091517</v>
      </c>
      <c r="M46" s="1">
        <f t="shared" si="15"/>
        <v>0.1051307683272763</v>
      </c>
      <c r="N46" s="14">
        <f>Interpolate_Range('試算番号4-2'!$G$27:$G$143,'試算番号4-2'!$N$27:$N$143,H46)</f>
        <v>4.1248420023965476E-2</v>
      </c>
      <c r="O46" s="2">
        <f>Interpolate_Range('試算番号4-2'!$G$10:$G$143,'試算番号4-2'!$I$10:$I$143,H46)</f>
        <v>0.86624778077282338</v>
      </c>
      <c r="P46" s="1">
        <f t="shared" si="16"/>
        <v>0.15661662972330531</v>
      </c>
      <c r="Q46" s="1">
        <f t="shared" si="11"/>
        <v>-2.5312500000000001E-3</v>
      </c>
      <c r="R46" s="33">
        <f t="shared" si="14"/>
        <v>1.0254666864318291</v>
      </c>
      <c r="S46" s="2">
        <f t="shared" si="17"/>
        <v>7.1184707884709963</v>
      </c>
      <c r="T46" s="15">
        <f t="shared" si="13"/>
        <v>0.93575227135216954</v>
      </c>
      <c r="U46" s="10">
        <f t="shared" si="12"/>
        <v>9.1592420543344481E-3</v>
      </c>
      <c r="V46" s="45"/>
      <c r="Z46">
        <v>9</v>
      </c>
      <c r="AA46" s="1">
        <f t="shared" si="7"/>
        <v>7.54848665436558E-3</v>
      </c>
      <c r="AB46" s="1">
        <f t="shared" si="5"/>
        <v>6.7748851922782823E-3</v>
      </c>
      <c r="AC46" s="1">
        <f t="shared" si="8"/>
        <v>1.1340691742665126E-2</v>
      </c>
      <c r="AD46" s="1">
        <f t="shared" si="6"/>
        <v>9.1658333086740013E-3</v>
      </c>
      <c r="AE46" s="1"/>
      <c r="AF46" s="1"/>
      <c r="AG46" s="1"/>
    </row>
    <row r="47" spans="1:33">
      <c r="A47" s="13"/>
      <c r="B47" s="35"/>
      <c r="D47" s="13"/>
      <c r="E47" s="15"/>
      <c r="F47" s="15"/>
      <c r="G47" s="32"/>
      <c r="H47" s="13">
        <f t="shared" si="19"/>
        <v>7.5</v>
      </c>
      <c r="K47" s="1">
        <f>Interpolate_Range('試算番号4-3'!$G$27:$G$143,'試算番号4-3'!$O$27:$O$143,H47)</f>
        <v>2.7922832912577602E-2</v>
      </c>
      <c r="L47" s="2">
        <f>Interpolate_Range('試算番号4-3'!$G$10:$G$143,'試算番号4-3'!$I$10:$I$143,H47)</f>
        <v>0.90667249540417805</v>
      </c>
      <c r="M47" s="1">
        <f t="shared" si="15"/>
        <v>0.11162490476926311</v>
      </c>
      <c r="N47" s="14">
        <f>Interpolate_Range('試算番号4-2'!$G$27:$G$143,'試算番号4-2'!$N$27:$N$143,H47)</f>
        <v>4.1248420023965476E-2</v>
      </c>
      <c r="O47" s="2">
        <f>Interpolate_Range('試算番号4-2'!$G$10:$G$143,'試算番号4-2'!$I$10:$I$143,H47)</f>
        <v>0.85802513137627645</v>
      </c>
      <c r="P47" s="1">
        <f t="shared" si="16"/>
        <v>0.165464674975837</v>
      </c>
      <c r="Q47" s="1">
        <f t="shared" si="11"/>
        <v>-2.5075000000000002E-3</v>
      </c>
      <c r="R47" s="33">
        <f t="shared" si="14"/>
        <v>1.026056985447606</v>
      </c>
      <c r="S47" s="2">
        <f t="shared" si="17"/>
        <v>7.3510452003266638</v>
      </c>
      <c r="T47" s="15">
        <f t="shared" si="13"/>
        <v>0.9302976474226694</v>
      </c>
      <c r="U47" s="10">
        <f t="shared" si="12"/>
        <v>9.6334257397481735E-3</v>
      </c>
      <c r="V47" s="45"/>
      <c r="Z47">
        <v>9.25</v>
      </c>
      <c r="AA47" s="1">
        <f t="shared" si="7"/>
        <v>7.9088850577068992E-3</v>
      </c>
      <c r="AB47" s="1">
        <f t="shared" si="5"/>
        <v>7.0503718119326025E-3</v>
      </c>
      <c r="AC47" s="1">
        <f t="shared" si="8"/>
        <v>1.1119985378513818E-2</v>
      </c>
      <c r="AD47" s="1">
        <f t="shared" si="6"/>
        <v>8.8948069649299154E-3</v>
      </c>
      <c r="AE47" s="1"/>
      <c r="AF47" s="1"/>
      <c r="AG47" s="1"/>
    </row>
    <row r="48" spans="1:33">
      <c r="A48" s="13"/>
      <c r="B48" s="35"/>
      <c r="D48" s="13"/>
      <c r="E48" s="15"/>
      <c r="F48" s="15"/>
      <c r="G48" s="32"/>
      <c r="H48" s="13">
        <f t="shared" si="19"/>
        <v>7.75</v>
      </c>
      <c r="K48" s="1">
        <f>Interpolate_Range('試算番号4-3'!$G$27:$G$143,'試算番号4-3'!$O$27:$O$143,H48)</f>
        <v>2.7983227599237423E-2</v>
      </c>
      <c r="L48" s="2">
        <f>Interpolate_Range('試算番号4-3'!$G$10:$G$143,'試算番号4-3'!$I$10:$I$143,H48)</f>
        <v>0.90083141651744081</v>
      </c>
      <c r="M48" s="1">
        <f t="shared" si="15"/>
        <v>0.11809838856631387</v>
      </c>
      <c r="N48" s="14">
        <f>Interpolate_Range('試算番号4-2'!$G$27:$G$143,'試算番号4-2'!$N$27:$N$143,H48)</f>
        <v>4.3945206185328003E-2</v>
      </c>
      <c r="O48" s="2">
        <f>Interpolate_Range('試算番号4-2'!$G$10:$G$143,'試算番号4-2'!$I$10:$I$143,H48)</f>
        <v>0.84980248197972941</v>
      </c>
      <c r="P48" s="1">
        <f t="shared" si="16"/>
        <v>0.17480086129768768</v>
      </c>
      <c r="Q48" s="1">
        <f t="shared" si="11"/>
        <v>-2.4837499999999998E-3</v>
      </c>
      <c r="R48" s="33">
        <f t="shared" si="14"/>
        <v>1.0272040618617184</v>
      </c>
      <c r="S48" s="2">
        <f t="shared" si="17"/>
        <v>7.5823796228515041</v>
      </c>
      <c r="T48" s="15">
        <f t="shared" si="13"/>
        <v>0.92533769009936073</v>
      </c>
      <c r="U48" s="10">
        <f t="shared" si="12"/>
        <v>1.0012456479225927E-2</v>
      </c>
      <c r="V48" s="45"/>
      <c r="Z48">
        <v>9.5</v>
      </c>
      <c r="AA48" s="1">
        <f t="shared" si="7"/>
        <v>7.9088850577068992E-3</v>
      </c>
      <c r="AB48" s="1">
        <f t="shared" si="5"/>
        <v>7.001972588032355E-3</v>
      </c>
      <c r="AC48" s="1">
        <f t="shared" si="8"/>
        <v>1.1119985378513818E-2</v>
      </c>
      <c r="AD48" s="1">
        <f t="shared" si="6"/>
        <v>8.8021610753836761E-3</v>
      </c>
      <c r="AE48" s="1"/>
      <c r="AF48" s="1"/>
      <c r="AG48" s="1"/>
    </row>
    <row r="49" spans="1:33">
      <c r="B49" s="10"/>
      <c r="H49" s="13">
        <f t="shared" si="19"/>
        <v>8</v>
      </c>
      <c r="K49" s="1">
        <f>Interpolate_Range('試算番号4-3'!$G$27:$G$143,'試算番号4-3'!$O$27:$O$143,H49)</f>
        <v>2.7983227599237423E-2</v>
      </c>
      <c r="L49" s="2">
        <f>Interpolate_Range('試算番号4-3'!$G$10:$G$143,'試算番号4-3'!$I$10:$I$143,H49)</f>
        <v>0.89499033763070368</v>
      </c>
      <c r="M49" s="1">
        <f t="shared" si="15"/>
        <v>0.12453668910788823</v>
      </c>
      <c r="N49" s="14">
        <f>Interpolate_Range('試算番号4-2'!$G$27:$G$143,'試算番号4-2'!$N$27:$N$143,H49)</f>
        <v>4.3945206185328003E-2</v>
      </c>
      <c r="O49" s="2">
        <f>Interpolate_Range('試算番号4-2'!$G$10:$G$143,'試算番号4-2'!$I$10:$I$143,H49)</f>
        <v>0.84157983258318236</v>
      </c>
      <c r="P49" s="1">
        <f t="shared" si="16"/>
        <v>0.18404671111375812</v>
      </c>
      <c r="Q49" s="1">
        <f t="shared" si="11"/>
        <v>-2.4599999999999999E-3</v>
      </c>
      <c r="R49" s="33">
        <f t="shared" si="14"/>
        <v>1.0282887529534377</v>
      </c>
      <c r="S49" s="2">
        <f t="shared" si="17"/>
        <v>7.812456747398417</v>
      </c>
      <c r="T49" s="15">
        <f t="shared" si="13"/>
        <v>0.92030849818765248</v>
      </c>
      <c r="U49" s="10">
        <f t="shared" si="12"/>
        <v>1.0380792628825523E-2</v>
      </c>
      <c r="V49" s="45"/>
      <c r="Z49">
        <v>9.75</v>
      </c>
      <c r="AA49" s="1">
        <f t="shared" si="7"/>
        <v>7.9236031405873122E-3</v>
      </c>
      <c r="AB49" s="1">
        <f t="shared" si="5"/>
        <v>6.9691323066174088E-3</v>
      </c>
      <c r="AC49" s="1">
        <f t="shared" si="8"/>
        <v>1.1629708920896377E-2</v>
      </c>
      <c r="AD49" s="1">
        <f t="shared" si="6"/>
        <v>9.1087463702181036E-3</v>
      </c>
      <c r="AE49" s="1"/>
      <c r="AF49" s="1"/>
      <c r="AG49" s="1"/>
    </row>
    <row r="50" spans="1:33">
      <c r="B50" s="10"/>
      <c r="H50" s="13">
        <f t="shared" si="19"/>
        <v>8.25</v>
      </c>
      <c r="K50" s="1">
        <f>Interpolate_Range('試算番号4-3'!$G$27:$G$143,'試算番号4-3'!$O$27:$O$143,H50)</f>
        <v>3.012674794218104E-2</v>
      </c>
      <c r="L50" s="2">
        <f>Interpolate_Range('試算番号4-3'!$G$10:$G$143,'試算番号4-3'!$I$10:$I$143,H50)</f>
        <v>0.888830086582868</v>
      </c>
      <c r="M50" s="1">
        <f t="shared" si="15"/>
        <v>0.13142418112431245</v>
      </c>
      <c r="N50" s="14">
        <f>Interpolate_Range('試算番号4-2'!$G$27:$G$143,'試算番号4-2'!$N$27:$N$143,H50)</f>
        <v>4.3035144847473644E-2</v>
      </c>
      <c r="O50" s="2">
        <f>Interpolate_Range('試算番号4-2'!$G$10:$G$143,'試算番号4-2'!$I$10:$I$143,H50)</f>
        <v>0.83324118450776308</v>
      </c>
      <c r="P50" s="1">
        <f t="shared" si="16"/>
        <v>0.19301137488080114</v>
      </c>
      <c r="Q50" s="1">
        <f t="shared" si="11"/>
        <v>-2.4424999999999998E-3</v>
      </c>
      <c r="R50" s="33">
        <f t="shared" si="14"/>
        <v>1.0288453497745746</v>
      </c>
      <c r="S50" s="2">
        <f t="shared" si="17"/>
        <v>8.0410739227285468</v>
      </c>
      <c r="T50" s="15">
        <f t="shared" si="13"/>
        <v>0.91446870132051628</v>
      </c>
      <c r="U50" s="10">
        <f t="shared" si="12"/>
        <v>1.0837822623772662E-2</v>
      </c>
      <c r="V50" s="45"/>
      <c r="Z50">
        <v>10</v>
      </c>
      <c r="AA50" s="33">
        <f>1+Interpolate_Range($H$19:$H$137,$K$19:$K$137,Z50)/4</f>
        <v>1.0079236031405874</v>
      </c>
      <c r="AB50" s="32">
        <f t="shared" si="5"/>
        <v>0.88061501503673101</v>
      </c>
      <c r="AC50" s="33">
        <f>1+Interpolate_Range($H$19:$H$137,$N$19:$N$137,Z50)/4</f>
        <v>1.0116297089208963</v>
      </c>
      <c r="AD50" s="32">
        <f t="shared" si="6"/>
        <v>0.78391119064416515</v>
      </c>
      <c r="AE50" s="1"/>
      <c r="AF50" s="1"/>
      <c r="AG50" s="1"/>
    </row>
    <row r="51" spans="1:33">
      <c r="H51" s="13">
        <f t="shared" si="19"/>
        <v>8.5</v>
      </c>
      <c r="K51" s="1">
        <f>Interpolate_Range('試算番号4-3'!$G$27:$G$143,'試算番号4-3'!$O$27:$O$143,H51)</f>
        <v>3.012674794218104E-2</v>
      </c>
      <c r="L51" s="2">
        <f>Interpolate_Range('試算番号4-3'!$G$10:$G$143,'試算番号4-3'!$I$10:$I$143,H51)</f>
        <v>0.8826698355350322</v>
      </c>
      <c r="M51" s="1">
        <f t="shared" si="15"/>
        <v>0.13826726122926611</v>
      </c>
      <c r="N51" s="14">
        <f>Interpolate_Range('試算番号4-2'!$G$27:$G$143,'試算番号4-2'!$N$27:$N$143,H51)</f>
        <v>4.3035144847473644E-2</v>
      </c>
      <c r="O51" s="2">
        <f>Interpolate_Range('試算番号4-2'!$G$10:$G$143,'試算番号4-2'!$I$10:$I$143,H51)</f>
        <v>0.82490253643234379</v>
      </c>
      <c r="P51" s="1">
        <f t="shared" si="16"/>
        <v>0.20188632491590472</v>
      </c>
      <c r="Q51" s="1">
        <f t="shared" ref="Q51:Q82" si="20">Interpolate_Range($A$17:$A$31,$B$17:$B$31,H51)</f>
        <v>-2.4250000000000001E-3</v>
      </c>
      <c r="R51" s="33">
        <f t="shared" si="14"/>
        <v>1.0293452767894049</v>
      </c>
      <c r="S51" s="2">
        <f t="shared" si="17"/>
        <v>8.268216929271663</v>
      </c>
      <c r="T51" s="15">
        <f t="shared" si="13"/>
        <v>0.90857202617246624</v>
      </c>
      <c r="U51" s="10">
        <f t="shared" ref="U51:U82" si="21">-LN(T51)/H51</f>
        <v>1.1280131054883258E-2</v>
      </c>
      <c r="V51" s="45"/>
      <c r="W51" s="1"/>
      <c r="X51" s="10"/>
    </row>
    <row r="52" spans="1:33">
      <c r="H52" s="13">
        <f t="shared" si="19"/>
        <v>8.75</v>
      </c>
      <c r="K52" s="1">
        <f>Interpolate_Range('試算番号4-3'!$G$27:$G$143,'試算番号4-3'!$O$27:$O$143,H52)</f>
        <v>3.019394661746232E-2</v>
      </c>
      <c r="L52" s="2">
        <f>Interpolate_Range('試算番号4-3'!$G$10:$G$143,'試算番号4-3'!$I$10:$I$143,H52)</f>
        <v>0.8765095844871964</v>
      </c>
      <c r="M52" s="1">
        <f t="shared" si="15"/>
        <v>0.14508411660433918</v>
      </c>
      <c r="N52" s="14">
        <f>Interpolate_Range('試算番号4-2'!$G$27:$G$143,'試算番号4-2'!$N$27:$N$143,H52)</f>
        <v>4.5362766970660502E-2</v>
      </c>
      <c r="O52" s="2">
        <f>Interpolate_Range('試算番号4-2'!$G$10:$G$143,'試算番号4-2'!$I$10:$I$143,H52)</f>
        <v>0.81656388835692439</v>
      </c>
      <c r="P52" s="1">
        <f t="shared" si="16"/>
        <v>0.21114672426195261</v>
      </c>
      <c r="Q52" s="1">
        <f t="shared" si="20"/>
        <v>-2.4074999999999999E-3</v>
      </c>
      <c r="R52" s="33">
        <f t="shared" si="14"/>
        <v>1.030309061055354</v>
      </c>
      <c r="S52" s="2">
        <f t="shared" si="17"/>
        <v>8.4939858710214189</v>
      </c>
      <c r="T52" s="15">
        <f t="shared" ref="T52:T83" si="22">L52*R52</f>
        <v>0.90307576699902181</v>
      </c>
      <c r="U52" s="10">
        <f t="shared" si="21"/>
        <v>1.1651294081921245E-2</v>
      </c>
      <c r="V52" s="45"/>
      <c r="W52" s="1"/>
      <c r="X52" s="10"/>
      <c r="Y52" s="8"/>
    </row>
    <row r="53" spans="1:33">
      <c r="B53" s="1"/>
      <c r="H53" s="13">
        <f t="shared" si="19"/>
        <v>9</v>
      </c>
      <c r="K53" s="1">
        <f>Interpolate_Range('試算番号4-3'!$G$27:$G$143,'試算番号4-3'!$O$27:$O$143,H53)</f>
        <v>3.019394661746232E-2</v>
      </c>
      <c r="L53" s="2">
        <f>Interpolate_Range('試算番号4-3'!$G$10:$G$143,'試算番号4-3'!$I$10:$I$143,H53)</f>
        <v>0.87034933343936072</v>
      </c>
      <c r="M53" s="1">
        <f t="shared" si="15"/>
        <v>0.15185900179661746</v>
      </c>
      <c r="N53" s="14">
        <f>Interpolate_Range('試算番号4-2'!$G$27:$G$143,'試算番号4-2'!$N$27:$N$143,H53)</f>
        <v>4.5362766970660502E-2</v>
      </c>
      <c r="O53" s="2">
        <f>Interpolate_Range('試算番号4-2'!$G$10:$G$143,'試算番号4-2'!$I$10:$I$143,H53)</f>
        <v>0.80822524028150511</v>
      </c>
      <c r="P53" s="1">
        <f t="shared" si="16"/>
        <v>0.22031255757062662</v>
      </c>
      <c r="Q53" s="1">
        <f t="shared" si="20"/>
        <v>-2.3899999999999998E-3</v>
      </c>
      <c r="R53" s="33">
        <f t="shared" ref="R53:R81" si="23">(P53+O53-M52-Q53*S52)/(L53+0.25*L53*(K53+Q53))</f>
        <v>1.0312131616899942</v>
      </c>
      <c r="S53" s="2">
        <f t="shared" si="17"/>
        <v>8.7183647929991146</v>
      </c>
      <c r="T53" s="15">
        <f t="shared" si="22"/>
        <v>0.89751568791078218</v>
      </c>
      <c r="U53" s="10">
        <f t="shared" si="21"/>
        <v>1.2013853245126426E-2</v>
      </c>
      <c r="V53" s="45"/>
      <c r="W53" s="1"/>
      <c r="X53" s="10"/>
      <c r="Y53" s="8"/>
    </row>
    <row r="54" spans="1:33">
      <c r="B54" s="1"/>
      <c r="H54" s="13">
        <f t="shared" si="19"/>
        <v>9.25</v>
      </c>
      <c r="K54" s="1">
        <f>Interpolate_Range('試算番号4-3'!$G$27:$G$143,'試算番号4-3'!$O$27:$O$143,H54)</f>
        <v>3.1635540230827597E-2</v>
      </c>
      <c r="L54" s="2">
        <f>Interpolate_Range('試算番号4-3'!$G$10:$G$143,'試算番号4-3'!$I$10:$I$143,H54)</f>
        <v>0.86392464505576794</v>
      </c>
      <c r="M54" s="1">
        <f t="shared" si="15"/>
        <v>0.15890937360855006</v>
      </c>
      <c r="N54" s="14">
        <f>Interpolate_Range('試算番号4-2'!$G$27:$G$143,'試算番号4-2'!$N$27:$N$143,H54)</f>
        <v>4.4479941514055273E-2</v>
      </c>
      <c r="O54" s="2">
        <f>Interpolate_Range('試算番号4-2'!$G$10:$G$143,'試算番号4-2'!$I$10:$I$143,H54)</f>
        <v>0.79989376443934701</v>
      </c>
      <c r="P54" s="1">
        <f t="shared" si="16"/>
        <v>0.22920736453555654</v>
      </c>
      <c r="Q54" s="1">
        <f t="shared" si="20"/>
        <v>-2.3774999999999998E-3</v>
      </c>
      <c r="R54" s="33">
        <f t="shared" si="23"/>
        <v>1.0318602763258138</v>
      </c>
      <c r="S54" s="2">
        <f t="shared" si="17"/>
        <v>8.9412271737420959</v>
      </c>
      <c r="T54" s="15">
        <f t="shared" si="22"/>
        <v>0.89144952297192526</v>
      </c>
      <c r="U54" s="10">
        <f t="shared" si="21"/>
        <v>1.2422320390949787E-2</v>
      </c>
      <c r="V54" s="45"/>
      <c r="W54" s="1"/>
      <c r="X54" s="10"/>
      <c r="Y54" s="8"/>
    </row>
    <row r="55" spans="1:33">
      <c r="H55" s="13">
        <f t="shared" si="19"/>
        <v>9.5</v>
      </c>
      <c r="K55" s="1">
        <f>Interpolate_Range('試算番号4-3'!$G$27:$G$143,'試算番号4-3'!$O$27:$O$143,H55)</f>
        <v>3.1635540230827597E-2</v>
      </c>
      <c r="L55" s="2">
        <f>Interpolate_Range('試算番号4-3'!$G$10:$G$143,'試算番号4-3'!$I$10:$I$143,H55)</f>
        <v>0.85749995667217516</v>
      </c>
      <c r="M55" s="1">
        <f t="shared" si="15"/>
        <v>0.16591134619658243</v>
      </c>
      <c r="N55" s="14">
        <f>Interpolate_Range('試算番号4-2'!$G$27:$G$143,'試算番号4-2'!$N$27:$N$143,H55)</f>
        <v>4.4479941514055273E-2</v>
      </c>
      <c r="O55" s="2">
        <f>Interpolate_Range('試算番号4-2'!$G$10:$G$143,'試算番号4-2'!$I$10:$I$143,H55)</f>
        <v>0.79156228859718891</v>
      </c>
      <c r="P55" s="1">
        <f t="shared" si="16"/>
        <v>0.23800952561094021</v>
      </c>
      <c r="Q55" s="1">
        <f t="shared" si="20"/>
        <v>-2.3649999999999999E-3</v>
      </c>
      <c r="R55" s="33">
        <f t="shared" si="23"/>
        <v>1.0324547712275316</v>
      </c>
      <c r="S55" s="2">
        <f t="shared" si="17"/>
        <v>9.1625596541404928</v>
      </c>
      <c r="T55" s="15">
        <f t="shared" si="22"/>
        <v>0.88532992159358881</v>
      </c>
      <c r="U55" s="10">
        <f t="shared" si="21"/>
        <v>1.2820516914004935E-2</v>
      </c>
      <c r="V55" s="45"/>
      <c r="W55" s="1"/>
      <c r="X55" s="10"/>
    </row>
    <row r="56" spans="1:33">
      <c r="A56" s="13"/>
      <c r="B56" s="35"/>
      <c r="H56" s="13">
        <f t="shared" si="19"/>
        <v>9.75</v>
      </c>
      <c r="K56" s="1">
        <f>Interpolate_Range('試算番号4-3'!$G$27:$G$143,'試算番号4-3'!$O$27:$O$143,H56)</f>
        <v>3.1694412562349249E-2</v>
      </c>
      <c r="L56" s="2">
        <f>Interpolate_Range('試算番号4-3'!$G$10:$G$143,'試算番号4-3'!$I$10:$I$143,H56)</f>
        <v>0.85107526828858238</v>
      </c>
      <c r="M56" s="1">
        <f t="shared" si="15"/>
        <v>0.17288047850319985</v>
      </c>
      <c r="N56" s="14">
        <f>Interpolate_Range('試算番号4-2'!$G$27:$G$143,'試算番号4-2'!$N$27:$N$143,H56)</f>
        <v>4.6518835683585509E-2</v>
      </c>
      <c r="O56" s="2">
        <f>Interpolate_Range('試算番号4-2'!$G$10:$G$143,'試算番号4-2'!$I$10:$I$143,H56)</f>
        <v>0.78323081275503093</v>
      </c>
      <c r="P56" s="1">
        <f t="shared" si="16"/>
        <v>0.24711827198115832</v>
      </c>
      <c r="Q56" s="1">
        <f t="shared" si="20"/>
        <v>-2.3525E-3</v>
      </c>
      <c r="R56" s="33">
        <f t="shared" si="23"/>
        <v>1.0334465593455391</v>
      </c>
      <c r="S56" s="2">
        <f t="shared" si="17"/>
        <v>9.3824448560797222</v>
      </c>
      <c r="T56" s="15">
        <f t="shared" si="22"/>
        <v>0.87954080775691701</v>
      </c>
      <c r="U56" s="10">
        <f t="shared" si="21"/>
        <v>1.3164647904298596E-2</v>
      </c>
      <c r="V56" s="45"/>
      <c r="W56" s="1"/>
      <c r="X56" s="10"/>
    </row>
    <row r="57" spans="1:33">
      <c r="A57" s="13"/>
      <c r="B57" s="35"/>
      <c r="H57" s="13">
        <f t="shared" si="19"/>
        <v>10</v>
      </c>
      <c r="K57" s="1">
        <f>Interpolate_Range('試算番号4-3'!$G$27:$G$143,'試算番号4-3'!$O$27:$O$143,H57)</f>
        <v>3.1694412562349249E-2</v>
      </c>
      <c r="L57" s="2">
        <f>Interpolate_Range('試算番号4-3'!$G$10:$G$143,'試算番号4-3'!$I$10:$I$143,H57)</f>
        <v>0.8446505799049896</v>
      </c>
      <c r="M57" s="1">
        <f t="shared" si="15"/>
        <v>0.17980326895780549</v>
      </c>
      <c r="N57" s="14">
        <f>Interpolate_Range('試算番号4-2'!$G$27:$G$143,'試算番号4-2'!$N$27:$N$143,H57)</f>
        <v>4.6518835683585509E-2</v>
      </c>
      <c r="O57" s="2">
        <f>Interpolate_Range('試算番号4-2'!$G$10:$G$143,'試算番号4-2'!$I$10:$I$143,H57)</f>
        <v>0.77489933691287283</v>
      </c>
      <c r="P57" s="1">
        <f t="shared" si="16"/>
        <v>0.25613012571245064</v>
      </c>
      <c r="Q57" s="1">
        <f t="shared" si="20"/>
        <v>-2.3400000000000001E-3</v>
      </c>
      <c r="R57" s="33">
        <f t="shared" si="23"/>
        <v>1.0343830281634359</v>
      </c>
      <c r="S57" s="2">
        <f t="shared" si="17"/>
        <v>9.6008679122252527</v>
      </c>
      <c r="T57" s="15">
        <f t="shared" si="22"/>
        <v>0.87369222458212525</v>
      </c>
      <c r="U57" s="10">
        <f t="shared" si="21"/>
        <v>1.350271111315313E-2</v>
      </c>
      <c r="V57" s="45"/>
      <c r="W57" s="1"/>
      <c r="X57" s="10"/>
    </row>
    <row r="58" spans="1:33">
      <c r="A58" s="13"/>
      <c r="B58" s="35"/>
      <c r="H58" s="13">
        <f t="shared" si="19"/>
        <v>10.25</v>
      </c>
      <c r="K58" s="1">
        <f>Interpolate_Range('試算番号4-3'!$G$27:$G$143,'試算番号4-3'!$O$27:$O$143,H58)</f>
        <v>3.1824555968637543E-2</v>
      </c>
      <c r="L58" s="2">
        <f>Interpolate_Range('試算番号4-3'!$G$10:$G$143,'試算番号4-3'!$I$10:$I$143,H58)</f>
        <v>0.83846658213405656</v>
      </c>
      <c r="M58" s="1">
        <f t="shared" si="15"/>
        <v>0.18670686169026063</v>
      </c>
      <c r="N58" s="14">
        <f>Interpolate_Range('試算番号4-2'!$G$27:$G$143,'試算番号4-2'!$N$27:$N$143,H58)</f>
        <v>4.4434584519111225E-2</v>
      </c>
      <c r="O58" s="2">
        <f>Interpolate_Range('試算番号4-2'!$G$10:$G$143,'試算番号4-2'!$I$10:$I$143,H58)</f>
        <v>0.76693713175104328</v>
      </c>
      <c r="P58" s="1">
        <f t="shared" si="16"/>
        <v>0.26464975891285974</v>
      </c>
      <c r="Q58" s="1">
        <f t="shared" si="20"/>
        <v>-2.3249999999999998E-3</v>
      </c>
      <c r="R58" s="33">
        <f t="shared" si="23"/>
        <v>1.0348729689462339</v>
      </c>
      <c r="S58" s="2">
        <f t="shared" si="17"/>
        <v>9.8177945125290709</v>
      </c>
      <c r="T58" s="15">
        <f t="shared" si="22"/>
        <v>0.86770640121527243</v>
      </c>
      <c r="U58" s="10">
        <f t="shared" si="21"/>
        <v>1.3844084779336659E-2</v>
      </c>
      <c r="V58" s="45"/>
      <c r="W58" s="1"/>
      <c r="X58" s="10"/>
    </row>
    <row r="59" spans="1:33">
      <c r="A59" s="13"/>
      <c r="B59" s="35"/>
      <c r="H59" s="13">
        <f t="shared" si="19"/>
        <v>10.5</v>
      </c>
      <c r="K59" s="1">
        <f>Interpolate_Range('試算番号4-3'!$G$27:$G$143,'試算番号4-3'!$O$27:$O$143,H59)</f>
        <v>3.1824555968637543E-2</v>
      </c>
      <c r="L59" s="2">
        <f>Interpolate_Range('試算番号4-3'!$G$10:$G$143,'試算番号4-3'!$I$10:$I$143,H59)</f>
        <v>0.83228258436312341</v>
      </c>
      <c r="M59" s="1">
        <f t="shared" si="15"/>
        <v>0.19356242924842454</v>
      </c>
      <c r="N59" s="14">
        <f>Interpolate_Range('試算番号4-2'!$G$27:$G$143,'試算番号4-2'!$N$27:$N$143,H59)</f>
        <v>4.4434584519111225E-2</v>
      </c>
      <c r="O59" s="2">
        <f>Interpolate_Range('試算番号4-2'!$G$10:$G$143,'試算番号4-2'!$I$10:$I$143,H59)</f>
        <v>0.75897492658921373</v>
      </c>
      <c r="P59" s="1">
        <f t="shared" si="16"/>
        <v>0.27308094279371342</v>
      </c>
      <c r="Q59" s="1">
        <f t="shared" si="20"/>
        <v>-2.31E-3</v>
      </c>
      <c r="R59" s="33">
        <f t="shared" si="23"/>
        <v>1.0353096125821197</v>
      </c>
      <c r="S59" s="2">
        <f t="shared" si="17"/>
        <v>10.033212052523028</v>
      </c>
      <c r="T59" s="15">
        <f t="shared" si="22"/>
        <v>0.86167015997583063</v>
      </c>
      <c r="U59" s="10">
        <f t="shared" si="21"/>
        <v>1.4179307293845467E-2</v>
      </c>
      <c r="V59" s="45"/>
      <c r="W59" s="1"/>
      <c r="X59" s="10"/>
    </row>
    <row r="60" spans="1:33">
      <c r="A60" s="13"/>
      <c r="B60" s="35"/>
      <c r="H60" s="13">
        <f t="shared" si="19"/>
        <v>10.75</v>
      </c>
      <c r="K60" s="1">
        <f>Interpolate_Range('試算番号4-3'!$G$27:$G$143,'試算番号4-3'!$O$27:$O$143,H60)</f>
        <v>3.1862580847862337E-2</v>
      </c>
      <c r="L60" s="2">
        <f>Interpolate_Range('試算番号4-3'!$G$10:$G$143,'試算番号4-3'!$I$10:$I$143,H60)</f>
        <v>0.82609858659219038</v>
      </c>
      <c r="M60" s="1">
        <f t="shared" si="15"/>
        <v>0.20038012312945769</v>
      </c>
      <c r="N60" s="14">
        <f>Interpolate_Range('試算番号4-2'!$G$27:$G$143,'試算番号4-2'!$N$27:$N$143,H60)</f>
        <v>4.6105131457335302E-2</v>
      </c>
      <c r="O60" s="2">
        <f>Interpolate_Range('試算番号4-2'!$G$10:$G$143,'試算番号4-2'!$I$10:$I$143,H60)</f>
        <v>0.75101272142738407</v>
      </c>
      <c r="P60" s="1">
        <f t="shared" si="16"/>
        <v>0.28173732785559857</v>
      </c>
      <c r="Q60" s="1">
        <f t="shared" si="20"/>
        <v>-2.2950000000000002E-3</v>
      </c>
      <c r="R60" s="33">
        <f t="shared" si="23"/>
        <v>1.036059408639441</v>
      </c>
      <c r="S60" s="2">
        <f t="shared" si="17"/>
        <v>10.247183855798674</v>
      </c>
      <c r="T60" s="15">
        <f t="shared" si="22"/>
        <v>0.85588721310258287</v>
      </c>
      <c r="U60" s="10">
        <f t="shared" si="21"/>
        <v>1.4475969480533687E-2</v>
      </c>
      <c r="V60" s="45"/>
      <c r="W60" s="1"/>
      <c r="X60" s="10"/>
    </row>
    <row r="61" spans="1:33">
      <c r="A61" s="13"/>
      <c r="B61" s="35"/>
      <c r="H61" s="13">
        <f t="shared" si="19"/>
        <v>11</v>
      </c>
      <c r="K61" s="1">
        <f>Interpolate_Range('試算番号4-3'!$G$27:$G$143,'試算番号4-3'!$O$27:$O$143,H61)</f>
        <v>3.1862580847862337E-2</v>
      </c>
      <c r="L61" s="2">
        <f>Interpolate_Range('試算番号4-3'!$G$10:$G$143,'試算番号4-3'!$I$10:$I$143,H61)</f>
        <v>0.81991458882125723</v>
      </c>
      <c r="M61" s="1">
        <f t="shared" si="15"/>
        <v>0.20715131385144689</v>
      </c>
      <c r="N61" s="14">
        <f>Interpolate_Range('試算番号4-2'!$G$27:$G$143,'試算番号4-2'!$N$27:$N$143,H61)</f>
        <v>4.6105131457335302E-2</v>
      </c>
      <c r="O61" s="2">
        <f>Interpolate_Range('試算番号4-2'!$G$10:$G$143,'試算番号4-2'!$I$10:$I$143,H61)</f>
        <v>0.74305051626555452</v>
      </c>
      <c r="P61" s="1">
        <f t="shared" si="16"/>
        <v>0.29030193828856465</v>
      </c>
      <c r="Q61" s="1">
        <f t="shared" si="20"/>
        <v>-2.2799999999999999E-3</v>
      </c>
      <c r="R61" s="33">
        <f t="shared" si="23"/>
        <v>1.0367534125564211</v>
      </c>
      <c r="S61" s="2">
        <f t="shared" si="17"/>
        <v>10.459696167789982</v>
      </c>
      <c r="T61" s="15">
        <f t="shared" si="22"/>
        <v>0.85004924796523329</v>
      </c>
      <c r="U61" s="10">
        <f t="shared" si="21"/>
        <v>1.4769181126684905E-2</v>
      </c>
      <c r="V61" s="45"/>
      <c r="W61" s="1"/>
      <c r="X61" s="10"/>
    </row>
    <row r="62" spans="1:33">
      <c r="A62" s="13"/>
      <c r="B62" s="35"/>
      <c r="H62" s="13">
        <f t="shared" si="19"/>
        <v>11.25</v>
      </c>
      <c r="K62" s="1">
        <f>Interpolate_Range('試算番号4-3'!$G$27:$G$143,'試算番号4-3'!$O$27:$O$143,H62)</f>
        <v>3.436020831581145E-2</v>
      </c>
      <c r="L62" s="2">
        <f>Interpolate_Range('試算番号4-3'!$G$10:$G$143,'試算番号4-3'!$I$10:$I$143,H62)</f>
        <v>0.813404104251084</v>
      </c>
      <c r="M62" s="1">
        <f t="shared" si="15"/>
        <v>0.21439841566732482</v>
      </c>
      <c r="N62" s="14">
        <f>Interpolate_Range('試算番号4-2'!$G$27:$G$143,'試算番号4-2'!$N$27:$N$143,H62)</f>
        <v>4.780958625937206E-2</v>
      </c>
      <c r="O62" s="2">
        <f>Interpolate_Range('試算番号4-2'!$G$10:$G$143,'試算番号4-2'!$I$10:$I$143,H62)</f>
        <v>0.7348069885432309</v>
      </c>
      <c r="P62" s="1">
        <f t="shared" si="16"/>
        <v>0.2990846428142514</v>
      </c>
      <c r="Q62" s="1">
        <f t="shared" si="20"/>
        <v>-2.2649999999999997E-3</v>
      </c>
      <c r="R62" s="33">
        <f t="shared" si="23"/>
        <v>1.0371992799078582</v>
      </c>
      <c r="S62" s="2">
        <f t="shared" si="17"/>
        <v>10.670611705590812</v>
      </c>
      <c r="T62" s="15">
        <f t="shared" si="22"/>
        <v>0.84366215120332078</v>
      </c>
      <c r="U62" s="10">
        <f t="shared" si="21"/>
        <v>1.5111391938517222E-2</v>
      </c>
      <c r="V62" s="45"/>
      <c r="W62" s="1"/>
      <c r="X62" s="10"/>
    </row>
    <row r="63" spans="1:33">
      <c r="A63" s="13"/>
      <c r="B63" s="35"/>
      <c r="H63" s="13">
        <f t="shared" si="19"/>
        <v>11.5</v>
      </c>
      <c r="K63" s="1">
        <f>Interpolate_Range('試算番号4-3'!$G$27:$G$143,'試算番号4-3'!$O$27:$O$143,H63)</f>
        <v>3.436020831581145E-2</v>
      </c>
      <c r="L63" s="2">
        <f>Interpolate_Range('試算番号4-3'!$G$10:$G$143,'試算番号4-3'!$I$10:$I$143,H63)</f>
        <v>0.80689361968091089</v>
      </c>
      <c r="M63" s="1">
        <f t="shared" si="15"/>
        <v>0.22159019536026486</v>
      </c>
      <c r="N63" s="14">
        <f>Interpolate_Range('試算番号4-2'!$G$27:$G$143,'試算番号4-2'!$N$27:$N$143,H63)</f>
        <v>4.780958625937206E-2</v>
      </c>
      <c r="O63" s="2">
        <f>Interpolate_Range('試算番号4-2'!$G$10:$G$143,'試算番号4-2'!$I$10:$I$143,H63)</f>
        <v>0.72656346082090717</v>
      </c>
      <c r="P63" s="1">
        <f t="shared" si="16"/>
        <v>0.30776881742750767</v>
      </c>
      <c r="Q63" s="1">
        <f t="shared" si="20"/>
        <v>-2.2499999999999998E-3</v>
      </c>
      <c r="R63" s="33">
        <f t="shared" si="23"/>
        <v>1.0375864626041</v>
      </c>
      <c r="S63" s="2">
        <f t="shared" si="17"/>
        <v>10.879917179726446</v>
      </c>
      <c r="T63" s="15">
        <f t="shared" si="22"/>
        <v>0.83722189654253432</v>
      </c>
      <c r="U63" s="10">
        <f t="shared" si="21"/>
        <v>1.5449229065924091E-2</v>
      </c>
      <c r="V63" s="45"/>
      <c r="W63" s="1"/>
      <c r="X63" s="10"/>
    </row>
    <row r="64" spans="1:33">
      <c r="A64" s="13"/>
      <c r="B64" s="35"/>
      <c r="H64" s="13">
        <f t="shared" si="19"/>
        <v>11.75</v>
      </c>
      <c r="K64" s="1">
        <f>Interpolate_Range('試算番号4-3'!$G$27:$G$143,'試算番号4-3'!$O$27:$O$143,H64)</f>
        <v>3.4418962322203712E-2</v>
      </c>
      <c r="L64" s="2">
        <f>Interpolate_Range('試算番号4-3'!$G$10:$G$143,'試算番号4-3'!$I$10:$I$143,H64)</f>
        <v>0.80038313511073766</v>
      </c>
      <c r="M64" s="1">
        <f t="shared" si="15"/>
        <v>0.22874097541588412</v>
      </c>
      <c r="N64" s="14">
        <f>Interpolate_Range('試算番号4-2'!$G$27:$G$143,'試算番号4-2'!$N$27:$N$143,H64)</f>
        <v>4.9555847720396777E-2</v>
      </c>
      <c r="O64" s="2">
        <f>Interpolate_Range('試算番号4-2'!$G$10:$G$143,'試算番号4-2'!$I$10:$I$143,H64)</f>
        <v>0.71831993309858344</v>
      </c>
      <c r="P64" s="1">
        <f t="shared" si="16"/>
        <v>0.31666805573229739</v>
      </c>
      <c r="Q64" s="1">
        <f t="shared" si="20"/>
        <v>-2.235E-3</v>
      </c>
      <c r="R64" s="33">
        <f t="shared" si="23"/>
        <v>1.0382877008924685</v>
      </c>
      <c r="S64" s="2">
        <f t="shared" si="17"/>
        <v>11.087674171023254</v>
      </c>
      <c r="T64" s="15">
        <f t="shared" si="22"/>
        <v>0.83102796518723376</v>
      </c>
      <c r="U64" s="10">
        <f t="shared" si="21"/>
        <v>1.575249636096809E-2</v>
      </c>
      <c r="V64" s="45"/>
      <c r="W64" s="1"/>
      <c r="X64" s="10"/>
    </row>
    <row r="65" spans="1:24">
      <c r="A65" s="13"/>
      <c r="B65" s="35"/>
      <c r="H65" s="13">
        <f t="shared" si="19"/>
        <v>12</v>
      </c>
      <c r="K65" s="1">
        <f>Interpolate_Range('試算番号4-3'!$G$27:$G$143,'試算番号4-3'!$O$27:$O$143,H65)</f>
        <v>3.4418962322203712E-2</v>
      </c>
      <c r="L65" s="2">
        <f>Interpolate_Range('試算番号4-3'!$G$10:$G$143,'試算番号4-3'!$I$10:$I$143,H65)</f>
        <v>0.79387265054056444</v>
      </c>
      <c r="M65" s="1">
        <f t="shared" si="15"/>
        <v>0.23583795892500112</v>
      </c>
      <c r="N65" s="14">
        <f>Interpolate_Range('試算番号4-2'!$G$27:$G$143,'試算番号4-2'!$N$27:$N$143,H65)</f>
        <v>4.9555847720396777E-2</v>
      </c>
      <c r="O65" s="2">
        <f>Interpolate_Range('試算番号4-2'!$G$10:$G$143,'試算番号4-2'!$I$10:$I$143,H65)</f>
        <v>0.71007640537625982</v>
      </c>
      <c r="P65" s="1">
        <f t="shared" si="16"/>
        <v>0.32546516528596559</v>
      </c>
      <c r="Q65" s="1">
        <f t="shared" si="20"/>
        <v>-2.2199999999999998E-3</v>
      </c>
      <c r="R65" s="33">
        <f t="shared" si="23"/>
        <v>1.0389273374196428</v>
      </c>
      <c r="S65" s="2">
        <f t="shared" si="17"/>
        <v>11.293868170792351</v>
      </c>
      <c r="T65" s="15">
        <f t="shared" si="22"/>
        <v>0.82477599907638321</v>
      </c>
      <c r="U65" s="10">
        <f t="shared" si="21"/>
        <v>1.605362048214358E-2</v>
      </c>
      <c r="V65" s="45"/>
      <c r="W65" s="1"/>
      <c r="X65" s="10"/>
    </row>
    <row r="66" spans="1:24">
      <c r="A66" s="13"/>
      <c r="B66" s="35"/>
      <c r="H66" s="13">
        <f t="shared" si="19"/>
        <v>12.25</v>
      </c>
      <c r="K66" s="1">
        <f>Interpolate_Range('試算番号4-3'!$G$27:$G$143,'試算番号4-3'!$O$27:$O$143,H66)</f>
        <v>3.1184982011093213E-2</v>
      </c>
      <c r="L66" s="2">
        <f>Interpolate_Range('試算番号4-3'!$G$10:$G$143,'試算番号4-3'!$I$10:$I$143,H66)</f>
        <v>0.7880747503746085</v>
      </c>
      <c r="M66" s="1">
        <f t="shared" si="15"/>
        <v>0.24222521300175145</v>
      </c>
      <c r="N66" s="14">
        <f>Interpolate_Range('試算番号4-2'!$G$27:$G$143,'試算番号4-2'!$N$27:$N$143,H66)</f>
        <v>4.3444118251352741E-2</v>
      </c>
      <c r="O66" s="2">
        <f>Interpolate_Range('試算番号4-2'!$G$10:$G$143,'試算番号4-2'!$I$10:$I$143,H66)</f>
        <v>0.70297166275567158</v>
      </c>
      <c r="P66" s="1">
        <f t="shared" si="16"/>
        <v>0.33310016129699244</v>
      </c>
      <c r="Q66" s="1">
        <f t="shared" si="20"/>
        <v>-2.2112499999999997E-3</v>
      </c>
      <c r="R66" s="33">
        <f t="shared" si="23"/>
        <v>1.0395880353411582</v>
      </c>
      <c r="S66" s="2">
        <f t="shared" si="17"/>
        <v>11.498686441153328</v>
      </c>
      <c r="T66" s="15">
        <f t="shared" si="22"/>
        <v>0.81927308144391287</v>
      </c>
      <c r="U66" s="10">
        <f t="shared" si="21"/>
        <v>1.6272474932977291E-2</v>
      </c>
      <c r="V66" s="45"/>
      <c r="W66" s="1"/>
      <c r="X66" s="10"/>
    </row>
    <row r="67" spans="1:24">
      <c r="B67" s="1"/>
      <c r="H67" s="13">
        <f t="shared" si="19"/>
        <v>12.5</v>
      </c>
      <c r="K67" s="1">
        <f>Interpolate_Range('試算番号4-3'!$G$27:$G$143,'試算番号4-3'!$O$27:$O$143,H67)</f>
        <v>3.1184982011093213E-2</v>
      </c>
      <c r="L67" s="2">
        <f>Interpolate_Range('試算番号4-3'!$G$10:$G$143,'試算番号4-3'!$I$10:$I$143,H67)</f>
        <v>0.78227685020865256</v>
      </c>
      <c r="M67" s="1">
        <f t="shared" si="15"/>
        <v>0.24856924858633578</v>
      </c>
      <c r="N67" s="14">
        <f>Interpolate_Range('試算番号4-2'!$G$27:$G$143,'試算番号4-2'!$N$27:$N$143,H67)</f>
        <v>4.3444118251352741E-2</v>
      </c>
      <c r="O67" s="2">
        <f>Interpolate_Range('試算番号4-2'!$G$10:$G$143,'試算番号4-2'!$I$10:$I$143,H67)</f>
        <v>0.69586692013508322</v>
      </c>
      <c r="P67" s="1">
        <f t="shared" si="16"/>
        <v>0.34065799248838075</v>
      </c>
      <c r="Q67" s="1">
        <f t="shared" si="20"/>
        <v>-2.2024999999999996E-3</v>
      </c>
      <c r="R67" s="33">
        <f t="shared" si="23"/>
        <v>1.0402066487805952</v>
      </c>
      <c r="S67" s="2">
        <f t="shared" si="17"/>
        <v>11.702118836346873</v>
      </c>
      <c r="T67" s="15">
        <f t="shared" si="22"/>
        <v>0.81372958077418212</v>
      </c>
      <c r="U67" s="10">
        <f t="shared" si="21"/>
        <v>1.6490174281984595E-2</v>
      </c>
      <c r="V67" s="45"/>
      <c r="W67" s="1"/>
      <c r="X67" s="10"/>
    </row>
    <row r="68" spans="1:24">
      <c r="B68" s="1"/>
      <c r="H68" s="13">
        <f t="shared" si="19"/>
        <v>12.75</v>
      </c>
      <c r="K68" s="1">
        <f>Interpolate_Range('試算番号4-3'!$G$27:$G$143,'試算番号4-3'!$O$27:$O$143,H68)</f>
        <v>3.1205473830224262E-2</v>
      </c>
      <c r="L68" s="2">
        <f>Interpolate_Range('試算番号4-3'!$G$10:$G$143,'試算番号4-3'!$I$10:$I$143,H68)</f>
        <v>0.77647895004269651</v>
      </c>
      <c r="M68" s="1">
        <f t="shared" si="15"/>
        <v>0.25487530829387334</v>
      </c>
      <c r="N68" s="14">
        <f>Interpolate_Range('試算番号4-2'!$G$27:$G$143,'試算番号4-2'!$N$27:$N$143,H68)</f>
        <v>4.4530178737326842E-2</v>
      </c>
      <c r="O68" s="2">
        <f>Interpolate_Range('試算番号4-2'!$G$10:$G$143,'試算番号4-2'!$I$10:$I$143,H68)</f>
        <v>0.68876217751449476</v>
      </c>
      <c r="P68" s="1">
        <f t="shared" si="16"/>
        <v>0.34832566820643845</v>
      </c>
      <c r="Q68" s="1">
        <f t="shared" si="20"/>
        <v>-2.1937499999999995E-3</v>
      </c>
      <c r="R68" s="33">
        <f t="shared" si="23"/>
        <v>1.0410164726629605</v>
      </c>
      <c r="S68" s="2">
        <f t="shared" si="17"/>
        <v>11.904200680764495</v>
      </c>
      <c r="T68" s="15">
        <f t="shared" si="22"/>
        <v>0.80832737767048701</v>
      </c>
      <c r="U68" s="10">
        <f t="shared" si="21"/>
        <v>1.6689265265578911E-2</v>
      </c>
      <c r="V68" s="45"/>
      <c r="W68" s="1"/>
      <c r="X68" s="10"/>
    </row>
    <row r="69" spans="1:24">
      <c r="B69" s="1"/>
      <c r="H69" s="13">
        <f t="shared" si="19"/>
        <v>13</v>
      </c>
      <c r="K69" s="1">
        <f>Interpolate_Range('試算番号4-3'!$G$27:$G$143,'試算番号4-3'!$O$27:$O$143,H69)</f>
        <v>3.1205473830224262E-2</v>
      </c>
      <c r="L69" s="2">
        <f>Interpolate_Range('試算番号4-3'!$G$10:$G$143,'試算番号4-3'!$I$10:$I$143,H69)</f>
        <v>0.77068104987674058</v>
      </c>
      <c r="M69" s="1">
        <f t="shared" si="15"/>
        <v>0.26113888699982268</v>
      </c>
      <c r="N69" s="14">
        <f>Interpolate_Range('試算番号4-2'!$G$27:$G$143,'試算番号4-2'!$N$27:$N$143,H69)</f>
        <v>4.4530178737326842E-2</v>
      </c>
      <c r="O69" s="2">
        <f>Interpolate_Range('試算番号4-2'!$G$10:$G$143,'試算番号4-2'!$I$10:$I$143,H69)</f>
        <v>0.68165743489390651</v>
      </c>
      <c r="P69" s="1">
        <f t="shared" si="16"/>
        <v>0.35591425005980182</v>
      </c>
      <c r="Q69" s="1">
        <f t="shared" si="20"/>
        <v>-2.1849999999999999E-3</v>
      </c>
      <c r="R69" s="33">
        <f t="shared" si="23"/>
        <v>1.0417825258451521</v>
      </c>
      <c r="S69" s="2">
        <f t="shared" si="17"/>
        <v>12.10492119345489</v>
      </c>
      <c r="T69" s="15">
        <f t="shared" si="22"/>
        <v>0.80288205076158448</v>
      </c>
      <c r="U69" s="10">
        <f t="shared" si="21"/>
        <v>1.6888266273129619E-2</v>
      </c>
      <c r="V69" s="45"/>
      <c r="W69" s="1"/>
      <c r="X69" s="10"/>
    </row>
    <row r="70" spans="1:24">
      <c r="B70" s="1"/>
      <c r="H70" s="13">
        <f t="shared" si="19"/>
        <v>13.25</v>
      </c>
      <c r="K70" s="1">
        <f>Interpolate_Range('試算番号4-3'!$G$27:$G$143,'試算番号4-3'!$O$27:$O$143,H70)</f>
        <v>3.2845928980554683E-2</v>
      </c>
      <c r="L70" s="2">
        <f>Interpolate_Range('試算番号4-3'!$G$10:$G$143,'試算番号4-3'!$I$10:$I$143,H70)</f>
        <v>0.76471733924103857</v>
      </c>
      <c r="M70" s="1">
        <f t="shared" si="15"/>
        <v>0.2676848399584173</v>
      </c>
      <c r="N70" s="14">
        <f>Interpolate_Range('試算番号4-2'!$G$27:$G$143,'試算番号4-2'!$N$27:$N$143,H70)</f>
        <v>4.5636599756648855E-2</v>
      </c>
      <c r="O70" s="2">
        <f>Interpolate_Range('試算番号4-2'!$G$10:$G$143,'試算番号4-2'!$I$10:$I$143,H70)</f>
        <v>0.67446911416288469</v>
      </c>
      <c r="P70" s="1">
        <f t="shared" si="16"/>
        <v>0.36360936931262011</v>
      </c>
      <c r="Q70" s="1">
        <f t="shared" si="20"/>
        <v>-2.1762499999999998E-3</v>
      </c>
      <c r="R70" s="33">
        <f t="shared" si="23"/>
        <v>1.0424383599480913</v>
      </c>
      <c r="S70" s="2">
        <f t="shared" si="17"/>
        <v>12.304213865690464</v>
      </c>
      <c r="T70" s="15">
        <f t="shared" si="22"/>
        <v>0.79717068894229637</v>
      </c>
      <c r="U70" s="10">
        <f t="shared" si="21"/>
        <v>1.7108411987007379E-2</v>
      </c>
      <c r="V70" s="45"/>
      <c r="W70" s="1"/>
      <c r="X70" s="10"/>
    </row>
    <row r="71" spans="1:24">
      <c r="B71" s="1"/>
      <c r="H71" s="13">
        <f t="shared" si="19"/>
        <v>13.5</v>
      </c>
      <c r="K71" s="1">
        <f>Interpolate_Range('試算番号4-3'!$G$27:$G$143,'試算番号4-3'!$O$27:$O$143,H71)</f>
        <v>3.2845928980554683E-2</v>
      </c>
      <c r="L71" s="2">
        <f>Interpolate_Range('試算番号4-3'!$G$10:$G$143,'試算番号4-3'!$I$10:$I$143,H71)</f>
        <v>0.75875362860533657</v>
      </c>
      <c r="M71" s="1">
        <f t="shared" si="15"/>
        <v>0.27418355438801018</v>
      </c>
      <c r="N71" s="14">
        <f>Interpolate_Range('試算番号4-2'!$G$27:$G$143,'試算番号4-2'!$N$27:$N$143,H71)</f>
        <v>4.5636599756648855E-2</v>
      </c>
      <c r="O71" s="2">
        <f>Interpolate_Range('試算番号4-2'!$G$10:$G$143,'試算番号4-2'!$I$10:$I$143,H71)</f>
        <v>0.66728079343186275</v>
      </c>
      <c r="P71" s="1">
        <f t="shared" si="16"/>
        <v>0.37122247593640734</v>
      </c>
      <c r="Q71" s="1">
        <f t="shared" si="20"/>
        <v>-2.1674999999999997E-3</v>
      </c>
      <c r="R71" s="33">
        <f t="shared" si="23"/>
        <v>1.0430499681293033</v>
      </c>
      <c r="S71" s="2">
        <f t="shared" si="17"/>
        <v>12.502068352724162</v>
      </c>
      <c r="T71" s="15">
        <f t="shared" si="22"/>
        <v>0.7914179481347895</v>
      </c>
      <c r="U71" s="10">
        <f t="shared" si="21"/>
        <v>1.7328079357080799E-2</v>
      </c>
      <c r="V71" s="45"/>
      <c r="W71" s="1"/>
      <c r="X71" s="10"/>
    </row>
    <row r="72" spans="1:24">
      <c r="B72" s="1"/>
      <c r="H72" s="13">
        <f t="shared" si="19"/>
        <v>13.75</v>
      </c>
      <c r="K72" s="1">
        <f>Interpolate_Range('試算番号4-3'!$G$27:$G$143,'試算番号4-3'!$O$27:$O$143,H72)</f>
        <v>3.2904746072837214E-2</v>
      </c>
      <c r="L72" s="2">
        <f>Interpolate_Range('試算番号4-3'!$G$10:$G$143,'試算番号4-3'!$I$10:$I$143,H72)</f>
        <v>0.75278991796963446</v>
      </c>
      <c r="M72" s="1">
        <f t="shared" si="15"/>
        <v>0.28064767422797199</v>
      </c>
      <c r="N72" s="14">
        <f>Interpolate_Range('試算番号4-2'!$G$27:$G$143,'試算番号4-2'!$N$27:$N$143,H72)</f>
        <v>4.6767203364518908E-2</v>
      </c>
      <c r="O72" s="2">
        <f>Interpolate_Range('試算番号4-2'!$G$10:$G$143,'試算番号4-2'!$I$10:$I$143,H72)</f>
        <v>0.66009247270084082</v>
      </c>
      <c r="P72" s="1">
        <f t="shared" si="16"/>
        <v>0.37894014566395445</v>
      </c>
      <c r="Q72" s="1">
        <f t="shared" si="20"/>
        <v>-2.1587499999999996E-3</v>
      </c>
      <c r="R72" s="33">
        <f t="shared" si="23"/>
        <v>1.0438474941326845</v>
      </c>
      <c r="S72" s="2">
        <f t="shared" si="17"/>
        <v>12.6985178200944</v>
      </c>
      <c r="T72" s="15">
        <f t="shared" si="22"/>
        <v>0.78579786948095209</v>
      </c>
      <c r="U72" s="10">
        <f t="shared" si="21"/>
        <v>1.7531322409845469E-2</v>
      </c>
      <c r="V72" s="45"/>
      <c r="W72" s="1"/>
      <c r="X72" s="10"/>
    </row>
    <row r="73" spans="1:24">
      <c r="B73" s="1"/>
      <c r="H73" s="13">
        <f t="shared" si="19"/>
        <v>14</v>
      </c>
      <c r="K73" s="1">
        <f>Interpolate_Range('試算番号4-3'!$G$27:$G$143,'試算番号4-3'!$O$27:$O$143,H73)</f>
        <v>3.2904746072837214E-2</v>
      </c>
      <c r="L73" s="2">
        <f>Interpolate_Range('試算番号4-3'!$G$10:$G$143,'試算番号4-3'!$I$10:$I$143,H73)</f>
        <v>0.74682620733393246</v>
      </c>
      <c r="M73" s="1">
        <f t="shared" si="15"/>
        <v>0.28706520084779114</v>
      </c>
      <c r="N73" s="14">
        <f>Interpolate_Range('試算番号4-2'!$G$27:$G$143,'試算番号4-2'!$N$27:$N$143,H73)</f>
        <v>4.6767203364518908E-2</v>
      </c>
      <c r="O73" s="2">
        <f>Interpolate_Range('試算番号4-2'!$G$10:$G$143,'試算番号4-2'!$I$10:$I$143,H73)</f>
        <v>0.65290415196981899</v>
      </c>
      <c r="P73" s="1">
        <f t="shared" si="16"/>
        <v>0.38657377097713225</v>
      </c>
      <c r="Q73" s="1">
        <f t="shared" si="20"/>
        <v>-2.1499999999999996E-3</v>
      </c>
      <c r="R73" s="33">
        <f t="shared" si="23"/>
        <v>1.0445989303798882</v>
      </c>
      <c r="S73" s="2">
        <f t="shared" si="17"/>
        <v>12.893551284434574</v>
      </c>
      <c r="T73" s="15">
        <f t="shared" si="22"/>
        <v>0.7801338573606944</v>
      </c>
      <c r="U73" s="10">
        <f t="shared" si="21"/>
        <v>1.7734983001518882E-2</v>
      </c>
      <c r="V73" s="45"/>
      <c r="W73" s="1"/>
      <c r="X73" s="10"/>
    </row>
    <row r="74" spans="1:24">
      <c r="B74" s="1"/>
      <c r="H74" s="13">
        <f t="shared" si="19"/>
        <v>14.25</v>
      </c>
      <c r="K74" s="1">
        <f>Interpolate_Range('試算番号4-3'!$G$27:$G$143,'試算番号4-3'!$O$27:$O$143,H74)</f>
        <v>3.4596126273169006E-2</v>
      </c>
      <c r="L74" s="2">
        <f>Interpolate_Range('試算番号4-3'!$G$10:$G$143,'試算番号4-3'!$I$10:$I$143,H74)</f>
        <v>0.7407131177791354</v>
      </c>
      <c r="M74" s="1">
        <f t="shared" si="15"/>
        <v>0.29376147941216274</v>
      </c>
      <c r="N74" s="14">
        <f>Interpolate_Range('試算番号4-2'!$G$27:$G$143,'試算番号4-2'!$N$27:$N$143,H74)</f>
        <v>4.7921347228052746E-2</v>
      </c>
      <c r="O74" s="2">
        <f>Interpolate_Range('試算番号4-2'!$G$10:$G$143,'試算番号4-2'!$I$10:$I$143,H74)</f>
        <v>0.64565273354699948</v>
      </c>
      <c r="P74" s="1">
        <f t="shared" si="16"/>
        <v>0.39430890818539405</v>
      </c>
      <c r="Q74" s="1">
        <f t="shared" si="20"/>
        <v>-2.1412499999999999E-3</v>
      </c>
      <c r="R74" s="33">
        <f t="shared" si="23"/>
        <v>1.0452399338379428</v>
      </c>
      <c r="S74" s="2">
        <f t="shared" si="17"/>
        <v>13.087107016989664</v>
      </c>
      <c r="T74" s="15">
        <f t="shared" si="22"/>
        <v>0.77422293022035982</v>
      </c>
      <c r="U74" s="10">
        <f t="shared" si="21"/>
        <v>1.7957573566505999E-2</v>
      </c>
      <c r="V74" s="45"/>
      <c r="W74" s="1"/>
      <c r="X74" s="10"/>
    </row>
    <row r="75" spans="1:24">
      <c r="B75" s="1"/>
      <c r="H75" s="13">
        <f t="shared" si="19"/>
        <v>14.5</v>
      </c>
      <c r="K75" s="1">
        <f>Interpolate_Range('試算番号4-3'!$G$27:$G$143,'試算番号4-3'!$O$27:$O$143,H75)</f>
        <v>3.4596126273169006E-2</v>
      </c>
      <c r="L75" s="2">
        <f>Interpolate_Range('試算番号4-3'!$G$10:$G$143,'試算番号4-3'!$I$10:$I$143,H75)</f>
        <v>0.73460002822433834</v>
      </c>
      <c r="M75" s="1">
        <f t="shared" si="15"/>
        <v>0.30040627136567322</v>
      </c>
      <c r="N75" s="14">
        <f>Interpolate_Range('試算番号4-2'!$G$27:$G$143,'試算番号4-2'!$N$27:$N$143,H75)</f>
        <v>4.7921347228052746E-2</v>
      </c>
      <c r="O75" s="2">
        <f>Interpolate_Range('試算番号4-2'!$G$10:$G$143,'試算番号4-2'!$I$10:$I$143,H75)</f>
        <v>0.63840131512417975</v>
      </c>
      <c r="P75" s="1">
        <f t="shared" si="16"/>
        <v>0.40195717095862188</v>
      </c>
      <c r="Q75" s="1">
        <f t="shared" si="20"/>
        <v>-2.1324999999999998E-3</v>
      </c>
      <c r="R75" s="33">
        <f t="shared" si="23"/>
        <v>1.045834501613975</v>
      </c>
      <c r="S75" s="2">
        <f t="shared" si="17"/>
        <v>13.279174530590568</v>
      </c>
      <c r="T75" s="15">
        <f t="shared" si="22"/>
        <v>0.76827005440361285</v>
      </c>
      <c r="U75" s="10">
        <f t="shared" si="21"/>
        <v>1.8180274089995906E-2</v>
      </c>
      <c r="V75" s="45"/>
      <c r="W75" s="1"/>
      <c r="X75" s="10"/>
    </row>
    <row r="76" spans="1:24">
      <c r="A76" s="10"/>
      <c r="B76" s="10"/>
      <c r="C76" s="1"/>
      <c r="D76" s="1"/>
      <c r="E76" s="1"/>
      <c r="F76" s="1"/>
      <c r="H76" s="13">
        <f t="shared" si="19"/>
        <v>14.75</v>
      </c>
      <c r="K76" s="1">
        <f>Interpolate_Range('試算番号4-3'!$G$27:$G$143,'試算番号4-3'!$O$27:$O$143,H76)</f>
        <v>3.465792897281561E-2</v>
      </c>
      <c r="L76" s="2">
        <f>Interpolate_Range('試算番号4-3'!$G$10:$G$143,'試算番号4-3'!$I$10:$I$143,H76)</f>
        <v>0.72848693866954128</v>
      </c>
      <c r="M76" s="1">
        <f t="shared" si="15"/>
        <v>0.3070124954849201</v>
      </c>
      <c r="N76" s="14">
        <f>Interpolate_Range('試算番号4-2'!$G$27:$G$143,'試算番号4-2'!$N$27:$N$143,H76)</f>
        <v>4.9102577951207878E-2</v>
      </c>
      <c r="O76" s="2">
        <f>Interpolate_Range('試算番号4-2'!$G$10:$G$143,'試算番号4-2'!$I$10:$I$143,H76)</f>
        <v>0.63114989670136024</v>
      </c>
      <c r="P76" s="1">
        <f t="shared" si="16"/>
        <v>0.40970494270904073</v>
      </c>
      <c r="Q76" s="1">
        <f t="shared" si="20"/>
        <v>-2.1237499999999998E-3</v>
      </c>
      <c r="R76" s="33">
        <f t="shared" si="23"/>
        <v>1.0466197306006793</v>
      </c>
      <c r="S76" s="2">
        <f t="shared" si="17"/>
        <v>13.469786731464675</v>
      </c>
      <c r="T76" s="15">
        <f t="shared" si="22"/>
        <v>0.76244880349642885</v>
      </c>
      <c r="U76" s="10">
        <f t="shared" si="21"/>
        <v>1.8387790895611027E-2</v>
      </c>
      <c r="V76" s="45"/>
      <c r="W76" s="1"/>
      <c r="X76" s="10"/>
    </row>
    <row r="77" spans="1:24">
      <c r="A77" s="10"/>
      <c r="B77" s="10"/>
      <c r="C77" s="1"/>
      <c r="D77" s="1"/>
      <c r="E77" s="1"/>
      <c r="F77" s="1"/>
      <c r="H77" s="13">
        <f t="shared" si="19"/>
        <v>15</v>
      </c>
      <c r="K77" s="1">
        <f>Interpolate_Range('試算番号4-3'!$G$27:$G$143,'試算番号4-3'!$O$27:$O$143,H77)</f>
        <v>3.465792897281561E-2</v>
      </c>
      <c r="L77" s="2">
        <f>Interpolate_Range('試算番号4-3'!$G$10:$G$143,'試算番号4-3'!$I$10:$I$143,H77)</f>
        <v>0.72237384911474423</v>
      </c>
      <c r="M77" s="1">
        <f t="shared" si="15"/>
        <v>0.31356789479771635</v>
      </c>
      <c r="N77" s="14">
        <f>Interpolate_Range('試算番号4-2'!$G$27:$G$143,'試算番号4-2'!$N$27:$N$143,H77)</f>
        <v>4.9102577951207878E-2</v>
      </c>
      <c r="O77" s="2">
        <f>Interpolate_Range('試算番号4-2'!$G$10:$G$143,'試算番号4-2'!$I$10:$I$143,H77)</f>
        <v>0.62389847827854072</v>
      </c>
      <c r="P77" s="1">
        <f t="shared" si="16"/>
        <v>0.41736369862486872</v>
      </c>
      <c r="Q77" s="1">
        <f t="shared" si="20"/>
        <v>-2.1149999999999997E-3</v>
      </c>
      <c r="R77" s="33">
        <f t="shared" si="23"/>
        <v>1.0473564694944646</v>
      </c>
      <c r="S77" s="2">
        <f t="shared" si="17"/>
        <v>13.658932462530661</v>
      </c>
      <c r="T77" s="15">
        <f t="shared" si="22"/>
        <v>0.75658292426394558</v>
      </c>
      <c r="U77" s="10">
        <f t="shared" si="21"/>
        <v>1.859620907189392E-2</v>
      </c>
      <c r="V77" s="45"/>
      <c r="W77" s="1"/>
      <c r="X77" s="10"/>
    </row>
    <row r="78" spans="1:24">
      <c r="A78" s="10"/>
      <c r="B78" s="10"/>
      <c r="C78" s="1"/>
      <c r="D78" s="1"/>
      <c r="E78" s="1"/>
      <c r="F78" s="1"/>
      <c r="H78" s="13">
        <f t="shared" si="19"/>
        <v>15.25</v>
      </c>
      <c r="K78" s="1">
        <f>Interpolate_Range('試算番号4-3'!$G$27:$G$143,'試算番号4-3'!$O$27:$O$143,H78)</f>
        <v>2.7797000137672018E-2</v>
      </c>
      <c r="L78" s="2">
        <f>Interpolate_Range('試算番号4-3'!$G$10:$G$143,'試算番号4-3'!$I$10:$I$143,H78)</f>
        <v>0.71767449787536564</v>
      </c>
      <c r="M78" s="1">
        <f t="shared" si="15"/>
        <v>0.31879473845137662</v>
      </c>
      <c r="N78" s="14">
        <f>Interpolate_Range('試算番号4-2'!$G$27:$G$143,'試算番号4-2'!$N$27:$N$143,H78)</f>
        <v>4.1216472433169601E-2</v>
      </c>
      <c r="O78" s="2">
        <f>Interpolate_Range('試算番号4-2'!$G$10:$G$143,'試算番号4-2'!$I$10:$I$143,H78)</f>
        <v>0.61803562448324389</v>
      </c>
      <c r="P78" s="1">
        <f t="shared" si="16"/>
        <v>0.42373201069467631</v>
      </c>
      <c r="Q78" s="1">
        <f t="shared" si="20"/>
        <v>-2.1067499999999997E-3</v>
      </c>
      <c r="R78" s="33">
        <f t="shared" si="23"/>
        <v>1.0480308277461836</v>
      </c>
      <c r="S78" s="2">
        <f t="shared" si="17"/>
        <v>13.846968712045822</v>
      </c>
      <c r="T78" s="15">
        <f t="shared" si="22"/>
        <v>0.75214499806064616</v>
      </c>
      <c r="U78" s="10">
        <f t="shared" si="21"/>
        <v>1.8677125052394408E-2</v>
      </c>
      <c r="V78" s="45"/>
      <c r="W78" s="1"/>
      <c r="X78" s="10"/>
    </row>
    <row r="79" spans="1:24">
      <c r="A79" s="10"/>
      <c r="B79" s="10"/>
      <c r="C79" s="1"/>
      <c r="D79" s="1"/>
      <c r="E79" s="1"/>
      <c r="F79" s="1"/>
      <c r="H79" s="13">
        <f t="shared" si="19"/>
        <v>15.5</v>
      </c>
      <c r="K79" s="1">
        <f>Interpolate_Range('試算番号4-3'!$G$27:$G$143,'試算番号4-3'!$O$27:$O$143,H79)</f>
        <v>2.7797000137672018E-2</v>
      </c>
      <c r="L79" s="2">
        <f>Interpolate_Range('試算番号4-3'!$G$10:$G$143,'試算番号4-3'!$I$10:$I$143,H79)</f>
        <v>0.71297514663598704</v>
      </c>
      <c r="M79" s="1">
        <f t="shared" si="15"/>
        <v>0.32399050016044295</v>
      </c>
      <c r="N79" s="14">
        <f>Interpolate_Range('試算番号4-2'!$G$27:$G$143,'試算番号4-2'!$N$27:$N$143,H79)</f>
        <v>4.1216472433169601E-2</v>
      </c>
      <c r="O79" s="2">
        <f>Interpolate_Range('試算番号4-2'!$G$10:$G$143,'試算番号4-2'!$I$10:$I$143,H79)</f>
        <v>0.61217277068794695</v>
      </c>
      <c r="P79" s="1">
        <f t="shared" si="16"/>
        <v>0.43003991122652552</v>
      </c>
      <c r="Q79" s="1">
        <f t="shared" si="20"/>
        <v>-2.0984999999999997E-3</v>
      </c>
      <c r="R79" s="33">
        <f t="shared" si="23"/>
        <v>1.0486652959795126</v>
      </c>
      <c r="S79" s="2">
        <f t="shared" si="17"/>
        <v>14.033886785339087</v>
      </c>
      <c r="T79" s="15">
        <f t="shared" si="22"/>
        <v>0.74767229317306383</v>
      </c>
      <c r="U79" s="10">
        <f t="shared" si="21"/>
        <v>1.8760677918542194E-2</v>
      </c>
      <c r="V79" s="45"/>
      <c r="W79" s="1"/>
      <c r="X79" s="10"/>
    </row>
    <row r="80" spans="1:24">
      <c r="A80" s="10"/>
      <c r="B80" s="10"/>
      <c r="C80" s="1"/>
      <c r="D80" s="1"/>
      <c r="E80" s="1"/>
      <c r="F80" s="1"/>
      <c r="H80" s="13">
        <f t="shared" si="19"/>
        <v>15.75</v>
      </c>
      <c r="K80" s="1">
        <f>Interpolate_Range('試算番号4-3'!$G$27:$G$143,'試算番号4-3'!$O$27:$O$143,H80)</f>
        <v>2.7785763207518886E-2</v>
      </c>
      <c r="L80" s="2">
        <f>Interpolate_Range('試算番号4-3'!$G$10:$G$143,'試算番号4-3'!$I$10:$I$143,H80)</f>
        <v>0.70827579539660845</v>
      </c>
      <c r="M80" s="1">
        <f t="shared" si="15"/>
        <v>0.32915343958858784</v>
      </c>
      <c r="N80" s="14">
        <f>Interpolate_Range('試算番号4-2'!$G$27:$G$143,'試算番号4-2'!$N$27:$N$143,H80)</f>
        <v>4.1764099090165145E-2</v>
      </c>
      <c r="O80" s="2">
        <f>Interpolate_Range('試算番号4-2'!$G$10:$G$143,'試算番号4-2'!$I$10:$I$143,H80)</f>
        <v>0.60630991689265012</v>
      </c>
      <c r="P80" s="1">
        <f t="shared" si="16"/>
        <v>0.43637040808863914</v>
      </c>
      <c r="Q80" s="1">
        <f t="shared" si="20"/>
        <v>-2.0902499999999997E-3</v>
      </c>
      <c r="R80" s="33">
        <f t="shared" si="23"/>
        <v>1.04937881041768</v>
      </c>
      <c r="S80" s="2">
        <f t="shared" si="17"/>
        <v>14.21969918824432</v>
      </c>
      <c r="T80" s="15">
        <f t="shared" si="22"/>
        <v>0.74324961162092906</v>
      </c>
      <c r="U80" s="10">
        <f t="shared" si="21"/>
        <v>1.883957712036206E-2</v>
      </c>
      <c r="V80" s="45"/>
      <c r="W80" s="1"/>
      <c r="X80" s="10"/>
    </row>
    <row r="81" spans="1:24">
      <c r="A81" s="10"/>
      <c r="B81" s="10"/>
      <c r="C81" s="1"/>
      <c r="D81" s="1"/>
      <c r="E81" s="1"/>
      <c r="F81" s="1"/>
      <c r="H81" s="13">
        <f t="shared" si="19"/>
        <v>16</v>
      </c>
      <c r="K81" s="1">
        <f>Interpolate_Range('試算番号4-3'!$G$27:$G$143,'試算番号4-3'!$O$27:$O$143,H81)</f>
        <v>2.7785763207518886E-2</v>
      </c>
      <c r="L81" s="2">
        <f>Interpolate_Range('試算番号4-3'!$G$10:$G$143,'試算番号4-3'!$I$10:$I$143,H81)</f>
        <v>0.70357644415722986</v>
      </c>
      <c r="M81" s="1">
        <f t="shared" si="15"/>
        <v>0.33428540961076109</v>
      </c>
      <c r="N81" s="14">
        <f>Interpolate_Range('試算番号4-2'!$G$27:$G$143,'試算番号4-2'!$N$27:$N$143,H81)</f>
        <v>4.1764099090165145E-2</v>
      </c>
      <c r="O81" s="2">
        <f>Interpolate_Range('試算番号4-2'!$G$10:$G$143,'試算番号4-2'!$I$10:$I$143,H81)</f>
        <v>0.60044706309735318</v>
      </c>
      <c r="P81" s="1">
        <f t="shared" si="16"/>
        <v>0.44263969074903825</v>
      </c>
      <c r="Q81" s="1">
        <f t="shared" si="20"/>
        <v>-2.0819999999999996E-3</v>
      </c>
      <c r="R81" s="33">
        <f t="shared" si="23"/>
        <v>1.0500512132715598</v>
      </c>
      <c r="S81" s="2">
        <f t="shared" si="17"/>
        <v>14.404397012948467</v>
      </c>
      <c r="T81" s="15">
        <f t="shared" si="22"/>
        <v>0.73879129881658911</v>
      </c>
      <c r="U81" s="10">
        <f t="shared" si="21"/>
        <v>1.8921238011308905E-2</v>
      </c>
      <c r="V81" s="45"/>
      <c r="W81" s="1"/>
      <c r="X81" s="10"/>
    </row>
    <row r="82" spans="1:24">
      <c r="A82" s="10"/>
      <c r="B82" s="10"/>
      <c r="C82" s="1"/>
      <c r="D82" s="1"/>
      <c r="E82" s="1"/>
      <c r="F82" s="1"/>
      <c r="H82" s="13">
        <f t="shared" si="19"/>
        <v>16.25</v>
      </c>
      <c r="K82" s="1">
        <f>Interpolate_Range('試算番号4-3'!$G$27:$G$143,'試算番号4-3'!$O$27:$O$143,H82)</f>
        <v>2.8385434427050091E-2</v>
      </c>
      <c r="L82" s="2">
        <f>Interpolate_Range('試算番号4-3'!$G$10:$G$143,'試算番号4-3'!$I$10:$I$143,H82)</f>
        <v>0.69887636112283968</v>
      </c>
      <c r="M82" s="1">
        <f t="shared" si="15"/>
        <v>0.33949645721303318</v>
      </c>
      <c r="N82" s="14">
        <f>Interpolate_Range('試算番号4-2'!$G$27:$G$143,'試算番号4-2'!$N$27:$N$143,H82)</f>
        <v>4.2322138041372644E-2</v>
      </c>
      <c r="O82" s="2">
        <f>Interpolate_Range('試算番号4-2'!$G$10:$G$143,'試算番号4-2'!$I$10:$I$143,H82)</f>
        <v>0.59464031560895136</v>
      </c>
      <c r="P82" s="1">
        <f t="shared" si="16"/>
        <v>0.44893130312958013</v>
      </c>
      <c r="Q82" s="1">
        <f t="shared" si="20"/>
        <v>-2.0737499999999996E-3</v>
      </c>
      <c r="R82" s="33">
        <f t="shared" ref="R82:R137" si="24">(P82+O82-M81-Q82*S81)/(L82+0.25*L82*(K82+Q82))</f>
        <v>1.0507251687498513</v>
      </c>
      <c r="S82" s="2">
        <f t="shared" si="17"/>
        <v>14.587978758567486</v>
      </c>
      <c r="T82" s="15">
        <f t="shared" si="22"/>
        <v>0.73432698247607775</v>
      </c>
      <c r="U82" s="10">
        <f t="shared" si="21"/>
        <v>1.9003130421651224E-2</v>
      </c>
      <c r="V82" s="45"/>
      <c r="W82" s="1"/>
      <c r="X82" s="10"/>
    </row>
    <row r="83" spans="1:24">
      <c r="A83" s="10"/>
      <c r="B83" s="10"/>
      <c r="C83" s="1"/>
      <c r="D83" s="1"/>
      <c r="E83" s="1"/>
      <c r="F83" s="1"/>
      <c r="H83" s="13">
        <f t="shared" si="19"/>
        <v>16.5</v>
      </c>
      <c r="K83" s="1">
        <f>Interpolate_Range('試算番号4-3'!$G$27:$G$143,'試算番号4-3'!$O$27:$O$143,H83)</f>
        <v>2.8385434427050091E-2</v>
      </c>
      <c r="L83" s="2">
        <f>Interpolate_Range('試算番号4-3'!$G$10:$G$143,'試算番号4-3'!$I$10:$I$143,H83)</f>
        <v>0.69417627808844917</v>
      </c>
      <c r="M83" s="1">
        <f t="shared" si="15"/>
        <v>0.34467557702481277</v>
      </c>
      <c r="N83" s="14">
        <f>Interpolate_Range('試算番号4-2'!$G$27:$G$143,'試算番号4-2'!$N$27:$N$143,H83)</f>
        <v>4.2322138041372644E-2</v>
      </c>
      <c r="O83" s="2">
        <f>Interpolate_Range('試算番号4-2'!$G$10:$G$143,'試算番号4-2'!$I$10:$I$143,H83)</f>
        <v>0.58883356812054954</v>
      </c>
      <c r="P83" s="1">
        <f t="shared" si="16"/>
        <v>0.45516147701792808</v>
      </c>
      <c r="Q83" s="1">
        <f t="shared" ref="Q83:Q114" si="25">Interpolate_Range($A$17:$A$31,$B$17:$B$31,H83)</f>
        <v>-2.0654999999999996E-3</v>
      </c>
      <c r="R83" s="33">
        <f t="shared" si="24"/>
        <v>1.0513580283685597</v>
      </c>
      <c r="S83" s="2">
        <f t="shared" si="17"/>
        <v>14.77043570933531</v>
      </c>
      <c r="T83" s="15">
        <f t="shared" si="22"/>
        <v>0.72982780307129691</v>
      </c>
      <c r="U83" s="10">
        <f t="shared" ref="U83:U114" si="26">-LN(T83)/H83</f>
        <v>1.9087676295086637E-2</v>
      </c>
      <c r="V83" s="45"/>
      <c r="W83" s="1"/>
      <c r="X83" s="10"/>
    </row>
    <row r="84" spans="1:24">
      <c r="A84" s="10"/>
      <c r="B84" s="10"/>
      <c r="C84" s="1"/>
      <c r="D84" s="1"/>
      <c r="E84" s="1"/>
      <c r="F84" s="1"/>
      <c r="H84" s="13">
        <f t="shared" si="19"/>
        <v>16.75</v>
      </c>
      <c r="K84" s="1">
        <f>Interpolate_Range('試算番号4-3'!$G$27:$G$143,'試算番号4-3'!$O$27:$O$143,H84)</f>
        <v>2.8424136505520919E-2</v>
      </c>
      <c r="L84" s="2">
        <f>Interpolate_Range('試算番号4-3'!$G$10:$G$143,'試算番号4-3'!$I$10:$I$143,H84)</f>
        <v>0.68947619505405888</v>
      </c>
      <c r="M84" s="1">
        <f t="shared" si="15"/>
        <v>0.34983007450130627</v>
      </c>
      <c r="N84" s="14">
        <f>Interpolate_Range('試算番号4-2'!$G$27:$G$143,'試算番号4-2'!$N$27:$N$143,H84)</f>
        <v>4.2888710974902794E-2</v>
      </c>
      <c r="O84" s="2">
        <f>Interpolate_Range('試算番号4-2'!$G$10:$G$143,'試算番号4-2'!$I$10:$I$143,H84)</f>
        <v>0.58302682063214761</v>
      </c>
      <c r="P84" s="1">
        <f t="shared" si="16"/>
        <v>0.46141279421810527</v>
      </c>
      <c r="Q84" s="1">
        <f t="shared" si="25"/>
        <v>-2.0572499999999996E-3</v>
      </c>
      <c r="R84" s="33">
        <f t="shared" si="24"/>
        <v>1.0520582012885029</v>
      </c>
      <c r="S84" s="2">
        <f t="shared" si="17"/>
        <v>14.951777980735264</v>
      </c>
      <c r="T84" s="15">
        <f t="shared" ref="T84:T115" si="27">L84*R84</f>
        <v>0.72536908559981417</v>
      </c>
      <c r="U84" s="10">
        <f t="shared" si="26"/>
        <v>1.9168637019737204E-2</v>
      </c>
      <c r="V84" s="45"/>
      <c r="W84" s="1"/>
      <c r="X84" s="10"/>
    </row>
    <row r="85" spans="1:24">
      <c r="A85" s="10"/>
      <c r="B85" s="10"/>
      <c r="C85" s="1"/>
      <c r="D85" s="1"/>
      <c r="E85" s="1"/>
      <c r="F85" s="1"/>
      <c r="H85" s="13">
        <f t="shared" si="19"/>
        <v>17</v>
      </c>
      <c r="K85" s="1">
        <f>Interpolate_Range('試算番号4-3'!$G$27:$G$143,'試算番号4-3'!$O$27:$O$143,H85)</f>
        <v>2.8424136505520919E-2</v>
      </c>
      <c r="L85" s="2">
        <f>Interpolate_Range('試算番号4-3'!$G$10:$G$143,'試算番号4-3'!$I$10:$I$143,H85)</f>
        <v>0.6847761120196687</v>
      </c>
      <c r="M85" s="1">
        <f t="shared" si="15"/>
        <v>0.35495263507339947</v>
      </c>
      <c r="N85" s="14">
        <f>Interpolate_Range('試算番号4-2'!$G$27:$G$143,'試算番号4-2'!$N$27:$N$143,H85)</f>
        <v>4.2888710974902794E-2</v>
      </c>
      <c r="O85" s="2">
        <f>Interpolate_Range('試算番号4-2'!$G$10:$G$143,'試算番号4-2'!$I$10:$I$143,H85)</f>
        <v>0.57722007314374579</v>
      </c>
      <c r="P85" s="1">
        <f t="shared" si="16"/>
        <v>0.46760185043959884</v>
      </c>
      <c r="Q85" s="1">
        <f t="shared" si="25"/>
        <v>-2.0489999999999996E-3</v>
      </c>
      <c r="R85" s="33">
        <f t="shared" si="24"/>
        <v>1.0527159710008858</v>
      </c>
      <c r="S85" s="2">
        <f t="shared" si="17"/>
        <v>15.131996668156013</v>
      </c>
      <c r="T85" s="15">
        <f t="shared" si="27"/>
        <v>0.72087474968299681</v>
      </c>
      <c r="U85" s="10">
        <f t="shared" si="26"/>
        <v>1.9252345546301848E-2</v>
      </c>
      <c r="V85" s="45"/>
      <c r="W85" s="1"/>
      <c r="X85" s="10"/>
    </row>
    <row r="86" spans="1:24">
      <c r="A86" s="10"/>
      <c r="B86" s="10"/>
      <c r="C86" s="1"/>
      <c r="D86" s="1"/>
      <c r="E86" s="1"/>
      <c r="F86" s="1"/>
      <c r="H86" s="13">
        <f t="shared" si="19"/>
        <v>17.25</v>
      </c>
      <c r="K86" s="1">
        <f>Interpolate_Range('試算番号4-3'!$G$27:$G$143,'試算番号4-3'!$O$27:$O$143,H86)</f>
        <v>2.9037655687370146E-2</v>
      </c>
      <c r="L86" s="2">
        <f>Interpolate_Range('試算番号4-3'!$G$10:$G$143,'試算番号4-3'!$I$10:$I$143,H86)</f>
        <v>0.68007931450671832</v>
      </c>
      <c r="M86" s="1">
        <f t="shared" ref="M86:M137" si="28">M85+L86*0.25*K86*R86</f>
        <v>0.36015313063522802</v>
      </c>
      <c r="N86" s="14">
        <f>Interpolate_Range('試算番号4-2'!$G$27:$G$143,'試算番号4-2'!$N$27:$N$143,H86)</f>
        <v>4.3466730295371875E-2</v>
      </c>
      <c r="O86" s="2">
        <f>Interpolate_Range('試算番号4-2'!$G$10:$G$143,'試算番号4-2'!$I$10:$I$143,H86)</f>
        <v>0.57147467018712306</v>
      </c>
      <c r="P86" s="1">
        <f t="shared" ref="P86:P137" si="29">P85+O86*0.25*N86</f>
        <v>0.47381188427951393</v>
      </c>
      <c r="Q86" s="1">
        <f t="shared" si="25"/>
        <v>-2.0407499999999996E-3</v>
      </c>
      <c r="R86" s="33">
        <f t="shared" si="24"/>
        <v>1.0533764498263249</v>
      </c>
      <c r="S86" s="2">
        <f t="shared" ref="S86:S137" si="30">S85+L86*0.25*R86</f>
        <v>15.311091551634865</v>
      </c>
      <c r="T86" s="15">
        <f t="shared" si="27"/>
        <v>0.71637953391540765</v>
      </c>
      <c r="U86" s="10">
        <f t="shared" si="26"/>
        <v>1.9335952299184229E-2</v>
      </c>
      <c r="V86" s="45"/>
      <c r="W86" s="1"/>
      <c r="X86" s="10"/>
    </row>
    <row r="87" spans="1:24">
      <c r="A87" s="10"/>
      <c r="B87" s="10"/>
      <c r="C87" s="1"/>
      <c r="D87" s="1"/>
      <c r="E87" s="1"/>
      <c r="F87" s="1"/>
      <c r="H87" s="13">
        <f t="shared" si="19"/>
        <v>17.5</v>
      </c>
      <c r="K87" s="1">
        <f>Interpolate_Range('試算番号4-3'!$G$27:$G$143,'試算番号4-3'!$O$27:$O$143,H87)</f>
        <v>2.9037655687370146E-2</v>
      </c>
      <c r="L87" s="2">
        <f>Interpolate_Range('試算番号4-3'!$G$10:$G$143,'試算番号4-3'!$I$10:$I$143,H87)</f>
        <v>0.67538251699376806</v>
      </c>
      <c r="M87" s="1">
        <f t="shared" si="28"/>
        <v>0.36532074090082101</v>
      </c>
      <c r="N87" s="14">
        <f>Interpolate_Range('試算番号4-2'!$G$27:$G$143,'試算番号4-2'!$N$27:$N$143,H87)</f>
        <v>4.3466730295371875E-2</v>
      </c>
      <c r="O87" s="2">
        <f>Interpolate_Range('試算番号4-2'!$G$10:$G$143,'試算番号4-2'!$I$10:$I$143,H87)</f>
        <v>0.56572926723050043</v>
      </c>
      <c r="P87" s="1">
        <f t="shared" si="29"/>
        <v>0.47995948464924054</v>
      </c>
      <c r="Q87" s="1">
        <f t="shared" si="25"/>
        <v>-2.0324999999999996E-3</v>
      </c>
      <c r="R87" s="33">
        <f t="shared" si="24"/>
        <v>1.0539945811153204</v>
      </c>
      <c r="S87" s="2">
        <f t="shared" si="30"/>
        <v>15.48905392990773</v>
      </c>
      <c r="T87" s="15">
        <f t="shared" si="27"/>
        <v>0.71184951309145728</v>
      </c>
      <c r="U87" s="10">
        <f t="shared" si="26"/>
        <v>1.9422214167258919E-2</v>
      </c>
      <c r="V87" s="45"/>
      <c r="W87" s="1"/>
      <c r="X87" s="10"/>
    </row>
    <row r="88" spans="1:24">
      <c r="A88" s="10"/>
      <c r="B88" s="10"/>
      <c r="C88" s="1"/>
      <c r="D88" s="1"/>
      <c r="E88" s="1"/>
      <c r="F88" s="1"/>
      <c r="H88" s="13">
        <f t="shared" si="19"/>
        <v>17.75</v>
      </c>
      <c r="K88" s="1">
        <f>Interpolate_Range('試算番号4-3'!$G$27:$G$143,'試算番号4-3'!$O$27:$O$143,H88)</f>
        <v>2.9077449056443924E-2</v>
      </c>
      <c r="L88" s="2">
        <f>Interpolate_Range('試算番号4-3'!$G$10:$G$143,'試算番号4-3'!$I$10:$I$143,H88)</f>
        <v>0.67068571948081779</v>
      </c>
      <c r="M88" s="1">
        <f t="shared" si="28"/>
        <v>0.37046279433511992</v>
      </c>
      <c r="N88" s="14">
        <f>Interpolate_Range('試算番号4-2'!$G$27:$G$143,'試算番号4-2'!$N$27:$N$143,H88)</f>
        <v>4.4054085968168871E-2</v>
      </c>
      <c r="O88" s="2">
        <f>Interpolate_Range('試算番号4-2'!$G$10:$G$143,'試算番号4-2'!$I$10:$I$143,H88)</f>
        <v>0.55998386427387792</v>
      </c>
      <c r="P88" s="1">
        <f t="shared" si="29"/>
        <v>0.48612687897361773</v>
      </c>
      <c r="Q88" s="1">
        <f t="shared" si="25"/>
        <v>-2.02425E-3</v>
      </c>
      <c r="R88" s="33">
        <f t="shared" si="24"/>
        <v>1.0546812224697508</v>
      </c>
      <c r="S88" s="2">
        <f t="shared" si="30"/>
        <v>15.665893838536489</v>
      </c>
      <c r="T88" s="15">
        <f t="shared" si="27"/>
        <v>0.70735963451503325</v>
      </c>
      <c r="U88" s="10">
        <f t="shared" si="26"/>
        <v>1.950513045594959E-2</v>
      </c>
      <c r="V88" s="45"/>
      <c r="W88" s="1"/>
      <c r="X88" s="10"/>
    </row>
    <row r="89" spans="1:24">
      <c r="H89" s="13">
        <f t="shared" si="19"/>
        <v>18</v>
      </c>
      <c r="K89" s="1">
        <f>Interpolate_Range('試算番号4-3'!$G$27:$G$143,'試算番号4-3'!$O$27:$O$143,H89)</f>
        <v>2.9077449056443924E-2</v>
      </c>
      <c r="L89" s="2">
        <f>Interpolate_Range('試算番号4-3'!$G$10:$G$143,'試算番号4-3'!$I$10:$I$143,H89)</f>
        <v>0.66598892196786741</v>
      </c>
      <c r="M89" s="1">
        <f t="shared" si="28"/>
        <v>0.37557195058164666</v>
      </c>
      <c r="N89" s="14">
        <f>Interpolate_Range('試算番号4-2'!$G$27:$G$143,'試算番号4-2'!$N$27:$N$143,H89)</f>
        <v>4.4054085968168871E-2</v>
      </c>
      <c r="O89" s="2">
        <f>Interpolate_Range('試算番号4-2'!$G$10:$G$143,'試算番号4-2'!$I$10:$I$143,H89)</f>
        <v>0.55423846131725529</v>
      </c>
      <c r="P89" s="1">
        <f t="shared" si="29"/>
        <v>0.49223099617905175</v>
      </c>
      <c r="Q89" s="1">
        <f t="shared" si="25"/>
        <v>-2.016E-3</v>
      </c>
      <c r="R89" s="33">
        <f t="shared" si="24"/>
        <v>1.0553241264761293</v>
      </c>
      <c r="S89" s="2">
        <f t="shared" si="30"/>
        <v>15.841602382866119</v>
      </c>
      <c r="T89" s="15">
        <f t="shared" si="27"/>
        <v>0.70283417731851872</v>
      </c>
      <c r="U89" s="10">
        <f t="shared" si="26"/>
        <v>1.9590794090652452E-2</v>
      </c>
      <c r="V89" s="45"/>
      <c r="W89" s="1"/>
      <c r="X89" s="10"/>
    </row>
    <row r="90" spans="1:24">
      <c r="H90" s="13">
        <f t="shared" si="19"/>
        <v>18.25</v>
      </c>
      <c r="K90" s="1">
        <f>Interpolate_Range('試算番号4-3'!$G$27:$G$143,'試算番号4-3'!$O$27:$O$143,H90)</f>
        <v>2.9705517877102048E-2</v>
      </c>
      <c r="L90" s="2">
        <f>Interpolate_Range('試算番号4-3'!$G$10:$G$143,'試算番号4-3'!$I$10:$I$143,H90)</f>
        <v>0.66129933658573836</v>
      </c>
      <c r="M90" s="1">
        <f t="shared" si="28"/>
        <v>0.38075788660761178</v>
      </c>
      <c r="N90" s="14">
        <f>Interpolate_Range('試算番号4-2'!$G$27:$G$143,'試算番号4-2'!$N$27:$N$143,H90)</f>
        <v>4.4654027961332526E-2</v>
      </c>
      <c r="O90" s="2">
        <f>Interpolate_Range('試算番号4-2'!$G$10:$G$143,'試算番号4-2'!$I$10:$I$143,H90)</f>
        <v>0.54855938225189194</v>
      </c>
      <c r="P90" s="1">
        <f t="shared" si="29"/>
        <v>0.49835484267743357</v>
      </c>
      <c r="Q90" s="1">
        <f t="shared" si="25"/>
        <v>-2.00775E-3</v>
      </c>
      <c r="R90" s="33">
        <f t="shared" si="24"/>
        <v>1.0559708535393697</v>
      </c>
      <c r="S90" s="2">
        <f t="shared" si="30"/>
        <v>16.016180589090986</v>
      </c>
      <c r="T90" s="15">
        <f t="shared" si="27"/>
        <v>0.69831282489946112</v>
      </c>
      <c r="U90" s="10">
        <f t="shared" si="26"/>
        <v>1.9676060460875805E-2</v>
      </c>
      <c r="V90" s="45"/>
      <c r="W90" s="1"/>
      <c r="X90" s="10"/>
    </row>
    <row r="91" spans="1:24">
      <c r="H91" s="13">
        <f t="shared" ref="H91:H137" si="31">H90+0.25</f>
        <v>18.5</v>
      </c>
      <c r="K91" s="1">
        <f>Interpolate_Range('試算番号4-3'!$G$27:$G$143,'試算番号4-3'!$O$27:$O$143,H91)</f>
        <v>2.9705517877102048E-2</v>
      </c>
      <c r="L91" s="2">
        <f>Interpolate_Range('試算番号4-3'!$G$10:$G$143,'試算番号4-3'!$I$10:$I$143,H91)</f>
        <v>0.65660975120360932</v>
      </c>
      <c r="M91" s="1">
        <f t="shared" si="28"/>
        <v>0.38590998750114397</v>
      </c>
      <c r="N91" s="14">
        <f>Interpolate_Range('試算番号4-2'!$G$27:$G$143,'試算番号4-2'!$N$27:$N$143,H91)</f>
        <v>4.4654027961332526E-2</v>
      </c>
      <c r="O91" s="2">
        <f>Interpolate_Range('試算番号4-2'!$G$10:$G$143,'試算番号4-2'!$I$10:$I$143,H91)</f>
        <v>0.54288030318652891</v>
      </c>
      <c r="P91" s="1">
        <f t="shared" si="29"/>
        <v>0.50441529073697056</v>
      </c>
      <c r="Q91" s="1">
        <f t="shared" si="25"/>
        <v>-1.9995E-3</v>
      </c>
      <c r="R91" s="33">
        <f t="shared" si="24"/>
        <v>1.0565739389257163</v>
      </c>
      <c r="S91" s="2">
        <f t="shared" si="30"/>
        <v>16.189619776882544</v>
      </c>
      <c r="T91" s="15">
        <f t="shared" si="27"/>
        <v>0.69375675116623203</v>
      </c>
      <c r="U91" s="10">
        <f t="shared" si="26"/>
        <v>1.9763993651786903E-2</v>
      </c>
      <c r="V91" s="45"/>
      <c r="W91" s="1"/>
      <c r="X91" s="10"/>
    </row>
    <row r="92" spans="1:24">
      <c r="H92" s="13">
        <f t="shared" si="31"/>
        <v>18.75</v>
      </c>
      <c r="K92" s="1">
        <f>Interpolate_Range('試算番号4-3'!$G$27:$G$143,'試算番号4-3'!$O$27:$O$143,H92)</f>
        <v>2.9746482955425441E-2</v>
      </c>
      <c r="L92" s="2">
        <f>Interpolate_Range('試算番号4-3'!$G$10:$G$143,'試算番号4-3'!$I$10:$I$143,H92)</f>
        <v>0.65192016582147994</v>
      </c>
      <c r="M92" s="1">
        <f t="shared" si="28"/>
        <v>0.39103560842905066</v>
      </c>
      <c r="N92" s="14">
        <f>Interpolate_Range('試算番号4-2'!$G$27:$G$143,'試算番号4-2'!$N$27:$N$143,H92)</f>
        <v>4.5264222810729553E-2</v>
      </c>
      <c r="O92" s="2">
        <f>Interpolate_Range('試算番号4-2'!$G$10:$G$143,'試算番号4-2'!$I$10:$I$143,H92)</f>
        <v>0.537201224121166</v>
      </c>
      <c r="P92" s="1">
        <f t="shared" si="29"/>
        <v>0.51049428971267485</v>
      </c>
      <c r="Q92" s="1">
        <f t="shared" si="25"/>
        <v>-1.99125E-3</v>
      </c>
      <c r="R92" s="33">
        <f t="shared" si="24"/>
        <v>1.0572469368275743</v>
      </c>
      <c r="S92" s="2">
        <f t="shared" si="30"/>
        <v>16.361929926475266</v>
      </c>
      <c r="T92" s="15">
        <f t="shared" si="27"/>
        <v>0.68924059837088392</v>
      </c>
      <c r="U92" s="10">
        <f t="shared" si="26"/>
        <v>1.9848793042517382E-2</v>
      </c>
      <c r="V92" s="45"/>
      <c r="W92" s="1"/>
      <c r="X92" s="10"/>
    </row>
    <row r="93" spans="1:24">
      <c r="H93" s="13">
        <f t="shared" si="31"/>
        <v>19</v>
      </c>
      <c r="K93" s="1">
        <f>Interpolate_Range('試算番号4-3'!$G$27:$G$143,'試算番号4-3'!$O$27:$O$143,H93)</f>
        <v>2.9746482955425441E-2</v>
      </c>
      <c r="L93" s="2">
        <f>Interpolate_Range('試算番号4-3'!$G$10:$G$143,'試算番号4-3'!$I$10:$I$143,H93)</f>
        <v>0.64723058043935089</v>
      </c>
      <c r="M93" s="1">
        <f t="shared" si="28"/>
        <v>0.39612738032721451</v>
      </c>
      <c r="N93" s="14">
        <f>Interpolate_Range('試算番号4-2'!$G$27:$G$143,'試算番号4-2'!$N$27:$N$143,H93)</f>
        <v>4.5264222810729553E-2</v>
      </c>
      <c r="O93" s="2">
        <f>Interpolate_Range('試算番号4-2'!$G$10:$G$143,'試算番号4-2'!$I$10:$I$143,H93)</f>
        <v>0.53152214505580297</v>
      </c>
      <c r="P93" s="1">
        <f t="shared" si="29"/>
        <v>0.51650902391333553</v>
      </c>
      <c r="Q93" s="1">
        <f t="shared" si="25"/>
        <v>-1.983E-3</v>
      </c>
      <c r="R93" s="33">
        <f t="shared" si="24"/>
        <v>1.0578748145035182</v>
      </c>
      <c r="S93" s="2">
        <f t="shared" si="30"/>
        <v>16.533102159031088</v>
      </c>
      <c r="T93" s="15">
        <f t="shared" si="27"/>
        <v>0.6846889302232827</v>
      </c>
      <c r="U93" s="10">
        <f t="shared" si="26"/>
        <v>1.993635054338844E-2</v>
      </c>
      <c r="V93" s="45"/>
      <c r="W93" s="1"/>
      <c r="X93" s="10"/>
    </row>
    <row r="94" spans="1:24">
      <c r="H94" s="13">
        <f t="shared" si="31"/>
        <v>19.25</v>
      </c>
      <c r="K94" s="1">
        <f>Interpolate_Range('試算番号4-3'!$G$27:$G$143,'試算番号4-3'!$O$27:$O$143,H94)</f>
        <v>3.0390218287494677E-2</v>
      </c>
      <c r="L94" s="2">
        <f>Interpolate_Range('試算番号4-3'!$G$10:$G$143,'試算番号4-3'!$I$10:$I$143,H94)</f>
        <v>0.64255203951067885</v>
      </c>
      <c r="M94" s="1">
        <f t="shared" si="28"/>
        <v>0.4012948278134193</v>
      </c>
      <c r="N94" s="14">
        <f>Interpolate_Range('試算番号4-2'!$G$27:$G$143,'試算番号4-2'!$N$27:$N$143,H94)</f>
        <v>4.5888265357971601E-2</v>
      </c>
      <c r="O94" s="2">
        <f>Interpolate_Range('試算番号4-2'!$G$10:$G$143,'試算番号4-2'!$I$10:$I$143,H94)</f>
        <v>0.52591410852394749</v>
      </c>
      <c r="P94" s="1">
        <f t="shared" si="29"/>
        <v>0.52254234545519751</v>
      </c>
      <c r="Q94" s="1">
        <f t="shared" si="25"/>
        <v>-1.9747499999999999E-3</v>
      </c>
      <c r="R94" s="33">
        <f t="shared" si="24"/>
        <v>1.0585074943102011</v>
      </c>
      <c r="S94" s="2">
        <f t="shared" si="30"/>
        <v>16.703138696357676</v>
      </c>
      <c r="T94" s="15">
        <f t="shared" si="27"/>
        <v>0.68014614930635797</v>
      </c>
      <c r="U94" s="10">
        <f t="shared" si="26"/>
        <v>2.002325082881164E-2</v>
      </c>
      <c r="V94" s="45"/>
      <c r="W94" s="1"/>
      <c r="X94" s="10"/>
    </row>
    <row r="95" spans="1:24">
      <c r="H95" s="13">
        <f t="shared" si="31"/>
        <v>19.5</v>
      </c>
      <c r="K95" s="1">
        <f>Interpolate_Range('試算番号4-3'!$G$27:$G$143,'試算番号4-3'!$O$27:$O$143,H95)</f>
        <v>3.0390218287494677E-2</v>
      </c>
      <c r="L95" s="2">
        <f>Interpolate_Range('試算番号4-3'!$G$10:$G$143,'試算番号4-3'!$I$10:$I$143,H95)</f>
        <v>0.6378734985820067</v>
      </c>
      <c r="M95" s="1">
        <f t="shared" si="28"/>
        <v>0.40642749828648322</v>
      </c>
      <c r="N95" s="14">
        <f>Interpolate_Range('試算番号4-2'!$G$27:$G$143,'試算番号4-2'!$N$27:$N$143,H95)</f>
        <v>4.5888265357971601E-2</v>
      </c>
      <c r="O95" s="2">
        <f>Interpolate_Range('試算番号4-2'!$G$10:$G$143,'試算番号4-2'!$I$10:$I$143,H95)</f>
        <v>0.52030607199209167</v>
      </c>
      <c r="P95" s="1">
        <f t="shared" si="29"/>
        <v>0.52851133122993177</v>
      </c>
      <c r="Q95" s="1">
        <f t="shared" si="25"/>
        <v>-1.9664999999999999E-3</v>
      </c>
      <c r="R95" s="33">
        <f t="shared" si="24"/>
        <v>1.0590951892063878</v>
      </c>
      <c r="S95" s="2">
        <f t="shared" si="30"/>
        <v>16.872030884775288</v>
      </c>
      <c r="T95" s="15">
        <f t="shared" si="27"/>
        <v>0.67556875367045088</v>
      </c>
      <c r="U95" s="10">
        <f t="shared" si="26"/>
        <v>2.0112838198243541E-2</v>
      </c>
      <c r="V95" s="45"/>
      <c r="W95" s="1"/>
      <c r="X95" s="10"/>
    </row>
    <row r="96" spans="1:24">
      <c r="H96" s="13">
        <f t="shared" si="31"/>
        <v>19.75</v>
      </c>
      <c r="K96" s="1">
        <f>Interpolate_Range('試算番号4-3'!$G$27:$G$143,'試算番号4-3'!$O$27:$O$143,H96)</f>
        <v>3.0432445345678003E-2</v>
      </c>
      <c r="L96" s="2">
        <f>Interpolate_Range('試算番号4-3'!$G$10:$G$143,'試算番号4-3'!$I$10:$I$143,H96)</f>
        <v>0.63319495765333467</v>
      </c>
      <c r="M96" s="1">
        <f t="shared" si="28"/>
        <v>0.41153277804312866</v>
      </c>
      <c r="N96" s="14">
        <f>Interpolate_Range('試算番号4-2'!$G$27:$G$143,'試算番号4-2'!$N$27:$N$143,H96)</f>
        <v>4.6523610294879593E-2</v>
      </c>
      <c r="O96" s="2">
        <f>Interpolate_Range('試算番号4-2'!$G$10:$G$143,'試算番号4-2'!$I$10:$I$143,H96)</f>
        <v>0.51469803546023618</v>
      </c>
      <c r="P96" s="1">
        <f t="shared" si="29"/>
        <v>0.53449773393525479</v>
      </c>
      <c r="Q96" s="1">
        <f t="shared" si="25"/>
        <v>-1.9582499999999999E-3</v>
      </c>
      <c r="R96" s="33">
        <f t="shared" si="24"/>
        <v>1.0597544238356187</v>
      </c>
      <c r="S96" s="2">
        <f t="shared" si="30"/>
        <v>17.039788674156171</v>
      </c>
      <c r="T96" s="15">
        <f t="shared" si="27"/>
        <v>0.6710311575235286</v>
      </c>
      <c r="U96" s="10">
        <f t="shared" si="26"/>
        <v>2.0199478917833268E-2</v>
      </c>
      <c r="V96" s="45"/>
      <c r="W96" s="1"/>
      <c r="X96" s="10"/>
    </row>
    <row r="97" spans="8:24">
      <c r="H97" s="13">
        <f t="shared" si="31"/>
        <v>20</v>
      </c>
      <c r="K97" s="1">
        <f>Interpolate_Range('試算番号4-3'!$G$27:$G$143,'試算番号4-3'!$O$27:$O$143,H97)</f>
        <v>3.0432445345678003E-2</v>
      </c>
      <c r="L97" s="2">
        <f>Interpolate_Range('試算番号4-3'!$G$10:$G$143,'試算番号4-3'!$I$10:$I$143,H97)</f>
        <v>0.62851641672466263</v>
      </c>
      <c r="M97" s="1">
        <f t="shared" si="28"/>
        <v>0.41660326569419509</v>
      </c>
      <c r="N97" s="14">
        <f>Interpolate_Range('試算番号4-2'!$G$27:$G$143,'試算番号4-2'!$N$27:$N$143,H97)</f>
        <v>4.6523610294879593E-2</v>
      </c>
      <c r="O97" s="2">
        <f>Interpolate_Range('試算番号4-2'!$G$10:$G$143,'試算番号4-2'!$I$10:$I$143,H97)</f>
        <v>0.50908999892838069</v>
      </c>
      <c r="P97" s="1">
        <f t="shared" si="29"/>
        <v>0.54041891011404597</v>
      </c>
      <c r="Q97" s="1">
        <f t="shared" si="25"/>
        <v>-1.9499999999999999E-3</v>
      </c>
      <c r="R97" s="33">
        <f t="shared" si="24"/>
        <v>1.0603670991985803</v>
      </c>
      <c r="S97" s="2">
        <f t="shared" si="30"/>
        <v>17.206403206556423</v>
      </c>
      <c r="T97" s="15">
        <f t="shared" si="27"/>
        <v>0.66645812960101658</v>
      </c>
      <c r="U97" s="10">
        <f t="shared" si="26"/>
        <v>2.0288898132025775E-2</v>
      </c>
      <c r="V97" s="45"/>
      <c r="W97" s="1"/>
      <c r="X97" s="10"/>
    </row>
    <row r="98" spans="8:24">
      <c r="H98" s="13">
        <f t="shared" si="31"/>
        <v>20.25</v>
      </c>
      <c r="K98" s="1">
        <f>Interpolate_Range('試算番号4-3'!$G$27:$G$143,'試算番号4-3'!$O$27:$O$143,H98)</f>
        <v>2.5554163644894681E-2</v>
      </c>
      <c r="L98" s="2">
        <f>Interpolate_Range('試算番号4-3'!$G$10:$G$143,'試算番号4-3'!$I$10:$I$143,H98)</f>
        <v>0.62474311660170245</v>
      </c>
      <c r="M98" s="1">
        <f t="shared" si="28"/>
        <v>0.42084059591822159</v>
      </c>
      <c r="N98" s="14">
        <f>Interpolate_Range('試算番号4-2'!$G$27:$G$143,'試算番号4-2'!$N$27:$N$143,H98)</f>
        <v>4.3649417616858935E-2</v>
      </c>
      <c r="O98" s="2">
        <f>Interpolate_Range('試算番号4-2'!$G$10:$G$143,'試算番号4-2'!$I$10:$I$143,H98)</f>
        <v>0.50438177310825572</v>
      </c>
      <c r="P98" s="1">
        <f t="shared" si="29"/>
        <v>0.54592290277722944</v>
      </c>
      <c r="Q98" s="1">
        <f t="shared" si="25"/>
        <v>-1.9459999999999998E-3</v>
      </c>
      <c r="R98" s="33">
        <f t="shared" si="24"/>
        <v>1.0616690349070681</v>
      </c>
      <c r="S98" s="2">
        <f t="shared" si="30"/>
        <v>17.372220811973264</v>
      </c>
      <c r="T98" s="15">
        <f t="shared" si="27"/>
        <v>0.66327042166736339</v>
      </c>
      <c r="U98" s="10">
        <f t="shared" si="26"/>
        <v>2.0275184994417786E-2</v>
      </c>
      <c r="V98" s="45"/>
      <c r="W98" s="1"/>
      <c r="X98" s="10"/>
    </row>
    <row r="99" spans="8:24">
      <c r="H99" s="13">
        <f t="shared" si="31"/>
        <v>20.5</v>
      </c>
      <c r="K99" s="1">
        <f>Interpolate_Range('試算番号4-3'!$G$27:$G$143,'試算番号4-3'!$O$27:$O$143,H99)</f>
        <v>2.5554163644894681E-2</v>
      </c>
      <c r="L99" s="2">
        <f>Interpolate_Range('試算番号4-3'!$G$10:$G$143,'試算番号4-3'!$I$10:$I$143,H99)</f>
        <v>0.6209698164787415</v>
      </c>
      <c r="M99" s="1">
        <f t="shared" si="28"/>
        <v>0.42505734612039048</v>
      </c>
      <c r="N99" s="14">
        <f>Interpolate_Range('試算番号4-2'!$G$27:$G$143,'試算番号4-2'!$N$27:$N$143,H99)</f>
        <v>4.3649417616858935E-2</v>
      </c>
      <c r="O99" s="2">
        <f>Interpolate_Range('試算番号4-2'!$G$10:$G$143,'試算番号4-2'!$I$10:$I$143,H99)</f>
        <v>0.49967354728813079</v>
      </c>
      <c r="P99" s="1">
        <f t="shared" si="29"/>
        <v>0.55137551761164871</v>
      </c>
      <c r="Q99" s="1">
        <f t="shared" si="25"/>
        <v>-1.9419999999999999E-3</v>
      </c>
      <c r="R99" s="33">
        <f t="shared" si="24"/>
        <v>1.0629325417794575</v>
      </c>
      <c r="S99" s="2">
        <f t="shared" si="30"/>
        <v>17.537233068322781</v>
      </c>
      <c r="T99" s="15">
        <f t="shared" si="27"/>
        <v>0.66004902539807198</v>
      </c>
      <c r="U99" s="10">
        <f t="shared" si="26"/>
        <v>2.0265422722643221E-2</v>
      </c>
      <c r="V99" s="45"/>
      <c r="W99" s="1"/>
      <c r="X99" s="10"/>
    </row>
    <row r="100" spans="8:24">
      <c r="H100" s="13">
        <f t="shared" si="31"/>
        <v>20.75</v>
      </c>
      <c r="K100" s="1">
        <f>Interpolate_Range('試算番号4-3'!$G$27:$G$143,'試算番号4-3'!$O$27:$O$143,H100)</f>
        <v>2.5552260215163328E-2</v>
      </c>
      <c r="L100" s="2">
        <f>Interpolate_Range('試算番号4-3'!$G$10:$G$143,'試算番号4-3'!$I$10:$I$143,H100)</f>
        <v>0.61719651635578132</v>
      </c>
      <c r="M100" s="1">
        <f t="shared" si="28"/>
        <v>0.42925333880408462</v>
      </c>
      <c r="N100" s="14">
        <f>Interpolate_Range('試算番号4-2'!$G$27:$G$143,'試算番号4-2'!$N$27:$N$143,H100)</f>
        <v>4.4090930855270521E-2</v>
      </c>
      <c r="O100" s="2">
        <f>Interpolate_Range('試算番号4-2'!$G$10:$G$143,'試算番号4-2'!$I$10:$I$143,H100)</f>
        <v>0.49496532146800587</v>
      </c>
      <c r="P100" s="1">
        <f t="shared" si="29"/>
        <v>0.55683138805279941</v>
      </c>
      <c r="Q100" s="1">
        <f t="shared" si="25"/>
        <v>-1.9379999999999998E-3</v>
      </c>
      <c r="R100" s="33">
        <f t="shared" si="24"/>
        <v>1.0642457535426975</v>
      </c>
      <c r="S100" s="2">
        <f t="shared" si="30"/>
        <v>17.701445261231026</v>
      </c>
      <c r="T100" s="15">
        <f t="shared" si="27"/>
        <v>0.65684877163298627</v>
      </c>
      <c r="U100" s="10">
        <f t="shared" si="26"/>
        <v>2.0255492393056795E-2</v>
      </c>
      <c r="V100" s="45"/>
      <c r="W100" s="1"/>
      <c r="X100" s="10"/>
    </row>
    <row r="101" spans="8:24">
      <c r="H101" s="13">
        <f t="shared" si="31"/>
        <v>21</v>
      </c>
      <c r="K101" s="1">
        <f>Interpolate_Range('試算番号4-3'!$G$27:$G$143,'試算番号4-3'!$O$27:$O$143,H101)</f>
        <v>2.5552260215163328E-2</v>
      </c>
      <c r="L101" s="2">
        <f>Interpolate_Range('試算番号4-3'!$G$10:$G$143,'試算番号4-3'!$I$10:$I$143,H101)</f>
        <v>0.61342321623282037</v>
      </c>
      <c r="M101" s="1">
        <f t="shared" si="28"/>
        <v>0.43342867013813591</v>
      </c>
      <c r="N101" s="14">
        <f>Interpolate_Range('試算番号4-2'!$G$27:$G$143,'試算番号4-2'!$N$27:$N$143,H101)</f>
        <v>4.4090930855270521E-2</v>
      </c>
      <c r="O101" s="2">
        <f>Interpolate_Range('試算番号4-2'!$G$10:$G$143,'試算番号4-2'!$I$10:$I$143,H101)</f>
        <v>0.49025709564788089</v>
      </c>
      <c r="P101" s="1">
        <f t="shared" si="29"/>
        <v>0.56223536097917848</v>
      </c>
      <c r="Q101" s="1">
        <f t="shared" si="25"/>
        <v>-1.934E-3</v>
      </c>
      <c r="R101" s="33">
        <f t="shared" si="24"/>
        <v>1.0655195090309306</v>
      </c>
      <c r="S101" s="2">
        <f t="shared" si="30"/>
        <v>17.864848862278169</v>
      </c>
      <c r="T101" s="15">
        <f t="shared" si="27"/>
        <v>0.6536144041885692</v>
      </c>
      <c r="U101" s="10">
        <f t="shared" si="26"/>
        <v>2.024941416414177E-2</v>
      </c>
      <c r="V101" s="45"/>
      <c r="W101" s="1"/>
      <c r="X101" s="10"/>
    </row>
    <row r="102" spans="8:24">
      <c r="H102" s="13">
        <f t="shared" si="31"/>
        <v>21.25</v>
      </c>
      <c r="K102" s="1">
        <f>Interpolate_Range('試算番号4-3'!$G$27:$G$143,'試算番号4-3'!$O$27:$O$143,H102)</f>
        <v>2.5666714152752408E-2</v>
      </c>
      <c r="L102" s="2">
        <f>Interpolate_Range('試算番号4-3'!$G$10:$G$143,'試算番号4-3'!$I$10:$I$143,H102)</f>
        <v>0.60970982610006397</v>
      </c>
      <c r="M102" s="1">
        <f t="shared" si="28"/>
        <v>0.43760262135038308</v>
      </c>
      <c r="N102" s="14">
        <f>Interpolate_Range('試算番号4-2'!$G$27:$G$143,'試算番号4-2'!$N$27:$N$143,H102)</f>
        <v>4.4542376214050834E-2</v>
      </c>
      <c r="O102" s="2">
        <f>Interpolate_Range('試算番号4-2'!$G$10:$G$143,'試算番号4-2'!$I$10:$I$143,H102)</f>
        <v>0.48565093131742176</v>
      </c>
      <c r="P102" s="1">
        <f t="shared" si="29"/>
        <v>0.56764337260203968</v>
      </c>
      <c r="Q102" s="1">
        <f t="shared" si="25"/>
        <v>-1.9299999999999999E-3</v>
      </c>
      <c r="R102" s="33">
        <f t="shared" si="24"/>
        <v>1.0668758676592893</v>
      </c>
      <c r="S102" s="2">
        <f t="shared" si="30"/>
        <v>18.027470037213394</v>
      </c>
      <c r="T102" s="15">
        <f t="shared" si="27"/>
        <v>0.65048469974090017</v>
      </c>
      <c r="U102" s="10">
        <f t="shared" si="26"/>
        <v>2.0237058921103546E-2</v>
      </c>
      <c r="V102" s="45"/>
      <c r="W102" s="1"/>
      <c r="X102" s="10"/>
    </row>
    <row r="103" spans="8:24">
      <c r="H103" s="13">
        <f t="shared" si="31"/>
        <v>21.5</v>
      </c>
      <c r="K103" s="1">
        <f>Interpolate_Range('試算番号4-3'!$G$27:$G$143,'試算番号4-3'!$O$27:$O$143,H103)</f>
        <v>2.5666714152752408E-2</v>
      </c>
      <c r="L103" s="2">
        <f>Interpolate_Range('試算番号4-3'!$G$10:$G$143,'試算番号4-3'!$I$10:$I$143,H103)</f>
        <v>0.60599643596730757</v>
      </c>
      <c r="M103" s="1">
        <f t="shared" si="28"/>
        <v>0.44175627326065992</v>
      </c>
      <c r="N103" s="14">
        <f>Interpolate_Range('試算番号4-2'!$G$27:$G$143,'試算番号4-2'!$N$27:$N$143,H103)</f>
        <v>4.4542376214050834E-2</v>
      </c>
      <c r="O103" s="2">
        <f>Interpolate_Range('試算番号4-2'!$G$10:$G$143,'試算番号4-2'!$I$10:$I$143,H103)</f>
        <v>0.48104476698696258</v>
      </c>
      <c r="P103" s="1">
        <f t="shared" si="29"/>
        <v>0.5730000918487731</v>
      </c>
      <c r="Q103" s="1">
        <f t="shared" si="25"/>
        <v>-1.926E-3</v>
      </c>
      <c r="R103" s="33">
        <f t="shared" si="24"/>
        <v>1.0681930447011478</v>
      </c>
      <c r="S103" s="2">
        <f t="shared" si="30"/>
        <v>18.189300331716886</v>
      </c>
      <c r="T103" s="15">
        <f t="shared" si="27"/>
        <v>0.64732117801396249</v>
      </c>
      <c r="U103" s="10">
        <f t="shared" si="26"/>
        <v>2.022849751175004E-2</v>
      </c>
      <c r="V103" s="45"/>
      <c r="W103" s="1"/>
      <c r="X103" s="10"/>
    </row>
    <row r="104" spans="8:24">
      <c r="H104" s="13">
        <f t="shared" si="31"/>
        <v>21.75</v>
      </c>
      <c r="K104" s="1">
        <f>Interpolate_Range('試算番号4-3'!$G$27:$G$143,'試算番号4-3'!$O$27:$O$143,H104)</f>
        <v>2.5695556950715636E-2</v>
      </c>
      <c r="L104" s="2">
        <f>Interpolate_Range('試算番号4-3'!$G$10:$G$143,'試算番号4-3'!$I$10:$I$143,H104)</f>
        <v>0.60228304583455061</v>
      </c>
      <c r="M104" s="1">
        <f t="shared" si="28"/>
        <v>0.44589437205973459</v>
      </c>
      <c r="N104" s="14">
        <f>Interpolate_Range('試算番号4-2'!$G$27:$G$143,'試算番号4-2'!$N$27:$N$143,H104)</f>
        <v>4.4998473120978912E-2</v>
      </c>
      <c r="O104" s="2">
        <f>Interpolate_Range('試算番号4-2'!$G$10:$G$143,'試算番号4-2'!$I$10:$I$143,H104)</f>
        <v>0.47643860265650345</v>
      </c>
      <c r="P104" s="1">
        <f t="shared" si="29"/>
        <v>0.57835984426263198</v>
      </c>
      <c r="Q104" s="1">
        <f t="shared" si="25"/>
        <v>-1.9219999999999999E-3</v>
      </c>
      <c r="R104" s="33">
        <f t="shared" si="24"/>
        <v>1.06955266280174</v>
      </c>
      <c r="S104" s="2">
        <f t="shared" si="30"/>
        <v>18.350343690575059</v>
      </c>
      <c r="T104" s="15">
        <f t="shared" si="27"/>
        <v>0.64417343543268601</v>
      </c>
      <c r="U104" s="10">
        <f t="shared" si="26"/>
        <v>2.0220104802622596E-2</v>
      </c>
      <c r="V104" s="45"/>
      <c r="W104" s="1"/>
      <c r="X104" s="10"/>
    </row>
    <row r="105" spans="8:24">
      <c r="H105" s="13">
        <f t="shared" si="31"/>
        <v>22</v>
      </c>
      <c r="K105" s="1">
        <f>Interpolate_Range('試算番号4-3'!$G$27:$G$143,'試算番号4-3'!$O$27:$O$143,H105)</f>
        <v>2.5695556950715636E-2</v>
      </c>
      <c r="L105" s="2">
        <f>Interpolate_Range('試算番号4-3'!$G$10:$G$143,'試算番号4-3'!$I$10:$I$143,H105)</f>
        <v>0.59856965570179421</v>
      </c>
      <c r="M105" s="1">
        <f t="shared" si="28"/>
        <v>0.45001203046809773</v>
      </c>
      <c r="N105" s="14">
        <f>Interpolate_Range('試算番号4-2'!$G$27:$G$143,'試算番号4-2'!$N$27:$N$143,H105)</f>
        <v>4.4998473120978912E-2</v>
      </c>
      <c r="O105" s="2">
        <f>Interpolate_Range('試算番号4-2'!$G$10:$G$143,'試算番号4-2'!$I$10:$I$143,H105)</f>
        <v>0.47183243832604432</v>
      </c>
      <c r="P105" s="1">
        <f t="shared" si="29"/>
        <v>0.58366777908603706</v>
      </c>
      <c r="Q105" s="1">
        <f t="shared" si="25"/>
        <v>-1.918E-3</v>
      </c>
      <c r="R105" s="33">
        <f t="shared" si="24"/>
        <v>1.0708720287799693</v>
      </c>
      <c r="S105" s="2">
        <f t="shared" si="30"/>
        <v>18.510591565966937</v>
      </c>
      <c r="T105" s="15">
        <f t="shared" si="27"/>
        <v>0.64099150156750806</v>
      </c>
      <c r="U105" s="10">
        <f t="shared" si="26"/>
        <v>2.0215412737925775E-2</v>
      </c>
      <c r="V105" s="45"/>
      <c r="W105" s="1"/>
      <c r="X105" s="10"/>
    </row>
    <row r="106" spans="8:24">
      <c r="H106" s="13">
        <f t="shared" si="31"/>
        <v>22.25</v>
      </c>
      <c r="K106" s="1">
        <f>Interpolate_Range('試算番号4-3'!$G$27:$G$143,'試算番号4-3'!$O$27:$O$143,H106)</f>
        <v>2.581224123541033E-2</v>
      </c>
      <c r="L106" s="2">
        <f>Interpolate_Range('試算番号4-3'!$G$10:$G$143,'試算番号4-3'!$I$10:$I$143,H106)</f>
        <v>0.59491569810779932</v>
      </c>
      <c r="M106" s="1">
        <f t="shared" si="28"/>
        <v>0.45412852316037833</v>
      </c>
      <c r="N106" s="14">
        <f>Interpolate_Range('試算番号4-2'!$G$27:$G$143,'試算番号4-2'!$N$27:$N$143,H106)</f>
        <v>4.5465081102366606E-2</v>
      </c>
      <c r="O106" s="2">
        <f>Interpolate_Range('試算番号4-2'!$G$10:$G$143,'試算番号4-2'!$I$10:$I$143,H106)</f>
        <v>0.46732771008807694</v>
      </c>
      <c r="P106" s="1">
        <f t="shared" si="29"/>
        <v>0.58897955214617148</v>
      </c>
      <c r="Q106" s="1">
        <f t="shared" si="25"/>
        <v>-1.9139999999999999E-3</v>
      </c>
      <c r="R106" s="33">
        <f t="shared" si="24"/>
        <v>1.0722750380458372</v>
      </c>
      <c r="S106" s="2">
        <f t="shared" si="30"/>
        <v>18.670069879172587</v>
      </c>
      <c r="T106" s="15">
        <f t="shared" si="27"/>
        <v>0.63791325282260636</v>
      </c>
      <c r="U106" s="10">
        <f t="shared" si="26"/>
        <v>2.020462796604193E-2</v>
      </c>
      <c r="V106" s="45"/>
      <c r="W106" s="1"/>
      <c r="X106" s="10"/>
    </row>
    <row r="107" spans="8:24">
      <c r="H107" s="13">
        <f t="shared" si="31"/>
        <v>22.5</v>
      </c>
      <c r="K107" s="1">
        <f>Interpolate_Range('試算番号4-3'!$G$27:$G$143,'試算番号4-3'!$O$27:$O$143,H107)</f>
        <v>2.581224123541033E-2</v>
      </c>
      <c r="L107" s="2">
        <f>Interpolate_Range('試算番号4-3'!$G$10:$G$143,'試算番号4-3'!$I$10:$I$143,H107)</f>
        <v>0.59126174051380498</v>
      </c>
      <c r="M107" s="1">
        <f t="shared" si="28"/>
        <v>0.45822493309130147</v>
      </c>
      <c r="N107" s="14">
        <f>Interpolate_Range('試算番号4-2'!$G$27:$G$143,'試算番号4-2'!$N$27:$N$143,H107)</f>
        <v>4.5465081102366606E-2</v>
      </c>
      <c r="O107" s="2">
        <f>Interpolate_Range('試算番号4-2'!$G$10:$G$143,'試算番号4-2'!$I$10:$I$143,H107)</f>
        <v>0.46282298185011023</v>
      </c>
      <c r="P107" s="1">
        <f t="shared" si="29"/>
        <v>0.59424012324763509</v>
      </c>
      <c r="Q107" s="1">
        <f t="shared" si="25"/>
        <v>-1.9099999999999998E-3</v>
      </c>
      <c r="R107" s="33">
        <f t="shared" si="24"/>
        <v>1.0736380853262397</v>
      </c>
      <c r="S107" s="2">
        <f t="shared" si="30"/>
        <v>18.828770159925561</v>
      </c>
      <c r="T107" s="15">
        <f t="shared" si="27"/>
        <v>0.63480112301190161</v>
      </c>
      <c r="U107" s="10">
        <f t="shared" si="26"/>
        <v>2.0197489833403453E-2</v>
      </c>
      <c r="V107" s="45"/>
      <c r="W107" s="1"/>
      <c r="X107" s="10"/>
    </row>
    <row r="108" spans="8:24">
      <c r="H108" s="13">
        <f t="shared" si="31"/>
        <v>22.75</v>
      </c>
      <c r="K108" s="1">
        <f>Interpolate_Range('試算番号4-3'!$G$27:$G$143,'試算番号4-3'!$O$27:$O$143,H108)</f>
        <v>2.58416209701464E-2</v>
      </c>
      <c r="L108" s="2">
        <f>Interpolate_Range('試算番号4-3'!$G$10:$G$143,'試算番号4-3'!$I$10:$I$143,H108)</f>
        <v>0.58760778291981064</v>
      </c>
      <c r="M108" s="1">
        <f t="shared" si="28"/>
        <v>0.46230599978675868</v>
      </c>
      <c r="N108" s="14">
        <f>Interpolate_Range('試算番号4-2'!$G$27:$G$143,'試算番号4-2'!$N$27:$N$143,H108)</f>
        <v>4.5936838162835968E-2</v>
      </c>
      <c r="O108" s="2">
        <f>Interpolate_Range('試算番号4-2'!$G$10:$G$143,'試算番号4-2'!$I$10:$I$143,H108)</f>
        <v>0.4583182536121429</v>
      </c>
      <c r="P108" s="1">
        <f t="shared" si="29"/>
        <v>0.59950354610844869</v>
      </c>
      <c r="Q108" s="1">
        <f t="shared" si="25"/>
        <v>-1.9059999999999999E-3</v>
      </c>
      <c r="R108" s="33">
        <f t="shared" si="24"/>
        <v>1.0750443771980465</v>
      </c>
      <c r="S108" s="2">
        <f t="shared" si="30"/>
        <v>18.986696270682</v>
      </c>
      <c r="T108" s="15">
        <f t="shared" si="27"/>
        <v>0.63170444302575268</v>
      </c>
      <c r="U108" s="10">
        <f t="shared" si="26"/>
        <v>2.0190490007011796E-2</v>
      </c>
      <c r="V108" s="45"/>
      <c r="W108" s="1"/>
      <c r="X108" s="10"/>
    </row>
    <row r="109" spans="8:24">
      <c r="H109" s="13">
        <f t="shared" si="31"/>
        <v>23</v>
      </c>
      <c r="K109" s="1">
        <f>Interpolate_Range('試算番号4-3'!$G$27:$G$143,'試算番号4-3'!$O$27:$O$143,H109)</f>
        <v>2.58416209701464E-2</v>
      </c>
      <c r="L109" s="2">
        <f>Interpolate_Range('試算番号4-3'!$G$10:$G$143,'試算番号4-3'!$I$10:$I$143,H109)</f>
        <v>0.58395382532581575</v>
      </c>
      <c r="M109" s="1">
        <f t="shared" si="28"/>
        <v>0.46636683935220763</v>
      </c>
      <c r="N109" s="14">
        <f>Interpolate_Range('試算番号4-2'!$G$27:$G$143,'試算番号4-2'!$N$27:$N$143,H109)</f>
        <v>4.5936838162835968E-2</v>
      </c>
      <c r="O109" s="2">
        <f>Interpolate_Range('試算番号4-2'!$G$10:$G$143,'試算番号4-2'!$I$10:$I$143,H109)</f>
        <v>0.45381352537417552</v>
      </c>
      <c r="P109" s="1">
        <f t="shared" si="29"/>
        <v>0.60471523572625363</v>
      </c>
      <c r="Q109" s="1">
        <f t="shared" si="25"/>
        <v>-1.9019999999999998E-3</v>
      </c>
      <c r="R109" s="33">
        <f t="shared" si="24"/>
        <v>1.0764096020877325</v>
      </c>
      <c r="S109" s="2">
        <f t="shared" si="30"/>
        <v>19.143839646871143</v>
      </c>
      <c r="T109" s="15">
        <f t="shared" si="27"/>
        <v>0.62857350475657059</v>
      </c>
      <c r="U109" s="10">
        <f t="shared" si="26"/>
        <v>2.0187056744118956E-2</v>
      </c>
      <c r="V109" s="45"/>
      <c r="W109" s="1"/>
      <c r="X109" s="10"/>
    </row>
    <row r="110" spans="8:24">
      <c r="H110" s="13">
        <f t="shared" si="31"/>
        <v>23.25</v>
      </c>
      <c r="K110" s="1">
        <f>Interpolate_Range('試算番号4-3'!$G$27:$G$143,'試算番号4-3'!$O$27:$O$143,H110)</f>
        <v>2.596043773215095E-2</v>
      </c>
      <c r="L110" s="2">
        <f>Interpolate_Range('試算番号4-3'!$G$10:$G$143,'試算番号4-3'!$I$10:$I$143,H110)</f>
        <v>0.58035881530052846</v>
      </c>
      <c r="M110" s="1">
        <f t="shared" si="28"/>
        <v>0.47042669671877652</v>
      </c>
      <c r="N110" s="14">
        <f>Interpolate_Range('試算番号4-2'!$G$27:$G$143,'試算番号4-2'!$N$27:$N$143,H110)</f>
        <v>4.6419731930036782E-2</v>
      </c>
      <c r="O110" s="2">
        <f>Interpolate_Range('試算番号4-2'!$G$10:$G$143,'試算番号4-2'!$I$10:$I$143,H110)</f>
        <v>0.44940955116821546</v>
      </c>
      <c r="P110" s="1">
        <f t="shared" si="29"/>
        <v>0.60993060344926031</v>
      </c>
      <c r="Q110" s="1">
        <f t="shared" si="25"/>
        <v>-1.8979999999999999E-3</v>
      </c>
      <c r="R110" s="33">
        <f t="shared" si="24"/>
        <v>1.0778595418820576</v>
      </c>
      <c r="S110" s="2">
        <f t="shared" si="30"/>
        <v>19.300225968567904</v>
      </c>
      <c r="T110" s="15">
        <f t="shared" si="27"/>
        <v>0.62554528678704124</v>
      </c>
      <c r="U110" s="10">
        <f t="shared" si="26"/>
        <v>2.0177701107848493E-2</v>
      </c>
      <c r="V110" s="45"/>
      <c r="W110" s="1"/>
      <c r="X110" s="10"/>
    </row>
    <row r="111" spans="8:24">
      <c r="H111" s="13">
        <f t="shared" si="31"/>
        <v>23.5</v>
      </c>
      <c r="K111" s="1">
        <f>Interpolate_Range('試算番号4-3'!$G$27:$G$143,'試算番号4-3'!$O$27:$O$143,H111)</f>
        <v>2.596043773215095E-2</v>
      </c>
      <c r="L111" s="2">
        <f>Interpolate_Range('試算番号4-3'!$G$10:$G$143,'試算番号4-3'!$I$10:$I$143,H111)</f>
        <v>0.57676380527524063</v>
      </c>
      <c r="M111" s="1">
        <f t="shared" si="28"/>
        <v>0.4744666803765844</v>
      </c>
      <c r="N111" s="14">
        <f>Interpolate_Range('試算番号4-2'!$G$27:$G$143,'試算番号4-2'!$N$27:$N$143,H111)</f>
        <v>4.6419731930036782E-2</v>
      </c>
      <c r="O111" s="2">
        <f>Interpolate_Range('試算番号4-2'!$G$10:$G$143,'試算番号4-2'!$I$10:$I$143,H111)</f>
        <v>0.4450055769622554</v>
      </c>
      <c r="P111" s="1">
        <f t="shared" si="29"/>
        <v>0.61509486334675012</v>
      </c>
      <c r="Q111" s="1">
        <f t="shared" si="25"/>
        <v>-1.8939999999999999E-3</v>
      </c>
      <c r="R111" s="33">
        <f t="shared" si="24"/>
        <v>1.0792687196860906</v>
      </c>
      <c r="S111" s="2">
        <f t="shared" si="30"/>
        <v>19.455846751988076</v>
      </c>
      <c r="T111" s="15">
        <f t="shared" si="27"/>
        <v>0.62248313368068664</v>
      </c>
      <c r="U111" s="10">
        <f t="shared" si="26"/>
        <v>2.0171861510603975E-2</v>
      </c>
      <c r="V111" s="45"/>
      <c r="W111" s="1"/>
      <c r="X111" s="10"/>
    </row>
    <row r="112" spans="8:24">
      <c r="H112" s="13">
        <f t="shared" si="31"/>
        <v>23.75</v>
      </c>
      <c r="K112" s="1">
        <f>Interpolate_Range('試算番号4-3'!$G$27:$G$143,'試算番号4-3'!$O$27:$O$143,H112)</f>
        <v>2.5990376125467993E-2</v>
      </c>
      <c r="L112" s="2">
        <f>Interpolate_Range('試算番号4-3'!$G$10:$G$143,'試算番号4-3'!$I$10:$I$143,H112)</f>
        <v>0.57316879524995334</v>
      </c>
      <c r="M112" s="1">
        <f t="shared" si="28"/>
        <v>0.47849152498256953</v>
      </c>
      <c r="N112" s="14">
        <f>Interpolate_Range('試算番号4-2'!$G$27:$G$143,'試算番号4-2'!$N$27:$N$143,H112)</f>
        <v>4.6908327603643725E-2</v>
      </c>
      <c r="O112" s="2">
        <f>Interpolate_Range('試算番号4-2'!$G$10:$G$143,'試算番号4-2'!$I$10:$I$143,H112)</f>
        <v>0.4406016027562954</v>
      </c>
      <c r="P112" s="1">
        <f t="shared" si="29"/>
        <v>0.6202618344279458</v>
      </c>
      <c r="Q112" s="1">
        <f t="shared" si="25"/>
        <v>-1.89E-3</v>
      </c>
      <c r="R112" s="33">
        <f t="shared" si="24"/>
        <v>1.08072203385017</v>
      </c>
      <c r="S112" s="2">
        <f t="shared" si="30"/>
        <v>19.610705788523571</v>
      </c>
      <c r="T112" s="15">
        <f t="shared" si="27"/>
        <v>0.61943614614198117</v>
      </c>
      <c r="U112" s="10">
        <f t="shared" si="26"/>
        <v>2.0166132902841683E-2</v>
      </c>
      <c r="V112" s="45"/>
      <c r="W112" s="1"/>
      <c r="X112" s="10"/>
    </row>
    <row r="113" spans="8:24">
      <c r="H113" s="13">
        <f t="shared" si="31"/>
        <v>24</v>
      </c>
      <c r="K113" s="1">
        <f>Interpolate_Range('試算番号4-3'!$G$27:$G$143,'試算番号4-3'!$O$27:$O$143,H113)</f>
        <v>2.5990376125467993E-2</v>
      </c>
      <c r="L113" s="2">
        <f>Interpolate_Range('試算番号4-3'!$G$10:$G$143,'試算番号4-3'!$I$10:$I$143,H113)</f>
        <v>0.56957378522466606</v>
      </c>
      <c r="M113" s="1">
        <f t="shared" si="28"/>
        <v>0.48249634852640122</v>
      </c>
      <c r="N113" s="14">
        <f>Interpolate_Range('試算番号4-2'!$G$27:$G$143,'試算番号4-2'!$N$27:$N$143,H113)</f>
        <v>4.6908327603643725E-2</v>
      </c>
      <c r="O113" s="2">
        <f>Interpolate_Range('試算番号4-2'!$G$10:$G$143,'試算番号4-2'!$I$10:$I$143,H113)</f>
        <v>0.43619762855033534</v>
      </c>
      <c r="P113" s="1">
        <f t="shared" si="29"/>
        <v>0.62537715974293873</v>
      </c>
      <c r="Q113" s="1">
        <f t="shared" si="25"/>
        <v>-1.8859999999999999E-3</v>
      </c>
      <c r="R113" s="33">
        <f t="shared" si="24"/>
        <v>1.0821334446581021</v>
      </c>
      <c r="S113" s="2">
        <f t="shared" si="30"/>
        <v>19.764794499071602</v>
      </c>
      <c r="T113" s="15">
        <f t="shared" si="27"/>
        <v>0.61635484219212189</v>
      </c>
      <c r="U113" s="10">
        <f t="shared" si="26"/>
        <v>2.0163851615739314E-2</v>
      </c>
      <c r="V113" s="45"/>
      <c r="W113" s="1"/>
      <c r="X113" s="10"/>
    </row>
    <row r="114" spans="8:24">
      <c r="H114" s="13">
        <f t="shared" si="31"/>
        <v>24.25</v>
      </c>
      <c r="K114" s="1">
        <f>Interpolate_Range('試算番号4-3'!$G$27:$G$143,'試算番号4-3'!$O$27:$O$143,H114)</f>
        <v>2.6111417543450602E-2</v>
      </c>
      <c r="L114" s="2">
        <f>Interpolate_Range('試算番号4-3'!$G$10:$G$143,'試算番号4-3'!$I$10:$I$143,H114)</f>
        <v>0.56603723063201294</v>
      </c>
      <c r="M114" s="1">
        <f t="shared" si="28"/>
        <v>0.48650037302898164</v>
      </c>
      <c r="N114" s="14">
        <f>Interpolate_Range('試算番号4-2'!$G$27:$G$143,'試算番号4-2'!$N$27:$N$143,H114)</f>
        <v>4.7408737720934138E-2</v>
      </c>
      <c r="O114" s="2">
        <f>Interpolate_Range('試算番号4-2'!$G$10:$G$143,'試算番号4-2'!$I$10:$I$143,H114)</f>
        <v>0.43189367211280277</v>
      </c>
      <c r="P114" s="1">
        <f t="shared" si="29"/>
        <v>0.63049604319907049</v>
      </c>
      <c r="Q114" s="1">
        <f t="shared" si="25"/>
        <v>-1.882E-3</v>
      </c>
      <c r="R114" s="33">
        <f t="shared" si="24"/>
        <v>1.0836306260523827</v>
      </c>
      <c r="S114" s="2">
        <f t="shared" si="30"/>
        <v>19.918138318721283</v>
      </c>
      <c r="T114" s="15">
        <f t="shared" si="27"/>
        <v>0.61337527859872509</v>
      </c>
      <c r="U114" s="10">
        <f t="shared" si="26"/>
        <v>2.0155807437772261E-2</v>
      </c>
      <c r="V114" s="45"/>
      <c r="W114" s="1"/>
      <c r="X114" s="10"/>
    </row>
    <row r="115" spans="8:24">
      <c r="H115" s="13">
        <f t="shared" si="31"/>
        <v>24.5</v>
      </c>
      <c r="K115" s="1">
        <f>Interpolate_Range('試算番号4-3'!$G$27:$G$143,'試算番号4-3'!$O$27:$O$143,H115)</f>
        <v>2.6111417543450602E-2</v>
      </c>
      <c r="L115" s="2">
        <f>Interpolate_Range('試算番号4-3'!$G$10:$G$143,'試算番号4-3'!$I$10:$I$143,H115)</f>
        <v>0.56250067603936038</v>
      </c>
      <c r="M115" s="1">
        <f t="shared" si="28"/>
        <v>0.49048472555182304</v>
      </c>
      <c r="N115" s="14">
        <f>Interpolate_Range('試算番号4-2'!$G$27:$G$143,'試算番号4-2'!$N$27:$N$143,H115)</f>
        <v>4.7408737720934138E-2</v>
      </c>
      <c r="O115" s="2">
        <f>Interpolate_Range('試算番号4-2'!$G$10:$G$143,'試算番号4-2'!$I$10:$I$143,H115)</f>
        <v>0.42758971567527021</v>
      </c>
      <c r="P115" s="1">
        <f t="shared" si="29"/>
        <v>0.6355639153697249</v>
      </c>
      <c r="Q115" s="1">
        <f t="shared" ref="Q115:Q137" si="32">Interpolate_Range($A$17:$A$31,$B$17:$B$31,H115)</f>
        <v>-1.8779999999999999E-3</v>
      </c>
      <c r="R115" s="33">
        <f t="shared" si="24"/>
        <v>1.0850862231624703</v>
      </c>
      <c r="S115" s="2">
        <f t="shared" si="30"/>
        <v>20.070728752243756</v>
      </c>
      <c r="T115" s="15">
        <f t="shared" si="27"/>
        <v>0.61036173408988581</v>
      </c>
      <c r="U115" s="10">
        <f t="shared" ref="U115:U137" si="33">-LN(T115)/H115</f>
        <v>2.0151162892614059E-2</v>
      </c>
      <c r="V115" s="45"/>
      <c r="W115" s="1"/>
      <c r="X115" s="10"/>
    </row>
    <row r="116" spans="8:24">
      <c r="H116" s="13">
        <f t="shared" si="31"/>
        <v>24.75</v>
      </c>
      <c r="K116" s="1">
        <f>Interpolate_Range('試算番号4-3'!$G$27:$G$143,'試算番号4-3'!$O$27:$O$143,H116)</f>
        <v>2.6141938680599719E-2</v>
      </c>
      <c r="L116" s="2">
        <f>Interpolate_Range('試算番号4-3'!$G$10:$G$143,'試算番号4-3'!$I$10:$I$143,H116)</f>
        <v>0.55896412144670726</v>
      </c>
      <c r="M116" s="1">
        <f t="shared" si="28"/>
        <v>0.49445413788237053</v>
      </c>
      <c r="N116" s="14">
        <f>Interpolate_Range('試算番号4-2'!$G$27:$G$143,'試算番号4-2'!$N$27:$N$143,H116)</f>
        <v>4.7915464768629817E-2</v>
      </c>
      <c r="O116" s="2">
        <f>Interpolate_Range('試算番号4-2'!$G$10:$G$143,'試算番号4-2'!$I$10:$I$143,H116)</f>
        <v>0.42328575923773765</v>
      </c>
      <c r="P116" s="1">
        <f t="shared" si="29"/>
        <v>0.64063439884067952</v>
      </c>
      <c r="Q116" s="1">
        <f t="shared" si="32"/>
        <v>-1.874E-3</v>
      </c>
      <c r="R116" s="33">
        <f t="shared" si="24"/>
        <v>1.0865869421554084</v>
      </c>
      <c r="S116" s="2">
        <f t="shared" si="30"/>
        <v>20.222569531118097</v>
      </c>
      <c r="T116" s="15">
        <f t="shared" ref="T116:T137" si="34">L116*R116</f>
        <v>0.60736311549736199</v>
      </c>
      <c r="U116" s="10">
        <f t="shared" si="33"/>
        <v>2.0146604179431992E-2</v>
      </c>
      <c r="V116" s="45"/>
      <c r="W116" s="1"/>
      <c r="X116" s="10"/>
    </row>
    <row r="117" spans="8:24">
      <c r="H117" s="13">
        <f t="shared" si="31"/>
        <v>25</v>
      </c>
      <c r="K117" s="1">
        <f>Interpolate_Range('試算番号4-3'!$G$27:$G$143,'試算番号4-3'!$O$27:$O$143,H117)</f>
        <v>2.6141938680599719E-2</v>
      </c>
      <c r="L117" s="2">
        <f>Interpolate_Range('試算番号4-3'!$G$10:$G$143,'試算番号4-3'!$I$10:$I$143,H117)</f>
        <v>0.5554275668540547</v>
      </c>
      <c r="M117" s="1">
        <f t="shared" si="28"/>
        <v>0.49840372818120016</v>
      </c>
      <c r="N117" s="14">
        <f>Interpolate_Range('試算番号4-2'!$G$27:$G$143,'試算番号4-2'!$N$27:$N$143,H117)</f>
        <v>4.7915464768629817E-2</v>
      </c>
      <c r="O117" s="2">
        <f>Interpolate_Range('試算番号4-2'!$G$10:$G$143,'試算番号4-2'!$I$10:$I$143,H117)</f>
        <v>0.41898180280020508</v>
      </c>
      <c r="P117" s="1">
        <f t="shared" si="29"/>
        <v>0.64565332579337209</v>
      </c>
      <c r="Q117" s="1">
        <f t="shared" si="32"/>
        <v>-1.8699999999999999E-3</v>
      </c>
      <c r="R117" s="33">
        <f t="shared" si="24"/>
        <v>1.0880448970046006</v>
      </c>
      <c r="S117" s="2">
        <f t="shared" si="30"/>
        <v>20.373652063560908</v>
      </c>
      <c r="T117" s="15">
        <f t="shared" si="34"/>
        <v>0.6043301297712359</v>
      </c>
      <c r="U117" s="10">
        <f t="shared" si="33"/>
        <v>2.0145386315788591E-2</v>
      </c>
      <c r="V117" s="45"/>
      <c r="W117" s="1"/>
      <c r="X117" s="10"/>
    </row>
    <row r="118" spans="8:24">
      <c r="H118" s="13">
        <f t="shared" si="31"/>
        <v>25.25</v>
      </c>
      <c r="K118" s="1">
        <f>Interpolate_Range('試算番号4-3'!$G$27:$G$143,'試算番号4-3'!$O$27:$O$143,H118)</f>
        <v>2.4012922858973589E-2</v>
      </c>
      <c r="L118" s="2">
        <f>Interpolate_Range('試算番号4-3'!$G$10:$G$143,'試算番号4-3'!$I$10:$I$143,H118)</f>
        <v>0.55223294599751171</v>
      </c>
      <c r="M118" s="1">
        <f t="shared" si="28"/>
        <v>0.50201120702032964</v>
      </c>
      <c r="N118" s="14">
        <f>Interpolate_Range('試算番号4-2'!$G$27:$G$143,'試算番号4-2'!$N$27:$N$143,H118)</f>
        <v>3.6406481684415043E-2</v>
      </c>
      <c r="O118" s="2">
        <f>Interpolate_Range('試算番号4-2'!$G$10:$G$143,'試算番号4-2'!$I$10:$I$143,H118)</f>
        <v>0.41516351224809028</v>
      </c>
      <c r="P118" s="1">
        <f t="shared" si="29"/>
        <v>0.64943198649454648</v>
      </c>
      <c r="Q118" s="1">
        <f t="shared" si="32"/>
        <v>-1.8679999999999999E-3</v>
      </c>
      <c r="R118" s="33">
        <f t="shared" si="24"/>
        <v>1.0881692393200237</v>
      </c>
      <c r="S118" s="2">
        <f t="shared" si="30"/>
        <v>20.5238827897543</v>
      </c>
      <c r="T118" s="15">
        <f t="shared" si="34"/>
        <v>0.60092290477356802</v>
      </c>
      <c r="U118" s="10">
        <f t="shared" si="33"/>
        <v>2.0169846769198516E-2</v>
      </c>
      <c r="V118" s="45"/>
      <c r="W118" s="1"/>
      <c r="X118" s="10"/>
    </row>
    <row r="119" spans="8:24">
      <c r="H119" s="13">
        <f t="shared" si="31"/>
        <v>25.5</v>
      </c>
      <c r="K119" s="1">
        <f>Interpolate_Range('試算番号4-3'!$G$27:$G$143,'試算番号4-3'!$O$27:$O$143,H119)</f>
        <v>2.4012922858973589E-2</v>
      </c>
      <c r="L119" s="2">
        <f>Interpolate_Range('試算番号4-3'!$G$10:$G$143,'試算番号4-3'!$I$10:$I$143,H119)</f>
        <v>0.54903832514097095</v>
      </c>
      <c r="M119" s="1">
        <f t="shared" si="28"/>
        <v>0.50559813306146673</v>
      </c>
      <c r="N119" s="14">
        <f>Interpolate_Range('試算番号4-2'!$G$27:$G$143,'試算番号4-2'!$N$27:$N$143,H119)</f>
        <v>3.6406481684415043E-2</v>
      </c>
      <c r="O119" s="2">
        <f>Interpolate_Range('試算番号4-2'!$G$10:$G$143,'試算番号4-2'!$I$10:$I$143,H119)</f>
        <v>0.41134522169597554</v>
      </c>
      <c r="P119" s="1">
        <f t="shared" si="29"/>
        <v>0.65317589456445801</v>
      </c>
      <c r="Q119" s="1">
        <f t="shared" si="32"/>
        <v>-1.866E-3</v>
      </c>
      <c r="R119" s="33">
        <f t="shared" si="24"/>
        <v>1.0882651620836135</v>
      </c>
      <c r="S119" s="2">
        <f t="shared" si="30"/>
        <v>20.673257610229214</v>
      </c>
      <c r="T119" s="15">
        <f t="shared" si="34"/>
        <v>0.5974992818996544</v>
      </c>
      <c r="U119" s="10">
        <f t="shared" si="33"/>
        <v>2.0196164588971614E-2</v>
      </c>
      <c r="V119" s="45"/>
      <c r="W119" s="1"/>
      <c r="X119" s="10"/>
    </row>
    <row r="120" spans="8:24">
      <c r="H120" s="13">
        <f t="shared" si="31"/>
        <v>25.75</v>
      </c>
      <c r="K120" s="1">
        <f>Interpolate_Range('試算番号4-3'!$G$27:$G$143,'試算番号4-3'!$O$27:$O$143,H120)</f>
        <v>2.4011353409163508E-2</v>
      </c>
      <c r="L120" s="2">
        <f>Interpolate_Range('試算番号4-3'!$G$10:$G$143,'試算番号4-3'!$I$10:$I$143,H120)</f>
        <v>0.54584370428442797</v>
      </c>
      <c r="M120" s="1">
        <f t="shared" si="28"/>
        <v>0.50916417668306702</v>
      </c>
      <c r="N120" s="14">
        <f>Interpolate_Range('試算番号4-2'!$G$27:$G$143,'試算番号4-2'!$N$27:$N$143,H120)</f>
        <v>3.6406384769570761E-2</v>
      </c>
      <c r="O120" s="2">
        <f>Interpolate_Range('試算番号4-2'!$G$10:$G$143,'試算番号4-2'!$I$10:$I$143,H120)</f>
        <v>0.40752693114385974</v>
      </c>
      <c r="P120" s="1">
        <f t="shared" si="29"/>
        <v>0.65688504012925442</v>
      </c>
      <c r="Q120" s="1">
        <f t="shared" si="32"/>
        <v>-1.864E-3</v>
      </c>
      <c r="R120" s="33">
        <f t="shared" si="24"/>
        <v>1.0883327477741893</v>
      </c>
      <c r="S120" s="2">
        <f t="shared" si="30"/>
        <v>20.821772504863993</v>
      </c>
      <c r="T120" s="15">
        <f t="shared" si="34"/>
        <v>0.59405957853911351</v>
      </c>
      <c r="U120" s="10">
        <f t="shared" si="33"/>
        <v>2.0224297634111061E-2</v>
      </c>
      <c r="V120" s="45"/>
      <c r="W120" s="1"/>
      <c r="X120" s="10"/>
    </row>
    <row r="121" spans="8:24">
      <c r="H121" s="13">
        <f t="shared" si="31"/>
        <v>26</v>
      </c>
      <c r="K121" s="1">
        <f>Interpolate_Range('試算番号4-3'!$G$27:$G$143,'試算番号4-3'!$O$27:$O$143,H121)</f>
        <v>2.4011353409163508E-2</v>
      </c>
      <c r="L121" s="2">
        <f>Interpolate_Range('試算番号4-3'!$G$10:$G$143,'試算番号4-3'!$I$10:$I$143,H121)</f>
        <v>0.5426490834278872</v>
      </c>
      <c r="M121" s="1">
        <f t="shared" si="28"/>
        <v>0.51270947501518527</v>
      </c>
      <c r="N121" s="14">
        <f>Interpolate_Range('試算番号4-2'!$G$27:$G$143,'試算番号4-2'!$N$27:$N$143,H121)</f>
        <v>3.6406384769570761E-2</v>
      </c>
      <c r="O121" s="2">
        <f>Interpolate_Range('試算番号4-2'!$G$10:$G$143,'試算番号4-2'!$I$10:$I$143,H121)</f>
        <v>0.40370864059174494</v>
      </c>
      <c r="P121" s="1">
        <f t="shared" si="29"/>
        <v>0.6605594331553003</v>
      </c>
      <c r="Q121" s="1">
        <f t="shared" si="32"/>
        <v>-1.8619999999999999E-3</v>
      </c>
      <c r="R121" s="33">
        <f t="shared" si="24"/>
        <v>1.0883712571874744</v>
      </c>
      <c r="S121" s="2">
        <f t="shared" si="30"/>
        <v>20.969423421149504</v>
      </c>
      <c r="T121" s="15">
        <f t="shared" si="34"/>
        <v>0.59060366514204032</v>
      </c>
      <c r="U121" s="10">
        <f t="shared" si="33"/>
        <v>2.0254234765284412E-2</v>
      </c>
      <c r="V121" s="45"/>
      <c r="W121" s="1"/>
      <c r="X121" s="10"/>
    </row>
    <row r="122" spans="8:24">
      <c r="H122" s="13">
        <f t="shared" si="31"/>
        <v>26.25</v>
      </c>
      <c r="K122" s="1">
        <f>Interpolate_Range('試算番号4-3'!$G$27:$G$143,'試算番号4-3'!$O$27:$O$143,H122)</f>
        <v>2.3976561493453476E-2</v>
      </c>
      <c r="L122" s="2">
        <f>Interpolate_Range('試算番号4-3'!$G$10:$G$143,'試算番号4-3'!$I$10:$I$143,H122)</f>
        <v>0.53952052367095582</v>
      </c>
      <c r="M122" s="1">
        <f t="shared" si="28"/>
        <v>0.51622947397483232</v>
      </c>
      <c r="N122" s="14">
        <f>Interpolate_Range('試算番号4-2'!$G$27:$G$143,'試算番号4-2'!$N$27:$N$143,H122)</f>
        <v>3.6410970100117214E-2</v>
      </c>
      <c r="O122" s="2">
        <f>Interpolate_Range('試算番号4-2'!$G$10:$G$143,'試算番号4-2'!$I$10:$I$143,H122)</f>
        <v>0.3999928095615764</v>
      </c>
      <c r="P122" s="1">
        <f t="shared" si="29"/>
        <v>0.66420046471260241</v>
      </c>
      <c r="Q122" s="1">
        <f t="shared" si="32"/>
        <v>-1.8599999999999999E-3</v>
      </c>
      <c r="R122" s="33">
        <f t="shared" si="24"/>
        <v>1.0884479249546697</v>
      </c>
      <c r="S122" s="2">
        <f t="shared" si="30"/>
        <v>21.11623341976453</v>
      </c>
      <c r="T122" s="15">
        <f t="shared" si="34"/>
        <v>0.58723999446010866</v>
      </c>
      <c r="U122" s="10">
        <f t="shared" si="33"/>
        <v>2.0278921658843992E-2</v>
      </c>
      <c r="V122" s="45"/>
      <c r="W122" s="1"/>
      <c r="X122" s="10"/>
    </row>
    <row r="123" spans="8:24">
      <c r="H123" s="13">
        <f t="shared" si="31"/>
        <v>26.5</v>
      </c>
      <c r="K123" s="1">
        <f>Interpolate_Range('試算番号4-3'!$G$27:$G$143,'試算番号4-3'!$O$27:$O$143,H123)</f>
        <v>2.3976561493453476E-2</v>
      </c>
      <c r="L123" s="2">
        <f>Interpolate_Range('試算番号4-3'!$G$10:$G$143,'試算番号4-3'!$I$10:$I$143,H123)</f>
        <v>0.53639196391402655</v>
      </c>
      <c r="M123" s="1">
        <f t="shared" si="28"/>
        <v>0.51972921636446912</v>
      </c>
      <c r="N123" s="14">
        <f>Interpolate_Range('試算番号4-2'!$G$27:$G$143,'試算番号4-2'!$N$27:$N$143,H123)</f>
        <v>3.6410970100117214E-2</v>
      </c>
      <c r="O123" s="2">
        <f>Interpolate_Range('試算番号4-2'!$G$10:$G$143,'試算番号4-2'!$I$10:$I$143,H123)</f>
        <v>0.39627697853140786</v>
      </c>
      <c r="P123" s="1">
        <f t="shared" si="29"/>
        <v>0.66780767201677038</v>
      </c>
      <c r="Q123" s="1">
        <f t="shared" si="32"/>
        <v>-1.8579999999999998E-3</v>
      </c>
      <c r="R123" s="33">
        <f t="shared" si="24"/>
        <v>1.0884961714667063</v>
      </c>
      <c r="S123" s="2">
        <f t="shared" si="30"/>
        <v>21.262198569546012</v>
      </c>
      <c r="T123" s="15">
        <f t="shared" si="34"/>
        <v>0.58386059912592558</v>
      </c>
      <c r="U123" s="10">
        <f t="shared" si="33"/>
        <v>2.030539716128903E-2</v>
      </c>
      <c r="V123" s="45"/>
      <c r="W123" s="1"/>
      <c r="X123" s="10"/>
    </row>
    <row r="124" spans="8:24">
      <c r="H124" s="13">
        <f t="shared" si="31"/>
        <v>26.75</v>
      </c>
      <c r="K124" s="1">
        <f>Interpolate_Range('試算番号4-3'!$G$27:$G$143,'試算番号4-3'!$O$27:$O$143,H124)</f>
        <v>2.3987304923984931E-2</v>
      </c>
      <c r="L124" s="2">
        <f>Interpolate_Range('試算番号4-3'!$G$10:$G$143,'試算番号4-3'!$I$10:$I$143,H124)</f>
        <v>0.53326340415709517</v>
      </c>
      <c r="M124" s="1">
        <f t="shared" si="28"/>
        <v>0.52321015819038053</v>
      </c>
      <c r="N124" s="14">
        <f>Interpolate_Range('試算番号4-2'!$G$27:$G$143,'試算番号4-2'!$N$27:$N$143,H124)</f>
        <v>3.6410907688527484E-2</v>
      </c>
      <c r="O124" s="2">
        <f>Interpolate_Range('試算番号4-2'!$G$10:$G$143,'試算番号4-2'!$I$10:$I$143,H124)</f>
        <v>0.39256114750123933</v>
      </c>
      <c r="P124" s="1">
        <f t="shared" si="29"/>
        <v>0.67138104894271289</v>
      </c>
      <c r="Q124" s="1">
        <f t="shared" si="32"/>
        <v>-1.856E-3</v>
      </c>
      <c r="R124" s="33">
        <f t="shared" si="24"/>
        <v>1.0885127491895017</v>
      </c>
      <c r="S124" s="2">
        <f t="shared" si="30"/>
        <v>21.407314573071311</v>
      </c>
      <c r="T124" s="15">
        <f t="shared" si="34"/>
        <v>0.58046401410119197</v>
      </c>
      <c r="U124" s="10">
        <f t="shared" si="33"/>
        <v>2.0333737232827755E-2</v>
      </c>
      <c r="V124" s="45"/>
      <c r="W124" s="1"/>
      <c r="X124" s="10"/>
    </row>
    <row r="125" spans="8:24">
      <c r="H125" s="13">
        <f t="shared" si="31"/>
        <v>27</v>
      </c>
      <c r="K125" s="1">
        <f>Interpolate_Range('試算番号4-3'!$G$27:$G$143,'試算番号4-3'!$O$27:$O$143,H125)</f>
        <v>2.3987304923984931E-2</v>
      </c>
      <c r="L125" s="2">
        <f>Interpolate_Range('試算番号4-3'!$G$10:$G$143,'試算番号4-3'!$I$10:$I$143,H125)</f>
        <v>0.53013484440016589</v>
      </c>
      <c r="M125" s="1">
        <f t="shared" si="28"/>
        <v>0.52667063818932114</v>
      </c>
      <c r="N125" s="14">
        <f>Interpolate_Range('試算番号4-2'!$G$27:$G$143,'試算番号4-2'!$N$27:$N$143,H125)</f>
        <v>3.6410907688527484E-2</v>
      </c>
      <c r="O125" s="2">
        <f>Interpolate_Range('試算番号4-2'!$G$10:$G$143,'試算番号4-2'!$I$10:$I$143,H125)</f>
        <v>0.38884531647106979</v>
      </c>
      <c r="P125" s="1">
        <f t="shared" si="29"/>
        <v>0.67492060167349899</v>
      </c>
      <c r="Q125" s="1">
        <f t="shared" si="32"/>
        <v>-1.854E-3</v>
      </c>
      <c r="R125" s="33">
        <f t="shared" si="24"/>
        <v>1.0885002388109097</v>
      </c>
      <c r="S125" s="2">
        <f t="shared" si="30"/>
        <v>21.551577549254201</v>
      </c>
      <c r="T125" s="15">
        <f t="shared" si="34"/>
        <v>0.57705190473156509</v>
      </c>
      <c r="U125" s="10">
        <f t="shared" si="33"/>
        <v>2.0363817048616145E-2</v>
      </c>
      <c r="V125" s="45"/>
      <c r="W125" s="1"/>
      <c r="X125" s="10"/>
    </row>
    <row r="126" spans="8:24">
      <c r="H126" s="13">
        <f t="shared" si="31"/>
        <v>27.25</v>
      </c>
      <c r="K126" s="1">
        <f>Interpolate_Range('試算番号4-3'!$G$27:$G$143,'試算番号4-3'!$O$27:$O$143,H126)</f>
        <v>2.3952033217651752E-2</v>
      </c>
      <c r="L126" s="2">
        <f>Interpolate_Range('試算番号4-3'!$G$10:$G$143,'試算番号4-3'!$I$10:$I$143,H126)</f>
        <v>0.52707105222190775</v>
      </c>
      <c r="M126" s="1">
        <f t="shared" si="28"/>
        <v>0.53010614110627019</v>
      </c>
      <c r="N126" s="14">
        <f>Interpolate_Range('試算番号4-2'!$G$27:$G$143,'試算番号4-2'!$N$27:$N$143,H126)</f>
        <v>3.6415604883246973E-2</v>
      </c>
      <c r="O126" s="2">
        <f>Interpolate_Range('試算番号4-2'!$G$10:$G$143,'試算番号4-2'!$I$10:$I$143,H126)</f>
        <v>0.38522977317583412</v>
      </c>
      <c r="P126" s="1">
        <f t="shared" si="29"/>
        <v>0.6784276954758075</v>
      </c>
      <c r="Q126" s="1">
        <f t="shared" si="32"/>
        <v>-1.8519999999999999E-3</v>
      </c>
      <c r="R126" s="33">
        <f t="shared" si="24"/>
        <v>1.0885258903200639</v>
      </c>
      <c r="S126" s="2">
        <f t="shared" si="30"/>
        <v>21.695010170849649</v>
      </c>
      <c r="T126" s="15">
        <f t="shared" si="34"/>
        <v>0.57373048638178503</v>
      </c>
      <c r="U126" s="10">
        <f t="shared" si="33"/>
        <v>2.0388826746763795E-2</v>
      </c>
      <c r="V126" s="45"/>
      <c r="W126" s="1"/>
      <c r="X126" s="10"/>
    </row>
    <row r="127" spans="8:24">
      <c r="H127" s="13">
        <f t="shared" si="31"/>
        <v>27.5</v>
      </c>
      <c r="K127" s="1">
        <f>Interpolate_Range('試算番号4-3'!$G$27:$G$143,'試算番号4-3'!$O$27:$O$143,H127)</f>
        <v>2.3952033217651752E-2</v>
      </c>
      <c r="L127" s="2">
        <f>Interpolate_Range('試算番号4-3'!$G$10:$G$143,'試算番号4-3'!$I$10:$I$143,H127)</f>
        <v>0.52400726004365183</v>
      </c>
      <c r="M127" s="1">
        <f t="shared" si="28"/>
        <v>0.53352166520161914</v>
      </c>
      <c r="N127" s="14">
        <f>Interpolate_Range('試算番号4-2'!$G$27:$G$143,'試算番号4-2'!$N$27:$N$143,H127)</f>
        <v>3.6415604883246973E-2</v>
      </c>
      <c r="O127" s="2">
        <f>Interpolate_Range('試算番号4-2'!$G$10:$G$143,'試算番号4-2'!$I$10:$I$143,H127)</f>
        <v>0.38161422988059845</v>
      </c>
      <c r="P127" s="1">
        <f t="shared" si="29"/>
        <v>0.68190187372909661</v>
      </c>
      <c r="Q127" s="1">
        <f t="shared" si="32"/>
        <v>-1.8500000000000001E-3</v>
      </c>
      <c r="R127" s="33">
        <f t="shared" si="24"/>
        <v>1.0885231139895226</v>
      </c>
      <c r="S127" s="2">
        <f t="shared" si="30"/>
        <v>21.837608674463606</v>
      </c>
      <c r="T127" s="15">
        <f t="shared" si="34"/>
        <v>0.57039401445583349</v>
      </c>
      <c r="U127" s="10">
        <f t="shared" si="33"/>
        <v>2.0415560128285954E-2</v>
      </c>
      <c r="V127" s="45"/>
      <c r="W127" s="1"/>
      <c r="X127" s="10"/>
    </row>
    <row r="128" spans="8:24">
      <c r="H128" s="13">
        <f t="shared" si="31"/>
        <v>27.75</v>
      </c>
      <c r="K128" s="1">
        <f>Interpolate_Range('試算番号4-3'!$G$27:$G$143,'試算番号4-3'!$O$27:$O$143,H128)</f>
        <v>2.39629422466721E-2</v>
      </c>
      <c r="L128" s="2">
        <f>Interpolate_Range('試算番号4-3'!$G$10:$G$143,'試算番号4-3'!$I$10:$I$143,H128)</f>
        <v>0.52094346786539381</v>
      </c>
      <c r="M128" s="1">
        <f t="shared" si="28"/>
        <v>0.53691865810319361</v>
      </c>
      <c r="N128" s="14">
        <f>Interpolate_Range('試算番号4-2'!$G$27:$G$143,'試算番号4-2'!$N$27:$N$143,H128)</f>
        <v>3.6415580296320769E-2</v>
      </c>
      <c r="O128" s="2">
        <f>Interpolate_Range('試算番号4-2'!$G$10:$G$143,'試算番号4-2'!$I$10:$I$143,H128)</f>
        <v>0.37799868658536279</v>
      </c>
      <c r="P128" s="1">
        <f t="shared" si="29"/>
        <v>0.68534313410990988</v>
      </c>
      <c r="Q128" s="1">
        <f t="shared" si="32"/>
        <v>-1.848E-3</v>
      </c>
      <c r="R128" s="33">
        <f t="shared" si="24"/>
        <v>1.0884886198972614</v>
      </c>
      <c r="S128" s="2">
        <f t="shared" si="30"/>
        <v>21.979368933558931</v>
      </c>
      <c r="T128" s="15">
        <f t="shared" si="34"/>
        <v>0.56704103638129588</v>
      </c>
      <c r="U128" s="10">
        <f t="shared" si="33"/>
        <v>2.0444093812724721E-2</v>
      </c>
      <c r="V128" s="45"/>
      <c r="W128" s="1"/>
      <c r="X128" s="10"/>
    </row>
    <row r="129" spans="8:24">
      <c r="H129" s="13">
        <f t="shared" si="31"/>
        <v>28</v>
      </c>
      <c r="K129" s="1">
        <f>Interpolate_Range('試算番号4-3'!$G$27:$G$143,'試算番号4-3'!$O$27:$O$143,H129)</f>
        <v>2.39629422466721E-2</v>
      </c>
      <c r="L129" s="2">
        <f>Interpolate_Range('試算番号4-3'!$G$10:$G$143,'試算番号4-3'!$I$10:$I$143,H129)</f>
        <v>0.51787967568713567</v>
      </c>
      <c r="M129" s="1">
        <f t="shared" si="28"/>
        <v>0.54029547517150445</v>
      </c>
      <c r="N129" s="14">
        <f>Interpolate_Range('試算番号4-2'!$G$27:$G$143,'試算番号4-2'!$N$27:$N$143,H129)</f>
        <v>3.6415580296320769E-2</v>
      </c>
      <c r="O129" s="2">
        <f>Interpolate_Range('試算番号4-2'!$G$10:$G$143,'試算番号4-2'!$I$10:$I$143,H129)</f>
        <v>0.37438314329012712</v>
      </c>
      <c r="P129" s="1">
        <f t="shared" si="29"/>
        <v>0.68875147896392752</v>
      </c>
      <c r="Q129" s="1">
        <f t="shared" si="32"/>
        <v>-1.846E-3</v>
      </c>
      <c r="R129" s="33">
        <f t="shared" si="24"/>
        <v>1.0884250218287963</v>
      </c>
      <c r="S129" s="2">
        <f t="shared" si="30"/>
        <v>22.120287232887545</v>
      </c>
      <c r="T129" s="15">
        <f t="shared" si="34"/>
        <v>0.56367319731446064</v>
      </c>
      <c r="U129" s="10">
        <f t="shared" si="33"/>
        <v>2.0474308314589455E-2</v>
      </c>
      <c r="V129" s="45"/>
      <c r="W129" s="1"/>
      <c r="X129" s="10"/>
    </row>
    <row r="130" spans="8:24">
      <c r="H130" s="13">
        <f t="shared" si="31"/>
        <v>28.25</v>
      </c>
      <c r="K130" s="1">
        <f>Interpolate_Range('試算番号4-3'!$G$27:$G$143,'試算番号4-3'!$O$27:$O$143,H130)</f>
        <v>2.392710335401688E-2</v>
      </c>
      <c r="L130" s="2">
        <f>Interpolate_Range('試算番号4-3'!$G$10:$G$143,'試算番号4-3'!$I$10:$I$143,H130)</f>
        <v>0.51487938144727274</v>
      </c>
      <c r="M130" s="1">
        <f t="shared" si="28"/>
        <v>0.5436476295442223</v>
      </c>
      <c r="N130" s="14">
        <f>Interpolate_Range('試算番号4-2'!$G$27:$G$143,'試算番号4-2'!$N$27:$N$143,H130)</f>
        <v>3.6420395093595855E-2</v>
      </c>
      <c r="O130" s="2">
        <f>Interpolate_Range('試算番号4-2'!$G$10:$G$143,'試算番号4-2'!$I$10:$I$143,H130)</f>
        <v>0.37086574528691607</v>
      </c>
      <c r="P130" s="1">
        <f t="shared" si="29"/>
        <v>0.69212824820643515</v>
      </c>
      <c r="Q130" s="1">
        <f t="shared" si="32"/>
        <v>-1.8439999999999999E-3</v>
      </c>
      <c r="R130" s="33">
        <f t="shared" si="24"/>
        <v>1.0883996051715994</v>
      </c>
      <c r="S130" s="2">
        <f t="shared" si="30"/>
        <v>22.260385861757097</v>
      </c>
      <c r="T130" s="15">
        <f t="shared" si="34"/>
        <v>0.56039451547820895</v>
      </c>
      <c r="U130" s="10">
        <f t="shared" si="33"/>
        <v>2.0499619517363489E-2</v>
      </c>
      <c r="V130" s="45"/>
      <c r="W130" s="1"/>
      <c r="X130" s="10"/>
    </row>
    <row r="131" spans="8:24">
      <c r="H131" s="13">
        <f t="shared" si="31"/>
        <v>28.5</v>
      </c>
      <c r="K131" s="1">
        <f>Interpolate_Range('試算番号4-3'!$G$27:$G$143,'試算番号4-3'!$O$27:$O$143,H131)</f>
        <v>2.392710335401688E-2</v>
      </c>
      <c r="L131" s="2">
        <f>Interpolate_Range('試算番号4-3'!$G$10:$G$143,'試算番号4-3'!$I$10:$I$143,H131)</f>
        <v>0.51187908720740771</v>
      </c>
      <c r="M131" s="1">
        <f t="shared" si="28"/>
        <v>0.54698008541198917</v>
      </c>
      <c r="N131" s="14">
        <f>Interpolate_Range('試算番号4-2'!$G$27:$G$143,'試算番号4-2'!$N$27:$N$143,H131)</f>
        <v>3.6420395093595855E-2</v>
      </c>
      <c r="O131" s="2">
        <f>Interpolate_Range('試算番号4-2'!$G$10:$G$143,'試算番号4-2'!$I$10:$I$143,H131)</f>
        <v>0.36734834728370591</v>
      </c>
      <c r="P131" s="1">
        <f t="shared" si="29"/>
        <v>0.69547299119269812</v>
      </c>
      <c r="Q131" s="1">
        <f t="shared" si="32"/>
        <v>-1.8419999999999999E-3</v>
      </c>
      <c r="R131" s="33">
        <f t="shared" si="24"/>
        <v>1.0883457499097016</v>
      </c>
      <c r="S131" s="2">
        <f t="shared" si="30"/>
        <v>22.399661219014558</v>
      </c>
      <c r="T131" s="15">
        <f t="shared" si="34"/>
        <v>0.55710142902983972</v>
      </c>
      <c r="U131" s="10">
        <f t="shared" si="33"/>
        <v>2.0526594976701288E-2</v>
      </c>
      <c r="V131" s="45"/>
      <c r="W131" s="1"/>
      <c r="X131" s="10"/>
    </row>
    <row r="132" spans="8:24">
      <c r="H132" s="13">
        <f t="shared" si="31"/>
        <v>28.75</v>
      </c>
      <c r="K132" s="1">
        <f>Interpolate_Range('試算番号4-3'!$G$27:$G$143,'試算番号4-3'!$O$27:$O$143,H132)</f>
        <v>2.3938182354793523E-2</v>
      </c>
      <c r="L132" s="2">
        <f>Interpolate_Range('試算番号4-3'!$G$10:$G$143,'試算番号4-3'!$I$10:$I$143,H132)</f>
        <v>0.50887879296754479</v>
      </c>
      <c r="M132" s="1">
        <f t="shared" si="28"/>
        <v>0.55029428186333329</v>
      </c>
      <c r="N132" s="14">
        <f>Interpolate_Range('試算番号4-2'!$G$27:$G$143,'試算番号4-2'!$N$27:$N$143,H132)</f>
        <v>3.6420411938592294E-2</v>
      </c>
      <c r="O132" s="2">
        <f>Interpolate_Range('試算番号4-2'!$G$10:$G$143,'試算番号4-2'!$I$10:$I$143,H132)</f>
        <v>0.36383094928049581</v>
      </c>
      <c r="P132" s="1">
        <f t="shared" si="29"/>
        <v>0.69878570945489926</v>
      </c>
      <c r="Q132" s="1">
        <f t="shared" si="32"/>
        <v>-1.8400000000000001E-3</v>
      </c>
      <c r="R132" s="33">
        <f t="shared" si="24"/>
        <v>1.0882601234661351</v>
      </c>
      <c r="S132" s="2">
        <f t="shared" si="30"/>
        <v>22.538109343530596</v>
      </c>
      <c r="T132" s="15">
        <f t="shared" si="34"/>
        <v>0.55379249806415809</v>
      </c>
      <c r="U132" s="10">
        <f t="shared" si="33"/>
        <v>2.0555311813141623E-2</v>
      </c>
      <c r="V132" s="45"/>
      <c r="W132" s="1"/>
      <c r="X132" s="10"/>
    </row>
    <row r="133" spans="8:24">
      <c r="H133" s="13">
        <f t="shared" si="31"/>
        <v>29</v>
      </c>
      <c r="K133" s="1">
        <f>Interpolate_Range('試算番号4-3'!$G$27:$G$143,'試算番号4-3'!$O$27:$O$143,H133)</f>
        <v>2.3938182354793523E-2</v>
      </c>
      <c r="L133" s="2">
        <f>Interpolate_Range('試算番号4-3'!$G$10:$G$143,'試算番号4-3'!$I$10:$I$143,H133)</f>
        <v>0.50587849872767976</v>
      </c>
      <c r="M133" s="1">
        <f t="shared" si="28"/>
        <v>0.55358859076918332</v>
      </c>
      <c r="N133" s="14">
        <f>Interpolate_Range('試算番号4-2'!$G$27:$G$143,'試算番号4-2'!$N$27:$N$143,H133)</f>
        <v>3.6420411938592294E-2</v>
      </c>
      <c r="O133" s="2">
        <f>Interpolate_Range('試算番号4-2'!$G$10:$G$143,'試算番号4-2'!$I$10:$I$143,H133)</f>
        <v>0.36031355127728565</v>
      </c>
      <c r="P133" s="1">
        <f t="shared" si="29"/>
        <v>0.70206640144604326</v>
      </c>
      <c r="Q133" s="1">
        <f t="shared" si="32"/>
        <v>-1.838E-3</v>
      </c>
      <c r="R133" s="33">
        <f t="shared" si="24"/>
        <v>1.0881453728064012</v>
      </c>
      <c r="S133" s="2">
        <f t="shared" si="30"/>
        <v>22.675726680428788</v>
      </c>
      <c r="T133" s="15">
        <f t="shared" si="34"/>
        <v>0.55046934759277366</v>
      </c>
      <c r="U133" s="10">
        <f t="shared" si="33"/>
        <v>2.0585655358621807E-2</v>
      </c>
      <c r="V133" s="45"/>
      <c r="W133" s="1"/>
      <c r="X133" s="10"/>
    </row>
    <row r="134" spans="8:24">
      <c r="H134" s="13">
        <f t="shared" si="31"/>
        <v>29.25</v>
      </c>
      <c r="K134" s="1">
        <f>Interpolate_Range('試算番号4-3'!$G$27:$G$143,'試算番号4-3'!$O$27:$O$143,H134)</f>
        <v>2.3901759653586246E-2</v>
      </c>
      <c r="L134" s="2">
        <f>Interpolate_Range('試算番号4-3'!$G$10:$G$143,'試算番号4-3'!$I$10:$I$143,H134)</f>
        <v>0.50294045625585893</v>
      </c>
      <c r="M134" s="1">
        <f t="shared" si="28"/>
        <v>0.55685855363102321</v>
      </c>
      <c r="N134" s="14">
        <f>Interpolate_Range('試算番号4-2'!$G$27:$G$143,'試算番号4-2'!$N$27:$N$143,H134)</f>
        <v>3.6425350514889876E-2</v>
      </c>
      <c r="O134" s="2">
        <f>Interpolate_Range('試算番号4-2'!$G$10:$G$143,'試算番号4-2'!$I$10:$I$143,H134)</f>
        <v>0.3568921856105437</v>
      </c>
      <c r="P134" s="1">
        <f t="shared" si="29"/>
        <v>0.7053163821852656</v>
      </c>
      <c r="Q134" s="1">
        <f t="shared" si="32"/>
        <v>-1.836E-3</v>
      </c>
      <c r="R134" s="33">
        <f t="shared" si="24"/>
        <v>1.0880688198187507</v>
      </c>
      <c r="S134" s="2">
        <f t="shared" si="30"/>
        <v>22.812535137598143</v>
      </c>
      <c r="T134" s="15">
        <f t="shared" si="34"/>
        <v>0.54723382867741643</v>
      </c>
      <c r="U134" s="10">
        <f t="shared" si="33"/>
        <v>2.0611251048589879E-2</v>
      </c>
      <c r="V134" s="45"/>
      <c r="W134" s="1"/>
      <c r="X134" s="10"/>
    </row>
    <row r="135" spans="8:24">
      <c r="H135" s="13">
        <f t="shared" si="31"/>
        <v>29.5</v>
      </c>
      <c r="K135" s="1">
        <f>Interpolate_Range('試算番号4-3'!$G$27:$G$143,'試算番号4-3'!$O$27:$O$143,H135)</f>
        <v>2.3901759653586246E-2</v>
      </c>
      <c r="L135" s="2">
        <f>Interpolate_Range('試算番号4-3'!$G$10:$G$143,'試算番号4-3'!$I$10:$I$143,H135)</f>
        <v>0.5000024137840362</v>
      </c>
      <c r="M135" s="1">
        <f t="shared" si="28"/>
        <v>0.5601091005193235</v>
      </c>
      <c r="N135" s="14">
        <f>Interpolate_Range('試算番号4-2'!$G$27:$G$143,'試算番号4-2'!$N$27:$N$143,H135)</f>
        <v>3.6425350514889876E-2</v>
      </c>
      <c r="O135" s="2">
        <f>Interpolate_Range('試算番号4-2'!$G$10:$G$143,'試算番号4-2'!$I$10:$I$143,H135)</f>
        <v>0.35347081994380081</v>
      </c>
      <c r="P135" s="1">
        <f t="shared" si="29"/>
        <v>0.70853520681357518</v>
      </c>
      <c r="Q135" s="1">
        <f t="shared" si="32"/>
        <v>-1.8340000000000001E-3</v>
      </c>
      <c r="R135" s="33">
        <f t="shared" si="24"/>
        <v>1.0879638129578315</v>
      </c>
      <c r="S135" s="2">
        <f t="shared" si="30"/>
        <v>22.948531270745292</v>
      </c>
      <c r="T135" s="15">
        <f t="shared" si="34"/>
        <v>0.54398453258859947</v>
      </c>
      <c r="U135" s="10">
        <f t="shared" si="33"/>
        <v>2.0638456449896869E-2</v>
      </c>
      <c r="V135" s="45"/>
      <c r="W135" s="1"/>
      <c r="X135" s="10"/>
    </row>
    <row r="136" spans="8:24">
      <c r="H136" s="13">
        <f t="shared" si="31"/>
        <v>29.75</v>
      </c>
      <c r="K136" s="1">
        <f>Interpolate_Range('試算番号4-3'!$G$27:$G$143,'試算番号4-3'!$O$27:$O$143,H136)</f>
        <v>2.3913013580247448E-2</v>
      </c>
      <c r="L136" s="2">
        <f>Interpolate_Range('試算番号4-3'!$G$10:$G$143,'試算番号4-3'!$I$10:$I$143,H136)</f>
        <v>0.49706437131221537</v>
      </c>
      <c r="M136" s="1">
        <f t="shared" si="28"/>
        <v>0.56334166188775847</v>
      </c>
      <c r="N136" s="14">
        <f>Interpolate_Range('試算番号4-2'!$G$27:$G$143,'試算番号4-2'!$N$27:$N$143,H136)</f>
        <v>3.6425412714998225E-2</v>
      </c>
      <c r="O136" s="2">
        <f>Interpolate_Range('試算番号4-2'!$G$10:$G$143,'試算番号4-2'!$I$10:$I$143,H136)</f>
        <v>0.3500494542770588</v>
      </c>
      <c r="P136" s="1">
        <f t="shared" si="29"/>
        <v>0.71172288077425061</v>
      </c>
      <c r="Q136" s="1">
        <f t="shared" si="32"/>
        <v>-1.8320000000000001E-3</v>
      </c>
      <c r="R136" s="33">
        <f t="shared" si="24"/>
        <v>1.0878269766124107</v>
      </c>
      <c r="S136" s="2">
        <f t="shared" si="30"/>
        <v>23.083711278801871</v>
      </c>
      <c r="T136" s="15">
        <f t="shared" si="34"/>
        <v>0.54072003222631593</v>
      </c>
      <c r="U136" s="10">
        <f t="shared" si="33"/>
        <v>2.0667349061887143E-2</v>
      </c>
      <c r="V136" s="45"/>
      <c r="W136" s="1"/>
      <c r="X136" s="10"/>
    </row>
    <row r="137" spans="8:24">
      <c r="H137" s="13">
        <f t="shared" si="31"/>
        <v>30</v>
      </c>
      <c r="K137" s="1">
        <f>Interpolate_Range('試算番号4-3'!$G$27:$G$143,'試算番号4-3'!$O$27:$O$143,H137)</f>
        <v>2.3913013580247448E-2</v>
      </c>
      <c r="L137" s="2">
        <f>Interpolate_Range('試算番号4-3'!$G$10:$G$143,'試算番号4-3'!$I$10:$I$143,H137)</f>
        <v>0.49412632884039254</v>
      </c>
      <c r="M137" s="1">
        <f t="shared" si="28"/>
        <v>0.56655462594573236</v>
      </c>
      <c r="N137" s="14">
        <f>Interpolate_Range('試算番号4-2'!$G$27:$G$143,'試算番号4-2'!$N$27:$N$143,H137)</f>
        <v>3.6425412714998225E-2</v>
      </c>
      <c r="O137" s="2">
        <f>Interpolate_Range('試算番号4-2'!$G$10:$G$143,'試算番号4-2'!$I$10:$I$143,H137)</f>
        <v>0.34662808861031685</v>
      </c>
      <c r="P137" s="1">
        <f t="shared" si="29"/>
        <v>0.71487939857081106</v>
      </c>
      <c r="Q137" s="1">
        <f t="shared" si="32"/>
        <v>-1.83E-3</v>
      </c>
      <c r="R137" s="33">
        <f t="shared" si="24"/>
        <v>1.0876609911093156</v>
      </c>
      <c r="S137" s="2">
        <f t="shared" si="30"/>
        <v>23.218071761941808</v>
      </c>
      <c r="T137" s="15">
        <f t="shared" si="34"/>
        <v>0.53744193255974892</v>
      </c>
      <c r="U137" s="10">
        <f t="shared" si="33"/>
        <v>2.0697818575440768E-2</v>
      </c>
      <c r="V137" s="45"/>
      <c r="W137" s="1"/>
      <c r="X137" s="10"/>
    </row>
    <row r="138" spans="8:24">
      <c r="H138" s="13"/>
      <c r="O138" s="16"/>
      <c r="P138" s="16"/>
    </row>
    <row r="139" spans="8:24">
      <c r="H139" s="13"/>
      <c r="M139" s="16"/>
      <c r="N139" s="15"/>
      <c r="O139" s="15"/>
    </row>
    <row r="140" spans="8:24">
      <c r="H140" s="13"/>
    </row>
    <row r="141" spans="8:24">
      <c r="H141" s="13"/>
    </row>
    <row r="142" spans="8:24">
      <c r="H142" s="13"/>
    </row>
    <row r="143" spans="8:24">
      <c r="H143" s="13"/>
    </row>
    <row r="144" spans="8:24">
      <c r="H144" s="13"/>
    </row>
    <row r="145" spans="8:8">
      <c r="H145" s="13"/>
    </row>
    <row r="146" spans="8:8">
      <c r="H146" s="13"/>
    </row>
    <row r="147" spans="8:8">
      <c r="H147" s="13"/>
    </row>
    <row r="148" spans="8:8">
      <c r="H148" s="13"/>
    </row>
    <row r="149" spans="8:8">
      <c r="H149" s="13"/>
    </row>
    <row r="150" spans="8:8">
      <c r="H150" s="13"/>
    </row>
    <row r="151" spans="8:8">
      <c r="H151" s="13"/>
    </row>
    <row r="152" spans="8:8">
      <c r="H152" s="13"/>
    </row>
    <row r="153" spans="8:8">
      <c r="H153" s="13"/>
    </row>
    <row r="154" spans="8:8">
      <c r="H154" s="13"/>
    </row>
    <row r="155" spans="8:8">
      <c r="H155" s="13"/>
    </row>
    <row r="156" spans="8:8">
      <c r="H156" s="13"/>
    </row>
    <row r="157" spans="8:8">
      <c r="H157" s="13"/>
    </row>
    <row r="158" spans="8:8">
      <c r="H158" s="13"/>
    </row>
    <row r="159" spans="8:8">
      <c r="H159" s="13"/>
    </row>
    <row r="160" spans="8:8">
      <c r="H160" s="13"/>
    </row>
    <row r="161" spans="8:8">
      <c r="H161" s="13"/>
    </row>
    <row r="162" spans="8:8">
      <c r="H162" s="13"/>
    </row>
    <row r="163" spans="8:8">
      <c r="H163" s="13"/>
    </row>
    <row r="164" spans="8:8">
      <c r="H164" s="13"/>
    </row>
    <row r="165" spans="8:8">
      <c r="H165" s="13"/>
    </row>
    <row r="166" spans="8:8">
      <c r="H166" s="13"/>
    </row>
    <row r="167" spans="8:8">
      <c r="H167" s="13"/>
    </row>
    <row r="168" spans="8:8">
      <c r="H168" s="13"/>
    </row>
    <row r="169" spans="8:8">
      <c r="H169" s="13"/>
    </row>
    <row r="170" spans="8:8">
      <c r="H170" s="13"/>
    </row>
    <row r="171" spans="8:8">
      <c r="H171" s="13"/>
    </row>
    <row r="172" spans="8:8">
      <c r="H172" s="13"/>
    </row>
    <row r="173" spans="8:8">
      <c r="H173" s="13"/>
    </row>
    <row r="174" spans="8:8">
      <c r="H174" s="13"/>
    </row>
    <row r="175" spans="8:8">
      <c r="H175" s="13"/>
    </row>
    <row r="176" spans="8:8">
      <c r="H176" s="13"/>
    </row>
    <row r="177" spans="8:8">
      <c r="H177" s="13"/>
    </row>
    <row r="178" spans="8:8">
      <c r="H178" s="13"/>
    </row>
    <row r="179" spans="8:8">
      <c r="H179" s="13"/>
    </row>
    <row r="180" spans="8:8">
      <c r="H180" s="13"/>
    </row>
    <row r="181" spans="8:8">
      <c r="H181" s="13"/>
    </row>
    <row r="182" spans="8:8">
      <c r="H182" s="13"/>
    </row>
    <row r="183" spans="8:8">
      <c r="H183" s="13"/>
    </row>
    <row r="184" spans="8:8">
      <c r="H184" s="13"/>
    </row>
    <row r="185" spans="8:8">
      <c r="H185" s="13"/>
    </row>
    <row r="186" spans="8:8">
      <c r="H186" s="13"/>
    </row>
    <row r="187" spans="8:8">
      <c r="H187" s="13"/>
    </row>
    <row r="188" spans="8:8">
      <c r="H188" s="13"/>
    </row>
    <row r="189" spans="8:8">
      <c r="H189" s="13"/>
    </row>
    <row r="190" spans="8:8">
      <c r="H190" s="13"/>
    </row>
    <row r="191" spans="8:8">
      <c r="H191" s="13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Y191"/>
  <sheetViews>
    <sheetView zoomScale="85" zoomScaleNormal="85" workbookViewId="0"/>
  </sheetViews>
  <sheetFormatPr defaultRowHeight="13.5"/>
  <cols>
    <col min="6" max="6" width="9.875" bestFit="1" customWidth="1"/>
    <col min="7" max="7" width="14" customWidth="1"/>
    <col min="8" max="8" width="18.25" customWidth="1"/>
    <col min="9" max="9" width="16.625" customWidth="1"/>
    <col min="10" max="10" width="16" customWidth="1"/>
    <col min="11" max="15" width="18" customWidth="1"/>
    <col min="16" max="16" width="10.5" customWidth="1"/>
    <col min="17" max="17" width="21.875" bestFit="1" customWidth="1"/>
    <col min="18" max="18" width="19.25" customWidth="1"/>
    <col min="21" max="21" width="9.875" bestFit="1" customWidth="1"/>
    <col min="22" max="22" width="14.625" bestFit="1" customWidth="1"/>
    <col min="24" max="24" width="14.625" bestFit="1" customWidth="1"/>
  </cols>
  <sheetData>
    <row r="1" spans="1:25">
      <c r="A1" t="s">
        <v>136</v>
      </c>
    </row>
    <row r="2" spans="1:25">
      <c r="A2" s="22" t="s">
        <v>135</v>
      </c>
      <c r="B2" s="19"/>
      <c r="C2" s="19"/>
      <c r="D2" s="19"/>
      <c r="Q2" s="22" t="s">
        <v>44</v>
      </c>
    </row>
    <row r="4" spans="1:25">
      <c r="N4" s="2"/>
      <c r="O4" s="16"/>
    </row>
    <row r="5" spans="1:25">
      <c r="N5" s="2"/>
      <c r="O5" s="10"/>
      <c r="P5" s="8"/>
    </row>
    <row r="6" spans="1:25">
      <c r="O6" s="10"/>
      <c r="P6" s="8"/>
    </row>
    <row r="8" spans="1:25">
      <c r="E8" s="10"/>
      <c r="F8" s="23" t="s">
        <v>49</v>
      </c>
      <c r="G8" s="23"/>
      <c r="Q8" s="23" t="s">
        <v>30</v>
      </c>
      <c r="S8" s="29"/>
      <c r="T8" s="23" t="s">
        <v>50</v>
      </c>
    </row>
    <row r="9" spans="1:25">
      <c r="A9" s="23" t="s">
        <v>23</v>
      </c>
      <c r="E9" s="10"/>
      <c r="F9" t="s">
        <v>2</v>
      </c>
      <c r="G9" t="s">
        <v>114</v>
      </c>
      <c r="H9" t="s">
        <v>116</v>
      </c>
      <c r="I9" t="s">
        <v>112</v>
      </c>
      <c r="J9" t="s">
        <v>130</v>
      </c>
      <c r="K9" t="s">
        <v>131</v>
      </c>
      <c r="L9" t="s">
        <v>129</v>
      </c>
      <c r="M9" t="s">
        <v>137</v>
      </c>
      <c r="N9" t="s">
        <v>120</v>
      </c>
      <c r="O9" t="s">
        <v>4</v>
      </c>
      <c r="P9" s="44"/>
      <c r="Q9" t="s">
        <v>78</v>
      </c>
      <c r="R9" t="s">
        <v>138</v>
      </c>
      <c r="T9" t="s">
        <v>17</v>
      </c>
      <c r="U9" t="s">
        <v>32</v>
      </c>
      <c r="V9" t="s">
        <v>41</v>
      </c>
      <c r="W9" t="s">
        <v>42</v>
      </c>
      <c r="X9" t="s">
        <v>41</v>
      </c>
    </row>
    <row r="10" spans="1:25">
      <c r="E10" s="10"/>
      <c r="F10">
        <v>0</v>
      </c>
      <c r="G10" s="2">
        <f>Interpolate_Range('試算番号4-1'!$G$10:$G$143,'試算番号4-1'!$I$10:$I$143,F10)</f>
        <v>1</v>
      </c>
      <c r="H10" s="33">
        <f>Interpolate_Range('試算番号4-4'!$G$10:$G$137,'試算番号4-4'!$P$10:$P$137,F10)</f>
        <v>1</v>
      </c>
      <c r="I10" s="1"/>
      <c r="J10" s="2">
        <f>Interpolate_Range('試算番号4-3'!$G$10:$G$143,'試算番号4-3'!$I$10:$I$143,F10)</f>
        <v>1</v>
      </c>
      <c r="K10" s="15">
        <f>Interpolate_Range('試算番号4-5'!$H$10:$H$137,'試算番号4-5'!$R$10:$R$137,F10)</f>
        <v>1</v>
      </c>
      <c r="L10" s="1"/>
      <c r="M10" s="42">
        <f t="shared" ref="M10:M21" si="0">H10/K10</f>
        <v>1</v>
      </c>
      <c r="N10" s="33">
        <f t="shared" ref="N10:N15" si="1">M10*G10</f>
        <v>1</v>
      </c>
      <c r="O10" s="10">
        <f>O11</f>
        <v>2.8490372629999826E-4</v>
      </c>
      <c r="P10" s="16"/>
      <c r="Q10" t="s">
        <v>74</v>
      </c>
      <c r="R10">
        <v>100</v>
      </c>
      <c r="T10">
        <v>0</v>
      </c>
    </row>
    <row r="11" spans="1:25">
      <c r="A11" s="13"/>
      <c r="B11" s="35"/>
      <c r="E11" s="10"/>
      <c r="F11" s="2">
        <f>7/365</f>
        <v>1.9178082191780823E-2</v>
      </c>
      <c r="G11" s="2">
        <f>Interpolate_Range('試算番号4-1'!$G$10:$G$143,'試算番号4-1'!$I$10:$I$143,F11)</f>
        <v>0.99998600019599726</v>
      </c>
      <c r="H11" s="33">
        <f>Interpolate_Range('試算番号4-4'!$G$10:$G$137,'試算番号4-4'!$P$10:$P$137,F11)</f>
        <v>1.0000295175601979</v>
      </c>
      <c r="J11" s="2">
        <f>Interpolate_Range('試算番号4-3'!$G$10:$G$143,'試算番号4-3'!$I$10:$I$143,F11)</f>
        <v>0.99998139760632954</v>
      </c>
      <c r="K11" s="15">
        <f>Interpolate_Range('試算番号4-5'!$H$10:$H$137,'試算番号4-5'!$R$10:$R$137,F11)</f>
        <v>1.0000209813497476</v>
      </c>
      <c r="M11" s="42">
        <f t="shared" si="0"/>
        <v>1.0000085360313529</v>
      </c>
      <c r="N11" s="33">
        <f t="shared" si="1"/>
        <v>0.99999453610784739</v>
      </c>
      <c r="O11" s="10">
        <f>-LN(N11)/F11</f>
        <v>2.8490372629999826E-4</v>
      </c>
      <c r="P11" s="44"/>
      <c r="Q11" t="s">
        <v>133</v>
      </c>
      <c r="R11">
        <v>1</v>
      </c>
      <c r="T11">
        <v>0.25</v>
      </c>
      <c r="U11" s="1">
        <f>$I$16/4</f>
        <v>3.8572500000000001E-4</v>
      </c>
      <c r="V11" s="1">
        <f>U11*Interpolate_Range($F$10:$F$137,$N$10:$N$137,T11)</f>
        <v>3.8568586382734264E-4</v>
      </c>
      <c r="W11" s="1">
        <f>$L$16/4</f>
        <v>5.7499999999999999E-4</v>
      </c>
      <c r="X11" s="1">
        <f t="shared" ref="X11:X50" si="2">W11*Interpolate_Range($F$10:$F$137,$J$10:$J$137,T11)</f>
        <v>5.7484479190618529E-4</v>
      </c>
      <c r="Y11" s="1"/>
    </row>
    <row r="12" spans="1:25">
      <c r="E12" s="10"/>
      <c r="F12" s="2">
        <f>14/365</f>
        <v>3.8356164383561646E-2</v>
      </c>
      <c r="G12" s="2">
        <f>Interpolate_Range('試算番号4-1'!$G$10:$G$143,'試算番号4-1'!$I$10:$I$143,F12)</f>
        <v>0.99997200078397808</v>
      </c>
      <c r="H12" s="33">
        <f>Interpolate_Range('試算番号4-4'!$G$10:$G$137,'試算番号4-4'!$P$10:$P$137,F12)</f>
        <v>1.0000600615720514</v>
      </c>
      <c r="J12" s="2">
        <f>Interpolate_Range('試算番号4-3'!$G$10:$G$143,'試算番号4-3'!$I$10:$I$143,F12)</f>
        <v>0.99996241237178696</v>
      </c>
      <c r="K12" s="15">
        <f>Interpolate_Range('試算番号4-5'!$H$10:$H$137,'試算番号4-5'!$R$10:$R$137,F12)</f>
        <v>1.0000449177659072</v>
      </c>
      <c r="M12" s="42">
        <f t="shared" si="0"/>
        <v>1.0000151431259487</v>
      </c>
      <c r="N12" s="33">
        <f t="shared" si="1"/>
        <v>0.99998714348593121</v>
      </c>
      <c r="O12" s="10">
        <f t="shared" ref="O12:O16" si="3">-LN(N12)/F12</f>
        <v>3.351898429131875E-4</v>
      </c>
      <c r="P12" s="44"/>
      <c r="Q12" t="s">
        <v>34</v>
      </c>
      <c r="R12" s="26" t="s">
        <v>72</v>
      </c>
      <c r="T12">
        <v>0.5</v>
      </c>
      <c r="U12" s="1">
        <f>Interpolate_Range($F$19:$F$137,$I$19:$I$137,T12)/4</f>
        <v>5.1236391623091606E-4</v>
      </c>
      <c r="V12" s="1">
        <f t="shared" ref="V12:V50" si="4">U12*Interpolate_Range($F$10:$F$137,$N$10:$N$137,T12)</f>
        <v>5.1235449025659673E-4</v>
      </c>
      <c r="W12" s="1">
        <f>Interpolate_Range($F$19:$F$137,$L$19:$L$137,T12)/4</f>
        <v>8.5616768772431425E-4</v>
      </c>
      <c r="X12" s="1">
        <f t="shared" si="2"/>
        <v>8.5570133049919219E-4</v>
      </c>
      <c r="Y12" s="1"/>
    </row>
    <row r="13" spans="1:25">
      <c r="B13" t="s">
        <v>92</v>
      </c>
      <c r="E13" s="10"/>
      <c r="F13" s="2">
        <f>21/365</f>
        <v>5.7534246575342465E-2</v>
      </c>
      <c r="G13" s="2">
        <f>Interpolate_Range('試算番号4-1'!$G$10:$G$143,'試算番号4-1'!$I$10:$I$143,F13)</f>
        <v>0.9999580017639258</v>
      </c>
      <c r="H13" s="33">
        <f>Interpolate_Range('試算番号4-4'!$G$10:$G$137,'試算番号4-4'!$P$10:$P$137,F13)</f>
        <v>1.0000916322335176</v>
      </c>
      <c r="J13" s="2">
        <f>Interpolate_Range('試算番号4-3'!$G$10:$G$143,'試算番号4-3'!$I$10:$I$143,F13)</f>
        <v>0.99994333197856999</v>
      </c>
      <c r="K13" s="15">
        <f>Interpolate_Range('試算番号4-5'!$H$10:$H$137,'試算番号4-5'!$R$10:$R$137,F13)</f>
        <v>1.0000692031027907</v>
      </c>
      <c r="M13" s="42">
        <f t="shared" si="0"/>
        <v>1.0000224275786689</v>
      </c>
      <c r="N13" s="33">
        <f t="shared" si="1"/>
        <v>0.99998042840067591</v>
      </c>
      <c r="O13" s="10">
        <f t="shared" si="3"/>
        <v>3.4017636477963914E-4</v>
      </c>
      <c r="P13" s="44"/>
      <c r="Q13" t="s">
        <v>31</v>
      </c>
      <c r="R13" s="12" t="s">
        <v>91</v>
      </c>
      <c r="T13">
        <v>0.75</v>
      </c>
      <c r="U13" s="1">
        <f t="shared" ref="U13:U49" si="5">Interpolate_Range($F$19:$F$137,$I$19:$I$137,T13)/4</f>
        <v>4.3208090275554593E-4</v>
      </c>
      <c r="V13" s="1">
        <f t="shared" si="4"/>
        <v>4.3211426023315077E-4</v>
      </c>
      <c r="W13" s="1">
        <f t="shared" ref="W13:W49" si="6">Interpolate_Range($F$19:$F$137,$L$19:$L$137,T13)/4</f>
        <v>8.2313978738937318E-4</v>
      </c>
      <c r="X13" s="1">
        <f t="shared" si="2"/>
        <v>8.2237497865922003E-4</v>
      </c>
      <c r="Y13" s="1"/>
    </row>
    <row r="14" spans="1:25">
      <c r="A14" s="13">
        <v>0</v>
      </c>
      <c r="B14">
        <v>129.38999999999999</v>
      </c>
      <c r="E14" s="10"/>
      <c r="F14" s="2">
        <f>1/12</f>
        <v>8.3333333333333329E-2</v>
      </c>
      <c r="G14" s="2">
        <f>Interpolate_Range('試算番号4-1'!$G$10:$G$143,'試算番号4-1'!$I$10:$I$143,F14)</f>
        <v>0.99993833713587665</v>
      </c>
      <c r="H14" s="33">
        <f>Interpolate_Range('試算番号4-4'!$G$10:$G$137,'試算番号4-4'!$P$10:$P$137,F14)</f>
        <v>1.0001433013724206</v>
      </c>
      <c r="J14" s="2">
        <f>Interpolate_Range('試算番号4-3'!$G$10:$G$143,'試算番号4-3'!$I$10:$I$143,F14)</f>
        <v>0.99991584041676496</v>
      </c>
      <c r="K14" s="15">
        <f>Interpolate_Range('試算番号4-5'!$H$10:$H$137,'試算番号4-5'!$R$10:$R$137,F14)</f>
        <v>1.0001047373628453</v>
      </c>
      <c r="M14" s="42">
        <f t="shared" si="0"/>
        <v>1.0000385599709056</v>
      </c>
      <c r="N14" s="33">
        <f t="shared" si="1"/>
        <v>0.99997689472906404</v>
      </c>
      <c r="O14" s="10">
        <f t="shared" si="3"/>
        <v>2.7726645440217347E-4</v>
      </c>
      <c r="P14" s="44"/>
      <c r="Q14" t="s">
        <v>92</v>
      </c>
      <c r="R14" s="15">
        <f>$B$14</f>
        <v>129.38999999999999</v>
      </c>
      <c r="T14">
        <v>1</v>
      </c>
      <c r="U14" s="1">
        <f t="shared" si="5"/>
        <v>4.3208090275554593E-4</v>
      </c>
      <c r="V14" s="1">
        <f t="shared" si="4"/>
        <v>4.3218126796636613E-4</v>
      </c>
      <c r="W14" s="1">
        <f t="shared" si="6"/>
        <v>8.2313978738937318E-4</v>
      </c>
      <c r="X14" s="1">
        <f t="shared" si="2"/>
        <v>8.2195617050384747E-4</v>
      </c>
      <c r="Y14" s="1"/>
    </row>
    <row r="15" spans="1:25">
      <c r="E15" s="10"/>
      <c r="F15" s="2">
        <f>2/12</f>
        <v>0.16666666666666666</v>
      </c>
      <c r="G15" s="2">
        <f>Interpolate_Range('試算番号4-1'!$G$10:$G$143,'試算番号4-1'!$I$10:$I$143,F15)</f>
        <v>0.99987501562304715</v>
      </c>
      <c r="H15" s="33">
        <f>Interpolate_Range('試算番号4-4'!$G$10:$G$137,'試算番号4-4'!$P$10:$P$137,F15)</f>
        <v>1.0002687791172151</v>
      </c>
      <c r="J15" s="2">
        <f>Interpolate_Range('試算番号4-3'!$G$10:$G$143,'試算番号4-3'!$I$10:$I$143,F15)</f>
        <v>0.99982669670590429</v>
      </c>
      <c r="K15" s="15">
        <f>Interpolate_Range('試算番号4-5'!$H$10:$H$137,'試算番号4-5'!$R$10:$R$137,F15)</f>
        <v>1.000215069889953</v>
      </c>
      <c r="M15" s="42">
        <f t="shared" si="0"/>
        <v>1.0000536976785084</v>
      </c>
      <c r="N15" s="33">
        <f t="shared" si="1"/>
        <v>0.99992870659018462</v>
      </c>
      <c r="O15" s="10">
        <f t="shared" si="3"/>
        <v>4.2777570786787806E-4</v>
      </c>
      <c r="P15" s="44"/>
      <c r="Q15" t="s">
        <v>38</v>
      </c>
      <c r="R15" s="12" t="s">
        <v>37</v>
      </c>
      <c r="T15">
        <v>1.25</v>
      </c>
      <c r="U15" s="1">
        <f t="shared" si="5"/>
        <v>4.9873879338430756E-4</v>
      </c>
      <c r="V15" s="1">
        <f t="shared" si="4"/>
        <v>4.9918921288449923E-4</v>
      </c>
      <c r="W15" s="1">
        <f t="shared" si="6"/>
        <v>1.3864874686106961E-3</v>
      </c>
      <c r="X15" s="1">
        <f t="shared" si="2"/>
        <v>1.3836327029483893E-3</v>
      </c>
      <c r="Y15" s="1"/>
    </row>
    <row r="16" spans="1:25">
      <c r="E16" s="10"/>
      <c r="F16" s="2">
        <f>3/12</f>
        <v>0.25</v>
      </c>
      <c r="G16" s="2">
        <f>Interpolate_Range('試算番号4-1'!$G$10:$G$143,'試算番号4-1'!$I$10:$I$143,F16)</f>
        <v>0.99981003609314234</v>
      </c>
      <c r="H16" s="33">
        <f>Interpolate_Range('試算番号4-4'!$G$10:$G$137,'試算番号4-4'!$P$10:$P$137,F16)</f>
        <v>1.0004387815106786</v>
      </c>
      <c r="I16" s="1">
        <f>'試算番号4-1'!$P$18</f>
        <v>1.5429E-3</v>
      </c>
      <c r="J16" s="2">
        <f>Interpolate_Range('試算番号4-3'!$G$10:$G$143,'試算番号4-3'!$I$10:$I$143,F16)</f>
        <v>0.99973007288032234</v>
      </c>
      <c r="K16" s="15">
        <f>Interpolate_Range('試算番号4-5'!$H$10:$H$137,'試算番号4-5'!$R$10:$R$137,F16)</f>
        <v>1.0003502311190506</v>
      </c>
      <c r="L16" s="1">
        <f>'試算番号4-3'!$O$18</f>
        <v>2.3E-3</v>
      </c>
      <c r="M16" s="42">
        <f t="shared" si="0"/>
        <v>1.0000885193893831</v>
      </c>
      <c r="N16" s="33">
        <f>M16*G16</f>
        <v>0.99989853866703648</v>
      </c>
      <c r="O16" s="10">
        <f t="shared" si="3"/>
        <v>4.0586592205098449E-4</v>
      </c>
      <c r="P16" s="44"/>
      <c r="Q16" t="s">
        <v>35</v>
      </c>
      <c r="R16" s="12" t="s">
        <v>39</v>
      </c>
      <c r="T16">
        <v>1.5</v>
      </c>
      <c r="U16" s="1">
        <f t="shared" si="5"/>
        <v>4.9873879338430756E-4</v>
      </c>
      <c r="V16" s="1">
        <f t="shared" si="4"/>
        <v>4.9953454042419969E-4</v>
      </c>
      <c r="W16" s="1">
        <f t="shared" si="6"/>
        <v>1.3864874686106961E-3</v>
      </c>
      <c r="X16" s="1">
        <f t="shared" si="2"/>
        <v>1.3826270513078436E-3</v>
      </c>
      <c r="Y16" s="1"/>
    </row>
    <row r="17" spans="1:25">
      <c r="B17" s="1"/>
      <c r="E17" s="10"/>
      <c r="F17" s="2">
        <f>4/12</f>
        <v>0.33333333333333331</v>
      </c>
      <c r="G17" s="2">
        <f>Interpolate_Range('試算番号4-1'!$G$10:$G$143,'試算番号4-1'!$I$10:$I$143,F17)</f>
        <v>0.99974339919420696</v>
      </c>
      <c r="H17" s="33">
        <f>Interpolate_Range('試算番号4-4'!$G$10:$G$137,'試算番号4-4'!$P$10:$P$137,F17)</f>
        <v>1.0006045220766724</v>
      </c>
      <c r="J17" s="2">
        <f>Interpolate_Range('試算番号4-3'!$G$10:$G$143,'試算番号4-3'!$I$10:$I$143,F17)</f>
        <v>0.9996401295533609</v>
      </c>
      <c r="K17" s="15">
        <f>Interpolate_Range('試算番号4-5'!$H$10:$H$137,'試算番号4-5'!$R$10:$R$137,F17)</f>
        <v>1.0004588551444245</v>
      </c>
      <c r="M17" s="42">
        <f t="shared" si="0"/>
        <v>1.0001456001228826</v>
      </c>
      <c r="N17" s="33">
        <f t="shared" ref="N17:N18" si="7">M17*G17</f>
        <v>0.99988896195598065</v>
      </c>
      <c r="O17" s="10">
        <f t="shared" ref="O17:O20" si="8">-LN(N17)/F17</f>
        <v>3.3313262759803564E-4</v>
      </c>
      <c r="P17" s="44"/>
      <c r="T17">
        <v>1.75</v>
      </c>
      <c r="U17" s="1">
        <f t="shared" si="5"/>
        <v>5.3770207964405137E-4</v>
      </c>
      <c r="V17" s="1">
        <f t="shared" si="4"/>
        <v>5.3896392983960532E-4</v>
      </c>
      <c r="W17" s="1">
        <f t="shared" si="6"/>
        <v>1.3498044340599126E-3</v>
      </c>
      <c r="X17" s="1">
        <f t="shared" si="2"/>
        <v>1.3450796668408919E-3</v>
      </c>
      <c r="Y17" s="1"/>
    </row>
    <row r="18" spans="1:25">
      <c r="B18" s="1"/>
      <c r="E18" s="10"/>
      <c r="F18" s="2">
        <f>5/12</f>
        <v>0.41666666666666669</v>
      </c>
      <c r="G18" s="2">
        <f>Interpolate_Range('試算番号4-1'!$G$10:$G$143,'試算番号4-1'!$I$10:$I$143,F18)</f>
        <v>0.99967510559068307</v>
      </c>
      <c r="H18" s="33">
        <f>Interpolate_Range('試算番号4-4'!$G$10:$G$137,'試算番号4-4'!$P$10:$P$137,F18)</f>
        <v>1.0009142067566816</v>
      </c>
      <c r="J18" s="2">
        <f>Interpolate_Range('試算番号4-3'!$G$10:$G$143,'試算番号4-3'!$I$10:$I$143,F18)</f>
        <v>0.99954603950705723</v>
      </c>
      <c r="K18" s="15">
        <f>Interpolate_Range('試算番号4-5'!$H$10:$H$137,'試算番号4-5'!$R$10:$R$137,F18)</f>
        <v>1.0006225764567087</v>
      </c>
      <c r="M18" s="42">
        <f t="shared" si="0"/>
        <v>1.0002914488507801</v>
      </c>
      <c r="N18" s="33">
        <f t="shared" si="7"/>
        <v>0.999966459751361</v>
      </c>
      <c r="O18" s="10">
        <f t="shared" si="8"/>
        <v>8.0497946701712559E-5</v>
      </c>
      <c r="P18" s="44"/>
      <c r="Q18" s="23" t="s">
        <v>43</v>
      </c>
      <c r="T18">
        <v>2</v>
      </c>
      <c r="U18" s="1">
        <f t="shared" si="5"/>
        <v>5.3770207964405137E-4</v>
      </c>
      <c r="V18" s="1">
        <f t="shared" si="4"/>
        <v>5.3913915618601074E-4</v>
      </c>
      <c r="W18" s="1">
        <f t="shared" si="6"/>
        <v>1.3498044340599126E-3</v>
      </c>
      <c r="X18" s="1">
        <f t="shared" si="2"/>
        <v>1.3433723802806967E-3</v>
      </c>
      <c r="Y18" s="1"/>
    </row>
    <row r="19" spans="1:25">
      <c r="B19" s="1"/>
      <c r="E19" s="10"/>
      <c r="F19" s="2">
        <f>6/12</f>
        <v>0.5</v>
      </c>
      <c r="G19" s="2">
        <f>Interpolate_Range('試算番号4-1'!$G$10:$G$143,'試算番号4-1'!$I$10:$I$143,F19)</f>
        <v>0.9996051559633945</v>
      </c>
      <c r="H19" s="33">
        <f>Interpolate_Range('試算番号4-4'!$G$10:$G$137,'試算番号4-4'!$P$10:$P$137,F19)</f>
        <v>1.0011232626568172</v>
      </c>
      <c r="I19" s="1">
        <f>'試算番号4-1'!$P$21</f>
        <v>2.0494556649236642E-3</v>
      </c>
      <c r="J19" s="2">
        <f>Interpolate_Range('試算番号4-3'!$G$10:$G$143,'試算番号4-3'!$I$10:$I$143,F19)</f>
        <v>0.99945529686320955</v>
      </c>
      <c r="K19" s="15">
        <f>Interpolate_Range('試算番号4-5'!$H$10:$H$137,'試算番号4-5'!$R$10:$R$137,F19)</f>
        <v>1.0007463858678973</v>
      </c>
      <c r="L19" s="1">
        <f>'試算番号4-3'!$O$21</f>
        <v>3.424670750897257E-3</v>
      </c>
      <c r="M19" s="42">
        <f t="shared" si="0"/>
        <v>1.0003765957032091</v>
      </c>
      <c r="N19" s="33">
        <f t="shared" ref="N19:N82" si="9">M19*G19</f>
        <v>0.99998160297003602</v>
      </c>
      <c r="O19" s="10">
        <f t="shared" si="8"/>
        <v>3.679439838282069E-5</v>
      </c>
      <c r="P19" s="44"/>
      <c r="Q19" t="s">
        <v>45</v>
      </c>
      <c r="R19" s="34">
        <f>$R$10*SUM(V11:V50)</f>
        <v>106.8820633787541</v>
      </c>
      <c r="T19">
        <v>2.25</v>
      </c>
      <c r="U19" s="1">
        <f t="shared" si="5"/>
        <v>6.8874740834983883E-4</v>
      </c>
      <c r="V19" s="1">
        <f t="shared" si="4"/>
        <v>6.9115143197486114E-4</v>
      </c>
      <c r="W19" s="1">
        <f t="shared" si="6"/>
        <v>2.377625070249871E-3</v>
      </c>
      <c r="X19" s="1">
        <f t="shared" si="2"/>
        <v>2.3621262272662731E-3</v>
      </c>
      <c r="Y19" s="1"/>
    </row>
    <row r="20" spans="1:25">
      <c r="A20" s="13"/>
      <c r="B20" s="35"/>
      <c r="E20" s="10"/>
      <c r="F20" s="2">
        <f>9/12</f>
        <v>0.75</v>
      </c>
      <c r="G20" s="2">
        <f>Interpolate_Range('試算番号4-1'!$G$10:$G$143,'試算番号4-1'!$I$10:$I$143,F20)</f>
        <v>0.99939286883218437</v>
      </c>
      <c r="H20" s="33">
        <f>Interpolate_Range('試算番号4-4'!$G$10:$G$137,'試算番号4-4'!$P$10:$P$137,F20)</f>
        <v>1.0019671466086477</v>
      </c>
      <c r="I20" s="1">
        <f>'試算番号4-1'!$P$24</f>
        <v>1.7283236110221837E-3</v>
      </c>
      <c r="J20" s="2">
        <f>Interpolate_Range('試算番号4-3'!$G$10:$G$143,'試算番号4-3'!$I$10:$I$143,F20)</f>
        <v>0.99907086409639023</v>
      </c>
      <c r="K20" s="15">
        <f>Interpolate_Range('試算番号4-5'!$H$10:$H$137,'試算番号4-5'!$R$10:$R$137,F20)</f>
        <v>1.0012815202636205</v>
      </c>
      <c r="L20" s="1">
        <f>'試算番号4-3'!$O$24</f>
        <v>3.2925591495574927E-3</v>
      </c>
      <c r="M20" s="42">
        <f t="shared" si="0"/>
        <v>1.0006847488255317</v>
      </c>
      <c r="N20" s="33">
        <f t="shared" si="9"/>
        <v>1.0000772019253619</v>
      </c>
      <c r="O20" s="10">
        <f t="shared" si="8"/>
        <v>-1.0293192726213171E-4</v>
      </c>
      <c r="P20" s="44"/>
      <c r="Q20" t="s">
        <v>46</v>
      </c>
      <c r="R20" s="34">
        <f>$R$14*$R$11*SUM(X11:X50)</f>
        <v>132.0517162669955</v>
      </c>
      <c r="T20">
        <v>2.5</v>
      </c>
      <c r="U20" s="1">
        <f t="shared" si="5"/>
        <v>6.8874740834983883E-4</v>
      </c>
      <c r="V20" s="1">
        <f t="shared" si="4"/>
        <v>6.9179674776495624E-4</v>
      </c>
      <c r="W20" s="1">
        <f t="shared" si="6"/>
        <v>2.377625070249871E-3</v>
      </c>
      <c r="X20" s="1">
        <f t="shared" si="2"/>
        <v>2.3579571828318334E-3</v>
      </c>
      <c r="Y20" s="1"/>
    </row>
    <row r="21" spans="1:25">
      <c r="A21" s="13"/>
      <c r="B21" s="35"/>
      <c r="E21" s="10"/>
      <c r="F21" s="2">
        <v>1</v>
      </c>
      <c r="G21" s="2">
        <f>Interpolate_Range('試算番号4-1'!$G$10:$G$143,'試算番号4-1'!$I$10:$I$143,F21)</f>
        <v>0.99917068832868705</v>
      </c>
      <c r="H21" s="33">
        <f>Interpolate_Range('試算番号4-4'!$G$10:$G$137,'試算番号4-4'!$P$10:$P$137,F21)</f>
        <v>1.0029449264438099</v>
      </c>
      <c r="I21" s="1">
        <f>Interpolate_Range('試算番号4-1'!$G$27:$G$143,'試算番号4-1'!$P$27:$P$143,F21)</f>
        <v>1.7283236110221837E-3</v>
      </c>
      <c r="J21" s="2">
        <f>Interpolate_Range('試算番号4-3'!$G$10:$G$143,'試算番号4-3'!$I$10:$I$143,F21)</f>
        <v>0.99856207061830948</v>
      </c>
      <c r="K21" s="15">
        <f>Interpolate_Range('試算番号4-5'!$H$10:$H$137,'試算番号4-5'!$R$10:$R$137,F21)</f>
        <v>1.0018804523367553</v>
      </c>
      <c r="L21" s="1">
        <f>Interpolate_Range('試算番号4-3'!$G$27:$G$143,'試算番号4-3'!$O$27:$O$143,F21)</f>
        <v>3.2925591495574927E-3</v>
      </c>
      <c r="M21" s="42">
        <f t="shared" si="0"/>
        <v>1.0010624761712557</v>
      </c>
      <c r="N21" s="33">
        <f t="shared" si="9"/>
        <v>1.0002322833760533</v>
      </c>
      <c r="O21" s="10">
        <f t="shared" ref="O21:O82" si="10">-LN(N21)/F21</f>
        <v>-2.3225640244683678E-4</v>
      </c>
      <c r="P21" s="16"/>
      <c r="Q21" t="s">
        <v>47</v>
      </c>
      <c r="R21" s="28">
        <f>R19-R20</f>
        <v>-25.169652888241401</v>
      </c>
      <c r="T21">
        <v>2.75</v>
      </c>
      <c r="U21" s="1">
        <f t="shared" si="5"/>
        <v>7.7260611477877861E-4</v>
      </c>
      <c r="V21" s="1">
        <f t="shared" si="4"/>
        <v>7.7676748506341601E-4</v>
      </c>
      <c r="W21" s="1">
        <f t="shared" si="6"/>
        <v>2.3744026615322255E-3</v>
      </c>
      <c r="X21" s="1">
        <f t="shared" si="2"/>
        <v>2.3505980360084312E-3</v>
      </c>
      <c r="Y21" s="1"/>
    </row>
    <row r="22" spans="1:25">
      <c r="A22" s="13"/>
      <c r="B22" s="35"/>
      <c r="E22" s="10"/>
      <c r="F22" s="13">
        <f>F21+1/4</f>
        <v>1.25</v>
      </c>
      <c r="G22" s="2">
        <f>Interpolate_Range('試算番号4-1'!$G$10:$G$143,'試算番号4-1'!$I$10:$I$143,F22)</f>
        <v>0.99891348658382184</v>
      </c>
      <c r="H22" s="33">
        <f>Interpolate_Range('試算番号4-4'!$G$10:$G$137,'試算番号4-4'!$P$10:$P$137,F22)</f>
        <v>1.0045700763599279</v>
      </c>
      <c r="I22" s="1">
        <f>Interpolate_Range('試算番号4-1'!$G$27:$G$143,'試算番号4-1'!$P$27:$P$143,F22)</f>
        <v>1.9949551735372302E-3</v>
      </c>
      <c r="J22" s="2">
        <f>Interpolate_Range('試算番号4-3'!$G$10:$G$143,'試算番号4-3'!$I$10:$I$143,F22)</f>
        <v>0.99794100868061397</v>
      </c>
      <c r="K22" s="15">
        <f>Interpolate_Range('試算番号4-5'!$H$10:$H$137,'試算番号4-5'!$R$10:$R$137,F22)</f>
        <v>1.0025731565981735</v>
      </c>
      <c r="L22" s="1">
        <f>Interpolate_Range('試算番号4-3'!$G$27:$G$143,'試算番号4-3'!$O$27:$O$143,F22)</f>
        <v>5.5459498744427843E-3</v>
      </c>
      <c r="M22" s="42">
        <f t="shared" ref="M22:M82" si="11">H22/K22</f>
        <v>1.0019917945624339</v>
      </c>
      <c r="N22" s="33">
        <f t="shared" si="9"/>
        <v>1.0009031170347413</v>
      </c>
      <c r="O22" s="10">
        <f t="shared" si="10"/>
        <v>-7.2216757593557865E-4</v>
      </c>
      <c r="P22" s="32"/>
      <c r="T22">
        <v>3</v>
      </c>
      <c r="U22" s="1">
        <f t="shared" si="5"/>
        <v>7.7260611477877861E-4</v>
      </c>
      <c r="V22" s="1">
        <f t="shared" si="4"/>
        <v>7.7759846208481735E-4</v>
      </c>
      <c r="W22" s="1">
        <f t="shared" si="6"/>
        <v>2.3744026615322255E-3</v>
      </c>
      <c r="X22" s="1">
        <f t="shared" si="2"/>
        <v>2.3464346419035144E-3</v>
      </c>
      <c r="Y22" s="1"/>
    </row>
    <row r="23" spans="1:25">
      <c r="A23" s="13"/>
      <c r="B23" s="35"/>
      <c r="E23" s="10"/>
      <c r="F23" s="13">
        <f t="shared" ref="F23:F25" si="12">F22+1/4</f>
        <v>1.5</v>
      </c>
      <c r="G23" s="2">
        <f>Interpolate_Range('試算番号4-1'!$G$10:$G$143,'試算番号4-1'!$I$10:$I$143,F23)</f>
        <v>0.99862144989435397</v>
      </c>
      <c r="H23" s="33">
        <f>Interpolate_Range('試算番号4-4'!$G$10:$G$137,'試算番号4-4'!$P$10:$P$137,F23)</f>
        <v>1.0063000506466069</v>
      </c>
      <c r="I23" s="1">
        <f>Interpolate_Range('試算番号4-1'!$G$27:$G$143,'試算番号4-1'!$P$27:$P$143,F23)</f>
        <v>1.9949551735372302E-3</v>
      </c>
      <c r="J23" s="2">
        <f>Interpolate_Range('試算番号4-3'!$G$10:$G$143,'試算番号4-3'!$I$10:$I$143,F23)</f>
        <v>0.9972156853990749</v>
      </c>
      <c r="K23" s="15">
        <f>Interpolate_Range('試算番号4-5'!$H$10:$H$137,'試算番号4-5'!$R$10:$R$137,F23)</f>
        <v>1.0033120125905564</v>
      </c>
      <c r="L23" s="1">
        <f>Interpolate_Range('試算番号4-3'!$G$27:$G$143,'試算番号4-3'!$O$27:$O$143,F23)</f>
        <v>5.5459498744427843E-3</v>
      </c>
      <c r="M23" s="42">
        <f t="shared" si="11"/>
        <v>1.0029781743052546</v>
      </c>
      <c r="N23" s="33">
        <f t="shared" si="9"/>
        <v>1.0015955186371055</v>
      </c>
      <c r="O23" s="10">
        <f t="shared" si="10"/>
        <v>-1.062831433013275E-3</v>
      </c>
      <c r="P23" s="32"/>
      <c r="T23">
        <v>3.25</v>
      </c>
      <c r="U23" s="1">
        <f t="shared" si="5"/>
        <v>9.4671811322275294E-4</v>
      </c>
      <c r="V23" s="1">
        <f t="shared" si="4"/>
        <v>9.5380868069197349E-4</v>
      </c>
      <c r="W23" s="1">
        <f t="shared" si="6"/>
        <v>3.7404041008779376E-3</v>
      </c>
      <c r="X23" s="1">
        <f t="shared" si="2"/>
        <v>3.6848579123037379E-3</v>
      </c>
      <c r="Y23" s="1"/>
    </row>
    <row r="24" spans="1:25">
      <c r="A24" s="13"/>
      <c r="B24" s="35"/>
      <c r="E24" s="10"/>
      <c r="F24" s="13">
        <f t="shared" si="12"/>
        <v>1.75</v>
      </c>
      <c r="G24" s="2">
        <f>Interpolate_Range('試算番号4-1'!$G$10:$G$143,'試算番号4-1'!$I$10:$I$143,F24)</f>
        <v>0.99831331706021953</v>
      </c>
      <c r="H24" s="33">
        <f>Interpolate_Range('試算番号4-4'!$G$10:$G$137,'試算番号4-4'!$P$10:$P$137,F24)</f>
        <v>1.0083191825305642</v>
      </c>
      <c r="I24" s="1">
        <f>Interpolate_Range('試算番号4-1'!$G$27:$G$143,'試算番号4-1'!$P$27:$P$143,F24)</f>
        <v>2.1508083185762055E-3</v>
      </c>
      <c r="J24" s="2">
        <f>Interpolate_Range('試算番号4-3'!$G$10:$G$143,'試算番号4-3'!$I$10:$I$143,F24)</f>
        <v>0.99649966535907009</v>
      </c>
      <c r="K24" s="15">
        <f>Interpolate_Range('試算番号4-5'!$H$10:$H$137,'試算番号4-5'!$R$10:$R$137,F24)</f>
        <v>1.0042617206086335</v>
      </c>
      <c r="L24" s="1">
        <f>Interpolate_Range('試算番号4-3'!$G$27:$G$143,'試算番号4-3'!$O$27:$O$143,F24)</f>
        <v>5.3992177362396504E-3</v>
      </c>
      <c r="M24" s="42">
        <f t="shared" si="11"/>
        <v>1.0040402435328031</v>
      </c>
      <c r="N24" s="33">
        <f t="shared" si="9"/>
        <v>1.0023467459831832</v>
      </c>
      <c r="O24" s="10">
        <f t="shared" si="10"/>
        <v>-1.33942667158465E-3</v>
      </c>
      <c r="P24" s="32"/>
      <c r="T24">
        <v>3.5</v>
      </c>
      <c r="U24" s="1">
        <f t="shared" si="5"/>
        <v>9.4671811322275294E-4</v>
      </c>
      <c r="V24" s="1">
        <f t="shared" si="4"/>
        <v>9.5488438497805576E-4</v>
      </c>
      <c r="W24" s="1">
        <f t="shared" si="6"/>
        <v>3.7404041008779376E-3</v>
      </c>
      <c r="X24" s="1">
        <f t="shared" si="2"/>
        <v>3.6733698344314351E-3</v>
      </c>
      <c r="Y24" s="1"/>
    </row>
    <row r="25" spans="1:25">
      <c r="A25" s="13"/>
      <c r="B25" s="35"/>
      <c r="E25" s="10"/>
      <c r="F25" s="13">
        <f t="shared" si="12"/>
        <v>2</v>
      </c>
      <c r="G25" s="2">
        <f>Interpolate_Range('試算番号4-1'!$G$10:$G$143,'試算番号4-1'!$I$10:$I$143,F25)</f>
        <v>0.99798287490113791</v>
      </c>
      <c r="H25" s="33">
        <f>Interpolate_Range('試算番号4-4'!$G$10:$G$137,'試算番号4-4'!$P$10:$P$137,F25)</f>
        <v>1.0102474808380415</v>
      </c>
      <c r="I25" s="1">
        <f>Interpolate_Range('試算番号4-1'!$G$27:$G$143,'試算番号4-1'!$P$27:$P$143,F25)</f>
        <v>2.1508083185762055E-3</v>
      </c>
      <c r="J25" s="2">
        <f>Interpolate_Range('試算番号4-3'!$G$10:$G$143,'試算番号4-3'!$I$10:$I$143,F25)</f>
        <v>0.99523482541847219</v>
      </c>
      <c r="K25" s="15">
        <f>Interpolate_Range('試算番号4-5'!$H$10:$H$137,'試算番号4-5'!$R$10:$R$137,F25)</f>
        <v>1.0055223002756621</v>
      </c>
      <c r="L25" s="1">
        <f>Interpolate_Range('試算番号4-3'!$G$27:$G$143,'試算番号4-3'!$O$27:$O$143,F25)</f>
        <v>5.3992177362396504E-3</v>
      </c>
      <c r="M25" s="42">
        <f t="shared" si="11"/>
        <v>1.0046992300032371</v>
      </c>
      <c r="N25" s="33">
        <f t="shared" si="9"/>
        <v>1.0026726259695902</v>
      </c>
      <c r="O25" s="10">
        <f t="shared" si="10"/>
        <v>-1.3345304277675245E-3</v>
      </c>
      <c r="P25" s="32"/>
      <c r="T25">
        <v>3.75</v>
      </c>
      <c r="U25" s="1">
        <f t="shared" si="5"/>
        <v>1.0566394099160105E-3</v>
      </c>
      <c r="V25" s="1">
        <f t="shared" si="4"/>
        <v>1.0669330518509443E-3</v>
      </c>
      <c r="W25" s="1">
        <f t="shared" si="6"/>
        <v>3.7498143965345432E-3</v>
      </c>
      <c r="X25" s="1">
        <f t="shared" si="2"/>
        <v>3.6710945017757951E-3</v>
      </c>
      <c r="Y25" s="1"/>
    </row>
    <row r="26" spans="1:25">
      <c r="A26" s="13"/>
      <c r="B26" s="35"/>
      <c r="E26" s="10"/>
      <c r="F26" s="13">
        <f>F25+0.25</f>
        <v>2.25</v>
      </c>
      <c r="G26" s="2">
        <f>Interpolate_Range('試算番号4-1'!$G$10:$G$143,'試算番号4-1'!$I$10:$I$143,F26)</f>
        <v>0.99746016740156285</v>
      </c>
      <c r="H26" s="33">
        <f>Interpolate_Range('試算番号4-4'!$G$10:$G$137,'試算番号4-4'!$P$10:$P$137,F26)</f>
        <v>1.012168675974513</v>
      </c>
      <c r="I26" s="1">
        <f>Interpolate_Range('試算番号4-1'!$G$27:$G$143,'試算番号4-1'!$P$27:$P$143,F26)</f>
        <v>2.7549896333993553E-3</v>
      </c>
      <c r="J26" s="2">
        <f>Interpolate_Range('試算番号4-3'!$G$10:$G$143,'試算番号4-3'!$I$10:$I$143,F26)</f>
        <v>0.99348137636268741</v>
      </c>
      <c r="K26" s="15">
        <f>Interpolate_Range('試算番号4-5'!$H$10:$H$137,'試算番号4-5'!$R$10:$R$137,F26)</f>
        <v>1.0060862647434452</v>
      </c>
      <c r="L26" s="1">
        <f>Interpolate_Range('試算番号4-3'!$G$27:$G$143,'試算番号4-3'!$O$27:$O$143,F26)</f>
        <v>9.510500280999484E-3</v>
      </c>
      <c r="M26" s="33">
        <f t="shared" si="11"/>
        <v>1.0060456160114848</v>
      </c>
      <c r="N26" s="33">
        <f t="shared" si="9"/>
        <v>1.003490428560424</v>
      </c>
      <c r="O26" s="10">
        <f t="shared" si="10"/>
        <v>-1.5486005121731496E-3</v>
      </c>
      <c r="P26" s="32"/>
      <c r="T26">
        <v>4</v>
      </c>
      <c r="U26" s="1">
        <f t="shared" si="5"/>
        <v>1.0566394099160105E-3</v>
      </c>
      <c r="V26" s="1">
        <f t="shared" si="4"/>
        <v>1.068222013936248E-3</v>
      </c>
      <c r="W26" s="1">
        <f t="shared" si="6"/>
        <v>3.7498143965345432E-3</v>
      </c>
      <c r="X26" s="1">
        <f t="shared" si="2"/>
        <v>3.6595775216227791E-3</v>
      </c>
      <c r="Y26" s="1"/>
    </row>
    <row r="27" spans="1:25">
      <c r="A27" s="13"/>
      <c r="B27" s="35"/>
      <c r="E27" s="10"/>
      <c r="F27" s="13">
        <f t="shared" ref="F27:F90" si="13">F26+0.25</f>
        <v>2.5</v>
      </c>
      <c r="G27" s="2">
        <f>Interpolate_Range('試算番号4-1'!$G$10:$G$143,'試算番号4-1'!$I$10:$I$143,F27)</f>
        <v>0.9969374599019879</v>
      </c>
      <c r="H27" s="33">
        <f>Interpolate_Range('試算番号4-4'!$G$10:$G$137,'試算番号4-4'!$P$10:$P$137,F27)</f>
        <v>1.0142428034024769</v>
      </c>
      <c r="I27" s="1">
        <f>Interpolate_Range('試算番号4-1'!$G$27:$G$143,'試算番号4-1'!$P$27:$P$143,F27)</f>
        <v>2.7549896333993553E-3</v>
      </c>
      <c r="J27" s="2">
        <f>Interpolate_Range('試算番号4-3'!$G$10:$G$143,'試算番号4-3'!$I$10:$I$143,F27)</f>
        <v>0.99172792730690273</v>
      </c>
      <c r="K27" s="15">
        <f>Interpolate_Range('試算番号4-5'!$H$10:$H$137,'試算番号4-5'!$R$10:$R$137,F27)</f>
        <v>1.0066797009301036</v>
      </c>
      <c r="L27" s="1">
        <f>Interpolate_Range('試算番号4-3'!$G$27:$G$143,'試算番号4-3'!$O$27:$O$143,F27)</f>
        <v>9.510500280999484E-3</v>
      </c>
      <c r="M27" s="33">
        <f t="shared" si="11"/>
        <v>1.0075129184241873</v>
      </c>
      <c r="N27" s="33">
        <f t="shared" si="9"/>
        <v>1.0044273697122481</v>
      </c>
      <c r="O27" s="10">
        <f t="shared" si="10"/>
        <v>-1.767039097237632E-3</v>
      </c>
      <c r="P27" s="32"/>
      <c r="T27">
        <v>4.25</v>
      </c>
      <c r="U27" s="1">
        <f t="shared" si="5"/>
        <v>1.4997779370337515E-3</v>
      </c>
      <c r="V27" s="1">
        <f t="shared" si="4"/>
        <v>1.5172883455812384E-3</v>
      </c>
      <c r="W27" s="1">
        <f t="shared" si="6"/>
        <v>4.8981334633741149E-3</v>
      </c>
      <c r="X27" s="1">
        <f t="shared" si="2"/>
        <v>4.7599338014000549E-3</v>
      </c>
      <c r="Y27" s="1"/>
    </row>
    <row r="28" spans="1:25">
      <c r="A28" s="13"/>
      <c r="B28" s="35"/>
      <c r="E28" s="10"/>
      <c r="F28" s="13">
        <f t="shared" si="13"/>
        <v>2.75</v>
      </c>
      <c r="G28" s="2">
        <f>Interpolate_Range('試算番号4-1'!$G$10:$G$143,'試算番号4-1'!$I$10:$I$143,F28)</f>
        <v>0.99641475240241284</v>
      </c>
      <c r="H28" s="33">
        <f>Interpolate_Range('試算番号4-4'!$G$10:$G$137,'試算番号4-4'!$P$10:$P$137,F28)</f>
        <v>1.017124412419568</v>
      </c>
      <c r="I28" s="1">
        <f>Interpolate_Range('試算番号4-1'!$G$27:$G$143,'試算番号4-1'!$P$27:$P$143,F28)</f>
        <v>3.0904244591151145E-3</v>
      </c>
      <c r="J28" s="2">
        <f>Interpolate_Range('試算番号4-3'!$G$10:$G$143,'試算番号4-3'!$I$10:$I$143,F28)</f>
        <v>0.98997447825111806</v>
      </c>
      <c r="K28" s="15">
        <f>Interpolate_Range('試算番号4-5'!$H$10:$H$137,'試算番号4-5'!$R$10:$R$137,F28)</f>
        <v>1.0080482731498301</v>
      </c>
      <c r="L28" s="1">
        <f>Interpolate_Range('試算番号4-3'!$G$27:$G$143,'試算番号4-3'!$O$27:$O$143,F28)</f>
        <v>9.4976106461289022E-3</v>
      </c>
      <c r="M28" s="33">
        <f t="shared" si="11"/>
        <v>1.0090036752321174</v>
      </c>
      <c r="N28" s="33">
        <f t="shared" si="9"/>
        <v>1.0053861472295349</v>
      </c>
      <c r="O28" s="10">
        <f t="shared" si="10"/>
        <v>-1.9533432051394408E-3</v>
      </c>
      <c r="P28" s="32"/>
      <c r="T28">
        <v>4.5</v>
      </c>
      <c r="U28" s="1">
        <f t="shared" si="5"/>
        <v>1.4997779370337515E-3</v>
      </c>
      <c r="V28" s="1">
        <f t="shared" si="4"/>
        <v>1.5184689521055266E-3</v>
      </c>
      <c r="W28" s="1">
        <f t="shared" si="6"/>
        <v>4.8981334633741149E-3</v>
      </c>
      <c r="X28" s="1">
        <f t="shared" si="2"/>
        <v>4.7396045751051828E-3</v>
      </c>
      <c r="Y28" s="1"/>
    </row>
    <row r="29" spans="1:25">
      <c r="A29" s="13"/>
      <c r="B29" s="35"/>
      <c r="E29" s="10"/>
      <c r="F29" s="13">
        <f t="shared" si="13"/>
        <v>3</v>
      </c>
      <c r="G29" s="2">
        <f>Interpolate_Range('試算番号4-1'!$G$10:$G$143,'試算番号4-1'!$I$10:$I$143,F29)</f>
        <v>0.99589204490283789</v>
      </c>
      <c r="H29" s="33">
        <f>Interpolate_Range('試算番号4-4'!$G$10:$G$137,'試算番号4-4'!$P$10:$P$137,F29)</f>
        <v>1.0201593555924442</v>
      </c>
      <c r="I29" s="1">
        <f>Interpolate_Range('試算番号4-1'!$G$27:$G$143,'試算番号4-1'!$P$27:$P$143,F29)</f>
        <v>3.0904244591151145E-3</v>
      </c>
      <c r="J29" s="2">
        <f>Interpolate_Range('試算番号4-3'!$G$10:$G$143,'試算番号4-3'!$I$10:$I$143,F29)</f>
        <v>0.98822102919533328</v>
      </c>
      <c r="K29" s="15">
        <f>Interpolate_Range('試算番号4-5'!$H$10:$H$137,'試算番号4-5'!$R$10:$R$137,F29)</f>
        <v>1.0094458526260259</v>
      </c>
      <c r="L29" s="1">
        <f>Interpolate_Range('試算番号4-3'!$G$27:$G$143,'試算番号4-3'!$O$27:$O$143,F29)</f>
        <v>9.4976106461289022E-3</v>
      </c>
      <c r="M29" s="33">
        <f t="shared" si="11"/>
        <v>1.0106132517544626</v>
      </c>
      <c r="N29" s="33">
        <f t="shared" si="9"/>
        <v>1.0064616978956582</v>
      </c>
      <c r="O29" s="10">
        <f t="shared" si="10"/>
        <v>-2.1469702083773711E-3</v>
      </c>
      <c r="P29" s="32"/>
      <c r="T29">
        <v>4.75</v>
      </c>
      <c r="U29" s="1">
        <f t="shared" si="5"/>
        <v>1.6848094544357976E-3</v>
      </c>
      <c r="V29" s="1">
        <f t="shared" si="4"/>
        <v>1.7068742442218942E-3</v>
      </c>
      <c r="W29" s="1">
        <f t="shared" si="6"/>
        <v>4.904432889833066E-3</v>
      </c>
      <c r="X29" s="1">
        <f t="shared" si="2"/>
        <v>4.7253447481481747E-3</v>
      </c>
      <c r="Y29" s="1"/>
    </row>
    <row r="30" spans="1:25">
      <c r="A30" s="13"/>
      <c r="B30" s="35"/>
      <c r="E30" s="10"/>
      <c r="F30" s="13">
        <f t="shared" si="13"/>
        <v>3.25</v>
      </c>
      <c r="G30" s="2">
        <f>Interpolate_Range('試算番号4-1'!$G$10:$G$143,'試算番号4-1'!$I$10:$I$143,F30)</f>
        <v>0.99512539170901126</v>
      </c>
      <c r="H30" s="33">
        <f>Interpolate_Range('試算番号4-4'!$G$10:$G$137,'試算番号4-4'!$P$10:$P$137,F30)</f>
        <v>1.0224949887781341</v>
      </c>
      <c r="I30" s="1">
        <f>Interpolate_Range('試算番号4-1'!$G$27:$G$143,'試算番号4-1'!$P$27:$P$143,F30)</f>
        <v>3.7868724528910117E-3</v>
      </c>
      <c r="J30" s="2">
        <f>Interpolate_Range('試算番号4-3'!$G$10:$G$143,'試算番号4-3'!$I$10:$I$143,F30)</f>
        <v>0.98514968247383694</v>
      </c>
      <c r="K30" s="15">
        <f>Interpolate_Range('試算番号4-5'!$H$10:$H$137,'試算番号4-5'!$R$10:$R$137,F30)</f>
        <v>1.0099466008423748</v>
      </c>
      <c r="L30" s="1">
        <f>Interpolate_Range('試算番号4-3'!$G$27:$G$143,'試算番号4-3'!$O$27:$O$143,F30)</f>
        <v>1.4961616403511751E-2</v>
      </c>
      <c r="M30" s="33">
        <f t="shared" si="11"/>
        <v>1.0124248033760328</v>
      </c>
      <c r="N30" s="33">
        <f t="shared" si="9"/>
        <v>1.0074896290354933</v>
      </c>
      <c r="O30" s="10">
        <f t="shared" si="10"/>
        <v>-2.2959141613609004E-3</v>
      </c>
      <c r="P30" s="32"/>
      <c r="T30">
        <v>5</v>
      </c>
      <c r="U30" s="1">
        <f t="shared" si="5"/>
        <v>1.6848094544357976E-3</v>
      </c>
      <c r="V30" s="1">
        <f t="shared" si="4"/>
        <v>1.7080580779583816E-3</v>
      </c>
      <c r="W30" s="1">
        <f t="shared" si="6"/>
        <v>4.904432889833066E-3</v>
      </c>
      <c r="X30" s="1">
        <f t="shared" si="2"/>
        <v>4.7049893766967915E-3</v>
      </c>
      <c r="Y30" s="1"/>
    </row>
    <row r="31" spans="1:25">
      <c r="B31" s="1"/>
      <c r="E31" s="10"/>
      <c r="F31" s="13">
        <f t="shared" si="13"/>
        <v>3.5</v>
      </c>
      <c r="G31" s="2">
        <f>Interpolate_Range('試算番号4-1'!$G$10:$G$143,'試算番号4-1'!$I$10:$I$143,F31)</f>
        <v>0.99435873851518475</v>
      </c>
      <c r="H31" s="33">
        <f>Interpolate_Range('試算番号4-4'!$G$10:$G$137,'試算番号4-4'!$P$10:$P$137,F31)</f>
        <v>1.0249343813500573</v>
      </c>
      <c r="I31" s="1">
        <f>Interpolate_Range('試算番号4-1'!$G$27:$G$143,'試算番号4-1'!$P$27:$P$143,F31)</f>
        <v>3.7868724528910117E-3</v>
      </c>
      <c r="J31" s="2">
        <f>Interpolate_Range('試算番号4-3'!$G$10:$G$143,'試算番号4-3'!$I$10:$I$143,F31)</f>
        <v>0.9820783357523406</v>
      </c>
      <c r="K31" s="15">
        <f>Interpolate_Range('試算番号4-5'!$H$10:$H$137,'試算番号4-5'!$R$10:$R$137,F31)</f>
        <v>1.0104365594162514</v>
      </c>
      <c r="L31" s="1">
        <f>Interpolate_Range('試算番号4-3'!$G$27:$G$143,'試算番号4-3'!$O$27:$O$143,F31)</f>
        <v>1.4961616403511751E-2</v>
      </c>
      <c r="M31" s="33">
        <f t="shared" si="11"/>
        <v>1.0143480773718061</v>
      </c>
      <c r="N31" s="33">
        <f t="shared" si="9"/>
        <v>1.0086258746307322</v>
      </c>
      <c r="O31" s="10">
        <f t="shared" si="10"/>
        <v>-2.4539669536307587E-3</v>
      </c>
      <c r="P31" s="32"/>
      <c r="T31">
        <v>5.25</v>
      </c>
      <c r="U31" s="1">
        <f t="shared" si="5"/>
        <v>2.184352862775235E-3</v>
      </c>
      <c r="V31" s="1">
        <f t="shared" si="4"/>
        <v>2.2147494846472414E-3</v>
      </c>
      <c r="W31" s="1">
        <f t="shared" si="6"/>
        <v>5.760457219265434E-3</v>
      </c>
      <c r="X31" s="1">
        <f t="shared" si="2"/>
        <v>5.4982229121935365E-3</v>
      </c>
      <c r="Y31" s="1"/>
    </row>
    <row r="32" spans="1:25">
      <c r="A32" s="2"/>
      <c r="B32" s="10"/>
      <c r="E32" s="10"/>
      <c r="F32" s="13">
        <f t="shared" si="13"/>
        <v>3.75</v>
      </c>
      <c r="G32" s="2">
        <f>Interpolate_Range('試算番号4-1'!$G$10:$G$143,'試算番号4-1'!$I$10:$I$143,F32)</f>
        <v>0.99359208532135823</v>
      </c>
      <c r="H32" s="33">
        <f>Interpolate_Range('試算番号4-4'!$G$10:$G$137,'試算番号4-4'!$P$10:$P$137,F32)</f>
        <v>1.0283629147831677</v>
      </c>
      <c r="I32" s="1">
        <f>Interpolate_Range('試算番号4-1'!$G$27:$G$143,'試算番号4-1'!$P$27:$P$143,F32)</f>
        <v>4.2265576396640419E-3</v>
      </c>
      <c r="J32" s="2">
        <f>Interpolate_Range('試算番号4-3'!$G$10:$G$143,'試算番号4-3'!$I$10:$I$143,F32)</f>
        <v>0.97900698903084415</v>
      </c>
      <c r="K32" s="15">
        <f>Interpolate_Range('試算番号4-5'!$H$10:$H$137,'試算番号4-5'!$R$10:$R$137,F32)</f>
        <v>1.0119153073471174</v>
      </c>
      <c r="L32" s="1">
        <f>Interpolate_Range('試算番号4-3'!$G$27:$G$143,'試算番号4-3'!$O$27:$O$143,F32)</f>
        <v>1.4999257586138173E-2</v>
      </c>
      <c r="M32" s="33">
        <f t="shared" si="11"/>
        <v>1.0162539367836723</v>
      </c>
      <c r="N32" s="33">
        <f t="shared" si="9"/>
        <v>1.0097418682649286</v>
      </c>
      <c r="O32" s="10">
        <f t="shared" si="10"/>
        <v>-2.585259256731887E-3</v>
      </c>
      <c r="P32" s="32"/>
      <c r="T32">
        <v>5.5</v>
      </c>
      <c r="U32" s="1">
        <f t="shared" si="5"/>
        <v>2.184352862775235E-3</v>
      </c>
      <c r="V32" s="1">
        <f t="shared" si="4"/>
        <v>2.2150880705078474E-3</v>
      </c>
      <c r="W32" s="1">
        <f t="shared" si="6"/>
        <v>5.760457219265434E-3</v>
      </c>
      <c r="X32" s="1">
        <f t="shared" si="2"/>
        <v>5.4702431766263625E-3</v>
      </c>
      <c r="Y32" s="1"/>
    </row>
    <row r="33" spans="1:25">
      <c r="A33" s="2"/>
      <c r="B33" s="10"/>
      <c r="E33" s="10"/>
      <c r="F33" s="13">
        <f t="shared" si="13"/>
        <v>4</v>
      </c>
      <c r="G33" s="2">
        <f>Interpolate_Range('試算番号4-1'!$G$10:$G$143,'試算番号4-1'!$I$10:$I$143,F33)</f>
        <v>0.9928254321275316</v>
      </c>
      <c r="H33" s="33">
        <f>Interpolate_Range('試算番号4-4'!$G$10:$G$137,'試算番号4-4'!$P$10:$P$137,F33)</f>
        <v>1.0318930345031341</v>
      </c>
      <c r="I33" s="1">
        <f>Interpolate_Range('試算番号4-1'!$G$27:$G$143,'試算番号4-1'!$P$27:$P$143,F33)</f>
        <v>4.2265576396640419E-3</v>
      </c>
      <c r="J33" s="2">
        <f>Interpolate_Range('試算番号4-3'!$G$10:$G$143,'試算番号4-3'!$I$10:$I$143,F33)</f>
        <v>0.97593564230934782</v>
      </c>
      <c r="K33" s="15">
        <f>Interpolate_Range('試算番号4-5'!$H$10:$H$137,'試算番号4-5'!$R$10:$R$137,F33)</f>
        <v>1.0133812287041277</v>
      </c>
      <c r="L33" s="1">
        <f>Interpolate_Range('試算番号4-3'!$G$27:$G$143,'試算番号4-3'!$O$27:$O$143,F33)</f>
        <v>1.4999257586138173E-2</v>
      </c>
      <c r="M33" s="33">
        <f t="shared" si="11"/>
        <v>1.0182673659967814</v>
      </c>
      <c r="N33" s="33">
        <f t="shared" si="9"/>
        <v>1.0109617376671178</v>
      </c>
      <c r="O33" s="10">
        <f t="shared" si="10"/>
        <v>-2.7255233238914372E-3</v>
      </c>
      <c r="P33" s="32"/>
      <c r="T33">
        <v>5.75</v>
      </c>
      <c r="U33" s="1">
        <f t="shared" si="5"/>
        <v>2.4292167830201844E-3</v>
      </c>
      <c r="V33" s="1">
        <f t="shared" si="4"/>
        <v>2.4631570109284488E-3</v>
      </c>
      <c r="W33" s="1">
        <f t="shared" si="6"/>
        <v>5.7742319921046288E-3</v>
      </c>
      <c r="X33" s="1">
        <f t="shared" si="2"/>
        <v>5.4552773286341057E-3</v>
      </c>
      <c r="Y33" s="1"/>
    </row>
    <row r="34" spans="1:25">
      <c r="B34" s="10"/>
      <c r="E34" s="10"/>
      <c r="F34" s="13">
        <f t="shared" si="13"/>
        <v>4.25</v>
      </c>
      <c r="G34" s="2">
        <f>Interpolate_Range('試算番号4-1'!$G$10:$G$143,'試算番号4-1'!$I$10:$I$143,F34)</f>
        <v>0.99172775886141706</v>
      </c>
      <c r="H34" s="33">
        <f>Interpolate_Range('試算番号4-4'!$G$10:$G$137,'試算番号4-4'!$P$10:$P$137,F34)</f>
        <v>1.0342812348953441</v>
      </c>
      <c r="I34" s="1">
        <f>Interpolate_Range('試算番号4-1'!$G$27:$G$143,'試算番号4-1'!$P$27:$P$143,F34)</f>
        <v>5.9991117481350059E-3</v>
      </c>
      <c r="J34" s="2">
        <f>Interpolate_Range('試算番号4-3'!$G$10:$G$143,'試算番号4-3'!$I$10:$I$143,F34)</f>
        <v>0.97178523962087793</v>
      </c>
      <c r="K34" s="15">
        <f>Interpolate_Range('試算番号4-5'!$H$10:$H$137,'試算番号4-5'!$R$10:$R$137,F34)</f>
        <v>1.0138879307453641</v>
      </c>
      <c r="L34" s="1">
        <f>Interpolate_Range('試算番号4-3'!$G$27:$G$143,'試算番号4-3'!$O$27:$O$143,F34)</f>
        <v>1.959253385349646E-2</v>
      </c>
      <c r="M34" s="33">
        <f t="shared" si="11"/>
        <v>1.0201139628272207</v>
      </c>
      <c r="N34" s="33">
        <f t="shared" si="9"/>
        <v>1.0116753341378784</v>
      </c>
      <c r="O34" s="10">
        <f t="shared" si="10"/>
        <v>-2.7312243114116209E-3</v>
      </c>
      <c r="P34" s="32"/>
      <c r="T34">
        <v>6</v>
      </c>
      <c r="U34" s="1">
        <f t="shared" si="5"/>
        <v>2.4292167830201844E-3</v>
      </c>
      <c r="V34" s="1">
        <f t="shared" si="4"/>
        <v>2.4630014577672137E-3</v>
      </c>
      <c r="W34" s="1">
        <f t="shared" si="6"/>
        <v>5.7742319921046288E-3</v>
      </c>
      <c r="X34" s="1">
        <f t="shared" si="2"/>
        <v>5.4272306861380421E-3</v>
      </c>
      <c r="Y34" s="1"/>
    </row>
    <row r="35" spans="1:25">
      <c r="E35" s="10"/>
      <c r="F35" s="13">
        <f t="shared" si="13"/>
        <v>4.5</v>
      </c>
      <c r="G35" s="2">
        <f>Interpolate_Range('試算番号4-1'!$G$10:$G$143,'試算番号4-1'!$I$10:$I$143,F35)</f>
        <v>0.99063008559530252</v>
      </c>
      <c r="H35" s="33">
        <f>Interpolate_Range('試算番号4-4'!$G$10:$G$137,'試算番号4-4'!$P$10:$P$137,F35)</f>
        <v>1.0367147322188641</v>
      </c>
      <c r="I35" s="1">
        <f>Interpolate_Range('試算番号4-1'!$G$27:$G$143,'試算番号4-1'!$P$27:$P$143,F35)</f>
        <v>5.9991117481350059E-3</v>
      </c>
      <c r="J35" s="2">
        <f>Interpolate_Range('試算番号4-3'!$G$10:$G$143,'試算番号4-3'!$I$10:$I$143,F35)</f>
        <v>0.96763483693240804</v>
      </c>
      <c r="K35" s="15">
        <f>Interpolate_Range('試算番号4-5'!$H$10:$H$137,'試算番号4-5'!$R$10:$R$137,F35)</f>
        <v>1.0143593287786419</v>
      </c>
      <c r="L35" s="1">
        <f>Interpolate_Range('試算番号4-3'!$G$27:$G$143,'試算番号4-3'!$O$27:$O$143,F35)</f>
        <v>1.959253385349646E-2</v>
      </c>
      <c r="M35" s="33">
        <f t="shared" si="11"/>
        <v>1.0220389390682094</v>
      </c>
      <c r="N35" s="33">
        <f t="shared" si="9"/>
        <v>1.0124625216908725</v>
      </c>
      <c r="O35" s="10">
        <f t="shared" si="10"/>
        <v>-2.7523341554465102E-3</v>
      </c>
      <c r="P35" s="32"/>
      <c r="T35">
        <v>6.25</v>
      </c>
      <c r="U35" s="1">
        <f t="shared" si="5"/>
        <v>2.912879289312421E-3</v>
      </c>
      <c r="V35" s="1">
        <f t="shared" si="4"/>
        <v>2.9511647648015581E-3</v>
      </c>
      <c r="W35" s="1">
        <f t="shared" si="6"/>
        <v>6.3781434639120357E-3</v>
      </c>
      <c r="X35" s="1">
        <f t="shared" si="2"/>
        <v>5.960487097145104E-3</v>
      </c>
      <c r="Y35" s="1"/>
    </row>
    <row r="36" spans="1:25">
      <c r="E36" s="10"/>
      <c r="F36" s="13">
        <f t="shared" si="13"/>
        <v>4.75</v>
      </c>
      <c r="G36" s="2">
        <f>Interpolate_Range('試算番号4-1'!$G$10:$G$143,'試算番号4-1'!$I$10:$I$143,F36)</f>
        <v>0.98953241232918809</v>
      </c>
      <c r="H36" s="33">
        <f>Interpolate_Range('試算番号4-4'!$G$10:$G$137,'試算番号4-4'!$P$10:$P$137,F36)</f>
        <v>1.0400088725290246</v>
      </c>
      <c r="I36" s="1">
        <f>Interpolate_Range('試算番号4-1'!$G$27:$G$143,'試算番号4-1'!$P$27:$P$143,F36)</f>
        <v>6.7392378177431904E-3</v>
      </c>
      <c r="J36" s="2">
        <f>Interpolate_Range('試算番号4-3'!$G$10:$G$143,'試算番号4-3'!$I$10:$I$143,F36)</f>
        <v>0.96348443424393826</v>
      </c>
      <c r="K36" s="15">
        <f>Interpolate_Range('試算番号4-5'!$H$10:$H$137,'試算番号4-5'!$R$10:$R$137,F36)</f>
        <v>1.0158190061328398</v>
      </c>
      <c r="L36" s="1">
        <f>Interpolate_Range('試算番号4-3'!$G$27:$G$143,'試算番号4-3'!$O$27:$O$143,F36)</f>
        <v>1.9617731559332264E-2</v>
      </c>
      <c r="M36" s="33">
        <f t="shared" si="11"/>
        <v>1.0238131657806582</v>
      </c>
      <c r="N36" s="33">
        <f t="shared" si="9"/>
        <v>1.0130963117093177</v>
      </c>
      <c r="O36" s="10">
        <f t="shared" si="10"/>
        <v>-2.7392203099010771E-3</v>
      </c>
      <c r="P36" s="32"/>
      <c r="T36">
        <v>6.5</v>
      </c>
      <c r="U36" s="1">
        <f t="shared" si="5"/>
        <v>2.912879289312421E-3</v>
      </c>
      <c r="V36" s="1">
        <f t="shared" si="4"/>
        <v>2.9489623985224146E-3</v>
      </c>
      <c r="W36" s="1">
        <f t="shared" si="6"/>
        <v>6.3781434639120357E-3</v>
      </c>
      <c r="X36" s="1">
        <f t="shared" si="2"/>
        <v>5.9261239743361527E-3</v>
      </c>
      <c r="Y36" s="1"/>
    </row>
    <row r="37" spans="1:25">
      <c r="E37" s="10"/>
      <c r="F37" s="13">
        <f t="shared" si="13"/>
        <v>5</v>
      </c>
      <c r="G37" s="2">
        <f>Interpolate_Range('試算番号4-1'!$G$10:$G$143,'試算番号4-1'!$I$10:$I$143,F37)</f>
        <v>0.98843473906307355</v>
      </c>
      <c r="H37" s="33">
        <f>Interpolate_Range('試算番号4-4'!$G$10:$G$137,'試算番号4-4'!$P$10:$P$137,F37)</f>
        <v>1.0433434128689987</v>
      </c>
      <c r="I37" s="1">
        <f>Interpolate_Range('試算番号4-1'!$G$27:$G$143,'試算番号4-1'!$P$27:$P$143,F37)</f>
        <v>6.7392378177431904E-3</v>
      </c>
      <c r="J37" s="2">
        <f>Interpolate_Range('試算番号4-3'!$G$10:$G$143,'試算番号4-3'!$I$10:$I$143,F37)</f>
        <v>0.95933403155546837</v>
      </c>
      <c r="K37" s="15">
        <f>Interpolate_Range('試算番号4-5'!$H$10:$H$137,'試算番号4-5'!$R$10:$R$137,F37)</f>
        <v>1.0172400165814051</v>
      </c>
      <c r="L37" s="1">
        <f>Interpolate_Range('試算番号4-3'!$G$27:$G$143,'試算番号4-3'!$O$27:$O$143,F37)</f>
        <v>1.9617731559332264E-2</v>
      </c>
      <c r="M37" s="33">
        <f t="shared" si="11"/>
        <v>1.0256610002183342</v>
      </c>
      <c r="N37" s="33">
        <f t="shared" si="9"/>
        <v>1.0137989631179802</v>
      </c>
      <c r="O37" s="10">
        <f t="shared" si="10"/>
        <v>-2.7409248575530217E-3</v>
      </c>
      <c r="P37" s="32"/>
      <c r="T37">
        <v>6.75</v>
      </c>
      <c r="U37" s="1">
        <f t="shared" si="5"/>
        <v>3.1992514964432513E-3</v>
      </c>
      <c r="V37" s="1">
        <f t="shared" si="4"/>
        <v>3.2354085288406657E-3</v>
      </c>
      <c r="W37" s="1">
        <f t="shared" si="6"/>
        <v>6.3926403394346087E-3</v>
      </c>
      <c r="X37" s="1">
        <f t="shared" si="2"/>
        <v>5.9051522285253222E-3</v>
      </c>
      <c r="Y37" s="1"/>
    </row>
    <row r="38" spans="1:25">
      <c r="E38" s="10"/>
      <c r="F38" s="13">
        <f t="shared" si="13"/>
        <v>5.25</v>
      </c>
      <c r="G38" s="2">
        <f>Interpolate_Range('試算番号4-1'!$G$10:$G$143,'試算番号4-1'!$I$10:$I$143,F38)</f>
        <v>0.9865896076112074</v>
      </c>
      <c r="H38" s="33">
        <f>Interpolate_Range('試算番号4-4'!$G$10:$G$137,'試算番号4-4'!$P$10:$P$137,F38)</f>
        <v>1.0460024428893322</v>
      </c>
      <c r="I38" s="1">
        <f>Interpolate_Range('試算番号4-1'!$G$27:$G$143,'試算番号4-1'!$P$27:$P$143,F38)</f>
        <v>8.7374114511009401E-3</v>
      </c>
      <c r="J38" s="2">
        <f>Interpolate_Range('試算番号4-3'!$G$10:$G$143,'試算番号4-3'!$I$10:$I$143,F38)</f>
        <v>0.95447682413214119</v>
      </c>
      <c r="K38" s="15">
        <f>Interpolate_Range('試算番号4-5'!$H$10:$H$137,'試算番号4-5'!$R$10:$R$137,F38)</f>
        <v>1.0178116605612255</v>
      </c>
      <c r="L38" s="1">
        <f>Interpolate_Range('試算番号4-3'!$G$27:$G$143,'試算番号4-3'!$O$27:$O$143,F38)</f>
        <v>2.3041828877061736E-2</v>
      </c>
      <c r="M38" s="33">
        <f t="shared" si="11"/>
        <v>1.0276974448421647</v>
      </c>
      <c r="N38" s="33">
        <f t="shared" si="9"/>
        <v>1.0139156188498717</v>
      </c>
      <c r="O38" s="10">
        <f t="shared" si="10"/>
        <v>-2.6323210632287143E-3</v>
      </c>
      <c r="P38" s="32"/>
      <c r="T38">
        <v>7</v>
      </c>
      <c r="U38" s="1">
        <f t="shared" si="5"/>
        <v>3.1992514964432513E-3</v>
      </c>
      <c r="V38" s="1">
        <f t="shared" si="4"/>
        <v>3.2319557504173714E-3</v>
      </c>
      <c r="W38" s="1">
        <f t="shared" si="6"/>
        <v>6.3926403394346087E-3</v>
      </c>
      <c r="X38" s="1">
        <f t="shared" si="2"/>
        <v>5.8707110018109392E-3</v>
      </c>
      <c r="Y38" s="1"/>
    </row>
    <row r="39" spans="1:25">
      <c r="E39" s="10"/>
      <c r="F39" s="13">
        <f t="shared" si="13"/>
        <v>5.5</v>
      </c>
      <c r="G39" s="2">
        <f>Interpolate_Range('試算番号4-1'!$G$10:$G$143,'試算番号4-1'!$I$10:$I$143,F39)</f>
        <v>0.98474447615934113</v>
      </c>
      <c r="H39" s="33">
        <f>Interpolate_Range('試算番号4-4'!$G$10:$G$137,'試算番号4-4'!$P$10:$P$137,F39)</f>
        <v>1.0486602021915274</v>
      </c>
      <c r="I39" s="1">
        <f>Interpolate_Range('試算番号4-1'!$G$27:$G$143,'試算番号4-1'!$P$27:$P$143,F39)</f>
        <v>8.7374114511009401E-3</v>
      </c>
      <c r="J39" s="2">
        <f>Interpolate_Range('試算番号4-3'!$G$10:$G$143,'試算番号4-3'!$I$10:$I$143,F39)</f>
        <v>0.94961961670881412</v>
      </c>
      <c r="K39" s="15">
        <f>Interpolate_Range('試算番号4-5'!$H$10:$H$137,'試算番号4-5'!$R$10:$R$137,F39)</f>
        <v>1.0183337502091525</v>
      </c>
      <c r="L39" s="1">
        <f>Interpolate_Range('試算番号4-3'!$G$27:$G$143,'試算番号4-3'!$O$27:$O$143,F39)</f>
        <v>2.3041828877061736E-2</v>
      </c>
      <c r="M39" s="33">
        <f t="shared" si="11"/>
        <v>1.0297804643871877</v>
      </c>
      <c r="N39" s="33">
        <f t="shared" si="9"/>
        <v>1.0140706239620842</v>
      </c>
      <c r="O39" s="10">
        <f t="shared" si="10"/>
        <v>-2.5404639311665572E-3</v>
      </c>
      <c r="P39" s="32"/>
      <c r="T39">
        <v>7.25</v>
      </c>
      <c r="U39" s="1">
        <f t="shared" si="5"/>
        <v>3.3223058076226582E-3</v>
      </c>
      <c r="V39" s="1">
        <f t="shared" si="4"/>
        <v>3.351893304998005E-3</v>
      </c>
      <c r="W39" s="1">
        <f t="shared" si="6"/>
        <v>6.9807082281444005E-3</v>
      </c>
      <c r="X39" s="1">
        <f t="shared" si="2"/>
        <v>6.369991016346048E-3</v>
      </c>
      <c r="Y39" s="1"/>
    </row>
    <row r="40" spans="1:25">
      <c r="E40" s="10"/>
      <c r="F40" s="13">
        <f t="shared" si="13"/>
        <v>5.75</v>
      </c>
      <c r="G40" s="2">
        <f>Interpolate_Range('試算番号4-1'!$G$10:$G$143,'試算番号4-1'!$I$10:$I$143,F40)</f>
        <v>0.98289934470747498</v>
      </c>
      <c r="H40" s="33">
        <f>Interpolate_Range('試算番号4-4'!$G$10:$G$137,'試算番号4-4'!$P$10:$P$137,F40)</f>
        <v>1.0519441220362793</v>
      </c>
      <c r="I40" s="1">
        <f>Interpolate_Range('試算番号4-1'!$G$27:$G$143,'試算番号4-1'!$P$27:$P$143,F40)</f>
        <v>9.7168671320807375E-3</v>
      </c>
      <c r="J40" s="2">
        <f>Interpolate_Range('試算番号4-3'!$G$10:$G$143,'試算番号4-3'!$I$10:$I$143,F40)</f>
        <v>0.94476240928548694</v>
      </c>
      <c r="K40" s="15">
        <f>Interpolate_Range('試算番号4-5'!$H$10:$H$137,'試算番号4-5'!$R$10:$R$137,F40)</f>
        <v>1.0197081570386923</v>
      </c>
      <c r="L40" s="1">
        <f>Interpolate_Range('試算番号4-3'!$G$27:$G$143,'試算番号4-3'!$O$27:$O$143,F40)</f>
        <v>2.3096927968418515E-2</v>
      </c>
      <c r="M40" s="33">
        <f t="shared" si="11"/>
        <v>1.0316129323621404</v>
      </c>
      <c r="N40" s="33">
        <f t="shared" si="9"/>
        <v>1.0139716752105044</v>
      </c>
      <c r="O40" s="10">
        <f t="shared" si="10"/>
        <v>-2.4130384454585292E-3</v>
      </c>
      <c r="P40" s="32"/>
      <c r="T40">
        <v>7.5</v>
      </c>
      <c r="U40" s="1">
        <f t="shared" si="5"/>
        <v>3.3223058076226582E-3</v>
      </c>
      <c r="V40" s="1">
        <f t="shared" si="4"/>
        <v>3.3474735688673301E-3</v>
      </c>
      <c r="W40" s="1">
        <f t="shared" si="6"/>
        <v>6.9807082281444005E-3</v>
      </c>
      <c r="X40" s="1">
        <f t="shared" si="2"/>
        <v>6.3292161489001617E-3</v>
      </c>
      <c r="Y40" s="1"/>
    </row>
    <row r="41" spans="1:25">
      <c r="E41" s="10"/>
      <c r="F41" s="13">
        <f t="shared" si="13"/>
        <v>6</v>
      </c>
      <c r="G41" s="2">
        <f>Interpolate_Range('試算番号4-1'!$G$10:$G$143,'試算番号4-1'!$I$10:$I$143,F41)</f>
        <v>0.98105421325560882</v>
      </c>
      <c r="H41" s="33">
        <f>Interpolate_Range('試算番号4-4'!$G$10:$G$137,'試算番号4-4'!$P$10:$P$137,F41)</f>
        <v>1.0552212655271223</v>
      </c>
      <c r="I41" s="1">
        <f>Interpolate_Range('試算番号4-1'!$G$27:$G$143,'試算番号4-1'!$P$27:$P$143,F41)</f>
        <v>9.7168671320807375E-3</v>
      </c>
      <c r="J41" s="2">
        <f>Interpolate_Range('試算番号4-3'!$G$10:$G$143,'試算番号4-3'!$I$10:$I$143,F41)</f>
        <v>0.93990520186215976</v>
      </c>
      <c r="K41" s="15">
        <f>Interpolate_Range('試算番号4-5'!$H$10:$H$137,'試算番号4-5'!$R$10:$R$137,F41)</f>
        <v>1.0210291615101454</v>
      </c>
      <c r="L41" s="1">
        <f>Interpolate_Range('試算番号4-3'!$G$27:$G$143,'試算番号4-3'!$O$27:$O$143,F41)</f>
        <v>2.3096927968418515E-2</v>
      </c>
      <c r="M41" s="33">
        <f t="shared" si="11"/>
        <v>1.0334878819390478</v>
      </c>
      <c r="N41" s="33">
        <f t="shared" si="9"/>
        <v>1.0139076409249181</v>
      </c>
      <c r="O41" s="10">
        <f t="shared" si="10"/>
        <v>-2.3019695200209747E-3</v>
      </c>
      <c r="P41" s="32"/>
      <c r="T41">
        <v>7.75</v>
      </c>
      <c r="U41" s="1">
        <f t="shared" si="5"/>
        <v>3.5882154825036001E-3</v>
      </c>
      <c r="V41" s="1">
        <f t="shared" si="4"/>
        <v>3.6094500583647915E-3</v>
      </c>
      <c r="W41" s="1">
        <f t="shared" si="6"/>
        <v>6.9958068998093557E-3</v>
      </c>
      <c r="X41" s="1">
        <f t="shared" si="2"/>
        <v>6.3020426392377477E-3</v>
      </c>
      <c r="Y41" s="1"/>
    </row>
    <row r="42" spans="1:25">
      <c r="E42" s="10"/>
      <c r="F42" s="13">
        <f t="shared" si="13"/>
        <v>6.25</v>
      </c>
      <c r="G42" s="2">
        <f>Interpolate_Range('試算番号4-1'!$G$10:$G$143,'試算番号4-1'!$I$10:$I$143,F42)</f>
        <v>0.97821637245756654</v>
      </c>
      <c r="H42" s="33">
        <f>Interpolate_Range('試算番号4-4'!$G$10:$G$137,'試算番号4-4'!$P$10:$P$137,F42)</f>
        <v>1.0581565139815923</v>
      </c>
      <c r="I42" s="1">
        <f>Interpolate_Range('試算番号4-1'!$G$27:$G$143,'試算番号4-1'!$P$27:$P$143,F42)</f>
        <v>1.1651517157249684E-2</v>
      </c>
      <c r="J42" s="2">
        <f>Interpolate_Range('試算番号4-3'!$G$10:$G$143,'試算番号4-3'!$I$10:$I$143,F42)</f>
        <v>0.93451756469103286</v>
      </c>
      <c r="K42" s="15">
        <f>Interpolate_Range('試算番号4-5'!$H$10:$H$137,'試算番号4-5'!$R$10:$R$137,F42)</f>
        <v>1.0216775908567948</v>
      </c>
      <c r="L42" s="1">
        <f>Interpolate_Range('試算番号4-3'!$G$27:$G$143,'試算番号4-3'!$O$27:$O$143,F42)</f>
        <v>2.5512573855648143E-2</v>
      </c>
      <c r="M42" s="33">
        <f t="shared" si="11"/>
        <v>1.0357049263400264</v>
      </c>
      <c r="N42" s="33">
        <f t="shared" si="9"/>
        <v>1.0131435159807718</v>
      </c>
      <c r="O42" s="10">
        <f t="shared" si="10"/>
        <v>-2.08926231162666E-3</v>
      </c>
      <c r="P42" s="32"/>
      <c r="T42">
        <v>8</v>
      </c>
      <c r="U42" s="1">
        <f t="shared" si="5"/>
        <v>3.5882154825036001E-3</v>
      </c>
      <c r="V42" s="1">
        <f t="shared" si="4"/>
        <v>3.6034522349034878E-3</v>
      </c>
      <c r="W42" s="1">
        <f t="shared" si="6"/>
        <v>6.9958068998093557E-3</v>
      </c>
      <c r="X42" s="1">
        <f t="shared" si="2"/>
        <v>6.2611795792595817E-3</v>
      </c>
      <c r="Y42" s="1"/>
    </row>
    <row r="43" spans="1:25">
      <c r="E43" s="10"/>
      <c r="F43" s="13">
        <f t="shared" si="13"/>
        <v>6.5</v>
      </c>
      <c r="G43" s="2">
        <f>Interpolate_Range('試算番号4-1'!$G$10:$G$143,'試算番号4-1'!$I$10:$I$143,F43)</f>
        <v>0.97537853165952437</v>
      </c>
      <c r="H43" s="33">
        <f>Interpolate_Range('試算番号4-4'!$G$10:$G$137,'試算番号4-4'!$P$10:$P$137,F43)</f>
        <v>1.061060123681689</v>
      </c>
      <c r="I43" s="1">
        <f>Interpolate_Range('試算番号4-1'!$G$27:$G$143,'試算番号4-1'!$P$27:$P$143,F43)</f>
        <v>1.1651517157249684E-2</v>
      </c>
      <c r="J43" s="2">
        <f>Interpolate_Range('試算番号4-3'!$G$10:$G$143,'試算番号4-3'!$I$10:$I$143,F43)</f>
        <v>0.92912992751990608</v>
      </c>
      <c r="K43" s="15">
        <f>Interpolate_Range('試算番号4-5'!$H$10:$H$137,'試算番号4-5'!$R$10:$R$137,F43)</f>
        <v>1.0222719360501704</v>
      </c>
      <c r="L43" s="1">
        <f>Interpolate_Range('試算番号4-3'!$G$27:$G$143,'試算番号4-3'!$O$27:$O$143,F43)</f>
        <v>2.5512573855648143E-2</v>
      </c>
      <c r="M43" s="33">
        <f t="shared" si="11"/>
        <v>1.037943120869959</v>
      </c>
      <c r="N43" s="33">
        <f t="shared" si="9"/>
        <v>1.0123874371802448</v>
      </c>
      <c r="O43" s="10">
        <f t="shared" si="10"/>
        <v>-1.8940524097000172E-3</v>
      </c>
      <c r="P43" s="32"/>
      <c r="T43">
        <v>8.25</v>
      </c>
      <c r="U43" s="1">
        <f t="shared" si="5"/>
        <v>3.8317419774074172E-3</v>
      </c>
      <c r="V43" s="1">
        <f t="shared" si="4"/>
        <v>3.8402389488089318E-3</v>
      </c>
      <c r="W43" s="1">
        <f t="shared" si="6"/>
        <v>7.5316869855452601E-3</v>
      </c>
      <c r="X43" s="1">
        <f t="shared" si="2"/>
        <v>6.6943899954772538E-3</v>
      </c>
      <c r="Y43" s="1"/>
    </row>
    <row r="44" spans="1:25">
      <c r="F44" s="13">
        <f t="shared" si="13"/>
        <v>6.75</v>
      </c>
      <c r="G44" s="2">
        <f>Interpolate_Range('試算番号4-1'!$G$10:$G$143,'試算番号4-1'!$I$10:$I$143,F44)</f>
        <v>0.97254069086148209</v>
      </c>
      <c r="H44" s="33">
        <f>Interpolate_Range('試算番号4-4'!$G$10:$G$137,'試算番号4-4'!$P$10:$P$137,F44)</f>
        <v>1.0643684511629992</v>
      </c>
      <c r="I44" s="1">
        <f>Interpolate_Range('試算番号4-1'!$G$27:$G$143,'試算番号4-1'!$P$27:$P$143,F44)</f>
        <v>1.2797005985773005E-2</v>
      </c>
      <c r="J44" s="2">
        <f>Interpolate_Range('試算番号4-3'!$G$10:$G$143,'試算番号4-3'!$I$10:$I$143,F44)</f>
        <v>0.92374229034877919</v>
      </c>
      <c r="K44" s="15">
        <f>Interpolate_Range('試算番号4-5'!$H$10:$H$137,'試算番号4-5'!$R$10:$R$137,F44)</f>
        <v>1.0235734917335098</v>
      </c>
      <c r="L44" s="1">
        <f>Interpolate_Range('試算番号4-3'!$G$27:$G$143,'試算番号4-3'!$O$27:$O$143,F44)</f>
        <v>2.5570561357738435E-2</v>
      </c>
      <c r="M44" s="33">
        <f t="shared" si="11"/>
        <v>1.0398554278309804</v>
      </c>
      <c r="N44" s="33">
        <f t="shared" si="9"/>
        <v>1.0113017161788036</v>
      </c>
      <c r="O44" s="10">
        <f t="shared" si="10"/>
        <v>-1.66493761884758E-3</v>
      </c>
      <c r="P44" s="32"/>
      <c r="T44">
        <v>8.5</v>
      </c>
      <c r="U44" s="1">
        <f t="shared" si="5"/>
        <v>3.8317419774074172E-3</v>
      </c>
      <c r="V44" s="1">
        <f t="shared" si="4"/>
        <v>3.8323336513610895E-3</v>
      </c>
      <c r="W44" s="1">
        <f t="shared" si="6"/>
        <v>7.5316869855452601E-3</v>
      </c>
      <c r="X44" s="1">
        <f t="shared" si="2"/>
        <v>6.647992912832577E-3</v>
      </c>
      <c r="Y44" s="1"/>
    </row>
    <row r="45" spans="1:25">
      <c r="F45" s="13">
        <f t="shared" si="13"/>
        <v>7</v>
      </c>
      <c r="G45" s="2">
        <f>Interpolate_Range('試算番号4-1'!$G$10:$G$143,'試算番号4-1'!$I$10:$I$143,F45)</f>
        <v>0.96970285006343981</v>
      </c>
      <c r="H45" s="33">
        <f>Interpolate_Range('試算番号4-4'!$G$10:$G$137,'試算番号4-4'!$P$10:$P$137,F45)</f>
        <v>1.0676398112966832</v>
      </c>
      <c r="I45" s="1">
        <f>Interpolate_Range('試算番号4-1'!$G$27:$G$143,'試算番号4-1'!$P$27:$P$143,F45)</f>
        <v>1.2797005985773005E-2</v>
      </c>
      <c r="J45" s="2">
        <f>Interpolate_Range('試算番号4-3'!$G$10:$G$143,'試算番号4-3'!$I$10:$I$143,F45)</f>
        <v>0.9183546531776523</v>
      </c>
      <c r="K45" s="15">
        <f>Interpolate_Range('試算番号4-5'!$H$10:$H$137,'試算番号4-5'!$R$10:$R$137,F45)</f>
        <v>1.0248172042398878</v>
      </c>
      <c r="L45" s="1">
        <f>Interpolate_Range('試算番号4-3'!$G$27:$G$143,'試算番号4-3'!$O$27:$O$143,F45)</f>
        <v>2.5570561357738435E-2</v>
      </c>
      <c r="M45" s="33">
        <f t="shared" si="11"/>
        <v>1.0417856051592704</v>
      </c>
      <c r="N45" s="33">
        <f t="shared" si="9"/>
        <v>1.0102224704780098</v>
      </c>
      <c r="O45" s="10">
        <f t="shared" si="10"/>
        <v>-1.452939199683955E-3</v>
      </c>
      <c r="P45" s="32"/>
      <c r="T45">
        <v>8.75</v>
      </c>
      <c r="U45" s="1">
        <f t="shared" si="5"/>
        <v>4.0989599078790307E-3</v>
      </c>
      <c r="V45" s="1">
        <f t="shared" si="4"/>
        <v>4.0897244079412289E-3</v>
      </c>
      <c r="W45" s="1">
        <f t="shared" si="6"/>
        <v>7.54848665436558E-3</v>
      </c>
      <c r="X45" s="1">
        <f t="shared" si="2"/>
        <v>6.616320900925122E-3</v>
      </c>
      <c r="Y45" s="1"/>
    </row>
    <row r="46" spans="1:25">
      <c r="F46" s="13">
        <f t="shared" si="13"/>
        <v>7.25</v>
      </c>
      <c r="G46" s="2">
        <f>Interpolate_Range('試算番号4-1'!$G$10:$G$143,'試算番号4-1'!$I$10:$I$143,F46)</f>
        <v>0.96658676633109564</v>
      </c>
      <c r="H46" s="33">
        <f>Interpolate_Range('試算番号4-4'!$G$10:$G$137,'試算番号4-4'!$P$10:$P$137,F46)</f>
        <v>1.0703635028290375</v>
      </c>
      <c r="I46" s="1">
        <f>Interpolate_Range('試算番号4-1'!$G$27:$G$143,'試算番号4-1'!$P$27:$P$143,F46)</f>
        <v>1.3289223230490633E-2</v>
      </c>
      <c r="J46" s="2">
        <f>Interpolate_Range('試算番号4-3'!$G$10:$G$143,'試算番号4-3'!$I$10:$I$143,F46)</f>
        <v>0.91251357429091517</v>
      </c>
      <c r="K46" s="15">
        <f>Interpolate_Range('試算番号4-5'!$H$10:$H$137,'試算番号4-5'!$R$10:$R$137,F46)</f>
        <v>1.0254666864318291</v>
      </c>
      <c r="L46" s="1">
        <f>Interpolate_Range('試算番号4-3'!$G$27:$G$143,'試算番号4-3'!$O$27:$O$143,F46)</f>
        <v>2.7922832912577602E-2</v>
      </c>
      <c r="M46" s="33">
        <f t="shared" si="11"/>
        <v>1.0437818380560264</v>
      </c>
      <c r="N46" s="33">
        <f t="shared" si="9"/>
        <v>1.0089057116017019</v>
      </c>
      <c r="O46" s="10">
        <f t="shared" si="10"/>
        <v>-1.2229365011094786E-3</v>
      </c>
      <c r="P46" s="32"/>
      <c r="T46">
        <v>9</v>
      </c>
      <c r="U46" s="1">
        <f t="shared" si="5"/>
        <v>4.0989599078790307E-3</v>
      </c>
      <c r="V46" s="1">
        <f t="shared" si="4"/>
        <v>4.0797184518549315E-3</v>
      </c>
      <c r="W46" s="1">
        <f t="shared" si="6"/>
        <v>7.54848665436558E-3</v>
      </c>
      <c r="X46" s="1">
        <f t="shared" si="2"/>
        <v>6.5698203281029923E-3</v>
      </c>
      <c r="Y46" s="1"/>
    </row>
    <row r="47" spans="1:25">
      <c r="F47" s="13">
        <f t="shared" si="13"/>
        <v>7.5</v>
      </c>
      <c r="G47" s="2">
        <f>Interpolate_Range('試算番号4-1'!$G$10:$G$143,'試算番号4-1'!$I$10:$I$143,F47)</f>
        <v>0.96347068259875146</v>
      </c>
      <c r="H47" s="33">
        <f>Interpolate_Range('試算番号4-4'!$G$10:$G$137,'試算番号4-4'!$P$10:$P$137,F47)</f>
        <v>1.073026699882027</v>
      </c>
      <c r="I47" s="1">
        <f>Interpolate_Range('試算番号4-1'!$G$27:$G$143,'試算番号4-1'!$P$27:$P$143,F47)</f>
        <v>1.3289223230490633E-2</v>
      </c>
      <c r="J47" s="2">
        <f>Interpolate_Range('試算番号4-3'!$G$10:$G$143,'試算番号4-3'!$I$10:$I$143,F47)</f>
        <v>0.90667249540417805</v>
      </c>
      <c r="K47" s="15">
        <f>Interpolate_Range('試算番号4-5'!$H$10:$H$137,'試算番号4-5'!$R$10:$R$137,F47)</f>
        <v>1.026056985447606</v>
      </c>
      <c r="L47" s="1">
        <f>Interpolate_Range('試算番号4-3'!$G$27:$G$143,'試算番号4-3'!$O$27:$O$143,F47)</f>
        <v>2.7922832912577602E-2</v>
      </c>
      <c r="M47" s="33">
        <f t="shared" si="11"/>
        <v>1.0457769062543159</v>
      </c>
      <c r="N47" s="33">
        <f t="shared" si="9"/>
        <v>1.0075753897148563</v>
      </c>
      <c r="O47" s="10">
        <f t="shared" si="10"/>
        <v>-1.00624540537152E-3</v>
      </c>
      <c r="P47" s="32"/>
      <c r="T47">
        <v>9.25</v>
      </c>
      <c r="U47" s="1">
        <f t="shared" si="5"/>
        <v>4.2427478179936969E-3</v>
      </c>
      <c r="V47" s="1">
        <f t="shared" si="4"/>
        <v>4.2105414560253771E-3</v>
      </c>
      <c r="W47" s="1">
        <f t="shared" si="6"/>
        <v>7.9088850577068992E-3</v>
      </c>
      <c r="X47" s="1">
        <f t="shared" si="2"/>
        <v>6.8326807162662996E-3</v>
      </c>
      <c r="Y47" s="1"/>
    </row>
    <row r="48" spans="1:25">
      <c r="F48" s="13">
        <f t="shared" si="13"/>
        <v>7.75</v>
      </c>
      <c r="G48" s="2">
        <f>Interpolate_Range('試算番号4-1'!$G$10:$G$143,'試算番号4-1'!$I$10:$I$143,F48)</f>
        <v>0.96035459886640728</v>
      </c>
      <c r="H48" s="33">
        <f>Interpolate_Range('試算番号4-4'!$G$10:$G$137,'試算番号4-4'!$P$10:$P$137,F48)</f>
        <v>1.0759389483280946</v>
      </c>
      <c r="I48" s="1">
        <f>Interpolate_Range('試算番号4-1'!$G$27:$G$143,'試算番号4-1'!$P$27:$P$143,F48)</f>
        <v>1.43528619300144E-2</v>
      </c>
      <c r="J48" s="2">
        <f>Interpolate_Range('試算番号4-3'!$G$10:$G$143,'試算番号4-3'!$I$10:$I$143,F48)</f>
        <v>0.90083141651744081</v>
      </c>
      <c r="K48" s="15">
        <f>Interpolate_Range('試算番号4-5'!$H$10:$H$137,'試算番号4-5'!$R$10:$R$137,F48)</f>
        <v>1.0272040618617184</v>
      </c>
      <c r="L48" s="1">
        <f>Interpolate_Range('試算番号4-3'!$G$27:$G$143,'試算番号4-3'!$O$27:$O$143,F48)</f>
        <v>2.7983227599237423E-2</v>
      </c>
      <c r="M48" s="33">
        <f t="shared" si="11"/>
        <v>1.0474442112096485</v>
      </c>
      <c r="N48" s="33">
        <f t="shared" si="9"/>
        <v>1.0059178652911824</v>
      </c>
      <c r="O48" s="10">
        <f t="shared" si="10"/>
        <v>-7.6134496834157636E-4</v>
      </c>
      <c r="P48" s="32"/>
      <c r="T48">
        <v>9.5</v>
      </c>
      <c r="U48" s="1">
        <f t="shared" si="5"/>
        <v>4.2427478179936969E-3</v>
      </c>
      <c r="V48" s="1">
        <f t="shared" si="4"/>
        <v>4.1980226613510781E-3</v>
      </c>
      <c r="W48" s="1">
        <f t="shared" si="6"/>
        <v>7.9088850577068992E-3</v>
      </c>
      <c r="X48" s="1">
        <f t="shared" si="2"/>
        <v>6.7818685943088798E-3</v>
      </c>
      <c r="Y48" s="1"/>
    </row>
    <row r="49" spans="6:25">
      <c r="F49" s="13">
        <f t="shared" si="13"/>
        <v>8</v>
      </c>
      <c r="G49" s="2">
        <f>Interpolate_Range('試算番号4-1'!$G$10:$G$143,'試算番号4-1'!$I$10:$I$143,F49)</f>
        <v>0.95723851513406311</v>
      </c>
      <c r="H49" s="33">
        <f>Interpolate_Range('試算番号4-4'!$G$10:$G$137,'試算番号4-4'!$P$10:$P$137,F49)</f>
        <v>1.0787856856369082</v>
      </c>
      <c r="I49" s="1">
        <f>Interpolate_Range('試算番号4-1'!$G$27:$G$143,'試算番号4-1'!$P$27:$P$143,F49)</f>
        <v>1.43528619300144E-2</v>
      </c>
      <c r="J49" s="2">
        <f>Interpolate_Range('試算番号4-3'!$G$10:$G$143,'試算番号4-3'!$I$10:$I$143,F49)</f>
        <v>0.89499033763070368</v>
      </c>
      <c r="K49" s="15">
        <f>Interpolate_Range('試算番号4-5'!$H$10:$H$137,'試算番号4-5'!$R$10:$R$137,F49)</f>
        <v>1.0282887529534377</v>
      </c>
      <c r="L49" s="1">
        <f>Interpolate_Range('試算番号4-3'!$G$27:$G$143,'試算番号4-3'!$O$27:$O$143,F49)</f>
        <v>2.7983227599237423E-2</v>
      </c>
      <c r="M49" s="33">
        <f t="shared" si="11"/>
        <v>1.0491077360696923</v>
      </c>
      <c r="N49" s="33">
        <f t="shared" si="9"/>
        <v>1.0042463314910108</v>
      </c>
      <c r="O49" s="10">
        <f t="shared" si="10"/>
        <v>-5.2966765834679813E-4</v>
      </c>
      <c r="P49" s="32"/>
      <c r="T49">
        <v>9.75</v>
      </c>
      <c r="U49" s="1">
        <f t="shared" si="5"/>
        <v>4.4997511497133352E-3</v>
      </c>
      <c r="V49" s="1">
        <f t="shared" si="4"/>
        <v>4.4374608617524817E-3</v>
      </c>
      <c r="W49" s="1">
        <f t="shared" si="6"/>
        <v>7.9236031405873122E-3</v>
      </c>
      <c r="X49" s="1">
        <f t="shared" si="2"/>
        <v>6.7435826686876007E-3</v>
      </c>
      <c r="Y49" s="1"/>
    </row>
    <row r="50" spans="6:25">
      <c r="F50" s="13">
        <f t="shared" si="13"/>
        <v>8.25</v>
      </c>
      <c r="G50" s="2">
        <f>Interpolate_Range('試算番号4-1'!$G$10:$G$143,'試算番号4-1'!$I$10:$I$143,F50)</f>
        <v>0.95369796485478053</v>
      </c>
      <c r="H50" s="33">
        <f>Interpolate_Range('試算番号4-4'!$G$10:$G$137,'試算番号4-4'!$P$10:$P$137,F50)</f>
        <v>1.0811880435676915</v>
      </c>
      <c r="I50" s="1">
        <f>Interpolate_Range('試算番号4-1'!$G$27:$G$143,'試算番号4-1'!$P$27:$P$143,F50)</f>
        <v>1.5326967909629669E-2</v>
      </c>
      <c r="J50" s="2">
        <f>Interpolate_Range('試算番号4-3'!$G$10:$G$143,'試算番号4-3'!$I$10:$I$143,F50)</f>
        <v>0.888830086582868</v>
      </c>
      <c r="K50" s="15">
        <f>Interpolate_Range('試算番号4-5'!$H$10:$H$137,'試算番号4-5'!$R$10:$R$137,F50)</f>
        <v>1.0288453497745746</v>
      </c>
      <c r="L50" s="1">
        <f>Interpolate_Range('試算番号4-3'!$G$27:$G$143,'試算番号4-3'!$O$27:$O$143,F50)</f>
        <v>3.012674794218104E-2</v>
      </c>
      <c r="M50" s="33">
        <f t="shared" si="11"/>
        <v>1.0508751813910471</v>
      </c>
      <c r="N50" s="33">
        <f t="shared" si="9"/>
        <v>1.0022175218090399</v>
      </c>
      <c r="O50" s="10">
        <f t="shared" si="10"/>
        <v>-2.6849293773754073E-4</v>
      </c>
      <c r="P50" s="32"/>
      <c r="T50">
        <v>10</v>
      </c>
      <c r="U50" s="33">
        <f>1+Interpolate_Range($F$19:$F$137,$I$19:$I$137,T50)/4</f>
        <v>1.0044997511497133</v>
      </c>
      <c r="V50" s="32">
        <f t="shared" si="4"/>
        <v>0.9872258221150495</v>
      </c>
      <c r="W50" s="33">
        <f>1+Interpolate_Range($F$19:$F$137,$L$19:$L$137,T50)/4</f>
        <v>1.0079236031405874</v>
      </c>
      <c r="X50" s="32">
        <f t="shared" si="2"/>
        <v>0.85134325589262372</v>
      </c>
      <c r="Y50" s="1"/>
    </row>
    <row r="51" spans="6:25">
      <c r="F51" s="13">
        <f t="shared" si="13"/>
        <v>8.5</v>
      </c>
      <c r="G51" s="2">
        <f>Interpolate_Range('試算番号4-1'!$G$10:$G$143,'試算番号4-1'!$I$10:$I$143,F51)</f>
        <v>0.95015741457549807</v>
      </c>
      <c r="H51" s="33">
        <f>Interpolate_Range('試算番号4-4'!$G$10:$G$137,'試算番号4-4'!$P$10:$P$137,F51)</f>
        <v>1.0835091176926388</v>
      </c>
      <c r="I51" s="1">
        <f>Interpolate_Range('試算番号4-1'!$G$27:$G$143,'試算番号4-1'!$P$27:$P$143,F51)</f>
        <v>1.5326967909629669E-2</v>
      </c>
      <c r="J51" s="2">
        <f>Interpolate_Range('試算番号4-3'!$G$10:$G$143,'試算番号4-3'!$I$10:$I$143,F51)</f>
        <v>0.8826698355350322</v>
      </c>
      <c r="K51" s="15">
        <f>Interpolate_Range('試算番号4-5'!$H$10:$H$137,'試算番号4-5'!$R$10:$R$137,F51)</f>
        <v>1.0293452767894049</v>
      </c>
      <c r="L51" s="1">
        <f>Interpolate_Range('試算番号4-3'!$G$27:$G$143,'試算番号4-3'!$O$27:$O$143,F51)</f>
        <v>3.012674794218104E-2</v>
      </c>
      <c r="M51" s="33">
        <f t="shared" si="11"/>
        <v>1.0526197012067462</v>
      </c>
      <c r="N51" s="33">
        <f t="shared" si="9"/>
        <v>1.0001544138298353</v>
      </c>
      <c r="O51" s="10">
        <f t="shared" si="10"/>
        <v>-1.8164930499643975E-5</v>
      </c>
      <c r="P51" s="32"/>
      <c r="Q51" s="1"/>
      <c r="R51" s="10"/>
    </row>
    <row r="52" spans="6:25">
      <c r="F52" s="13">
        <f t="shared" si="13"/>
        <v>8.75</v>
      </c>
      <c r="G52" s="2">
        <f>Interpolate_Range('試算番号4-1'!$G$10:$G$143,'試算番号4-1'!$I$10:$I$143,F52)</f>
        <v>0.94661686429621561</v>
      </c>
      <c r="H52" s="33">
        <f>Interpolate_Range('試算番号4-4'!$G$10:$G$137,'試算番号4-4'!$P$10:$P$137,F52)</f>
        <v>1.0859595650143297</v>
      </c>
      <c r="I52" s="1">
        <f>Interpolate_Range('試算番号4-1'!$G$27:$G$143,'試算番号4-1'!$P$27:$P$143,F52)</f>
        <v>1.6395839631516123E-2</v>
      </c>
      <c r="J52" s="2">
        <f>Interpolate_Range('試算番号4-3'!$G$10:$G$143,'試算番号4-3'!$I$10:$I$143,F52)</f>
        <v>0.8765095844871964</v>
      </c>
      <c r="K52" s="15">
        <f>Interpolate_Range('試算番号4-5'!$H$10:$H$137,'試算番号4-5'!$R$10:$R$137,F52)</f>
        <v>1.030309061055354</v>
      </c>
      <c r="L52" s="1">
        <f>Interpolate_Range('試算番号4-3'!$G$27:$G$143,'試算番号4-3'!$O$27:$O$143,F52)</f>
        <v>3.019394661746232E-2</v>
      </c>
      <c r="M52" s="33">
        <f t="shared" si="11"/>
        <v>1.0540134082699151</v>
      </c>
      <c r="N52" s="33">
        <f t="shared" si="9"/>
        <v>0.99774686746263386</v>
      </c>
      <c r="O52" s="10">
        <f t="shared" si="10"/>
        <v>2.5779138967906159E-4</v>
      </c>
      <c r="P52" s="32"/>
      <c r="Q52" s="1"/>
      <c r="R52" s="10"/>
      <c r="S52" s="8"/>
    </row>
    <row r="53" spans="6:25">
      <c r="F53" s="13">
        <f t="shared" si="13"/>
        <v>9</v>
      </c>
      <c r="G53" s="2">
        <f>Interpolate_Range('試算番号4-1'!$G$10:$G$143,'試算番号4-1'!$I$10:$I$143,F53)</f>
        <v>0.94307631401693304</v>
      </c>
      <c r="H53" s="33">
        <f>Interpolate_Range('試算番号4-4'!$G$10:$G$137,'試算番号4-4'!$P$10:$P$137,F53)</f>
        <v>1.0883238141158615</v>
      </c>
      <c r="I53" s="1">
        <f>Interpolate_Range('試算番号4-1'!$G$27:$G$143,'試算番号4-1'!$P$27:$P$143,F53)</f>
        <v>1.6395839631516123E-2</v>
      </c>
      <c r="J53" s="2">
        <f>Interpolate_Range('試算番号4-3'!$G$10:$G$143,'試算番号4-3'!$I$10:$I$143,F53)</f>
        <v>0.87034933343936072</v>
      </c>
      <c r="K53" s="15">
        <f>Interpolate_Range('試算番号4-5'!$H$10:$H$137,'試算番号4-5'!$R$10:$R$137,F53)</f>
        <v>1.0312131616899942</v>
      </c>
      <c r="L53" s="1">
        <f>Interpolate_Range('試算番号4-3'!$G$27:$G$143,'試算番号4-3'!$O$27:$O$143,F53)</f>
        <v>3.019394661746232E-2</v>
      </c>
      <c r="M53" s="33">
        <f t="shared" si="11"/>
        <v>1.0553820049506273</v>
      </c>
      <c r="N53" s="33">
        <f t="shared" si="9"/>
        <v>0.99530577110863816</v>
      </c>
      <c r="O53" s="10">
        <f t="shared" si="10"/>
        <v>5.2280904288834029E-4</v>
      </c>
      <c r="P53" s="32"/>
      <c r="Q53" s="1"/>
      <c r="R53" s="10"/>
      <c r="S53" s="8"/>
    </row>
    <row r="54" spans="6:25">
      <c r="F54" s="13">
        <f t="shared" si="13"/>
        <v>9.25</v>
      </c>
      <c r="G54" s="2">
        <f>Interpolate_Range('試算番号4-1'!$G$10:$G$143,'試算番号4-1'!$I$10:$I$143,F54)</f>
        <v>0.9392638081821284</v>
      </c>
      <c r="H54" s="33">
        <f>Interpolate_Range('試算番号4-4'!$G$10:$G$137,'試算番号4-4'!$P$10:$P$137,F54)</f>
        <v>1.0902448257235522</v>
      </c>
      <c r="I54" s="1">
        <f>Interpolate_Range('試算番号4-1'!$G$27:$G$143,'試算番号4-1'!$P$27:$P$143,F54)</f>
        <v>1.6970991271974788E-2</v>
      </c>
      <c r="J54" s="2">
        <f>Interpolate_Range('試算番号4-3'!$G$10:$G$143,'試算番号4-3'!$I$10:$I$143,F54)</f>
        <v>0.86392464505576794</v>
      </c>
      <c r="K54" s="15">
        <f>Interpolate_Range('試算番号4-5'!$H$10:$H$137,'試算番号4-5'!$R$10:$R$137,F54)</f>
        <v>1.0318602763258138</v>
      </c>
      <c r="L54" s="1">
        <f>Interpolate_Range('試算番号4-3'!$G$27:$G$143,'試算番号4-3'!$O$27:$O$143,F54)</f>
        <v>3.1635540230827597E-2</v>
      </c>
      <c r="M54" s="33">
        <f t="shared" si="11"/>
        <v>1.0565818364533137</v>
      </c>
      <c r="N54" s="33">
        <f t="shared" si="9"/>
        <v>0.99240907936320621</v>
      </c>
      <c r="O54" s="10">
        <f t="shared" si="10"/>
        <v>8.2377062827408091E-4</v>
      </c>
      <c r="P54" s="32"/>
      <c r="Q54" s="1"/>
      <c r="R54" s="10"/>
      <c r="S54" s="8"/>
    </row>
    <row r="55" spans="6:25">
      <c r="F55" s="13">
        <f t="shared" si="13"/>
        <v>9.5</v>
      </c>
      <c r="G55" s="2">
        <f>Interpolate_Range('試算番号4-1'!$G$10:$G$143,'試算番号4-1'!$I$10:$I$143,F55)</f>
        <v>0.93545130234732365</v>
      </c>
      <c r="H55" s="33">
        <f>Interpolate_Range('試算番号4-4'!$G$10:$G$137,'試算番号4-4'!$P$10:$P$137,F55)</f>
        <v>1.0920622918556311</v>
      </c>
      <c r="I55" s="1">
        <f>Interpolate_Range('試算番号4-1'!$G$27:$G$143,'試算番号4-1'!$P$27:$P$143,F55)</f>
        <v>1.6970991271974788E-2</v>
      </c>
      <c r="J55" s="2">
        <f>Interpolate_Range('試算番号4-3'!$G$10:$G$143,'試算番号4-3'!$I$10:$I$143,F55)</f>
        <v>0.85749995667217516</v>
      </c>
      <c r="K55" s="15">
        <f>Interpolate_Range('試算番号4-5'!$H$10:$H$137,'試算番号4-5'!$R$10:$R$137,F55)</f>
        <v>1.0324547712275316</v>
      </c>
      <c r="L55" s="1">
        <f>Interpolate_Range('試算番号4-3'!$G$27:$G$143,'試算番号4-3'!$O$27:$O$143,F55)</f>
        <v>3.1635540230827597E-2</v>
      </c>
      <c r="M55" s="33">
        <f t="shared" si="11"/>
        <v>1.0577337838801688</v>
      </c>
      <c r="N55" s="33">
        <f t="shared" si="9"/>
        <v>0.98945844566746644</v>
      </c>
      <c r="O55" s="10">
        <f t="shared" si="10"/>
        <v>1.1155273794050881E-3</v>
      </c>
      <c r="P55" s="32"/>
      <c r="Q55" s="1"/>
      <c r="R55" s="10"/>
    </row>
    <row r="56" spans="6:25">
      <c r="F56" s="13">
        <f t="shared" si="13"/>
        <v>9.75</v>
      </c>
      <c r="G56" s="2">
        <f>Interpolate_Range('試算番号4-1'!$G$10:$G$143,'試算番号4-1'!$I$10:$I$143,F56)</f>
        <v>0.93163879651251891</v>
      </c>
      <c r="H56" s="33">
        <f>Interpolate_Range('試算番号4-4'!$G$10:$G$137,'試算番号4-4'!$P$10:$P$137,F56)</f>
        <v>1.0939223537856337</v>
      </c>
      <c r="I56" s="1">
        <f>Interpolate_Range('試算番号4-1'!$G$27:$G$143,'試算番号4-1'!$P$27:$P$143,F56)</f>
        <v>1.7999004598853341E-2</v>
      </c>
      <c r="J56" s="2">
        <f>Interpolate_Range('試算番号4-3'!$G$10:$G$143,'試算番号4-3'!$I$10:$I$143,F56)</f>
        <v>0.85107526828858238</v>
      </c>
      <c r="K56" s="15">
        <f>Interpolate_Range('試算番号4-5'!$H$10:$H$137,'試算番号4-5'!$R$10:$R$137,F56)</f>
        <v>1.0334465593455391</v>
      </c>
      <c r="L56" s="1">
        <f>Interpolate_Range('試算番号4-3'!$G$27:$G$143,'試算番号4-3'!$O$27:$O$143,F56)</f>
        <v>3.1694412562349249E-2</v>
      </c>
      <c r="M56" s="33">
        <f t="shared" si="11"/>
        <v>1.0585185502754906</v>
      </c>
      <c r="N56" s="33">
        <f t="shared" si="9"/>
        <v>0.98615694826483424</v>
      </c>
      <c r="O56" s="10">
        <f t="shared" si="10"/>
        <v>1.4297190059068489E-3</v>
      </c>
      <c r="P56" s="32"/>
      <c r="Q56" s="1"/>
      <c r="R56" s="10"/>
    </row>
    <row r="57" spans="6:25">
      <c r="F57" s="13">
        <f t="shared" si="13"/>
        <v>10</v>
      </c>
      <c r="G57" s="2">
        <f>Interpolate_Range('試算番号4-1'!$G$10:$G$143,'試算番号4-1'!$I$10:$I$143,F57)</f>
        <v>0.92782629067771427</v>
      </c>
      <c r="H57" s="33">
        <f>Interpolate_Range('試算番号4-4'!$G$10:$G$137,'試算番号4-4'!$P$10:$P$137,F57)</f>
        <v>1.0956740718711753</v>
      </c>
      <c r="I57" s="1">
        <f>Interpolate_Range('試算番号4-1'!$G$27:$G$143,'試算番号4-1'!$P$27:$P$143,F57)</f>
        <v>1.7999004598853341E-2</v>
      </c>
      <c r="J57" s="2">
        <f>Interpolate_Range('試算番号4-3'!$G$10:$G$143,'試算番号4-3'!$I$10:$I$143,F57)</f>
        <v>0.8446505799049896</v>
      </c>
      <c r="K57" s="15">
        <f>Interpolate_Range('試算番号4-5'!$H$10:$H$137,'試算番号4-5'!$R$10:$R$137,F57)</f>
        <v>1.0343830281634359</v>
      </c>
      <c r="L57" s="1">
        <f>Interpolate_Range('試算番号4-3'!$G$27:$G$143,'試算番号4-3'!$O$27:$O$143,F57)</f>
        <v>3.1694412562349249E-2</v>
      </c>
      <c r="M57" s="33">
        <f t="shared" si="11"/>
        <v>1.0592537213381803</v>
      </c>
      <c r="N57" s="33">
        <f t="shared" si="9"/>
        <v>0.98280345115576906</v>
      </c>
      <c r="O57" s="10">
        <f t="shared" si="10"/>
        <v>1.7346126786771921E-3</v>
      </c>
      <c r="P57" s="32"/>
      <c r="Q57" s="1"/>
      <c r="R57" s="10"/>
    </row>
    <row r="58" spans="6:25">
      <c r="F58" s="13">
        <f t="shared" si="13"/>
        <v>10.25</v>
      </c>
      <c r="G58" s="2">
        <f>Interpolate_Range('試算番号4-1'!$G$10:$G$143,'試算番号4-1'!$I$10:$I$143,F58)</f>
        <v>0.92364133762049339</v>
      </c>
      <c r="H58" s="33">
        <f>Interpolate_Range('試算番号4-4'!$G$10:$G$137,'試算番号4-4'!$P$10:$P$137,F58)</f>
        <v>1.0973815106629898</v>
      </c>
      <c r="I58" s="1">
        <f>Interpolate_Range('試算番号4-1'!$G$27:$G$143,'試算番号4-1'!$P$27:$P$143,F58)</f>
        <v>1.834599361070479E-2</v>
      </c>
      <c r="J58" s="2">
        <f>Interpolate_Range('試算番号4-3'!$G$10:$G$143,'試算番号4-3'!$I$10:$I$143,F58)</f>
        <v>0.83846658213405656</v>
      </c>
      <c r="K58" s="15">
        <f>Interpolate_Range('試算番号4-5'!$H$10:$H$137,'試算番号4-5'!$R$10:$R$137,F58)</f>
        <v>1.0348729689462339</v>
      </c>
      <c r="L58" s="1">
        <f>Interpolate_Range('試算番号4-3'!$G$27:$G$143,'試算番号4-3'!$O$27:$O$143,F58)</f>
        <v>3.1824555968637543E-2</v>
      </c>
      <c r="M58" s="33">
        <f t="shared" si="11"/>
        <v>1.0604021397721941</v>
      </c>
      <c r="N58" s="33">
        <f t="shared" si="9"/>
        <v>0.97943125079482274</v>
      </c>
      <c r="O58" s="10">
        <f t="shared" si="10"/>
        <v>2.0276324020736167E-3</v>
      </c>
      <c r="P58" s="32"/>
      <c r="Q58" s="1"/>
      <c r="R58" s="10"/>
    </row>
    <row r="59" spans="6:25">
      <c r="F59" s="13">
        <f t="shared" si="13"/>
        <v>10.5</v>
      </c>
      <c r="G59" s="2">
        <f>Interpolate_Range('試算番号4-1'!$G$10:$G$143,'試算番号4-1'!$I$10:$I$143,F59)</f>
        <v>0.91945638456327239</v>
      </c>
      <c r="H59" s="33">
        <f>Interpolate_Range('試算番号4-4'!$G$10:$G$137,'試算番号4-4'!$P$10:$P$137,F59)</f>
        <v>1.0989787775157116</v>
      </c>
      <c r="I59" s="1">
        <f>Interpolate_Range('試算番号4-1'!$G$27:$G$143,'試算番号4-1'!$P$27:$P$143,F59)</f>
        <v>1.834599361070479E-2</v>
      </c>
      <c r="J59" s="2">
        <f>Interpolate_Range('試算番号4-3'!$G$10:$G$143,'試算番号4-3'!$I$10:$I$143,F59)</f>
        <v>0.83228258436312341</v>
      </c>
      <c r="K59" s="15">
        <f>Interpolate_Range('試算番号4-5'!$H$10:$H$137,'試算番号4-5'!$R$10:$R$137,F59)</f>
        <v>1.0353096125821197</v>
      </c>
      <c r="L59" s="1">
        <f>Interpolate_Range('試算番号4-3'!$G$27:$G$143,'試算番号4-3'!$O$27:$O$143,F59)</f>
        <v>3.1824555968637543E-2</v>
      </c>
      <c r="M59" s="33">
        <f t="shared" si="11"/>
        <v>1.061497704802332</v>
      </c>
      <c r="N59" s="33">
        <f t="shared" si="9"/>
        <v>0.97600084187976388</v>
      </c>
      <c r="O59" s="10">
        <f t="shared" si="10"/>
        <v>2.3135076178753622E-3</v>
      </c>
      <c r="P59" s="32"/>
      <c r="Q59" s="1"/>
      <c r="R59" s="10"/>
    </row>
    <row r="60" spans="6:25">
      <c r="F60" s="13">
        <f t="shared" si="13"/>
        <v>10.75</v>
      </c>
      <c r="G60" s="2">
        <f>Interpolate_Range('試算番号4-1'!$G$10:$G$143,'試算番号4-1'!$I$10:$I$143,F60)</f>
        <v>0.9152714315060515</v>
      </c>
      <c r="H60" s="33">
        <f>Interpolate_Range('試算番号4-4'!$G$10:$G$137,'試算番号4-4'!$P$10:$P$137,F60)</f>
        <v>1.1005385204832248</v>
      </c>
      <c r="I60" s="1">
        <f>Interpolate_Range('試算番号4-1'!$G$27:$G$143,'試算番号4-1'!$P$27:$P$143,F60)</f>
        <v>1.9323173481922959E-2</v>
      </c>
      <c r="J60" s="2">
        <f>Interpolate_Range('試算番号4-3'!$G$10:$G$143,'試算番号4-3'!$I$10:$I$143,F60)</f>
        <v>0.82609858659219038</v>
      </c>
      <c r="K60" s="15">
        <f>Interpolate_Range('試算番号4-5'!$H$10:$H$137,'試算番号4-5'!$R$10:$R$137,F60)</f>
        <v>1.036059408639441</v>
      </c>
      <c r="L60" s="1">
        <f>Interpolate_Range('試算番号4-3'!$G$27:$G$143,'試算番号4-3'!$O$27:$O$143,F60)</f>
        <v>3.1862580847862337E-2</v>
      </c>
      <c r="M60" s="33">
        <f t="shared" si="11"/>
        <v>1.062234956129068</v>
      </c>
      <c r="N60" s="33">
        <f t="shared" si="9"/>
        <v>0.97223330889201998</v>
      </c>
      <c r="O60" s="10">
        <f t="shared" si="10"/>
        <v>2.6194859162719051E-3</v>
      </c>
      <c r="P60" s="32"/>
      <c r="Q60" s="1"/>
      <c r="R60" s="10"/>
    </row>
    <row r="61" spans="6:25">
      <c r="F61" s="13">
        <f t="shared" si="13"/>
        <v>11</v>
      </c>
      <c r="G61" s="2">
        <f>Interpolate_Range('試算番号4-1'!$G$10:$G$143,'試算番号4-1'!$I$10:$I$143,F61)</f>
        <v>0.91108647844883062</v>
      </c>
      <c r="H61" s="33">
        <f>Interpolate_Range('試算番号4-4'!$G$10:$G$137,'試算番号4-4'!$P$10:$P$137,F61)</f>
        <v>1.1019838385541536</v>
      </c>
      <c r="I61" s="1">
        <f>Interpolate_Range('試算番号4-1'!$G$27:$G$143,'試算番号4-1'!$P$27:$P$143,F61)</f>
        <v>1.9323173481922959E-2</v>
      </c>
      <c r="J61" s="2">
        <f>Interpolate_Range('試算番号4-3'!$G$10:$G$143,'試算番号4-3'!$I$10:$I$143,F61)</f>
        <v>0.81991458882125723</v>
      </c>
      <c r="K61" s="15">
        <f>Interpolate_Range('試算番号4-5'!$H$10:$H$137,'試算番号4-5'!$R$10:$R$137,F61)</f>
        <v>1.0367534125564211</v>
      </c>
      <c r="L61" s="1">
        <f>Interpolate_Range('試算番号4-3'!$G$27:$G$143,'試算番号4-3'!$O$27:$O$143,F61)</f>
        <v>3.1862580847862337E-2</v>
      </c>
      <c r="M61" s="33">
        <f t="shared" si="11"/>
        <v>1.0629179756803382</v>
      </c>
      <c r="N61" s="33">
        <f t="shared" si="9"/>
        <v>0.96841019534255912</v>
      </c>
      <c r="O61" s="10">
        <f t="shared" si="10"/>
        <v>2.9181387223091858E-3</v>
      </c>
      <c r="P61" s="32"/>
      <c r="Q61" s="1"/>
      <c r="R61" s="10"/>
    </row>
    <row r="62" spans="6:25">
      <c r="F62" s="13">
        <f t="shared" si="13"/>
        <v>11.25</v>
      </c>
      <c r="G62" s="2">
        <f>Interpolate_Range('試算番号4-1'!$G$10:$G$143,'試算番号4-1'!$I$10:$I$143,F62)</f>
        <v>0.90651683702900576</v>
      </c>
      <c r="H62" s="33">
        <f>Interpolate_Range('試算番号4-4'!$G$10:$G$137,'試算番号4-4'!$P$10:$P$137,F62)</f>
        <v>1.1035387453285668</v>
      </c>
      <c r="I62" s="1">
        <f>Interpolate_Range('試算番号4-1'!$G$27:$G$143,'試算番号4-1'!$P$27:$P$143,F62)</f>
        <v>2.0321582581068004E-2</v>
      </c>
      <c r="J62" s="2">
        <f>Interpolate_Range('試算番号4-3'!$G$10:$G$143,'試算番号4-3'!$I$10:$I$143,F62)</f>
        <v>0.813404104251084</v>
      </c>
      <c r="K62" s="15">
        <f>Interpolate_Range('試算番号4-5'!$H$10:$H$137,'試算番号4-5'!$R$10:$R$137,F62)</f>
        <v>1.0371992799078582</v>
      </c>
      <c r="L62" s="1">
        <f>Interpolate_Range('試算番号4-3'!$G$27:$G$143,'試算番号4-3'!$O$27:$O$143,F62)</f>
        <v>3.436020831581145E-2</v>
      </c>
      <c r="M62" s="33">
        <f t="shared" si="11"/>
        <v>1.063960192323506</v>
      </c>
      <c r="N62" s="33">
        <f t="shared" si="9"/>
        <v>0.96449782826987729</v>
      </c>
      <c r="O62" s="10">
        <f t="shared" si="10"/>
        <v>3.213128738052459E-3</v>
      </c>
      <c r="P62" s="32"/>
      <c r="Q62" s="1"/>
      <c r="R62" s="10"/>
    </row>
    <row r="63" spans="6:25">
      <c r="F63" s="13">
        <f t="shared" si="13"/>
        <v>11.5</v>
      </c>
      <c r="G63" s="2">
        <f>Interpolate_Range('試算番号4-1'!$G$10:$G$143,'試算番号4-1'!$I$10:$I$143,F63)</f>
        <v>0.9019471956091808</v>
      </c>
      <c r="H63" s="33">
        <f>Interpolate_Range('試算番号4-4'!$G$10:$G$137,'試算番号4-4'!$P$10:$P$137,F63)</f>
        <v>1.1049748920752898</v>
      </c>
      <c r="I63" s="1">
        <f>Interpolate_Range('試算番号4-1'!$G$27:$G$143,'試算番号4-1'!$P$27:$P$143,F63)</f>
        <v>2.0321582581068004E-2</v>
      </c>
      <c r="J63" s="2">
        <f>Interpolate_Range('試算番号4-3'!$G$10:$G$143,'試算番号4-3'!$I$10:$I$143,F63)</f>
        <v>0.80689361968091089</v>
      </c>
      <c r="K63" s="15">
        <f>Interpolate_Range('試算番号4-5'!$H$10:$H$137,'試算番号4-5'!$R$10:$R$137,F63)</f>
        <v>1.0375864626041</v>
      </c>
      <c r="L63" s="1">
        <f>Interpolate_Range('試算番号4-3'!$G$27:$G$143,'試算番号4-3'!$O$27:$O$143,F63)</f>
        <v>3.436020831581145E-2</v>
      </c>
      <c r="M63" s="33">
        <f t="shared" si="11"/>
        <v>1.0649472905631985</v>
      </c>
      <c r="N63" s="33">
        <f t="shared" si="9"/>
        <v>0.96052622219507222</v>
      </c>
      <c r="O63" s="10">
        <f t="shared" si="10"/>
        <v>3.5020866590166457E-3</v>
      </c>
      <c r="P63" s="32"/>
      <c r="Q63" s="1"/>
      <c r="R63" s="10"/>
    </row>
    <row r="64" spans="6:25">
      <c r="F64" s="13">
        <f t="shared" si="13"/>
        <v>11.75</v>
      </c>
      <c r="G64" s="2">
        <f>Interpolate_Range('試算番号4-1'!$G$10:$G$143,'試算番号4-1'!$I$10:$I$143,F64)</f>
        <v>0.89737755418935594</v>
      </c>
      <c r="H64" s="33">
        <f>Interpolate_Range('試算番号4-4'!$G$10:$G$137,'試算番号4-4'!$P$10:$P$137,F64)</f>
        <v>1.1063632385104882</v>
      </c>
      <c r="I64" s="1">
        <f>Interpolate_Range('試算番号4-1'!$G$27:$G$143,'試算番号4-1'!$P$27:$P$143,F64)</f>
        <v>2.1323482219625618E-2</v>
      </c>
      <c r="J64" s="2">
        <f>Interpolate_Range('試算番号4-3'!$G$10:$G$143,'試算番号4-3'!$I$10:$I$143,F64)</f>
        <v>0.80038313511073766</v>
      </c>
      <c r="K64" s="15">
        <f>Interpolate_Range('試算番号4-5'!$H$10:$H$137,'試算番号4-5'!$R$10:$R$137,F64)</f>
        <v>1.0382877008924685</v>
      </c>
      <c r="L64" s="1">
        <f>Interpolate_Range('試算番号4-3'!$G$27:$G$143,'試算番号4-3'!$O$27:$O$143,F64)</f>
        <v>3.4418962322203712E-2</v>
      </c>
      <c r="M64" s="33">
        <f t="shared" si="11"/>
        <v>1.0655651969675697</v>
      </c>
      <c r="N64" s="33">
        <f t="shared" si="9"/>
        <v>0.95621429028405702</v>
      </c>
      <c r="O64" s="10">
        <f t="shared" si="10"/>
        <v>3.8104883431892477E-3</v>
      </c>
      <c r="P64" s="32"/>
      <c r="Q64" s="1"/>
      <c r="R64" s="10"/>
    </row>
    <row r="65" spans="6:18">
      <c r="F65" s="13">
        <f t="shared" si="13"/>
        <v>12</v>
      </c>
      <c r="G65" s="2">
        <f>Interpolate_Range('試算番号4-1'!$G$10:$G$143,'試算番号4-1'!$I$10:$I$143,F65)</f>
        <v>0.89280791276953098</v>
      </c>
      <c r="H65" s="33">
        <f>Interpolate_Range('試算番号4-4'!$G$10:$G$137,'試算番号4-4'!$P$10:$P$137,F65)</f>
        <v>1.1076281093146674</v>
      </c>
      <c r="I65" s="1">
        <f>Interpolate_Range('試算番号4-1'!$G$27:$G$143,'試算番号4-1'!$P$27:$P$143,F65)</f>
        <v>2.1323482219625618E-2</v>
      </c>
      <c r="J65" s="2">
        <f>Interpolate_Range('試算番号4-3'!$G$10:$G$143,'試算番号4-3'!$I$10:$I$143,F65)</f>
        <v>0.79387265054056444</v>
      </c>
      <c r="K65" s="15">
        <f>Interpolate_Range('試算番号4-5'!$H$10:$H$137,'試算番号4-5'!$R$10:$R$137,F65)</f>
        <v>1.0389273374196428</v>
      </c>
      <c r="L65" s="1">
        <f>Interpolate_Range('試算番号4-3'!$G$27:$G$143,'試算番号4-3'!$O$27:$O$143,F65)</f>
        <v>3.4418962322203712E-2</v>
      </c>
      <c r="M65" s="33">
        <f t="shared" si="11"/>
        <v>1.0661266379472263</v>
      </c>
      <c r="N65" s="33">
        <f t="shared" si="9"/>
        <v>0.95184629837366053</v>
      </c>
      <c r="O65" s="10">
        <f t="shared" si="10"/>
        <v>4.1126423761338061E-3</v>
      </c>
      <c r="P65" s="32"/>
      <c r="Q65" s="1"/>
      <c r="R65" s="10"/>
    </row>
    <row r="66" spans="6:18">
      <c r="F66" s="13">
        <f t="shared" si="13"/>
        <v>12.25</v>
      </c>
      <c r="G66" s="2">
        <f>Interpolate_Range('試算番号4-1'!$G$10:$G$143,'試算番号4-1'!$I$10:$I$143,F66)</f>
        <v>0.8880881014835228</v>
      </c>
      <c r="H66" s="33">
        <f>Interpolate_Range('試算番号4-4'!$G$10:$G$137,'試算番号4-4'!$P$10:$P$137,F66)</f>
        <v>1.1088214134102672</v>
      </c>
      <c r="I66" s="1">
        <f>Interpolate_Range('試算番号4-1'!$G$27:$G$143,'試算番号4-1'!$P$27:$P$143,F66)</f>
        <v>2.1618461464783148E-2</v>
      </c>
      <c r="J66" s="2">
        <f>Interpolate_Range('試算番号4-3'!$G$10:$G$143,'試算番号4-3'!$I$10:$I$143,F66)</f>
        <v>0.7880747503746085</v>
      </c>
      <c r="K66" s="15">
        <f>Interpolate_Range('試算番号4-5'!$H$10:$H$137,'試算番号4-5'!$R$10:$R$137,F66)</f>
        <v>1.0395880353411582</v>
      </c>
      <c r="L66" s="1">
        <f>Interpolate_Range('試算番号4-3'!$G$27:$G$143,'試算番号4-3'!$O$27:$O$143,F66)</f>
        <v>3.1184982011093213E-2</v>
      </c>
      <c r="M66" s="33">
        <f t="shared" si="11"/>
        <v>1.0665969362050121</v>
      </c>
      <c r="N66" s="33">
        <f t="shared" si="9"/>
        <v>0.94723204812245121</v>
      </c>
      <c r="O66" s="10">
        <f t="shared" si="10"/>
        <v>4.4254025172274373E-3</v>
      </c>
      <c r="P66" s="32"/>
      <c r="Q66" s="1"/>
      <c r="R66" s="10"/>
    </row>
    <row r="67" spans="6:18">
      <c r="F67" s="13">
        <f t="shared" si="13"/>
        <v>12.5</v>
      </c>
      <c r="G67" s="2">
        <f>Interpolate_Range('試算番号4-1'!$G$10:$G$143,'試算番号4-1'!$I$10:$I$143,F67)</f>
        <v>0.88336829019751462</v>
      </c>
      <c r="H67" s="33">
        <f>Interpolate_Range('試算番号4-4'!$G$10:$G$137,'試算番号4-4'!$P$10:$P$137,F67)</f>
        <v>1.1099132391774618</v>
      </c>
      <c r="I67" s="1">
        <f>Interpolate_Range('試算番号4-1'!$G$27:$G$143,'試算番号4-1'!$P$27:$P$143,F67)</f>
        <v>2.1618461464783148E-2</v>
      </c>
      <c r="J67" s="2">
        <f>Interpolate_Range('試算番号4-3'!$G$10:$G$143,'試算番号4-3'!$I$10:$I$143,F67)</f>
        <v>0.78227685020865256</v>
      </c>
      <c r="K67" s="15">
        <f>Interpolate_Range('試算番号4-5'!$H$10:$H$137,'試算番号4-5'!$R$10:$R$137,F67)</f>
        <v>1.0402066487805952</v>
      </c>
      <c r="L67" s="1">
        <f>Interpolate_Range('試算番号4-3'!$G$27:$G$143,'試算番号4-3'!$O$27:$O$143,F67)</f>
        <v>3.1184982011093213E-2</v>
      </c>
      <c r="M67" s="33">
        <f t="shared" si="11"/>
        <v>1.0670122523044643</v>
      </c>
      <c r="N67" s="33">
        <f t="shared" si="9"/>
        <v>0.94256478893799367</v>
      </c>
      <c r="O67" s="10">
        <f t="shared" si="10"/>
        <v>4.7320496355033725E-3</v>
      </c>
      <c r="P67" s="32"/>
      <c r="Q67" s="1"/>
      <c r="R67" s="10"/>
    </row>
    <row r="68" spans="6:18">
      <c r="F68" s="13">
        <f t="shared" si="13"/>
        <v>12.75</v>
      </c>
      <c r="G68" s="2">
        <f>Interpolate_Range('試算番号4-1'!$G$10:$G$143,'試算番号4-1'!$I$10:$I$143,F68)</f>
        <v>0.87864847891150633</v>
      </c>
      <c r="H68" s="33">
        <f>Interpolate_Range('試算番号4-4'!$G$10:$G$137,'試算番号4-4'!$P$10:$P$137,F68)</f>
        <v>1.1108502200983448</v>
      </c>
      <c r="I68" s="1">
        <f>Interpolate_Range('試算番号4-1'!$G$27:$G$143,'試算番号4-1'!$P$27:$P$143,F68)</f>
        <v>2.2574478510786204E-2</v>
      </c>
      <c r="J68" s="2">
        <f>Interpolate_Range('試算番号4-3'!$G$10:$G$143,'試算番号4-3'!$I$10:$I$143,F68)</f>
        <v>0.77647895004269651</v>
      </c>
      <c r="K68" s="15">
        <f>Interpolate_Range('試算番号4-5'!$H$10:$H$137,'試算番号4-5'!$R$10:$R$137,F68)</f>
        <v>1.0410164726629605</v>
      </c>
      <c r="L68" s="1">
        <f>Interpolate_Range('試算番号4-3'!$G$27:$G$143,'試算番号4-3'!$O$27:$O$143,F68)</f>
        <v>3.1205473830224262E-2</v>
      </c>
      <c r="M68" s="33">
        <f t="shared" si="11"/>
        <v>1.0670822693676949</v>
      </c>
      <c r="N68" s="33">
        <f t="shared" si="9"/>
        <v>0.93759021285336341</v>
      </c>
      <c r="O68" s="10">
        <f t="shared" si="10"/>
        <v>5.054297939098706E-3</v>
      </c>
      <c r="P68" s="32"/>
      <c r="Q68" s="1"/>
      <c r="R68" s="10"/>
    </row>
    <row r="69" spans="6:18">
      <c r="F69" s="13">
        <f t="shared" si="13"/>
        <v>13</v>
      </c>
      <c r="G69" s="2">
        <f>Interpolate_Range('試算番号4-1'!$G$10:$G$143,'試算番号4-1'!$I$10:$I$143,F69)</f>
        <v>0.87392866762549815</v>
      </c>
      <c r="H69" s="33">
        <f>Interpolate_Range('試算番号4-4'!$G$10:$G$137,'試算番号4-4'!$P$10:$P$137,F69)</f>
        <v>1.1116825659516023</v>
      </c>
      <c r="I69" s="1">
        <f>Interpolate_Range('試算番号4-1'!$G$27:$G$143,'試算番号4-1'!$P$27:$P$143,F69)</f>
        <v>2.2574478510786204E-2</v>
      </c>
      <c r="J69" s="2">
        <f>Interpolate_Range('試算番号4-3'!$G$10:$G$143,'試算番号4-3'!$I$10:$I$143,F69)</f>
        <v>0.77068104987674058</v>
      </c>
      <c r="K69" s="15">
        <f>Interpolate_Range('試算番号4-5'!$H$10:$H$137,'試算番号4-5'!$R$10:$R$137,F69)</f>
        <v>1.0417825258451521</v>
      </c>
      <c r="L69" s="1">
        <f>Interpolate_Range('試算番号4-3'!$G$27:$G$143,'試算番号4-3'!$O$27:$O$143,F69)</f>
        <v>3.1205473830224262E-2</v>
      </c>
      <c r="M69" s="33">
        <f t="shared" si="11"/>
        <v>1.0670965756982183</v>
      </c>
      <c r="N69" s="33">
        <f t="shared" si="9"/>
        <v>0.93256628862767543</v>
      </c>
      <c r="O69" s="10">
        <f t="shared" si="10"/>
        <v>5.370387922349183E-3</v>
      </c>
      <c r="P69" s="32"/>
      <c r="Q69" s="1"/>
      <c r="R69" s="10"/>
    </row>
    <row r="70" spans="6:18">
      <c r="F70" s="13">
        <f t="shared" si="13"/>
        <v>13.25</v>
      </c>
      <c r="G70" s="2">
        <f>Interpolate_Range('試算番号4-1'!$G$10:$G$143,'試算番号4-1'!$I$10:$I$143,F70)</f>
        <v>0.86888566892751917</v>
      </c>
      <c r="H70" s="33">
        <f>Interpolate_Range('試算番号4-4'!$G$10:$G$137,'試算番号4-4'!$P$10:$P$137,F70)</f>
        <v>1.11266873003828</v>
      </c>
      <c r="I70" s="1">
        <f>Interpolate_Range('試算番号4-1'!$G$27:$G$143,'試算番号4-1'!$P$27:$P$143,F70)</f>
        <v>2.355402363083078E-2</v>
      </c>
      <c r="J70" s="2">
        <f>Interpolate_Range('試算番号4-3'!$G$10:$G$143,'試算番号4-3'!$I$10:$I$143,F70)</f>
        <v>0.76471733924103857</v>
      </c>
      <c r="K70" s="15">
        <f>Interpolate_Range('試算番号4-5'!$H$10:$H$137,'試算番号4-5'!$R$10:$R$137,F70)</f>
        <v>1.0424383599480913</v>
      </c>
      <c r="L70" s="1">
        <f>Interpolate_Range('試算番号4-3'!$G$27:$G$143,'試算番号4-3'!$O$27:$O$143,F70)</f>
        <v>3.2845928980554683E-2</v>
      </c>
      <c r="M70" s="33">
        <f t="shared" si="11"/>
        <v>1.0673712449469779</v>
      </c>
      <c r="N70" s="33">
        <f t="shared" si="9"/>
        <v>0.92742357815975385</v>
      </c>
      <c r="O70" s="10">
        <f t="shared" si="10"/>
        <v>5.686406295119544E-3</v>
      </c>
      <c r="P70" s="32"/>
      <c r="Q70" s="1"/>
      <c r="R70" s="10"/>
    </row>
    <row r="71" spans="6:18">
      <c r="F71" s="13">
        <f t="shared" si="13"/>
        <v>13.5</v>
      </c>
      <c r="G71" s="2">
        <f>Interpolate_Range('試算番号4-1'!$G$10:$G$143,'試算番号4-1'!$I$10:$I$143,F71)</f>
        <v>0.8638426702295402</v>
      </c>
      <c r="H71" s="33">
        <f>Interpolate_Range('試算番号4-4'!$G$10:$G$137,'試算番号4-4'!$P$10:$P$137,F71)</f>
        <v>1.113550541701154</v>
      </c>
      <c r="I71" s="1">
        <f>Interpolate_Range('試算番号4-1'!$G$27:$G$143,'試算番号4-1'!$P$27:$P$143,F71)</f>
        <v>2.355402363083078E-2</v>
      </c>
      <c r="J71" s="2">
        <f>Interpolate_Range('試算番号4-3'!$G$10:$G$143,'試算番号4-3'!$I$10:$I$143,F71)</f>
        <v>0.75875362860533657</v>
      </c>
      <c r="K71" s="15">
        <f>Interpolate_Range('試算番号4-5'!$H$10:$H$137,'試算番号4-5'!$R$10:$R$137,F71)</f>
        <v>1.0430499681293033</v>
      </c>
      <c r="L71" s="1">
        <f>Interpolate_Range('試算番号4-3'!$G$27:$G$143,'試算番号4-3'!$O$27:$O$143,F71)</f>
        <v>3.2845928980554683E-2</v>
      </c>
      <c r="M71" s="33">
        <f t="shared" si="11"/>
        <v>1.0675907921250336</v>
      </c>
      <c r="N71" s="33">
        <f t="shared" si="9"/>
        <v>0.92223048058175905</v>
      </c>
      <c r="O71" s="10">
        <f t="shared" si="10"/>
        <v>5.9970450167460007E-3</v>
      </c>
      <c r="P71" s="32"/>
      <c r="Q71" s="1"/>
      <c r="R71" s="10"/>
    </row>
    <row r="72" spans="6:18">
      <c r="F72" s="13">
        <f t="shared" si="13"/>
        <v>13.75</v>
      </c>
      <c r="G72" s="2">
        <f>Interpolate_Range('試算番号4-1'!$G$10:$G$143,'試算番号4-1'!$I$10:$I$143,F72)</f>
        <v>0.85879967153156123</v>
      </c>
      <c r="H72" s="33">
        <f>Interpolate_Range('試算番号4-4'!$G$10:$G$137,'試算番号4-4'!$P$10:$P$137,F72)</f>
        <v>1.1142702821421544</v>
      </c>
      <c r="I72" s="1">
        <f>Interpolate_Range('試算番号4-1'!$G$27:$G$143,'試算番号4-1'!$P$27:$P$143,F72)</f>
        <v>2.4538449300093027E-2</v>
      </c>
      <c r="J72" s="2">
        <f>Interpolate_Range('試算番号4-3'!$G$10:$G$143,'試算番号4-3'!$I$10:$I$143,F72)</f>
        <v>0.75278991796963446</v>
      </c>
      <c r="K72" s="15">
        <f>Interpolate_Range('試算番号4-5'!$H$10:$H$137,'試算番号4-5'!$R$10:$R$137,F72)</f>
        <v>1.0438474941326845</v>
      </c>
      <c r="L72" s="1">
        <f>Interpolate_Range('試算番号4-3'!$G$27:$G$143,'試算番号4-3'!$O$27:$O$143,F72)</f>
        <v>3.2904746072837214E-2</v>
      </c>
      <c r="M72" s="33">
        <f t="shared" si="11"/>
        <v>1.0674646329136259</v>
      </c>
      <c r="N72" s="33">
        <f t="shared" si="9"/>
        <v>0.91673827611778047</v>
      </c>
      <c r="O72" s="10">
        <f t="shared" si="10"/>
        <v>6.3224189556055433E-3</v>
      </c>
      <c r="P72" s="32"/>
      <c r="Q72" s="1"/>
      <c r="R72" s="10"/>
    </row>
    <row r="73" spans="6:18">
      <c r="F73" s="13">
        <f t="shared" si="13"/>
        <v>14</v>
      </c>
      <c r="G73" s="2">
        <f>Interpolate_Range('試算番号4-1'!$G$10:$G$143,'試算番号4-1'!$I$10:$I$143,F73)</f>
        <v>0.85375667283358225</v>
      </c>
      <c r="H73" s="33">
        <f>Interpolate_Range('試算番号4-4'!$G$10:$G$137,'試算番号4-4'!$P$10:$P$137,F73)</f>
        <v>1.1148823485314479</v>
      </c>
      <c r="I73" s="1">
        <f>Interpolate_Range('試算番号4-1'!$G$27:$G$143,'試算番号4-1'!$P$27:$P$143,F73)</f>
        <v>2.4538449300093027E-2</v>
      </c>
      <c r="J73" s="2">
        <f>Interpolate_Range('試算番号4-3'!$G$10:$G$143,'試算番号4-3'!$I$10:$I$143,F73)</f>
        <v>0.74682620733393246</v>
      </c>
      <c r="K73" s="15">
        <f>Interpolate_Range('試算番号4-5'!$H$10:$H$137,'試算番号4-5'!$R$10:$R$137,F73)</f>
        <v>1.0445989303798882</v>
      </c>
      <c r="L73" s="1">
        <f>Interpolate_Range('試算番号4-3'!$G$27:$G$143,'試算番号4-3'!$O$27:$O$143,F73)</f>
        <v>3.2904746072837214E-2</v>
      </c>
      <c r="M73" s="33">
        <f t="shared" si="11"/>
        <v>1.067282682479868</v>
      </c>
      <c r="N73" s="33">
        <f t="shared" si="9"/>
        <v>0.91119971196691274</v>
      </c>
      <c r="O73" s="10">
        <f t="shared" si="10"/>
        <v>6.6423702108751115E-3</v>
      </c>
      <c r="P73" s="32"/>
      <c r="Q73" s="1"/>
      <c r="R73" s="10"/>
    </row>
    <row r="74" spans="6:18">
      <c r="F74" s="13">
        <f t="shared" si="13"/>
        <v>14.25</v>
      </c>
      <c r="G74" s="2">
        <f>Interpolate_Range('試算番号4-1'!$G$10:$G$143,'試算番号4-1'!$I$10:$I$143,F74)</f>
        <v>0.84840723745581959</v>
      </c>
      <c r="H74" s="33">
        <f>Interpolate_Range('試算番号4-4'!$G$10:$G$137,'試算番号4-4'!$P$10:$P$137,F74)</f>
        <v>1.1156528241493273</v>
      </c>
      <c r="I74" s="1">
        <f>Interpolate_Range('試算番号4-1'!$G$27:$G$143,'試算番号4-1'!$P$27:$P$143,F74)</f>
        <v>2.5545002383306883E-2</v>
      </c>
      <c r="J74" s="2">
        <f>Interpolate_Range('試算番号4-3'!$G$10:$G$143,'試算番号4-3'!$I$10:$I$143,F74)</f>
        <v>0.7407131177791354</v>
      </c>
      <c r="K74" s="15">
        <f>Interpolate_Range('試算番号4-5'!$H$10:$H$137,'試算番号4-5'!$R$10:$R$137,F74)</f>
        <v>1.0452399338379428</v>
      </c>
      <c r="L74" s="1">
        <f>Interpolate_Range('試算番号4-3'!$G$27:$G$143,'試算番号4-3'!$O$27:$O$143,F74)</f>
        <v>3.4596126273169006E-2</v>
      </c>
      <c r="M74" s="33">
        <f t="shared" si="11"/>
        <v>1.0673652890899799</v>
      </c>
      <c r="N74" s="33">
        <f t="shared" si="9"/>
        <v>0.90556043627306204</v>
      </c>
      <c r="O74" s="10">
        <f t="shared" si="10"/>
        <v>6.9614919542862475E-3</v>
      </c>
      <c r="P74" s="32"/>
      <c r="Q74" s="1"/>
      <c r="R74" s="10"/>
    </row>
    <row r="75" spans="6:18">
      <c r="F75" s="13">
        <f t="shared" si="13"/>
        <v>14.5</v>
      </c>
      <c r="G75" s="2">
        <f>Interpolate_Range('試算番号4-1'!$G$10:$G$143,'試算番号4-1'!$I$10:$I$143,F75)</f>
        <v>0.84305780207805703</v>
      </c>
      <c r="H75" s="33">
        <f>Interpolate_Range('試算番号4-4'!$G$10:$G$137,'試算番号4-4'!$P$10:$P$137,F75)</f>
        <v>1.116316161163035</v>
      </c>
      <c r="I75" s="1">
        <f>Interpolate_Range('試算番号4-1'!$G$27:$G$143,'試算番号4-1'!$P$27:$P$143,F75)</f>
        <v>2.5545002383306883E-2</v>
      </c>
      <c r="J75" s="2">
        <f>Interpolate_Range('試算番号4-3'!$G$10:$G$143,'試算番号4-3'!$I$10:$I$143,F75)</f>
        <v>0.73460002822433834</v>
      </c>
      <c r="K75" s="15">
        <f>Interpolate_Range('試算番号4-5'!$H$10:$H$137,'試算番号4-5'!$R$10:$R$137,F75)</f>
        <v>1.045834501613975</v>
      </c>
      <c r="L75" s="1">
        <f>Interpolate_Range('試算番号4-3'!$G$27:$G$143,'試算番号4-3'!$O$27:$O$143,F75)</f>
        <v>3.4596126273169006E-2</v>
      </c>
      <c r="M75" s="33">
        <f t="shared" si="11"/>
        <v>1.0673927465964164</v>
      </c>
      <c r="N75" s="33">
        <f t="shared" si="9"/>
        <v>0.89987378289963527</v>
      </c>
      <c r="O75" s="10">
        <f t="shared" si="10"/>
        <v>7.2759149458740376E-3</v>
      </c>
      <c r="P75" s="32"/>
      <c r="Q75" s="1"/>
      <c r="R75" s="10"/>
    </row>
    <row r="76" spans="6:18">
      <c r="F76" s="13">
        <f t="shared" si="13"/>
        <v>14.75</v>
      </c>
      <c r="G76" s="2">
        <f>Interpolate_Range('試算番号4-1'!$G$10:$G$143,'試算番号4-1'!$I$10:$I$143,F76)</f>
        <v>0.83770836670029447</v>
      </c>
      <c r="H76" s="33">
        <f>Interpolate_Range('試算番号4-4'!$G$10:$G$137,'試算番号4-4'!$P$10:$P$137,F76)</f>
        <v>1.1168113386331813</v>
      </c>
      <c r="I76" s="1">
        <f>Interpolate_Range('試算番号4-1'!$G$27:$G$143,'試算番号4-1'!$P$27:$P$143,F76)</f>
        <v>2.6557625055053113E-2</v>
      </c>
      <c r="J76" s="2">
        <f>Interpolate_Range('試算番号4-3'!$G$10:$G$143,'試算番号4-3'!$I$10:$I$143,F76)</f>
        <v>0.72848693866954128</v>
      </c>
      <c r="K76" s="15">
        <f>Interpolate_Range('試算番号4-5'!$H$10:$H$137,'試算番号4-5'!$R$10:$R$137,F76)</f>
        <v>1.0466197306006793</v>
      </c>
      <c r="L76" s="1">
        <f>Interpolate_Range('試算番号4-3'!$G$27:$G$143,'試算番号4-3'!$O$27:$O$143,F76)</f>
        <v>3.465792897281561E-2</v>
      </c>
      <c r="M76" s="33">
        <f t="shared" si="11"/>
        <v>1.0670650533142705</v>
      </c>
      <c r="N76" s="33">
        <f t="shared" si="9"/>
        <v>0.89388932297486012</v>
      </c>
      <c r="O76" s="10">
        <f t="shared" si="10"/>
        <v>7.6049702560581859E-3</v>
      </c>
      <c r="P76" s="32"/>
      <c r="Q76" s="1"/>
      <c r="R76" s="10"/>
    </row>
    <row r="77" spans="6:18">
      <c r="F77" s="13">
        <f t="shared" si="13"/>
        <v>15</v>
      </c>
      <c r="G77" s="2">
        <f>Interpolate_Range('試算番号4-1'!$G$10:$G$143,'試算番号4-1'!$I$10:$I$143,F77)</f>
        <v>0.8323589313225318</v>
      </c>
      <c r="H77" s="33">
        <f>Interpolate_Range('試算番号4-4'!$G$10:$G$137,'試算番号4-4'!$P$10:$P$137,F77)</f>
        <v>1.1171958708841898</v>
      </c>
      <c r="I77" s="1">
        <f>Interpolate_Range('試算番号4-1'!$G$27:$G$143,'試算番号4-1'!$P$27:$P$143,F77)</f>
        <v>2.6557625055053113E-2</v>
      </c>
      <c r="J77" s="2">
        <f>Interpolate_Range('試算番号4-3'!$G$10:$G$143,'試算番号4-3'!$I$10:$I$143,F77)</f>
        <v>0.72237384911474423</v>
      </c>
      <c r="K77" s="15">
        <f>Interpolate_Range('試算番号4-5'!$H$10:$H$137,'試算番号4-5'!$R$10:$R$137,F77)</f>
        <v>1.0473564694944646</v>
      </c>
      <c r="L77" s="1">
        <f>Interpolate_Range('試算番号4-3'!$G$27:$G$143,'試算番号4-3'!$O$27:$O$143,F77)</f>
        <v>3.465792897281561E-2</v>
      </c>
      <c r="M77" s="33">
        <f t="shared" si="11"/>
        <v>1.066681596403787</v>
      </c>
      <c r="N77" s="33">
        <f t="shared" si="9"/>
        <v>0.88786195364406839</v>
      </c>
      <c r="O77" s="10">
        <f t="shared" si="10"/>
        <v>7.9292670455189656E-3</v>
      </c>
      <c r="P77" s="32"/>
      <c r="Q77" s="1"/>
      <c r="R77" s="10"/>
    </row>
    <row r="78" spans="6:18">
      <c r="F78" s="13">
        <f t="shared" si="13"/>
        <v>15.25</v>
      </c>
      <c r="G78" s="2">
        <f>Interpolate_Range('試算番号4-1'!$G$10:$G$143,'試算番号4-1'!$I$10:$I$143,F78)</f>
        <v>0.82775881854766187</v>
      </c>
      <c r="H78" s="33">
        <f>Interpolate_Range('試算番号4-4'!$G$10:$G$137,'試算番号4-4'!$P$10:$P$137,F78)</f>
        <v>1.1177430227584553</v>
      </c>
      <c r="I78" s="1">
        <f>Interpolate_Range('試算番号4-1'!$G$27:$G$143,'試算番号4-1'!$P$27:$P$143,F78)</f>
        <v>2.2884139047521398E-2</v>
      </c>
      <c r="J78" s="2">
        <f>Interpolate_Range('試算番号4-3'!$G$10:$G$143,'試算番号4-3'!$I$10:$I$143,F78)</f>
        <v>0.71767449787536564</v>
      </c>
      <c r="K78" s="15">
        <f>Interpolate_Range('試算番号4-5'!$H$10:$H$137,'試算番号4-5'!$R$10:$R$137,F78)</f>
        <v>1.0480308277461836</v>
      </c>
      <c r="L78" s="1">
        <f>Interpolate_Range('試算番号4-3'!$G$27:$G$143,'試算番号4-3'!$O$27:$O$143,F78)</f>
        <v>2.7797000137672018E-2</v>
      </c>
      <c r="M78" s="33">
        <f t="shared" si="11"/>
        <v>1.0665173133906656</v>
      </c>
      <c r="N78" s="33">
        <f t="shared" si="9"/>
        <v>0.88281911129288382</v>
      </c>
      <c r="O78" s="10">
        <f t="shared" si="10"/>
        <v>8.1727840221104513E-3</v>
      </c>
      <c r="P78" s="32"/>
      <c r="Q78" s="1"/>
      <c r="R78" s="10"/>
    </row>
    <row r="79" spans="6:18">
      <c r="F79" s="13">
        <f t="shared" si="13"/>
        <v>15.5</v>
      </c>
      <c r="G79" s="2">
        <f>Interpolate_Range('試算番号4-1'!$G$10:$G$143,'試算番号4-1'!$I$10:$I$143,F79)</f>
        <v>0.82315870577279204</v>
      </c>
      <c r="H79" s="33">
        <f>Interpolate_Range('試算番号4-4'!$G$10:$G$137,'試算番号4-4'!$P$10:$P$137,F79)</f>
        <v>1.1182037052211706</v>
      </c>
      <c r="I79" s="1">
        <f>Interpolate_Range('試算番号4-1'!$G$27:$G$143,'試算番号4-1'!$P$27:$P$143,F79)</f>
        <v>2.2884139047521398E-2</v>
      </c>
      <c r="J79" s="2">
        <f>Interpolate_Range('試算番号4-3'!$G$10:$G$143,'試算番号4-3'!$I$10:$I$143,F79)</f>
        <v>0.71297514663598704</v>
      </c>
      <c r="K79" s="15">
        <f>Interpolate_Range('試算番号4-5'!$H$10:$H$137,'試算番号4-5'!$R$10:$R$137,F79)</f>
        <v>1.0486652959795126</v>
      </c>
      <c r="L79" s="1">
        <f>Interpolate_Range('試算番号4-3'!$G$27:$G$143,'試算番号4-3'!$O$27:$O$143,F79)</f>
        <v>2.7797000137672018E-2</v>
      </c>
      <c r="M79" s="33">
        <f t="shared" si="11"/>
        <v>1.0663113478707285</v>
      </c>
      <c r="N79" s="33">
        <f t="shared" si="9"/>
        <v>0.87774346906411027</v>
      </c>
      <c r="O79" s="10">
        <f t="shared" si="10"/>
        <v>8.4129615808675104E-3</v>
      </c>
      <c r="P79" s="32"/>
      <c r="Q79" s="1"/>
      <c r="R79" s="10"/>
    </row>
    <row r="80" spans="6:18">
      <c r="F80" s="13">
        <f t="shared" si="13"/>
        <v>15.75</v>
      </c>
      <c r="G80" s="2">
        <f>Interpolate_Range('試算番号4-1'!$G$10:$G$143,'試算番号4-1'!$I$10:$I$143,F80)</f>
        <v>0.81855859299792211</v>
      </c>
      <c r="H80" s="33">
        <f>Interpolate_Range('試算番号4-4'!$G$10:$G$137,'試算番号4-4'!$P$10:$P$137,F80)</f>
        <v>1.1184938122219423</v>
      </c>
      <c r="I80" s="1">
        <f>Interpolate_Range('試算番号4-1'!$G$27:$G$143,'試算番号4-1'!$P$27:$P$143,F80)</f>
        <v>2.3546339233193925E-2</v>
      </c>
      <c r="J80" s="2">
        <f>Interpolate_Range('試算番号4-3'!$G$10:$G$143,'試算番号4-3'!$I$10:$I$143,F80)</f>
        <v>0.70827579539660845</v>
      </c>
      <c r="K80" s="15">
        <f>Interpolate_Range('試算番号4-5'!$H$10:$H$137,'試算番号4-5'!$R$10:$R$137,F80)</f>
        <v>1.04937881041768</v>
      </c>
      <c r="L80" s="1">
        <f>Interpolate_Range('試算番号4-3'!$G$27:$G$143,'試算番号4-3'!$O$27:$O$143,F80)</f>
        <v>2.7785763207518886E-2</v>
      </c>
      <c r="M80" s="33">
        <f t="shared" si="11"/>
        <v>1.0658627762616559</v>
      </c>
      <c r="N80" s="33">
        <f t="shared" si="9"/>
        <v>0.8724711344656001</v>
      </c>
      <c r="O80" s="10">
        <f t="shared" si="10"/>
        <v>8.6619497879289742E-3</v>
      </c>
      <c r="P80" s="32"/>
      <c r="Q80" s="1"/>
      <c r="R80" s="10"/>
    </row>
    <row r="81" spans="6:18">
      <c r="F81" s="13">
        <f t="shared" si="13"/>
        <v>16</v>
      </c>
      <c r="G81" s="2">
        <f>Interpolate_Range('試算番号4-1'!$G$10:$G$143,'試算番号4-1'!$I$10:$I$143,F81)</f>
        <v>0.81395848022305217</v>
      </c>
      <c r="H81" s="33">
        <f>Interpolate_Range('試算番号4-4'!$G$10:$G$137,'試算番号4-4'!$P$10:$P$137,F81)</f>
        <v>1.1186954700582297</v>
      </c>
      <c r="I81" s="1">
        <f>Interpolate_Range('試算番号4-1'!$G$27:$G$143,'試算番号4-1'!$P$27:$P$143,F81)</f>
        <v>2.3546339233193925E-2</v>
      </c>
      <c r="J81" s="2">
        <f>Interpolate_Range('試算番号4-3'!$G$10:$G$143,'試算番号4-3'!$I$10:$I$143,F81)</f>
        <v>0.70357644415722986</v>
      </c>
      <c r="K81" s="15">
        <f>Interpolate_Range('試算番号4-5'!$H$10:$H$137,'試算番号4-5'!$R$10:$R$137,F81)</f>
        <v>1.0500512132715598</v>
      </c>
      <c r="L81" s="1">
        <f>Interpolate_Range('試算番号4-3'!$G$27:$G$143,'試算番号4-3'!$O$27:$O$143,F81)</f>
        <v>2.7785763207518886E-2</v>
      </c>
      <c r="M81" s="33">
        <f t="shared" si="11"/>
        <v>1.0653722941501116</v>
      </c>
      <c r="N81" s="33">
        <f t="shared" si="9"/>
        <v>0.86716881341817131</v>
      </c>
      <c r="O81" s="10">
        <f t="shared" si="10"/>
        <v>8.9076007081382805E-3</v>
      </c>
      <c r="P81" s="32"/>
      <c r="Q81" s="1"/>
      <c r="R81" s="10"/>
    </row>
    <row r="82" spans="6:18">
      <c r="F82" s="13">
        <f t="shared" si="13"/>
        <v>16.25</v>
      </c>
      <c r="G82" s="2">
        <f>Interpolate_Range('試算番号4-1'!$G$10:$G$143,'試算番号4-1'!$I$10:$I$143,F82)</f>
        <v>0.80918258613114591</v>
      </c>
      <c r="H82" s="33">
        <f>Interpolate_Range('試算番号4-4'!$G$10:$G$137,'試算番号4-4'!$P$10:$P$137,F82)</f>
        <v>1.119028073890141</v>
      </c>
      <c r="I82" s="1">
        <f>Interpolate_Range('試算番号4-1'!$G$27:$G$143,'試算番号4-1'!$P$27:$P$143,F82)</f>
        <v>2.4245543983335928E-2</v>
      </c>
      <c r="J82" s="2">
        <f>Interpolate_Range('試算番号4-3'!$G$10:$G$143,'試算番号4-3'!$I$10:$I$143,F82)</f>
        <v>0.69887636112283968</v>
      </c>
      <c r="K82" s="15">
        <f>Interpolate_Range('試算番号4-5'!$H$10:$H$137,'試算番号4-5'!$R$10:$R$137,F82)</f>
        <v>1.0507251687498513</v>
      </c>
      <c r="L82" s="1">
        <f>Interpolate_Range('試算番号4-3'!$G$27:$G$143,'試算番号4-3'!$O$27:$O$143,F82)</f>
        <v>2.8385434427050091E-2</v>
      </c>
      <c r="M82" s="33">
        <f t="shared" si="11"/>
        <v>1.0650054906570443</v>
      </c>
      <c r="N82" s="33">
        <f t="shared" si="9"/>
        <v>0.86178389717373705</v>
      </c>
      <c r="O82" s="10">
        <f t="shared" si="10"/>
        <v>9.153891635888433E-3</v>
      </c>
      <c r="P82" s="32"/>
      <c r="Q82" s="1"/>
      <c r="R82" s="10"/>
    </row>
    <row r="83" spans="6:18">
      <c r="F83" s="13">
        <f t="shared" si="13"/>
        <v>16.5</v>
      </c>
      <c r="G83" s="2">
        <f>Interpolate_Range('試算番号4-1'!$G$10:$G$143,'試算番号4-1'!$I$10:$I$143,F83)</f>
        <v>0.80440669203923965</v>
      </c>
      <c r="H83" s="33">
        <f>Interpolate_Range('試算番号4-4'!$G$10:$G$137,'試算番号4-4'!$P$10:$P$137,F83)</f>
        <v>1.119274328710218</v>
      </c>
      <c r="I83" s="1">
        <f>Interpolate_Range('試算番号4-1'!$G$27:$G$143,'試算番号4-1'!$P$27:$P$143,F83)</f>
        <v>2.4245543983335928E-2</v>
      </c>
      <c r="J83" s="2">
        <f>Interpolate_Range('試算番号4-3'!$G$10:$G$143,'試算番号4-3'!$I$10:$I$143,F83)</f>
        <v>0.69417627808844917</v>
      </c>
      <c r="K83" s="15">
        <f>Interpolate_Range('試算番号4-5'!$H$10:$H$137,'試算番号4-5'!$R$10:$R$137,F83)</f>
        <v>1.0513580283685597</v>
      </c>
      <c r="L83" s="1">
        <f>Interpolate_Range('試算番号4-3'!$G$27:$G$143,'試算番号4-3'!$O$27:$O$143,F83)</f>
        <v>2.8385434427050091E-2</v>
      </c>
      <c r="M83" s="33">
        <f t="shared" ref="M83:M137" si="14">H83/K83</f>
        <v>1.0645986414799602</v>
      </c>
      <c r="N83" s="33">
        <f t="shared" ref="N83:N137" si="15">M83*G83</f>
        <v>0.85637027154236323</v>
      </c>
      <c r="O83" s="10">
        <f t="shared" ref="O83:O137" si="16">-LN(N83)/F83</f>
        <v>9.3971173427001807E-3</v>
      </c>
      <c r="P83" s="32"/>
      <c r="Q83" s="1"/>
      <c r="R83" s="10"/>
    </row>
    <row r="84" spans="6:18">
      <c r="F84" s="13">
        <f t="shared" si="13"/>
        <v>16.75</v>
      </c>
      <c r="G84" s="2">
        <f>Interpolate_Range('試算番号4-1'!$G$10:$G$143,'試算番号4-1'!$I$10:$I$143,F84)</f>
        <v>0.79963079794733327</v>
      </c>
      <c r="H84" s="33">
        <f>Interpolate_Range('試算番号4-4'!$G$10:$G$137,'試算番号4-4'!$P$10:$P$137,F84)</f>
        <v>1.1193403040802825</v>
      </c>
      <c r="I84" s="1">
        <f>Interpolate_Range('試算番号4-1'!$G$27:$G$143,'試算番号4-1'!$P$27:$P$143,F84)</f>
        <v>2.4949227041731418E-2</v>
      </c>
      <c r="J84" s="2">
        <f>Interpolate_Range('試算番号4-3'!$G$10:$G$143,'試算番号4-3'!$I$10:$I$143,F84)</f>
        <v>0.68947619505405888</v>
      </c>
      <c r="K84" s="15">
        <f>Interpolate_Range('試算番号4-5'!$H$10:$H$137,'試算番号4-5'!$R$10:$R$137,F84)</f>
        <v>1.0520582012885029</v>
      </c>
      <c r="L84" s="1">
        <f>Interpolate_Range('試算番号4-3'!$G$27:$G$143,'試算番号4-3'!$O$27:$O$143,F84)</f>
        <v>2.8424136505520919E-2</v>
      </c>
      <c r="M84" s="33">
        <f t="shared" si="14"/>
        <v>1.0639528333217461</v>
      </c>
      <c r="N84" s="33">
        <f t="shared" si="15"/>
        <v>0.85076945308739382</v>
      </c>
      <c r="O84" s="10">
        <f t="shared" si="16"/>
        <v>9.6486029882439164E-3</v>
      </c>
      <c r="P84" s="32"/>
      <c r="Q84" s="1"/>
      <c r="R84" s="10"/>
    </row>
    <row r="85" spans="6:18">
      <c r="F85" s="13">
        <f t="shared" si="13"/>
        <v>17</v>
      </c>
      <c r="G85" s="2">
        <f>Interpolate_Range('試算番号4-1'!$G$10:$G$143,'試算番号4-1'!$I$10:$I$143,F85)</f>
        <v>0.79485490385542701</v>
      </c>
      <c r="H85" s="33">
        <f>Interpolate_Range('試算番号4-4'!$G$10:$G$137,'試算番号4-4'!$P$10:$P$137,F85)</f>
        <v>1.1193179276651839</v>
      </c>
      <c r="I85" s="1">
        <f>Interpolate_Range('試算番号4-1'!$G$27:$G$143,'試算番号4-1'!$P$27:$P$143,F85)</f>
        <v>2.4949227041731418E-2</v>
      </c>
      <c r="J85" s="2">
        <f>Interpolate_Range('試算番号4-3'!$G$10:$G$143,'試算番号4-3'!$I$10:$I$143,F85)</f>
        <v>0.6847761120196687</v>
      </c>
      <c r="K85" s="15">
        <f>Interpolate_Range('試算番号4-5'!$H$10:$H$137,'試算番号4-5'!$R$10:$R$137,F85)</f>
        <v>1.0527159710008858</v>
      </c>
      <c r="L85" s="1">
        <f>Interpolate_Range('試算番号4-3'!$G$27:$G$143,'試算番号4-3'!$O$27:$O$143,F85)</f>
        <v>2.8424136505520919E-2</v>
      </c>
      <c r="M85" s="33">
        <f t="shared" si="14"/>
        <v>1.0632667865777463</v>
      </c>
      <c r="N85" s="33">
        <f t="shared" si="15"/>
        <v>0.84514281941792335</v>
      </c>
      <c r="O85" s="10">
        <f t="shared" si="16"/>
        <v>9.897038167300384E-3</v>
      </c>
      <c r="P85" s="32"/>
      <c r="Q85" s="1"/>
      <c r="R85" s="10"/>
    </row>
    <row r="86" spans="6:18">
      <c r="F86" s="13">
        <f t="shared" si="13"/>
        <v>17.25</v>
      </c>
      <c r="G86" s="2">
        <f>Interpolate_Range('試算番号4-1'!$G$10:$G$143,'試算番号4-1'!$I$10:$I$143,F86)</f>
        <v>0.78991386111667228</v>
      </c>
      <c r="H86" s="33">
        <f>Interpolate_Range('試算番号4-4'!$G$10:$G$137,'試算番号4-4'!$P$10:$P$137,F86)</f>
        <v>1.119422741212321</v>
      </c>
      <c r="I86" s="1">
        <f>Interpolate_Range('試算番号4-1'!$G$27:$G$143,'試算番号4-1'!$P$27:$P$143,F86)</f>
        <v>2.5666815114207726E-2</v>
      </c>
      <c r="J86" s="2">
        <f>Interpolate_Range('試算番号4-3'!$G$10:$G$143,'試算番号4-3'!$I$10:$I$143,F86)</f>
        <v>0.68007931450671832</v>
      </c>
      <c r="K86" s="15">
        <f>Interpolate_Range('試算番号4-5'!$H$10:$H$137,'試算番号4-5'!$R$10:$R$137,F86)</f>
        <v>1.0533764498263249</v>
      </c>
      <c r="L86" s="1">
        <f>Interpolate_Range('試算番号4-3'!$G$27:$G$143,'試算番号4-3'!$O$27:$O$143,F86)</f>
        <v>2.9037655687370146E-2</v>
      </c>
      <c r="M86" s="33">
        <f t="shared" si="14"/>
        <v>1.0626996088595728</v>
      </c>
      <c r="N86" s="33">
        <f t="shared" si="15"/>
        <v>0.83944115124144258</v>
      </c>
      <c r="O86" s="10">
        <f t="shared" si="16"/>
        <v>1.0146023460498655E-2</v>
      </c>
      <c r="P86" s="32"/>
      <c r="Q86" s="1"/>
      <c r="R86" s="10"/>
    </row>
    <row r="87" spans="6:18">
      <c r="F87" s="13">
        <f t="shared" si="13"/>
        <v>17.5</v>
      </c>
      <c r="G87" s="2">
        <f>Interpolate_Range('試算番号4-1'!$G$10:$G$143,'試算番号4-1'!$I$10:$I$143,F87)</f>
        <v>0.78497281837791755</v>
      </c>
      <c r="H87" s="33">
        <f>Interpolate_Range('試算番号4-4'!$G$10:$G$137,'試算番号4-4'!$P$10:$P$137,F87)</f>
        <v>1.1194414378189705</v>
      </c>
      <c r="I87" s="1">
        <f>Interpolate_Range('試算番号4-1'!$G$27:$G$143,'試算番号4-1'!$P$27:$P$143,F87)</f>
        <v>2.5666815114207726E-2</v>
      </c>
      <c r="J87" s="2">
        <f>Interpolate_Range('試算番号4-3'!$G$10:$G$143,'試算番号4-3'!$I$10:$I$143,F87)</f>
        <v>0.67538251699376806</v>
      </c>
      <c r="K87" s="15">
        <f>Interpolate_Range('試算番号4-5'!$H$10:$H$137,'試算番号4-5'!$R$10:$R$137,F87)</f>
        <v>1.0539945811153204</v>
      </c>
      <c r="L87" s="1">
        <f>Interpolate_Range('試算番号4-3'!$G$27:$G$143,'試算番号4-3'!$O$27:$O$143,F87)</f>
        <v>2.9037655687370146E-2</v>
      </c>
      <c r="M87" s="33">
        <f t="shared" si="14"/>
        <v>1.0620941111807192</v>
      </c>
      <c r="N87" s="33">
        <f t="shared" si="15"/>
        <v>0.8337150078361184</v>
      </c>
      <c r="O87" s="10">
        <f t="shared" si="16"/>
        <v>1.039220869970882E-2</v>
      </c>
      <c r="P87" s="32"/>
      <c r="Q87" s="1"/>
      <c r="R87" s="10"/>
    </row>
    <row r="88" spans="6:18">
      <c r="F88" s="13">
        <f t="shared" si="13"/>
        <v>17.75</v>
      </c>
      <c r="G88" s="2">
        <f>Interpolate_Range('試算番号4-1'!$G$10:$G$143,'試算番号4-1'!$I$10:$I$143,F88)</f>
        <v>0.78003177563916282</v>
      </c>
      <c r="H88" s="33">
        <f>Interpolate_Range('試算番号4-4'!$G$10:$G$137,'試算番号4-4'!$P$10:$P$137,F88)</f>
        <v>1.1192769346390135</v>
      </c>
      <c r="I88" s="1">
        <f>Interpolate_Range('試算番号4-1'!$G$27:$G$143,'試算番号4-1'!$P$27:$P$143,F88)</f>
        <v>2.6389557360264711E-2</v>
      </c>
      <c r="J88" s="2">
        <f>Interpolate_Range('試算番号4-3'!$G$10:$G$143,'試算番号4-3'!$I$10:$I$143,F88)</f>
        <v>0.67068571948081779</v>
      </c>
      <c r="K88" s="15">
        <f>Interpolate_Range('試算番号4-5'!$H$10:$H$137,'試算番号4-5'!$R$10:$R$137,F88)</f>
        <v>1.0546812224697508</v>
      </c>
      <c r="L88" s="1">
        <f>Interpolate_Range('試算番号4-3'!$G$27:$G$143,'試算番号4-3'!$O$27:$O$143,F88)</f>
        <v>2.9077449056443924E-2</v>
      </c>
      <c r="M88" s="33">
        <f t="shared" si="14"/>
        <v>1.0612466694135301</v>
      </c>
      <c r="N88" s="33">
        <f t="shared" si="15"/>
        <v>0.8278061239337835</v>
      </c>
      <c r="O88" s="10">
        <f t="shared" si="16"/>
        <v>1.0646552217051066E-2</v>
      </c>
      <c r="P88" s="32"/>
      <c r="Q88" s="1"/>
      <c r="R88" s="10"/>
    </row>
    <row r="89" spans="6:18">
      <c r="F89" s="13">
        <f t="shared" si="13"/>
        <v>18</v>
      </c>
      <c r="G89" s="2">
        <f>Interpolate_Range('試算番号4-1'!$G$10:$G$143,'試算番号4-1'!$I$10:$I$143,F89)</f>
        <v>0.77509073290040809</v>
      </c>
      <c r="H89" s="33">
        <f>Interpolate_Range('試算番号4-4'!$G$10:$G$137,'試算番号4-4'!$P$10:$P$137,F89)</f>
        <v>1.1190242959323193</v>
      </c>
      <c r="I89" s="1">
        <f>Interpolate_Range('試算番号4-1'!$G$27:$G$143,'試算番号4-1'!$P$27:$P$143,F89)</f>
        <v>2.6389557360264711E-2</v>
      </c>
      <c r="J89" s="2">
        <f>Interpolate_Range('試算番号4-3'!$G$10:$G$143,'試算番号4-3'!$I$10:$I$143,F89)</f>
        <v>0.66598892196786741</v>
      </c>
      <c r="K89" s="15">
        <f>Interpolate_Range('試算番号4-5'!$H$10:$H$137,'試算番号4-5'!$R$10:$R$137,F89)</f>
        <v>1.0553241264761293</v>
      </c>
      <c r="L89" s="1">
        <f>Interpolate_Range('試算番号4-3'!$G$27:$G$143,'試算番号4-3'!$O$27:$O$143,F89)</f>
        <v>2.9077449056443924E-2</v>
      </c>
      <c r="M89" s="33">
        <f t="shared" si="14"/>
        <v>1.0603607629713665</v>
      </c>
      <c r="N89" s="33">
        <f t="shared" si="15"/>
        <v>0.82187580091031232</v>
      </c>
      <c r="O89" s="10">
        <f t="shared" si="16"/>
        <v>1.0898110506935985E-2</v>
      </c>
      <c r="P89" s="32"/>
      <c r="Q89" s="1"/>
      <c r="R89" s="10"/>
    </row>
    <row r="90" spans="6:18">
      <c r="F90" s="13">
        <f t="shared" si="13"/>
        <v>18.25</v>
      </c>
      <c r="G90" s="2">
        <f>Interpolate_Range('試算番号4-1'!$G$10:$G$143,'試算番号4-1'!$I$10:$I$143,F90)</f>
        <v>0.7699954061914478</v>
      </c>
      <c r="H90" s="33">
        <f>Interpolate_Range('試算番号4-4'!$G$10:$G$137,'試算番号4-4'!$P$10:$P$137,F90)</f>
        <v>1.1188945176019556</v>
      </c>
      <c r="I90" s="1">
        <f>Interpolate_Range('試算番号4-1'!$G$27:$G$143,'試算番号4-1'!$P$27:$P$143,F90)</f>
        <v>2.7127313234579689E-2</v>
      </c>
      <c r="J90" s="2">
        <f>Interpolate_Range('試算番号4-3'!$G$10:$G$143,'試算番号4-3'!$I$10:$I$143,F90)</f>
        <v>0.66129933658573836</v>
      </c>
      <c r="K90" s="15">
        <f>Interpolate_Range('試算番号4-5'!$H$10:$H$137,'試算番号4-5'!$R$10:$R$137,F90)</f>
        <v>1.0559708535393697</v>
      </c>
      <c r="L90" s="1">
        <f>Interpolate_Range('試算番号4-3'!$G$27:$G$143,'試算番号4-3'!$O$27:$O$143,F90)</f>
        <v>2.9705517877102048E-2</v>
      </c>
      <c r="M90" s="33">
        <f t="shared" si="14"/>
        <v>1.0595884477792927</v>
      </c>
      <c r="N90" s="33">
        <f t="shared" si="15"/>
        <v>0.81587823724358222</v>
      </c>
      <c r="O90" s="10">
        <f t="shared" si="16"/>
        <v>1.1150145436522726E-2</v>
      </c>
      <c r="P90" s="32"/>
      <c r="Q90" s="1"/>
      <c r="R90" s="10"/>
    </row>
    <row r="91" spans="6:18">
      <c r="F91" s="13">
        <f t="shared" ref="F91:F137" si="17">F90+0.25</f>
        <v>18.5</v>
      </c>
      <c r="G91" s="2">
        <f>Interpolate_Range('試算番号4-1'!$G$10:$G$143,'試算番号4-1'!$I$10:$I$143,F91)</f>
        <v>0.7649000794824875</v>
      </c>
      <c r="H91" s="33">
        <f>Interpolate_Range('試算番号4-4'!$G$10:$G$137,'試算番号4-4'!$P$10:$P$137,F91)</f>
        <v>1.1186789685614629</v>
      </c>
      <c r="I91" s="1">
        <f>Interpolate_Range('試算番号4-1'!$G$27:$G$143,'試算番号4-1'!$P$27:$P$143,F91)</f>
        <v>2.7127313234579689E-2</v>
      </c>
      <c r="J91" s="2">
        <f>Interpolate_Range('試算番号4-3'!$G$10:$G$143,'試算番号4-3'!$I$10:$I$143,F91)</f>
        <v>0.65660975120360932</v>
      </c>
      <c r="K91" s="15">
        <f>Interpolate_Range('試算番号4-5'!$H$10:$H$137,'試算番号4-5'!$R$10:$R$137,F91)</f>
        <v>1.0565739389257163</v>
      </c>
      <c r="L91" s="1">
        <f>Interpolate_Range('試算番号4-3'!$G$27:$G$143,'試算番号4-3'!$O$27:$O$143,F91)</f>
        <v>2.9705517877102048E-2</v>
      </c>
      <c r="M91" s="33">
        <f t="shared" si="14"/>
        <v>1.0587796342004163</v>
      </c>
      <c r="N91" s="33">
        <f t="shared" si="15"/>
        <v>0.80986062635433753</v>
      </c>
      <c r="O91" s="10">
        <f t="shared" si="16"/>
        <v>1.1399627694592296E-2</v>
      </c>
      <c r="P91" s="32"/>
      <c r="Q91" s="1"/>
      <c r="R91" s="10"/>
    </row>
    <row r="92" spans="6:18">
      <c r="F92" s="13">
        <f t="shared" si="17"/>
        <v>18.75</v>
      </c>
      <c r="G92" s="2">
        <f>Interpolate_Range('試算番号4-1'!$G$10:$G$143,'試算番号4-1'!$I$10:$I$143,F92)</f>
        <v>0.75980475277352721</v>
      </c>
      <c r="H92" s="33">
        <f>Interpolate_Range('試算番号4-4'!$G$10:$G$137,'試算番号4-4'!$P$10:$P$137,F92)</f>
        <v>1.1182773140876259</v>
      </c>
      <c r="I92" s="1">
        <f>Interpolate_Range('試算番号4-1'!$G$27:$G$143,'試算番号4-1'!$P$27:$P$143,F92)</f>
        <v>2.7871167601672794E-2</v>
      </c>
      <c r="J92" s="2">
        <f>Interpolate_Range('試算番号4-3'!$G$10:$G$143,'試算番号4-3'!$I$10:$I$143,F92)</f>
        <v>0.65192016582147994</v>
      </c>
      <c r="K92" s="15">
        <f>Interpolate_Range('試算番号4-5'!$H$10:$H$137,'試算番号4-5'!$R$10:$R$137,F92)</f>
        <v>1.0572469368275743</v>
      </c>
      <c r="L92" s="1">
        <f>Interpolate_Range('試算番号4-3'!$G$27:$G$143,'試算番号4-3'!$O$27:$O$143,F92)</f>
        <v>2.9746482955425441E-2</v>
      </c>
      <c r="M92" s="33">
        <f t="shared" si="14"/>
        <v>1.0577257546313468</v>
      </c>
      <c r="N92" s="33">
        <f t="shared" si="15"/>
        <v>0.80366505549986289</v>
      </c>
      <c r="O92" s="10">
        <f t="shared" si="16"/>
        <v>1.1657210359523247E-2</v>
      </c>
      <c r="P92" s="32"/>
      <c r="Q92" s="1"/>
      <c r="R92" s="10"/>
    </row>
    <row r="93" spans="6:18">
      <c r="F93" s="13">
        <f t="shared" si="17"/>
        <v>19</v>
      </c>
      <c r="G93" s="2">
        <f>Interpolate_Range('試算番号4-1'!$G$10:$G$143,'試算番号4-1'!$I$10:$I$143,F93)</f>
        <v>0.75470942606456703</v>
      </c>
      <c r="H93" s="33">
        <f>Interpolate_Range('試算番号4-4'!$G$10:$G$137,'試算番号4-4'!$P$10:$P$137,F93)</f>
        <v>1.1177878495182998</v>
      </c>
      <c r="I93" s="1">
        <f>Interpolate_Range('試算番号4-1'!$G$27:$G$143,'試算番号4-1'!$P$27:$P$143,F93)</f>
        <v>2.7871167601672794E-2</v>
      </c>
      <c r="J93" s="2">
        <f>Interpolate_Range('試算番号4-3'!$G$10:$G$143,'試算番号4-3'!$I$10:$I$143,F93)</f>
        <v>0.64723058043935089</v>
      </c>
      <c r="K93" s="15">
        <f>Interpolate_Range('試算番号4-5'!$H$10:$H$137,'試算番号4-5'!$R$10:$R$137,F93)</f>
        <v>1.0578748145035182</v>
      </c>
      <c r="L93" s="1">
        <f>Interpolate_Range('試算番号4-3'!$G$27:$G$143,'試算番号4-3'!$O$27:$O$143,F93)</f>
        <v>2.9746482955425441E-2</v>
      </c>
      <c r="M93" s="33">
        <f t="shared" si="14"/>
        <v>1.0566352787620716</v>
      </c>
      <c r="N93" s="33">
        <f t="shared" si="15"/>
        <v>0.79745260479409685</v>
      </c>
      <c r="O93" s="10">
        <f t="shared" si="16"/>
        <v>1.1912256621811784E-2</v>
      </c>
      <c r="P93" s="32"/>
      <c r="Q93" s="1"/>
      <c r="R93" s="10"/>
    </row>
    <row r="94" spans="6:18">
      <c r="F94" s="13">
        <f t="shared" si="17"/>
        <v>19.25</v>
      </c>
      <c r="G94" s="2">
        <f>Interpolate_Range('試算番号4-1'!$G$10:$G$143,'試算番号4-1'!$I$10:$I$143,F94)</f>
        <v>0.74947087736917473</v>
      </c>
      <c r="H94" s="33">
        <f>Interpolate_Range('試算番号4-4'!$G$10:$G$137,'試算番号4-4'!$P$10:$P$137,F94)</f>
        <v>1.1174162942313492</v>
      </c>
      <c r="I94" s="1">
        <f>Interpolate_Range('試算番号4-1'!$G$27:$G$143,'試算番号4-1'!$P$27:$P$143,F94)</f>
        <v>2.8631228147866256E-2</v>
      </c>
      <c r="J94" s="2">
        <f>Interpolate_Range('試算番号4-3'!$G$10:$G$143,'試算番号4-3'!$I$10:$I$143,F94)</f>
        <v>0.64255203951067885</v>
      </c>
      <c r="K94" s="15">
        <f>Interpolate_Range('試算番号4-5'!$H$10:$H$137,'試算番号4-5'!$R$10:$R$137,F94)</f>
        <v>1.0585074943102011</v>
      </c>
      <c r="L94" s="1">
        <f>Interpolate_Range('試算番号4-3'!$G$27:$G$143,'試算番号4-3'!$O$27:$O$143,F94)</f>
        <v>3.0390218287494677E-2</v>
      </c>
      <c r="M94" s="33">
        <f t="shared" si="14"/>
        <v>1.0556526998984899</v>
      </c>
      <c r="N94" s="33">
        <f t="shared" si="15"/>
        <v>0.79118095519005927</v>
      </c>
      <c r="O94" s="10">
        <f t="shared" si="16"/>
        <v>1.2167717909323075E-2</v>
      </c>
      <c r="P94" s="32"/>
      <c r="Q94" s="1"/>
      <c r="R94" s="10"/>
    </row>
    <row r="95" spans="6:18">
      <c r="F95" s="13">
        <f t="shared" si="17"/>
        <v>19.5</v>
      </c>
      <c r="G95" s="2">
        <f>Interpolate_Range('試算番号4-1'!$G$10:$G$143,'試算番号4-1'!$I$10:$I$143,F95)</f>
        <v>0.74423232867378242</v>
      </c>
      <c r="H95" s="33">
        <f>Interpolate_Range('試算番号4-4'!$G$10:$G$137,'試算番号4-4'!$P$10:$P$137,F95)</f>
        <v>1.116959417926648</v>
      </c>
      <c r="I95" s="1">
        <f>Interpolate_Range('試算番号4-1'!$G$27:$G$143,'試算番号4-1'!$P$27:$P$143,F95)</f>
        <v>2.8631228147866256E-2</v>
      </c>
      <c r="J95" s="2">
        <f>Interpolate_Range('試算番号4-3'!$G$10:$G$143,'試算番号4-3'!$I$10:$I$143,F95)</f>
        <v>0.6378734985820067</v>
      </c>
      <c r="K95" s="15">
        <f>Interpolate_Range('試算番号4-5'!$H$10:$H$137,'試算番号4-5'!$R$10:$R$137,F95)</f>
        <v>1.0590951892063878</v>
      </c>
      <c r="L95" s="1">
        <f>Interpolate_Range('試算番号4-3'!$G$27:$G$143,'試算番号4-3'!$O$27:$O$143,F95)</f>
        <v>3.0390218287494677E-2</v>
      </c>
      <c r="M95" s="33">
        <f t="shared" si="14"/>
        <v>1.0546355316405691</v>
      </c>
      <c r="N95" s="33">
        <f t="shared" si="15"/>
        <v>0.78489385761497332</v>
      </c>
      <c r="O95" s="10">
        <f t="shared" si="16"/>
        <v>1.2420860695958706E-2</v>
      </c>
      <c r="P95" s="32"/>
      <c r="Q95" s="1"/>
      <c r="R95" s="10"/>
    </row>
    <row r="96" spans="6:18">
      <c r="F96" s="13">
        <f t="shared" si="17"/>
        <v>19.75</v>
      </c>
      <c r="G96" s="2">
        <f>Interpolate_Range('試算番号4-1'!$G$10:$G$143,'試算番号4-1'!$I$10:$I$143,F96)</f>
        <v>0.73899377997839011</v>
      </c>
      <c r="H96" s="33">
        <f>Interpolate_Range('試算番号4-4'!$G$10:$G$137,'試算番号4-4'!$P$10:$P$137,F96)</f>
        <v>1.1163135207405384</v>
      </c>
      <c r="I96" s="1">
        <f>Interpolate_Range('試算番号4-1'!$G$27:$G$143,'試算番号4-1'!$P$27:$P$143,F96)</f>
        <v>2.9398484523993733E-2</v>
      </c>
      <c r="J96" s="2">
        <f>Interpolate_Range('試算番号4-3'!$G$10:$G$143,'試算番号4-3'!$I$10:$I$143,F96)</f>
        <v>0.63319495765333467</v>
      </c>
      <c r="K96" s="15">
        <f>Interpolate_Range('試算番号4-5'!$H$10:$H$137,'試算番号4-5'!$R$10:$R$137,F96)</f>
        <v>1.0597544238356187</v>
      </c>
      <c r="L96" s="1">
        <f>Interpolate_Range('試算番号4-3'!$G$27:$G$143,'試算番号4-3'!$O$27:$O$143,F96)</f>
        <v>3.0432445345678003E-2</v>
      </c>
      <c r="M96" s="33">
        <f t="shared" si="14"/>
        <v>1.0533700031184703</v>
      </c>
      <c r="N96" s="33">
        <f t="shared" si="15"/>
        <v>0.77843388032036698</v>
      </c>
      <c r="O96" s="10">
        <f t="shared" si="16"/>
        <v>1.2682087264107623E-2</v>
      </c>
      <c r="P96" s="32"/>
      <c r="Q96" s="1"/>
      <c r="R96" s="10"/>
    </row>
    <row r="97" spans="6:18">
      <c r="F97" s="13">
        <f t="shared" si="17"/>
        <v>20</v>
      </c>
      <c r="G97" s="2">
        <f>Interpolate_Range('試算番号4-1'!$G$10:$G$143,'試算番号4-1'!$I$10:$I$143,F97)</f>
        <v>0.7337552312829978</v>
      </c>
      <c r="H97" s="33">
        <f>Interpolate_Range('試算番号4-4'!$G$10:$G$137,'試算番号4-4'!$P$10:$P$137,F97)</f>
        <v>1.1155802359367508</v>
      </c>
      <c r="I97" s="1">
        <f>Interpolate_Range('試算番号4-1'!$G$27:$G$143,'試算番号4-1'!$P$27:$P$143,F97)</f>
        <v>2.9398484523993733E-2</v>
      </c>
      <c r="J97" s="2">
        <f>Interpolate_Range('試算番号4-3'!$G$10:$G$143,'試算番号4-3'!$I$10:$I$143,F97)</f>
        <v>0.62851641672466263</v>
      </c>
      <c r="K97" s="15">
        <f>Interpolate_Range('試算番号4-5'!$H$10:$H$137,'試算番号4-5'!$R$10:$R$137,F97)</f>
        <v>1.0603670991985803</v>
      </c>
      <c r="L97" s="1">
        <f>Interpolate_Range('試算番号4-3'!$G$27:$G$143,'試算番号4-3'!$O$27:$O$143,F97)</f>
        <v>3.0432445345678003E-2</v>
      </c>
      <c r="M97" s="33">
        <f t="shared" si="14"/>
        <v>1.0520698320231741</v>
      </c>
      <c r="N97" s="33">
        <f t="shared" si="15"/>
        <v>0.77196174292202868</v>
      </c>
      <c r="O97" s="10">
        <f t="shared" si="16"/>
        <v>1.2941014299288556E-2</v>
      </c>
      <c r="P97" s="32"/>
      <c r="Q97" s="1"/>
      <c r="R97" s="10"/>
    </row>
    <row r="98" spans="6:18">
      <c r="F98" s="13">
        <f t="shared" si="17"/>
        <v>20.25</v>
      </c>
      <c r="G98" s="2">
        <f>Interpolate_Range('試算番号4-1'!$G$10:$G$143,'試算番号4-1'!$I$10:$I$143,F98)</f>
        <v>0.72985862291796089</v>
      </c>
      <c r="H98" s="33">
        <f>Interpolate_Range('試算番号4-4'!$G$10:$G$137,'試算番号4-4'!$P$10:$P$137,F98)</f>
        <v>1.1161390639730311</v>
      </c>
      <c r="I98" s="1">
        <f>Interpolate_Range('試算番号4-1'!$G$27:$G$143,'試算番号4-1'!$P$27:$P$143,F98)</f>
        <v>2.232056118906682E-2</v>
      </c>
      <c r="J98" s="2">
        <f>Interpolate_Range('試算番号4-3'!$G$10:$G$143,'試算番号4-3'!$I$10:$I$143,F98)</f>
        <v>0.62474311660170245</v>
      </c>
      <c r="K98" s="15">
        <f>Interpolate_Range('試算番号4-5'!$H$10:$H$137,'試算番号4-5'!$R$10:$R$137,F98)</f>
        <v>1.0616690349070681</v>
      </c>
      <c r="L98" s="1">
        <f>Interpolate_Range('試算番号4-3'!$G$27:$G$143,'試算番号4-3'!$O$27:$O$143,F98)</f>
        <v>2.5554163644894681E-2</v>
      </c>
      <c r="M98" s="33">
        <f t="shared" si="14"/>
        <v>1.0513060353792187</v>
      </c>
      <c r="N98" s="33">
        <f t="shared" si="15"/>
        <v>0.76730477524721763</v>
      </c>
      <c r="O98" s="10">
        <f t="shared" si="16"/>
        <v>1.3080059080279514E-2</v>
      </c>
      <c r="P98" s="32"/>
      <c r="Q98" s="1"/>
      <c r="R98" s="10"/>
    </row>
    <row r="99" spans="6:18">
      <c r="F99" s="13">
        <f t="shared" si="17"/>
        <v>20.5</v>
      </c>
      <c r="G99" s="2">
        <f>Interpolate_Range('試算番号4-1'!$G$10:$G$143,'試算番号4-1'!$I$10:$I$143,F99)</f>
        <v>0.72596201455292386</v>
      </c>
      <c r="H99" s="33">
        <f>Interpolate_Range('試算番号4-4'!$G$10:$G$137,'試算番号4-4'!$P$10:$P$137,F99)</f>
        <v>1.1166291937075763</v>
      </c>
      <c r="I99" s="1">
        <f>Interpolate_Range('試算番号4-1'!$G$27:$G$143,'試算番号4-1'!$P$27:$P$143,F99)</f>
        <v>2.232056118906682E-2</v>
      </c>
      <c r="J99" s="2">
        <f>Interpolate_Range('試算番号4-3'!$G$10:$G$143,'試算番号4-3'!$I$10:$I$143,F99)</f>
        <v>0.6209698164787415</v>
      </c>
      <c r="K99" s="15">
        <f>Interpolate_Range('試算番号4-5'!$H$10:$H$137,'試算番号4-5'!$R$10:$R$137,F99)</f>
        <v>1.0629325417794575</v>
      </c>
      <c r="L99" s="1">
        <f>Interpolate_Range('試算番号4-3'!$G$27:$G$143,'試算番号4-3'!$O$27:$O$143,F99)</f>
        <v>2.5554163644894681E-2</v>
      </c>
      <c r="M99" s="33">
        <f t="shared" si="14"/>
        <v>1.0505174597799265</v>
      </c>
      <c r="N99" s="33">
        <f t="shared" si="15"/>
        <v>0.76263577142485561</v>
      </c>
      <c r="O99" s="10">
        <f t="shared" si="16"/>
        <v>1.3218279291047396E-2</v>
      </c>
      <c r="P99" s="32"/>
      <c r="Q99" s="1"/>
      <c r="R99" s="10"/>
    </row>
    <row r="100" spans="6:18">
      <c r="F100" s="13">
        <f t="shared" si="17"/>
        <v>20.75</v>
      </c>
      <c r="G100" s="2">
        <f>Interpolate_Range('試算番号4-1'!$G$10:$G$143,'試算番号4-1'!$I$10:$I$143,F100)</f>
        <v>0.72206540618788695</v>
      </c>
      <c r="H100" s="33">
        <f>Interpolate_Range('試算番号4-4'!$G$10:$G$137,'試算番号4-4'!$P$10:$P$137,F100)</f>
        <v>1.1170429261094281</v>
      </c>
      <c r="I100" s="1">
        <f>Interpolate_Range('試算番号4-1'!$G$27:$G$143,'試算番号4-1'!$P$27:$P$143,F100)</f>
        <v>2.2617203345196141E-2</v>
      </c>
      <c r="J100" s="2">
        <f>Interpolate_Range('試算番号4-3'!$G$10:$G$143,'試算番号4-3'!$I$10:$I$143,F100)</f>
        <v>0.61719651635578132</v>
      </c>
      <c r="K100" s="15">
        <f>Interpolate_Range('試算番号4-5'!$H$10:$H$137,'試算番号4-5'!$R$10:$R$137,F100)</f>
        <v>1.0642457535426975</v>
      </c>
      <c r="L100" s="1">
        <f>Interpolate_Range('試算番号4-3'!$G$27:$G$143,'試算番号4-3'!$O$27:$O$143,F100)</f>
        <v>2.5552260215163328E-2</v>
      </c>
      <c r="M100" s="33">
        <f t="shared" si="14"/>
        <v>1.0496099443112437</v>
      </c>
      <c r="N100" s="33">
        <f t="shared" si="15"/>
        <v>0.7578870307779435</v>
      </c>
      <c r="O100" s="10">
        <f t="shared" si="16"/>
        <v>1.3360045318540913E-2</v>
      </c>
      <c r="P100" s="32"/>
      <c r="Q100" s="1"/>
      <c r="R100" s="10"/>
    </row>
    <row r="101" spans="6:18">
      <c r="F101" s="13">
        <f t="shared" si="17"/>
        <v>21</v>
      </c>
      <c r="G101" s="2">
        <f>Interpolate_Range('試算番号4-1'!$G$10:$G$143,'試算番号4-1'!$I$10:$I$143,F101)</f>
        <v>0.71816879782285004</v>
      </c>
      <c r="H101" s="33">
        <f>Interpolate_Range('試算番号4-4'!$G$10:$G$137,'試算番号4-4'!$P$10:$P$137,F101)</f>
        <v>1.1173864986535866</v>
      </c>
      <c r="I101" s="1">
        <f>Interpolate_Range('試算番号4-1'!$G$27:$G$143,'試算番号4-1'!$P$27:$P$143,F101)</f>
        <v>2.2617203345196141E-2</v>
      </c>
      <c r="J101" s="2">
        <f>Interpolate_Range('試算番号4-3'!$G$10:$G$143,'試算番号4-3'!$I$10:$I$143,F101)</f>
        <v>0.61342321623282037</v>
      </c>
      <c r="K101" s="15">
        <f>Interpolate_Range('試算番号4-5'!$H$10:$H$137,'試算番号4-5'!$R$10:$R$137,F101)</f>
        <v>1.0655195090309306</v>
      </c>
      <c r="L101" s="1">
        <f>Interpolate_Range('試算番号4-3'!$G$27:$G$143,'試算番号4-3'!$O$27:$O$143,F101)</f>
        <v>2.5552260215163328E-2</v>
      </c>
      <c r="M101" s="33">
        <f t="shared" si="14"/>
        <v>1.0486776536544395</v>
      </c>
      <c r="N101" s="33">
        <f t="shared" si="15"/>
        <v>0.753127569828696</v>
      </c>
      <c r="O101" s="10">
        <f t="shared" si="16"/>
        <v>1.3500983337536365E-2</v>
      </c>
      <c r="P101" s="32"/>
      <c r="Q101" s="1"/>
      <c r="R101" s="10"/>
    </row>
    <row r="102" spans="6:18">
      <c r="F102" s="13">
        <f t="shared" si="17"/>
        <v>21.25</v>
      </c>
      <c r="G102" s="2">
        <f>Interpolate_Range('試算番号4-1'!$G$10:$G$143,'試算番号4-1'!$I$10:$I$143,F102)</f>
        <v>0.71423730192422752</v>
      </c>
      <c r="H102" s="33">
        <f>Interpolate_Range('試算番号4-4'!$G$10:$G$137,'試算番号4-4'!$P$10:$P$137,F102)</f>
        <v>1.1178394387098478</v>
      </c>
      <c r="I102" s="1">
        <f>Interpolate_Range('試算番号4-1'!$G$27:$G$143,'試算番号4-1'!$P$27:$P$143,F102)</f>
        <v>2.2957550761933575E-2</v>
      </c>
      <c r="J102" s="2">
        <f>Interpolate_Range('試算番号4-3'!$G$10:$G$143,'試算番号4-3'!$I$10:$I$143,F102)</f>
        <v>0.60970982610006397</v>
      </c>
      <c r="K102" s="15">
        <f>Interpolate_Range('試算番号4-5'!$H$10:$H$137,'試算番号4-5'!$R$10:$R$137,F102)</f>
        <v>1.0668758676592893</v>
      </c>
      <c r="L102" s="1">
        <f>Interpolate_Range('試算番号4-3'!$G$27:$G$143,'試算番号4-3'!$O$27:$O$143,F102)</f>
        <v>2.5666714152752408E-2</v>
      </c>
      <c r="M102" s="33">
        <f t="shared" si="14"/>
        <v>1.0477689791244147</v>
      </c>
      <c r="N102" s="33">
        <f t="shared" si="15"/>
        <v>0.74835568868972424</v>
      </c>
      <c r="O102" s="10">
        <f t="shared" si="16"/>
        <v>1.3641265618476511E-2</v>
      </c>
      <c r="P102" s="32"/>
      <c r="Q102" s="1"/>
      <c r="R102" s="10"/>
    </row>
    <row r="103" spans="6:18">
      <c r="F103" s="13">
        <f t="shared" si="17"/>
        <v>21.5</v>
      </c>
      <c r="G103" s="2">
        <f>Interpolate_Range('試算番号4-1'!$G$10:$G$143,'試算番号4-1'!$I$10:$I$143,F103)</f>
        <v>0.710305806025605</v>
      </c>
      <c r="H103" s="33">
        <f>Interpolate_Range('試算番号4-4'!$G$10:$G$137,'試算番号4-4'!$P$10:$P$137,F103)</f>
        <v>1.1182238165016531</v>
      </c>
      <c r="I103" s="1">
        <f>Interpolate_Range('試算番号4-1'!$G$27:$G$143,'試算番号4-1'!$P$27:$P$143,F103)</f>
        <v>2.2957550761933575E-2</v>
      </c>
      <c r="J103" s="2">
        <f>Interpolate_Range('試算番号4-3'!$G$10:$G$143,'試算番号4-3'!$I$10:$I$143,F103)</f>
        <v>0.60599643596730757</v>
      </c>
      <c r="K103" s="15">
        <f>Interpolate_Range('試算番号4-5'!$H$10:$H$137,'試算番号4-5'!$R$10:$R$137,F103)</f>
        <v>1.0681930447011478</v>
      </c>
      <c r="L103" s="1">
        <f>Interpolate_Range('試算番号4-3'!$G$27:$G$143,'試算番号4-3'!$O$27:$O$143,F103)</f>
        <v>2.5666714152752408E-2</v>
      </c>
      <c r="M103" s="33">
        <f t="shared" si="14"/>
        <v>1.0468368260294212</v>
      </c>
      <c r="N103" s="33">
        <f t="shared" si="15"/>
        <v>0.74357427549011401</v>
      </c>
      <c r="O103" s="10">
        <f t="shared" si="16"/>
        <v>1.3780772943563887E-2</v>
      </c>
      <c r="P103" s="32"/>
      <c r="Q103" s="1"/>
      <c r="R103" s="10"/>
    </row>
    <row r="104" spans="6:18">
      <c r="F104" s="13">
        <f t="shared" si="17"/>
        <v>21.75</v>
      </c>
      <c r="G104" s="2">
        <f>Interpolate_Range('試算番号4-1'!$G$10:$G$143,'試算番号4-1'!$I$10:$I$143,F104)</f>
        <v>0.70637431012698237</v>
      </c>
      <c r="H104" s="33">
        <f>Interpolate_Range('試算番号4-4'!$G$10:$G$137,'試算番号4-4'!$P$10:$P$137,F104)</f>
        <v>1.1185200706846163</v>
      </c>
      <c r="I104" s="1">
        <f>Interpolate_Range('試算番号4-1'!$G$27:$G$143,'試算番号4-1'!$P$27:$P$143,F104)</f>
        <v>2.3300846184254233E-2</v>
      </c>
      <c r="J104" s="2">
        <f>Interpolate_Range('試算番号4-3'!$G$10:$G$143,'試算番号4-3'!$I$10:$I$143,F104)</f>
        <v>0.60228304583455061</v>
      </c>
      <c r="K104" s="15">
        <f>Interpolate_Range('試算番号4-5'!$H$10:$H$137,'試算番号4-5'!$R$10:$R$137,F104)</f>
        <v>1.06955266280174</v>
      </c>
      <c r="L104" s="1">
        <f>Interpolate_Range('試算番号4-3'!$G$27:$G$143,'試算番号4-3'!$O$27:$O$143,F104)</f>
        <v>2.5695556950715636E-2</v>
      </c>
      <c r="M104" s="33">
        <f t="shared" si="14"/>
        <v>1.0457830732285816</v>
      </c>
      <c r="N104" s="33">
        <f t="shared" si="15"/>
        <v>0.73871429689431478</v>
      </c>
      <c r="O104" s="10">
        <f t="shared" si="16"/>
        <v>1.3923863931346495E-2</v>
      </c>
      <c r="P104" s="32"/>
      <c r="Q104" s="1"/>
      <c r="R104" s="10"/>
    </row>
    <row r="105" spans="6:18">
      <c r="F105" s="13">
        <f t="shared" si="17"/>
        <v>22</v>
      </c>
      <c r="G105" s="2">
        <f>Interpolate_Range('試算番号4-1'!$G$10:$G$143,'試算番号4-1'!$I$10:$I$143,F105)</f>
        <v>0.70244281422835997</v>
      </c>
      <c r="H105" s="33">
        <f>Interpolate_Range('試算番号4-4'!$G$10:$G$137,'試算番号4-4'!$P$10:$P$137,F105)</f>
        <v>1.1187462726251789</v>
      </c>
      <c r="I105" s="1">
        <f>Interpolate_Range('試算番号4-1'!$G$27:$G$143,'試算番号4-1'!$P$27:$P$143,F105)</f>
        <v>2.3300846184254233E-2</v>
      </c>
      <c r="J105" s="2">
        <f>Interpolate_Range('試算番号4-3'!$G$10:$G$143,'試算番号4-3'!$I$10:$I$143,F105)</f>
        <v>0.59856965570179421</v>
      </c>
      <c r="K105" s="15">
        <f>Interpolate_Range('試算番号4-5'!$H$10:$H$137,'試算番号4-5'!$R$10:$R$137,F105)</f>
        <v>1.0708720287799693</v>
      </c>
      <c r="L105" s="1">
        <f>Interpolate_Range('試算番号4-3'!$G$27:$G$143,'試算番号4-3'!$O$27:$O$143,F105)</f>
        <v>2.5695556950715636E-2</v>
      </c>
      <c r="M105" s="33">
        <f t="shared" si="14"/>
        <v>1.0447058495866701</v>
      </c>
      <c r="N105" s="33">
        <f t="shared" si="15"/>
        <v>0.73384611702449032</v>
      </c>
      <c r="O105" s="10">
        <f t="shared" si="16"/>
        <v>1.4066178280800633E-2</v>
      </c>
      <c r="P105" s="32"/>
      <c r="Q105" s="1"/>
      <c r="R105" s="10"/>
    </row>
    <row r="106" spans="6:18">
      <c r="F106" s="13">
        <f t="shared" si="17"/>
        <v>22.25</v>
      </c>
      <c r="G106" s="2">
        <f>Interpolate_Range('試算番号4-1'!$G$10:$G$143,'試算番号4-1'!$I$10:$I$143,F106)</f>
        <v>0.69848004405766417</v>
      </c>
      <c r="H106" s="33">
        <f>Interpolate_Range('試算番号4-4'!$G$10:$G$137,'試算番号4-4'!$P$10:$P$137,F106)</f>
        <v>1.1190789240637087</v>
      </c>
      <c r="I106" s="1">
        <f>Interpolate_Range('試算番号4-1'!$G$27:$G$143,'試算番号4-1'!$P$27:$P$143,F106)</f>
        <v>2.3648600045263861E-2</v>
      </c>
      <c r="J106" s="2">
        <f>Interpolate_Range('試算番号4-3'!$G$10:$G$143,'試算番号4-3'!$I$10:$I$143,F106)</f>
        <v>0.59491569810779932</v>
      </c>
      <c r="K106" s="15">
        <f>Interpolate_Range('試算番号4-5'!$H$10:$H$137,'試算番号4-5'!$R$10:$R$137,F106)</f>
        <v>1.0722750380458372</v>
      </c>
      <c r="L106" s="1">
        <f>Interpolate_Range('試算番号4-3'!$G$27:$G$143,'試算番号4-3'!$O$27:$O$143,F106)</f>
        <v>2.581224123541033E-2</v>
      </c>
      <c r="M106" s="33">
        <f t="shared" si="14"/>
        <v>1.0436491425774201</v>
      </c>
      <c r="N106" s="33">
        <f t="shared" si="15"/>
        <v>0.72896809908821991</v>
      </c>
      <c r="O106" s="10">
        <f t="shared" si="16"/>
        <v>1.4207879000228463E-2</v>
      </c>
      <c r="P106" s="32"/>
      <c r="Q106" s="1"/>
      <c r="R106" s="10"/>
    </row>
    <row r="107" spans="6:18">
      <c r="F107" s="13">
        <f t="shared" si="17"/>
        <v>22.5</v>
      </c>
      <c r="G107" s="2">
        <f>Interpolate_Range('試算番号4-1'!$G$10:$G$143,'試算番号4-1'!$I$10:$I$143,F107)</f>
        <v>0.69451727388696838</v>
      </c>
      <c r="H107" s="33">
        <f>Interpolate_Range('試算番号4-4'!$G$10:$G$137,'試算番号4-4'!$P$10:$P$137,F107)</f>
        <v>1.1193431478607005</v>
      </c>
      <c r="I107" s="1">
        <f>Interpolate_Range('試算番号4-1'!$G$27:$G$143,'試算番号4-1'!$P$27:$P$143,F107)</f>
        <v>2.3648600045263861E-2</v>
      </c>
      <c r="J107" s="2">
        <f>Interpolate_Range('試算番号4-3'!$G$10:$G$143,'試算番号4-3'!$I$10:$I$143,F107)</f>
        <v>0.59126174051380498</v>
      </c>
      <c r="K107" s="15">
        <f>Interpolate_Range('試算番号4-5'!$H$10:$H$137,'試算番号4-5'!$R$10:$R$137,F107)</f>
        <v>1.0736380853262397</v>
      </c>
      <c r="L107" s="1">
        <f>Interpolate_Range('試算番号4-3'!$G$27:$G$143,'試算番号4-3'!$O$27:$O$143,F107)</f>
        <v>2.581224123541033E-2</v>
      </c>
      <c r="M107" s="33">
        <f t="shared" si="14"/>
        <v>1.0425702694037466</v>
      </c>
      <c r="N107" s="33">
        <f t="shared" si="15"/>
        <v>0.72408306134189226</v>
      </c>
      <c r="O107" s="10">
        <f t="shared" si="16"/>
        <v>1.4348851891846747E-2</v>
      </c>
      <c r="P107" s="32"/>
      <c r="Q107" s="1"/>
      <c r="R107" s="10"/>
    </row>
    <row r="108" spans="6:18">
      <c r="F108" s="13">
        <f t="shared" si="17"/>
        <v>22.75</v>
      </c>
      <c r="G108" s="2">
        <f>Interpolate_Range('試算番号4-1'!$G$10:$G$143,'試算番号4-1'!$I$10:$I$143,F108)</f>
        <v>0.69055450371627258</v>
      </c>
      <c r="H108" s="33">
        <f>Interpolate_Range('試算番号4-4'!$G$10:$G$137,'試算番号4-4'!$P$10:$P$137,F108)</f>
        <v>1.1195185670652725</v>
      </c>
      <c r="I108" s="1">
        <f>Interpolate_Range('試算番号4-1'!$G$27:$G$143,'試算番号4-1'!$P$27:$P$143,F108)</f>
        <v>2.3999382052512105E-2</v>
      </c>
      <c r="J108" s="2">
        <f>Interpolate_Range('試算番号4-3'!$G$10:$G$143,'試算番号4-3'!$I$10:$I$143,F108)</f>
        <v>0.58760778291981064</v>
      </c>
      <c r="K108" s="15">
        <f>Interpolate_Range('試算番号4-5'!$H$10:$H$137,'試算番号4-5'!$R$10:$R$137,F108)</f>
        <v>1.0750443771980465</v>
      </c>
      <c r="L108" s="1">
        <f>Interpolate_Range('試算番号4-3'!$G$27:$G$143,'試算番号4-3'!$O$27:$O$143,F108)</f>
        <v>2.58416209701464E-2</v>
      </c>
      <c r="M108" s="33">
        <f t="shared" si="14"/>
        <v>1.0413696316268746</v>
      </c>
      <c r="N108" s="33">
        <f t="shared" si="15"/>
        <v>0.71912248915329402</v>
      </c>
      <c r="O108" s="10">
        <f t="shared" si="16"/>
        <v>1.449334397077124E-2</v>
      </c>
      <c r="P108" s="32"/>
      <c r="Q108" s="1"/>
      <c r="R108" s="10"/>
    </row>
    <row r="109" spans="6:18">
      <c r="F109" s="13">
        <f t="shared" si="17"/>
        <v>23</v>
      </c>
      <c r="G109" s="2">
        <f>Interpolate_Range('試算番号4-1'!$G$10:$G$143,'試算番号4-1'!$I$10:$I$143,F109)</f>
        <v>0.68659173354557679</v>
      </c>
      <c r="H109" s="33">
        <f>Interpolate_Range('試算番号4-4'!$G$10:$G$137,'試算番号4-4'!$P$10:$P$137,F109)</f>
        <v>1.119624051284219</v>
      </c>
      <c r="I109" s="1">
        <f>Interpolate_Range('試算番号4-1'!$G$27:$G$143,'試算番号4-1'!$P$27:$P$143,F109)</f>
        <v>2.3999382052512105E-2</v>
      </c>
      <c r="J109" s="2">
        <f>Interpolate_Range('試算番号4-3'!$G$10:$G$143,'試算番号4-3'!$I$10:$I$143,F109)</f>
        <v>0.58395382532581575</v>
      </c>
      <c r="K109" s="15">
        <f>Interpolate_Range('試算番号4-5'!$H$10:$H$137,'試算番号4-5'!$R$10:$R$137,F109)</f>
        <v>1.0764096020877325</v>
      </c>
      <c r="L109" s="1">
        <f>Interpolate_Range('試算番号4-3'!$G$27:$G$143,'試算番号4-3'!$O$27:$O$143,F109)</f>
        <v>2.58416209701464E-2</v>
      </c>
      <c r="M109" s="33">
        <f t="shared" si="14"/>
        <v>1.0401468447630628</v>
      </c>
      <c r="N109" s="33">
        <f t="shared" si="15"/>
        <v>0.71415622528783329</v>
      </c>
      <c r="O109" s="10">
        <f t="shared" si="16"/>
        <v>1.4637110332708047E-2</v>
      </c>
      <c r="P109" s="32"/>
      <c r="Q109" s="1"/>
      <c r="R109" s="10"/>
    </row>
    <row r="110" spans="6:18">
      <c r="F110" s="13">
        <f t="shared" si="17"/>
        <v>23.25</v>
      </c>
      <c r="G110" s="2">
        <f>Interpolate_Range('試算番号4-1'!$G$10:$G$143,'試算番号4-1'!$I$10:$I$143,F110)</f>
        <v>0.68260127858584752</v>
      </c>
      <c r="H110" s="33">
        <f>Interpolate_Range('試算番号4-4'!$G$10:$G$137,'試算番号4-4'!$P$10:$P$137,F110)</f>
        <v>1.1198330150327998</v>
      </c>
      <c r="I110" s="1">
        <f>Interpolate_Range('試算番号4-1'!$G$27:$G$143,'試算番号4-1'!$P$27:$P$143,F110)</f>
        <v>2.4354844634871222E-2</v>
      </c>
      <c r="J110" s="2">
        <f>Interpolate_Range('試算番号4-3'!$G$10:$G$143,'試算番号4-3'!$I$10:$I$143,F110)</f>
        <v>0.58035881530052846</v>
      </c>
      <c r="K110" s="15">
        <f>Interpolate_Range('試算番号4-5'!$H$10:$H$137,'試算番号4-5'!$R$10:$R$137,F110)</f>
        <v>1.0778595418820576</v>
      </c>
      <c r="L110" s="1">
        <f>Interpolate_Range('試算番号4-3'!$G$27:$G$143,'試算番号4-3'!$O$27:$O$143,F110)</f>
        <v>2.596043773215095E-2</v>
      </c>
      <c r="M110" s="33">
        <f t="shared" si="14"/>
        <v>1.0389415053815378</v>
      </c>
      <c r="N110" s="33">
        <f t="shared" si="15"/>
        <v>0.70918279994934286</v>
      </c>
      <c r="O110" s="10">
        <f t="shared" si="16"/>
        <v>1.4780299261363034E-2</v>
      </c>
      <c r="P110" s="32"/>
      <c r="Q110" s="1"/>
      <c r="R110" s="10"/>
    </row>
    <row r="111" spans="6:18">
      <c r="F111" s="13">
        <f t="shared" si="17"/>
        <v>23.5</v>
      </c>
      <c r="G111" s="2">
        <f>Interpolate_Range('試算番号4-1'!$G$10:$G$143,'試算番号4-1'!$I$10:$I$143,F111)</f>
        <v>0.67861082362611813</v>
      </c>
      <c r="H111" s="33">
        <f>Interpolate_Range('試算番号4-4'!$G$10:$G$137,'試算番号4-4'!$P$10:$P$137,F111)</f>
        <v>1.1199736939338956</v>
      </c>
      <c r="I111" s="1">
        <f>Interpolate_Range('試算番号4-1'!$G$27:$G$143,'試算番号4-1'!$P$27:$P$143,F111)</f>
        <v>2.4354844634871222E-2</v>
      </c>
      <c r="J111" s="2">
        <f>Interpolate_Range('試算番号4-3'!$G$10:$G$143,'試算番号4-3'!$I$10:$I$143,F111)</f>
        <v>0.57676380527524063</v>
      </c>
      <c r="K111" s="15">
        <f>Interpolate_Range('試算番号4-5'!$H$10:$H$137,'試算番号4-5'!$R$10:$R$137,F111)</f>
        <v>1.0792687196860906</v>
      </c>
      <c r="L111" s="1">
        <f>Interpolate_Range('試算番号4-3'!$G$27:$G$143,'試算番号4-3'!$O$27:$O$143,F111)</f>
        <v>2.596043773215095E-2</v>
      </c>
      <c r="M111" s="33">
        <f t="shared" si="14"/>
        <v>1.0377153284491041</v>
      </c>
      <c r="N111" s="33">
        <f t="shared" si="15"/>
        <v>0.70420485372829422</v>
      </c>
      <c r="O111" s="10">
        <f t="shared" si="16"/>
        <v>1.4922807648622513E-2</v>
      </c>
      <c r="P111" s="32"/>
      <c r="Q111" s="1"/>
      <c r="R111" s="10"/>
    </row>
    <row r="112" spans="6:18">
      <c r="F112" s="13">
        <f t="shared" si="17"/>
        <v>23.75</v>
      </c>
      <c r="G112" s="2">
        <f>Interpolate_Range('試算番号4-1'!$G$10:$G$143,'試算番号4-1'!$I$10:$I$143,F112)</f>
        <v>0.67462036866638886</v>
      </c>
      <c r="H112" s="33">
        <f>Interpolate_Range('試算番号4-4'!$G$10:$G$137,'試算番号4-4'!$P$10:$P$137,F112)</f>
        <v>1.1200249149857824</v>
      </c>
      <c r="I112" s="1">
        <f>Interpolate_Range('試算番号4-1'!$G$27:$G$143,'試算番号4-1'!$P$27:$P$143,F112)</f>
        <v>2.4713657824448239E-2</v>
      </c>
      <c r="J112" s="2">
        <f>Interpolate_Range('試算番号4-3'!$G$10:$G$143,'試算番号4-3'!$I$10:$I$143,F112)</f>
        <v>0.57316879524995334</v>
      </c>
      <c r="K112" s="15">
        <f>Interpolate_Range('試算番号4-5'!$H$10:$H$137,'試算番号4-5'!$R$10:$R$137,F112)</f>
        <v>1.08072203385017</v>
      </c>
      <c r="L112" s="1">
        <f>Interpolate_Range('試算番号4-3'!$G$27:$G$143,'試算番号4-3'!$O$27:$O$143,F112)</f>
        <v>2.5990376125467993E-2</v>
      </c>
      <c r="M112" s="33">
        <f t="shared" si="14"/>
        <v>1.0363672432915911</v>
      </c>
      <c r="N112" s="33">
        <f t="shared" si="15"/>
        <v>0.69915445174314228</v>
      </c>
      <c r="O112" s="10">
        <f t="shared" si="16"/>
        <v>1.5068783164239513E-2</v>
      </c>
      <c r="P112" s="32"/>
      <c r="Q112" s="1"/>
      <c r="R112" s="10"/>
    </row>
    <row r="113" spans="6:18">
      <c r="F113" s="13">
        <f t="shared" si="17"/>
        <v>24</v>
      </c>
      <c r="G113" s="2">
        <f>Interpolate_Range('試算番号4-1'!$G$10:$G$143,'試算番号4-1'!$I$10:$I$143,F113)</f>
        <v>0.6706299137066597</v>
      </c>
      <c r="H113" s="33">
        <f>Interpolate_Range('試算番号4-4'!$G$10:$G$137,'試算番号4-4'!$P$10:$P$137,F113)</f>
        <v>1.1200063239678861</v>
      </c>
      <c r="I113" s="1">
        <f>Interpolate_Range('試算番号4-1'!$G$27:$G$143,'試算番号4-1'!$P$27:$P$143,F113)</f>
        <v>2.4713657824448239E-2</v>
      </c>
      <c r="J113" s="2">
        <f>Interpolate_Range('試算番号4-3'!$G$10:$G$143,'試算番号4-3'!$I$10:$I$143,F113)</f>
        <v>0.56957378522466606</v>
      </c>
      <c r="K113" s="15">
        <f>Interpolate_Range('試算番号4-5'!$H$10:$H$137,'試算番号4-5'!$R$10:$R$137,F113)</f>
        <v>1.0821334446581021</v>
      </c>
      <c r="L113" s="1">
        <f>Interpolate_Range('試算番号4-3'!$G$27:$G$143,'試算番号4-3'!$O$27:$O$143,F113)</f>
        <v>2.5990376125467993E-2</v>
      </c>
      <c r="M113" s="33">
        <f t="shared" si="14"/>
        <v>1.0349983447020712</v>
      </c>
      <c r="N113" s="33">
        <f t="shared" si="15"/>
        <v>0.69410085059408566</v>
      </c>
      <c r="O113" s="10">
        <f t="shared" si="16"/>
        <v>1.5214083798918199E-2</v>
      </c>
      <c r="P113" s="32"/>
      <c r="Q113" s="1"/>
      <c r="R113" s="10"/>
    </row>
    <row r="114" spans="6:18">
      <c r="F114" s="13">
        <f t="shared" si="17"/>
        <v>24.25</v>
      </c>
      <c r="G114" s="2">
        <f>Interpolate_Range('試算番号4-1'!$G$10:$G$143,'試算番号4-1'!$I$10:$I$143,F114)</f>
        <v>0.6666153353592168</v>
      </c>
      <c r="H114" s="33">
        <f>Interpolate_Range('試算番号4-4'!$G$10:$G$137,'試算番号4-4'!$P$10:$P$137,F114)</f>
        <v>1.1200881312625679</v>
      </c>
      <c r="I114" s="1">
        <f>Interpolate_Range('試算番号4-1'!$G$27:$G$143,'試算番号4-1'!$P$27:$P$143,F114)</f>
        <v>2.5077388399282301E-2</v>
      </c>
      <c r="J114" s="2">
        <f>Interpolate_Range('試算番号4-3'!$G$10:$G$143,'試算番号4-3'!$I$10:$I$143,F114)</f>
        <v>0.56603723063201294</v>
      </c>
      <c r="K114" s="15">
        <f>Interpolate_Range('試算番号4-5'!$H$10:$H$137,'試算番号4-5'!$R$10:$R$137,F114)</f>
        <v>1.0836306260523827</v>
      </c>
      <c r="L114" s="1">
        <f>Interpolate_Range('試算番号4-3'!$G$27:$G$143,'試算番号4-3'!$O$27:$O$143,F114)</f>
        <v>2.6111417543450602E-2</v>
      </c>
      <c r="M114" s="33">
        <f t="shared" si="14"/>
        <v>1.0336438490512199</v>
      </c>
      <c r="N114" s="33">
        <f t="shared" si="15"/>
        <v>0.68904284107727065</v>
      </c>
      <c r="O114" s="10">
        <f t="shared" si="16"/>
        <v>1.5358838402876161E-2</v>
      </c>
      <c r="P114" s="32"/>
      <c r="Q114" s="1"/>
      <c r="R114" s="10"/>
    </row>
    <row r="115" spans="6:18">
      <c r="F115" s="13">
        <f t="shared" si="17"/>
        <v>24.5</v>
      </c>
      <c r="G115" s="2">
        <f>Interpolate_Range('試算番号4-1'!$G$10:$G$143,'試算番号4-1'!$I$10:$I$143,F115)</f>
        <v>0.6626007570117739</v>
      </c>
      <c r="H115" s="33">
        <f>Interpolate_Range('試算番号4-4'!$G$10:$G$137,'試算番号4-4'!$P$10:$P$137,F115)</f>
        <v>1.1201018004649899</v>
      </c>
      <c r="I115" s="1">
        <f>Interpolate_Range('試算番号4-1'!$G$27:$G$143,'試算番号4-1'!$P$27:$P$143,F115)</f>
        <v>2.5077388399282301E-2</v>
      </c>
      <c r="J115" s="2">
        <f>Interpolate_Range('試算番号4-3'!$G$10:$G$143,'試算番号4-3'!$I$10:$I$143,F115)</f>
        <v>0.56250067603936038</v>
      </c>
      <c r="K115" s="15">
        <f>Interpolate_Range('試算番号4-5'!$H$10:$H$137,'試算番号4-5'!$R$10:$R$137,F115)</f>
        <v>1.0850862231624703</v>
      </c>
      <c r="L115" s="1">
        <f>Interpolate_Range('試算番号4-3'!$G$27:$G$143,'試算番号4-3'!$O$27:$O$143,F115)</f>
        <v>2.6111417543450602E-2</v>
      </c>
      <c r="M115" s="33">
        <f t="shared" si="14"/>
        <v>1.0322698570446016</v>
      </c>
      <c r="N115" s="33">
        <f t="shared" si="15"/>
        <v>0.68398278871818863</v>
      </c>
      <c r="O115" s="10">
        <f t="shared" si="16"/>
        <v>1.5502960178321598E-2</v>
      </c>
      <c r="P115" s="32"/>
      <c r="Q115" s="1"/>
      <c r="R115" s="10"/>
    </row>
    <row r="116" spans="6:18">
      <c r="F116" s="13">
        <f t="shared" si="17"/>
        <v>24.75</v>
      </c>
      <c r="G116" s="2">
        <f>Interpolate_Range('試算番号4-1'!$G$10:$G$143,'試算番号4-1'!$I$10:$I$143,F116)</f>
        <v>0.658586178664331</v>
      </c>
      <c r="H116" s="33">
        <f>Interpolate_Range('試算番号4-4'!$G$10:$G$137,'試算番号4-4'!$P$10:$P$137,F116)</f>
        <v>1.1200253832640157</v>
      </c>
      <c r="I116" s="1">
        <f>Interpolate_Range('試算番号4-1'!$G$27:$G$143,'試算番号4-1'!$P$27:$P$143,F116)</f>
        <v>2.5444823913604697E-2</v>
      </c>
      <c r="J116" s="2">
        <f>Interpolate_Range('試算番号4-3'!$G$10:$G$143,'試算番号4-3'!$I$10:$I$143,F116)</f>
        <v>0.55896412144670726</v>
      </c>
      <c r="K116" s="15">
        <f>Interpolate_Range('試算番号4-5'!$H$10:$H$137,'試算番号4-5'!$R$10:$R$137,F116)</f>
        <v>1.0865869421554084</v>
      </c>
      <c r="L116" s="1">
        <f>Interpolate_Range('試算番号4-3'!$G$27:$G$143,'試算番号4-3'!$O$27:$O$143,F116)</f>
        <v>2.6141938680599719E-2</v>
      </c>
      <c r="M116" s="33">
        <f t="shared" si="14"/>
        <v>1.0307738293286288</v>
      </c>
      <c r="N116" s="33">
        <f t="shared" si="15"/>
        <v>0.67885339732474093</v>
      </c>
      <c r="O116" s="10">
        <f t="shared" si="16"/>
        <v>1.5650508461375019E-2</v>
      </c>
      <c r="P116" s="32"/>
      <c r="Q116" s="1"/>
      <c r="R116" s="10"/>
    </row>
    <row r="117" spans="6:18">
      <c r="F117" s="13">
        <f t="shared" si="17"/>
        <v>25</v>
      </c>
      <c r="G117" s="2">
        <f>Interpolate_Range('試算番号4-1'!$G$10:$G$143,'試算番号4-1'!$I$10:$I$143,F117)</f>
        <v>0.6545716003168881</v>
      </c>
      <c r="H117" s="33">
        <f>Interpolate_Range('試算番号4-4'!$G$10:$G$137,'試算番号4-4'!$P$10:$P$137,F117)</f>
        <v>1.1198792779351203</v>
      </c>
      <c r="I117" s="1">
        <f>Interpolate_Range('試算番号4-1'!$G$27:$G$143,'試算番号4-1'!$P$27:$P$143,F117)</f>
        <v>2.5444823913604697E-2</v>
      </c>
      <c r="J117" s="2">
        <f>Interpolate_Range('試算番号4-3'!$G$10:$G$143,'試算番号4-3'!$I$10:$I$143,F117)</f>
        <v>0.5554275668540547</v>
      </c>
      <c r="K117" s="15">
        <f>Interpolate_Range('試算番号4-5'!$H$10:$H$137,'試算番号4-5'!$R$10:$R$137,F117)</f>
        <v>1.0880448970046006</v>
      </c>
      <c r="L117" s="1">
        <f>Interpolate_Range('試算番号4-3'!$G$27:$G$143,'試算番号4-3'!$O$27:$O$143,F117)</f>
        <v>2.6141938680599719E-2</v>
      </c>
      <c r="M117" s="33">
        <f t="shared" si="14"/>
        <v>1.0292583339328736</v>
      </c>
      <c r="N117" s="33">
        <f t="shared" si="15"/>
        <v>0.67372327478193506</v>
      </c>
      <c r="O117" s="10">
        <f t="shared" si="16"/>
        <v>1.5797432956702301E-2</v>
      </c>
      <c r="P117" s="32"/>
      <c r="Q117" s="1"/>
      <c r="R117" s="10"/>
    </row>
    <row r="118" spans="6:18">
      <c r="F118" s="13">
        <f t="shared" si="17"/>
        <v>25.25</v>
      </c>
      <c r="G118" s="2">
        <f>Interpolate_Range('試算番号4-1'!$G$10:$G$143,'試算番号4-1'!$I$10:$I$143,F118)</f>
        <v>0.65143188818594178</v>
      </c>
      <c r="H118" s="33">
        <f>Interpolate_Range('試算番号4-4'!$G$10:$G$137,'試算番号4-4'!$P$10:$P$137,F118)</f>
        <v>1.1190986206320408</v>
      </c>
      <c r="I118" s="1">
        <f>Interpolate_Range('試算番号4-1'!$G$27:$G$143,'試算番号4-1'!$P$27:$P$143,F118)</f>
        <v>2.1002123610383356E-2</v>
      </c>
      <c r="J118" s="2">
        <f>Interpolate_Range('試算番号4-3'!$G$10:$G$143,'試算番号4-3'!$I$10:$I$143,F118)</f>
        <v>0.55223294599751171</v>
      </c>
      <c r="K118" s="15">
        <f>Interpolate_Range('試算番号4-5'!$H$10:$H$137,'試算番号4-5'!$R$10:$R$137,F118)</f>
        <v>1.0881692393200237</v>
      </c>
      <c r="L118" s="1">
        <f>Interpolate_Range('試算番号4-3'!$G$27:$G$143,'試算番号4-3'!$O$27:$O$143,F118)</f>
        <v>2.4012922858973589E-2</v>
      </c>
      <c r="M118" s="33">
        <f t="shared" si="14"/>
        <v>1.0284233189051954</v>
      </c>
      <c r="N118" s="33">
        <f t="shared" si="15"/>
        <v>0.66994774448886441</v>
      </c>
      <c r="O118" s="10">
        <f t="shared" si="16"/>
        <v>1.5863586651048051E-2</v>
      </c>
      <c r="P118" s="32"/>
      <c r="Q118" s="1"/>
      <c r="R118" s="10"/>
    </row>
    <row r="119" spans="6:18">
      <c r="F119" s="13">
        <f t="shared" si="17"/>
        <v>25.5</v>
      </c>
      <c r="G119" s="2">
        <f>Interpolate_Range('試算番号4-1'!$G$10:$G$143,'試算番号4-1'!$I$10:$I$143,F119)</f>
        <v>0.64829217605499545</v>
      </c>
      <c r="H119" s="33">
        <f>Interpolate_Range('試算番号4-4'!$G$10:$G$137,'試算番号4-4'!$P$10:$P$137,F119)</f>
        <v>1.1182678993864237</v>
      </c>
      <c r="I119" s="1">
        <f>Interpolate_Range('試算番号4-1'!$G$27:$G$143,'試算番号4-1'!$P$27:$P$143,F119)</f>
        <v>2.1002123610383356E-2</v>
      </c>
      <c r="J119" s="2">
        <f>Interpolate_Range('試算番号4-3'!$G$10:$G$143,'試算番号4-3'!$I$10:$I$143,F119)</f>
        <v>0.54903832514097095</v>
      </c>
      <c r="K119" s="15">
        <f>Interpolate_Range('試算番号4-5'!$H$10:$H$137,'試算番号4-5'!$R$10:$R$137,F119)</f>
        <v>1.0882651620836135</v>
      </c>
      <c r="L119" s="1">
        <f>Interpolate_Range('試算番号4-3'!$G$27:$G$143,'試算番号4-3'!$O$27:$O$143,F119)</f>
        <v>2.4012922858973589E-2</v>
      </c>
      <c r="M119" s="33">
        <f t="shared" si="14"/>
        <v>1.0275693262525893</v>
      </c>
      <c r="N119" s="33">
        <f t="shared" si="15"/>
        <v>0.66616515456365666</v>
      </c>
      <c r="O119" s="10">
        <f t="shared" si="16"/>
        <v>1.5930104288562837E-2</v>
      </c>
      <c r="P119" s="32"/>
      <c r="Q119" s="1"/>
      <c r="R119" s="10"/>
    </row>
    <row r="120" spans="6:18">
      <c r="F120" s="13">
        <f t="shared" si="17"/>
        <v>25.75</v>
      </c>
      <c r="G120" s="2">
        <f>Interpolate_Range('試算番号4-1'!$G$10:$G$143,'試算番号4-1'!$I$10:$I$143,F120)</f>
        <v>0.64515246392404957</v>
      </c>
      <c r="H120" s="33">
        <f>Interpolate_Range('試算番号4-4'!$G$10:$G$137,'試算番号4-4'!$P$10:$P$137,F120)</f>
        <v>1.1173481365812554</v>
      </c>
      <c r="I120" s="1">
        <f>Interpolate_Range('試算番号4-1'!$G$27:$G$143,'試算番号4-1'!$P$27:$P$143,F120)</f>
        <v>2.1140806809187694E-2</v>
      </c>
      <c r="J120" s="2">
        <f>Interpolate_Range('試算番号4-3'!$G$10:$G$143,'試算番号4-3'!$I$10:$I$143,F120)</f>
        <v>0.54584370428442797</v>
      </c>
      <c r="K120" s="15">
        <f>Interpolate_Range('試算番号4-5'!$H$10:$H$137,'試算番号4-5'!$R$10:$R$137,F120)</f>
        <v>1.0883327477741893</v>
      </c>
      <c r="L120" s="1">
        <f>Interpolate_Range('試算番号4-3'!$G$27:$G$143,'試算番号4-3'!$O$27:$O$143,F120)</f>
        <v>2.4011353409163508E-2</v>
      </c>
      <c r="M120" s="33">
        <f t="shared" si="14"/>
        <v>1.0266604022220291</v>
      </c>
      <c r="N120" s="33">
        <f t="shared" si="15"/>
        <v>0.66235248810679792</v>
      </c>
      <c r="O120" s="10">
        <f t="shared" si="16"/>
        <v>1.5998345839825047E-2</v>
      </c>
      <c r="P120" s="32"/>
      <c r="Q120" s="1"/>
      <c r="R120" s="10"/>
    </row>
    <row r="121" spans="6:18">
      <c r="F121" s="13">
        <f t="shared" si="17"/>
        <v>26</v>
      </c>
      <c r="G121" s="2">
        <f>Interpolate_Range('試算番号4-1'!$G$10:$G$143,'試算番号4-1'!$I$10:$I$143,F121)</f>
        <v>0.64201275179310324</v>
      </c>
      <c r="H121" s="33">
        <f>Interpolate_Range('試算番号4-4'!$G$10:$G$137,'試算番号4-4'!$P$10:$P$137,F121)</f>
        <v>1.11637752773177</v>
      </c>
      <c r="I121" s="1">
        <f>Interpolate_Range('試算番号4-1'!$G$27:$G$143,'試算番号4-1'!$P$27:$P$143,F121)</f>
        <v>2.1140806809187694E-2</v>
      </c>
      <c r="J121" s="2">
        <f>Interpolate_Range('試算番号4-3'!$G$10:$G$143,'試算番号4-3'!$I$10:$I$143,F121)</f>
        <v>0.5426490834278872</v>
      </c>
      <c r="K121" s="15">
        <f>Interpolate_Range('試算番号4-5'!$H$10:$H$137,'試算番号4-5'!$R$10:$R$137,F121)</f>
        <v>1.0883712571874744</v>
      </c>
      <c r="L121" s="1">
        <f>Interpolate_Range('試算番号4-3'!$G$27:$G$143,'試算番号4-3'!$O$27:$O$143,F121)</f>
        <v>2.4011353409163508E-2</v>
      </c>
      <c r="M121" s="33">
        <f t="shared" si="14"/>
        <v>1.0257322768856174</v>
      </c>
      <c r="N121" s="33">
        <f t="shared" si="15"/>
        <v>0.65853320168634055</v>
      </c>
      <c r="O121" s="10">
        <f t="shared" si="16"/>
        <v>1.606693611127618E-2</v>
      </c>
      <c r="P121" s="32"/>
      <c r="Q121" s="1"/>
      <c r="R121" s="10"/>
    </row>
    <row r="122" spans="6:18">
      <c r="F122" s="13">
        <f t="shared" si="17"/>
        <v>26.25</v>
      </c>
      <c r="G122" s="2">
        <f>Interpolate_Range('試算番号4-1'!$G$10:$G$143,'試算番号4-1'!$I$10:$I$143,F122)</f>
        <v>0.63889188714002876</v>
      </c>
      <c r="H122" s="33">
        <f>Interpolate_Range('試算番号4-4'!$G$10:$G$137,'試算番号4-4'!$P$10:$P$137,F122)</f>
        <v>1.1154396871470278</v>
      </c>
      <c r="I122" s="1">
        <f>Interpolate_Range('試算番号4-1'!$G$27:$G$143,'試算番号4-1'!$P$27:$P$143,F122)</f>
        <v>2.1302482098494547E-2</v>
      </c>
      <c r="J122" s="2">
        <f>Interpolate_Range('試算番号4-3'!$G$10:$G$143,'試算番号4-3'!$I$10:$I$143,F122)</f>
        <v>0.53952052367095582</v>
      </c>
      <c r="K122" s="15">
        <f>Interpolate_Range('試算番号4-5'!$H$10:$H$137,'試算番号4-5'!$R$10:$R$137,F122)</f>
        <v>1.0884479249546697</v>
      </c>
      <c r="L122" s="1">
        <f>Interpolate_Range('試算番号4-3'!$G$27:$G$143,'試算番号4-3'!$O$27:$O$143,F122)</f>
        <v>2.3976561493453476E-2</v>
      </c>
      <c r="M122" s="33">
        <f t="shared" si="14"/>
        <v>1.0247983955626376</v>
      </c>
      <c r="N122" s="33">
        <f t="shared" si="15"/>
        <v>0.65473538087908723</v>
      </c>
      <c r="O122" s="10">
        <f t="shared" si="16"/>
        <v>1.6134252328922332E-2</v>
      </c>
      <c r="P122" s="32"/>
      <c r="Q122" s="1"/>
      <c r="R122" s="10"/>
    </row>
    <row r="123" spans="6:18">
      <c r="F123" s="13">
        <f t="shared" si="17"/>
        <v>26.5</v>
      </c>
      <c r="G123" s="2">
        <f>Interpolate_Range('試算番号4-1'!$G$10:$G$143,'試算番号4-1'!$I$10:$I$143,F123)</f>
        <v>0.63577102248695427</v>
      </c>
      <c r="H123" s="33">
        <f>Interpolate_Range('試算番号4-4'!$G$10:$G$137,'試算番号4-4'!$P$10:$P$137,F123)</f>
        <v>1.1144522333274445</v>
      </c>
      <c r="I123" s="1">
        <f>Interpolate_Range('試算番号4-1'!$G$27:$G$143,'試算番号4-1'!$P$27:$P$143,F123)</f>
        <v>2.1302482098494547E-2</v>
      </c>
      <c r="J123" s="2">
        <f>Interpolate_Range('試算番号4-3'!$G$10:$G$143,'試算番号4-3'!$I$10:$I$143,F123)</f>
        <v>0.53639196391402655</v>
      </c>
      <c r="K123" s="15">
        <f>Interpolate_Range('試算番号4-5'!$H$10:$H$137,'試算番号4-5'!$R$10:$R$137,F123)</f>
        <v>1.0884961714667063</v>
      </c>
      <c r="L123" s="1">
        <f>Interpolate_Range('試算番号4-3'!$G$27:$G$143,'試算番号4-3'!$O$27:$O$143,F123)</f>
        <v>2.3976561493453476E-2</v>
      </c>
      <c r="M123" s="33">
        <f t="shared" si="14"/>
        <v>1.0238457998669517</v>
      </c>
      <c r="N123" s="33">
        <f t="shared" si="15"/>
        <v>0.65093149105038539</v>
      </c>
      <c r="O123" s="10">
        <f t="shared" si="16"/>
        <v>1.6201919954455007E-2</v>
      </c>
      <c r="P123" s="32"/>
      <c r="Q123" s="1"/>
      <c r="R123" s="10"/>
    </row>
    <row r="124" spans="6:18">
      <c r="F124" s="13">
        <f t="shared" si="17"/>
        <v>26.75</v>
      </c>
      <c r="G124" s="2">
        <f>Interpolate_Range('試算番号4-1'!$G$10:$G$143,'試算番号4-1'!$I$10:$I$143,F124)</f>
        <v>0.63265015783387968</v>
      </c>
      <c r="H124" s="33">
        <f>Interpolate_Range('試算番号4-4'!$G$10:$G$137,'試算番号4-4'!$P$10:$P$137,F124)</f>
        <v>1.1133694613071723</v>
      </c>
      <c r="I124" s="1">
        <f>Interpolate_Range('試算番号4-1'!$G$27:$G$143,'試算番号4-1'!$P$27:$P$143,F124)</f>
        <v>2.1465963304872833E-2</v>
      </c>
      <c r="J124" s="2">
        <f>Interpolate_Range('試算番号4-3'!$G$10:$G$143,'試算番号4-3'!$I$10:$I$143,F124)</f>
        <v>0.53326340415709517</v>
      </c>
      <c r="K124" s="15">
        <f>Interpolate_Range('試算番号4-5'!$H$10:$H$137,'試算番号4-5'!$R$10:$R$137,F124)</f>
        <v>1.0885127491895017</v>
      </c>
      <c r="L124" s="1">
        <f>Interpolate_Range('試算番号4-3'!$G$27:$G$143,'試算番号4-3'!$O$27:$O$143,F124)</f>
        <v>2.3987304923984931E-2</v>
      </c>
      <c r="M124" s="33">
        <f t="shared" si="14"/>
        <v>1.0228354809221838</v>
      </c>
      <c r="N124" s="33">
        <f t="shared" si="15"/>
        <v>0.6470970284435118</v>
      </c>
      <c r="O124" s="10">
        <f t="shared" si="16"/>
        <v>1.6271365571690347E-2</v>
      </c>
      <c r="P124" s="32"/>
      <c r="Q124" s="1"/>
      <c r="R124" s="10"/>
    </row>
    <row r="125" spans="6:18">
      <c r="F125" s="13">
        <f t="shared" si="17"/>
        <v>27</v>
      </c>
      <c r="G125" s="2">
        <f>Interpolate_Range('試算番号4-1'!$G$10:$G$143,'試算番号4-1'!$I$10:$I$143,F125)</f>
        <v>0.62952929318080564</v>
      </c>
      <c r="H125" s="33">
        <f>Interpolate_Range('試算番号4-4'!$G$10:$G$137,'試算番号4-4'!$P$10:$P$137,F125)</f>
        <v>1.1122362982233178</v>
      </c>
      <c r="I125" s="1">
        <f>Interpolate_Range('試算番号4-1'!$G$27:$G$143,'試算番号4-1'!$P$27:$P$143,F125)</f>
        <v>2.1465963304872833E-2</v>
      </c>
      <c r="J125" s="2">
        <f>Interpolate_Range('試算番号4-3'!$G$10:$G$143,'試算番号4-3'!$I$10:$I$143,F125)</f>
        <v>0.53013484440016589</v>
      </c>
      <c r="K125" s="15">
        <f>Interpolate_Range('試算番号4-5'!$H$10:$H$137,'試算番号4-5'!$R$10:$R$137,F125)</f>
        <v>1.0885002388109097</v>
      </c>
      <c r="L125" s="1">
        <f>Interpolate_Range('試算番号4-3'!$G$27:$G$143,'試算番号4-3'!$O$27:$O$143,F125)</f>
        <v>2.3987304923984931E-2</v>
      </c>
      <c r="M125" s="33">
        <f t="shared" si="14"/>
        <v>1.0218062050572791</v>
      </c>
      <c r="N125" s="33">
        <f t="shared" si="15"/>
        <v>0.6432569380374703</v>
      </c>
      <c r="O125" s="10">
        <f t="shared" si="16"/>
        <v>1.6341149702485545E-2</v>
      </c>
      <c r="P125" s="32"/>
      <c r="Q125" s="1"/>
      <c r="R125" s="10"/>
    </row>
    <row r="126" spans="6:18">
      <c r="F126" s="13">
        <f t="shared" si="17"/>
        <v>27.25</v>
      </c>
      <c r="G126" s="2">
        <f>Interpolate_Range('試算番号4-1'!$G$10:$G$143,'試算番号4-1'!$I$10:$I$143,F126)</f>
        <v>0.62642789256813525</v>
      </c>
      <c r="H126" s="33">
        <f>Interpolate_Range('試算番号4-4'!$G$10:$G$137,'試算番号4-4'!$P$10:$P$137,F126)</f>
        <v>1.1111338767515546</v>
      </c>
      <c r="I126" s="1">
        <f>Interpolate_Range('試算番号4-1'!$G$27:$G$143,'試算番号4-1'!$P$27:$P$143,F126)</f>
        <v>2.1630337747521784E-2</v>
      </c>
      <c r="J126" s="2">
        <f>Interpolate_Range('試算番号4-3'!$G$10:$G$143,'試算番号4-3'!$I$10:$I$143,F126)</f>
        <v>0.52707105222190775</v>
      </c>
      <c r="K126" s="15">
        <f>Interpolate_Range('試算番号4-5'!$H$10:$H$137,'試算番号4-5'!$R$10:$R$137,F126)</f>
        <v>1.0885258903200639</v>
      </c>
      <c r="L126" s="1">
        <f>Interpolate_Range('試算番号4-3'!$G$27:$G$143,'試算番号4-3'!$O$27:$O$143,F126)</f>
        <v>2.3952033217651752E-2</v>
      </c>
      <c r="M126" s="33">
        <f t="shared" si="14"/>
        <v>1.0207693603179646</v>
      </c>
      <c r="N126" s="33">
        <f t="shared" si="15"/>
        <v>0.6394383991821061</v>
      </c>
      <c r="O126" s="10">
        <f t="shared" si="16"/>
        <v>1.640972437196335E-2</v>
      </c>
      <c r="P126" s="32"/>
      <c r="Q126" s="1"/>
      <c r="R126" s="10"/>
    </row>
    <row r="127" spans="6:18">
      <c r="F127" s="13">
        <f t="shared" si="17"/>
        <v>27.5</v>
      </c>
      <c r="G127" s="2">
        <f>Interpolate_Range('試算番号4-1'!$G$10:$G$143,'試算番号4-1'!$I$10:$I$143,F127)</f>
        <v>0.62332649195546486</v>
      </c>
      <c r="H127" s="33">
        <f>Interpolate_Range('試算番号4-4'!$G$10:$G$137,'試算番号4-4'!$P$10:$P$137,F127)</f>
        <v>1.1099822901292005</v>
      </c>
      <c r="I127" s="1">
        <f>Interpolate_Range('試算番号4-1'!$G$27:$G$143,'試算番号4-1'!$P$27:$P$143,F127)</f>
        <v>2.1630337747521784E-2</v>
      </c>
      <c r="J127" s="2">
        <f>Interpolate_Range('試算番号4-3'!$G$10:$G$143,'試算番号4-3'!$I$10:$I$143,F127)</f>
        <v>0.52400726004365183</v>
      </c>
      <c r="K127" s="15">
        <f>Interpolate_Range('試算番号4-5'!$H$10:$H$137,'試算番号4-5'!$R$10:$R$137,F127)</f>
        <v>1.0885231139895226</v>
      </c>
      <c r="L127" s="1">
        <f>Interpolate_Range('試算番号4-3'!$G$27:$G$143,'試算番号4-3'!$O$27:$O$143,F127)</f>
        <v>2.3952033217651752E-2</v>
      </c>
      <c r="M127" s="33">
        <f t="shared" si="14"/>
        <v>1.0197140289111806</v>
      </c>
      <c r="N127" s="33">
        <f t="shared" si="15"/>
        <v>0.63561476843897968</v>
      </c>
      <c r="O127" s="10">
        <f t="shared" si="16"/>
        <v>1.6478640333092039E-2</v>
      </c>
      <c r="P127" s="32"/>
      <c r="Q127" s="1"/>
      <c r="R127" s="10"/>
    </row>
    <row r="128" spans="6:18">
      <c r="F128" s="13">
        <f t="shared" si="17"/>
        <v>27.75</v>
      </c>
      <c r="G128" s="2">
        <f>Interpolate_Range('試算番号4-1'!$G$10:$G$143,'試算番号4-1'!$I$10:$I$143,F128)</f>
        <v>0.62022509134279458</v>
      </c>
      <c r="H128" s="33">
        <f>Interpolate_Range('試算番号4-4'!$G$10:$G$137,'試算番号4-4'!$P$10:$P$137,F128)</f>
        <v>1.1087352885090138</v>
      </c>
      <c r="I128" s="1">
        <f>Interpolate_Range('試算番号4-1'!$G$27:$G$143,'試算番号4-1'!$P$27:$P$143,F128)</f>
        <v>2.1796501461324148E-2</v>
      </c>
      <c r="J128" s="2">
        <f>Interpolate_Range('試算番号4-3'!$G$10:$G$143,'試算番号4-3'!$I$10:$I$143,F128)</f>
        <v>0.52094346786539381</v>
      </c>
      <c r="K128" s="15">
        <f>Interpolate_Range('試算番号4-5'!$H$10:$H$137,'試算番号4-5'!$R$10:$R$137,F128)</f>
        <v>1.0884886198972614</v>
      </c>
      <c r="L128" s="1">
        <f>Interpolate_Range('試算番号4-3'!$G$27:$G$143,'試算番号4-3'!$O$27:$O$143,F128)</f>
        <v>2.39629422466721E-2</v>
      </c>
      <c r="M128" s="33">
        <f t="shared" si="14"/>
        <v>1.0186007168487103</v>
      </c>
      <c r="N128" s="33">
        <f t="shared" si="15"/>
        <v>0.6317617226493274</v>
      </c>
      <c r="O128" s="10">
        <f t="shared" si="16"/>
        <v>1.6549296470273683E-2</v>
      </c>
      <c r="P128" s="32"/>
      <c r="Q128" s="1"/>
      <c r="R128" s="10"/>
    </row>
    <row r="129" spans="6:18">
      <c r="F129" s="13">
        <f t="shared" si="17"/>
        <v>28</v>
      </c>
      <c r="G129" s="2">
        <f>Interpolate_Range('試算番号4-1'!$G$10:$G$143,'試算番号4-1'!$I$10:$I$143,F129)</f>
        <v>0.61712369073012419</v>
      </c>
      <c r="H129" s="33">
        <f>Interpolate_Range('試算番号4-4'!$G$10:$G$137,'試算番号4-4'!$P$10:$P$137,F129)</f>
        <v>1.1074383443309983</v>
      </c>
      <c r="I129" s="1">
        <f>Interpolate_Range('試算番号4-1'!$G$27:$G$143,'試算番号4-1'!$P$27:$P$143,F129)</f>
        <v>2.1796501461324148E-2</v>
      </c>
      <c r="J129" s="2">
        <f>Interpolate_Range('試算番号4-3'!$G$10:$G$143,'試算番号4-3'!$I$10:$I$143,F129)</f>
        <v>0.51787967568713567</v>
      </c>
      <c r="K129" s="15">
        <f>Interpolate_Range('試算番号4-5'!$H$10:$H$137,'試算番号4-5'!$R$10:$R$137,F129)</f>
        <v>1.0884250218287963</v>
      </c>
      <c r="L129" s="1">
        <f>Interpolate_Range('試算番号4-3'!$G$27:$G$143,'試算番号4-3'!$O$27:$O$143,F129)</f>
        <v>2.39629422466721E-2</v>
      </c>
      <c r="M129" s="33">
        <f t="shared" si="14"/>
        <v>1.0174686561966899</v>
      </c>
      <c r="N129" s="33">
        <f t="shared" si="15"/>
        <v>0.62790401231432114</v>
      </c>
      <c r="O129" s="10">
        <f t="shared" si="16"/>
        <v>1.6620284672479359E-2</v>
      </c>
      <c r="P129" s="32"/>
      <c r="Q129" s="1"/>
      <c r="R129" s="10"/>
    </row>
    <row r="130" spans="6:18">
      <c r="F130" s="13">
        <f t="shared" si="17"/>
        <v>28.25</v>
      </c>
      <c r="G130" s="2">
        <f>Interpolate_Range('試算番号4-1'!$G$10:$G$143,'試算番号4-1'!$I$10:$I$143,F130)</f>
        <v>0.61404235303827548</v>
      </c>
      <c r="H130" s="33">
        <f>Interpolate_Range('試算番号4-4'!$G$10:$G$137,'試算番号4-4'!$P$10:$P$137,F130)</f>
        <v>1.1061701560298272</v>
      </c>
      <c r="I130" s="1">
        <f>Interpolate_Range('試算番号4-1'!$G$27:$G$143,'試算番号4-1'!$P$27:$P$143,F130)</f>
        <v>2.1963584195660062E-2</v>
      </c>
      <c r="J130" s="2">
        <f>Interpolate_Range('試算番号4-3'!$G$10:$G$143,'試算番号4-3'!$I$10:$I$143,F130)</f>
        <v>0.51487938144727274</v>
      </c>
      <c r="K130" s="15">
        <f>Interpolate_Range('試算番号4-5'!$H$10:$H$137,'試算番号4-5'!$R$10:$R$137,F130)</f>
        <v>1.0883996051715994</v>
      </c>
      <c r="L130" s="1">
        <f>Interpolate_Range('試算番号4-3'!$G$27:$G$143,'試算番号4-3'!$O$27:$O$143,F130)</f>
        <v>2.392710335401688E-2</v>
      </c>
      <c r="M130" s="33">
        <f t="shared" si="14"/>
        <v>1.0163272301586568</v>
      </c>
      <c r="N130" s="33">
        <f t="shared" si="15"/>
        <v>0.62406796386349461</v>
      </c>
      <c r="O130" s="10">
        <f t="shared" si="16"/>
        <v>1.6690123897195291E-2</v>
      </c>
      <c r="P130" s="32"/>
      <c r="Q130" s="1"/>
      <c r="R130" s="10"/>
    </row>
    <row r="131" spans="6:18">
      <c r="F131" s="13">
        <f t="shared" si="17"/>
        <v>28.5</v>
      </c>
      <c r="G131" s="2">
        <f>Interpolate_Range('試算番号4-1'!$G$10:$G$143,'試算番号4-1'!$I$10:$I$143,F131)</f>
        <v>0.61096101534642622</v>
      </c>
      <c r="H131" s="33">
        <f>Interpolate_Range('試算番号4-4'!$G$10:$G$137,'試算番号4-4'!$P$10:$P$137,F131)</f>
        <v>1.104853243955108</v>
      </c>
      <c r="I131" s="1">
        <f>Interpolate_Range('試算番号4-1'!$G$27:$G$143,'試算番号4-1'!$P$27:$P$143,F131)</f>
        <v>2.1963584195660062E-2</v>
      </c>
      <c r="J131" s="2">
        <f>Interpolate_Range('試算番号4-3'!$G$10:$G$143,'試算番号4-3'!$I$10:$I$143,F131)</f>
        <v>0.51187908720740771</v>
      </c>
      <c r="K131" s="15">
        <f>Interpolate_Range('試算番号4-5'!$H$10:$H$137,'試算番号4-5'!$R$10:$R$137,F131)</f>
        <v>1.0883457499097016</v>
      </c>
      <c r="L131" s="1">
        <f>Interpolate_Range('試算番号4-3'!$G$27:$G$143,'試算番号4-3'!$O$27:$O$143,F131)</f>
        <v>2.392710335401688E-2</v>
      </c>
      <c r="M131" s="33">
        <f t="shared" si="14"/>
        <v>1.0151675090813521</v>
      </c>
      <c r="N131" s="33">
        <f t="shared" si="15"/>
        <v>0.6202277720950452</v>
      </c>
      <c r="O131" s="10">
        <f t="shared" si="16"/>
        <v>1.6760298037248603E-2</v>
      </c>
      <c r="P131" s="32"/>
      <c r="Q131" s="1"/>
      <c r="R131" s="10"/>
    </row>
    <row r="132" spans="6:18">
      <c r="F132" s="13">
        <f t="shared" si="17"/>
        <v>28.75</v>
      </c>
      <c r="G132" s="2">
        <f>Interpolate_Range('試算番号4-1'!$G$10:$G$143,'試算番号4-1'!$I$10:$I$143,F132)</f>
        <v>0.60787967765457707</v>
      </c>
      <c r="H132" s="33">
        <f>Interpolate_Range('試算番号4-4'!$G$10:$G$137,'試算番号4-4'!$P$10:$P$137,F132)</f>
        <v>1.1034408134807905</v>
      </c>
      <c r="I132" s="1">
        <f>Interpolate_Range('試算番号4-1'!$G$27:$G$143,'試算番号4-1'!$P$27:$P$143,F132)</f>
        <v>2.2132552506343987E-2</v>
      </c>
      <c r="J132" s="2">
        <f>Interpolate_Range('試算番号4-3'!$G$10:$G$143,'試算番号4-3'!$I$10:$I$143,F132)</f>
        <v>0.50887879296754479</v>
      </c>
      <c r="K132" s="15">
        <f>Interpolate_Range('試算番号4-5'!$H$10:$H$137,'試算番号4-5'!$R$10:$R$137,F132)</f>
        <v>1.0882601234661351</v>
      </c>
      <c r="L132" s="1">
        <f>Interpolate_Range('試算番号4-3'!$G$27:$G$143,'試算番号4-3'!$O$27:$O$143,F132)</f>
        <v>2.3938182354793523E-2</v>
      </c>
      <c r="M132" s="33">
        <f t="shared" si="14"/>
        <v>1.0139495049825997</v>
      </c>
      <c r="N132" s="33">
        <f t="shared" si="15"/>
        <v>0.61635929824684066</v>
      </c>
      <c r="O132" s="10">
        <f t="shared" si="16"/>
        <v>1.6832181186553871E-2</v>
      </c>
      <c r="P132" s="32"/>
      <c r="Q132" s="1"/>
      <c r="R132" s="10"/>
    </row>
    <row r="133" spans="6:18">
      <c r="F133" s="13">
        <f t="shared" si="17"/>
        <v>29</v>
      </c>
      <c r="G133" s="2">
        <f>Interpolate_Range('試算番号4-1'!$G$10:$G$143,'試算番号4-1'!$I$10:$I$143,F133)</f>
        <v>0.60479833996272792</v>
      </c>
      <c r="H133" s="33">
        <f>Interpolate_Range('試算番号4-4'!$G$10:$G$137,'試算番号4-4'!$P$10:$P$137,F133)</f>
        <v>1.1019788809627971</v>
      </c>
      <c r="I133" s="1">
        <f>Interpolate_Range('試算番号4-1'!$G$27:$G$143,'試算番号4-1'!$P$27:$P$143,F133)</f>
        <v>2.2132552506343987E-2</v>
      </c>
      <c r="J133" s="2">
        <f>Interpolate_Range('試算番号4-3'!$G$10:$G$143,'試算番号4-3'!$I$10:$I$143,F133)</f>
        <v>0.50587849872767976</v>
      </c>
      <c r="K133" s="15">
        <f>Interpolate_Range('試算番号4-5'!$H$10:$H$137,'試算番号4-5'!$R$10:$R$137,F133)</f>
        <v>1.0881453728064012</v>
      </c>
      <c r="L133" s="1">
        <f>Interpolate_Range('試算番号4-3'!$G$27:$G$143,'試算番号4-3'!$O$27:$O$143,F133)</f>
        <v>2.3938182354793523E-2</v>
      </c>
      <c r="M133" s="33">
        <f t="shared" si="14"/>
        <v>1.0127129228337555</v>
      </c>
      <c r="N133" s="33">
        <f t="shared" si="15"/>
        <v>0.61248709458865747</v>
      </c>
      <c r="O133" s="10">
        <f t="shared" si="16"/>
        <v>1.6904393339467812E-2</v>
      </c>
      <c r="P133" s="32"/>
      <c r="Q133" s="1"/>
      <c r="R133" s="10"/>
    </row>
    <row r="134" spans="6:18">
      <c r="F134" s="13">
        <f t="shared" si="17"/>
        <v>29.25</v>
      </c>
      <c r="G134" s="2">
        <f>Interpolate_Range('試算番号4-1'!$G$10:$G$143,'試算番号4-1'!$I$10:$I$143,F134)</f>
        <v>0.60173764638461669</v>
      </c>
      <c r="H134" s="33">
        <f>Interpolate_Range('試算番号4-4'!$G$10:$G$137,'試算番号4-4'!$P$10:$P$137,F134)</f>
        <v>1.1005437312900717</v>
      </c>
      <c r="I134" s="1">
        <f>Interpolate_Range('試算番号4-1'!$G$27:$G$143,'試算番号4-1'!$P$27:$P$143,F134)</f>
        <v>2.2302467573634445E-2</v>
      </c>
      <c r="J134" s="2">
        <f>Interpolate_Range('試算番号4-3'!$G$10:$G$143,'試算番号4-3'!$I$10:$I$143,F134)</f>
        <v>0.50294045625585893</v>
      </c>
      <c r="K134" s="15">
        <f>Interpolate_Range('試算番号4-5'!$H$10:$H$137,'試算番号4-5'!$R$10:$R$137,F134)</f>
        <v>1.0880688198187507</v>
      </c>
      <c r="L134" s="1">
        <f>Interpolate_Range('試算番号4-3'!$G$27:$G$143,'試算番号4-3'!$O$27:$O$143,F134)</f>
        <v>2.3901759653586246E-2</v>
      </c>
      <c r="M134" s="33">
        <f t="shared" si="14"/>
        <v>1.0114651860655275</v>
      </c>
      <c r="N134" s="33">
        <f t="shared" si="15"/>
        <v>0.60863668046304886</v>
      </c>
      <c r="O134" s="10">
        <f t="shared" si="16"/>
        <v>1.6975513610382367E-2</v>
      </c>
      <c r="P134" s="32"/>
      <c r="Q134" s="1"/>
      <c r="R134" s="10"/>
    </row>
    <row r="135" spans="6:18">
      <c r="F135" s="13">
        <f t="shared" si="17"/>
        <v>29.5</v>
      </c>
      <c r="G135" s="2">
        <f>Interpolate_Range('試算番号4-1'!$G$10:$G$143,'試算番号4-1'!$I$10:$I$143,F135)</f>
        <v>0.5986769528065059</v>
      </c>
      <c r="H135" s="33">
        <f>Interpolate_Range('試算番号4-4'!$G$10:$G$137,'試算番号4-4'!$P$10:$P$137,F135)</f>
        <v>1.0990602909921634</v>
      </c>
      <c r="I135" s="1">
        <f>Interpolate_Range('試算番号4-1'!$G$27:$G$143,'試算番号4-1'!$P$27:$P$143,F135)</f>
        <v>2.2302467573634445E-2</v>
      </c>
      <c r="J135" s="2">
        <f>Interpolate_Range('試算番号4-3'!$G$10:$G$143,'試算番号4-3'!$I$10:$I$143,F135)</f>
        <v>0.5000024137840362</v>
      </c>
      <c r="K135" s="15">
        <f>Interpolate_Range('試算番号4-5'!$H$10:$H$137,'試算番号4-5'!$R$10:$R$137,F135)</f>
        <v>1.0879638129578315</v>
      </c>
      <c r="L135" s="1">
        <f>Interpolate_Range('試算番号4-3'!$G$27:$G$143,'試算番号4-3'!$O$27:$O$143,F135)</f>
        <v>2.3901759653586246E-2</v>
      </c>
      <c r="M135" s="33">
        <f t="shared" si="14"/>
        <v>1.0101993080120597</v>
      </c>
      <c r="N135" s="33">
        <f t="shared" si="15"/>
        <v>0.60478304344790079</v>
      </c>
      <c r="O135" s="10">
        <f t="shared" si="16"/>
        <v>1.7046965801254085E-2</v>
      </c>
      <c r="P135" s="32"/>
      <c r="Q135" s="1"/>
      <c r="R135" s="10"/>
    </row>
    <row r="136" spans="6:18">
      <c r="F136" s="13">
        <f t="shared" si="17"/>
        <v>29.75</v>
      </c>
      <c r="G136" s="2">
        <f>Interpolate_Range('試算番号4-1'!$G$10:$G$143,'試算番号4-1'!$I$10:$I$143,F136)</f>
        <v>0.59561625922839467</v>
      </c>
      <c r="H136" s="33">
        <f>Interpolate_Range('試算番号4-4'!$G$10:$G$137,'試算番号4-4'!$P$10:$P$137,F136)</f>
        <v>1.0974812208080982</v>
      </c>
      <c r="I136" s="1">
        <f>Interpolate_Range('試算番号4-1'!$G$27:$G$143,'試算番号4-1'!$P$27:$P$143,F136)</f>
        <v>2.2474369878227197E-2</v>
      </c>
      <c r="J136" s="2">
        <f>Interpolate_Range('試算番号4-3'!$G$10:$G$143,'試算番号4-3'!$I$10:$I$143,F136)</f>
        <v>0.49706437131221537</v>
      </c>
      <c r="K136" s="15">
        <f>Interpolate_Range('試算番号4-5'!$H$10:$H$137,'試算番号4-5'!$R$10:$R$137,F136)</f>
        <v>1.0878269766124107</v>
      </c>
      <c r="L136" s="1">
        <f>Interpolate_Range('試算番号4-3'!$G$27:$G$143,'試算番号4-3'!$O$27:$O$143,F136)</f>
        <v>2.3913013580247448E-2</v>
      </c>
      <c r="M136" s="33">
        <f t="shared" si="14"/>
        <v>1.0088747975581114</v>
      </c>
      <c r="N136" s="33">
        <f t="shared" si="15"/>
        <v>0.60090223295136624</v>
      </c>
      <c r="O136" s="10">
        <f t="shared" si="16"/>
        <v>1.7120101903783734E-2</v>
      </c>
      <c r="P136" s="32"/>
      <c r="Q136" s="1"/>
      <c r="R136" s="10"/>
    </row>
    <row r="137" spans="6:18">
      <c r="F137" s="13">
        <f t="shared" si="17"/>
        <v>30</v>
      </c>
      <c r="G137" s="2">
        <f>Interpolate_Range('試算番号4-1'!$G$10:$G$143,'試算番号4-1'!$I$10:$I$143,F137)</f>
        <v>0.59255556565028344</v>
      </c>
      <c r="H137" s="33">
        <f>Interpolate_Range('試算番号4-4'!$G$10:$G$137,'試算番号4-4'!$P$10:$P$137,F137)</f>
        <v>1.0958530794829779</v>
      </c>
      <c r="I137" s="1">
        <f>Interpolate_Range('試算番号4-1'!$G$27:$G$143,'試算番号4-1'!$P$27:$P$143,F137)</f>
        <v>2.2474369878227197E-2</v>
      </c>
      <c r="J137" s="2">
        <f>Interpolate_Range('試算番号4-3'!$G$10:$G$143,'試算番号4-3'!$I$10:$I$143,F137)</f>
        <v>0.49412632884039254</v>
      </c>
      <c r="K137" s="15">
        <f>Interpolate_Range('試算番号4-5'!$H$10:$H$137,'試算番号4-5'!$R$10:$R$137,F137)</f>
        <v>1.0876609911093156</v>
      </c>
      <c r="L137" s="1">
        <f>Interpolate_Range('試算番号4-3'!$G$27:$G$143,'試算番号4-3'!$O$27:$O$143,F137)</f>
        <v>2.3913013580247448E-2</v>
      </c>
      <c r="M137" s="33">
        <f t="shared" si="14"/>
        <v>1.0075318398293454</v>
      </c>
      <c r="N137" s="33">
        <f t="shared" si="15"/>
        <v>0.59701859926074852</v>
      </c>
      <c r="O137" s="10">
        <f t="shared" si="16"/>
        <v>1.7193567051140342E-2</v>
      </c>
      <c r="P137" s="32"/>
      <c r="Q137" s="1"/>
      <c r="R137" s="10"/>
    </row>
    <row r="138" spans="6:18">
      <c r="F138" s="13"/>
      <c r="G138" s="13"/>
    </row>
    <row r="139" spans="6:18">
      <c r="F139" s="13"/>
      <c r="G139" s="13"/>
    </row>
    <row r="140" spans="6:18">
      <c r="F140" s="13"/>
      <c r="G140" s="13"/>
    </row>
    <row r="141" spans="6:18">
      <c r="F141" s="13"/>
      <c r="G141" s="13"/>
    </row>
    <row r="142" spans="6:18">
      <c r="F142" s="13"/>
      <c r="G142" s="13"/>
    </row>
    <row r="143" spans="6:18">
      <c r="F143" s="13"/>
      <c r="G143" s="13"/>
    </row>
    <row r="144" spans="6:18">
      <c r="F144" s="13"/>
      <c r="G144" s="13"/>
    </row>
    <row r="145" spans="6:7">
      <c r="F145" s="13"/>
      <c r="G145" s="13"/>
    </row>
    <row r="146" spans="6:7">
      <c r="F146" s="13"/>
      <c r="G146" s="13"/>
    </row>
    <row r="147" spans="6:7">
      <c r="F147" s="13"/>
      <c r="G147" s="13"/>
    </row>
    <row r="148" spans="6:7">
      <c r="F148" s="13"/>
      <c r="G148" s="13"/>
    </row>
    <row r="149" spans="6:7">
      <c r="F149" s="13"/>
      <c r="G149" s="13"/>
    </row>
    <row r="150" spans="6:7">
      <c r="F150" s="13"/>
      <c r="G150" s="13"/>
    </row>
    <row r="151" spans="6:7">
      <c r="F151" s="13"/>
      <c r="G151" s="13"/>
    </row>
    <row r="152" spans="6:7">
      <c r="F152" s="13"/>
      <c r="G152" s="13"/>
    </row>
    <row r="153" spans="6:7">
      <c r="F153" s="13"/>
      <c r="G153" s="13"/>
    </row>
    <row r="154" spans="6:7">
      <c r="F154" s="13"/>
      <c r="G154" s="13"/>
    </row>
    <row r="155" spans="6:7">
      <c r="F155" s="13"/>
      <c r="G155" s="13"/>
    </row>
    <row r="156" spans="6:7">
      <c r="F156" s="13"/>
      <c r="G156" s="13"/>
    </row>
    <row r="157" spans="6:7">
      <c r="F157" s="13"/>
      <c r="G157" s="13"/>
    </row>
    <row r="158" spans="6:7">
      <c r="F158" s="13"/>
      <c r="G158" s="13"/>
    </row>
    <row r="159" spans="6:7">
      <c r="F159" s="13"/>
      <c r="G159" s="13"/>
    </row>
    <row r="160" spans="6:7">
      <c r="F160" s="13"/>
      <c r="G160" s="13"/>
    </row>
    <row r="161" spans="6:7">
      <c r="F161" s="13"/>
      <c r="G161" s="13"/>
    </row>
    <row r="162" spans="6:7">
      <c r="F162" s="13"/>
      <c r="G162" s="13"/>
    </row>
    <row r="163" spans="6:7">
      <c r="F163" s="13"/>
      <c r="G163" s="13"/>
    </row>
    <row r="164" spans="6:7">
      <c r="F164" s="13"/>
      <c r="G164" s="13"/>
    </row>
    <row r="165" spans="6:7">
      <c r="F165" s="13"/>
      <c r="G165" s="13"/>
    </row>
    <row r="166" spans="6:7">
      <c r="F166" s="13"/>
      <c r="G166" s="13"/>
    </row>
    <row r="167" spans="6:7">
      <c r="F167" s="13"/>
      <c r="G167" s="13"/>
    </row>
    <row r="168" spans="6:7">
      <c r="F168" s="13"/>
      <c r="G168" s="13"/>
    </row>
    <row r="169" spans="6:7">
      <c r="F169" s="13"/>
      <c r="G169" s="13"/>
    </row>
    <row r="170" spans="6:7">
      <c r="F170" s="13"/>
      <c r="G170" s="13"/>
    </row>
    <row r="171" spans="6:7">
      <c r="F171" s="13"/>
      <c r="G171" s="13"/>
    </row>
    <row r="172" spans="6:7">
      <c r="F172" s="13"/>
      <c r="G172" s="13"/>
    </row>
    <row r="173" spans="6:7">
      <c r="F173" s="13"/>
      <c r="G173" s="13"/>
    </row>
    <row r="174" spans="6:7">
      <c r="F174" s="13"/>
      <c r="G174" s="13"/>
    </row>
    <row r="175" spans="6:7">
      <c r="F175" s="13"/>
      <c r="G175" s="13"/>
    </row>
    <row r="176" spans="6:7">
      <c r="F176" s="13"/>
      <c r="G176" s="13"/>
    </row>
    <row r="177" spans="6:7">
      <c r="F177" s="13"/>
      <c r="G177" s="13"/>
    </row>
    <row r="178" spans="6:7">
      <c r="F178" s="13"/>
      <c r="G178" s="13"/>
    </row>
    <row r="179" spans="6:7">
      <c r="F179" s="13"/>
      <c r="G179" s="13"/>
    </row>
    <row r="180" spans="6:7">
      <c r="F180" s="13"/>
      <c r="G180" s="13"/>
    </row>
    <row r="181" spans="6:7">
      <c r="F181" s="13"/>
      <c r="G181" s="13"/>
    </row>
    <row r="182" spans="6:7">
      <c r="F182" s="13"/>
      <c r="G182" s="13"/>
    </row>
    <row r="183" spans="6:7">
      <c r="F183" s="13"/>
      <c r="G183" s="13"/>
    </row>
    <row r="184" spans="6:7">
      <c r="F184" s="13"/>
      <c r="G184" s="13"/>
    </row>
    <row r="185" spans="6:7">
      <c r="F185" s="13"/>
      <c r="G185" s="13"/>
    </row>
    <row r="186" spans="6:7">
      <c r="F186" s="13"/>
      <c r="G186" s="13"/>
    </row>
    <row r="187" spans="6:7">
      <c r="F187" s="13"/>
      <c r="G187" s="13"/>
    </row>
    <row r="188" spans="6:7">
      <c r="F188" s="13"/>
      <c r="G188" s="13"/>
    </row>
    <row r="189" spans="6:7">
      <c r="F189" s="13"/>
      <c r="G189" s="13"/>
    </row>
    <row r="190" spans="6:7">
      <c r="F190" s="13"/>
      <c r="G190" s="13"/>
    </row>
    <row r="191" spans="6:7">
      <c r="F191" s="13"/>
      <c r="G191" s="13"/>
    </row>
  </sheetData>
  <phoneticPr fontId="2"/>
  <pageMargins left="0.7" right="0.7" top="0.75" bottom="0.75" header="0.3" footer="0.3"/>
  <pageSetup paperSize="9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Y191"/>
  <sheetViews>
    <sheetView topLeftCell="A23" zoomScale="85" zoomScaleNormal="85" workbookViewId="0"/>
  </sheetViews>
  <sheetFormatPr defaultRowHeight="13.5"/>
  <cols>
    <col min="6" max="6" width="9.875" bestFit="1" customWidth="1"/>
    <col min="7" max="7" width="14" customWidth="1"/>
    <col min="8" max="8" width="18.25" customWidth="1"/>
    <col min="9" max="9" width="16.625" customWidth="1"/>
    <col min="10" max="10" width="16" customWidth="1"/>
    <col min="11" max="15" width="18" customWidth="1"/>
    <col min="16" max="16" width="10.5" customWidth="1"/>
    <col min="17" max="17" width="21.875" bestFit="1" customWidth="1"/>
    <col min="18" max="18" width="18.75" customWidth="1"/>
    <col min="21" max="21" width="9.875" bestFit="1" customWidth="1"/>
    <col min="22" max="22" width="14.625" bestFit="1" customWidth="1"/>
    <col min="24" max="24" width="14.625" bestFit="1" customWidth="1"/>
  </cols>
  <sheetData>
    <row r="1" spans="1:25">
      <c r="A1" t="s">
        <v>139</v>
      </c>
    </row>
    <row r="2" spans="1:25">
      <c r="A2" s="22" t="s">
        <v>134</v>
      </c>
      <c r="B2" s="19"/>
      <c r="C2" s="19"/>
      <c r="D2" s="19"/>
      <c r="Q2" s="22" t="s">
        <v>44</v>
      </c>
    </row>
    <row r="5" spans="1:25">
      <c r="P5" s="8"/>
    </row>
    <row r="6" spans="1:25">
      <c r="P6" s="8"/>
    </row>
    <row r="8" spans="1:25">
      <c r="E8" s="10"/>
      <c r="F8" s="23" t="s">
        <v>49</v>
      </c>
      <c r="G8" s="23"/>
      <c r="Q8" s="23" t="s">
        <v>30</v>
      </c>
      <c r="S8" s="29"/>
      <c r="T8" s="23" t="s">
        <v>50</v>
      </c>
    </row>
    <row r="9" spans="1:25">
      <c r="A9" s="23" t="s">
        <v>23</v>
      </c>
      <c r="E9" s="10"/>
      <c r="F9" t="s">
        <v>2</v>
      </c>
      <c r="G9" t="s">
        <v>114</v>
      </c>
      <c r="H9" t="s">
        <v>116</v>
      </c>
      <c r="I9" t="s">
        <v>112</v>
      </c>
      <c r="J9" t="s">
        <v>130</v>
      </c>
      <c r="K9" t="s">
        <v>131</v>
      </c>
      <c r="L9" t="s">
        <v>129</v>
      </c>
      <c r="M9" t="s">
        <v>140</v>
      </c>
      <c r="N9" t="s">
        <v>128</v>
      </c>
      <c r="O9" t="s">
        <v>4</v>
      </c>
      <c r="Q9" t="s">
        <v>78</v>
      </c>
      <c r="R9" t="s">
        <v>138</v>
      </c>
      <c r="T9" t="s">
        <v>17</v>
      </c>
      <c r="U9" t="s">
        <v>32</v>
      </c>
      <c r="V9" t="s">
        <v>41</v>
      </c>
      <c r="W9" t="s">
        <v>42</v>
      </c>
      <c r="X9" t="s">
        <v>41</v>
      </c>
    </row>
    <row r="10" spans="1:25">
      <c r="E10" s="10"/>
      <c r="F10">
        <v>0</v>
      </c>
      <c r="G10" s="2">
        <f>Interpolate_Range('試算番号4-1'!$G$10:$G$143,'試算番号4-1'!$I$10:$I$143,F10)</f>
        <v>1</v>
      </c>
      <c r="H10" s="33">
        <f>Interpolate_Range('試算番号4-4'!$G$10:$G$137,'試算番号4-4'!$P$10:$P$137,F10)</f>
        <v>1</v>
      </c>
      <c r="I10" s="1"/>
      <c r="J10" s="2">
        <f>Interpolate_Range('試算番号4-3'!$G$10:$G$143,'試算番号4-3'!$I$10:$I$143,F10)</f>
        <v>1</v>
      </c>
      <c r="K10" s="15">
        <f>Interpolate_Range('試算番号4-5'!$H$10:$H$137,'試算番号4-5'!$R$10:$R$137,F10)</f>
        <v>1</v>
      </c>
      <c r="L10" s="1"/>
      <c r="M10" s="42">
        <f>K10/H10</f>
        <v>1</v>
      </c>
      <c r="N10" s="33">
        <f>M10*J10</f>
        <v>1</v>
      </c>
      <c r="O10" s="10">
        <f>O11</f>
        <v>1.4150821415192855E-3</v>
      </c>
      <c r="Q10" t="s">
        <v>74</v>
      </c>
      <c r="R10">
        <v>100</v>
      </c>
      <c r="T10">
        <v>0</v>
      </c>
    </row>
    <row r="11" spans="1:25">
      <c r="A11" s="13"/>
      <c r="B11" s="35"/>
      <c r="E11" s="10"/>
      <c r="F11" s="2">
        <f>7/365</f>
        <v>1.9178082191780823E-2</v>
      </c>
      <c r="G11" s="2">
        <f>Interpolate_Range('試算番号4-1'!$G$10:$G$143,'試算番号4-1'!$I$10:$I$143,F11)</f>
        <v>0.99998600019599726</v>
      </c>
      <c r="H11" s="33">
        <f>Interpolate_Range('試算番号4-4'!$G$10:$G$137,'試算番号4-4'!$P$10:$P$137,F11)</f>
        <v>1.0000295175601979</v>
      </c>
      <c r="J11" s="2">
        <f>Interpolate_Range('試算番号4-3'!$G$10:$G$143,'試算番号4-3'!$I$10:$I$143,F11)</f>
        <v>0.99998139760632954</v>
      </c>
      <c r="K11" s="15">
        <f>Interpolate_Range('試算番号4-5'!$H$10:$H$137,'試算番号4-5'!$R$10:$R$137,F11)</f>
        <v>1.0000209813497476</v>
      </c>
      <c r="M11" s="42">
        <f t="shared" ref="M11:M74" si="0">K11/H11</f>
        <v>0.9999914640415104</v>
      </c>
      <c r="N11" s="33">
        <f t="shared" ref="N11:N74" si="1">M11*J11</f>
        <v>0.99997286180662925</v>
      </c>
      <c r="O11" s="10">
        <f>-LN(N11)/F11</f>
        <v>1.4150821415192855E-3</v>
      </c>
      <c r="Q11" t="s">
        <v>133</v>
      </c>
      <c r="R11">
        <v>1</v>
      </c>
      <c r="T11">
        <v>0.25</v>
      </c>
      <c r="U11" s="1">
        <f>$I$16/4</f>
        <v>3.8572500000000001E-4</v>
      </c>
      <c r="V11" s="1">
        <f>U11*Interpolate_Range($F$10:$F$137,$G$10:$G$137,T11)</f>
        <v>3.8565172617202733E-4</v>
      </c>
      <c r="W11" s="1">
        <f>$L$16/4</f>
        <v>5.7499999999999999E-4</v>
      </c>
      <c r="X11" s="1">
        <f>W11*Interpolate_Range($F$10:$F$137,$N$10:$N$137,T11)</f>
        <v>5.7479391150011821E-4</v>
      </c>
      <c r="Y11" s="1"/>
    </row>
    <row r="12" spans="1:25">
      <c r="E12" s="10"/>
      <c r="F12" s="2">
        <f>14/365</f>
        <v>3.8356164383561646E-2</v>
      </c>
      <c r="G12" s="2">
        <f>Interpolate_Range('試算番号4-1'!$G$10:$G$143,'試算番号4-1'!$I$10:$I$143,F12)</f>
        <v>0.99997200078397808</v>
      </c>
      <c r="H12" s="33">
        <f>Interpolate_Range('試算番号4-4'!$G$10:$G$137,'試算番号4-4'!$P$10:$P$137,F12)</f>
        <v>1.0000600615720514</v>
      </c>
      <c r="J12" s="2">
        <f>Interpolate_Range('試算番号4-3'!$G$10:$G$143,'試算番号4-3'!$I$10:$I$143,F12)</f>
        <v>0.99996241237178696</v>
      </c>
      <c r="K12" s="15">
        <f>Interpolate_Range('試算番号4-5'!$H$10:$H$137,'試算番号4-5'!$R$10:$R$137,F12)</f>
        <v>1.0000449177659072</v>
      </c>
      <c r="M12" s="42">
        <f t="shared" si="0"/>
        <v>0.99998485710336193</v>
      </c>
      <c r="N12" s="33">
        <f t="shared" si="1"/>
        <v>0.99994727004433448</v>
      </c>
      <c r="O12" s="10">
        <f t="shared" ref="O12:O15" si="2">-LN(N12)/F12</f>
        <v>1.3747815191110348E-3</v>
      </c>
      <c r="Q12" t="s">
        <v>34</v>
      </c>
      <c r="R12" s="26" t="s">
        <v>72</v>
      </c>
      <c r="T12">
        <v>0.5</v>
      </c>
      <c r="U12" s="1">
        <f>Interpolate_Range($F$19:$F$137,$I$19:$I$137,T12)/4</f>
        <v>5.1236391623091606E-4</v>
      </c>
      <c r="V12" s="1">
        <f t="shared" ref="V12:V50" si="3">U12*Interpolate_Range($F$10:$F$137,$G$10:$G$137,T12)</f>
        <v>5.1216161239402049E-4</v>
      </c>
      <c r="W12" s="1">
        <f>Interpolate_Range($F$19:$F$137,$L$19:$L$137,T12)/4</f>
        <v>8.5616768772431425E-4</v>
      </c>
      <c r="X12" s="1">
        <f t="shared" ref="X12:X50" si="4">W12*Interpolate_Range($F$10:$F$137,$N$10:$N$137,T12)</f>
        <v>8.5537919836847223E-4</v>
      </c>
      <c r="Y12" s="1"/>
    </row>
    <row r="13" spans="1:25">
      <c r="B13" t="s">
        <v>92</v>
      </c>
      <c r="E13" s="10"/>
      <c r="F13" s="2">
        <f>21/365</f>
        <v>5.7534246575342465E-2</v>
      </c>
      <c r="G13" s="2">
        <f>Interpolate_Range('試算番号4-1'!$G$10:$G$143,'試算番号4-1'!$I$10:$I$143,F13)</f>
        <v>0.9999580017639258</v>
      </c>
      <c r="H13" s="33">
        <f>Interpolate_Range('試算番号4-4'!$G$10:$G$137,'試算番号4-4'!$P$10:$P$137,F13)</f>
        <v>1.0000916322335176</v>
      </c>
      <c r="J13" s="2">
        <f>Interpolate_Range('試算番号4-3'!$G$10:$G$143,'試算番号4-3'!$I$10:$I$143,F13)</f>
        <v>0.99994333197856999</v>
      </c>
      <c r="K13" s="15">
        <f>Interpolate_Range('試算番号4-5'!$H$10:$H$137,'試算番号4-5'!$R$10:$R$137,F13)</f>
        <v>1.0000692031027907</v>
      </c>
      <c r="M13" s="42">
        <f t="shared" si="0"/>
        <v>0.9999775729243161</v>
      </c>
      <c r="N13" s="33">
        <f t="shared" si="1"/>
        <v>0.99992090617378415</v>
      </c>
      <c r="O13" s="10">
        <f t="shared" si="2"/>
        <v>1.3747803961225739E-3</v>
      </c>
      <c r="Q13" t="s">
        <v>31</v>
      </c>
      <c r="R13" s="12" t="s">
        <v>91</v>
      </c>
      <c r="T13">
        <v>0.75</v>
      </c>
      <c r="U13" s="1">
        <f t="shared" ref="U13:U49" si="5">Interpolate_Range($F$19:$F$137,$I$19:$I$137,T13)/4</f>
        <v>4.3208090275554593E-4</v>
      </c>
      <c r="V13" s="1">
        <f t="shared" si="3"/>
        <v>4.3181857297246515E-4</v>
      </c>
      <c r="W13" s="1">
        <f t="shared" ref="W13:W49" si="6">Interpolate_Range($F$19:$F$137,$L$19:$L$137,T13)/4</f>
        <v>8.2313978738937318E-4</v>
      </c>
      <c r="X13" s="1">
        <f t="shared" si="4"/>
        <v>8.2181224369054517E-4</v>
      </c>
      <c r="Y13" s="1"/>
    </row>
    <row r="14" spans="1:25">
      <c r="A14" s="13">
        <v>0</v>
      </c>
      <c r="B14">
        <v>129.38999999999999</v>
      </c>
      <c r="E14" s="10"/>
      <c r="F14" s="2">
        <f>1/12</f>
        <v>8.3333333333333329E-2</v>
      </c>
      <c r="G14" s="2">
        <f>Interpolate_Range('試算番号4-1'!$G$10:$G$143,'試算番号4-1'!$I$10:$I$143,F14)</f>
        <v>0.99993833713587665</v>
      </c>
      <c r="H14" s="33">
        <f>Interpolate_Range('試算番号4-4'!$G$10:$G$137,'試算番号4-4'!$P$10:$P$137,F14)</f>
        <v>1.0001433013724206</v>
      </c>
      <c r="J14" s="2">
        <f>Interpolate_Range('試算番号4-3'!$G$10:$G$143,'試算番号4-3'!$I$10:$I$143,F14)</f>
        <v>0.99991584041676496</v>
      </c>
      <c r="K14" s="15">
        <f>Interpolate_Range('試算番号4-5'!$H$10:$H$137,'試算番号4-5'!$R$10:$R$137,F14)</f>
        <v>1.0001047373628453</v>
      </c>
      <c r="M14" s="42">
        <f t="shared" si="0"/>
        <v>0.99996144151590849</v>
      </c>
      <c r="N14" s="33">
        <f t="shared" si="1"/>
        <v>0.99987728517773944</v>
      </c>
      <c r="O14" s="10">
        <f t="shared" si="2"/>
        <v>1.4726682280848439E-3</v>
      </c>
      <c r="Q14" t="s">
        <v>92</v>
      </c>
      <c r="R14" s="15">
        <f>$B$14</f>
        <v>129.38999999999999</v>
      </c>
      <c r="T14">
        <v>1</v>
      </c>
      <c r="U14" s="1">
        <f t="shared" si="5"/>
        <v>4.3208090275554593E-4</v>
      </c>
      <c r="V14" s="1">
        <f t="shared" si="3"/>
        <v>4.3172257301993933E-4</v>
      </c>
      <c r="W14" s="1">
        <f t="shared" si="6"/>
        <v>8.2313978738937318E-4</v>
      </c>
      <c r="X14" s="1">
        <f t="shared" si="4"/>
        <v>8.2108378854391529E-4</v>
      </c>
      <c r="Y14" s="1"/>
    </row>
    <row r="15" spans="1:25">
      <c r="E15" s="10"/>
      <c r="F15" s="2">
        <f>2/12</f>
        <v>0.16666666666666666</v>
      </c>
      <c r="G15" s="2">
        <f>Interpolate_Range('試算番号4-1'!$G$10:$G$143,'試算番号4-1'!$I$10:$I$143,F15)</f>
        <v>0.99987501562304715</v>
      </c>
      <c r="H15" s="33">
        <f>Interpolate_Range('試算番号4-4'!$G$10:$G$137,'試算番号4-4'!$P$10:$P$137,F15)</f>
        <v>1.0002687791172151</v>
      </c>
      <c r="J15" s="2">
        <f>Interpolate_Range('試算番号4-3'!$G$10:$G$143,'試算番号4-3'!$I$10:$I$143,F15)</f>
        <v>0.99982669670590429</v>
      </c>
      <c r="K15" s="15">
        <f>Interpolate_Range('試算番号4-5'!$H$10:$H$137,'試算番号4-5'!$R$10:$R$137,F15)</f>
        <v>1.000215069889953</v>
      </c>
      <c r="M15" s="42">
        <f t="shared" si="0"/>
        <v>0.99994630520477756</v>
      </c>
      <c r="N15" s="33">
        <f t="shared" si="1"/>
        <v>0.9997730112161668</v>
      </c>
      <c r="O15" s="10">
        <f t="shared" si="2"/>
        <v>1.3620872981178641E-3</v>
      </c>
      <c r="Q15" t="s">
        <v>38</v>
      </c>
      <c r="R15" s="12" t="s">
        <v>37</v>
      </c>
      <c r="T15">
        <v>1.25</v>
      </c>
      <c r="U15" s="1">
        <f t="shared" si="5"/>
        <v>4.9873879338430756E-4</v>
      </c>
      <c r="V15" s="1">
        <f t="shared" si="3"/>
        <v>4.9819690699412695E-4</v>
      </c>
      <c r="W15" s="1">
        <f t="shared" si="6"/>
        <v>1.3864874686106961E-3</v>
      </c>
      <c r="X15" s="1">
        <f t="shared" si="4"/>
        <v>1.3808822691533283E-3</v>
      </c>
      <c r="Y15" s="1"/>
    </row>
    <row r="16" spans="1:25">
      <c r="E16" s="10"/>
      <c r="F16" s="2">
        <f>3/12</f>
        <v>0.25</v>
      </c>
      <c r="G16" s="2">
        <f>Interpolate_Range('試算番号4-1'!$G$10:$G$143,'試算番号4-1'!$I$10:$I$143,F16)</f>
        <v>0.99981003609314234</v>
      </c>
      <c r="H16" s="33">
        <f>Interpolate_Range('試算番号4-4'!$G$10:$G$137,'試算番号4-4'!$P$10:$P$137,F16)</f>
        <v>1.0004387815106786</v>
      </c>
      <c r="I16" s="1">
        <f>'試算番号4-1'!$P$18</f>
        <v>1.5429E-3</v>
      </c>
      <c r="J16" s="2">
        <f>Interpolate_Range('試算番号4-3'!$G$10:$G$143,'試算番号4-3'!$I$10:$I$143,F16)</f>
        <v>0.99973007288032234</v>
      </c>
      <c r="K16" s="15">
        <f>Interpolate_Range('試算番号4-5'!$H$10:$H$137,'試算番号4-5'!$R$10:$R$137,F16)</f>
        <v>1.0003502311190506</v>
      </c>
      <c r="L16" s="1">
        <f>'試算番号4-3'!$O$18</f>
        <v>2.3E-3</v>
      </c>
      <c r="M16" s="42">
        <f t="shared" si="0"/>
        <v>0.99991148844560562</v>
      </c>
      <c r="N16" s="33">
        <f t="shared" si="1"/>
        <v>0.99964158521759694</v>
      </c>
      <c r="O16" s="10">
        <f>-LN(N16)/F16</f>
        <v>1.4339161133310749E-3</v>
      </c>
      <c r="Q16" t="s">
        <v>35</v>
      </c>
      <c r="R16" s="12" t="s">
        <v>39</v>
      </c>
      <c r="T16">
        <v>1.5</v>
      </c>
      <c r="U16" s="1">
        <f t="shared" si="5"/>
        <v>4.9873879338430756E-4</v>
      </c>
      <c r="V16" s="1">
        <f t="shared" si="3"/>
        <v>4.9805125696799788E-4</v>
      </c>
      <c r="W16" s="1">
        <f t="shared" si="6"/>
        <v>1.3864874686106961E-3</v>
      </c>
      <c r="X16" s="1">
        <f t="shared" si="4"/>
        <v>1.3785215737775801E-3</v>
      </c>
      <c r="Y16" s="1"/>
    </row>
    <row r="17" spans="1:25">
      <c r="B17" s="1"/>
      <c r="E17" s="10"/>
      <c r="F17" s="2">
        <f>4/12</f>
        <v>0.33333333333333331</v>
      </c>
      <c r="G17" s="2">
        <f>Interpolate_Range('試算番号4-1'!$G$10:$G$143,'試算番号4-1'!$I$10:$I$143,F17)</f>
        <v>0.99974339919420696</v>
      </c>
      <c r="H17" s="33">
        <f>Interpolate_Range('試算番号4-4'!$G$10:$G$137,'試算番号4-4'!$P$10:$P$137,F17)</f>
        <v>1.0006045220766724</v>
      </c>
      <c r="J17" s="2">
        <f>Interpolate_Range('試算番号4-3'!$G$10:$G$143,'試算番号4-3'!$I$10:$I$143,F17)</f>
        <v>0.9996401295533609</v>
      </c>
      <c r="K17" s="15">
        <f>Interpolate_Range('試算番号4-5'!$H$10:$H$137,'試算番号4-5'!$R$10:$R$137,F17)</f>
        <v>1.0004588551444245</v>
      </c>
      <c r="M17" s="42">
        <f t="shared" si="0"/>
        <v>0.99985442107342704</v>
      </c>
      <c r="N17" s="33">
        <f t="shared" si="1"/>
        <v>0.9994946030163413</v>
      </c>
      <c r="O17" s="10">
        <f t="shared" ref="O17:O80" si="7">-LN(N17)/F17</f>
        <v>1.5165742192832787E-3</v>
      </c>
      <c r="T17">
        <v>1.75</v>
      </c>
      <c r="U17" s="1">
        <f t="shared" si="5"/>
        <v>5.3770207964405137E-4</v>
      </c>
      <c r="V17" s="1">
        <f t="shared" si="3"/>
        <v>5.367951467196313E-4</v>
      </c>
      <c r="W17" s="1">
        <f t="shared" si="6"/>
        <v>1.3498044340599126E-3</v>
      </c>
      <c r="X17" s="1">
        <f t="shared" si="4"/>
        <v>1.3396670855623397E-3</v>
      </c>
      <c r="Y17" s="1"/>
    </row>
    <row r="18" spans="1:25">
      <c r="B18" s="1"/>
      <c r="E18" s="10"/>
      <c r="F18" s="2">
        <f>5/12</f>
        <v>0.41666666666666669</v>
      </c>
      <c r="G18" s="2">
        <f>Interpolate_Range('試算番号4-1'!$G$10:$G$143,'試算番号4-1'!$I$10:$I$143,F18)</f>
        <v>0.99967510559068307</v>
      </c>
      <c r="H18" s="33">
        <f>Interpolate_Range('試算番号4-4'!$G$10:$G$137,'試算番号4-4'!$P$10:$P$137,F18)</f>
        <v>1.0009142067566816</v>
      </c>
      <c r="J18" s="2">
        <f>Interpolate_Range('試算番号4-3'!$G$10:$G$143,'試算番号4-3'!$I$10:$I$143,F18)</f>
        <v>0.99954603950705723</v>
      </c>
      <c r="K18" s="15">
        <f>Interpolate_Range('試算番号4-5'!$H$10:$H$137,'試算番号4-5'!$R$10:$R$137,F18)</f>
        <v>1.0006225764567087</v>
      </c>
      <c r="M18" s="42">
        <f t="shared" si="0"/>
        <v>0.99970863606690341</v>
      </c>
      <c r="N18" s="33">
        <f t="shared" si="1"/>
        <v>0.99925480784167531</v>
      </c>
      <c r="O18" s="10">
        <f t="shared" si="7"/>
        <v>1.7891278848387211E-3</v>
      </c>
      <c r="P18" s="32"/>
      <c r="Q18" s="23" t="s">
        <v>43</v>
      </c>
      <c r="T18">
        <v>2</v>
      </c>
      <c r="U18" s="1">
        <f t="shared" si="5"/>
        <v>5.3770207964405137E-4</v>
      </c>
      <c r="V18" s="1">
        <f t="shared" si="3"/>
        <v>5.3661746728349106E-4</v>
      </c>
      <c r="W18" s="1">
        <f t="shared" si="6"/>
        <v>1.3498044340599126E-3</v>
      </c>
      <c r="X18" s="1">
        <f t="shared" si="4"/>
        <v>1.3370890911067667E-3</v>
      </c>
      <c r="Y18" s="1"/>
    </row>
    <row r="19" spans="1:25">
      <c r="B19" s="1"/>
      <c r="E19" s="10"/>
      <c r="F19" s="2">
        <f>6/12</f>
        <v>0.5</v>
      </c>
      <c r="G19" s="2">
        <f>Interpolate_Range('試算番号4-1'!$G$10:$G$143,'試算番号4-1'!$I$10:$I$143,F19)</f>
        <v>0.9996051559633945</v>
      </c>
      <c r="H19" s="33">
        <f>Interpolate_Range('試算番号4-4'!$G$10:$G$137,'試算番号4-4'!$P$10:$P$137,F19)</f>
        <v>1.0011232626568172</v>
      </c>
      <c r="I19" s="1">
        <f>'試算番号4-1'!$P$21</f>
        <v>2.0494556649236642E-3</v>
      </c>
      <c r="J19" s="2">
        <f>Interpolate_Range('試算番号4-3'!$G$10:$G$143,'試算番号4-3'!$I$10:$I$143,F19)</f>
        <v>0.99945529686320955</v>
      </c>
      <c r="K19" s="15">
        <f>Interpolate_Range('試算番号4-5'!$H$10:$H$137,'試算番号4-5'!$R$10:$R$137,F19)</f>
        <v>1.0007463858678973</v>
      </c>
      <c r="L19" s="1">
        <f>'試算番号4-3'!$O$21</f>
        <v>3.424670750897257E-3</v>
      </c>
      <c r="M19" s="42">
        <f t="shared" si="0"/>
        <v>0.9996235460677243</v>
      </c>
      <c r="N19" s="33">
        <f t="shared" si="1"/>
        <v>0.99907904798657166</v>
      </c>
      <c r="O19" s="10">
        <f t="shared" si="7"/>
        <v>1.8427527005662431E-3</v>
      </c>
      <c r="Q19" t="s">
        <v>45</v>
      </c>
      <c r="R19" s="34">
        <f>$R$10*SUM(V11:V50)</f>
        <v>101.04943935799729</v>
      </c>
      <c r="T19">
        <v>2.25</v>
      </c>
      <c r="U19" s="1">
        <f t="shared" si="5"/>
        <v>6.8874740834983883E-4</v>
      </c>
      <c r="V19" s="1">
        <f t="shared" si="3"/>
        <v>6.869981052300228E-4</v>
      </c>
      <c r="W19" s="1">
        <f t="shared" si="6"/>
        <v>2.377625070249871E-3</v>
      </c>
      <c r="X19" s="1">
        <f t="shared" si="4"/>
        <v>2.3479315347857029E-3</v>
      </c>
      <c r="Y19" s="1"/>
    </row>
    <row r="20" spans="1:25">
      <c r="B20" s="1"/>
      <c r="E20" s="10"/>
      <c r="F20" s="2">
        <f>9/12</f>
        <v>0.75</v>
      </c>
      <c r="G20" s="2">
        <f>Interpolate_Range('試算番号4-1'!$G$10:$G$143,'試算番号4-1'!$I$10:$I$143,F20)</f>
        <v>0.99939286883218437</v>
      </c>
      <c r="H20" s="33">
        <f>Interpolate_Range('試算番号4-4'!$G$10:$G$137,'試算番号4-4'!$P$10:$P$137,F20)</f>
        <v>1.0019671466086477</v>
      </c>
      <c r="I20" s="1">
        <f>'試算番号4-1'!$P$24</f>
        <v>1.7283236110221837E-3</v>
      </c>
      <c r="J20" s="2">
        <f>Interpolate_Range('試算番号4-3'!$G$10:$G$143,'試算番号4-3'!$I$10:$I$143,F20)</f>
        <v>0.99907086409639023</v>
      </c>
      <c r="K20" s="15">
        <f>Interpolate_Range('試算番号4-5'!$H$10:$H$137,'試算番号4-5'!$R$10:$R$137,F20)</f>
        <v>1.0012815202636205</v>
      </c>
      <c r="L20" s="1">
        <f>'試算番号4-3'!$O$24</f>
        <v>3.2925591495574927E-3</v>
      </c>
      <c r="M20" s="42">
        <f t="shared" si="0"/>
        <v>0.99931571973457622</v>
      </c>
      <c r="N20" s="33">
        <f t="shared" si="1"/>
        <v>0.99838721962032917</v>
      </c>
      <c r="O20" s="10">
        <f t="shared" si="7"/>
        <v>2.152109746605417E-3</v>
      </c>
      <c r="Q20" t="s">
        <v>46</v>
      </c>
      <c r="R20" s="34">
        <f>$R$14*$R$11*SUM(X11:X50)</f>
        <v>125.13302702394122</v>
      </c>
      <c r="T20">
        <v>2.5</v>
      </c>
      <c r="U20" s="1">
        <f t="shared" si="5"/>
        <v>6.8874740834983883E-4</v>
      </c>
      <c r="V20" s="1">
        <f t="shared" si="3"/>
        <v>6.8663809179436556E-4</v>
      </c>
      <c r="W20" s="1">
        <f t="shared" si="6"/>
        <v>2.377625070249871E-3</v>
      </c>
      <c r="X20" s="1">
        <f t="shared" si="4"/>
        <v>2.3403741428147887E-3</v>
      </c>
      <c r="Y20" s="1"/>
    </row>
    <row r="21" spans="1:25">
      <c r="B21" s="1"/>
      <c r="E21" s="10"/>
      <c r="F21" s="2">
        <v>1</v>
      </c>
      <c r="G21" s="2">
        <f>Interpolate_Range('試算番号4-1'!$G$10:$G$143,'試算番号4-1'!$I$10:$I$143,F21)</f>
        <v>0.99917068832868705</v>
      </c>
      <c r="H21" s="33">
        <f>Interpolate_Range('試算番号4-4'!$G$10:$G$137,'試算番号4-4'!$P$10:$P$137,F21)</f>
        <v>1.0029449264438099</v>
      </c>
      <c r="I21" s="1">
        <f>Interpolate_Range('試算番号4-1'!$G$27:$G$143,'試算番号4-1'!$P$27:$P$143,F21)</f>
        <v>1.7283236110221837E-3</v>
      </c>
      <c r="J21" s="2">
        <f>Interpolate_Range('試算番号4-3'!$G$10:$G$143,'試算番号4-3'!$I$10:$I$143,F21)</f>
        <v>0.99856207061830948</v>
      </c>
      <c r="K21" s="15">
        <f>Interpolate_Range('試算番号4-5'!$H$10:$H$137,'試算番号4-5'!$R$10:$R$137,F21)</f>
        <v>1.0018804523367553</v>
      </c>
      <c r="L21" s="1">
        <f>Interpolate_Range('試算番号4-3'!$G$27:$G$143,'試算番号4-3'!$O$27:$O$143,F21)</f>
        <v>3.2925591495574927E-3</v>
      </c>
      <c r="M21" s="42">
        <f t="shared" si="0"/>
        <v>0.99893865148624961</v>
      </c>
      <c r="N21" s="33">
        <f t="shared" si="1"/>
        <v>0.99750224824877121</v>
      </c>
      <c r="O21" s="10">
        <f t="shared" si="7"/>
        <v>2.5008763371786162E-3</v>
      </c>
      <c r="P21" s="32"/>
      <c r="Q21" t="s">
        <v>47</v>
      </c>
      <c r="R21" s="28">
        <f>R19-R20</f>
        <v>-24.083587665943938</v>
      </c>
      <c r="T21">
        <v>2.75</v>
      </c>
      <c r="U21" s="1">
        <f t="shared" si="5"/>
        <v>7.7260611477877861E-4</v>
      </c>
      <c r="V21" s="1">
        <f t="shared" si="3"/>
        <v>7.698361305618868E-4</v>
      </c>
      <c r="W21" s="1">
        <f t="shared" si="6"/>
        <v>2.3744026615322255E-3</v>
      </c>
      <c r="X21" s="1">
        <f t="shared" si="4"/>
        <v>2.3296228682890426E-3</v>
      </c>
      <c r="Y21" s="1"/>
    </row>
    <row r="22" spans="1:25">
      <c r="B22" s="1"/>
      <c r="E22" s="10"/>
      <c r="F22" s="13">
        <f>F21+1/4</f>
        <v>1.25</v>
      </c>
      <c r="G22" s="2">
        <f>Interpolate_Range('試算番号4-1'!$G$10:$G$143,'試算番号4-1'!$I$10:$I$143,F22)</f>
        <v>0.99891348658382184</v>
      </c>
      <c r="H22" s="33">
        <f>Interpolate_Range('試算番号4-4'!$G$10:$G$137,'試算番号4-4'!$P$10:$P$137,F22)</f>
        <v>1.0045700763599279</v>
      </c>
      <c r="I22" s="1">
        <f>Interpolate_Range('試算番号4-1'!$G$27:$G$143,'試算番号4-1'!$P$27:$P$143,F22)</f>
        <v>1.9949551735372302E-3</v>
      </c>
      <c r="J22" s="2">
        <f>Interpolate_Range('試算番号4-3'!$G$10:$G$143,'試算番号4-3'!$I$10:$I$143,F22)</f>
        <v>0.99794100868061397</v>
      </c>
      <c r="K22" s="15">
        <f>Interpolate_Range('試算番号4-5'!$H$10:$H$137,'試算番号4-5'!$R$10:$R$137,F22)</f>
        <v>1.0025731565981735</v>
      </c>
      <c r="L22" s="1">
        <f>Interpolate_Range('試算番号4-3'!$G$27:$G$143,'試算番号4-3'!$O$27:$O$143,F22)</f>
        <v>5.5459498744427843E-3</v>
      </c>
      <c r="M22" s="42">
        <f t="shared" si="0"/>
        <v>0.99801216479691468</v>
      </c>
      <c r="N22" s="33">
        <f t="shared" si="1"/>
        <v>0.99595726641295612</v>
      </c>
      <c r="O22" s="10">
        <f t="shared" si="7"/>
        <v>3.2407420206951665E-3</v>
      </c>
      <c r="P22" s="32"/>
      <c r="T22">
        <v>3</v>
      </c>
      <c r="U22" s="1">
        <f t="shared" si="5"/>
        <v>7.7260611477877861E-4</v>
      </c>
      <c r="V22" s="1">
        <f t="shared" si="3"/>
        <v>7.6943228355147452E-4</v>
      </c>
      <c r="W22" s="1">
        <f t="shared" si="6"/>
        <v>2.3744026615322255E-3</v>
      </c>
      <c r="X22" s="1">
        <f t="shared" si="4"/>
        <v>2.3217928696561375E-3</v>
      </c>
      <c r="Y22" s="1"/>
    </row>
    <row r="23" spans="1:25">
      <c r="B23" s="1"/>
      <c r="E23" s="10"/>
      <c r="F23" s="13">
        <f t="shared" ref="F23:F25" si="8">F22+1/4</f>
        <v>1.5</v>
      </c>
      <c r="G23" s="2">
        <f>Interpolate_Range('試算番号4-1'!$G$10:$G$143,'試算番号4-1'!$I$10:$I$143,F23)</f>
        <v>0.99862144989435397</v>
      </c>
      <c r="H23" s="33">
        <f>Interpolate_Range('試算番号4-4'!$G$10:$G$137,'試算番号4-4'!$P$10:$P$137,F23)</f>
        <v>1.0063000506466069</v>
      </c>
      <c r="I23" s="1">
        <f>Interpolate_Range('試算番号4-1'!$G$27:$G$143,'試算番号4-1'!$P$27:$P$143,F23)</f>
        <v>1.9949551735372302E-3</v>
      </c>
      <c r="J23" s="2">
        <f>Interpolate_Range('試算番号4-3'!$G$10:$G$143,'試算番号4-3'!$I$10:$I$143,F23)</f>
        <v>0.9972156853990749</v>
      </c>
      <c r="K23" s="15">
        <f>Interpolate_Range('試算番号4-5'!$H$10:$H$137,'試算番号4-5'!$R$10:$R$137,F23)</f>
        <v>1.0033120125905564</v>
      </c>
      <c r="L23" s="1">
        <f>Interpolate_Range('試算番号4-3'!$G$27:$G$143,'試算番号4-3'!$O$27:$O$143,F23)</f>
        <v>5.5459498744427843E-3</v>
      </c>
      <c r="M23" s="42">
        <f t="shared" si="0"/>
        <v>0.9970306688803896</v>
      </c>
      <c r="N23" s="33">
        <f t="shared" si="1"/>
        <v>0.99425462183145585</v>
      </c>
      <c r="O23" s="10">
        <f t="shared" si="7"/>
        <v>3.8412975629745385E-3</v>
      </c>
      <c r="P23" s="32"/>
      <c r="T23">
        <v>3.25</v>
      </c>
      <c r="U23" s="1">
        <f t="shared" si="5"/>
        <v>9.4671811322275294E-4</v>
      </c>
      <c r="V23" s="1">
        <f t="shared" si="3"/>
        <v>9.4210323325880812E-4</v>
      </c>
      <c r="W23" s="1">
        <f t="shared" si="6"/>
        <v>3.7404041008779376E-3</v>
      </c>
      <c r="X23" s="1">
        <f t="shared" si="4"/>
        <v>3.6396361487946627E-3</v>
      </c>
      <c r="Y23" s="1"/>
    </row>
    <row r="24" spans="1:25">
      <c r="B24" s="1"/>
      <c r="E24" s="10"/>
      <c r="F24" s="13">
        <f t="shared" si="8"/>
        <v>1.75</v>
      </c>
      <c r="G24" s="2">
        <f>Interpolate_Range('試算番号4-1'!$G$10:$G$143,'試算番号4-1'!$I$10:$I$143,F24)</f>
        <v>0.99831331706021953</v>
      </c>
      <c r="H24" s="33">
        <f>Interpolate_Range('試算番号4-4'!$G$10:$G$137,'試算番号4-4'!$P$10:$P$137,F24)</f>
        <v>1.0083191825305642</v>
      </c>
      <c r="I24" s="1">
        <f>Interpolate_Range('試算番号4-1'!$G$27:$G$143,'試算番号4-1'!$P$27:$P$143,F24)</f>
        <v>2.1508083185762055E-3</v>
      </c>
      <c r="J24" s="2">
        <f>Interpolate_Range('試算番号4-3'!$G$10:$G$143,'試算番号4-3'!$I$10:$I$143,F24)</f>
        <v>0.99649966535907009</v>
      </c>
      <c r="K24" s="15">
        <f>Interpolate_Range('試算番号4-5'!$H$10:$H$137,'試算番号4-5'!$R$10:$R$137,F24)</f>
        <v>1.0042617206086335</v>
      </c>
      <c r="L24" s="1">
        <f>Interpolate_Range('試算番号4-3'!$G$27:$G$143,'試算番号4-3'!$O$27:$O$143,F24)</f>
        <v>5.3992177362396504E-3</v>
      </c>
      <c r="M24" s="42">
        <f t="shared" si="0"/>
        <v>0.99597601434919869</v>
      </c>
      <c r="N24" s="33">
        <f t="shared" si="1"/>
        <v>0.99248976500463693</v>
      </c>
      <c r="O24" s="10">
        <f t="shared" si="7"/>
        <v>4.307759321063657E-3</v>
      </c>
      <c r="P24" s="32"/>
      <c r="T24">
        <v>3.5</v>
      </c>
      <c r="U24" s="1">
        <f t="shared" si="5"/>
        <v>9.4671811322275294E-4</v>
      </c>
      <c r="V24" s="1">
        <f t="shared" si="3"/>
        <v>9.4137742879365246E-4</v>
      </c>
      <c r="W24" s="1">
        <f t="shared" si="6"/>
        <v>3.7404041008779376E-3</v>
      </c>
      <c r="X24" s="1">
        <f t="shared" si="4"/>
        <v>3.6214095697299511E-3</v>
      </c>
      <c r="Y24" s="1"/>
    </row>
    <row r="25" spans="1:25">
      <c r="B25" s="1"/>
      <c r="E25" s="10"/>
      <c r="F25" s="13">
        <f t="shared" si="8"/>
        <v>2</v>
      </c>
      <c r="G25" s="2">
        <f>Interpolate_Range('試算番号4-1'!$G$10:$G$143,'試算番号4-1'!$I$10:$I$143,F25)</f>
        <v>0.99798287490113791</v>
      </c>
      <c r="H25" s="33">
        <f>Interpolate_Range('試算番号4-4'!$G$10:$G$137,'試算番号4-4'!$P$10:$P$137,F25)</f>
        <v>1.0102474808380415</v>
      </c>
      <c r="I25" s="1">
        <f>Interpolate_Range('試算番号4-1'!$G$27:$G$143,'試算番号4-1'!$P$27:$P$143,F25)</f>
        <v>2.1508083185762055E-3</v>
      </c>
      <c r="J25" s="2">
        <f>Interpolate_Range('試算番号4-3'!$G$10:$G$143,'試算番号4-3'!$I$10:$I$143,F25)</f>
        <v>0.99523482541847219</v>
      </c>
      <c r="K25" s="15">
        <f>Interpolate_Range('試算番号4-5'!$H$10:$H$137,'試算番号4-5'!$R$10:$R$137,F25)</f>
        <v>1.0055223002756621</v>
      </c>
      <c r="L25" s="1">
        <f>Interpolate_Range('試算番号4-3'!$G$27:$G$143,'試算番号4-3'!$O$27:$O$143,F25)</f>
        <v>5.3992177362396504E-3</v>
      </c>
      <c r="M25" s="42">
        <f t="shared" si="0"/>
        <v>0.99532274947277311</v>
      </c>
      <c r="N25" s="33">
        <f t="shared" si="1"/>
        <v>0.99057986280656907</v>
      </c>
      <c r="O25" s="10">
        <f t="shared" si="7"/>
        <v>4.7323936569389673E-3</v>
      </c>
      <c r="P25" s="32"/>
      <c r="T25">
        <v>3.75</v>
      </c>
      <c r="U25" s="1">
        <f t="shared" si="5"/>
        <v>1.0566394099160105E-3</v>
      </c>
      <c r="V25" s="1">
        <f t="shared" si="3"/>
        <v>1.0498685547311783E-3</v>
      </c>
      <c r="W25" s="1">
        <f t="shared" si="6"/>
        <v>3.7498143965345432E-3</v>
      </c>
      <c r="X25" s="1">
        <f t="shared" si="4"/>
        <v>3.6123791199219268E-3</v>
      </c>
      <c r="Y25" s="1"/>
    </row>
    <row r="26" spans="1:25">
      <c r="B26" s="1"/>
      <c r="E26" s="10"/>
      <c r="F26" s="13">
        <f>F25+0.25</f>
        <v>2.25</v>
      </c>
      <c r="G26" s="2">
        <f>Interpolate_Range('試算番号4-1'!$G$10:$G$143,'試算番号4-1'!$I$10:$I$143,F26)</f>
        <v>0.99746016740156285</v>
      </c>
      <c r="H26" s="33">
        <f>Interpolate_Range('試算番号4-4'!$G$10:$G$137,'試算番号4-4'!$P$10:$P$137,F26)</f>
        <v>1.012168675974513</v>
      </c>
      <c r="I26" s="1">
        <f>Interpolate_Range('試算番号4-1'!$G$27:$G$143,'試算番号4-1'!$P$27:$P$143,F26)</f>
        <v>2.7549896333993553E-3</v>
      </c>
      <c r="J26" s="2">
        <f>Interpolate_Range('試算番号4-3'!$G$10:$G$143,'試算番号4-3'!$I$10:$I$143,F26)</f>
        <v>0.99348137636268741</v>
      </c>
      <c r="K26" s="15">
        <f>Interpolate_Range('試算番号4-5'!$H$10:$H$137,'試算番号4-5'!$R$10:$R$137,F26)</f>
        <v>1.0060862647434452</v>
      </c>
      <c r="L26" s="1">
        <f>Interpolate_Range('試算番号4-3'!$G$27:$G$143,'試算番号4-3'!$O$27:$O$143,F26)</f>
        <v>9.510500280999484E-3</v>
      </c>
      <c r="M26" s="42">
        <f t="shared" si="0"/>
        <v>0.99399071382523108</v>
      </c>
      <c r="N26" s="33">
        <f t="shared" si="1"/>
        <v>0.98751126246282073</v>
      </c>
      <c r="O26" s="10">
        <f t="shared" si="7"/>
        <v>5.5855009983358603E-3</v>
      </c>
      <c r="P26" s="32"/>
      <c r="T26">
        <v>4</v>
      </c>
      <c r="U26" s="1">
        <f t="shared" si="5"/>
        <v>1.0566394099160105E-3</v>
      </c>
      <c r="V26" s="1">
        <f t="shared" si="3"/>
        <v>1.0490584787528432E-3</v>
      </c>
      <c r="W26" s="1">
        <f t="shared" si="6"/>
        <v>3.7498143965345432E-3</v>
      </c>
      <c r="X26" s="1">
        <f t="shared" si="4"/>
        <v>3.5939259607327399E-3</v>
      </c>
      <c r="Y26" s="1"/>
    </row>
    <row r="27" spans="1:25">
      <c r="B27" s="1"/>
      <c r="E27" s="10"/>
      <c r="F27" s="13">
        <f t="shared" ref="F27:F90" si="9">F26+0.25</f>
        <v>2.5</v>
      </c>
      <c r="G27" s="2">
        <f>Interpolate_Range('試算番号4-1'!$G$10:$G$143,'試算番号4-1'!$I$10:$I$143,F27)</f>
        <v>0.9969374599019879</v>
      </c>
      <c r="H27" s="33">
        <f>Interpolate_Range('試算番号4-4'!$G$10:$G$137,'試算番号4-4'!$P$10:$P$137,F27)</f>
        <v>1.0142428034024769</v>
      </c>
      <c r="I27" s="1">
        <f>Interpolate_Range('試算番号4-1'!$G$27:$G$143,'試算番号4-1'!$P$27:$P$143,F27)</f>
        <v>2.7549896333993553E-3</v>
      </c>
      <c r="J27" s="2">
        <f>Interpolate_Range('試算番号4-3'!$G$10:$G$143,'試算番号4-3'!$I$10:$I$143,F27)</f>
        <v>0.99172792730690273</v>
      </c>
      <c r="K27" s="15">
        <f>Interpolate_Range('試算番号4-5'!$H$10:$H$137,'試算番号4-5'!$R$10:$R$137,F27)</f>
        <v>1.0066797009301036</v>
      </c>
      <c r="L27" s="1">
        <f>Interpolate_Range('試算番号4-3'!$G$27:$G$143,'試算番号4-3'!$O$27:$O$143,F27)</f>
        <v>9.510500280999484E-3</v>
      </c>
      <c r="M27" s="42">
        <f t="shared" si="0"/>
        <v>0.99254310462248163</v>
      </c>
      <c r="N27" s="33">
        <f t="shared" si="1"/>
        <v>0.98433271591001203</v>
      </c>
      <c r="O27" s="10">
        <f t="shared" si="7"/>
        <v>6.3165252627050191E-3</v>
      </c>
      <c r="P27" s="32"/>
      <c r="T27">
        <v>4.25</v>
      </c>
      <c r="U27" s="1">
        <f t="shared" si="5"/>
        <v>1.4997779370337515E-3</v>
      </c>
      <c r="V27" s="1">
        <f t="shared" si="3"/>
        <v>1.4873714122842817E-3</v>
      </c>
      <c r="W27" s="1">
        <f t="shared" si="6"/>
        <v>4.8981334633741149E-3</v>
      </c>
      <c r="X27" s="1">
        <f t="shared" si="4"/>
        <v>4.6660804330214394E-3</v>
      </c>
      <c r="Y27" s="1"/>
    </row>
    <row r="28" spans="1:25">
      <c r="B28" s="1"/>
      <c r="E28" s="10"/>
      <c r="F28" s="13">
        <f t="shared" si="9"/>
        <v>2.75</v>
      </c>
      <c r="G28" s="2">
        <f>Interpolate_Range('試算番号4-1'!$G$10:$G$143,'試算番号4-1'!$I$10:$I$143,F28)</f>
        <v>0.99641475240241284</v>
      </c>
      <c r="H28" s="33">
        <f>Interpolate_Range('試算番号4-4'!$G$10:$G$137,'試算番号4-4'!$P$10:$P$137,F28)</f>
        <v>1.017124412419568</v>
      </c>
      <c r="I28" s="1">
        <f>Interpolate_Range('試算番号4-1'!$G$27:$G$143,'試算番号4-1'!$P$27:$P$143,F28)</f>
        <v>3.0904244591151145E-3</v>
      </c>
      <c r="J28" s="2">
        <f>Interpolate_Range('試算番号4-3'!$G$10:$G$143,'試算番号4-3'!$I$10:$I$143,F28)</f>
        <v>0.98997447825111806</v>
      </c>
      <c r="K28" s="15">
        <f>Interpolate_Range('試算番号4-5'!$H$10:$H$137,'試算番号4-5'!$R$10:$R$137,F28)</f>
        <v>1.0080482731498301</v>
      </c>
      <c r="L28" s="1">
        <f>Interpolate_Range('試算番号4-3'!$G$27:$G$143,'試算番号4-3'!$O$27:$O$143,F28)</f>
        <v>9.4976106461289022E-3</v>
      </c>
      <c r="M28" s="42">
        <f t="shared" si="0"/>
        <v>0.99107666755520374</v>
      </c>
      <c r="N28" s="33">
        <f t="shared" si="1"/>
        <v>0.98114060686981963</v>
      </c>
      <c r="O28" s="10">
        <f t="shared" si="7"/>
        <v>6.9234543800108343E-3</v>
      </c>
      <c r="P28" s="32"/>
      <c r="T28">
        <v>4.5</v>
      </c>
      <c r="U28" s="1">
        <f t="shared" si="5"/>
        <v>1.4997779370337515E-3</v>
      </c>
      <c r="V28" s="1">
        <f t="shared" si="3"/>
        <v>1.4857251461376914E-3</v>
      </c>
      <c r="W28" s="1">
        <f t="shared" si="6"/>
        <v>4.8981334633741149E-3</v>
      </c>
      <c r="X28" s="1">
        <f t="shared" si="4"/>
        <v>4.6374011732138792E-3</v>
      </c>
      <c r="Y28" s="1"/>
    </row>
    <row r="29" spans="1:25">
      <c r="B29" s="1"/>
      <c r="E29" s="10"/>
      <c r="F29" s="13">
        <f t="shared" si="9"/>
        <v>3</v>
      </c>
      <c r="G29" s="2">
        <f>Interpolate_Range('試算番号4-1'!$G$10:$G$143,'試算番号4-1'!$I$10:$I$143,F29)</f>
        <v>0.99589204490283789</v>
      </c>
      <c r="H29" s="33">
        <f>Interpolate_Range('試算番号4-4'!$G$10:$G$137,'試算番号4-4'!$P$10:$P$137,F29)</f>
        <v>1.0201593555924442</v>
      </c>
      <c r="I29" s="1">
        <f>Interpolate_Range('試算番号4-1'!$G$27:$G$143,'試算番号4-1'!$P$27:$P$143,F29)</f>
        <v>3.0904244591151145E-3</v>
      </c>
      <c r="J29" s="2">
        <f>Interpolate_Range('試算番号4-3'!$G$10:$G$143,'試算番号4-3'!$I$10:$I$143,F29)</f>
        <v>0.98822102919533328</v>
      </c>
      <c r="K29" s="15">
        <f>Interpolate_Range('試算番号4-5'!$H$10:$H$137,'試算番号4-5'!$R$10:$R$137,F29)</f>
        <v>1.0094458526260259</v>
      </c>
      <c r="L29" s="1">
        <f>Interpolate_Range('試算番号4-3'!$G$27:$G$143,'試算番号4-3'!$O$27:$O$143,F29)</f>
        <v>9.4976106461289022E-3</v>
      </c>
      <c r="M29" s="42">
        <f t="shared" si="0"/>
        <v>0.98949820642462616</v>
      </c>
      <c r="N29" s="33">
        <f t="shared" si="1"/>
        <v>0.97784293593988036</v>
      </c>
      <c r="O29" s="10">
        <f t="shared" si="7"/>
        <v>7.4687396809723257E-3</v>
      </c>
      <c r="P29" s="32"/>
      <c r="T29">
        <v>4.75</v>
      </c>
      <c r="U29" s="1">
        <f t="shared" si="5"/>
        <v>1.6848094544357976E-3</v>
      </c>
      <c r="V29" s="1">
        <f t="shared" si="3"/>
        <v>1.6671735637628781E-3</v>
      </c>
      <c r="W29" s="1">
        <f t="shared" si="6"/>
        <v>4.904432889833066E-3</v>
      </c>
      <c r="X29" s="1">
        <f t="shared" si="4"/>
        <v>4.6154365914459561E-3</v>
      </c>
      <c r="Y29" s="1"/>
    </row>
    <row r="30" spans="1:25">
      <c r="B30" s="1"/>
      <c r="E30" s="10"/>
      <c r="F30" s="13">
        <f t="shared" si="9"/>
        <v>3.25</v>
      </c>
      <c r="G30" s="2">
        <f>Interpolate_Range('試算番号4-1'!$G$10:$G$143,'試算番号4-1'!$I$10:$I$143,F30)</f>
        <v>0.99512539170901126</v>
      </c>
      <c r="H30" s="33">
        <f>Interpolate_Range('試算番号4-4'!$G$10:$G$137,'試算番号4-4'!$P$10:$P$137,F30)</f>
        <v>1.0224949887781341</v>
      </c>
      <c r="I30" s="1">
        <f>Interpolate_Range('試算番号4-1'!$G$27:$G$143,'試算番号4-1'!$P$27:$P$143,F30)</f>
        <v>3.7868724528910117E-3</v>
      </c>
      <c r="J30" s="2">
        <f>Interpolate_Range('試算番号4-3'!$G$10:$G$143,'試算番号4-3'!$I$10:$I$143,F30)</f>
        <v>0.98514968247383694</v>
      </c>
      <c r="K30" s="15">
        <f>Interpolate_Range('試算番号4-5'!$H$10:$H$137,'試算番号4-5'!$R$10:$R$137,F30)</f>
        <v>1.0099466008423748</v>
      </c>
      <c r="L30" s="1">
        <f>Interpolate_Range('試算番号4-3'!$G$27:$G$143,'試算番号4-3'!$O$27:$O$143,F30)</f>
        <v>1.4961616403511751E-2</v>
      </c>
      <c r="M30" s="42">
        <f t="shared" si="0"/>
        <v>0.98772767781409432</v>
      </c>
      <c r="N30" s="33">
        <f t="shared" si="1"/>
        <v>0.97305960816917536</v>
      </c>
      <c r="O30" s="10">
        <f t="shared" si="7"/>
        <v>8.4030573608195984E-3</v>
      </c>
      <c r="P30" s="32"/>
      <c r="T30">
        <v>5</v>
      </c>
      <c r="U30" s="1">
        <f t="shared" si="5"/>
        <v>1.6848094544357976E-3</v>
      </c>
      <c r="V30" s="1">
        <f t="shared" si="3"/>
        <v>1.6653241934662469E-3</v>
      </c>
      <c r="W30" s="1">
        <f t="shared" si="6"/>
        <v>4.904432889833066E-3</v>
      </c>
      <c r="X30" s="1">
        <f t="shared" si="4"/>
        <v>4.5872753041163042E-3</v>
      </c>
      <c r="Y30" s="1"/>
    </row>
    <row r="31" spans="1:25">
      <c r="B31" s="1"/>
      <c r="E31" s="10"/>
      <c r="F31" s="13">
        <f t="shared" si="9"/>
        <v>3.5</v>
      </c>
      <c r="G31" s="2">
        <f>Interpolate_Range('試算番号4-1'!$G$10:$G$143,'試算番号4-1'!$I$10:$I$143,F31)</f>
        <v>0.99435873851518475</v>
      </c>
      <c r="H31" s="33">
        <f>Interpolate_Range('試算番号4-4'!$G$10:$G$137,'試算番号4-4'!$P$10:$P$137,F31)</f>
        <v>1.0249343813500573</v>
      </c>
      <c r="I31" s="1">
        <f>Interpolate_Range('試算番号4-1'!$G$27:$G$143,'試算番号4-1'!$P$27:$P$143,F31)</f>
        <v>3.7868724528910117E-3</v>
      </c>
      <c r="J31" s="2">
        <f>Interpolate_Range('試算番号4-3'!$G$10:$G$143,'試算番号4-3'!$I$10:$I$143,F31)</f>
        <v>0.9820783357523406</v>
      </c>
      <c r="K31" s="15">
        <f>Interpolate_Range('試算番号4-5'!$H$10:$H$137,'試算番号4-5'!$R$10:$R$137,F31)</f>
        <v>1.0104365594162514</v>
      </c>
      <c r="L31" s="1">
        <f>Interpolate_Range('試算番号4-3'!$G$27:$G$143,'試算番号4-3'!$O$27:$O$143,F31)</f>
        <v>1.4961616403511751E-2</v>
      </c>
      <c r="M31" s="42">
        <f t="shared" si="0"/>
        <v>0.98585487793403015</v>
      </c>
      <c r="N31" s="33">
        <f t="shared" si="1"/>
        <v>0.96818671781477927</v>
      </c>
      <c r="O31" s="10">
        <f t="shared" si="7"/>
        <v>9.237234286279674E-3</v>
      </c>
      <c r="P31" s="32"/>
      <c r="T31">
        <v>5.25</v>
      </c>
      <c r="U31" s="1">
        <f t="shared" si="5"/>
        <v>2.184352862775235E-3</v>
      </c>
      <c r="V31" s="1">
        <f t="shared" si="3"/>
        <v>2.1550598337698366E-3</v>
      </c>
      <c r="W31" s="1">
        <f t="shared" si="6"/>
        <v>5.760457219265434E-3</v>
      </c>
      <c r="X31" s="1">
        <f t="shared" si="4"/>
        <v>5.3500404616048857E-3</v>
      </c>
      <c r="Y31" s="1"/>
    </row>
    <row r="32" spans="1:25">
      <c r="A32" s="2"/>
      <c r="B32" s="10"/>
      <c r="E32" s="10"/>
      <c r="F32" s="13">
        <f t="shared" si="9"/>
        <v>3.75</v>
      </c>
      <c r="G32" s="2">
        <f>Interpolate_Range('試算番号4-1'!$G$10:$G$143,'試算番号4-1'!$I$10:$I$143,F32)</f>
        <v>0.99359208532135823</v>
      </c>
      <c r="H32" s="33">
        <f>Interpolate_Range('試算番号4-4'!$G$10:$G$137,'試算番号4-4'!$P$10:$P$137,F32)</f>
        <v>1.0283629147831677</v>
      </c>
      <c r="I32" s="1">
        <f>Interpolate_Range('試算番号4-1'!$G$27:$G$143,'試算番号4-1'!$P$27:$P$143,F32)</f>
        <v>4.2265576396640419E-3</v>
      </c>
      <c r="J32" s="2">
        <f>Interpolate_Range('試算番号4-3'!$G$10:$G$143,'試算番号4-3'!$I$10:$I$143,F32)</f>
        <v>0.97900698903084415</v>
      </c>
      <c r="K32" s="15">
        <f>Interpolate_Range('試算番号4-5'!$H$10:$H$137,'試算番号4-5'!$R$10:$R$137,F32)</f>
        <v>1.0119153073471174</v>
      </c>
      <c r="L32" s="1">
        <f>Interpolate_Range('試算番号4-3'!$G$27:$G$143,'試算番号4-3'!$O$27:$O$143,F32)</f>
        <v>1.4999257586138173E-2</v>
      </c>
      <c r="M32" s="42">
        <f t="shared" si="0"/>
        <v>0.98400602822251881</v>
      </c>
      <c r="N32" s="33">
        <f t="shared" si="1"/>
        <v>0.96334877887832804</v>
      </c>
      <c r="O32" s="10">
        <f t="shared" si="7"/>
        <v>9.9572675292246195E-3</v>
      </c>
      <c r="P32" s="32"/>
      <c r="T32">
        <v>5.5</v>
      </c>
      <c r="U32" s="1">
        <f t="shared" si="5"/>
        <v>2.184352862775235E-3</v>
      </c>
      <c r="V32" s="1">
        <f t="shared" si="3"/>
        <v>2.1510294156007561E-3</v>
      </c>
      <c r="W32" s="1">
        <f t="shared" si="6"/>
        <v>5.760457219265434E-3</v>
      </c>
      <c r="X32" s="1">
        <f t="shared" si="4"/>
        <v>5.3120479226430569E-3</v>
      </c>
      <c r="Y32" s="1"/>
    </row>
    <row r="33" spans="1:25">
      <c r="A33" s="2"/>
      <c r="B33" s="10"/>
      <c r="E33" s="10"/>
      <c r="F33" s="13">
        <f t="shared" si="9"/>
        <v>4</v>
      </c>
      <c r="G33" s="2">
        <f>Interpolate_Range('試算番号4-1'!$G$10:$G$143,'試算番号4-1'!$I$10:$I$143,F33)</f>
        <v>0.9928254321275316</v>
      </c>
      <c r="H33" s="33">
        <f>Interpolate_Range('試算番号4-4'!$G$10:$G$137,'試算番号4-4'!$P$10:$P$137,F33)</f>
        <v>1.0318930345031341</v>
      </c>
      <c r="I33" s="1">
        <f>Interpolate_Range('試算番号4-1'!$G$27:$G$143,'試算番号4-1'!$P$27:$P$143,F33)</f>
        <v>4.2265576396640419E-3</v>
      </c>
      <c r="J33" s="2">
        <f>Interpolate_Range('試算番号4-3'!$G$10:$G$143,'試算番号4-3'!$I$10:$I$143,F33)</f>
        <v>0.97593564230934782</v>
      </c>
      <c r="K33" s="15">
        <f>Interpolate_Range('試算番号4-5'!$H$10:$H$137,'試算番号4-5'!$R$10:$R$137,F33)</f>
        <v>1.0133812287041277</v>
      </c>
      <c r="L33" s="1">
        <f>Interpolate_Range('試算番号4-3'!$G$27:$G$143,'試算番号4-3'!$O$27:$O$143,F33)</f>
        <v>1.4999257586138173E-2</v>
      </c>
      <c r="M33" s="42">
        <f t="shared" si="0"/>
        <v>0.98206034426046884</v>
      </c>
      <c r="N33" s="33">
        <f t="shared" si="1"/>
        <v>0.95842769286237994</v>
      </c>
      <c r="O33" s="10">
        <f t="shared" si="7"/>
        <v>1.06152892871515E-2</v>
      </c>
      <c r="P33" s="32"/>
      <c r="T33">
        <v>5.75</v>
      </c>
      <c r="U33" s="1">
        <f t="shared" si="5"/>
        <v>2.4292167830201844E-3</v>
      </c>
      <c r="V33" s="1">
        <f t="shared" si="3"/>
        <v>2.3876755841829396E-3</v>
      </c>
      <c r="W33" s="1">
        <f t="shared" si="6"/>
        <v>5.7742319921046288E-3</v>
      </c>
      <c r="X33" s="1">
        <f t="shared" si="4"/>
        <v>5.2881048283709084E-3</v>
      </c>
      <c r="Y33" s="1"/>
    </row>
    <row r="34" spans="1:25">
      <c r="B34" s="10"/>
      <c r="E34" s="10"/>
      <c r="F34" s="13">
        <f t="shared" si="9"/>
        <v>4.25</v>
      </c>
      <c r="G34" s="2">
        <f>Interpolate_Range('試算番号4-1'!$G$10:$G$143,'試算番号4-1'!$I$10:$I$143,F34)</f>
        <v>0.99172775886141706</v>
      </c>
      <c r="H34" s="33">
        <f>Interpolate_Range('試算番号4-4'!$G$10:$G$137,'試算番号4-4'!$P$10:$P$137,F34)</f>
        <v>1.0342812348953441</v>
      </c>
      <c r="I34" s="1">
        <f>Interpolate_Range('試算番号4-1'!$G$27:$G$143,'試算番号4-1'!$P$27:$P$143,F34)</f>
        <v>5.9991117481350059E-3</v>
      </c>
      <c r="J34" s="2">
        <f>Interpolate_Range('試算番号4-3'!$G$10:$G$143,'試算番号4-3'!$I$10:$I$143,F34)</f>
        <v>0.97178523962087793</v>
      </c>
      <c r="K34" s="15">
        <f>Interpolate_Range('試算番号4-5'!$H$10:$H$137,'試算番号4-5'!$R$10:$R$137,F34)</f>
        <v>1.0138879307453641</v>
      </c>
      <c r="L34" s="1">
        <f>Interpolate_Range('試算番号4-3'!$G$27:$G$143,'試算番号4-3'!$O$27:$O$143,F34)</f>
        <v>1.959253385349646E-2</v>
      </c>
      <c r="M34" s="42">
        <f t="shared" si="0"/>
        <v>0.9802826315880675</v>
      </c>
      <c r="N34" s="33">
        <f t="shared" si="1"/>
        <v>0.95262419203399495</v>
      </c>
      <c r="O34" s="10">
        <f t="shared" si="7"/>
        <v>1.1419951798395962E-2</v>
      </c>
      <c r="P34" s="32"/>
      <c r="T34">
        <v>6</v>
      </c>
      <c r="U34" s="1">
        <f t="shared" si="5"/>
        <v>2.4292167830201844E-3</v>
      </c>
      <c r="V34" s="1">
        <f t="shared" si="3"/>
        <v>2.3831933598931882E-3</v>
      </c>
      <c r="W34" s="1">
        <f t="shared" si="6"/>
        <v>5.7742319921046288E-3</v>
      </c>
      <c r="X34" s="1">
        <f t="shared" si="4"/>
        <v>5.2513733164973138E-3</v>
      </c>
      <c r="Y34" s="1"/>
    </row>
    <row r="35" spans="1:25">
      <c r="E35" s="10"/>
      <c r="F35" s="13">
        <f t="shared" si="9"/>
        <v>4.5</v>
      </c>
      <c r="G35" s="2">
        <f>Interpolate_Range('試算番号4-1'!$G$10:$G$143,'試算番号4-1'!$I$10:$I$143,F35)</f>
        <v>0.99063008559530252</v>
      </c>
      <c r="H35" s="33">
        <f>Interpolate_Range('試算番号4-4'!$G$10:$G$137,'試算番号4-4'!$P$10:$P$137,F35)</f>
        <v>1.0367147322188641</v>
      </c>
      <c r="I35" s="1">
        <f>Interpolate_Range('試算番号4-1'!$G$27:$G$143,'試算番号4-1'!$P$27:$P$143,F35)</f>
        <v>5.9991117481350059E-3</v>
      </c>
      <c r="J35" s="2">
        <f>Interpolate_Range('試算番号4-3'!$G$10:$G$143,'試算番号4-3'!$I$10:$I$143,F35)</f>
        <v>0.96763483693240804</v>
      </c>
      <c r="K35" s="15">
        <f>Interpolate_Range('試算番号4-5'!$H$10:$H$137,'試算番号4-5'!$R$10:$R$137,F35)</f>
        <v>1.0143593287786419</v>
      </c>
      <c r="L35" s="1">
        <f>Interpolate_Range('試算番号4-3'!$G$27:$G$143,'試算番号4-3'!$O$27:$O$143,F35)</f>
        <v>1.959253385349646E-2</v>
      </c>
      <c r="M35" s="42">
        <f t="shared" si="0"/>
        <v>0.97843630195900144</v>
      </c>
      <c r="N35" s="33">
        <f t="shared" si="1"/>
        <v>0.94676905149484669</v>
      </c>
      <c r="O35" s="10">
        <f t="shared" si="7"/>
        <v>1.2155575412354134E-2</v>
      </c>
      <c r="P35" s="32"/>
      <c r="T35">
        <v>6.25</v>
      </c>
      <c r="U35" s="1">
        <f t="shared" si="5"/>
        <v>2.912879289312421E-3</v>
      </c>
      <c r="V35" s="1">
        <f t="shared" si="3"/>
        <v>2.849426211797971E-3</v>
      </c>
      <c r="W35" s="1">
        <f t="shared" si="6"/>
        <v>6.3781434639120357E-3</v>
      </c>
      <c r="X35" s="1">
        <f t="shared" si="4"/>
        <v>5.7550050652054648E-3</v>
      </c>
      <c r="Y35" s="1"/>
    </row>
    <row r="36" spans="1:25">
      <c r="E36" s="10"/>
      <c r="F36" s="13">
        <f t="shared" si="9"/>
        <v>4.75</v>
      </c>
      <c r="G36" s="2">
        <f>Interpolate_Range('試算番号4-1'!$G$10:$G$143,'試算番号4-1'!$I$10:$I$143,F36)</f>
        <v>0.98953241232918809</v>
      </c>
      <c r="H36" s="33">
        <f>Interpolate_Range('試算番号4-4'!$G$10:$G$137,'試算番号4-4'!$P$10:$P$137,F36)</f>
        <v>1.0400088725290246</v>
      </c>
      <c r="I36" s="1">
        <f>Interpolate_Range('試算番号4-1'!$G$27:$G$143,'試算番号4-1'!$P$27:$P$143,F36)</f>
        <v>6.7392378177431904E-3</v>
      </c>
      <c r="J36" s="2">
        <f>Interpolate_Range('試算番号4-3'!$G$10:$G$143,'試算番号4-3'!$I$10:$I$143,F36)</f>
        <v>0.96348443424393826</v>
      </c>
      <c r="K36" s="15">
        <f>Interpolate_Range('試算番号4-5'!$H$10:$H$137,'試算番号4-5'!$R$10:$R$137,F36)</f>
        <v>1.0158190061328398</v>
      </c>
      <c r="L36" s="1">
        <f>Interpolate_Range('試算番号4-3'!$G$27:$G$143,'試算番号4-3'!$O$27:$O$143,F36)</f>
        <v>1.9617731559332264E-2</v>
      </c>
      <c r="M36" s="42">
        <f t="shared" si="0"/>
        <v>0.97674071151204556</v>
      </c>
      <c r="N36" s="33">
        <f t="shared" si="1"/>
        <v>0.9410744718342049</v>
      </c>
      <c r="O36" s="10">
        <f t="shared" si="7"/>
        <v>1.2785895024303851E-2</v>
      </c>
      <c r="P36" s="32"/>
      <c r="T36">
        <v>6.5</v>
      </c>
      <c r="U36" s="1">
        <f t="shared" si="5"/>
        <v>2.912879289312421E-3</v>
      </c>
      <c r="V36" s="1">
        <f t="shared" si="3"/>
        <v>2.841159924110988E-3</v>
      </c>
      <c r="W36" s="1">
        <f t="shared" si="6"/>
        <v>6.3781434639120357E-3</v>
      </c>
      <c r="X36" s="1">
        <f t="shared" si="4"/>
        <v>5.7094881744282214E-3</v>
      </c>
      <c r="Y36" s="1"/>
    </row>
    <row r="37" spans="1:25">
      <c r="E37" s="10"/>
      <c r="F37" s="13">
        <f t="shared" si="9"/>
        <v>5</v>
      </c>
      <c r="G37" s="2">
        <f>Interpolate_Range('試算番号4-1'!$G$10:$G$143,'試算番号4-1'!$I$10:$I$143,F37)</f>
        <v>0.98843473906307355</v>
      </c>
      <c r="H37" s="33">
        <f>Interpolate_Range('試算番号4-4'!$G$10:$G$137,'試算番号4-4'!$P$10:$P$137,F37)</f>
        <v>1.0433434128689987</v>
      </c>
      <c r="I37" s="1">
        <f>Interpolate_Range('試算番号4-1'!$G$27:$G$143,'試算番号4-1'!$P$27:$P$143,F37)</f>
        <v>6.7392378177431904E-3</v>
      </c>
      <c r="J37" s="2">
        <f>Interpolate_Range('試算番号4-3'!$G$10:$G$143,'試算番号4-3'!$I$10:$I$143,F37)</f>
        <v>0.95933403155546837</v>
      </c>
      <c r="K37" s="15">
        <f>Interpolate_Range('試算番号4-5'!$H$10:$H$137,'試算番号4-5'!$R$10:$R$137,F37)</f>
        <v>1.0172400165814051</v>
      </c>
      <c r="L37" s="1">
        <f>Interpolate_Range('試算番号4-3'!$G$27:$G$143,'試算番号4-3'!$O$27:$O$143,F37)</f>
        <v>1.9617731559332264E-2</v>
      </c>
      <c r="M37" s="42">
        <f t="shared" si="0"/>
        <v>0.97498101203724075</v>
      </c>
      <c r="N37" s="33">
        <f t="shared" si="1"/>
        <v>0.93533246496771683</v>
      </c>
      <c r="O37" s="10">
        <f t="shared" si="7"/>
        <v>1.3370647078113987E-2</v>
      </c>
      <c r="P37" s="32"/>
      <c r="T37">
        <v>6.75</v>
      </c>
      <c r="U37" s="1">
        <f t="shared" si="5"/>
        <v>3.1992514964432513E-3</v>
      </c>
      <c r="V37" s="1">
        <f t="shared" si="3"/>
        <v>3.1114022605905501E-3</v>
      </c>
      <c r="W37" s="1">
        <f t="shared" si="6"/>
        <v>6.3926403394346087E-3</v>
      </c>
      <c r="X37" s="1">
        <f t="shared" si="4"/>
        <v>5.6788204114516152E-3</v>
      </c>
      <c r="Y37" s="1"/>
    </row>
    <row r="38" spans="1:25">
      <c r="E38" s="10"/>
      <c r="F38" s="13">
        <f t="shared" si="9"/>
        <v>5.25</v>
      </c>
      <c r="G38" s="2">
        <f>Interpolate_Range('試算番号4-1'!$G$10:$G$143,'試算番号4-1'!$I$10:$I$143,F38)</f>
        <v>0.9865896076112074</v>
      </c>
      <c r="H38" s="33">
        <f>Interpolate_Range('試算番号4-4'!$G$10:$G$137,'試算番号4-4'!$P$10:$P$137,F38)</f>
        <v>1.0460024428893322</v>
      </c>
      <c r="I38" s="1">
        <f>Interpolate_Range('試算番号4-1'!$G$27:$G$143,'試算番号4-1'!$P$27:$P$143,F38)</f>
        <v>8.7374114511009401E-3</v>
      </c>
      <c r="J38" s="2">
        <f>Interpolate_Range('試算番号4-3'!$G$10:$G$143,'試算番号4-3'!$I$10:$I$143,F38)</f>
        <v>0.95447682413214119</v>
      </c>
      <c r="K38" s="15">
        <f>Interpolate_Range('試算番号4-5'!$H$10:$H$137,'試算番号4-5'!$R$10:$R$137,F38)</f>
        <v>1.0178116605612255</v>
      </c>
      <c r="L38" s="1">
        <f>Interpolate_Range('試算番号4-3'!$G$27:$G$143,'試算番号4-3'!$O$27:$O$143,F38)</f>
        <v>2.3041828877061736E-2</v>
      </c>
      <c r="M38" s="42">
        <f t="shared" si="0"/>
        <v>0.97304902821236594</v>
      </c>
      <c r="N38" s="33">
        <f t="shared" si="1"/>
        <v>0.92875274617300529</v>
      </c>
      <c r="O38" s="10">
        <f t="shared" si="7"/>
        <v>1.407861449639651E-2</v>
      </c>
      <c r="P38" s="32"/>
      <c r="T38">
        <v>7</v>
      </c>
      <c r="U38" s="1">
        <f t="shared" si="5"/>
        <v>3.1992514964432513E-3</v>
      </c>
      <c r="V38" s="1">
        <f t="shared" si="3"/>
        <v>3.1023232941707456E-3</v>
      </c>
      <c r="W38" s="1">
        <f t="shared" si="6"/>
        <v>6.3926403394346087E-3</v>
      </c>
      <c r="X38" s="1">
        <f t="shared" si="4"/>
        <v>5.6352391247654187E-3</v>
      </c>
      <c r="Y38" s="1"/>
    </row>
    <row r="39" spans="1:25">
      <c r="E39" s="10"/>
      <c r="F39" s="13">
        <f t="shared" si="9"/>
        <v>5.5</v>
      </c>
      <c r="G39" s="2">
        <f>Interpolate_Range('試算番号4-1'!$G$10:$G$143,'試算番号4-1'!$I$10:$I$143,F39)</f>
        <v>0.98474447615934113</v>
      </c>
      <c r="H39" s="33">
        <f>Interpolate_Range('試算番号4-4'!$G$10:$G$137,'試算番号4-4'!$P$10:$P$137,F39)</f>
        <v>1.0486602021915274</v>
      </c>
      <c r="I39" s="1">
        <f>Interpolate_Range('試算番号4-1'!$G$27:$G$143,'試算番号4-1'!$P$27:$P$143,F39)</f>
        <v>8.7374114511009401E-3</v>
      </c>
      <c r="J39" s="2">
        <f>Interpolate_Range('試算番号4-3'!$G$10:$G$143,'試算番号4-3'!$I$10:$I$143,F39)</f>
        <v>0.94961961670881412</v>
      </c>
      <c r="K39" s="15">
        <f>Interpolate_Range('試算番号4-5'!$H$10:$H$137,'試算番号4-5'!$R$10:$R$137,F39)</f>
        <v>1.0183337502091525</v>
      </c>
      <c r="L39" s="1">
        <f>Interpolate_Range('試算番号4-3'!$G$27:$G$143,'試算番号4-3'!$O$27:$O$143,F39)</f>
        <v>2.3041828877061736E-2</v>
      </c>
      <c r="M39" s="42">
        <f t="shared" si="0"/>
        <v>0.97108076389377829</v>
      </c>
      <c r="N39" s="33">
        <f t="shared" si="1"/>
        <v>0.92215734280211215</v>
      </c>
      <c r="O39" s="10">
        <f t="shared" si="7"/>
        <v>1.4734439306701813E-2</v>
      </c>
      <c r="P39" s="32"/>
      <c r="T39">
        <v>7.25</v>
      </c>
      <c r="U39" s="1">
        <f t="shared" si="5"/>
        <v>3.3223058076226582E-3</v>
      </c>
      <c r="V39" s="1">
        <f t="shared" si="3"/>
        <v>3.2112968273530045E-3</v>
      </c>
      <c r="W39" s="1">
        <f t="shared" si="6"/>
        <v>6.9807082281444005E-3</v>
      </c>
      <c r="X39" s="1">
        <f t="shared" si="4"/>
        <v>6.1027992479824418E-3</v>
      </c>
      <c r="Y39" s="1"/>
    </row>
    <row r="40" spans="1:25">
      <c r="E40" s="10"/>
      <c r="F40" s="13">
        <f t="shared" si="9"/>
        <v>5.75</v>
      </c>
      <c r="G40" s="2">
        <f>Interpolate_Range('試算番号4-1'!$G$10:$G$143,'試算番号4-1'!$I$10:$I$143,F40)</f>
        <v>0.98289934470747498</v>
      </c>
      <c r="H40" s="33">
        <f>Interpolate_Range('試算番号4-4'!$G$10:$G$137,'試算番号4-4'!$P$10:$P$137,F40)</f>
        <v>1.0519441220362793</v>
      </c>
      <c r="I40" s="1">
        <f>Interpolate_Range('試算番号4-1'!$G$27:$G$143,'試算番号4-1'!$P$27:$P$143,F40)</f>
        <v>9.7168671320807375E-3</v>
      </c>
      <c r="J40" s="2">
        <f>Interpolate_Range('試算番号4-3'!$G$10:$G$143,'試算番号4-3'!$I$10:$I$143,F40)</f>
        <v>0.94476240928548694</v>
      </c>
      <c r="K40" s="15">
        <f>Interpolate_Range('試算番号4-5'!$H$10:$H$137,'試算番号4-5'!$R$10:$R$137,F40)</f>
        <v>1.0197081570386923</v>
      </c>
      <c r="L40" s="1">
        <f>Interpolate_Range('試算番号4-3'!$G$27:$G$143,'試算番号4-3'!$O$27:$O$143,F40)</f>
        <v>2.3096927968418515E-2</v>
      </c>
      <c r="M40" s="42">
        <f t="shared" si="0"/>
        <v>0.96935582002665044</v>
      </c>
      <c r="N40" s="33">
        <f t="shared" si="1"/>
        <v>0.91581093998328711</v>
      </c>
      <c r="O40" s="10">
        <f t="shared" si="7"/>
        <v>1.5294840523311171E-2</v>
      </c>
      <c r="P40" s="32"/>
      <c r="T40">
        <v>7.5</v>
      </c>
      <c r="U40" s="1">
        <f t="shared" si="5"/>
        <v>3.3223058076226582E-3</v>
      </c>
      <c r="V40" s="1">
        <f t="shared" si="3"/>
        <v>3.2009442442719987E-3</v>
      </c>
      <c r="W40" s="1">
        <f t="shared" si="6"/>
        <v>6.9807082281444005E-3</v>
      </c>
      <c r="X40" s="1">
        <f t="shared" si="4"/>
        <v>6.0521666820600069E-3</v>
      </c>
      <c r="Y40" s="1"/>
    </row>
    <row r="41" spans="1:25">
      <c r="E41" s="10"/>
      <c r="F41" s="13">
        <f t="shared" si="9"/>
        <v>6</v>
      </c>
      <c r="G41" s="2">
        <f>Interpolate_Range('試算番号4-1'!$G$10:$G$143,'試算番号4-1'!$I$10:$I$143,F41)</f>
        <v>0.98105421325560882</v>
      </c>
      <c r="H41" s="33">
        <f>Interpolate_Range('試算番号4-4'!$G$10:$G$137,'試算番号4-4'!$P$10:$P$137,F41)</f>
        <v>1.0552212655271223</v>
      </c>
      <c r="I41" s="1">
        <f>Interpolate_Range('試算番号4-1'!$G$27:$G$143,'試算番号4-1'!$P$27:$P$143,F41)</f>
        <v>9.7168671320807375E-3</v>
      </c>
      <c r="J41" s="2">
        <f>Interpolate_Range('試算番号4-3'!$G$10:$G$143,'試算番号4-3'!$I$10:$I$143,F41)</f>
        <v>0.93990520186215976</v>
      </c>
      <c r="K41" s="15">
        <f>Interpolate_Range('試算番号4-5'!$H$10:$H$137,'試算番号4-5'!$R$10:$R$137,F41)</f>
        <v>1.0210291615101454</v>
      </c>
      <c r="L41" s="1">
        <f>Interpolate_Range('試算番号4-3'!$G$27:$G$143,'試算番号4-3'!$O$27:$O$143,F41)</f>
        <v>2.3096927968418515E-2</v>
      </c>
      <c r="M41" s="42">
        <f t="shared" si="0"/>
        <v>0.96759721857965342</v>
      </c>
      <c r="N41" s="33">
        <f t="shared" si="1"/>
        <v>0.90944965905037345</v>
      </c>
      <c r="O41" s="10">
        <f t="shared" si="7"/>
        <v>1.5819272115477168E-2</v>
      </c>
      <c r="P41" s="32"/>
      <c r="T41">
        <v>7.75</v>
      </c>
      <c r="U41" s="1">
        <f t="shared" si="5"/>
        <v>3.5882154825036001E-3</v>
      </c>
      <c r="V41" s="1">
        <f t="shared" si="3"/>
        <v>3.4459592403459768E-3</v>
      </c>
      <c r="W41" s="1">
        <f t="shared" si="6"/>
        <v>6.9958068998093557E-3</v>
      </c>
      <c r="X41" s="1">
        <f t="shared" si="4"/>
        <v>6.0165902601722237E-3</v>
      </c>
      <c r="Y41" s="1"/>
    </row>
    <row r="42" spans="1:25">
      <c r="E42" s="10"/>
      <c r="F42" s="13">
        <f t="shared" si="9"/>
        <v>6.25</v>
      </c>
      <c r="G42" s="2">
        <f>Interpolate_Range('試算番号4-1'!$G$10:$G$143,'試算番号4-1'!$I$10:$I$143,F42)</f>
        <v>0.97821637245756654</v>
      </c>
      <c r="H42" s="33">
        <f>Interpolate_Range('試算番号4-4'!$G$10:$G$137,'試算番号4-4'!$P$10:$P$137,F42)</f>
        <v>1.0581565139815923</v>
      </c>
      <c r="I42" s="1">
        <f>Interpolate_Range('試算番号4-1'!$G$27:$G$143,'試算番号4-1'!$P$27:$P$143,F42)</f>
        <v>1.1651517157249684E-2</v>
      </c>
      <c r="J42" s="2">
        <f>Interpolate_Range('試算番号4-3'!$G$10:$G$143,'試算番号4-3'!$I$10:$I$143,F42)</f>
        <v>0.93451756469103286</v>
      </c>
      <c r="K42" s="15">
        <f>Interpolate_Range('試算番号4-5'!$H$10:$H$137,'試算番号4-5'!$R$10:$R$137,F42)</f>
        <v>1.0216775908567948</v>
      </c>
      <c r="L42" s="1">
        <f>Interpolate_Range('試算番号4-3'!$G$27:$G$143,'試算番号4-3'!$O$27:$O$143,F42)</f>
        <v>2.5512573855648143E-2</v>
      </c>
      <c r="M42" s="42">
        <f t="shared" si="0"/>
        <v>0.96552596648719202</v>
      </c>
      <c r="N42" s="33">
        <f t="shared" si="1"/>
        <v>0.90230097484756655</v>
      </c>
      <c r="O42" s="10">
        <f t="shared" si="7"/>
        <v>1.644914233269321E-2</v>
      </c>
      <c r="P42" s="32"/>
      <c r="T42">
        <v>8</v>
      </c>
      <c r="U42" s="1">
        <f t="shared" si="5"/>
        <v>3.5882154825036001E-3</v>
      </c>
      <c r="V42" s="1">
        <f t="shared" si="3"/>
        <v>3.4347780604528019E-3</v>
      </c>
      <c r="W42" s="1">
        <f t="shared" si="6"/>
        <v>6.9958068998093557E-3</v>
      </c>
      <c r="X42" s="1">
        <f t="shared" si="4"/>
        <v>5.968099713682457E-3</v>
      </c>
      <c r="Y42" s="1"/>
    </row>
    <row r="43" spans="1:25">
      <c r="E43" s="10"/>
      <c r="F43" s="13">
        <f t="shared" si="9"/>
        <v>6.5</v>
      </c>
      <c r="G43" s="2">
        <f>Interpolate_Range('試算番号4-1'!$G$10:$G$143,'試算番号4-1'!$I$10:$I$143,F43)</f>
        <v>0.97537853165952437</v>
      </c>
      <c r="H43" s="33">
        <f>Interpolate_Range('試算番号4-4'!$G$10:$G$137,'試算番号4-4'!$P$10:$P$137,F43)</f>
        <v>1.061060123681689</v>
      </c>
      <c r="I43" s="1">
        <f>Interpolate_Range('試算番号4-1'!$G$27:$G$143,'試算番号4-1'!$P$27:$P$143,F43)</f>
        <v>1.1651517157249684E-2</v>
      </c>
      <c r="J43" s="2">
        <f>Interpolate_Range('試算番号4-3'!$G$10:$G$143,'試算番号4-3'!$I$10:$I$143,F43)</f>
        <v>0.92912992751990608</v>
      </c>
      <c r="K43" s="15">
        <f>Interpolate_Range('試算番号4-5'!$H$10:$H$137,'試算番号4-5'!$R$10:$R$137,F43)</f>
        <v>1.0222719360501704</v>
      </c>
      <c r="L43" s="1">
        <f>Interpolate_Range('試算番号4-3'!$G$27:$G$143,'試算番号4-3'!$O$27:$O$143,F43)</f>
        <v>2.5512573855648143E-2</v>
      </c>
      <c r="M43" s="42">
        <f t="shared" si="0"/>
        <v>0.96344393049384369</v>
      </c>
      <c r="N43" s="33">
        <f t="shared" si="1"/>
        <v>0.89516458930923848</v>
      </c>
      <c r="O43" s="10">
        <f t="shared" si="7"/>
        <v>1.703810445308139E-2</v>
      </c>
      <c r="P43" s="32"/>
      <c r="T43">
        <v>8.25</v>
      </c>
      <c r="U43" s="1">
        <f t="shared" si="5"/>
        <v>3.8317419774074172E-3</v>
      </c>
      <c r="V43" s="1">
        <f t="shared" si="3"/>
        <v>3.6543245257020861E-3</v>
      </c>
      <c r="W43" s="1">
        <f t="shared" si="6"/>
        <v>7.5316869855452601E-3</v>
      </c>
      <c r="X43" s="1">
        <f t="shared" si="4"/>
        <v>6.3702998358148169E-3</v>
      </c>
      <c r="Y43" s="1"/>
    </row>
    <row r="44" spans="1:25">
      <c r="F44" s="13">
        <f t="shared" si="9"/>
        <v>6.75</v>
      </c>
      <c r="G44" s="2">
        <f>Interpolate_Range('試算番号4-1'!$G$10:$G$143,'試算番号4-1'!$I$10:$I$143,F44)</f>
        <v>0.97254069086148209</v>
      </c>
      <c r="H44" s="33">
        <f>Interpolate_Range('試算番号4-4'!$G$10:$G$137,'試算番号4-4'!$P$10:$P$137,F44)</f>
        <v>1.0643684511629992</v>
      </c>
      <c r="I44" s="1">
        <f>Interpolate_Range('試算番号4-1'!$G$27:$G$143,'試算番号4-1'!$P$27:$P$143,F44)</f>
        <v>1.2797005985773005E-2</v>
      </c>
      <c r="J44" s="2">
        <f>Interpolate_Range('試算番号4-3'!$G$10:$G$143,'試算番号4-3'!$I$10:$I$143,F44)</f>
        <v>0.92374229034877919</v>
      </c>
      <c r="K44" s="15">
        <f>Interpolate_Range('試算番号4-5'!$H$10:$H$137,'試算番号4-5'!$R$10:$R$137,F44)</f>
        <v>1.0235734917335098</v>
      </c>
      <c r="L44" s="1">
        <f>Interpolate_Range('試算番号4-3'!$G$27:$G$143,'試算番号4-3'!$O$27:$O$143,F44)</f>
        <v>2.5570561357738435E-2</v>
      </c>
      <c r="M44" s="42">
        <f t="shared" si="0"/>
        <v>0.96167214521915401</v>
      </c>
      <c r="N44" s="33">
        <f t="shared" si="1"/>
        <v>0.88833722998936515</v>
      </c>
      <c r="O44" s="10">
        <f t="shared" si="7"/>
        <v>1.7541310308198055E-2</v>
      </c>
      <c r="P44" s="32"/>
      <c r="T44">
        <v>8.5</v>
      </c>
      <c r="U44" s="1">
        <f t="shared" si="5"/>
        <v>3.8317419774074172E-3</v>
      </c>
      <c r="V44" s="1">
        <f t="shared" si="3"/>
        <v>3.6407580505738381E-3</v>
      </c>
      <c r="W44" s="1">
        <f t="shared" si="6"/>
        <v>7.5316869855452601E-3</v>
      </c>
      <c r="X44" s="1">
        <f t="shared" si="4"/>
        <v>6.31566453222486E-3</v>
      </c>
      <c r="Y44" s="1"/>
    </row>
    <row r="45" spans="1:25">
      <c r="F45" s="13">
        <f t="shared" si="9"/>
        <v>7</v>
      </c>
      <c r="G45" s="2">
        <f>Interpolate_Range('試算番号4-1'!$G$10:$G$143,'試算番号4-1'!$I$10:$I$143,F45)</f>
        <v>0.96970285006343981</v>
      </c>
      <c r="H45" s="33">
        <f>Interpolate_Range('試算番号4-4'!$G$10:$G$137,'試算番号4-4'!$P$10:$P$137,F45)</f>
        <v>1.0676398112966832</v>
      </c>
      <c r="I45" s="1">
        <f>Interpolate_Range('試算番号4-1'!$G$27:$G$143,'試算番号4-1'!$P$27:$P$143,F45)</f>
        <v>1.2797005985773005E-2</v>
      </c>
      <c r="J45" s="2">
        <f>Interpolate_Range('試算番号4-3'!$G$10:$G$143,'試算番号4-3'!$I$10:$I$143,F45)</f>
        <v>0.9183546531776523</v>
      </c>
      <c r="K45" s="15">
        <f>Interpolate_Range('試算番号4-5'!$H$10:$H$137,'試算番号4-5'!$R$10:$R$137,F45)</f>
        <v>1.0248172042398878</v>
      </c>
      <c r="L45" s="1">
        <f>Interpolate_Range('試算番号4-3'!$G$27:$G$143,'試算番号4-3'!$O$27:$O$143,F45)</f>
        <v>2.5570561357738435E-2</v>
      </c>
      <c r="M45" s="42">
        <f t="shared" si="0"/>
        <v>0.95989039879958582</v>
      </c>
      <c r="N45" s="33">
        <f t="shared" si="1"/>
        <v>0.88151981427815196</v>
      </c>
      <c r="O45" s="10">
        <f t="shared" si="7"/>
        <v>1.8015399926612025E-2</v>
      </c>
      <c r="P45" s="32"/>
      <c r="T45">
        <v>8.75</v>
      </c>
      <c r="U45" s="1">
        <f t="shared" si="5"/>
        <v>4.0989599078790307E-3</v>
      </c>
      <c r="V45" s="1">
        <f t="shared" si="3"/>
        <v>3.8801445748723527E-3</v>
      </c>
      <c r="W45" s="1">
        <f t="shared" si="6"/>
        <v>7.54848665436558E-3</v>
      </c>
      <c r="X45" s="1">
        <f t="shared" si="4"/>
        <v>6.2772644531964E-3</v>
      </c>
      <c r="Y45" s="1"/>
    </row>
    <row r="46" spans="1:25">
      <c r="F46" s="13">
        <f t="shared" si="9"/>
        <v>7.25</v>
      </c>
      <c r="G46" s="2">
        <f>Interpolate_Range('試算番号4-1'!$G$10:$G$143,'試算番号4-1'!$I$10:$I$143,F46)</f>
        <v>0.96658676633109564</v>
      </c>
      <c r="H46" s="33">
        <f>Interpolate_Range('試算番号4-4'!$G$10:$G$137,'試算番号4-4'!$P$10:$P$137,F46)</f>
        <v>1.0703635028290375</v>
      </c>
      <c r="I46" s="1">
        <f>Interpolate_Range('試算番号4-1'!$G$27:$G$143,'試算番号4-1'!$P$27:$P$143,F46)</f>
        <v>1.3289223230490633E-2</v>
      </c>
      <c r="J46" s="2">
        <f>Interpolate_Range('試算番号4-3'!$G$10:$G$143,'試算番号4-3'!$I$10:$I$143,F46)</f>
        <v>0.91251357429091517</v>
      </c>
      <c r="K46" s="15">
        <f>Interpolate_Range('試算番号4-5'!$H$10:$H$137,'試算番号4-5'!$R$10:$R$137,F46)</f>
        <v>1.0254666864318291</v>
      </c>
      <c r="L46" s="1">
        <f>Interpolate_Range('試算番号4-3'!$G$27:$G$143,'試算番号4-3'!$O$27:$O$143,F46)</f>
        <v>2.7922832912577602E-2</v>
      </c>
      <c r="M46" s="42">
        <f t="shared" si="0"/>
        <v>0.95805460829097477</v>
      </c>
      <c r="N46" s="33">
        <f t="shared" si="1"/>
        <v>0.87423783497748009</v>
      </c>
      <c r="O46" s="10">
        <f t="shared" si="7"/>
        <v>1.8538319716596339E-2</v>
      </c>
      <c r="P46" s="32"/>
      <c r="T46">
        <v>9</v>
      </c>
      <c r="U46" s="1">
        <f t="shared" si="5"/>
        <v>4.0989599078790307E-3</v>
      </c>
      <c r="V46" s="1">
        <f t="shared" si="3"/>
        <v>3.8656320012257438E-3</v>
      </c>
      <c r="W46" s="1">
        <f t="shared" si="6"/>
        <v>7.54848665436558E-3</v>
      </c>
      <c r="X46" s="1">
        <f t="shared" si="4"/>
        <v>6.225063813183304E-3</v>
      </c>
      <c r="Y46" s="1"/>
    </row>
    <row r="47" spans="1:25">
      <c r="F47" s="13">
        <f t="shared" si="9"/>
        <v>7.5</v>
      </c>
      <c r="G47" s="2">
        <f>Interpolate_Range('試算番号4-1'!$G$10:$G$143,'試算番号4-1'!$I$10:$I$143,F47)</f>
        <v>0.96347068259875146</v>
      </c>
      <c r="H47" s="33">
        <f>Interpolate_Range('試算番号4-4'!$G$10:$G$137,'試算番号4-4'!$P$10:$P$137,F47)</f>
        <v>1.073026699882027</v>
      </c>
      <c r="I47" s="1">
        <f>Interpolate_Range('試算番号4-1'!$G$27:$G$143,'試算番号4-1'!$P$27:$P$143,F47)</f>
        <v>1.3289223230490633E-2</v>
      </c>
      <c r="J47" s="2">
        <f>Interpolate_Range('試算番号4-3'!$G$10:$G$143,'試算番号4-3'!$I$10:$I$143,F47)</f>
        <v>0.90667249540417805</v>
      </c>
      <c r="K47" s="15">
        <f>Interpolate_Range('試算番号4-5'!$H$10:$H$137,'試算番号4-5'!$R$10:$R$137,F47)</f>
        <v>1.026056985447606</v>
      </c>
      <c r="L47" s="1">
        <f>Interpolate_Range('試算番号4-3'!$G$27:$G$143,'試算番号4-3'!$O$27:$O$143,F47)</f>
        <v>2.7922832912577602E-2</v>
      </c>
      <c r="M47" s="42">
        <f t="shared" si="0"/>
        <v>0.95622689124176963</v>
      </c>
      <c r="N47" s="33">
        <f t="shared" si="1"/>
        <v>0.86698462165475487</v>
      </c>
      <c r="O47" s="10">
        <f t="shared" si="7"/>
        <v>1.9031205304177758E-2</v>
      </c>
      <c r="P47" s="32"/>
      <c r="T47">
        <v>9.25</v>
      </c>
      <c r="U47" s="1">
        <f t="shared" si="5"/>
        <v>4.2427478179936969E-3</v>
      </c>
      <c r="V47" s="1">
        <f t="shared" si="3"/>
        <v>3.9850594726851757E-3</v>
      </c>
      <c r="W47" s="1">
        <f t="shared" si="6"/>
        <v>7.9088850577068992E-3</v>
      </c>
      <c r="X47" s="1">
        <f t="shared" si="4"/>
        <v>6.466778512114058E-3</v>
      </c>
      <c r="Y47" s="1"/>
    </row>
    <row r="48" spans="1:25">
      <c r="F48" s="13">
        <f t="shared" si="9"/>
        <v>7.75</v>
      </c>
      <c r="G48" s="2">
        <f>Interpolate_Range('試算番号4-1'!$G$10:$G$143,'試算番号4-1'!$I$10:$I$143,F48)</f>
        <v>0.96035459886640728</v>
      </c>
      <c r="H48" s="33">
        <f>Interpolate_Range('試算番号4-4'!$G$10:$G$137,'試算番号4-4'!$P$10:$P$137,F48)</f>
        <v>1.0759389483280946</v>
      </c>
      <c r="I48" s="1">
        <f>Interpolate_Range('試算番号4-1'!$G$27:$G$143,'試算番号4-1'!$P$27:$P$143,F48)</f>
        <v>1.43528619300144E-2</v>
      </c>
      <c r="J48" s="2">
        <f>Interpolate_Range('試算番号4-3'!$G$10:$G$143,'試算番号4-3'!$I$10:$I$143,F48)</f>
        <v>0.90083141651744081</v>
      </c>
      <c r="K48" s="15">
        <f>Interpolate_Range('試算番号4-5'!$H$10:$H$137,'試算番号4-5'!$R$10:$R$137,F48)</f>
        <v>1.0272040618617184</v>
      </c>
      <c r="L48" s="1">
        <f>Interpolate_Range('試算番号4-3'!$G$27:$G$143,'試算番号4-3'!$O$27:$O$143,F48)</f>
        <v>2.7983227599237423E-2</v>
      </c>
      <c r="M48" s="42">
        <f t="shared" si="0"/>
        <v>0.95470478455854257</v>
      </c>
      <c r="N48" s="33">
        <f t="shared" si="1"/>
        <v>0.86002806342985005</v>
      </c>
      <c r="O48" s="10">
        <f t="shared" si="7"/>
        <v>1.9456807531847465E-2</v>
      </c>
      <c r="P48" s="32"/>
      <c r="T48">
        <v>9.5</v>
      </c>
      <c r="U48" s="1">
        <f t="shared" si="5"/>
        <v>4.2427478179936969E-3</v>
      </c>
      <c r="V48" s="1">
        <f t="shared" si="3"/>
        <v>3.9688839718734692E-3</v>
      </c>
      <c r="W48" s="1">
        <f t="shared" si="6"/>
        <v>7.9088850577068992E-3</v>
      </c>
      <c r="X48" s="1">
        <f t="shared" si="4"/>
        <v>6.4116970618357414E-3</v>
      </c>
      <c r="Y48" s="1"/>
    </row>
    <row r="49" spans="6:25">
      <c r="F49" s="13">
        <f t="shared" si="9"/>
        <v>8</v>
      </c>
      <c r="G49" s="2">
        <f>Interpolate_Range('試算番号4-1'!$G$10:$G$143,'試算番号4-1'!$I$10:$I$143,F49)</f>
        <v>0.95723851513406311</v>
      </c>
      <c r="H49" s="33">
        <f>Interpolate_Range('試算番号4-4'!$G$10:$G$137,'試算番号4-4'!$P$10:$P$137,F49)</f>
        <v>1.0787856856369082</v>
      </c>
      <c r="I49" s="1">
        <f>Interpolate_Range('試算番号4-1'!$G$27:$G$143,'試算番号4-1'!$P$27:$P$143,F49)</f>
        <v>1.43528619300144E-2</v>
      </c>
      <c r="J49" s="2">
        <f>Interpolate_Range('試算番号4-3'!$G$10:$G$143,'試算番号4-3'!$I$10:$I$143,F49)</f>
        <v>0.89499033763070368</v>
      </c>
      <c r="K49" s="15">
        <f>Interpolate_Range('試算番号4-5'!$H$10:$H$137,'試算番号4-5'!$R$10:$R$137,F49)</f>
        <v>1.0282887529534377</v>
      </c>
      <c r="L49" s="1">
        <f>Interpolate_Range('試算番号4-3'!$G$27:$G$143,'試算番号4-3'!$O$27:$O$143,F49)</f>
        <v>2.7983227599237423E-2</v>
      </c>
      <c r="M49" s="42">
        <f t="shared" si="0"/>
        <v>0.95319095038449875</v>
      </c>
      <c r="N49" s="33">
        <f t="shared" si="1"/>
        <v>0.85309669051115389</v>
      </c>
      <c r="O49" s="10">
        <f t="shared" si="7"/>
        <v>1.9860298055377371E-2</v>
      </c>
      <c r="P49" s="32"/>
      <c r="T49">
        <v>9.75</v>
      </c>
      <c r="U49" s="1">
        <f t="shared" si="5"/>
        <v>4.4997511497133352E-3</v>
      </c>
      <c r="V49" s="1">
        <f t="shared" si="3"/>
        <v>4.1921427457247548E-3</v>
      </c>
      <c r="W49" s="1">
        <f t="shared" si="6"/>
        <v>7.9236031405873122E-3</v>
      </c>
      <c r="X49" s="1">
        <f t="shared" si="4"/>
        <v>6.3707741984611538E-3</v>
      </c>
      <c r="Y49" s="1"/>
    </row>
    <row r="50" spans="6:25">
      <c r="F50" s="13">
        <f t="shared" si="9"/>
        <v>8.25</v>
      </c>
      <c r="G50" s="2">
        <f>Interpolate_Range('試算番号4-1'!$G$10:$G$143,'試算番号4-1'!$I$10:$I$143,F50)</f>
        <v>0.95369796485478053</v>
      </c>
      <c r="H50" s="33">
        <f>Interpolate_Range('試算番号4-4'!$G$10:$G$137,'試算番号4-4'!$P$10:$P$137,F50)</f>
        <v>1.0811880435676915</v>
      </c>
      <c r="I50" s="1">
        <f>Interpolate_Range('試算番号4-1'!$G$27:$G$143,'試算番号4-1'!$P$27:$P$143,F50)</f>
        <v>1.5326967909629669E-2</v>
      </c>
      <c r="J50" s="2">
        <f>Interpolate_Range('試算番号4-3'!$G$10:$G$143,'試算番号4-3'!$I$10:$I$143,F50)</f>
        <v>0.888830086582868</v>
      </c>
      <c r="K50" s="15">
        <f>Interpolate_Range('試算番号4-5'!$H$10:$H$137,'試算番号4-5'!$R$10:$R$137,F50)</f>
        <v>1.0288453497745746</v>
      </c>
      <c r="L50" s="1">
        <f>Interpolate_Range('試算番号4-3'!$G$27:$G$143,'試算番号4-3'!$O$27:$O$143,F50)</f>
        <v>3.012674794218104E-2</v>
      </c>
      <c r="M50" s="42">
        <f t="shared" si="0"/>
        <v>0.95158779815914629</v>
      </c>
      <c r="N50" s="33">
        <f t="shared" si="1"/>
        <v>0.84579986502899474</v>
      </c>
      <c r="O50" s="10">
        <f t="shared" si="7"/>
        <v>2.0299698608688754E-2</v>
      </c>
      <c r="P50" s="32"/>
      <c r="T50">
        <v>10</v>
      </c>
      <c r="U50" s="33">
        <f>1+Interpolate_Range($F$19:$F$137,$I$19:$I$137,T50)/4</f>
        <v>1.0044997511497133</v>
      </c>
      <c r="V50" s="32">
        <f t="shared" si="3"/>
        <v>0.93200127809592559</v>
      </c>
      <c r="W50" s="33">
        <f>1+Interpolate_Range($F$19:$F$137,$L$19:$L$137,T50)/4</f>
        <v>1.0079236031405874</v>
      </c>
      <c r="X50" s="32">
        <f t="shared" si="4"/>
        <v>0.80371986309106525</v>
      </c>
      <c r="Y50" s="1"/>
    </row>
    <row r="51" spans="6:25">
      <c r="F51" s="13">
        <f t="shared" si="9"/>
        <v>8.5</v>
      </c>
      <c r="G51" s="2">
        <f>Interpolate_Range('試算番号4-1'!$G$10:$G$143,'試算番号4-1'!$I$10:$I$143,F51)</f>
        <v>0.95015741457549807</v>
      </c>
      <c r="H51" s="33">
        <f>Interpolate_Range('試算番号4-4'!$G$10:$G$137,'試算番号4-4'!$P$10:$P$137,F51)</f>
        <v>1.0835091176926388</v>
      </c>
      <c r="I51" s="1">
        <f>Interpolate_Range('試算番号4-1'!$G$27:$G$143,'試算番号4-1'!$P$27:$P$143,F51)</f>
        <v>1.5326967909629669E-2</v>
      </c>
      <c r="J51" s="2">
        <f>Interpolate_Range('試算番号4-3'!$G$10:$G$143,'試算番号4-3'!$I$10:$I$143,F51)</f>
        <v>0.8826698355350322</v>
      </c>
      <c r="K51" s="15">
        <f>Interpolate_Range('試算番号4-5'!$H$10:$H$137,'試算番号4-5'!$R$10:$R$137,F51)</f>
        <v>1.0293452767894049</v>
      </c>
      <c r="L51" s="1">
        <f>Interpolate_Range('試算番号4-3'!$G$27:$G$143,'試算番号4-3'!$O$27:$O$143,F51)</f>
        <v>3.012674794218104E-2</v>
      </c>
      <c r="M51" s="42">
        <f t="shared" si="0"/>
        <v>0.95001071978187202</v>
      </c>
      <c r="N51" s="33">
        <f t="shared" si="1"/>
        <v>0.83854580578638249</v>
      </c>
      <c r="O51" s="10">
        <f t="shared" si="7"/>
        <v>2.0716008348520443E-2</v>
      </c>
      <c r="P51" s="32"/>
      <c r="Q51" s="1"/>
      <c r="R51" s="10"/>
    </row>
    <row r="52" spans="6:25">
      <c r="F52" s="13">
        <f t="shared" si="9"/>
        <v>8.75</v>
      </c>
      <c r="G52" s="2">
        <f>Interpolate_Range('試算番号4-1'!$G$10:$G$143,'試算番号4-1'!$I$10:$I$143,F52)</f>
        <v>0.94661686429621561</v>
      </c>
      <c r="H52" s="33">
        <f>Interpolate_Range('試算番号4-4'!$G$10:$G$137,'試算番号4-4'!$P$10:$P$137,F52)</f>
        <v>1.0859595650143297</v>
      </c>
      <c r="I52" s="1">
        <f>Interpolate_Range('試算番号4-1'!$G$27:$G$143,'試算番号4-1'!$P$27:$P$143,F52)</f>
        <v>1.6395839631516123E-2</v>
      </c>
      <c r="J52" s="2">
        <f>Interpolate_Range('試算番号4-3'!$G$10:$G$143,'試算番号4-3'!$I$10:$I$143,F52)</f>
        <v>0.8765095844871964</v>
      </c>
      <c r="K52" s="15">
        <f>Interpolate_Range('試算番号4-5'!$H$10:$H$137,'試算番号4-5'!$R$10:$R$137,F52)</f>
        <v>1.030309061055354</v>
      </c>
      <c r="L52" s="1">
        <f>Interpolate_Range('試算番号4-3'!$G$27:$G$143,'試算番号4-3'!$O$27:$O$143,F52)</f>
        <v>3.019394661746232E-2</v>
      </c>
      <c r="M52" s="42">
        <f t="shared" si="0"/>
        <v>0.94875453400675991</v>
      </c>
      <c r="N52" s="33">
        <f t="shared" si="1"/>
        <v>0.83159244238260877</v>
      </c>
      <c r="O52" s="10">
        <f t="shared" si="7"/>
        <v>2.1075749838123051E-2</v>
      </c>
      <c r="P52" s="32"/>
      <c r="Q52" s="1"/>
      <c r="R52" s="10"/>
      <c r="S52" s="8"/>
    </row>
    <row r="53" spans="6:25">
      <c r="F53" s="13">
        <f t="shared" si="9"/>
        <v>9</v>
      </c>
      <c r="G53" s="2">
        <f>Interpolate_Range('試算番号4-1'!$G$10:$G$143,'試算番号4-1'!$I$10:$I$143,F53)</f>
        <v>0.94307631401693304</v>
      </c>
      <c r="H53" s="33">
        <f>Interpolate_Range('試算番号4-4'!$G$10:$G$137,'試算番号4-4'!$P$10:$P$137,F53)</f>
        <v>1.0883238141158615</v>
      </c>
      <c r="I53" s="1">
        <f>Interpolate_Range('試算番号4-1'!$G$27:$G$143,'試算番号4-1'!$P$27:$P$143,F53)</f>
        <v>1.6395839631516123E-2</v>
      </c>
      <c r="J53" s="2">
        <f>Interpolate_Range('試算番号4-3'!$G$10:$G$143,'試算番号4-3'!$I$10:$I$143,F53)</f>
        <v>0.87034933343936072</v>
      </c>
      <c r="K53" s="15">
        <f>Interpolate_Range('試算番号4-5'!$H$10:$H$137,'試算番号4-5'!$R$10:$R$137,F53)</f>
        <v>1.0312131616899942</v>
      </c>
      <c r="L53" s="1">
        <f>Interpolate_Range('試算番号4-3'!$G$27:$G$143,'試算番号4-3'!$O$27:$O$143,F53)</f>
        <v>3.019394661746232E-2</v>
      </c>
      <c r="M53" s="42">
        <f t="shared" si="0"/>
        <v>0.94752420953660454</v>
      </c>
      <c r="N53" s="33">
        <f t="shared" si="1"/>
        <v>0.82467706418784092</v>
      </c>
      <c r="O53" s="10">
        <f t="shared" si="7"/>
        <v>2.1418156291902746E-2</v>
      </c>
      <c r="P53" s="32"/>
      <c r="Q53" s="1"/>
      <c r="R53" s="10"/>
      <c r="S53" s="8"/>
    </row>
    <row r="54" spans="6:25">
      <c r="F54" s="13">
        <f t="shared" si="9"/>
        <v>9.25</v>
      </c>
      <c r="G54" s="2">
        <f>Interpolate_Range('試算番号4-1'!$G$10:$G$143,'試算番号4-1'!$I$10:$I$143,F54)</f>
        <v>0.9392638081821284</v>
      </c>
      <c r="H54" s="33">
        <f>Interpolate_Range('試算番号4-4'!$G$10:$G$137,'試算番号4-4'!$P$10:$P$137,F54)</f>
        <v>1.0902448257235522</v>
      </c>
      <c r="I54" s="1">
        <f>Interpolate_Range('試算番号4-1'!$G$27:$G$143,'試算番号4-1'!$P$27:$P$143,F54)</f>
        <v>1.6970991271974788E-2</v>
      </c>
      <c r="J54" s="2">
        <f>Interpolate_Range('試算番号4-3'!$G$10:$G$143,'試算番号4-3'!$I$10:$I$143,F54)</f>
        <v>0.86392464505576794</v>
      </c>
      <c r="K54" s="15">
        <f>Interpolate_Range('試算番号4-5'!$H$10:$H$137,'試算番号4-5'!$R$10:$R$137,F54)</f>
        <v>1.0318602763258138</v>
      </c>
      <c r="L54" s="1">
        <f>Interpolate_Range('試算番号4-3'!$G$27:$G$143,'試算番号4-3'!$O$27:$O$143,F54)</f>
        <v>3.1635540230827597E-2</v>
      </c>
      <c r="M54" s="42">
        <f t="shared" si="0"/>
        <v>0.94644822151850994</v>
      </c>
      <c r="N54" s="33">
        <f t="shared" si="1"/>
        <v>0.8176599438390415</v>
      </c>
      <c r="O54" s="10">
        <f t="shared" si="7"/>
        <v>2.1763107609910393E-2</v>
      </c>
      <c r="P54" s="32"/>
      <c r="Q54" s="1"/>
      <c r="R54" s="10"/>
      <c r="S54" s="8"/>
    </row>
    <row r="55" spans="6:25">
      <c r="F55" s="13">
        <f t="shared" si="9"/>
        <v>9.5</v>
      </c>
      <c r="G55" s="2">
        <f>Interpolate_Range('試算番号4-1'!$G$10:$G$143,'試算番号4-1'!$I$10:$I$143,F55)</f>
        <v>0.93545130234732365</v>
      </c>
      <c r="H55" s="33">
        <f>Interpolate_Range('試算番号4-4'!$G$10:$G$137,'試算番号4-4'!$P$10:$P$137,F55)</f>
        <v>1.0920622918556311</v>
      </c>
      <c r="I55" s="1">
        <f>Interpolate_Range('試算番号4-1'!$G$27:$G$143,'試算番号4-1'!$P$27:$P$143,F55)</f>
        <v>1.6970991271974788E-2</v>
      </c>
      <c r="J55" s="2">
        <f>Interpolate_Range('試算番号4-3'!$G$10:$G$143,'試算番号4-3'!$I$10:$I$143,F55)</f>
        <v>0.85749995667217516</v>
      </c>
      <c r="K55" s="15">
        <f>Interpolate_Range('試算番号4-5'!$H$10:$H$137,'試算番号4-5'!$R$10:$R$137,F55)</f>
        <v>1.0324547712275316</v>
      </c>
      <c r="L55" s="1">
        <f>Interpolate_Range('試算番号4-3'!$G$27:$G$143,'試算番号4-3'!$O$27:$O$143,F55)</f>
        <v>3.1635540230827597E-2</v>
      </c>
      <c r="M55" s="42">
        <f t="shared" si="0"/>
        <v>0.94541747199528847</v>
      </c>
      <c r="N55" s="33">
        <f t="shared" si="1"/>
        <v>0.81069544127307724</v>
      </c>
      <c r="O55" s="10">
        <f t="shared" si="7"/>
        <v>2.2090824231859051E-2</v>
      </c>
      <c r="P55" s="32"/>
      <c r="Q55" s="1"/>
      <c r="R55" s="10"/>
    </row>
    <row r="56" spans="6:25">
      <c r="F56" s="13">
        <f t="shared" si="9"/>
        <v>9.75</v>
      </c>
      <c r="G56" s="2">
        <f>Interpolate_Range('試算番号4-1'!$G$10:$G$143,'試算番号4-1'!$I$10:$I$143,F56)</f>
        <v>0.93163879651251891</v>
      </c>
      <c r="H56" s="33">
        <f>Interpolate_Range('試算番号4-4'!$G$10:$G$137,'試算番号4-4'!$P$10:$P$137,F56)</f>
        <v>1.0939223537856337</v>
      </c>
      <c r="I56" s="1">
        <f>Interpolate_Range('試算番号4-1'!$G$27:$G$143,'試算番号4-1'!$P$27:$P$143,F56)</f>
        <v>1.7999004598853341E-2</v>
      </c>
      <c r="J56" s="2">
        <f>Interpolate_Range('試算番号4-3'!$G$10:$G$143,'試算番号4-3'!$I$10:$I$143,F56)</f>
        <v>0.85107526828858238</v>
      </c>
      <c r="K56" s="15">
        <f>Interpolate_Range('試算番号4-5'!$H$10:$H$137,'試算番号4-5'!$R$10:$R$137,F56)</f>
        <v>1.0334465593455391</v>
      </c>
      <c r="L56" s="1">
        <f>Interpolate_Range('試算番号4-3'!$G$27:$G$143,'試算番号4-3'!$O$27:$O$143,F56)</f>
        <v>3.1694412562349249E-2</v>
      </c>
      <c r="M56" s="42">
        <f t="shared" si="0"/>
        <v>0.94471655668173171</v>
      </c>
      <c r="N56" s="33">
        <f t="shared" si="1"/>
        <v>0.80402489693457058</v>
      </c>
      <c r="O56" s="10">
        <f t="shared" si="7"/>
        <v>2.2371799379085868E-2</v>
      </c>
      <c r="P56" s="32"/>
      <c r="Q56" s="1"/>
      <c r="R56" s="10"/>
    </row>
    <row r="57" spans="6:25">
      <c r="F57" s="13">
        <f t="shared" si="9"/>
        <v>10</v>
      </c>
      <c r="G57" s="2">
        <f>Interpolate_Range('試算番号4-1'!$G$10:$G$143,'試算番号4-1'!$I$10:$I$143,F57)</f>
        <v>0.92782629067771427</v>
      </c>
      <c r="H57" s="33">
        <f>Interpolate_Range('試算番号4-4'!$G$10:$G$137,'試算番号4-4'!$P$10:$P$137,F57)</f>
        <v>1.0956740718711753</v>
      </c>
      <c r="I57" s="1">
        <f>Interpolate_Range('試算番号4-1'!$G$27:$G$143,'試算番号4-1'!$P$27:$P$143,F57)</f>
        <v>1.7999004598853341E-2</v>
      </c>
      <c r="J57" s="2">
        <f>Interpolate_Range('試算番号4-3'!$G$10:$G$143,'試算番号4-3'!$I$10:$I$143,F57)</f>
        <v>0.8446505799049896</v>
      </c>
      <c r="K57" s="15">
        <f>Interpolate_Range('試算番号4-5'!$H$10:$H$137,'試算番号4-5'!$R$10:$R$137,F57)</f>
        <v>1.0343830281634359</v>
      </c>
      <c r="L57" s="1">
        <f>Interpolate_Range('試算番号4-3'!$G$27:$G$143,'試算番号4-3'!$O$27:$O$143,F57)</f>
        <v>3.1694412562349249E-2</v>
      </c>
      <c r="M57" s="42">
        <f t="shared" si="0"/>
        <v>0.9440608797075325</v>
      </c>
      <c r="N57" s="33">
        <f t="shared" si="1"/>
        <v>0.79740156951058194</v>
      </c>
      <c r="O57" s="10">
        <f t="shared" si="7"/>
        <v>2.2639687575166531E-2</v>
      </c>
      <c r="P57" s="32"/>
      <c r="Q57" s="1"/>
      <c r="R57" s="10"/>
    </row>
    <row r="58" spans="6:25">
      <c r="F58" s="13">
        <f t="shared" si="9"/>
        <v>10.25</v>
      </c>
      <c r="G58" s="2">
        <f>Interpolate_Range('試算番号4-1'!$G$10:$G$143,'試算番号4-1'!$I$10:$I$143,F58)</f>
        <v>0.92364133762049339</v>
      </c>
      <c r="H58" s="33">
        <f>Interpolate_Range('試算番号4-4'!$G$10:$G$137,'試算番号4-4'!$P$10:$P$137,F58)</f>
        <v>1.0973815106629898</v>
      </c>
      <c r="I58" s="1">
        <f>Interpolate_Range('試算番号4-1'!$G$27:$G$143,'試算番号4-1'!$P$27:$P$143,F58)</f>
        <v>1.834599361070479E-2</v>
      </c>
      <c r="J58" s="2">
        <f>Interpolate_Range('試算番号4-3'!$G$10:$G$143,'試算番号4-3'!$I$10:$I$143,F58)</f>
        <v>0.83846658213405656</v>
      </c>
      <c r="K58" s="15">
        <f>Interpolate_Range('試算番号4-5'!$H$10:$H$137,'試算番号4-5'!$R$10:$R$137,F58)</f>
        <v>1.0348729689462339</v>
      </c>
      <c r="L58" s="1">
        <f>Interpolate_Range('試算番号4-3'!$G$27:$G$143,'試算番号4-3'!$O$27:$O$143,F58)</f>
        <v>3.1824555968637543E-2</v>
      </c>
      <c r="M58" s="42">
        <f t="shared" si="0"/>
        <v>0.94303845917816587</v>
      </c>
      <c r="N58" s="33">
        <f t="shared" si="1"/>
        <v>0.79070623368808379</v>
      </c>
      <c r="O58" s="10">
        <f t="shared" si="7"/>
        <v>2.2910123529515276E-2</v>
      </c>
      <c r="P58" s="32"/>
      <c r="Q58" s="1"/>
      <c r="R58" s="10"/>
    </row>
    <row r="59" spans="6:25">
      <c r="F59" s="13">
        <f t="shared" si="9"/>
        <v>10.5</v>
      </c>
      <c r="G59" s="2">
        <f>Interpolate_Range('試算番号4-1'!$G$10:$G$143,'試算番号4-1'!$I$10:$I$143,F59)</f>
        <v>0.91945638456327239</v>
      </c>
      <c r="H59" s="33">
        <f>Interpolate_Range('試算番号4-4'!$G$10:$G$137,'試算番号4-4'!$P$10:$P$137,F59)</f>
        <v>1.0989787775157116</v>
      </c>
      <c r="I59" s="1">
        <f>Interpolate_Range('試算番号4-1'!$G$27:$G$143,'試算番号4-1'!$P$27:$P$143,F59)</f>
        <v>1.834599361070479E-2</v>
      </c>
      <c r="J59" s="2">
        <f>Interpolate_Range('試算番号4-3'!$G$10:$G$143,'試算番号4-3'!$I$10:$I$143,F59)</f>
        <v>0.83228258436312341</v>
      </c>
      <c r="K59" s="15">
        <f>Interpolate_Range('試算番号4-5'!$H$10:$H$137,'試算番号4-5'!$R$10:$R$137,F59)</f>
        <v>1.0353096125821197</v>
      </c>
      <c r="L59" s="1">
        <f>Interpolate_Range('試算番号4-3'!$G$27:$G$143,'試算番号4-3'!$O$27:$O$143,F59)</f>
        <v>3.1824555968637543E-2</v>
      </c>
      <c r="M59" s="42">
        <f t="shared" si="0"/>
        <v>0.94206515518205114</v>
      </c>
      <c r="N59" s="33">
        <f t="shared" si="1"/>
        <v>0.78406442199336446</v>
      </c>
      <c r="O59" s="10">
        <f t="shared" si="7"/>
        <v>2.3168008675968559E-2</v>
      </c>
      <c r="P59" s="32"/>
      <c r="Q59" s="1"/>
      <c r="R59" s="10"/>
    </row>
    <row r="60" spans="6:25">
      <c r="F60" s="13">
        <f t="shared" si="9"/>
        <v>10.75</v>
      </c>
      <c r="G60" s="2">
        <f>Interpolate_Range('試算番号4-1'!$G$10:$G$143,'試算番号4-1'!$I$10:$I$143,F60)</f>
        <v>0.9152714315060515</v>
      </c>
      <c r="H60" s="33">
        <f>Interpolate_Range('試算番号4-4'!$G$10:$G$137,'試算番号4-4'!$P$10:$P$137,F60)</f>
        <v>1.1005385204832248</v>
      </c>
      <c r="I60" s="1">
        <f>Interpolate_Range('試算番号4-1'!$G$27:$G$143,'試算番号4-1'!$P$27:$P$143,F60)</f>
        <v>1.9323173481922959E-2</v>
      </c>
      <c r="J60" s="2">
        <f>Interpolate_Range('試算番号4-3'!$G$10:$G$143,'試算番号4-3'!$I$10:$I$143,F60)</f>
        <v>0.82609858659219038</v>
      </c>
      <c r="K60" s="15">
        <f>Interpolate_Range('試算番号4-5'!$H$10:$H$137,'試算番号4-5'!$R$10:$R$137,F60)</f>
        <v>1.036059408639441</v>
      </c>
      <c r="L60" s="1">
        <f>Interpolate_Range('試算番号4-3'!$G$27:$G$143,'試算番号4-3'!$O$27:$O$143,F60)</f>
        <v>3.1862580847862337E-2</v>
      </c>
      <c r="M60" s="42">
        <f t="shared" si="0"/>
        <v>0.94141130851515109</v>
      </c>
      <c r="N60" s="33">
        <f t="shared" si="1"/>
        <v>0.77769855136627075</v>
      </c>
      <c r="O60" s="10">
        <f t="shared" si="7"/>
        <v>2.3387562418448957E-2</v>
      </c>
      <c r="P60" s="32"/>
      <c r="Q60" s="1"/>
      <c r="R60" s="10"/>
    </row>
    <row r="61" spans="6:25">
      <c r="F61" s="13">
        <f t="shared" si="9"/>
        <v>11</v>
      </c>
      <c r="G61" s="2">
        <f>Interpolate_Range('試算番号4-1'!$G$10:$G$143,'試算番号4-1'!$I$10:$I$143,F61)</f>
        <v>0.91108647844883062</v>
      </c>
      <c r="H61" s="33">
        <f>Interpolate_Range('試算番号4-4'!$G$10:$G$137,'試算番号4-4'!$P$10:$P$137,F61)</f>
        <v>1.1019838385541536</v>
      </c>
      <c r="I61" s="1">
        <f>Interpolate_Range('試算番号4-1'!$G$27:$G$143,'試算番号4-1'!$P$27:$P$143,F61)</f>
        <v>1.9323173481922959E-2</v>
      </c>
      <c r="J61" s="2">
        <f>Interpolate_Range('試算番号4-3'!$G$10:$G$143,'試算番号4-3'!$I$10:$I$143,F61)</f>
        <v>0.81991458882125723</v>
      </c>
      <c r="K61" s="15">
        <f>Interpolate_Range('試算番号4-5'!$H$10:$H$137,'試算番号4-5'!$R$10:$R$137,F61)</f>
        <v>1.0367534125564211</v>
      </c>
      <c r="L61" s="1">
        <f>Interpolate_Range('試算番号4-3'!$G$27:$G$143,'試算番号4-3'!$O$27:$O$143,F61)</f>
        <v>3.1862580847862337E-2</v>
      </c>
      <c r="M61" s="42">
        <f t="shared" si="0"/>
        <v>0.94080636782902605</v>
      </c>
      <c r="N61" s="33">
        <f t="shared" si="1"/>
        <v>0.77138086623895641</v>
      </c>
      <c r="O61" s="10">
        <f t="shared" si="7"/>
        <v>2.3597548859806548E-2</v>
      </c>
      <c r="P61" s="32"/>
      <c r="Q61" s="1"/>
      <c r="R61" s="10"/>
    </row>
    <row r="62" spans="6:25">
      <c r="F62" s="13">
        <f t="shared" si="9"/>
        <v>11.25</v>
      </c>
      <c r="G62" s="2">
        <f>Interpolate_Range('試算番号4-1'!$G$10:$G$143,'試算番号4-1'!$I$10:$I$143,F62)</f>
        <v>0.90651683702900576</v>
      </c>
      <c r="H62" s="33">
        <f>Interpolate_Range('試算番号4-4'!$G$10:$G$137,'試算番号4-4'!$P$10:$P$137,F62)</f>
        <v>1.1035387453285668</v>
      </c>
      <c r="I62" s="1">
        <f>Interpolate_Range('試算番号4-1'!$G$27:$G$143,'試算番号4-1'!$P$27:$P$143,F62)</f>
        <v>2.0321582581068004E-2</v>
      </c>
      <c r="J62" s="2">
        <f>Interpolate_Range('試算番号4-3'!$G$10:$G$143,'試算番号4-3'!$I$10:$I$143,F62)</f>
        <v>0.813404104251084</v>
      </c>
      <c r="K62" s="15">
        <f>Interpolate_Range('試算番号4-5'!$H$10:$H$137,'試算番号4-5'!$R$10:$R$137,F62)</f>
        <v>1.0371992799078582</v>
      </c>
      <c r="L62" s="1">
        <f>Interpolate_Range('試算番号4-3'!$G$27:$G$143,'試算番号4-3'!$O$27:$O$143,F62)</f>
        <v>3.436020831581145E-2</v>
      </c>
      <c r="M62" s="42">
        <f t="shared" si="0"/>
        <v>0.93988478818570464</v>
      </c>
      <c r="N62" s="33">
        <f t="shared" si="1"/>
        <v>0.7645061442334129</v>
      </c>
      <c r="O62" s="10">
        <f t="shared" si="7"/>
        <v>2.3868908152422784E-2</v>
      </c>
      <c r="P62" s="32"/>
      <c r="Q62" s="1"/>
      <c r="R62" s="10"/>
    </row>
    <row r="63" spans="6:25">
      <c r="F63" s="13">
        <f t="shared" si="9"/>
        <v>11.5</v>
      </c>
      <c r="G63" s="2">
        <f>Interpolate_Range('試算番号4-1'!$G$10:$G$143,'試算番号4-1'!$I$10:$I$143,F63)</f>
        <v>0.9019471956091808</v>
      </c>
      <c r="H63" s="33">
        <f>Interpolate_Range('試算番号4-4'!$G$10:$G$137,'試算番号4-4'!$P$10:$P$137,F63)</f>
        <v>1.1049748920752898</v>
      </c>
      <c r="I63" s="1">
        <f>Interpolate_Range('試算番号4-1'!$G$27:$G$143,'試算番号4-1'!$P$27:$P$143,F63)</f>
        <v>2.0321582581068004E-2</v>
      </c>
      <c r="J63" s="2">
        <f>Interpolate_Range('試算番号4-3'!$G$10:$G$143,'試算番号4-3'!$I$10:$I$143,F63)</f>
        <v>0.80689361968091089</v>
      </c>
      <c r="K63" s="15">
        <f>Interpolate_Range('試算番号4-5'!$H$10:$H$137,'試算番号4-5'!$R$10:$R$137,F63)</f>
        <v>1.0375864626041</v>
      </c>
      <c r="L63" s="1">
        <f>Interpolate_Range('試算番号4-3'!$G$27:$G$143,'試算番号4-3'!$O$27:$O$143,F63)</f>
        <v>3.436020831581145E-2</v>
      </c>
      <c r="M63" s="42">
        <f t="shared" si="0"/>
        <v>0.93901361021459473</v>
      </c>
      <c r="N63" s="33">
        <f t="shared" si="1"/>
        <v>0.75768409087569433</v>
      </c>
      <c r="O63" s="10">
        <f t="shared" si="7"/>
        <v>2.4129456249207135E-2</v>
      </c>
      <c r="P63" s="32"/>
      <c r="Q63" s="1"/>
      <c r="R63" s="10"/>
    </row>
    <row r="64" spans="6:25">
      <c r="F64" s="13">
        <f t="shared" si="9"/>
        <v>11.75</v>
      </c>
      <c r="G64" s="2">
        <f>Interpolate_Range('試算番号4-1'!$G$10:$G$143,'試算番号4-1'!$I$10:$I$143,F64)</f>
        <v>0.89737755418935594</v>
      </c>
      <c r="H64" s="33">
        <f>Interpolate_Range('試算番号4-4'!$G$10:$G$137,'試算番号4-4'!$P$10:$P$137,F64)</f>
        <v>1.1063632385104882</v>
      </c>
      <c r="I64" s="1">
        <f>Interpolate_Range('試算番号4-1'!$G$27:$G$143,'試算番号4-1'!$P$27:$P$143,F64)</f>
        <v>2.1323482219625618E-2</v>
      </c>
      <c r="J64" s="2">
        <f>Interpolate_Range('試算番号4-3'!$G$10:$G$143,'試算番号4-3'!$I$10:$I$143,F64)</f>
        <v>0.80038313511073766</v>
      </c>
      <c r="K64" s="15">
        <f>Interpolate_Range('試算番号4-5'!$H$10:$H$137,'試算番号4-5'!$R$10:$R$137,F64)</f>
        <v>1.0382877008924685</v>
      </c>
      <c r="L64" s="1">
        <f>Interpolate_Range('試算番号4-3'!$G$27:$G$143,'試算番号4-3'!$O$27:$O$143,F64)</f>
        <v>3.4418962322203712E-2</v>
      </c>
      <c r="M64" s="42">
        <f t="shared" si="0"/>
        <v>0.93846908931132711</v>
      </c>
      <c r="N64" s="33">
        <f t="shared" si="1"/>
        <v>0.75113483190751884</v>
      </c>
      <c r="O64" s="10">
        <f t="shared" si="7"/>
        <v>2.4354902709621377E-2</v>
      </c>
      <c r="P64" s="32"/>
      <c r="Q64" s="1"/>
      <c r="R64" s="10"/>
    </row>
    <row r="65" spans="6:18">
      <c r="F65" s="13">
        <f t="shared" si="9"/>
        <v>12</v>
      </c>
      <c r="G65" s="2">
        <f>Interpolate_Range('試算番号4-1'!$G$10:$G$143,'試算番号4-1'!$I$10:$I$143,F65)</f>
        <v>0.89280791276953098</v>
      </c>
      <c r="H65" s="33">
        <f>Interpolate_Range('試算番号4-4'!$G$10:$G$137,'試算番号4-4'!$P$10:$P$137,F65)</f>
        <v>1.1076281093146674</v>
      </c>
      <c r="I65" s="1">
        <f>Interpolate_Range('試算番号4-1'!$G$27:$G$143,'試算番号4-1'!$P$27:$P$143,F65)</f>
        <v>2.1323482219625618E-2</v>
      </c>
      <c r="J65" s="2">
        <f>Interpolate_Range('試算番号4-3'!$G$10:$G$143,'試算番号4-3'!$I$10:$I$143,F65)</f>
        <v>0.79387265054056444</v>
      </c>
      <c r="K65" s="15">
        <f>Interpolate_Range('試算番号4-5'!$H$10:$H$137,'試算番号4-5'!$R$10:$R$137,F65)</f>
        <v>1.0389273374196428</v>
      </c>
      <c r="L65" s="1">
        <f>Interpolate_Range('試算番号4-3'!$G$27:$G$143,'試算番号4-3'!$O$27:$O$143,F65)</f>
        <v>3.4418962322203712E-2</v>
      </c>
      <c r="M65" s="42">
        <f t="shared" si="0"/>
        <v>0.93797487503496779</v>
      </c>
      <c r="N65" s="33">
        <f t="shared" si="1"/>
        <v>0.74463260018446453</v>
      </c>
      <c r="O65" s="10">
        <f t="shared" si="7"/>
        <v>2.4572028029822834E-2</v>
      </c>
      <c r="P65" s="32"/>
      <c r="Q65" s="1"/>
      <c r="R65" s="10"/>
    </row>
    <row r="66" spans="6:18">
      <c r="F66" s="13">
        <f t="shared" si="9"/>
        <v>12.25</v>
      </c>
      <c r="G66" s="2">
        <f>Interpolate_Range('試算番号4-1'!$G$10:$G$143,'試算番号4-1'!$I$10:$I$143,F66)</f>
        <v>0.8880881014835228</v>
      </c>
      <c r="H66" s="33">
        <f>Interpolate_Range('試算番号4-4'!$G$10:$G$137,'試算番号4-4'!$P$10:$P$137,F66)</f>
        <v>1.1088214134102672</v>
      </c>
      <c r="I66" s="1">
        <f>Interpolate_Range('試算番号4-1'!$G$27:$G$143,'試算番号4-1'!$P$27:$P$143,F66)</f>
        <v>2.1618461464783148E-2</v>
      </c>
      <c r="J66" s="2">
        <f>Interpolate_Range('試算番号4-3'!$G$10:$G$143,'試算番号4-3'!$I$10:$I$143,F66)</f>
        <v>0.7880747503746085</v>
      </c>
      <c r="K66" s="15">
        <f>Interpolate_Range('試算番号4-5'!$H$10:$H$137,'試算番号4-5'!$R$10:$R$137,F66)</f>
        <v>1.0395880353411582</v>
      </c>
      <c r="L66" s="1">
        <f>Interpolate_Range('試算番号4-3'!$G$27:$G$143,'試算番号4-3'!$O$27:$O$143,F66)</f>
        <v>3.1184982011093213E-2</v>
      </c>
      <c r="M66" s="42">
        <f t="shared" si="0"/>
        <v>0.93756129054526793</v>
      </c>
      <c r="N66" s="33">
        <f t="shared" si="1"/>
        <v>0.73886838000735777</v>
      </c>
      <c r="O66" s="10">
        <f t="shared" si="7"/>
        <v>2.4704937096709522E-2</v>
      </c>
      <c r="P66" s="32"/>
      <c r="Q66" s="1"/>
      <c r="R66" s="10"/>
    </row>
    <row r="67" spans="6:18">
      <c r="F67" s="13">
        <f t="shared" si="9"/>
        <v>12.5</v>
      </c>
      <c r="G67" s="2">
        <f>Interpolate_Range('試算番号4-1'!$G$10:$G$143,'試算番号4-1'!$I$10:$I$143,F67)</f>
        <v>0.88336829019751462</v>
      </c>
      <c r="H67" s="33">
        <f>Interpolate_Range('試算番号4-4'!$G$10:$G$137,'試算番号4-4'!$P$10:$P$137,F67)</f>
        <v>1.1099132391774618</v>
      </c>
      <c r="I67" s="1">
        <f>Interpolate_Range('試算番号4-1'!$G$27:$G$143,'試算番号4-1'!$P$27:$P$143,F67)</f>
        <v>2.1618461464783148E-2</v>
      </c>
      <c r="J67" s="2">
        <f>Interpolate_Range('試算番号4-3'!$G$10:$G$143,'試算番号4-3'!$I$10:$I$143,F67)</f>
        <v>0.78227685020865256</v>
      </c>
      <c r="K67" s="15">
        <f>Interpolate_Range('試算番号4-5'!$H$10:$H$137,'試算番号4-5'!$R$10:$R$137,F67)</f>
        <v>1.0402066487805952</v>
      </c>
      <c r="L67" s="1">
        <f>Interpolate_Range('試算番号4-3'!$G$27:$G$143,'試算番号4-3'!$O$27:$O$143,F67)</f>
        <v>3.1184982011093213E-2</v>
      </c>
      <c r="M67" s="42">
        <f t="shared" si="0"/>
        <v>0.93719636099797765</v>
      </c>
      <c r="N67" s="33">
        <f t="shared" si="1"/>
        <v>0.73314701730850929</v>
      </c>
      <c r="O67" s="10">
        <f t="shared" si="7"/>
        <v>2.4832722231278689E-2</v>
      </c>
      <c r="P67" s="32"/>
      <c r="Q67" s="1"/>
      <c r="R67" s="10"/>
    </row>
    <row r="68" spans="6:18">
      <c r="F68" s="13">
        <f t="shared" si="9"/>
        <v>12.75</v>
      </c>
      <c r="G68" s="2">
        <f>Interpolate_Range('試算番号4-1'!$G$10:$G$143,'試算番号4-1'!$I$10:$I$143,F68)</f>
        <v>0.87864847891150633</v>
      </c>
      <c r="H68" s="33">
        <f>Interpolate_Range('試算番号4-4'!$G$10:$G$137,'試算番号4-4'!$P$10:$P$137,F68)</f>
        <v>1.1108502200983448</v>
      </c>
      <c r="I68" s="1">
        <f>Interpolate_Range('試算番号4-1'!$G$27:$G$143,'試算番号4-1'!$P$27:$P$143,F68)</f>
        <v>2.2574478510786204E-2</v>
      </c>
      <c r="J68" s="2">
        <f>Interpolate_Range('試算番号4-3'!$G$10:$G$143,'試算番号4-3'!$I$10:$I$143,F68)</f>
        <v>0.77647895004269651</v>
      </c>
      <c r="K68" s="15">
        <f>Interpolate_Range('試算番号4-5'!$H$10:$H$137,'試算番号4-5'!$R$10:$R$137,F68)</f>
        <v>1.0410164726629605</v>
      </c>
      <c r="L68" s="1">
        <f>Interpolate_Range('試算番号4-3'!$G$27:$G$143,'試算番号4-3'!$O$27:$O$143,F68)</f>
        <v>3.1205473830224262E-2</v>
      </c>
      <c r="M68" s="42">
        <f t="shared" si="0"/>
        <v>0.93713486645463162</v>
      </c>
      <c r="N68" s="33">
        <f t="shared" si="1"/>
        <v>0.72766549715309503</v>
      </c>
      <c r="O68" s="10">
        <f t="shared" si="7"/>
        <v>2.4934417122524158E-2</v>
      </c>
      <c r="P68" s="32"/>
      <c r="Q68" s="1"/>
      <c r="R68" s="10"/>
    </row>
    <row r="69" spans="6:18">
      <c r="F69" s="13">
        <f t="shared" si="9"/>
        <v>13</v>
      </c>
      <c r="G69" s="2">
        <f>Interpolate_Range('試算番号4-1'!$G$10:$G$143,'試算番号4-1'!$I$10:$I$143,F69)</f>
        <v>0.87392866762549815</v>
      </c>
      <c r="H69" s="33">
        <f>Interpolate_Range('試算番号4-4'!$G$10:$G$137,'試算番号4-4'!$P$10:$P$137,F69)</f>
        <v>1.1116825659516023</v>
      </c>
      <c r="I69" s="1">
        <f>Interpolate_Range('試算番号4-1'!$G$27:$G$143,'試算番号4-1'!$P$27:$P$143,F69)</f>
        <v>2.2574478510786204E-2</v>
      </c>
      <c r="J69" s="2">
        <f>Interpolate_Range('試算番号4-3'!$G$10:$G$143,'試算番号4-3'!$I$10:$I$143,F69)</f>
        <v>0.77068104987674058</v>
      </c>
      <c r="K69" s="15">
        <f>Interpolate_Range('試算番号4-5'!$H$10:$H$137,'試算番号4-5'!$R$10:$R$137,F69)</f>
        <v>1.0417825258451521</v>
      </c>
      <c r="L69" s="1">
        <f>Interpolate_Range('試算番号4-3'!$G$27:$G$143,'試算番号4-3'!$O$27:$O$143,F69)</f>
        <v>3.1205473830224262E-2</v>
      </c>
      <c r="M69" s="42">
        <f t="shared" si="0"/>
        <v>0.93712230249233452</v>
      </c>
      <c r="N69" s="33">
        <f t="shared" si="1"/>
        <v>0.72222239994770088</v>
      </c>
      <c r="O69" s="10">
        <f t="shared" si="7"/>
        <v>2.5032473411786636E-2</v>
      </c>
      <c r="P69" s="32"/>
      <c r="Q69" s="1"/>
      <c r="R69" s="10"/>
    </row>
    <row r="70" spans="6:18">
      <c r="F70" s="13">
        <f t="shared" si="9"/>
        <v>13.25</v>
      </c>
      <c r="G70" s="2">
        <f>Interpolate_Range('試算番号4-1'!$G$10:$G$143,'試算番号4-1'!$I$10:$I$143,F70)</f>
        <v>0.86888566892751917</v>
      </c>
      <c r="H70" s="33">
        <f>Interpolate_Range('試算番号4-4'!$G$10:$G$137,'試算番号4-4'!$P$10:$P$137,F70)</f>
        <v>1.11266873003828</v>
      </c>
      <c r="I70" s="1">
        <f>Interpolate_Range('試算番号4-1'!$G$27:$G$143,'試算番号4-1'!$P$27:$P$143,F70)</f>
        <v>2.355402363083078E-2</v>
      </c>
      <c r="J70" s="2">
        <f>Interpolate_Range('試算番号4-3'!$G$10:$G$143,'試算番号4-3'!$I$10:$I$143,F70)</f>
        <v>0.76471733924103857</v>
      </c>
      <c r="K70" s="15">
        <f>Interpolate_Range('試算番号4-5'!$H$10:$H$137,'試算番号4-5'!$R$10:$R$137,F70)</f>
        <v>1.0424383599480913</v>
      </c>
      <c r="L70" s="1">
        <f>Interpolate_Range('試算番号4-3'!$G$27:$G$143,'試算番号4-3'!$O$27:$O$143,F70)</f>
        <v>3.2845928980554683E-2</v>
      </c>
      <c r="M70" s="42">
        <f t="shared" si="0"/>
        <v>0.9368811505219774</v>
      </c>
      <c r="N70" s="33">
        <f t="shared" si="1"/>
        <v>0.71644926061224956</v>
      </c>
      <c r="O70" s="10">
        <f t="shared" si="7"/>
        <v>2.5165875459313234E-2</v>
      </c>
      <c r="P70" s="32"/>
      <c r="Q70" s="1"/>
      <c r="R70" s="10"/>
    </row>
    <row r="71" spans="6:18">
      <c r="F71" s="13">
        <f t="shared" si="9"/>
        <v>13.5</v>
      </c>
      <c r="G71" s="2">
        <f>Interpolate_Range('試算番号4-1'!$G$10:$G$143,'試算番号4-1'!$I$10:$I$143,F71)</f>
        <v>0.8638426702295402</v>
      </c>
      <c r="H71" s="33">
        <f>Interpolate_Range('試算番号4-4'!$G$10:$G$137,'試算番号4-4'!$P$10:$P$137,F71)</f>
        <v>1.113550541701154</v>
      </c>
      <c r="I71" s="1">
        <f>Interpolate_Range('試算番号4-1'!$G$27:$G$143,'試算番号4-1'!$P$27:$P$143,F71)</f>
        <v>2.355402363083078E-2</v>
      </c>
      <c r="J71" s="2">
        <f>Interpolate_Range('試算番号4-3'!$G$10:$G$143,'試算番号4-3'!$I$10:$I$143,F71)</f>
        <v>0.75875362860533657</v>
      </c>
      <c r="K71" s="15">
        <f>Interpolate_Range('試算番号4-5'!$H$10:$H$137,'試算番号4-5'!$R$10:$R$137,F71)</f>
        <v>1.0430499681293033</v>
      </c>
      <c r="L71" s="1">
        <f>Interpolate_Range('試算番号4-3'!$G$27:$G$143,'試算番号4-3'!$O$27:$O$143,F71)</f>
        <v>3.2845928980554683E-2</v>
      </c>
      <c r="M71" s="42">
        <f t="shared" si="0"/>
        <v>0.93668848343053379</v>
      </c>
      <c r="N71" s="33">
        <f t="shared" si="1"/>
        <v>0.71071578567574722</v>
      </c>
      <c r="O71" s="10">
        <f t="shared" si="7"/>
        <v>2.5295012440625594E-2</v>
      </c>
      <c r="P71" s="32"/>
      <c r="Q71" s="1"/>
      <c r="R71" s="10"/>
    </row>
    <row r="72" spans="6:18">
      <c r="F72" s="13">
        <f t="shared" si="9"/>
        <v>13.75</v>
      </c>
      <c r="G72" s="2">
        <f>Interpolate_Range('試算番号4-1'!$G$10:$G$143,'試算番号4-1'!$I$10:$I$143,F72)</f>
        <v>0.85879967153156123</v>
      </c>
      <c r="H72" s="33">
        <f>Interpolate_Range('試算番号4-4'!$G$10:$G$137,'試算番号4-4'!$P$10:$P$137,F72)</f>
        <v>1.1142702821421544</v>
      </c>
      <c r="I72" s="1">
        <f>Interpolate_Range('試算番号4-1'!$G$27:$G$143,'試算番号4-1'!$P$27:$P$143,F72)</f>
        <v>2.4538449300093027E-2</v>
      </c>
      <c r="J72" s="2">
        <f>Interpolate_Range('試算番号4-3'!$G$10:$G$143,'試算番号4-3'!$I$10:$I$143,F72)</f>
        <v>0.75278991796963446</v>
      </c>
      <c r="K72" s="15">
        <f>Interpolate_Range('試算番号4-5'!$H$10:$H$137,'試算番号4-5'!$R$10:$R$137,F72)</f>
        <v>1.0438474941326845</v>
      </c>
      <c r="L72" s="1">
        <f>Interpolate_Range('試算番号4-3'!$G$27:$G$143,'試算番号4-3'!$O$27:$O$143,F72)</f>
        <v>3.2904746072837214E-2</v>
      </c>
      <c r="M72" s="42">
        <f t="shared" si="0"/>
        <v>0.93679918675199347</v>
      </c>
      <c r="N72" s="33">
        <f t="shared" si="1"/>
        <v>0.70521298294905344</v>
      </c>
      <c r="O72" s="10">
        <f t="shared" si="7"/>
        <v>2.5400394059643613E-2</v>
      </c>
      <c r="P72" s="32"/>
      <c r="Q72" s="1"/>
      <c r="R72" s="10"/>
    </row>
    <row r="73" spans="6:18">
      <c r="F73" s="13">
        <f t="shared" si="9"/>
        <v>14</v>
      </c>
      <c r="G73" s="2">
        <f>Interpolate_Range('試算番号4-1'!$G$10:$G$143,'試算番号4-1'!$I$10:$I$143,F73)</f>
        <v>0.85375667283358225</v>
      </c>
      <c r="H73" s="33">
        <f>Interpolate_Range('試算番号4-4'!$G$10:$G$137,'試算番号4-4'!$P$10:$P$137,F73)</f>
        <v>1.1148823485314479</v>
      </c>
      <c r="I73" s="1">
        <f>Interpolate_Range('試算番号4-1'!$G$27:$G$143,'試算番号4-1'!$P$27:$P$143,F73)</f>
        <v>2.4538449300093027E-2</v>
      </c>
      <c r="J73" s="2">
        <f>Interpolate_Range('試算番号4-3'!$G$10:$G$143,'試算番号4-3'!$I$10:$I$143,F73)</f>
        <v>0.74682620733393246</v>
      </c>
      <c r="K73" s="15">
        <f>Interpolate_Range('試算番号4-5'!$H$10:$H$137,'試算番号4-5'!$R$10:$R$137,F73)</f>
        <v>1.0445989303798882</v>
      </c>
      <c r="L73" s="1">
        <f>Interpolate_Range('試算番号4-3'!$G$27:$G$143,'試算番号4-3'!$O$27:$O$143,F73)</f>
        <v>3.2904746072837214E-2</v>
      </c>
      <c r="M73" s="42">
        <f t="shared" si="0"/>
        <v>0.93695889234936869</v>
      </c>
      <c r="N73" s="33">
        <f t="shared" si="1"/>
        <v>0.69974545600108129</v>
      </c>
      <c r="O73" s="10">
        <f t="shared" si="7"/>
        <v>2.5502760310991461E-2</v>
      </c>
      <c r="P73" s="32"/>
      <c r="Q73" s="1"/>
      <c r="R73" s="10"/>
    </row>
    <row r="74" spans="6:18">
      <c r="F74" s="13">
        <f t="shared" si="9"/>
        <v>14.25</v>
      </c>
      <c r="G74" s="2">
        <f>Interpolate_Range('試算番号4-1'!$G$10:$G$143,'試算番号4-1'!$I$10:$I$143,F74)</f>
        <v>0.84840723745581959</v>
      </c>
      <c r="H74" s="33">
        <f>Interpolate_Range('試算番号4-4'!$G$10:$G$137,'試算番号4-4'!$P$10:$P$137,F74)</f>
        <v>1.1156528241493273</v>
      </c>
      <c r="I74" s="1">
        <f>Interpolate_Range('試算番号4-1'!$G$27:$G$143,'試算番号4-1'!$P$27:$P$143,F74)</f>
        <v>2.5545002383306883E-2</v>
      </c>
      <c r="J74" s="2">
        <f>Interpolate_Range('試算番号4-3'!$G$10:$G$143,'試算番号4-3'!$I$10:$I$143,F74)</f>
        <v>0.7407131177791354</v>
      </c>
      <c r="K74" s="15">
        <f>Interpolate_Range('試算番号4-5'!$H$10:$H$137,'試算番号4-5'!$R$10:$R$137,F74)</f>
        <v>1.0452399338379428</v>
      </c>
      <c r="L74" s="1">
        <f>Interpolate_Range('試算番号4-3'!$G$27:$G$143,'試算番号4-3'!$O$27:$O$143,F74)</f>
        <v>3.4596126273169006E-2</v>
      </c>
      <c r="M74" s="42">
        <f t="shared" si="0"/>
        <v>0.93688637828253285</v>
      </c>
      <c r="N74" s="33">
        <f t="shared" si="1"/>
        <v>0.69396403026245734</v>
      </c>
      <c r="O74" s="10">
        <f t="shared" si="7"/>
        <v>2.5637554344669002E-2</v>
      </c>
      <c r="P74" s="32"/>
      <c r="Q74" s="1"/>
      <c r="R74" s="10"/>
    </row>
    <row r="75" spans="6:18">
      <c r="F75" s="13">
        <f t="shared" si="9"/>
        <v>14.5</v>
      </c>
      <c r="G75" s="2">
        <f>Interpolate_Range('試算番号4-1'!$G$10:$G$143,'試算番号4-1'!$I$10:$I$143,F75)</f>
        <v>0.84305780207805703</v>
      </c>
      <c r="H75" s="33">
        <f>Interpolate_Range('試算番号4-4'!$G$10:$G$137,'試算番号4-4'!$P$10:$P$137,F75)</f>
        <v>1.116316161163035</v>
      </c>
      <c r="I75" s="1">
        <f>Interpolate_Range('試算番号4-1'!$G$27:$G$143,'試算番号4-1'!$P$27:$P$143,F75)</f>
        <v>2.5545002383306883E-2</v>
      </c>
      <c r="J75" s="2">
        <f>Interpolate_Range('試算番号4-3'!$G$10:$G$143,'試算番号4-3'!$I$10:$I$143,F75)</f>
        <v>0.73460002822433834</v>
      </c>
      <c r="K75" s="15">
        <f>Interpolate_Range('試算番号4-5'!$H$10:$H$137,'試算番号4-5'!$R$10:$R$137,F75)</f>
        <v>1.045834501613975</v>
      </c>
      <c r="L75" s="1">
        <f>Interpolate_Range('試算番号4-3'!$G$27:$G$143,'試算番号4-3'!$O$27:$O$143,F75)</f>
        <v>3.4596126273169006E-2</v>
      </c>
      <c r="M75" s="42">
        <f t="shared" ref="M75:M137" si="10">K75/H75</f>
        <v>0.93686227790912868</v>
      </c>
      <c r="N75" s="33">
        <f t="shared" ref="N75:N137" si="11">M75*J75</f>
        <v>0.68821905579436382</v>
      </c>
      <c r="O75" s="10">
        <f t="shared" si="7"/>
        <v>2.5768834253502987E-2</v>
      </c>
      <c r="P75" s="32"/>
      <c r="Q75" s="1"/>
      <c r="R75" s="10"/>
    </row>
    <row r="76" spans="6:18">
      <c r="F76" s="13">
        <f t="shared" si="9"/>
        <v>14.75</v>
      </c>
      <c r="G76" s="2">
        <f>Interpolate_Range('試算番号4-1'!$G$10:$G$143,'試算番号4-1'!$I$10:$I$143,F76)</f>
        <v>0.83770836670029447</v>
      </c>
      <c r="H76" s="33">
        <f>Interpolate_Range('試算番号4-4'!$G$10:$G$137,'試算番号4-4'!$P$10:$P$137,F76)</f>
        <v>1.1168113386331813</v>
      </c>
      <c r="I76" s="1">
        <f>Interpolate_Range('試算番号4-1'!$G$27:$G$143,'試算番号4-1'!$P$27:$P$143,F76)</f>
        <v>2.6557625055053113E-2</v>
      </c>
      <c r="J76" s="2">
        <f>Interpolate_Range('試算番号4-3'!$G$10:$G$143,'試算番号4-3'!$I$10:$I$143,F76)</f>
        <v>0.72848693866954128</v>
      </c>
      <c r="K76" s="15">
        <f>Interpolate_Range('試算番号4-5'!$H$10:$H$137,'試算番号4-5'!$R$10:$R$137,F76)</f>
        <v>1.0466197306006793</v>
      </c>
      <c r="L76" s="1">
        <f>Interpolate_Range('試算番号4-3'!$G$27:$G$143,'試算番号4-3'!$O$27:$O$143,F76)</f>
        <v>3.465792897281561E-2</v>
      </c>
      <c r="M76" s="42">
        <f t="shared" si="10"/>
        <v>0.9371499862112731</v>
      </c>
      <c r="N76" s="33">
        <f t="shared" si="11"/>
        <v>0.68270152452925315</v>
      </c>
      <c r="O76" s="10">
        <f t="shared" si="7"/>
        <v>2.5877798065917636E-2</v>
      </c>
      <c r="P76" s="32"/>
      <c r="Q76" s="1"/>
      <c r="R76" s="10"/>
    </row>
    <row r="77" spans="6:18">
      <c r="F77" s="13">
        <f t="shared" si="9"/>
        <v>15</v>
      </c>
      <c r="G77" s="2">
        <f>Interpolate_Range('試算番号4-1'!$G$10:$G$143,'試算番号4-1'!$I$10:$I$143,F77)</f>
        <v>0.8323589313225318</v>
      </c>
      <c r="H77" s="33">
        <f>Interpolate_Range('試算番号4-4'!$G$10:$G$137,'試算番号4-4'!$P$10:$P$137,F77)</f>
        <v>1.1171958708841898</v>
      </c>
      <c r="I77" s="1">
        <f>Interpolate_Range('試算番号4-1'!$G$27:$G$143,'試算番号4-1'!$P$27:$P$143,F77)</f>
        <v>2.6557625055053113E-2</v>
      </c>
      <c r="J77" s="2">
        <f>Interpolate_Range('試算番号4-3'!$G$10:$G$143,'試算番号4-3'!$I$10:$I$143,F77)</f>
        <v>0.72237384911474423</v>
      </c>
      <c r="K77" s="15">
        <f>Interpolate_Range('試算番号4-5'!$H$10:$H$137,'試算番号4-5'!$R$10:$R$137,F77)</f>
        <v>1.0473564694944646</v>
      </c>
      <c r="L77" s="1">
        <f>Interpolate_Range('試算番号4-3'!$G$27:$G$143,'試算番号4-3'!$O$27:$O$143,F77)</f>
        <v>3.465792897281561E-2</v>
      </c>
      <c r="M77" s="42">
        <f t="shared" si="10"/>
        <v>0.93748687834439293</v>
      </c>
      <c r="N77" s="33">
        <f t="shared" si="11"/>
        <v>0.67721600480420507</v>
      </c>
      <c r="O77" s="10">
        <f t="shared" si="7"/>
        <v>2.5984333014002839E-2</v>
      </c>
      <c r="P77" s="32"/>
      <c r="Q77" s="1"/>
      <c r="R77" s="10"/>
    </row>
    <row r="78" spans="6:18">
      <c r="F78" s="13">
        <f t="shared" si="9"/>
        <v>15.25</v>
      </c>
      <c r="G78" s="2">
        <f>Interpolate_Range('試算番号4-1'!$G$10:$G$143,'試算番号4-1'!$I$10:$I$143,F78)</f>
        <v>0.82775881854766187</v>
      </c>
      <c r="H78" s="33">
        <f>Interpolate_Range('試算番号4-4'!$G$10:$G$137,'試算番号4-4'!$P$10:$P$137,F78)</f>
        <v>1.1177430227584553</v>
      </c>
      <c r="I78" s="1">
        <f>Interpolate_Range('試算番号4-1'!$G$27:$G$143,'試算番号4-1'!$P$27:$P$143,F78)</f>
        <v>2.2884139047521398E-2</v>
      </c>
      <c r="J78" s="2">
        <f>Interpolate_Range('試算番号4-3'!$G$10:$G$143,'試算番号4-3'!$I$10:$I$143,F78)</f>
        <v>0.71767449787536564</v>
      </c>
      <c r="K78" s="15">
        <f>Interpolate_Range('試算番号4-5'!$H$10:$H$137,'試算番号4-5'!$R$10:$R$137,F78)</f>
        <v>1.0480308277461836</v>
      </c>
      <c r="L78" s="1">
        <f>Interpolate_Range('試算番号4-3'!$G$27:$G$143,'試算番号4-3'!$O$27:$O$143,F78)</f>
        <v>2.7797000137672018E-2</v>
      </c>
      <c r="M78" s="42">
        <f t="shared" si="10"/>
        <v>0.93763128591021727</v>
      </c>
      <c r="N78" s="33">
        <f t="shared" si="11"/>
        <v>0.67291406230784856</v>
      </c>
      <c r="O78" s="10">
        <f t="shared" si="7"/>
        <v>2.5976239405990812E-2</v>
      </c>
      <c r="P78" s="32"/>
      <c r="Q78" s="1"/>
      <c r="R78" s="10"/>
    </row>
    <row r="79" spans="6:18">
      <c r="F79" s="13">
        <f t="shared" si="9"/>
        <v>15.5</v>
      </c>
      <c r="G79" s="2">
        <f>Interpolate_Range('試算番号4-1'!$G$10:$G$143,'試算番号4-1'!$I$10:$I$143,F79)</f>
        <v>0.82315870577279204</v>
      </c>
      <c r="H79" s="33">
        <f>Interpolate_Range('試算番号4-4'!$G$10:$G$137,'試算番号4-4'!$P$10:$P$137,F79)</f>
        <v>1.1182037052211706</v>
      </c>
      <c r="I79" s="1">
        <f>Interpolate_Range('試算番号4-1'!$G$27:$G$143,'試算番号4-1'!$P$27:$P$143,F79)</f>
        <v>2.2884139047521398E-2</v>
      </c>
      <c r="J79" s="2">
        <f>Interpolate_Range('試算番号4-3'!$G$10:$G$143,'試算番号4-3'!$I$10:$I$143,F79)</f>
        <v>0.71297514663598704</v>
      </c>
      <c r="K79" s="15">
        <f>Interpolate_Range('試算番号4-5'!$H$10:$H$137,'試算番号4-5'!$R$10:$R$137,F79)</f>
        <v>1.0486652959795126</v>
      </c>
      <c r="L79" s="1">
        <f>Interpolate_Range('試算番号4-3'!$G$27:$G$143,'試算番号4-3'!$O$27:$O$143,F79)</f>
        <v>2.7797000137672018E-2</v>
      </c>
      <c r="M79" s="42">
        <f t="shared" si="10"/>
        <v>0.93781239597314348</v>
      </c>
      <c r="N79" s="33">
        <f t="shared" si="11"/>
        <v>0.66863693053599826</v>
      </c>
      <c r="O79" s="10">
        <f t="shared" si="7"/>
        <v>2.5968649735540139E-2</v>
      </c>
      <c r="P79" s="32"/>
      <c r="Q79" s="1"/>
      <c r="R79" s="10"/>
    </row>
    <row r="80" spans="6:18">
      <c r="F80" s="13">
        <f t="shared" si="9"/>
        <v>15.75</v>
      </c>
      <c r="G80" s="2">
        <f>Interpolate_Range('試算番号4-1'!$G$10:$G$143,'試算番号4-1'!$I$10:$I$143,F80)</f>
        <v>0.81855859299792211</v>
      </c>
      <c r="H80" s="33">
        <f>Interpolate_Range('試算番号4-4'!$G$10:$G$137,'試算番号4-4'!$P$10:$P$137,F80)</f>
        <v>1.1184938122219423</v>
      </c>
      <c r="I80" s="1">
        <f>Interpolate_Range('試算番号4-1'!$G$27:$G$143,'試算番号4-1'!$P$27:$P$143,F80)</f>
        <v>2.3546339233193925E-2</v>
      </c>
      <c r="J80" s="2">
        <f>Interpolate_Range('試算番号4-3'!$G$10:$G$143,'試算番号4-3'!$I$10:$I$143,F80)</f>
        <v>0.70827579539660845</v>
      </c>
      <c r="K80" s="15">
        <f>Interpolate_Range('試算番号4-5'!$H$10:$H$137,'試算番号4-5'!$R$10:$R$137,F80)</f>
        <v>1.04937881041768</v>
      </c>
      <c r="L80" s="1">
        <f>Interpolate_Range('試算番号4-3'!$G$27:$G$143,'試算番号4-3'!$O$27:$O$143,F80)</f>
        <v>2.7785763207518886E-2</v>
      </c>
      <c r="M80" s="42">
        <f t="shared" si="10"/>
        <v>0.93820707718806062</v>
      </c>
      <c r="N80" s="33">
        <f t="shared" si="11"/>
        <v>0.66450936384210091</v>
      </c>
      <c r="O80" s="10">
        <f t="shared" si="7"/>
        <v>2.5949606943961805E-2</v>
      </c>
      <c r="P80" s="32"/>
      <c r="Q80" s="1"/>
      <c r="R80" s="10"/>
    </row>
    <row r="81" spans="6:18">
      <c r="F81" s="13">
        <f t="shared" si="9"/>
        <v>16</v>
      </c>
      <c r="G81" s="2">
        <f>Interpolate_Range('試算番号4-1'!$G$10:$G$143,'試算番号4-1'!$I$10:$I$143,F81)</f>
        <v>0.81395848022305217</v>
      </c>
      <c r="H81" s="33">
        <f>Interpolate_Range('試算番号4-4'!$G$10:$G$137,'試算番号4-4'!$P$10:$P$137,F81)</f>
        <v>1.1186954700582297</v>
      </c>
      <c r="I81" s="1">
        <f>Interpolate_Range('試算番号4-1'!$G$27:$G$143,'試算番号4-1'!$P$27:$P$143,F81)</f>
        <v>2.3546339233193925E-2</v>
      </c>
      <c r="J81" s="2">
        <f>Interpolate_Range('試算番号4-3'!$G$10:$G$143,'試算番号4-3'!$I$10:$I$143,F81)</f>
        <v>0.70357644415722986</v>
      </c>
      <c r="K81" s="15">
        <f>Interpolate_Range('試算番号4-5'!$H$10:$H$137,'試算番号4-5'!$R$10:$R$137,F81)</f>
        <v>1.0500512132715598</v>
      </c>
      <c r="L81" s="1">
        <f>Interpolate_Range('試算番号4-3'!$G$27:$G$143,'試算番号4-3'!$O$27:$O$143,F81)</f>
        <v>2.7785763207518886E-2</v>
      </c>
      <c r="M81" s="42">
        <f t="shared" si="10"/>
        <v>0.93863901425908447</v>
      </c>
      <c r="N81" s="33">
        <f t="shared" si="11"/>
        <v>0.660404299999654</v>
      </c>
      <c r="O81" s="10">
        <f t="shared" ref="O81:O137" si="12">-LN(N81)/F81</f>
        <v>2.5931440984534735E-2</v>
      </c>
      <c r="P81" s="32"/>
      <c r="Q81" s="1"/>
      <c r="R81" s="10"/>
    </row>
    <row r="82" spans="6:18">
      <c r="F82" s="13">
        <f t="shared" si="9"/>
        <v>16.25</v>
      </c>
      <c r="G82" s="2">
        <f>Interpolate_Range('試算番号4-1'!$G$10:$G$143,'試算番号4-1'!$I$10:$I$143,F82)</f>
        <v>0.80918258613114591</v>
      </c>
      <c r="H82" s="33">
        <f>Interpolate_Range('試算番号4-4'!$G$10:$G$137,'試算番号4-4'!$P$10:$P$137,F82)</f>
        <v>1.119028073890141</v>
      </c>
      <c r="I82" s="1">
        <f>Interpolate_Range('試算番号4-1'!$G$27:$G$143,'試算番号4-1'!$P$27:$P$143,F82)</f>
        <v>2.4245543983335928E-2</v>
      </c>
      <c r="J82" s="2">
        <f>Interpolate_Range('試算番号4-3'!$G$10:$G$143,'試算番号4-3'!$I$10:$I$143,F82)</f>
        <v>0.69887636112283968</v>
      </c>
      <c r="K82" s="15">
        <f>Interpolate_Range('試算番号4-5'!$H$10:$H$137,'試算番号4-5'!$R$10:$R$137,F82)</f>
        <v>1.0507251687498513</v>
      </c>
      <c r="L82" s="1">
        <f>Interpolate_Range('試算番号4-3'!$G$27:$G$143,'試算番号4-3'!$O$27:$O$143,F82)</f>
        <v>2.8385434427050091E-2</v>
      </c>
      <c r="M82" s="42">
        <f t="shared" si="10"/>
        <v>0.93896229528644048</v>
      </c>
      <c r="N82" s="33">
        <f t="shared" si="11"/>
        <v>0.65621855216133684</v>
      </c>
      <c r="O82" s="10">
        <f t="shared" si="12"/>
        <v>2.5923777645574544E-2</v>
      </c>
      <c r="P82" s="32"/>
      <c r="Q82" s="1"/>
      <c r="R82" s="10"/>
    </row>
    <row r="83" spans="6:18">
      <c r="F83" s="13">
        <f t="shared" si="9"/>
        <v>16.5</v>
      </c>
      <c r="G83" s="2">
        <f>Interpolate_Range('試算番号4-1'!$G$10:$G$143,'試算番号4-1'!$I$10:$I$143,F83)</f>
        <v>0.80440669203923965</v>
      </c>
      <c r="H83" s="33">
        <f>Interpolate_Range('試算番号4-4'!$G$10:$G$137,'試算番号4-4'!$P$10:$P$137,F83)</f>
        <v>1.119274328710218</v>
      </c>
      <c r="I83" s="1">
        <f>Interpolate_Range('試算番号4-1'!$G$27:$G$143,'試算番号4-1'!$P$27:$P$143,F83)</f>
        <v>2.4245543983335928E-2</v>
      </c>
      <c r="J83" s="2">
        <f>Interpolate_Range('試算番号4-3'!$G$10:$G$143,'試算番号4-3'!$I$10:$I$143,F83)</f>
        <v>0.69417627808844917</v>
      </c>
      <c r="K83" s="15">
        <f>Interpolate_Range('試算番号4-5'!$H$10:$H$137,'試算番号4-5'!$R$10:$R$137,F83)</f>
        <v>1.0513580283685597</v>
      </c>
      <c r="L83" s="1">
        <f>Interpolate_Range('試算番号4-3'!$G$27:$G$143,'試算番号4-3'!$O$27:$O$143,F83)</f>
        <v>2.8385434427050091E-2</v>
      </c>
      <c r="M83" s="42">
        <f t="shared" si="10"/>
        <v>0.93932113102252524</v>
      </c>
      <c r="N83" s="33">
        <f t="shared" si="11"/>
        <v>0.65205444666304913</v>
      </c>
      <c r="O83" s="10">
        <f t="shared" si="12"/>
        <v>2.591680081152099E-2</v>
      </c>
      <c r="P83" s="32"/>
      <c r="Q83" s="1"/>
      <c r="R83" s="10"/>
    </row>
    <row r="84" spans="6:18">
      <c r="F84" s="13">
        <f t="shared" si="9"/>
        <v>16.75</v>
      </c>
      <c r="G84" s="2">
        <f>Interpolate_Range('試算番号4-1'!$G$10:$G$143,'試算番号4-1'!$I$10:$I$143,F84)</f>
        <v>0.79963079794733327</v>
      </c>
      <c r="H84" s="33">
        <f>Interpolate_Range('試算番号4-4'!$G$10:$G$137,'試算番号4-4'!$P$10:$P$137,F84)</f>
        <v>1.1193403040802825</v>
      </c>
      <c r="I84" s="1">
        <f>Interpolate_Range('試算番号4-1'!$G$27:$G$143,'試算番号4-1'!$P$27:$P$143,F84)</f>
        <v>2.4949227041731418E-2</v>
      </c>
      <c r="J84" s="2">
        <f>Interpolate_Range('試算番号4-3'!$G$10:$G$143,'試算番号4-3'!$I$10:$I$143,F84)</f>
        <v>0.68947619505405888</v>
      </c>
      <c r="K84" s="15">
        <f>Interpolate_Range('試算番号4-5'!$H$10:$H$137,'試算番号4-5'!$R$10:$R$137,F84)</f>
        <v>1.0520582012885029</v>
      </c>
      <c r="L84" s="1">
        <f>Interpolate_Range('試算番号4-3'!$G$27:$G$143,'試算番号4-3'!$O$27:$O$143,F84)</f>
        <v>2.8424136505520919E-2</v>
      </c>
      <c r="M84" s="42">
        <f t="shared" si="10"/>
        <v>0.93989128905077479</v>
      </c>
      <c r="N84" s="33">
        <f t="shared" si="11"/>
        <v>0.64803266973918283</v>
      </c>
      <c r="O84" s="10">
        <f t="shared" si="12"/>
        <v>2.5899353291734237E-2</v>
      </c>
      <c r="P84" s="32"/>
      <c r="Q84" s="1"/>
      <c r="R84" s="10"/>
    </row>
    <row r="85" spans="6:18">
      <c r="F85" s="13">
        <f t="shared" si="9"/>
        <v>17</v>
      </c>
      <c r="G85" s="2">
        <f>Interpolate_Range('試算番号4-1'!$G$10:$G$143,'試算番号4-1'!$I$10:$I$143,F85)</f>
        <v>0.79485490385542701</v>
      </c>
      <c r="H85" s="33">
        <f>Interpolate_Range('試算番号4-4'!$G$10:$G$137,'試算番号4-4'!$P$10:$P$137,F85)</f>
        <v>1.1193179276651839</v>
      </c>
      <c r="I85" s="1">
        <f>Interpolate_Range('試算番号4-1'!$G$27:$G$143,'試算番号4-1'!$P$27:$P$143,F85)</f>
        <v>2.4949227041731418E-2</v>
      </c>
      <c r="J85" s="2">
        <f>Interpolate_Range('試算番号4-3'!$G$10:$G$143,'試算番号4-3'!$I$10:$I$143,F85)</f>
        <v>0.6847761120196687</v>
      </c>
      <c r="K85" s="15">
        <f>Interpolate_Range('試算番号4-5'!$H$10:$H$137,'試算番号4-5'!$R$10:$R$137,F85)</f>
        <v>1.0527159710008858</v>
      </c>
      <c r="L85" s="1">
        <f>Interpolate_Range('試算番号4-3'!$G$27:$G$143,'試算番号4-3'!$O$27:$O$143,F85)</f>
        <v>2.8424136505520919E-2</v>
      </c>
      <c r="M85" s="42">
        <f t="shared" si="10"/>
        <v>0.94049773078929866</v>
      </c>
      <c r="N85" s="33">
        <f t="shared" si="11"/>
        <v>0.64403037945321695</v>
      </c>
      <c r="O85" s="10">
        <f t="shared" si="12"/>
        <v>2.5882904760376232E-2</v>
      </c>
      <c r="P85" s="32"/>
      <c r="Q85" s="1"/>
      <c r="R85" s="10"/>
    </row>
    <row r="86" spans="6:18">
      <c r="F86" s="13">
        <f t="shared" si="9"/>
        <v>17.25</v>
      </c>
      <c r="G86" s="2">
        <f>Interpolate_Range('試算番号4-1'!$G$10:$G$143,'試算番号4-1'!$I$10:$I$143,F86)</f>
        <v>0.78991386111667228</v>
      </c>
      <c r="H86" s="33">
        <f>Interpolate_Range('試算番号4-4'!$G$10:$G$137,'試算番号4-4'!$P$10:$P$137,F86)</f>
        <v>1.119422741212321</v>
      </c>
      <c r="I86" s="1">
        <f>Interpolate_Range('試算番号4-1'!$G$27:$G$143,'試算番号4-1'!$P$27:$P$143,F86)</f>
        <v>2.5666815114207726E-2</v>
      </c>
      <c r="J86" s="2">
        <f>Interpolate_Range('試算番号4-3'!$G$10:$G$143,'試算番号4-3'!$I$10:$I$143,F86)</f>
        <v>0.68007931450671832</v>
      </c>
      <c r="K86" s="15">
        <f>Interpolate_Range('試算番号4-5'!$H$10:$H$137,'試算番号4-5'!$R$10:$R$137,F86)</f>
        <v>1.0533764498263249</v>
      </c>
      <c r="L86" s="1">
        <f>Interpolate_Range('試算番号4-3'!$G$27:$G$143,'試算番号4-3'!$O$27:$O$143,F86)</f>
        <v>2.9037655687370146E-2</v>
      </c>
      <c r="M86" s="42">
        <f t="shared" si="10"/>
        <v>0.94099968764752029</v>
      </c>
      <c r="N86" s="33">
        <f t="shared" si="11"/>
        <v>0.6399544225263617</v>
      </c>
      <c r="O86" s="10">
        <f t="shared" si="12"/>
        <v>2.58758446357608E-2</v>
      </c>
      <c r="P86" s="32"/>
      <c r="Q86" s="1"/>
      <c r="R86" s="10"/>
    </row>
    <row r="87" spans="6:18">
      <c r="F87" s="13">
        <f t="shared" si="9"/>
        <v>17.5</v>
      </c>
      <c r="G87" s="2">
        <f>Interpolate_Range('試算番号4-1'!$G$10:$G$143,'試算番号4-1'!$I$10:$I$143,F87)</f>
        <v>0.78497281837791755</v>
      </c>
      <c r="H87" s="33">
        <f>Interpolate_Range('試算番号4-4'!$G$10:$G$137,'試算番号4-4'!$P$10:$P$137,F87)</f>
        <v>1.1194414378189705</v>
      </c>
      <c r="I87" s="1">
        <f>Interpolate_Range('試算番号4-1'!$G$27:$G$143,'試算番号4-1'!$P$27:$P$143,F87)</f>
        <v>2.5666815114207726E-2</v>
      </c>
      <c r="J87" s="2">
        <f>Interpolate_Range('試算番号4-3'!$G$10:$G$143,'試算番号4-3'!$I$10:$I$143,F87)</f>
        <v>0.67538251699376806</v>
      </c>
      <c r="K87" s="15">
        <f>Interpolate_Range('試算番号4-5'!$H$10:$H$137,'試算番号4-5'!$R$10:$R$137,F87)</f>
        <v>1.0539945811153204</v>
      </c>
      <c r="L87" s="1">
        <f>Interpolate_Range('試算番号4-3'!$G$27:$G$143,'試算番号4-3'!$O$27:$O$143,F87)</f>
        <v>2.9037655687370146E-2</v>
      </c>
      <c r="M87" s="42">
        <f t="shared" si="10"/>
        <v>0.94153614964337795</v>
      </c>
      <c r="N87" s="33">
        <f t="shared" si="11"/>
        <v>0.6358970545867656</v>
      </c>
      <c r="O87" s="10">
        <f t="shared" si="12"/>
        <v>2.5869633862895407E-2</v>
      </c>
      <c r="P87" s="32"/>
      <c r="Q87" s="1"/>
      <c r="R87" s="10"/>
    </row>
    <row r="88" spans="6:18">
      <c r="F88" s="13">
        <f t="shared" si="9"/>
        <v>17.75</v>
      </c>
      <c r="G88" s="2">
        <f>Interpolate_Range('試算番号4-1'!$G$10:$G$143,'試算番号4-1'!$I$10:$I$143,F88)</f>
        <v>0.78003177563916282</v>
      </c>
      <c r="H88" s="33">
        <f>Interpolate_Range('試算番号4-4'!$G$10:$G$137,'試算番号4-4'!$P$10:$P$137,F88)</f>
        <v>1.1192769346390135</v>
      </c>
      <c r="I88" s="1">
        <f>Interpolate_Range('試算番号4-1'!$G$27:$G$143,'試算番号4-1'!$P$27:$P$143,F88)</f>
        <v>2.6389557360264711E-2</v>
      </c>
      <c r="J88" s="2">
        <f>Interpolate_Range('試算番号4-3'!$G$10:$G$143,'試算番号4-3'!$I$10:$I$143,F88)</f>
        <v>0.67068571948081779</v>
      </c>
      <c r="K88" s="15">
        <f>Interpolate_Range('試算番号4-5'!$H$10:$H$137,'試算番号4-5'!$R$10:$R$137,F88)</f>
        <v>1.0546812224697508</v>
      </c>
      <c r="L88" s="1">
        <f>Interpolate_Range('試算番号4-3'!$G$27:$G$143,'試算番号4-3'!$O$27:$O$143,F88)</f>
        <v>2.9077449056443924E-2</v>
      </c>
      <c r="M88" s="42">
        <f t="shared" si="10"/>
        <v>0.94228799846563804</v>
      </c>
      <c r="N88" s="33">
        <f t="shared" si="11"/>
        <v>0.63197910420906622</v>
      </c>
      <c r="O88" s="10">
        <f t="shared" si="12"/>
        <v>2.5853461878434344E-2</v>
      </c>
      <c r="P88" s="32"/>
      <c r="Q88" s="1"/>
      <c r="R88" s="10"/>
    </row>
    <row r="89" spans="6:18">
      <c r="F89" s="13">
        <f t="shared" si="9"/>
        <v>18</v>
      </c>
      <c r="G89" s="2">
        <f>Interpolate_Range('試算番号4-1'!$G$10:$G$143,'試算番号4-1'!$I$10:$I$143,F89)</f>
        <v>0.77509073290040809</v>
      </c>
      <c r="H89" s="33">
        <f>Interpolate_Range('試算番号4-4'!$G$10:$G$137,'試算番号4-4'!$P$10:$P$137,F89)</f>
        <v>1.1190242959323193</v>
      </c>
      <c r="I89" s="1">
        <f>Interpolate_Range('試算番号4-1'!$G$27:$G$143,'試算番号4-1'!$P$27:$P$143,F89)</f>
        <v>2.6389557360264711E-2</v>
      </c>
      <c r="J89" s="2">
        <f>Interpolate_Range('試算番号4-3'!$G$10:$G$143,'試算番号4-3'!$I$10:$I$143,F89)</f>
        <v>0.66598892196786741</v>
      </c>
      <c r="K89" s="15">
        <f>Interpolate_Range('試算番号4-5'!$H$10:$H$137,'試算番号4-5'!$R$10:$R$137,F89)</f>
        <v>1.0553241264761293</v>
      </c>
      <c r="L89" s="1">
        <f>Interpolate_Range('試算番号4-3'!$G$27:$G$143,'試算番号4-3'!$O$27:$O$143,F89)</f>
        <v>2.9077449056443924E-2</v>
      </c>
      <c r="M89" s="42">
        <f t="shared" si="10"/>
        <v>0.94307525789409419</v>
      </c>
      <c r="N89" s="33">
        <f t="shared" si="11"/>
        <v>0.62807767433945627</v>
      </c>
      <c r="O89" s="10">
        <f t="shared" si="12"/>
        <v>2.5838413050467638E-2</v>
      </c>
      <c r="P89" s="32"/>
      <c r="Q89" s="1"/>
      <c r="R89" s="10"/>
    </row>
    <row r="90" spans="6:18">
      <c r="F90" s="13">
        <f t="shared" si="9"/>
        <v>18.25</v>
      </c>
      <c r="G90" s="2">
        <f>Interpolate_Range('試算番号4-1'!$G$10:$G$143,'試算番号4-1'!$I$10:$I$143,F90)</f>
        <v>0.7699954061914478</v>
      </c>
      <c r="H90" s="33">
        <f>Interpolate_Range('試算番号4-4'!$G$10:$G$137,'試算番号4-4'!$P$10:$P$137,F90)</f>
        <v>1.1188945176019556</v>
      </c>
      <c r="I90" s="1">
        <f>Interpolate_Range('試算番号4-1'!$G$27:$G$143,'試算番号4-1'!$P$27:$P$143,F90)</f>
        <v>2.7127313234579689E-2</v>
      </c>
      <c r="J90" s="2">
        <f>Interpolate_Range('試算番号4-3'!$G$10:$G$143,'試算番号4-3'!$I$10:$I$143,F90)</f>
        <v>0.66129933658573836</v>
      </c>
      <c r="K90" s="15">
        <f>Interpolate_Range('試算番号4-5'!$H$10:$H$137,'試算番号4-5'!$R$10:$R$137,F90)</f>
        <v>1.0559708535393697</v>
      </c>
      <c r="L90" s="1">
        <f>Interpolate_Range('試算番号4-3'!$G$27:$G$143,'試算番号4-3'!$O$27:$O$143,F90)</f>
        <v>2.9705517877102048E-2</v>
      </c>
      <c r="M90" s="42">
        <f t="shared" si="10"/>
        <v>0.94376264869234905</v>
      </c>
      <c r="N90" s="33">
        <f t="shared" si="11"/>
        <v>0.62410961347464966</v>
      </c>
      <c r="O90" s="10">
        <f t="shared" si="12"/>
        <v>2.5831740461367117E-2</v>
      </c>
      <c r="P90" s="32"/>
      <c r="Q90" s="1"/>
      <c r="R90" s="10"/>
    </row>
    <row r="91" spans="6:18">
      <c r="F91" s="13">
        <f t="shared" ref="F91:F137" si="13">F90+0.25</f>
        <v>18.5</v>
      </c>
      <c r="G91" s="2">
        <f>Interpolate_Range('試算番号4-1'!$G$10:$G$143,'試算番号4-1'!$I$10:$I$143,F91)</f>
        <v>0.7649000794824875</v>
      </c>
      <c r="H91" s="33">
        <f>Interpolate_Range('試算番号4-4'!$G$10:$G$137,'試算番号4-4'!$P$10:$P$137,F91)</f>
        <v>1.1186789685614629</v>
      </c>
      <c r="I91" s="1">
        <f>Interpolate_Range('試算番号4-1'!$G$27:$G$143,'試算番号4-1'!$P$27:$P$143,F91)</f>
        <v>2.7127313234579689E-2</v>
      </c>
      <c r="J91" s="2">
        <f>Interpolate_Range('試算番号4-3'!$G$10:$G$143,'試算番号4-3'!$I$10:$I$143,F91)</f>
        <v>0.65660975120360932</v>
      </c>
      <c r="K91" s="15">
        <f>Interpolate_Range('試算番号4-5'!$H$10:$H$137,'試算番号4-5'!$R$10:$R$137,F91)</f>
        <v>1.0565739389257163</v>
      </c>
      <c r="L91" s="1">
        <f>Interpolate_Range('試算番号4-3'!$G$27:$G$143,'試算番号4-3'!$O$27:$O$143,F91)</f>
        <v>2.9705517877102048E-2</v>
      </c>
      <c r="M91" s="42">
        <f t="shared" si="10"/>
        <v>0.94448359951237038</v>
      </c>
      <c r="N91" s="33">
        <f t="shared" si="11"/>
        <v>0.62015714129170685</v>
      </c>
      <c r="O91" s="10">
        <f t="shared" si="12"/>
        <v>2.5826074560035696E-2</v>
      </c>
      <c r="P91" s="32"/>
      <c r="Q91" s="1"/>
      <c r="R91" s="10"/>
    </row>
    <row r="92" spans="6:18">
      <c r="F92" s="13">
        <f t="shared" si="13"/>
        <v>18.75</v>
      </c>
      <c r="G92" s="2">
        <f>Interpolate_Range('試算番号4-1'!$G$10:$G$143,'試算番号4-1'!$I$10:$I$143,F92)</f>
        <v>0.75980475277352721</v>
      </c>
      <c r="H92" s="33">
        <f>Interpolate_Range('試算番号4-4'!$G$10:$G$137,'試算番号4-4'!$P$10:$P$137,F92)</f>
        <v>1.1182773140876259</v>
      </c>
      <c r="I92" s="1">
        <f>Interpolate_Range('試算番号4-1'!$G$27:$G$143,'試算番号4-1'!$P$27:$P$143,F92)</f>
        <v>2.7871167601672794E-2</v>
      </c>
      <c r="J92" s="2">
        <f>Interpolate_Range('試算番号4-3'!$G$10:$G$143,'試算番号4-3'!$I$10:$I$143,F92)</f>
        <v>0.65192016582147994</v>
      </c>
      <c r="K92" s="15">
        <f>Interpolate_Range('試算番号4-5'!$H$10:$H$137,'試算番号4-5'!$R$10:$R$137,F92)</f>
        <v>1.0572469368275743</v>
      </c>
      <c r="L92" s="1">
        <f>Interpolate_Range('試算番号4-3'!$G$27:$G$143,'試算番号4-3'!$O$27:$O$143,F92)</f>
        <v>2.9746482955425441E-2</v>
      </c>
      <c r="M92" s="42">
        <f t="shared" si="10"/>
        <v>0.94542464870635001</v>
      </c>
      <c r="N92" s="33">
        <f t="shared" si="11"/>
        <v>0.6163413937563581</v>
      </c>
      <c r="O92" s="10">
        <f t="shared" si="12"/>
        <v>2.5810893777236221E-2</v>
      </c>
      <c r="P92" s="32"/>
      <c r="Q92" s="1"/>
      <c r="R92" s="10"/>
    </row>
    <row r="93" spans="6:18">
      <c r="F93" s="13">
        <f t="shared" si="13"/>
        <v>19</v>
      </c>
      <c r="G93" s="2">
        <f>Interpolate_Range('試算番号4-1'!$G$10:$G$143,'試算番号4-1'!$I$10:$I$143,F93)</f>
        <v>0.75470942606456703</v>
      </c>
      <c r="H93" s="33">
        <f>Interpolate_Range('試算番号4-4'!$G$10:$G$137,'試算番号4-4'!$P$10:$P$137,F93)</f>
        <v>1.1177878495182998</v>
      </c>
      <c r="I93" s="1">
        <f>Interpolate_Range('試算番号4-1'!$G$27:$G$143,'試算番号4-1'!$P$27:$P$143,F93)</f>
        <v>2.7871167601672794E-2</v>
      </c>
      <c r="J93" s="2">
        <f>Interpolate_Range('試算番号4-3'!$G$10:$G$143,'試算番号4-3'!$I$10:$I$143,F93)</f>
        <v>0.64723058043935089</v>
      </c>
      <c r="K93" s="15">
        <f>Interpolate_Range('試算番号4-5'!$H$10:$H$137,'試算番号4-5'!$R$10:$R$137,F93)</f>
        <v>1.0578748145035182</v>
      </c>
      <c r="L93" s="1">
        <f>Interpolate_Range('試算番号4-3'!$G$27:$G$143,'試算番号4-3'!$O$27:$O$143,F93)</f>
        <v>2.9746482955425441E-2</v>
      </c>
      <c r="M93" s="42">
        <f t="shared" si="10"/>
        <v>0.94640035223088126</v>
      </c>
      <c r="N93" s="33">
        <f t="shared" si="11"/>
        <v>0.61253924930239945</v>
      </c>
      <c r="O93" s="10">
        <f t="shared" si="12"/>
        <v>2.5796960953821512E-2</v>
      </c>
      <c r="P93" s="32"/>
      <c r="Q93" s="1"/>
      <c r="R93" s="10"/>
    </row>
    <row r="94" spans="6:18">
      <c r="F94" s="13">
        <f t="shared" si="13"/>
        <v>19.25</v>
      </c>
      <c r="G94" s="2">
        <f>Interpolate_Range('試算番号4-1'!$G$10:$G$143,'試算番号4-1'!$I$10:$I$143,F94)</f>
        <v>0.74947087736917473</v>
      </c>
      <c r="H94" s="33">
        <f>Interpolate_Range('試算番号4-4'!$G$10:$G$137,'試算番号4-4'!$P$10:$P$137,F94)</f>
        <v>1.1174162942313492</v>
      </c>
      <c r="I94" s="1">
        <f>Interpolate_Range('試算番号4-1'!$G$27:$G$143,'試算番号4-1'!$P$27:$P$143,F94)</f>
        <v>2.8631228147866256E-2</v>
      </c>
      <c r="J94" s="2">
        <f>Interpolate_Range('試算番号4-3'!$G$10:$G$143,'試算番号4-3'!$I$10:$I$143,F94)</f>
        <v>0.64255203951067885</v>
      </c>
      <c r="K94" s="15">
        <f>Interpolate_Range('試算番号4-5'!$H$10:$H$137,'試算番号4-5'!$R$10:$R$137,F94)</f>
        <v>1.0585074943102011</v>
      </c>
      <c r="L94" s="1">
        <f>Interpolate_Range('試算番号4-3'!$G$27:$G$143,'試算番号4-3'!$O$27:$O$143,F94)</f>
        <v>3.0390218287494677E-2</v>
      </c>
      <c r="M94" s="42">
        <f t="shared" si="10"/>
        <v>0.94728124135538005</v>
      </c>
      <c r="N94" s="33">
        <f t="shared" si="11"/>
        <v>0.60867749362310708</v>
      </c>
      <c r="O94" s="10">
        <f t="shared" si="12"/>
        <v>2.5790478891624245E-2</v>
      </c>
      <c r="P94" s="32"/>
      <c r="Q94" s="1"/>
      <c r="R94" s="10"/>
    </row>
    <row r="95" spans="6:18">
      <c r="F95" s="13">
        <f t="shared" si="13"/>
        <v>19.5</v>
      </c>
      <c r="G95" s="2">
        <f>Interpolate_Range('試算番号4-1'!$G$10:$G$143,'試算番号4-1'!$I$10:$I$143,F95)</f>
        <v>0.74423232867378242</v>
      </c>
      <c r="H95" s="33">
        <f>Interpolate_Range('試算番号4-4'!$G$10:$G$137,'試算番号4-4'!$P$10:$P$137,F95)</f>
        <v>1.116959417926648</v>
      </c>
      <c r="I95" s="1">
        <f>Interpolate_Range('試算番号4-1'!$G$27:$G$143,'試算番号4-1'!$P$27:$P$143,F95)</f>
        <v>2.8631228147866256E-2</v>
      </c>
      <c r="J95" s="2">
        <f>Interpolate_Range('試算番号4-3'!$G$10:$G$143,'試算番号4-3'!$I$10:$I$143,F95)</f>
        <v>0.6378734985820067</v>
      </c>
      <c r="K95" s="15">
        <f>Interpolate_Range('試算番号4-5'!$H$10:$H$137,'試算番号4-5'!$R$10:$R$137,F95)</f>
        <v>1.0590951892063878</v>
      </c>
      <c r="L95" s="1">
        <f>Interpolate_Range('試算番号4-3'!$G$27:$G$143,'試算番号4-3'!$O$27:$O$143,F95)</f>
        <v>3.0390218287494677E-2</v>
      </c>
      <c r="M95" s="42">
        <f t="shared" si="10"/>
        <v>0.94819486922123775</v>
      </c>
      <c r="N95" s="33">
        <f t="shared" si="11"/>
        <v>0.60482837856765925</v>
      </c>
      <c r="O95" s="10">
        <f t="shared" si="12"/>
        <v>2.578515553757647E-2</v>
      </c>
      <c r="P95" s="32"/>
      <c r="Q95" s="1"/>
      <c r="R95" s="10"/>
    </row>
    <row r="96" spans="6:18">
      <c r="F96" s="13">
        <f t="shared" si="13"/>
        <v>19.75</v>
      </c>
      <c r="G96" s="2">
        <f>Interpolate_Range('試算番号4-1'!$G$10:$G$143,'試算番号4-1'!$I$10:$I$143,F96)</f>
        <v>0.73899377997839011</v>
      </c>
      <c r="H96" s="33">
        <f>Interpolate_Range('試算番号4-4'!$G$10:$G$137,'試算番号4-4'!$P$10:$P$137,F96)</f>
        <v>1.1163135207405384</v>
      </c>
      <c r="I96" s="1">
        <f>Interpolate_Range('試算番号4-1'!$G$27:$G$143,'試算番号4-1'!$P$27:$P$143,F96)</f>
        <v>2.9398484523993733E-2</v>
      </c>
      <c r="J96" s="2">
        <f>Interpolate_Range('試算番号4-3'!$G$10:$G$143,'試算番号4-3'!$I$10:$I$143,F96)</f>
        <v>0.63319495765333467</v>
      </c>
      <c r="K96" s="15">
        <f>Interpolate_Range('試算番号4-5'!$H$10:$H$137,'試算番号4-5'!$R$10:$R$137,F96)</f>
        <v>1.0597544238356187</v>
      </c>
      <c r="L96" s="1">
        <f>Interpolate_Range('試算番号4-3'!$G$27:$G$143,'試算番号4-3'!$O$27:$O$143,F96)</f>
        <v>3.0432445345678003E-2</v>
      </c>
      <c r="M96" s="42">
        <f t="shared" si="10"/>
        <v>0.94933403935894323</v>
      </c>
      <c r="N96" s="33">
        <f t="shared" si="11"/>
        <v>0.60111352685075525</v>
      </c>
      <c r="O96" s="10">
        <f t="shared" si="12"/>
        <v>2.5770707123816152E-2</v>
      </c>
      <c r="P96" s="32"/>
      <c r="Q96" s="1"/>
      <c r="R96" s="10"/>
    </row>
    <row r="97" spans="6:18">
      <c r="F97" s="13">
        <f t="shared" si="13"/>
        <v>20</v>
      </c>
      <c r="G97" s="2">
        <f>Interpolate_Range('試算番号4-1'!$G$10:$G$143,'試算番号4-1'!$I$10:$I$143,F97)</f>
        <v>0.7337552312829978</v>
      </c>
      <c r="H97" s="33">
        <f>Interpolate_Range('試算番号4-4'!$G$10:$G$137,'試算番号4-4'!$P$10:$P$137,F97)</f>
        <v>1.1155802359367508</v>
      </c>
      <c r="I97" s="1">
        <f>Interpolate_Range('試算番号4-1'!$G$27:$G$143,'試算番号4-1'!$P$27:$P$143,F97)</f>
        <v>2.9398484523993733E-2</v>
      </c>
      <c r="J97" s="2">
        <f>Interpolate_Range('試算番号4-3'!$G$10:$G$143,'試算番号4-3'!$I$10:$I$143,F97)</f>
        <v>0.62851641672466263</v>
      </c>
      <c r="K97" s="15">
        <f>Interpolate_Range('試算番号4-5'!$H$10:$H$137,'試算番号4-5'!$R$10:$R$137,F97)</f>
        <v>1.0603670991985803</v>
      </c>
      <c r="L97" s="1">
        <f>Interpolate_Range('試算番号4-3'!$G$27:$G$143,'試算番号4-3'!$O$27:$O$143,F97)</f>
        <v>3.0432445345678003E-2</v>
      </c>
      <c r="M97" s="42">
        <f t="shared" si="10"/>
        <v>0.95050724729646352</v>
      </c>
      <c r="N97" s="33">
        <f t="shared" si="11"/>
        <v>0.59740940914159602</v>
      </c>
      <c r="O97" s="10">
        <f t="shared" si="12"/>
        <v>2.5757631158541777E-2</v>
      </c>
      <c r="P97" s="32"/>
      <c r="Q97" s="1"/>
      <c r="R97" s="10"/>
    </row>
    <row r="98" spans="6:18">
      <c r="F98" s="13">
        <f t="shared" si="13"/>
        <v>20.25</v>
      </c>
      <c r="G98" s="2">
        <f>Interpolate_Range('試算番号4-1'!$G$10:$G$143,'試算番号4-1'!$I$10:$I$143,F98)</f>
        <v>0.72985862291796089</v>
      </c>
      <c r="H98" s="33">
        <f>Interpolate_Range('試算番号4-4'!$G$10:$G$137,'試算番号4-4'!$P$10:$P$137,F98)</f>
        <v>1.1161390639730311</v>
      </c>
      <c r="I98" s="1">
        <f>Interpolate_Range('試算番号4-1'!$G$27:$G$143,'試算番号4-1'!$P$27:$P$143,F98)</f>
        <v>2.232056118906682E-2</v>
      </c>
      <c r="J98" s="2">
        <f>Interpolate_Range('試算番号4-3'!$G$10:$G$143,'試算番号4-3'!$I$10:$I$143,F98)</f>
        <v>0.62474311660170245</v>
      </c>
      <c r="K98" s="15">
        <f>Interpolate_Range('試算番号4-5'!$H$10:$H$137,'試算番号4-5'!$R$10:$R$137,F98)</f>
        <v>1.0616690349070681</v>
      </c>
      <c r="L98" s="1">
        <f>Interpolate_Range('試算番号4-3'!$G$27:$G$143,'試算番号4-3'!$O$27:$O$143,F98)</f>
        <v>2.5554163644894681E-2</v>
      </c>
      <c r="M98" s="42">
        <f t="shared" si="10"/>
        <v>0.95119781143393511</v>
      </c>
      <c r="N98" s="33">
        <f t="shared" si="11"/>
        <v>0.59425428521995516</v>
      </c>
      <c r="O98" s="10">
        <f t="shared" si="12"/>
        <v>2.5701133907546508E-2</v>
      </c>
      <c r="P98" s="32"/>
      <c r="Q98" s="1"/>
      <c r="R98" s="10"/>
    </row>
    <row r="99" spans="6:18">
      <c r="F99" s="13">
        <f t="shared" si="13"/>
        <v>20.5</v>
      </c>
      <c r="G99" s="2">
        <f>Interpolate_Range('試算番号4-1'!$G$10:$G$143,'試算番号4-1'!$I$10:$I$143,F99)</f>
        <v>0.72596201455292386</v>
      </c>
      <c r="H99" s="33">
        <f>Interpolate_Range('試算番号4-4'!$G$10:$G$137,'試算番号4-4'!$P$10:$P$137,F99)</f>
        <v>1.1166291937075763</v>
      </c>
      <c r="I99" s="1">
        <f>Interpolate_Range('試算番号4-1'!$G$27:$G$143,'試算番号4-1'!$P$27:$P$143,F99)</f>
        <v>2.232056118906682E-2</v>
      </c>
      <c r="J99" s="2">
        <f>Interpolate_Range('試算番号4-3'!$G$10:$G$143,'試算番号4-3'!$I$10:$I$143,F99)</f>
        <v>0.6209698164787415</v>
      </c>
      <c r="K99" s="15">
        <f>Interpolate_Range('試算番号4-5'!$H$10:$H$137,'試算番号4-5'!$R$10:$R$137,F99)</f>
        <v>1.0629325417794575</v>
      </c>
      <c r="L99" s="1">
        <f>Interpolate_Range('試算番号4-3'!$G$27:$G$143,'試算番号4-3'!$O$27:$O$143,F99)</f>
        <v>2.5554163644894681E-2</v>
      </c>
      <c r="M99" s="42">
        <f t="shared" si="10"/>
        <v>0.95191183229785692</v>
      </c>
      <c r="N99" s="33">
        <f t="shared" si="11"/>
        <v>0.59110851580594281</v>
      </c>
      <c r="O99" s="10">
        <f t="shared" si="12"/>
        <v>2.5646617782739564E-2</v>
      </c>
      <c r="P99" s="32"/>
      <c r="Q99" s="1"/>
      <c r="R99" s="10"/>
    </row>
    <row r="100" spans="6:18">
      <c r="F100" s="13">
        <f t="shared" si="13"/>
        <v>20.75</v>
      </c>
      <c r="G100" s="2">
        <f>Interpolate_Range('試算番号4-1'!$G$10:$G$143,'試算番号4-1'!$I$10:$I$143,F100)</f>
        <v>0.72206540618788695</v>
      </c>
      <c r="H100" s="33">
        <f>Interpolate_Range('試算番号4-4'!$G$10:$G$137,'試算番号4-4'!$P$10:$P$137,F100)</f>
        <v>1.1170429261094281</v>
      </c>
      <c r="I100" s="1">
        <f>Interpolate_Range('試算番号4-1'!$G$27:$G$143,'試算番号4-1'!$P$27:$P$143,F100)</f>
        <v>2.2617203345196141E-2</v>
      </c>
      <c r="J100" s="2">
        <f>Interpolate_Range('試算番号4-3'!$G$10:$G$143,'試算番号4-3'!$I$10:$I$143,F100)</f>
        <v>0.61719651635578132</v>
      </c>
      <c r="K100" s="15">
        <f>Interpolate_Range('試算番号4-5'!$H$10:$H$137,'試算番号4-5'!$R$10:$R$137,F100)</f>
        <v>1.0642457535426975</v>
      </c>
      <c r="L100" s="1">
        <f>Interpolate_Range('試算番号4-3'!$G$27:$G$143,'試算番号4-3'!$O$27:$O$143,F100)</f>
        <v>2.5552260215163328E-2</v>
      </c>
      <c r="M100" s="42">
        <f t="shared" si="10"/>
        <v>0.95273487586495975</v>
      </c>
      <c r="N100" s="33">
        <f t="shared" si="11"/>
        <v>0.58802464639451091</v>
      </c>
      <c r="O100" s="10">
        <f t="shared" si="12"/>
        <v>2.5589706810844465E-2</v>
      </c>
      <c r="P100" s="32"/>
      <c r="Q100" s="1"/>
      <c r="R100" s="10"/>
    </row>
    <row r="101" spans="6:18">
      <c r="F101" s="13">
        <f t="shared" si="13"/>
        <v>21</v>
      </c>
      <c r="G101" s="2">
        <f>Interpolate_Range('試算番号4-1'!$G$10:$G$143,'試算番号4-1'!$I$10:$I$143,F101)</f>
        <v>0.71816879782285004</v>
      </c>
      <c r="H101" s="33">
        <f>Interpolate_Range('試算番号4-4'!$G$10:$G$137,'試算番号4-4'!$P$10:$P$137,F101)</f>
        <v>1.1173864986535866</v>
      </c>
      <c r="I101" s="1">
        <f>Interpolate_Range('試算番号4-1'!$G$27:$G$143,'試算番号4-1'!$P$27:$P$143,F101)</f>
        <v>2.2617203345196141E-2</v>
      </c>
      <c r="J101" s="2">
        <f>Interpolate_Range('試算番号4-3'!$G$10:$G$143,'試算番号4-3'!$I$10:$I$143,F101)</f>
        <v>0.61342321623282037</v>
      </c>
      <c r="K101" s="15">
        <f>Interpolate_Range('試算番号4-5'!$H$10:$H$137,'試算番号4-5'!$R$10:$R$137,F101)</f>
        <v>1.0655195090309306</v>
      </c>
      <c r="L101" s="1">
        <f>Interpolate_Range('試算番号4-3'!$G$27:$G$143,'試算番号4-3'!$O$27:$O$143,F101)</f>
        <v>2.5552260215163328E-2</v>
      </c>
      <c r="M101" s="42">
        <f t="shared" si="10"/>
        <v>0.95358187190810517</v>
      </c>
      <c r="N101" s="33">
        <f t="shared" si="11"/>
        <v>0.58494925880718318</v>
      </c>
      <c r="O101" s="10">
        <f t="shared" si="12"/>
        <v>2.5534770123518902E-2</v>
      </c>
      <c r="P101" s="32"/>
      <c r="Q101" s="1"/>
      <c r="R101" s="10"/>
    </row>
    <row r="102" spans="6:18">
      <c r="F102" s="13">
        <f t="shared" si="13"/>
        <v>21.25</v>
      </c>
      <c r="G102" s="2">
        <f>Interpolate_Range('試算番号4-1'!$G$10:$G$143,'試算番号4-1'!$I$10:$I$143,F102)</f>
        <v>0.71423730192422752</v>
      </c>
      <c r="H102" s="33">
        <f>Interpolate_Range('試算番号4-4'!$G$10:$G$137,'試算番号4-4'!$P$10:$P$137,F102)</f>
        <v>1.1178394387098478</v>
      </c>
      <c r="I102" s="1">
        <f>Interpolate_Range('試算番号4-1'!$G$27:$G$143,'試算番号4-1'!$P$27:$P$143,F102)</f>
        <v>2.2957550761933575E-2</v>
      </c>
      <c r="J102" s="2">
        <f>Interpolate_Range('試算番号4-3'!$G$10:$G$143,'試算番号4-3'!$I$10:$I$143,F102)</f>
        <v>0.60970982610006397</v>
      </c>
      <c r="K102" s="15">
        <f>Interpolate_Range('試算番号4-5'!$H$10:$H$137,'試算番号4-5'!$R$10:$R$137,F102)</f>
        <v>1.0668758676592893</v>
      </c>
      <c r="L102" s="1">
        <f>Interpolate_Range('試算番号4-3'!$G$27:$G$143,'試算番号4-3'!$O$27:$O$143,F102)</f>
        <v>2.5666714152752408E-2</v>
      </c>
      <c r="M102" s="42">
        <f t="shared" si="10"/>
        <v>0.95440886294960392</v>
      </c>
      <c r="N102" s="33">
        <f t="shared" si="11"/>
        <v>0.58191246185736278</v>
      </c>
      <c r="O102" s="10">
        <f t="shared" si="12"/>
        <v>2.5479305964380389E-2</v>
      </c>
      <c r="P102" s="32"/>
      <c r="Q102" s="1"/>
      <c r="R102" s="10"/>
    </row>
    <row r="103" spans="6:18">
      <c r="F103" s="13">
        <f t="shared" si="13"/>
        <v>21.5</v>
      </c>
      <c r="G103" s="2">
        <f>Interpolate_Range('試算番号4-1'!$G$10:$G$143,'試算番号4-1'!$I$10:$I$143,F103)</f>
        <v>0.710305806025605</v>
      </c>
      <c r="H103" s="33">
        <f>Interpolate_Range('試算番号4-4'!$G$10:$G$137,'試算番号4-4'!$P$10:$P$137,F103)</f>
        <v>1.1182238165016531</v>
      </c>
      <c r="I103" s="1">
        <f>Interpolate_Range('試算番号4-1'!$G$27:$G$143,'試算番号4-1'!$P$27:$P$143,F103)</f>
        <v>2.2957550761933575E-2</v>
      </c>
      <c r="J103" s="2">
        <f>Interpolate_Range('試算番号4-3'!$G$10:$G$143,'試算番号4-3'!$I$10:$I$143,F103)</f>
        <v>0.60599643596730757</v>
      </c>
      <c r="K103" s="15">
        <f>Interpolate_Range('試算番号4-5'!$H$10:$H$137,'試算番号4-5'!$R$10:$R$137,F103)</f>
        <v>1.0681930447011478</v>
      </c>
      <c r="L103" s="1">
        <f>Interpolate_Range('試算番号4-3'!$G$27:$G$143,'試算番号4-3'!$O$27:$O$143,F103)</f>
        <v>2.5666714152752408E-2</v>
      </c>
      <c r="M103" s="42">
        <f t="shared" si="10"/>
        <v>0.95525871380827332</v>
      </c>
      <c r="N103" s="33">
        <f t="shared" si="11"/>
        <v>0.57888337599452788</v>
      </c>
      <c r="O103" s="10">
        <f t="shared" si="12"/>
        <v>2.5425778830247023E-2</v>
      </c>
      <c r="P103" s="32"/>
      <c r="Q103" s="1"/>
      <c r="R103" s="10"/>
    </row>
    <row r="104" spans="6:18">
      <c r="F104" s="13">
        <f t="shared" si="13"/>
        <v>21.75</v>
      </c>
      <c r="G104" s="2">
        <f>Interpolate_Range('試算番号4-1'!$G$10:$G$143,'試算番号4-1'!$I$10:$I$143,F104)</f>
        <v>0.70637431012698237</v>
      </c>
      <c r="H104" s="33">
        <f>Interpolate_Range('試算番号4-4'!$G$10:$G$137,'試算番号4-4'!$P$10:$P$137,F104)</f>
        <v>1.1185200706846163</v>
      </c>
      <c r="I104" s="1">
        <f>Interpolate_Range('試算番号4-1'!$G$27:$G$143,'試算番号4-1'!$P$27:$P$143,F104)</f>
        <v>2.3300846184254233E-2</v>
      </c>
      <c r="J104" s="2">
        <f>Interpolate_Range('試算番号4-3'!$G$10:$G$143,'試算番号4-3'!$I$10:$I$143,F104)</f>
        <v>0.60228304583455061</v>
      </c>
      <c r="K104" s="15">
        <f>Interpolate_Range('試算番号4-5'!$H$10:$H$137,'試算番号4-5'!$R$10:$R$137,F104)</f>
        <v>1.06955266280174</v>
      </c>
      <c r="L104" s="1">
        <f>Interpolate_Range('試算番号4-3'!$G$27:$G$143,'試算番号4-3'!$O$27:$O$143,F104)</f>
        <v>2.5695556950715636E-2</v>
      </c>
      <c r="M104" s="42">
        <f t="shared" si="10"/>
        <v>0.95622125237957978</v>
      </c>
      <c r="N104" s="33">
        <f t="shared" si="11"/>
        <v>0.57591584837490184</v>
      </c>
      <c r="O104" s="10">
        <f t="shared" si="12"/>
        <v>2.5369826461183468E-2</v>
      </c>
      <c r="P104" s="32"/>
      <c r="Q104" s="1"/>
      <c r="R104" s="10"/>
    </row>
    <row r="105" spans="6:18">
      <c r="F105" s="13">
        <f t="shared" si="13"/>
        <v>22</v>
      </c>
      <c r="G105" s="2">
        <f>Interpolate_Range('試算番号4-1'!$G$10:$G$143,'試算番号4-1'!$I$10:$I$143,F105)</f>
        <v>0.70244281422835997</v>
      </c>
      <c r="H105" s="33">
        <f>Interpolate_Range('試算番号4-4'!$G$10:$G$137,'試算番号4-4'!$P$10:$P$137,F105)</f>
        <v>1.1187462726251789</v>
      </c>
      <c r="I105" s="1">
        <f>Interpolate_Range('試算番号4-1'!$G$27:$G$143,'試算番号4-1'!$P$27:$P$143,F105)</f>
        <v>2.3300846184254233E-2</v>
      </c>
      <c r="J105" s="2">
        <f>Interpolate_Range('試算番号4-3'!$G$10:$G$143,'試算番号4-3'!$I$10:$I$143,F105)</f>
        <v>0.59856965570179421</v>
      </c>
      <c r="K105" s="15">
        <f>Interpolate_Range('試算番号4-5'!$H$10:$H$137,'試算番号4-5'!$R$10:$R$137,F105)</f>
        <v>1.0708720287799693</v>
      </c>
      <c r="L105" s="1">
        <f>Interpolate_Range('試算番号4-3'!$G$27:$G$143,'試算番号4-3'!$O$27:$O$143,F105)</f>
        <v>2.5695556950715636E-2</v>
      </c>
      <c r="M105" s="42">
        <f t="shared" si="10"/>
        <v>0.95720723722916112</v>
      </c>
      <c r="N105" s="33">
        <f t="shared" si="11"/>
        <v>0.5729552064235246</v>
      </c>
      <c r="O105" s="10">
        <f t="shared" si="12"/>
        <v>2.5315806322911871E-2</v>
      </c>
      <c r="P105" s="32"/>
      <c r="Q105" s="1"/>
      <c r="R105" s="10"/>
    </row>
    <row r="106" spans="6:18">
      <c r="F106" s="13">
        <f t="shared" si="13"/>
        <v>22.25</v>
      </c>
      <c r="G106" s="2">
        <f>Interpolate_Range('試算番号4-1'!$G$10:$G$143,'試算番号4-1'!$I$10:$I$143,F106)</f>
        <v>0.69848004405766417</v>
      </c>
      <c r="H106" s="33">
        <f>Interpolate_Range('試算番号4-4'!$G$10:$G$137,'試算番号4-4'!$P$10:$P$137,F106)</f>
        <v>1.1190789240637087</v>
      </c>
      <c r="I106" s="1">
        <f>Interpolate_Range('試算番号4-1'!$G$27:$G$143,'試算番号4-1'!$P$27:$P$143,F106)</f>
        <v>2.3648600045263861E-2</v>
      </c>
      <c r="J106" s="2">
        <f>Interpolate_Range('試算番号4-3'!$G$10:$G$143,'試算番号4-3'!$I$10:$I$143,F106)</f>
        <v>0.59491569810779932</v>
      </c>
      <c r="K106" s="15">
        <f>Interpolate_Range('試算番号4-5'!$H$10:$H$137,'試算番号4-5'!$R$10:$R$137,F106)</f>
        <v>1.0722750380458372</v>
      </c>
      <c r="L106" s="1">
        <f>Interpolate_Range('試算番号4-3'!$G$27:$G$143,'試算番号4-3'!$O$27:$O$143,F106)</f>
        <v>2.581224123541033E-2</v>
      </c>
      <c r="M106" s="42">
        <f t="shared" si="10"/>
        <v>0.95817642079442211</v>
      </c>
      <c r="N106" s="33">
        <f t="shared" si="11"/>
        <v>0.57003419428734614</v>
      </c>
      <c r="O106" s="10">
        <f t="shared" si="12"/>
        <v>2.5261075504497424E-2</v>
      </c>
      <c r="P106" s="32"/>
      <c r="Q106" s="1"/>
      <c r="R106" s="10"/>
    </row>
    <row r="107" spans="6:18">
      <c r="F107" s="13">
        <f t="shared" si="13"/>
        <v>22.5</v>
      </c>
      <c r="G107" s="2">
        <f>Interpolate_Range('試算番号4-1'!$G$10:$G$143,'試算番号4-1'!$I$10:$I$143,F107)</f>
        <v>0.69451727388696838</v>
      </c>
      <c r="H107" s="33">
        <f>Interpolate_Range('試算番号4-4'!$G$10:$G$137,'試算番号4-4'!$P$10:$P$137,F107)</f>
        <v>1.1193431478607005</v>
      </c>
      <c r="I107" s="1">
        <f>Interpolate_Range('試算番号4-1'!$G$27:$G$143,'試算番号4-1'!$P$27:$P$143,F107)</f>
        <v>2.3648600045263861E-2</v>
      </c>
      <c r="J107" s="2">
        <f>Interpolate_Range('試算番号4-3'!$G$10:$G$143,'試算番号4-3'!$I$10:$I$143,F107)</f>
        <v>0.59126174051380498</v>
      </c>
      <c r="K107" s="15">
        <f>Interpolate_Range('試算番号4-5'!$H$10:$H$137,'試算番号4-5'!$R$10:$R$137,F107)</f>
        <v>1.0736380853262397</v>
      </c>
      <c r="L107" s="1">
        <f>Interpolate_Range('試算番号4-3'!$G$27:$G$143,'試算番号4-3'!$O$27:$O$143,F107)</f>
        <v>2.581224123541033E-2</v>
      </c>
      <c r="M107" s="42">
        <f t="shared" si="10"/>
        <v>0.95916796147650274</v>
      </c>
      <c r="N107" s="33">
        <f t="shared" si="11"/>
        <v>0.56711931834767526</v>
      </c>
      <c r="O107" s="10">
        <f t="shared" si="12"/>
        <v>2.5208247084017824E-2</v>
      </c>
      <c r="P107" s="32"/>
      <c r="Q107" s="1"/>
      <c r="R107" s="10"/>
    </row>
    <row r="108" spans="6:18">
      <c r="F108" s="13">
        <f t="shared" si="13"/>
        <v>22.75</v>
      </c>
      <c r="G108" s="2">
        <f>Interpolate_Range('試算番号4-1'!$G$10:$G$143,'試算番号4-1'!$I$10:$I$143,F108)</f>
        <v>0.69055450371627258</v>
      </c>
      <c r="H108" s="33">
        <f>Interpolate_Range('試算番号4-4'!$G$10:$G$137,'試算番号4-4'!$P$10:$P$137,F108)</f>
        <v>1.1195185670652725</v>
      </c>
      <c r="I108" s="1">
        <f>Interpolate_Range('試算番号4-1'!$G$27:$G$143,'試算番号4-1'!$P$27:$P$143,F108)</f>
        <v>2.3999382052512105E-2</v>
      </c>
      <c r="J108" s="2">
        <f>Interpolate_Range('試算番号4-3'!$G$10:$G$143,'試算番号4-3'!$I$10:$I$143,F108)</f>
        <v>0.58760778291981064</v>
      </c>
      <c r="K108" s="15">
        <f>Interpolate_Range('試算番号4-5'!$H$10:$H$137,'試算番号4-5'!$R$10:$R$137,F108)</f>
        <v>1.0750443771980465</v>
      </c>
      <c r="L108" s="1">
        <f>Interpolate_Range('試算番号4-3'!$G$27:$G$143,'試算番号4-3'!$O$27:$O$143,F108)</f>
        <v>2.58416209701464E-2</v>
      </c>
      <c r="M108" s="42">
        <f t="shared" si="10"/>
        <v>0.96027382557503127</v>
      </c>
      <c r="N108" s="33">
        <f t="shared" si="11"/>
        <v>0.56426437364206905</v>
      </c>
      <c r="O108" s="10">
        <f t="shared" si="12"/>
        <v>2.5153072075586379E-2</v>
      </c>
      <c r="P108" s="32"/>
      <c r="Q108" s="1"/>
      <c r="R108" s="10"/>
    </row>
    <row r="109" spans="6:18">
      <c r="F109" s="13">
        <f t="shared" si="13"/>
        <v>23</v>
      </c>
      <c r="G109" s="2">
        <f>Interpolate_Range('試算番号4-1'!$G$10:$G$143,'試算番号4-1'!$I$10:$I$143,F109)</f>
        <v>0.68659173354557679</v>
      </c>
      <c r="H109" s="33">
        <f>Interpolate_Range('試算番号4-4'!$G$10:$G$137,'試算番号4-4'!$P$10:$P$137,F109)</f>
        <v>1.119624051284219</v>
      </c>
      <c r="I109" s="1">
        <f>Interpolate_Range('試算番号4-1'!$G$27:$G$143,'試算番号4-1'!$P$27:$P$143,F109)</f>
        <v>2.3999382052512105E-2</v>
      </c>
      <c r="J109" s="2">
        <f>Interpolate_Range('試算番号4-3'!$G$10:$G$143,'試算番号4-3'!$I$10:$I$143,F109)</f>
        <v>0.58395382532581575</v>
      </c>
      <c r="K109" s="15">
        <f>Interpolate_Range('試算番号4-5'!$H$10:$H$137,'試算番号4-5'!$R$10:$R$137,F109)</f>
        <v>1.0764096020877325</v>
      </c>
      <c r="L109" s="1">
        <f>Interpolate_Range('試算番号4-3'!$G$27:$G$143,'試算番号4-3'!$O$27:$O$143,F109)</f>
        <v>2.58416209701464E-2</v>
      </c>
      <c r="M109" s="42">
        <f t="shared" si="10"/>
        <v>0.96140271446748649</v>
      </c>
      <c r="N109" s="33">
        <f t="shared" si="11"/>
        <v>0.56141479279191175</v>
      </c>
      <c r="O109" s="10">
        <f t="shared" si="12"/>
        <v>2.5099794155488096E-2</v>
      </c>
      <c r="P109" s="32"/>
      <c r="Q109" s="1"/>
      <c r="R109" s="10"/>
    </row>
    <row r="110" spans="6:18">
      <c r="F110" s="13">
        <f t="shared" si="13"/>
        <v>23.25</v>
      </c>
      <c r="G110" s="2">
        <f>Interpolate_Range('試算番号4-1'!$G$10:$G$143,'試算番号4-1'!$I$10:$I$143,F110)</f>
        <v>0.68260127858584752</v>
      </c>
      <c r="H110" s="33">
        <f>Interpolate_Range('試算番号4-4'!$G$10:$G$137,'試算番号4-4'!$P$10:$P$137,F110)</f>
        <v>1.1198330150327998</v>
      </c>
      <c r="I110" s="1">
        <f>Interpolate_Range('試算番号4-1'!$G$27:$G$143,'試算番号4-1'!$P$27:$P$143,F110)</f>
        <v>2.4354844634871222E-2</v>
      </c>
      <c r="J110" s="2">
        <f>Interpolate_Range('試算番号4-3'!$G$10:$G$143,'試算番号4-3'!$I$10:$I$143,F110)</f>
        <v>0.58035881530052846</v>
      </c>
      <c r="K110" s="15">
        <f>Interpolate_Range('試算番号4-5'!$H$10:$H$137,'試算番号4-5'!$R$10:$R$137,F110)</f>
        <v>1.0778595418820576</v>
      </c>
      <c r="L110" s="1">
        <f>Interpolate_Range('試算番号4-3'!$G$27:$G$143,'試算番号4-3'!$O$27:$O$143,F110)</f>
        <v>2.596043773215095E-2</v>
      </c>
      <c r="M110" s="42">
        <f t="shared" si="10"/>
        <v>0.96251809637036578</v>
      </c>
      <c r="N110" s="33">
        <f t="shared" si="11"/>
        <v>0.55860586211482532</v>
      </c>
      <c r="O110" s="10">
        <f t="shared" si="12"/>
        <v>2.5045640052825488E-2</v>
      </c>
      <c r="P110" s="32"/>
      <c r="Q110" s="1"/>
      <c r="R110" s="10"/>
    </row>
    <row r="111" spans="6:18">
      <c r="F111" s="13">
        <f t="shared" si="13"/>
        <v>23.5</v>
      </c>
      <c r="G111" s="2">
        <f>Interpolate_Range('試算番号4-1'!$G$10:$G$143,'試算番号4-1'!$I$10:$I$143,F111)</f>
        <v>0.67861082362611813</v>
      </c>
      <c r="H111" s="33">
        <f>Interpolate_Range('試算番号4-4'!$G$10:$G$137,'試算番号4-4'!$P$10:$P$137,F111)</f>
        <v>1.1199736939338956</v>
      </c>
      <c r="I111" s="1">
        <f>Interpolate_Range('試算番号4-1'!$G$27:$G$143,'試算番号4-1'!$P$27:$P$143,F111)</f>
        <v>2.4354844634871222E-2</v>
      </c>
      <c r="J111" s="2">
        <f>Interpolate_Range('試算番号4-3'!$G$10:$G$143,'試算番号4-3'!$I$10:$I$143,F111)</f>
        <v>0.57676380527524063</v>
      </c>
      <c r="K111" s="15">
        <f>Interpolate_Range('試算番号4-5'!$H$10:$H$137,'試算番号4-5'!$R$10:$R$137,F111)</f>
        <v>1.0792687196860906</v>
      </c>
      <c r="L111" s="1">
        <f>Interpolate_Range('試算番号4-3'!$G$27:$G$143,'試算番号4-3'!$O$27:$O$143,F111)</f>
        <v>2.596043773215095E-2</v>
      </c>
      <c r="M111" s="42">
        <f t="shared" si="10"/>
        <v>0.96365541934754806</v>
      </c>
      <c r="N111" s="33">
        <f t="shared" si="11"/>
        <v>0.55580156663699953</v>
      </c>
      <c r="O111" s="10">
        <f t="shared" si="12"/>
        <v>2.4993359275376079E-2</v>
      </c>
      <c r="P111" s="32"/>
      <c r="Q111" s="1"/>
      <c r="R111" s="10"/>
    </row>
    <row r="112" spans="6:18">
      <c r="F112" s="13">
        <f t="shared" si="13"/>
        <v>23.75</v>
      </c>
      <c r="G112" s="2">
        <f>Interpolate_Range('試算番号4-1'!$G$10:$G$143,'試算番号4-1'!$I$10:$I$143,F112)</f>
        <v>0.67462036866638886</v>
      </c>
      <c r="H112" s="33">
        <f>Interpolate_Range('試算番号4-4'!$G$10:$G$137,'試算番号4-4'!$P$10:$P$137,F112)</f>
        <v>1.1200249149857824</v>
      </c>
      <c r="I112" s="1">
        <f>Interpolate_Range('試算番号4-1'!$G$27:$G$143,'試算番号4-1'!$P$27:$P$143,F112)</f>
        <v>2.4713657824448239E-2</v>
      </c>
      <c r="J112" s="2">
        <f>Interpolate_Range('試算番号4-3'!$G$10:$G$143,'試算番号4-3'!$I$10:$I$143,F112)</f>
        <v>0.57316879524995334</v>
      </c>
      <c r="K112" s="15">
        <f>Interpolate_Range('試算番号4-5'!$H$10:$H$137,'試算番号4-5'!$R$10:$R$137,F112)</f>
        <v>1.08072203385017</v>
      </c>
      <c r="L112" s="1">
        <f>Interpolate_Range('試算番号4-3'!$G$27:$G$143,'試算番号4-3'!$O$27:$O$143,F112)</f>
        <v>2.5990376125467993E-2</v>
      </c>
      <c r="M112" s="42">
        <f t="shared" si="10"/>
        <v>0.96490892246257631</v>
      </c>
      <c r="N112" s="33">
        <f t="shared" si="11"/>
        <v>0.5530556846138055</v>
      </c>
      <c r="O112" s="10">
        <f t="shared" si="12"/>
        <v>2.493880366421411E-2</v>
      </c>
      <c r="P112" s="32"/>
      <c r="Q112" s="1"/>
      <c r="R112" s="10"/>
    </row>
    <row r="113" spans="6:18">
      <c r="F113" s="13">
        <f t="shared" si="13"/>
        <v>24</v>
      </c>
      <c r="G113" s="2">
        <f>Interpolate_Range('試算番号4-1'!$G$10:$G$143,'試算番号4-1'!$I$10:$I$143,F113)</f>
        <v>0.6706299137066597</v>
      </c>
      <c r="H113" s="33">
        <f>Interpolate_Range('試算番号4-4'!$G$10:$G$137,'試算番号4-4'!$P$10:$P$137,F113)</f>
        <v>1.1200063239678861</v>
      </c>
      <c r="I113" s="1">
        <f>Interpolate_Range('試算番号4-1'!$G$27:$G$143,'試算番号4-1'!$P$27:$P$143,F113)</f>
        <v>2.4713657824448239E-2</v>
      </c>
      <c r="J113" s="2">
        <f>Interpolate_Range('試算番号4-3'!$G$10:$G$143,'試算番号4-3'!$I$10:$I$143,F113)</f>
        <v>0.56957378522466606</v>
      </c>
      <c r="K113" s="15">
        <f>Interpolate_Range('試算番号4-5'!$H$10:$H$137,'試算番号4-5'!$R$10:$R$137,F113)</f>
        <v>1.0821334446581021</v>
      </c>
      <c r="L113" s="1">
        <f>Interpolate_Range('試算番号4-3'!$G$27:$G$143,'試算番号4-3'!$O$27:$O$143,F113)</f>
        <v>2.5990376125467993E-2</v>
      </c>
      <c r="M113" s="42">
        <f t="shared" si="10"/>
        <v>0.96618512012002722</v>
      </c>
      <c r="N113" s="33">
        <f t="shared" si="11"/>
        <v>0.55031371609451252</v>
      </c>
      <c r="O113" s="10">
        <f t="shared" si="12"/>
        <v>2.4886115436196007E-2</v>
      </c>
      <c r="P113" s="32"/>
      <c r="Q113" s="1"/>
      <c r="R113" s="10"/>
    </row>
    <row r="114" spans="6:18">
      <c r="F114" s="13">
        <f t="shared" si="13"/>
        <v>24.25</v>
      </c>
      <c r="G114" s="2">
        <f>Interpolate_Range('試算番号4-1'!$G$10:$G$143,'試算番号4-1'!$I$10:$I$143,F114)</f>
        <v>0.6666153353592168</v>
      </c>
      <c r="H114" s="33">
        <f>Interpolate_Range('試算番号4-4'!$G$10:$G$137,'試算番号4-4'!$P$10:$P$137,F114)</f>
        <v>1.1200881312625679</v>
      </c>
      <c r="I114" s="1">
        <f>Interpolate_Range('試算番号4-1'!$G$27:$G$143,'試算番号4-1'!$P$27:$P$143,F114)</f>
        <v>2.5077388399282301E-2</v>
      </c>
      <c r="J114" s="2">
        <f>Interpolate_Range('試算番号4-3'!$G$10:$G$143,'試算番号4-3'!$I$10:$I$143,F114)</f>
        <v>0.56603723063201294</v>
      </c>
      <c r="K114" s="15">
        <f>Interpolate_Range('試算番号4-5'!$H$10:$H$137,'試算番号4-5'!$R$10:$R$137,F114)</f>
        <v>1.0836306260523827</v>
      </c>
      <c r="L114" s="1">
        <f>Interpolate_Range('試算番号4-3'!$G$27:$G$143,'試算番号4-3'!$O$27:$O$143,F114)</f>
        <v>2.6111417543450602E-2</v>
      </c>
      <c r="M114" s="42">
        <f t="shared" si="10"/>
        <v>0.96745121728136685</v>
      </c>
      <c r="N114" s="33">
        <f t="shared" si="11"/>
        <v>0.54761340780151468</v>
      </c>
      <c r="O114" s="10">
        <f t="shared" si="12"/>
        <v>2.4832400049669513E-2</v>
      </c>
      <c r="P114" s="32"/>
      <c r="Q114" s="1"/>
      <c r="R114" s="10"/>
    </row>
    <row r="115" spans="6:18">
      <c r="F115" s="13">
        <f t="shared" si="13"/>
        <v>24.5</v>
      </c>
      <c r="G115" s="2">
        <f>Interpolate_Range('試算番号4-1'!$G$10:$G$143,'試算番号4-1'!$I$10:$I$143,F115)</f>
        <v>0.6626007570117739</v>
      </c>
      <c r="H115" s="33">
        <f>Interpolate_Range('試算番号4-4'!$G$10:$G$137,'試算番号4-4'!$P$10:$P$137,F115)</f>
        <v>1.1201018004649899</v>
      </c>
      <c r="I115" s="1">
        <f>Interpolate_Range('試算番号4-1'!$G$27:$G$143,'試算番号4-1'!$P$27:$P$143,F115)</f>
        <v>2.5077388399282301E-2</v>
      </c>
      <c r="J115" s="2">
        <f>Interpolate_Range('試算番号4-3'!$G$10:$G$143,'試算番号4-3'!$I$10:$I$143,F115)</f>
        <v>0.56250067603936038</v>
      </c>
      <c r="K115" s="15">
        <f>Interpolate_Range('試算番号4-5'!$H$10:$H$137,'試算番号4-5'!$R$10:$R$137,F115)</f>
        <v>1.0850862231624703</v>
      </c>
      <c r="L115" s="1">
        <f>Interpolate_Range('試算番号4-3'!$G$27:$G$143,'試算番号4-3'!$O$27:$O$143,F115)</f>
        <v>2.6111417543450602E-2</v>
      </c>
      <c r="M115" s="42">
        <f t="shared" si="10"/>
        <v>0.96873893311484416</v>
      </c>
      <c r="N115" s="33">
        <f t="shared" si="11"/>
        <v>0.54491630478274855</v>
      </c>
      <c r="O115" s="10">
        <f t="shared" si="12"/>
        <v>2.4780533278278238E-2</v>
      </c>
      <c r="P115" s="32"/>
      <c r="Q115" s="1"/>
      <c r="R115" s="10"/>
    </row>
    <row r="116" spans="6:18">
      <c r="F116" s="13">
        <f t="shared" si="13"/>
        <v>24.75</v>
      </c>
      <c r="G116" s="2">
        <f>Interpolate_Range('試算番号4-1'!$G$10:$G$143,'試算番号4-1'!$I$10:$I$143,F116)</f>
        <v>0.658586178664331</v>
      </c>
      <c r="H116" s="33">
        <f>Interpolate_Range('試算番号4-4'!$G$10:$G$137,'試算番号4-4'!$P$10:$P$137,F116)</f>
        <v>1.1200253832640157</v>
      </c>
      <c r="I116" s="1">
        <f>Interpolate_Range('試算番号4-1'!$G$27:$G$143,'試算番号4-1'!$P$27:$P$143,F116)</f>
        <v>2.5444823913604697E-2</v>
      </c>
      <c r="J116" s="2">
        <f>Interpolate_Range('試算番号4-3'!$G$10:$G$143,'試算番号4-3'!$I$10:$I$143,F116)</f>
        <v>0.55896412144670726</v>
      </c>
      <c r="K116" s="15">
        <f>Interpolate_Range('試算番号4-5'!$H$10:$H$137,'試算番号4-5'!$R$10:$R$137,F116)</f>
        <v>1.0865869421554084</v>
      </c>
      <c r="L116" s="1">
        <f>Interpolate_Range('試算番号4-3'!$G$27:$G$143,'試算番号4-3'!$O$27:$O$143,F116)</f>
        <v>2.6141938680599719E-2</v>
      </c>
      <c r="M116" s="42">
        <f t="shared" si="10"/>
        <v>0.97014492563448884</v>
      </c>
      <c r="N116" s="33">
        <f t="shared" si="11"/>
        <v>0.54227620603326321</v>
      </c>
      <c r="O116" s="10">
        <f t="shared" si="12"/>
        <v>2.472645665130159E-2</v>
      </c>
      <c r="P116" s="32"/>
      <c r="Q116" s="1"/>
      <c r="R116" s="10"/>
    </row>
    <row r="117" spans="6:18">
      <c r="F117" s="13">
        <f t="shared" si="13"/>
        <v>25</v>
      </c>
      <c r="G117" s="2">
        <f>Interpolate_Range('試算番号4-1'!$G$10:$G$143,'試算番号4-1'!$I$10:$I$143,F117)</f>
        <v>0.6545716003168881</v>
      </c>
      <c r="H117" s="33">
        <f>Interpolate_Range('試算番号4-4'!$G$10:$G$137,'試算番号4-4'!$P$10:$P$137,F117)</f>
        <v>1.1198792779351203</v>
      </c>
      <c r="I117" s="1">
        <f>Interpolate_Range('試算番号4-1'!$G$27:$G$143,'試算番号4-1'!$P$27:$P$143,F117)</f>
        <v>2.5444823913604697E-2</v>
      </c>
      <c r="J117" s="2">
        <f>Interpolate_Range('試算番号4-3'!$G$10:$G$143,'試算番号4-3'!$I$10:$I$143,F117)</f>
        <v>0.5554275668540547</v>
      </c>
      <c r="K117" s="15">
        <f>Interpolate_Range('試算番号4-5'!$H$10:$H$137,'試算番号4-5'!$R$10:$R$137,F117)</f>
        <v>1.0880448970046006</v>
      </c>
      <c r="L117" s="1">
        <f>Interpolate_Range('試算番号4-3'!$G$27:$G$143,'試算番号4-3'!$O$27:$O$143,F117)</f>
        <v>2.6141938680599719E-2</v>
      </c>
      <c r="M117" s="42">
        <f t="shared" si="10"/>
        <v>0.97157338156196871</v>
      </c>
      <c r="N117" s="33">
        <f t="shared" si="11"/>
        <v>0.53963863934113032</v>
      </c>
      <c r="O117" s="10">
        <f t="shared" si="12"/>
        <v>2.4674221993371739E-2</v>
      </c>
      <c r="P117" s="32"/>
      <c r="Q117" s="1"/>
      <c r="R117" s="10"/>
    </row>
    <row r="118" spans="6:18">
      <c r="F118" s="13">
        <f t="shared" si="13"/>
        <v>25.25</v>
      </c>
      <c r="G118" s="2">
        <f>Interpolate_Range('試算番号4-1'!$G$10:$G$143,'試算番号4-1'!$I$10:$I$143,F118)</f>
        <v>0.65143188818594178</v>
      </c>
      <c r="H118" s="33">
        <f>Interpolate_Range('試算番号4-4'!$G$10:$G$137,'試算番号4-4'!$P$10:$P$137,F118)</f>
        <v>1.1190986206320408</v>
      </c>
      <c r="I118" s="1">
        <f>Interpolate_Range('試算番号4-1'!$G$27:$G$143,'試算番号4-1'!$P$27:$P$143,F118)</f>
        <v>2.1002123610383356E-2</v>
      </c>
      <c r="J118" s="2">
        <f>Interpolate_Range('試算番号4-3'!$G$10:$G$143,'試算番号4-3'!$I$10:$I$143,F118)</f>
        <v>0.55223294599751171</v>
      </c>
      <c r="K118" s="15">
        <f>Interpolate_Range('試算番号4-5'!$H$10:$H$137,'試算番号4-5'!$R$10:$R$137,F118)</f>
        <v>1.0881692393200237</v>
      </c>
      <c r="L118" s="1">
        <f>Interpolate_Range('試算番号4-3'!$G$27:$G$143,'試算番号4-3'!$O$27:$O$143,F118)</f>
        <v>2.4012922858973589E-2</v>
      </c>
      <c r="M118" s="42">
        <f t="shared" si="10"/>
        <v>0.97236223801746013</v>
      </c>
      <c r="N118" s="33">
        <f t="shared" si="11"/>
        <v>0.53697046327711573</v>
      </c>
      <c r="O118" s="10">
        <f t="shared" si="12"/>
        <v>2.4626225314627916E-2</v>
      </c>
      <c r="P118" s="32"/>
      <c r="Q118" s="1"/>
      <c r="R118" s="10"/>
    </row>
    <row r="119" spans="6:18">
      <c r="F119" s="13">
        <f t="shared" si="13"/>
        <v>25.5</v>
      </c>
      <c r="G119" s="2">
        <f>Interpolate_Range('試算番号4-1'!$G$10:$G$143,'試算番号4-1'!$I$10:$I$143,F119)</f>
        <v>0.64829217605499545</v>
      </c>
      <c r="H119" s="33">
        <f>Interpolate_Range('試算番号4-4'!$G$10:$G$137,'試算番号4-4'!$P$10:$P$137,F119)</f>
        <v>1.1182678993864237</v>
      </c>
      <c r="I119" s="1">
        <f>Interpolate_Range('試算番号4-1'!$G$27:$G$143,'試算番号4-1'!$P$27:$P$143,F119)</f>
        <v>2.1002123610383356E-2</v>
      </c>
      <c r="J119" s="2">
        <f>Interpolate_Range('試算番号4-3'!$G$10:$G$143,'試算番号4-3'!$I$10:$I$143,F119)</f>
        <v>0.54903832514097095</v>
      </c>
      <c r="K119" s="15">
        <f>Interpolate_Range('試算番号4-5'!$H$10:$H$137,'試算番号4-5'!$R$10:$R$137,F119)</f>
        <v>1.0882651620836135</v>
      </c>
      <c r="L119" s="1">
        <f>Interpolate_Range('試算番号4-3'!$G$27:$G$143,'試算番号4-3'!$O$27:$O$143,F119)</f>
        <v>2.4012922858973589E-2</v>
      </c>
      <c r="M119" s="42">
        <f t="shared" si="10"/>
        <v>0.97317034914507317</v>
      </c>
      <c r="N119" s="33">
        <f t="shared" si="11"/>
        <v>0.53430781857146492</v>
      </c>
      <c r="O119" s="10">
        <f t="shared" si="12"/>
        <v>2.4579732032424868E-2</v>
      </c>
      <c r="P119" s="32"/>
      <c r="Q119" s="1"/>
      <c r="R119" s="10"/>
    </row>
    <row r="120" spans="6:18">
      <c r="F120" s="13">
        <f t="shared" si="13"/>
        <v>25.75</v>
      </c>
      <c r="G120" s="2">
        <f>Interpolate_Range('試算番号4-1'!$G$10:$G$143,'試算番号4-1'!$I$10:$I$143,F120)</f>
        <v>0.64515246392404957</v>
      </c>
      <c r="H120" s="33">
        <f>Interpolate_Range('試算番号4-4'!$G$10:$G$137,'試算番号4-4'!$P$10:$P$137,F120)</f>
        <v>1.1173481365812554</v>
      </c>
      <c r="I120" s="1">
        <f>Interpolate_Range('試算番号4-1'!$G$27:$G$143,'試算番号4-1'!$P$27:$P$143,F120)</f>
        <v>2.1140806809187694E-2</v>
      </c>
      <c r="J120" s="2">
        <f>Interpolate_Range('試算番号4-3'!$G$10:$G$143,'試算番号4-3'!$I$10:$I$143,F120)</f>
        <v>0.54584370428442797</v>
      </c>
      <c r="K120" s="15">
        <f>Interpolate_Range('試算番号4-5'!$H$10:$H$137,'試算番号4-5'!$R$10:$R$137,F120)</f>
        <v>1.0883327477741893</v>
      </c>
      <c r="L120" s="1">
        <f>Interpolate_Range('試算番号4-3'!$G$27:$G$143,'試算番号4-3'!$O$27:$O$143,F120)</f>
        <v>2.4011353409163508E-2</v>
      </c>
      <c r="M120" s="42">
        <f t="shared" si="10"/>
        <v>0.97403191730748806</v>
      </c>
      <c r="N120" s="33">
        <f t="shared" si="11"/>
        <v>0.53166918983438294</v>
      </c>
      <c r="O120" s="10">
        <f t="shared" si="12"/>
        <v>2.4533351715439362E-2</v>
      </c>
      <c r="P120" s="32"/>
      <c r="Q120" s="1"/>
      <c r="R120" s="10"/>
    </row>
    <row r="121" spans="6:18">
      <c r="F121" s="13">
        <f t="shared" si="13"/>
        <v>26</v>
      </c>
      <c r="G121" s="2">
        <f>Interpolate_Range('試算番号4-1'!$G$10:$G$143,'試算番号4-1'!$I$10:$I$143,F121)</f>
        <v>0.64201275179310324</v>
      </c>
      <c r="H121" s="33">
        <f>Interpolate_Range('試算番号4-4'!$G$10:$G$137,'試算番号4-4'!$P$10:$P$137,F121)</f>
        <v>1.11637752773177</v>
      </c>
      <c r="I121" s="1">
        <f>Interpolate_Range('試算番号4-1'!$G$27:$G$143,'試算番号4-1'!$P$27:$P$143,F121)</f>
        <v>2.1140806809187694E-2</v>
      </c>
      <c r="J121" s="2">
        <f>Interpolate_Range('試算番号4-3'!$G$10:$G$143,'試算番号4-3'!$I$10:$I$143,F121)</f>
        <v>0.5426490834278872</v>
      </c>
      <c r="K121" s="15">
        <f>Interpolate_Range('試算番号4-5'!$H$10:$H$137,'試算番号4-5'!$R$10:$R$137,F121)</f>
        <v>1.0883712571874744</v>
      </c>
      <c r="L121" s="1">
        <f>Interpolate_Range('試算番号4-3'!$G$27:$G$143,'試算番号4-3'!$O$27:$O$143,F121)</f>
        <v>2.4011353409163508E-2</v>
      </c>
      <c r="M121" s="42">
        <f t="shared" si="10"/>
        <v>0.97491326200268635</v>
      </c>
      <c r="N121" s="33">
        <f t="shared" si="11"/>
        <v>0.52903578804744944</v>
      </c>
      <c r="O121" s="10">
        <f t="shared" si="12"/>
        <v>2.4488430659559204E-2</v>
      </c>
      <c r="P121" s="32"/>
      <c r="Q121" s="1"/>
      <c r="R121" s="10"/>
    </row>
    <row r="122" spans="6:18">
      <c r="F122" s="13">
        <f t="shared" si="13"/>
        <v>26.25</v>
      </c>
      <c r="G122" s="2">
        <f>Interpolate_Range('試算番号4-1'!$G$10:$G$143,'試算番号4-1'!$I$10:$I$143,F122)</f>
        <v>0.63889188714002876</v>
      </c>
      <c r="H122" s="33">
        <f>Interpolate_Range('試算番号4-4'!$G$10:$G$137,'試算番号4-4'!$P$10:$P$137,F122)</f>
        <v>1.1154396871470278</v>
      </c>
      <c r="I122" s="1">
        <f>Interpolate_Range('試算番号4-1'!$G$27:$G$143,'試算番号4-1'!$P$27:$P$143,F122)</f>
        <v>2.1302482098494547E-2</v>
      </c>
      <c r="J122" s="2">
        <f>Interpolate_Range('試算番号4-3'!$G$10:$G$143,'試算番号4-3'!$I$10:$I$143,F122)</f>
        <v>0.53952052367095582</v>
      </c>
      <c r="K122" s="15">
        <f>Interpolate_Range('試算番号4-5'!$H$10:$H$137,'試算番号4-5'!$R$10:$R$137,F122)</f>
        <v>1.0884479249546697</v>
      </c>
      <c r="L122" s="1">
        <f>Interpolate_Range('試算番号4-3'!$G$27:$G$143,'試算番号4-3'!$O$27:$O$143,F122)</f>
        <v>2.3976561493453476E-2</v>
      </c>
      <c r="M122" s="42">
        <f t="shared" si="10"/>
        <v>0.97580168385312227</v>
      </c>
      <c r="N122" s="33">
        <f t="shared" si="11"/>
        <v>0.52646503547143697</v>
      </c>
      <c r="O122" s="10">
        <f t="shared" si="12"/>
        <v>2.4440775579973314E-2</v>
      </c>
      <c r="P122" s="32"/>
      <c r="Q122" s="1"/>
      <c r="R122" s="10"/>
    </row>
    <row r="123" spans="6:18">
      <c r="F123" s="13">
        <f t="shared" si="13"/>
        <v>26.5</v>
      </c>
      <c r="G123" s="2">
        <f>Interpolate_Range('試算番号4-1'!$G$10:$G$143,'試算番号4-1'!$I$10:$I$143,F123)</f>
        <v>0.63577102248695427</v>
      </c>
      <c r="H123" s="33">
        <f>Interpolate_Range('試算番号4-4'!$G$10:$G$137,'試算番号4-4'!$P$10:$P$137,F123)</f>
        <v>1.1144522333274445</v>
      </c>
      <c r="I123" s="1">
        <f>Interpolate_Range('試算番号4-1'!$G$27:$G$143,'試算番号4-1'!$P$27:$P$143,F123)</f>
        <v>2.1302482098494547E-2</v>
      </c>
      <c r="J123" s="2">
        <f>Interpolate_Range('試算番号4-3'!$G$10:$G$143,'試算番号4-3'!$I$10:$I$143,F123)</f>
        <v>0.53639196391402655</v>
      </c>
      <c r="K123" s="15">
        <f>Interpolate_Range('試算番号4-5'!$H$10:$H$137,'試算番号4-5'!$R$10:$R$137,F123)</f>
        <v>1.0884961714667063</v>
      </c>
      <c r="L123" s="1">
        <f>Interpolate_Range('試算番号4-3'!$G$27:$G$143,'試算番号4-3'!$O$27:$O$143,F123)</f>
        <v>2.3976561493453476E-2</v>
      </c>
      <c r="M123" s="42">
        <f t="shared" si="10"/>
        <v>0.97670957885450094</v>
      </c>
      <c r="N123" s="33">
        <f t="shared" si="11"/>
        <v>0.52389916917540758</v>
      </c>
      <c r="O123" s="10">
        <f t="shared" si="12"/>
        <v>2.4394567487357664E-2</v>
      </c>
      <c r="P123" s="32"/>
      <c r="Q123" s="1"/>
      <c r="R123" s="10"/>
    </row>
    <row r="124" spans="6:18">
      <c r="F124" s="13">
        <f t="shared" si="13"/>
        <v>26.75</v>
      </c>
      <c r="G124" s="2">
        <f>Interpolate_Range('試算番号4-1'!$G$10:$G$143,'試算番号4-1'!$I$10:$I$143,F124)</f>
        <v>0.63265015783387968</v>
      </c>
      <c r="H124" s="33">
        <f>Interpolate_Range('試算番号4-4'!$G$10:$G$137,'試算番号4-4'!$P$10:$P$137,F124)</f>
        <v>1.1133694613071723</v>
      </c>
      <c r="I124" s="1">
        <f>Interpolate_Range('試算番号4-1'!$G$27:$G$143,'試算番号4-1'!$P$27:$P$143,F124)</f>
        <v>2.1465963304872833E-2</v>
      </c>
      <c r="J124" s="2">
        <f>Interpolate_Range('試算番号4-3'!$G$10:$G$143,'試算番号4-3'!$I$10:$I$143,F124)</f>
        <v>0.53326340415709517</v>
      </c>
      <c r="K124" s="15">
        <f>Interpolate_Range('試算番号4-5'!$H$10:$H$137,'試算番号4-5'!$R$10:$R$137,F124)</f>
        <v>1.0885127491895017</v>
      </c>
      <c r="L124" s="1">
        <f>Interpolate_Range('試算番号4-3'!$G$27:$G$143,'試算番号4-3'!$O$27:$O$143,F124)</f>
        <v>2.3987304923984931E-2</v>
      </c>
      <c r="M124" s="42">
        <f t="shared" si="10"/>
        <v>0.97767433634430112</v>
      </c>
      <c r="N124" s="33">
        <f t="shared" si="11"/>
        <v>0.52135794475599084</v>
      </c>
      <c r="O124" s="10">
        <f t="shared" si="12"/>
        <v>2.4348352861609201E-2</v>
      </c>
      <c r="P124" s="32"/>
      <c r="Q124" s="1"/>
      <c r="R124" s="10"/>
    </row>
    <row r="125" spans="6:18">
      <c r="F125" s="13">
        <f t="shared" si="13"/>
        <v>27</v>
      </c>
      <c r="G125" s="2">
        <f>Interpolate_Range('試算番号4-1'!$G$10:$G$143,'試算番号4-1'!$I$10:$I$143,F125)</f>
        <v>0.62952929318080564</v>
      </c>
      <c r="H125" s="33">
        <f>Interpolate_Range('試算番号4-4'!$G$10:$G$137,'試算番号4-4'!$P$10:$P$137,F125)</f>
        <v>1.1122362982233178</v>
      </c>
      <c r="I125" s="1">
        <f>Interpolate_Range('試算番号4-1'!$G$27:$G$143,'試算番号4-1'!$P$27:$P$143,F125)</f>
        <v>2.1465963304872833E-2</v>
      </c>
      <c r="J125" s="2">
        <f>Interpolate_Range('試算番号4-3'!$G$10:$G$143,'試算番号4-3'!$I$10:$I$143,F125)</f>
        <v>0.53013484440016589</v>
      </c>
      <c r="K125" s="15">
        <f>Interpolate_Range('試算番号4-5'!$H$10:$H$137,'試算番号4-5'!$R$10:$R$137,F125)</f>
        <v>1.0885002388109097</v>
      </c>
      <c r="L125" s="1">
        <f>Interpolate_Range('試算番号4-3'!$G$27:$G$143,'試算番号4-3'!$O$27:$O$143,F125)</f>
        <v>2.3987304923984931E-2</v>
      </c>
      <c r="M125" s="42">
        <f t="shared" si="10"/>
        <v>0.97865915772545453</v>
      </c>
      <c r="N125" s="33">
        <f t="shared" si="11"/>
        <v>0.51882132030158123</v>
      </c>
      <c r="O125" s="10">
        <f t="shared" si="12"/>
        <v>2.4303545628470501E-2</v>
      </c>
      <c r="P125" s="32"/>
      <c r="Q125" s="1"/>
      <c r="R125" s="10"/>
    </row>
    <row r="126" spans="6:18">
      <c r="F126" s="13">
        <f t="shared" si="13"/>
        <v>27.25</v>
      </c>
      <c r="G126" s="2">
        <f>Interpolate_Range('試算番号4-1'!$G$10:$G$143,'試算番号4-1'!$I$10:$I$143,F126)</f>
        <v>0.62642789256813525</v>
      </c>
      <c r="H126" s="33">
        <f>Interpolate_Range('試算番号4-4'!$G$10:$G$137,'試算番号4-4'!$P$10:$P$137,F126)</f>
        <v>1.1111338767515546</v>
      </c>
      <c r="I126" s="1">
        <f>Interpolate_Range('試算番号4-1'!$G$27:$G$143,'試算番号4-1'!$P$27:$P$143,F126)</f>
        <v>2.1630337747521784E-2</v>
      </c>
      <c r="J126" s="2">
        <f>Interpolate_Range('試算番号4-3'!$G$10:$G$143,'試算番号4-3'!$I$10:$I$143,F126)</f>
        <v>0.52707105222190775</v>
      </c>
      <c r="K126" s="15">
        <f>Interpolate_Range('試算番号4-5'!$H$10:$H$137,'試算番号4-5'!$R$10:$R$137,F126)</f>
        <v>1.0885258903200639</v>
      </c>
      <c r="L126" s="1">
        <f>Interpolate_Range('試算番号4-3'!$G$27:$G$143,'試算番号4-3'!$O$27:$O$143,F126)</f>
        <v>2.3952033217651752E-2</v>
      </c>
      <c r="M126" s="42">
        <f t="shared" si="10"/>
        <v>0.97965322909820185</v>
      </c>
      <c r="N126" s="33">
        <f t="shared" si="11"/>
        <v>0.51634685827337889</v>
      </c>
      <c r="O126" s="10">
        <f t="shared" si="12"/>
        <v>2.4256019573344608E-2</v>
      </c>
      <c r="P126" s="32"/>
      <c r="Q126" s="1"/>
      <c r="R126" s="10"/>
    </row>
    <row r="127" spans="6:18">
      <c r="F127" s="13">
        <f t="shared" si="13"/>
        <v>27.5</v>
      </c>
      <c r="G127" s="2">
        <f>Interpolate_Range('試算番号4-1'!$G$10:$G$143,'試算番号4-1'!$I$10:$I$143,F127)</f>
        <v>0.62332649195546486</v>
      </c>
      <c r="H127" s="33">
        <f>Interpolate_Range('試算番号4-4'!$G$10:$G$137,'試算番号4-4'!$P$10:$P$137,F127)</f>
        <v>1.1099822901292005</v>
      </c>
      <c r="I127" s="1">
        <f>Interpolate_Range('試算番号4-1'!$G$27:$G$143,'試算番号4-1'!$P$27:$P$143,F127)</f>
        <v>2.1630337747521784E-2</v>
      </c>
      <c r="J127" s="2">
        <f>Interpolate_Range('試算番号4-3'!$G$10:$G$143,'試算番号4-3'!$I$10:$I$143,F127)</f>
        <v>0.52400726004365183</v>
      </c>
      <c r="K127" s="15">
        <f>Interpolate_Range('試算番号4-5'!$H$10:$H$137,'試算番号4-5'!$R$10:$R$137,F127)</f>
        <v>1.0885231139895226</v>
      </c>
      <c r="L127" s="1">
        <f>Interpolate_Range('試算番号4-3'!$G$27:$G$143,'試算番号4-3'!$O$27:$O$143,F127)</f>
        <v>2.3952033217651752E-2</v>
      </c>
      <c r="M127" s="42">
        <f t="shared" si="10"/>
        <v>0.98066710042988159</v>
      </c>
      <c r="N127" s="33">
        <f t="shared" si="11"/>
        <v>0.51387668031121503</v>
      </c>
      <c r="O127" s="10">
        <f t="shared" si="12"/>
        <v>2.4209889595864311E-2</v>
      </c>
      <c r="P127" s="32"/>
      <c r="Q127" s="1"/>
      <c r="R127" s="10"/>
    </row>
    <row r="128" spans="6:18">
      <c r="F128" s="13">
        <f t="shared" si="13"/>
        <v>27.75</v>
      </c>
      <c r="G128" s="2">
        <f>Interpolate_Range('試算番号4-1'!$G$10:$G$143,'試算番号4-1'!$I$10:$I$143,F128)</f>
        <v>0.62022509134279458</v>
      </c>
      <c r="H128" s="33">
        <f>Interpolate_Range('試算番号4-4'!$G$10:$G$137,'試算番号4-4'!$P$10:$P$137,F128)</f>
        <v>1.1087352885090138</v>
      </c>
      <c r="I128" s="1">
        <f>Interpolate_Range('試算番号4-1'!$G$27:$G$143,'試算番号4-1'!$P$27:$P$143,F128)</f>
        <v>2.1796501461324148E-2</v>
      </c>
      <c r="J128" s="2">
        <f>Interpolate_Range('試算番号4-3'!$G$10:$G$143,'試算番号4-3'!$I$10:$I$143,F128)</f>
        <v>0.52094346786539381</v>
      </c>
      <c r="K128" s="15">
        <f>Interpolate_Range('試算番号4-5'!$H$10:$H$137,'試算番号4-5'!$R$10:$R$137,F128)</f>
        <v>1.0884886198972614</v>
      </c>
      <c r="L128" s="1">
        <f>Interpolate_Range('試算番号4-3'!$G$27:$G$143,'試算番号4-3'!$O$27:$O$143,F128)</f>
        <v>2.39629422466721E-2</v>
      </c>
      <c r="M128" s="42">
        <f t="shared" si="10"/>
        <v>0.98173895173934678</v>
      </c>
      <c r="N128" s="33">
        <f t="shared" si="11"/>
        <v>0.51143049405763175</v>
      </c>
      <c r="O128" s="10">
        <f t="shared" si="12"/>
        <v>2.4163732948439848E-2</v>
      </c>
      <c r="P128" s="32"/>
      <c r="Q128" s="1"/>
      <c r="R128" s="10"/>
    </row>
    <row r="129" spans="6:18">
      <c r="F129" s="13">
        <f t="shared" si="13"/>
        <v>28</v>
      </c>
      <c r="G129" s="2">
        <f>Interpolate_Range('試算番号4-1'!$G$10:$G$143,'試算番号4-1'!$I$10:$I$143,F129)</f>
        <v>0.61712369073012419</v>
      </c>
      <c r="H129" s="33">
        <f>Interpolate_Range('試算番号4-4'!$G$10:$G$137,'試算番号4-4'!$P$10:$P$137,F129)</f>
        <v>1.1074383443309983</v>
      </c>
      <c r="I129" s="1">
        <f>Interpolate_Range('試算番号4-1'!$G$27:$G$143,'試算番号4-1'!$P$27:$P$143,F129)</f>
        <v>2.1796501461324148E-2</v>
      </c>
      <c r="J129" s="2">
        <f>Interpolate_Range('試算番号4-3'!$G$10:$G$143,'試算番号4-3'!$I$10:$I$143,F129)</f>
        <v>0.51787967568713567</v>
      </c>
      <c r="K129" s="15">
        <f>Interpolate_Range('試算番号4-5'!$H$10:$H$137,'試算番号4-5'!$R$10:$R$137,F129)</f>
        <v>1.0884250218287963</v>
      </c>
      <c r="L129" s="1">
        <f>Interpolate_Range('試算番号4-3'!$G$27:$G$143,'試算番号4-3'!$O$27:$O$143,F129)</f>
        <v>2.39629422466721E-2</v>
      </c>
      <c r="M129" s="42">
        <f t="shared" si="10"/>
        <v>0.98283125864339838</v>
      </c>
      <c r="N129" s="33">
        <f t="shared" si="11"/>
        <v>0.50898833348142247</v>
      </c>
      <c r="O129" s="10">
        <f t="shared" si="12"/>
        <v>2.4118935112964656E-2</v>
      </c>
      <c r="P129" s="32"/>
      <c r="Q129" s="1"/>
      <c r="R129" s="10"/>
    </row>
    <row r="130" spans="6:18">
      <c r="F130" s="13">
        <f t="shared" si="13"/>
        <v>28.25</v>
      </c>
      <c r="G130" s="2">
        <f>Interpolate_Range('試算番号4-1'!$G$10:$G$143,'試算番号4-1'!$I$10:$I$143,F130)</f>
        <v>0.61404235303827548</v>
      </c>
      <c r="H130" s="33">
        <f>Interpolate_Range('試算番号4-4'!$G$10:$G$137,'試算番号4-4'!$P$10:$P$137,F130)</f>
        <v>1.1061701560298272</v>
      </c>
      <c r="I130" s="1">
        <f>Interpolate_Range('試算番号4-1'!$G$27:$G$143,'試算番号4-1'!$P$27:$P$143,F130)</f>
        <v>2.1963584195660062E-2</v>
      </c>
      <c r="J130" s="2">
        <f>Interpolate_Range('試算番号4-3'!$G$10:$G$143,'試算番号4-3'!$I$10:$I$143,F130)</f>
        <v>0.51487938144727274</v>
      </c>
      <c r="K130" s="15">
        <f>Interpolate_Range('試算番号4-5'!$H$10:$H$137,'試算番号4-5'!$R$10:$R$137,F130)</f>
        <v>1.0883996051715994</v>
      </c>
      <c r="L130" s="1">
        <f>Interpolate_Range('試算番号4-3'!$G$27:$G$143,'試算番号4-3'!$O$27:$O$143,F130)</f>
        <v>2.392710335401688E-2</v>
      </c>
      <c r="M130" s="42">
        <f t="shared" si="10"/>
        <v>0.98393506572080347</v>
      </c>
      <c r="N130" s="33">
        <f t="shared" si="11"/>
        <v>0.50660787802260898</v>
      </c>
      <c r="O130" s="10">
        <f t="shared" si="12"/>
        <v>2.4071433301256145E-2</v>
      </c>
      <c r="P130" s="32"/>
      <c r="Q130" s="1"/>
      <c r="R130" s="10"/>
    </row>
    <row r="131" spans="6:18">
      <c r="F131" s="13">
        <f t="shared" si="13"/>
        <v>28.5</v>
      </c>
      <c r="G131" s="2">
        <f>Interpolate_Range('試算番号4-1'!$G$10:$G$143,'試算番号4-1'!$I$10:$I$143,F131)</f>
        <v>0.61096101534642622</v>
      </c>
      <c r="H131" s="33">
        <f>Interpolate_Range('試算番号4-4'!$G$10:$G$137,'試算番号4-4'!$P$10:$P$137,F131)</f>
        <v>1.104853243955108</v>
      </c>
      <c r="I131" s="1">
        <f>Interpolate_Range('試算番号4-1'!$G$27:$G$143,'試算番号4-1'!$P$27:$P$143,F131)</f>
        <v>2.1963584195660062E-2</v>
      </c>
      <c r="J131" s="2">
        <f>Interpolate_Range('試算番号4-3'!$G$10:$G$143,'試算番号4-3'!$I$10:$I$143,F131)</f>
        <v>0.51187908720740771</v>
      </c>
      <c r="K131" s="15">
        <f>Interpolate_Range('試算番号4-5'!$H$10:$H$137,'試算番号4-5'!$R$10:$R$137,F131)</f>
        <v>1.0883457499097016</v>
      </c>
      <c r="L131" s="1">
        <f>Interpolate_Range('試算番号4-3'!$G$27:$G$143,'試算番号4-3'!$O$27:$O$143,F131)</f>
        <v>2.392710335401688E-2</v>
      </c>
      <c r="M131" s="42">
        <f t="shared" si="10"/>
        <v>0.98505910704817812</v>
      </c>
      <c r="N131" s="33">
        <f t="shared" si="11"/>
        <v>0.50423115656116557</v>
      </c>
      <c r="O131" s="10">
        <f t="shared" si="12"/>
        <v>2.4025279722287702E-2</v>
      </c>
      <c r="P131" s="32"/>
      <c r="Q131" s="1"/>
      <c r="R131" s="10"/>
    </row>
    <row r="132" spans="6:18">
      <c r="F132" s="13">
        <f t="shared" si="13"/>
        <v>28.75</v>
      </c>
      <c r="G132" s="2">
        <f>Interpolate_Range('試算番号4-1'!$G$10:$G$143,'試算番号4-1'!$I$10:$I$143,F132)</f>
        <v>0.60787967765457707</v>
      </c>
      <c r="H132" s="33">
        <f>Interpolate_Range('試算番号4-4'!$G$10:$G$137,'試算番号4-4'!$P$10:$P$137,F132)</f>
        <v>1.1034408134807905</v>
      </c>
      <c r="I132" s="1">
        <f>Interpolate_Range('試算番号4-1'!$G$27:$G$143,'試算番号4-1'!$P$27:$P$143,F132)</f>
        <v>2.2132552506343987E-2</v>
      </c>
      <c r="J132" s="2">
        <f>Interpolate_Range('試算番号4-3'!$G$10:$G$143,'試算番号4-3'!$I$10:$I$143,F132)</f>
        <v>0.50887879296754479</v>
      </c>
      <c r="K132" s="15">
        <f>Interpolate_Range('試算番号4-5'!$H$10:$H$137,'試算番号4-5'!$R$10:$R$137,F132)</f>
        <v>1.0882601234661351</v>
      </c>
      <c r="L132" s="1">
        <f>Interpolate_Range('試算番号4-3'!$G$27:$G$143,'試算番号4-3'!$O$27:$O$143,F132)</f>
        <v>2.3938182354793523E-2</v>
      </c>
      <c r="M132" s="42">
        <f t="shared" si="10"/>
        <v>0.98624240663459961</v>
      </c>
      <c r="N132" s="33">
        <f t="shared" si="11"/>
        <v>0.50187784546162151</v>
      </c>
      <c r="O132" s="10">
        <f t="shared" si="12"/>
        <v>2.3979079117745144E-2</v>
      </c>
      <c r="P132" s="32"/>
      <c r="Q132" s="1"/>
      <c r="R132" s="10"/>
    </row>
    <row r="133" spans="6:18">
      <c r="F133" s="13">
        <f t="shared" si="13"/>
        <v>29</v>
      </c>
      <c r="G133" s="2">
        <f>Interpolate_Range('試算番号4-1'!$G$10:$G$143,'試算番号4-1'!$I$10:$I$143,F133)</f>
        <v>0.60479833996272792</v>
      </c>
      <c r="H133" s="33">
        <f>Interpolate_Range('試算番号4-4'!$G$10:$G$137,'試算番号4-4'!$P$10:$P$137,F133)</f>
        <v>1.1019788809627971</v>
      </c>
      <c r="I133" s="1">
        <f>Interpolate_Range('試算番号4-1'!$G$27:$G$143,'試算番号4-1'!$P$27:$P$143,F133)</f>
        <v>2.2132552506343987E-2</v>
      </c>
      <c r="J133" s="2">
        <f>Interpolate_Range('試算番号4-3'!$G$10:$G$143,'試算番号4-3'!$I$10:$I$143,F133)</f>
        <v>0.50587849872767976</v>
      </c>
      <c r="K133" s="15">
        <f>Interpolate_Range('試算番号4-5'!$H$10:$H$137,'試算番号4-5'!$R$10:$R$137,F133)</f>
        <v>1.0881453728064012</v>
      </c>
      <c r="L133" s="1">
        <f>Interpolate_Range('試算番号4-3'!$G$27:$G$143,'試算番号4-3'!$O$27:$O$143,F133)</f>
        <v>2.3938182354793523E-2</v>
      </c>
      <c r="M133" s="42">
        <f t="shared" si="10"/>
        <v>0.98744666672349513</v>
      </c>
      <c r="N133" s="33">
        <f t="shared" si="11"/>
        <v>0.49952803733573325</v>
      </c>
      <c r="O133" s="10">
        <f t="shared" si="12"/>
        <v>2.3934191436777056E-2</v>
      </c>
      <c r="P133" s="32"/>
      <c r="Q133" s="1"/>
      <c r="R133" s="10"/>
    </row>
    <row r="134" spans="6:18">
      <c r="F134" s="13">
        <f t="shared" si="13"/>
        <v>29.25</v>
      </c>
      <c r="G134" s="2">
        <f>Interpolate_Range('試算番号4-1'!$G$10:$G$143,'試算番号4-1'!$I$10:$I$143,F134)</f>
        <v>0.60173764638461669</v>
      </c>
      <c r="H134" s="33">
        <f>Interpolate_Range('試算番号4-4'!$G$10:$G$137,'試算番号4-4'!$P$10:$P$137,F134)</f>
        <v>1.1005437312900717</v>
      </c>
      <c r="I134" s="1">
        <f>Interpolate_Range('試算番号4-1'!$G$27:$G$143,'試算番号4-1'!$P$27:$P$143,F134)</f>
        <v>2.2302467573634445E-2</v>
      </c>
      <c r="J134" s="2">
        <f>Interpolate_Range('試算番号4-3'!$G$10:$G$143,'試算番号4-3'!$I$10:$I$143,F134)</f>
        <v>0.50294045625585893</v>
      </c>
      <c r="K134" s="15">
        <f>Interpolate_Range('試算番号4-5'!$H$10:$H$137,'試算番号4-5'!$R$10:$R$137,F134)</f>
        <v>1.0880688198187507</v>
      </c>
      <c r="L134" s="1">
        <f>Interpolate_Range('試算番号4-3'!$G$27:$G$143,'試算番号4-3'!$O$27:$O$143,F134)</f>
        <v>2.3901759653586246E-2</v>
      </c>
      <c r="M134" s="42">
        <f t="shared" si="10"/>
        <v>0.98866477440501366</v>
      </c>
      <c r="N134" s="33">
        <f t="shared" si="11"/>
        <v>0.49723951272335343</v>
      </c>
      <c r="O134" s="10">
        <f t="shared" si="12"/>
        <v>2.3886613744334692E-2</v>
      </c>
      <c r="P134" s="32"/>
      <c r="Q134" s="1"/>
      <c r="R134" s="10"/>
    </row>
    <row r="135" spans="6:18">
      <c r="F135" s="13">
        <f t="shared" si="13"/>
        <v>29.5</v>
      </c>
      <c r="G135" s="2">
        <f>Interpolate_Range('試算番号4-1'!$G$10:$G$143,'試算番号4-1'!$I$10:$I$143,F135)</f>
        <v>0.5986769528065059</v>
      </c>
      <c r="H135" s="33">
        <f>Interpolate_Range('試算番号4-4'!$G$10:$G$137,'試算番号4-4'!$P$10:$P$137,F135)</f>
        <v>1.0990602909921634</v>
      </c>
      <c r="I135" s="1">
        <f>Interpolate_Range('試算番号4-1'!$G$27:$G$143,'試算番号4-1'!$P$27:$P$143,F135)</f>
        <v>2.2302467573634445E-2</v>
      </c>
      <c r="J135" s="2">
        <f>Interpolate_Range('試算番号4-3'!$G$10:$G$143,'試算番号4-3'!$I$10:$I$143,F135)</f>
        <v>0.5000024137840362</v>
      </c>
      <c r="K135" s="15">
        <f>Interpolate_Range('試算番号4-5'!$H$10:$H$137,'試算番号4-5'!$R$10:$R$137,F135)</f>
        <v>1.0879638129578315</v>
      </c>
      <c r="L135" s="1">
        <f>Interpolate_Range('試算番号4-3'!$G$27:$G$143,'試算番号4-3'!$O$27:$O$143,F135)</f>
        <v>2.3901759653586246E-2</v>
      </c>
      <c r="M135" s="42">
        <f t="shared" si="10"/>
        <v>0.98990366759196191</v>
      </c>
      <c r="N135" s="33">
        <f t="shared" si="11"/>
        <v>0.49495422320965116</v>
      </c>
      <c r="O135" s="10">
        <f t="shared" si="12"/>
        <v>2.3840338950988998E-2</v>
      </c>
      <c r="P135" s="32"/>
      <c r="Q135" s="1"/>
      <c r="R135" s="10"/>
    </row>
    <row r="136" spans="6:18">
      <c r="F136" s="13">
        <f t="shared" si="13"/>
        <v>29.75</v>
      </c>
      <c r="G136" s="2">
        <f>Interpolate_Range('試算番号4-1'!$G$10:$G$143,'試算番号4-1'!$I$10:$I$143,F136)</f>
        <v>0.59561625922839467</v>
      </c>
      <c r="H136" s="33">
        <f>Interpolate_Range('試算番号4-4'!$G$10:$G$137,'試算番号4-4'!$P$10:$P$137,F136)</f>
        <v>1.0974812208080982</v>
      </c>
      <c r="I136" s="1">
        <f>Interpolate_Range('試算番号4-1'!$G$27:$G$143,'試算番号4-1'!$P$27:$P$143,F136)</f>
        <v>2.2474369878227197E-2</v>
      </c>
      <c r="J136" s="2">
        <f>Interpolate_Range('試算番号4-3'!$G$10:$G$143,'試算番号4-3'!$I$10:$I$143,F136)</f>
        <v>0.49706437131221537</v>
      </c>
      <c r="K136" s="15">
        <f>Interpolate_Range('試算番号4-5'!$H$10:$H$137,'試算番号4-5'!$R$10:$R$137,F136)</f>
        <v>1.0878269766124107</v>
      </c>
      <c r="L136" s="1">
        <f>Interpolate_Range('試算番号4-3'!$G$27:$G$143,'試算番号4-3'!$O$27:$O$143,F136)</f>
        <v>2.3913013580247448E-2</v>
      </c>
      <c r="M136" s="42">
        <f t="shared" si="10"/>
        <v>0.99120327162538702</v>
      </c>
      <c r="N136" s="33">
        <f t="shared" si="11"/>
        <v>0.49269183105308406</v>
      </c>
      <c r="O136" s="10">
        <f t="shared" si="12"/>
        <v>2.3793996286754122E-2</v>
      </c>
      <c r="P136" s="32"/>
      <c r="Q136" s="1"/>
      <c r="R136" s="10"/>
    </row>
    <row r="137" spans="6:18">
      <c r="F137" s="13">
        <f t="shared" si="13"/>
        <v>30</v>
      </c>
      <c r="G137" s="2">
        <f>Interpolate_Range('試算番号4-1'!$G$10:$G$143,'試算番号4-1'!$I$10:$I$143,F137)</f>
        <v>0.59255556565028344</v>
      </c>
      <c r="H137" s="33">
        <f>Interpolate_Range('試算番号4-4'!$G$10:$G$137,'試算番号4-4'!$P$10:$P$137,F137)</f>
        <v>1.0958530794829779</v>
      </c>
      <c r="I137" s="1">
        <f>Interpolate_Range('試算番号4-1'!$G$27:$G$143,'試算番号4-1'!$P$27:$P$143,F137)</f>
        <v>2.2474369878227197E-2</v>
      </c>
      <c r="J137" s="2">
        <f>Interpolate_Range('試算番号4-3'!$G$10:$G$143,'試算番号4-3'!$I$10:$I$143,F137)</f>
        <v>0.49412632884039254</v>
      </c>
      <c r="K137" s="15">
        <f>Interpolate_Range('試算番号4-5'!$H$10:$H$137,'試算番号4-5'!$R$10:$R$137,F137)</f>
        <v>1.0876609911093156</v>
      </c>
      <c r="L137" s="1">
        <f>Interpolate_Range('試算番号4-3'!$G$27:$G$143,'試算番号4-3'!$O$27:$O$143,F137)</f>
        <v>2.3913013580247448E-2</v>
      </c>
      <c r="M137" s="42">
        <f t="shared" si="10"/>
        <v>0.99252446470513422</v>
      </c>
      <c r="N137" s="33">
        <f t="shared" si="11"/>
        <v>0.49043247002902374</v>
      </c>
      <c r="O137" s="10">
        <f t="shared" si="12"/>
        <v>2.3748922841223551E-2</v>
      </c>
      <c r="P137" s="32"/>
      <c r="Q137" s="1"/>
      <c r="R137" s="10"/>
    </row>
    <row r="138" spans="6:18">
      <c r="F138" s="13"/>
      <c r="G138" s="13"/>
    </row>
    <row r="139" spans="6:18">
      <c r="F139" s="13"/>
      <c r="G139" s="13"/>
    </row>
    <row r="140" spans="6:18">
      <c r="F140" s="13"/>
      <c r="G140" s="13"/>
    </row>
    <row r="141" spans="6:18">
      <c r="F141" s="13"/>
      <c r="G141" s="13"/>
    </row>
    <row r="142" spans="6:18">
      <c r="F142" s="13"/>
      <c r="G142" s="13"/>
    </row>
    <row r="143" spans="6:18">
      <c r="F143" s="13"/>
      <c r="G143" s="13"/>
    </row>
    <row r="144" spans="6:18">
      <c r="F144" s="13"/>
      <c r="G144" s="13"/>
    </row>
    <row r="145" spans="6:7">
      <c r="F145" s="13"/>
      <c r="G145" s="13"/>
    </row>
    <row r="146" spans="6:7">
      <c r="F146" s="13"/>
      <c r="G146" s="13"/>
    </row>
    <row r="147" spans="6:7">
      <c r="F147" s="13"/>
      <c r="G147" s="13"/>
    </row>
    <row r="148" spans="6:7">
      <c r="F148" s="13"/>
      <c r="G148" s="13"/>
    </row>
    <row r="149" spans="6:7">
      <c r="F149" s="13"/>
      <c r="G149" s="13"/>
    </row>
    <row r="150" spans="6:7">
      <c r="F150" s="13"/>
      <c r="G150" s="13"/>
    </row>
    <row r="151" spans="6:7">
      <c r="F151" s="13"/>
      <c r="G151" s="13"/>
    </row>
    <row r="152" spans="6:7">
      <c r="F152" s="13"/>
      <c r="G152" s="13"/>
    </row>
    <row r="153" spans="6:7">
      <c r="F153" s="13"/>
      <c r="G153" s="13"/>
    </row>
    <row r="154" spans="6:7">
      <c r="F154" s="13"/>
      <c r="G154" s="13"/>
    </row>
    <row r="155" spans="6:7">
      <c r="F155" s="13"/>
      <c r="G155" s="13"/>
    </row>
    <row r="156" spans="6:7">
      <c r="F156" s="13"/>
      <c r="G156" s="13"/>
    </row>
    <row r="157" spans="6:7">
      <c r="F157" s="13"/>
      <c r="G157" s="13"/>
    </row>
    <row r="158" spans="6:7">
      <c r="F158" s="13"/>
      <c r="G158" s="13"/>
    </row>
    <row r="159" spans="6:7">
      <c r="F159" s="13"/>
      <c r="G159" s="13"/>
    </row>
    <row r="160" spans="6:7">
      <c r="F160" s="13"/>
      <c r="G160" s="13"/>
    </row>
    <row r="161" spans="6:7">
      <c r="F161" s="13"/>
      <c r="G161" s="13"/>
    </row>
    <row r="162" spans="6:7">
      <c r="F162" s="13"/>
      <c r="G162" s="13"/>
    </row>
    <row r="163" spans="6:7">
      <c r="F163" s="13"/>
      <c r="G163" s="13"/>
    </row>
    <row r="164" spans="6:7">
      <c r="F164" s="13"/>
      <c r="G164" s="13"/>
    </row>
    <row r="165" spans="6:7">
      <c r="F165" s="13"/>
      <c r="G165" s="13"/>
    </row>
    <row r="166" spans="6:7">
      <c r="F166" s="13"/>
      <c r="G166" s="13"/>
    </row>
    <row r="167" spans="6:7">
      <c r="F167" s="13"/>
      <c r="G167" s="13"/>
    </row>
    <row r="168" spans="6:7">
      <c r="F168" s="13"/>
      <c r="G168" s="13"/>
    </row>
    <row r="169" spans="6:7">
      <c r="F169" s="13"/>
      <c r="G169" s="13"/>
    </row>
    <row r="170" spans="6:7">
      <c r="F170" s="13"/>
      <c r="G170" s="13"/>
    </row>
    <row r="171" spans="6:7">
      <c r="F171" s="13"/>
      <c r="G171" s="13"/>
    </row>
    <row r="172" spans="6:7">
      <c r="F172" s="13"/>
      <c r="G172" s="13"/>
    </row>
    <row r="173" spans="6:7">
      <c r="F173" s="13"/>
      <c r="G173" s="13"/>
    </row>
    <row r="174" spans="6:7">
      <c r="F174" s="13"/>
      <c r="G174" s="13"/>
    </row>
    <row r="175" spans="6:7">
      <c r="F175" s="13"/>
      <c r="G175" s="13"/>
    </row>
    <row r="176" spans="6:7">
      <c r="F176" s="13"/>
      <c r="G176" s="13"/>
    </row>
    <row r="177" spans="6:7">
      <c r="F177" s="13"/>
      <c r="G177" s="13"/>
    </row>
    <row r="178" spans="6:7">
      <c r="F178" s="13"/>
      <c r="G178" s="13"/>
    </row>
    <row r="179" spans="6:7">
      <c r="F179" s="13"/>
      <c r="G179" s="13"/>
    </row>
    <row r="180" spans="6:7">
      <c r="F180" s="13"/>
      <c r="G180" s="13"/>
    </row>
    <row r="181" spans="6:7">
      <c r="F181" s="13"/>
      <c r="G181" s="13"/>
    </row>
    <row r="182" spans="6:7">
      <c r="F182" s="13"/>
      <c r="G182" s="13"/>
    </row>
    <row r="183" spans="6:7">
      <c r="F183" s="13"/>
      <c r="G183" s="13"/>
    </row>
    <row r="184" spans="6:7">
      <c r="F184" s="13"/>
      <c r="G184" s="13"/>
    </row>
    <row r="185" spans="6:7">
      <c r="F185" s="13"/>
      <c r="G185" s="13"/>
    </row>
    <row r="186" spans="6:7">
      <c r="F186" s="13"/>
      <c r="G186" s="13"/>
    </row>
    <row r="187" spans="6:7">
      <c r="F187" s="13"/>
      <c r="G187" s="13"/>
    </row>
    <row r="188" spans="6:7">
      <c r="F188" s="13"/>
      <c r="G188" s="13"/>
    </row>
    <row r="189" spans="6:7">
      <c r="F189" s="13"/>
      <c r="G189" s="13"/>
    </row>
    <row r="190" spans="6:7">
      <c r="F190" s="13"/>
      <c r="G190" s="13"/>
    </row>
    <row r="191" spans="6:7">
      <c r="F191" s="13"/>
      <c r="G191" s="13"/>
    </row>
  </sheetData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試算番号1-1</vt:lpstr>
      <vt:lpstr>試算番号1-2</vt:lpstr>
      <vt:lpstr>試算番号1-3</vt:lpstr>
      <vt:lpstr>試算番号2-1</vt:lpstr>
      <vt:lpstr>試算番号2-2</vt:lpstr>
      <vt:lpstr>試算番号2-3</vt:lpstr>
      <vt:lpstr>試算番号2-4</vt:lpstr>
      <vt:lpstr>試算番号2-5</vt:lpstr>
      <vt:lpstr>試算番号4-1</vt:lpstr>
      <vt:lpstr>試算番号4-2</vt:lpstr>
      <vt:lpstr>試算番号4-3</vt:lpstr>
      <vt:lpstr>試算番号4-4</vt:lpstr>
      <vt:lpstr>試算番号4-5</vt:lpstr>
      <vt:lpstr>試算番号4-6その1</vt:lpstr>
      <vt:lpstr>試算番号4-6その2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Genta Nakahara</dc:creator>
  <cp:lastModifiedBy>mycroft</cp:lastModifiedBy>
  <dcterms:created xsi:type="dcterms:W3CDTF">2013-05-06T00:01:08Z</dcterms:created>
  <dcterms:modified xsi:type="dcterms:W3CDTF">2018-12-29T03:10:16Z</dcterms:modified>
</cp:coreProperties>
</file>