
<file path=[Content_Types].xml><?xml version="1.0" encoding="utf-8"?>
<Types xmlns="http://schemas.openxmlformats.org/package/2006/content-types">
  <Override PartName="/xl/worksheets/sheet15.xml" ContentType="application/vnd.openxmlformats-officedocument.spreadsheetml.worksheet+xml"/>
  <Override PartName="/xl/worksheets/sheet9.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drawings/drawing6.xml" ContentType="application/vnd.openxmlformats-officedocument.drawing+xml"/>
  <Override PartName="/xl/drawings/drawing8.xml" ContentType="application/vnd.openxmlformats-officedocument.drawing+xml"/>
  <Override PartName="/xl/charts/chart4.xml" ContentType="application/vnd.openxmlformats-officedocument.drawingml.chart+xml"/>
  <Override PartName="/xl/drawings/drawing19.xml" ContentType="application/vnd.openxmlformats-officedocument.drawing+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drawings/drawing4.xml" ContentType="application/vnd.openxmlformats-officedocument.drawing+xml"/>
  <Override PartName="/xl/drawings/drawing5.xml" ContentType="application/vnd.openxmlformats-officedocument.drawing+xml"/>
  <Override PartName="/xl/charts/chart2.xml" ContentType="application/vnd.openxmlformats-officedocument.drawingml.chart+xml"/>
  <Override PartName="/xl/drawings/drawing17.xml" ContentType="application/vnd.openxmlformats-officedocument.drawing+xml"/>
  <Override PartName="/xl/drawings/drawing18.xml" ContentType="application/vnd.openxmlformats-officedocument.drawing+xml"/>
  <Override PartName="/xl/charts/chart3.xml" ContentType="application/vnd.openxmlformats-officedocument.drawingml.chart+xml"/>
  <Override PartName="/xl/vbaProject.bin" ContentType="application/vnd.ms-office.vbaProject"/>
  <Default Extension="rels" ContentType="application/vnd.openxmlformats-package.relationships+xml"/>
  <Default Extension="wmf" ContentType="image/x-wmf"/>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drawings/drawing15.xml" ContentType="application/vnd.openxmlformats-officedocument.drawing+xml"/>
  <Override PartName="/xl/drawings/drawing16.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drawings/drawing11.xml" ContentType="application/vnd.openxmlformats-officedocument.drawing+xml"/>
  <Override PartName="/xl/drawings/drawing12.xml" ContentType="application/vnd.openxmlformats-officedocument.drawing+xml"/>
  <Override PartName="/xl/calcChain.xml" ContentType="application/vnd.openxmlformats-officedocument.spreadsheetml.calcChain+xml"/>
  <Override PartName="/xl/worksheets/sheet19.xml" ContentType="application/vnd.openxmlformats-officedocument.spreadsheetml.worksheet+xml"/>
  <Override PartName="/xl/sharedStrings.xml" ContentType="application/vnd.openxmlformats-officedocument.spreadsheetml.sharedStrings+xml"/>
  <Override PartName="/xl/drawings/drawing10.xml" ContentType="application/vnd.openxmlformats-officedocument.drawing+xml"/>
  <Override PartName="/xl/worksheets/sheet17.xml" ContentType="application/vnd.openxmlformats-officedocument.spreadsheetml.worksheet+xml"/>
  <Override PartName="/xl/worksheets/sheet18.xml" ContentType="application/vnd.openxmlformats-officedocument.spreadsheetml.worksheet+xml"/>
  <Override PartName="/docProps/core.xml" ContentType="application/vnd.openxmlformats-package.core-properties+xml"/>
  <Override PartName="/xl/worksheets/sheet16.xml" ContentType="application/vnd.openxmlformats-officedocument.spreadsheetml.worksheet+xml"/>
  <Default Extension="bin" ContentType="application/vnd.openxmlformats-officedocument.spreadsheetml.printerSettings"/>
  <Override PartName="/xl/drawings/drawing9.xml" ContentType="application/vnd.openxmlformats-officedocument.drawing+xml"/>
  <Override PartName="/xl/worksheets/sheet14.xml" ContentType="application/vnd.openxmlformats-officedocument.spreadsheetml.worksheet+xml"/>
  <Override PartName="/xl/drawings/drawing7.xml" ContentType="application/vnd.openxmlformats-officedocument.drawing+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6135" yWindow="-15" windowWidth="6165" windowHeight="7080" tabRatio="884" firstSheet="5" activeTab="16"/>
  </bookViews>
  <sheets>
    <sheet name="このシートについて" sheetId="1" r:id="rId1"/>
    <sheet name="Def" sheetId="2" r:id="rId2"/>
    <sheet name="Pricing" sheetId="3" r:id="rId3"/>
    <sheet name="Pnorm" sheetId="4" r:id="rId4"/>
    <sheet name="Pjmax" sheetId="5" r:id="rId5"/>
    <sheet name="Pjmin" sheetId="6" r:id="rId6"/>
    <sheet name="CurveData" sheetId="7" r:id="rId7"/>
    <sheet name="Market_P" sheetId="8" r:id="rId8"/>
    <sheet name="ArrowDeb" sheetId="9" r:id="rId9"/>
    <sheet name="Alpha" sheetId="10" r:id="rId10"/>
    <sheet name="Prob" sheetId="11" r:id="rId11"/>
    <sheet name="ShortRate" sheetId="12" r:id="rId12"/>
    <sheet name="TreeView" sheetId="13" r:id="rId13"/>
    <sheet name="RefRate" sheetId="14" r:id="rId14"/>
    <sheet name="DF" sheetId="15" r:id="rId15"/>
    <sheet name="Backward" sheetId="16" r:id="rId16"/>
    <sheet name="MonteCarlo" sheetId="17" r:id="rId17"/>
    <sheet name="MC_Result" sheetId="18" r:id="rId18"/>
    <sheet name="Analytical" sheetId="19" r:id="rId19"/>
    <sheet name="Module1" sheetId="20" state="veryHidden" r:id=""/>
  </sheets>
  <functionGroups/>
  <definedNames>
    <definedName name="solver_adj" localSheetId="18" hidden="1">Analytical!$H$25</definedName>
    <definedName name="solver_adj" localSheetId="7" hidden="1">Market_P!$B$16</definedName>
    <definedName name="solver_cvg" localSheetId="18" hidden="1">0.0001</definedName>
    <definedName name="solver_cvg" localSheetId="7" hidden="1">0.0001</definedName>
    <definedName name="solver_drv" localSheetId="18" hidden="1">1</definedName>
    <definedName name="solver_drv" localSheetId="7" hidden="1">2</definedName>
    <definedName name="solver_est" localSheetId="18" hidden="1">1</definedName>
    <definedName name="solver_est" localSheetId="7" hidden="1">2</definedName>
    <definedName name="solver_itr" localSheetId="18" hidden="1">1000</definedName>
    <definedName name="solver_itr" localSheetId="7" hidden="1">1000</definedName>
    <definedName name="solver_lin" localSheetId="18" hidden="1">2</definedName>
    <definedName name="solver_lin" localSheetId="7" hidden="1">2</definedName>
    <definedName name="solver_neg" localSheetId="18" hidden="1">2</definedName>
    <definedName name="solver_neg" localSheetId="7" hidden="1">2</definedName>
    <definedName name="solver_num" localSheetId="18" hidden="1">0</definedName>
    <definedName name="solver_num" localSheetId="7" hidden="1">0</definedName>
    <definedName name="solver_nwt" localSheetId="18" hidden="1">1</definedName>
    <definedName name="solver_nwt" localSheetId="7" hidden="1">1</definedName>
    <definedName name="solver_opt" localSheetId="18" hidden="1">Analytical!$H$27</definedName>
    <definedName name="solver_opt" localSheetId="7" hidden="1">Market_P!$B$15</definedName>
    <definedName name="solver_pre" localSheetId="18" hidden="1">0.000001</definedName>
    <definedName name="solver_pre" localSheetId="7" hidden="1">0.000001</definedName>
    <definedName name="solver_scl" localSheetId="18" hidden="1">2</definedName>
    <definedName name="solver_scl" localSheetId="7" hidden="1">2</definedName>
    <definedName name="solver_sho" localSheetId="18" hidden="1">2</definedName>
    <definedName name="solver_sho" localSheetId="7" hidden="1">2</definedName>
    <definedName name="solver_tim" localSheetId="18" hidden="1">1000</definedName>
    <definedName name="solver_tim" localSheetId="7" hidden="1">1000</definedName>
    <definedName name="solver_tol" localSheetId="18" hidden="1">0.05</definedName>
    <definedName name="solver_tol" localSheetId="7" hidden="1">0.05</definedName>
    <definedName name="solver_typ" localSheetId="18" hidden="1">2</definedName>
    <definedName name="solver_typ" localSheetId="7" hidden="1">2</definedName>
    <definedName name="solver_val" localSheetId="18" hidden="1">0</definedName>
    <definedName name="solver_val" localSheetId="7" hidden="1">0</definedName>
  </definedNames>
  <calcPr calcId="125725"/>
</workbook>
</file>

<file path=xl/calcChain.xml><?xml version="1.0" encoding="utf-8"?>
<calcChain xmlns="http://schemas.openxmlformats.org/spreadsheetml/2006/main">
  <c r="C4" i="10"/>
  <c r="D4"/>
  <c r="E4"/>
  <c r="F4"/>
  <c r="G4"/>
  <c r="H4"/>
  <c r="I4"/>
  <c r="J4"/>
  <c r="K4"/>
  <c r="L4"/>
  <c r="M4"/>
  <c r="N4"/>
  <c r="O4"/>
  <c r="A19"/>
  <c r="A18" s="1"/>
  <c r="A17" s="1"/>
  <c r="A16" s="1"/>
  <c r="A15" s="1"/>
  <c r="A14" s="1"/>
  <c r="A13" s="1"/>
  <c r="A12" s="1"/>
  <c r="A11" s="1"/>
  <c r="A10" s="1"/>
  <c r="A9" s="1"/>
  <c r="A8" s="1"/>
  <c r="A21"/>
  <c r="A22"/>
  <c r="A23"/>
  <c r="A24"/>
  <c r="A25"/>
  <c r="A26"/>
  <c r="A27"/>
  <c r="A28"/>
  <c r="A29"/>
  <c r="A30"/>
  <c r="A31"/>
  <c r="A32"/>
  <c r="C4" i="19"/>
  <c r="D4"/>
  <c r="E4"/>
  <c r="F4"/>
  <c r="G4"/>
  <c r="H4"/>
  <c r="I4"/>
  <c r="J4"/>
  <c r="K4"/>
  <c r="L4"/>
  <c r="M4"/>
  <c r="N4"/>
  <c r="O4"/>
  <c r="A19"/>
  <c r="A18" s="1"/>
  <c r="A17" s="1"/>
  <c r="A16" s="1"/>
  <c r="A15" s="1"/>
  <c r="A14" s="1"/>
  <c r="A13" s="1"/>
  <c r="A12" s="1"/>
  <c r="A11" s="1"/>
  <c r="A10" s="1"/>
  <c r="A9" s="1"/>
  <c r="A8" s="1"/>
  <c r="A21"/>
  <c r="A22"/>
  <c r="A23"/>
  <c r="A24"/>
  <c r="A25"/>
  <c r="A26"/>
  <c r="A27"/>
  <c r="A28"/>
  <c r="A29"/>
  <c r="A30"/>
  <c r="A31"/>
  <c r="A32"/>
  <c r="C4" i="9"/>
  <c r="D4"/>
  <c r="E4"/>
  <c r="F4"/>
  <c r="G4"/>
  <c r="H4"/>
  <c r="I4"/>
  <c r="J4"/>
  <c r="K4"/>
  <c r="L4"/>
  <c r="M4"/>
  <c r="N4"/>
  <c r="O4"/>
  <c r="A19"/>
  <c r="A18" s="1"/>
  <c r="A17" s="1"/>
  <c r="A16" s="1"/>
  <c r="A15" s="1"/>
  <c r="A14" s="1"/>
  <c r="A13" s="1"/>
  <c r="A12" s="1"/>
  <c r="A11" s="1"/>
  <c r="A10" s="1"/>
  <c r="A9" s="1"/>
  <c r="A8" s="1"/>
  <c r="A21"/>
  <c r="A22"/>
  <c r="A23"/>
  <c r="A24"/>
  <c r="A25"/>
  <c r="A26"/>
  <c r="A27"/>
  <c r="A28"/>
  <c r="A29"/>
  <c r="A30"/>
  <c r="A31"/>
  <c r="A32"/>
  <c r="C4" i="16"/>
  <c r="D4"/>
  <c r="E4"/>
  <c r="F4"/>
  <c r="G4"/>
  <c r="H4"/>
  <c r="I4"/>
  <c r="J4"/>
  <c r="K4"/>
  <c r="L4"/>
  <c r="M4"/>
  <c r="N4"/>
  <c r="O4"/>
  <c r="A19"/>
  <c r="A18" s="1"/>
  <c r="A17" s="1"/>
  <c r="A16" s="1"/>
  <c r="A15" s="1"/>
  <c r="A14" s="1"/>
  <c r="A13" s="1"/>
  <c r="A12" s="1"/>
  <c r="A11" s="1"/>
  <c r="A10" s="1"/>
  <c r="A9" s="1"/>
  <c r="A8" s="1"/>
  <c r="A21"/>
  <c r="A22"/>
  <c r="A23"/>
  <c r="A24"/>
  <c r="A25"/>
  <c r="A26"/>
  <c r="A27"/>
  <c r="A28"/>
  <c r="A29"/>
  <c r="A30"/>
  <c r="A31"/>
  <c r="A32"/>
  <c r="E11" i="2"/>
  <c r="E12"/>
  <c r="E13"/>
  <c r="D15"/>
  <c r="D16"/>
  <c r="D17"/>
  <c r="D18"/>
  <c r="D19"/>
  <c r="C20" i="10" s="1"/>
  <c r="C5" s="1"/>
  <c r="C20" i="12" s="1"/>
  <c r="C4" i="15"/>
  <c r="D4"/>
  <c r="E4"/>
  <c r="F4"/>
  <c r="G4"/>
  <c r="H4"/>
  <c r="I4"/>
  <c r="J4"/>
  <c r="K4"/>
  <c r="L4"/>
  <c r="M4"/>
  <c r="N4"/>
  <c r="O4"/>
  <c r="A19"/>
  <c r="A18" s="1"/>
  <c r="A17" s="1"/>
  <c r="A16" s="1"/>
  <c r="A15" s="1"/>
  <c r="A14" s="1"/>
  <c r="A13" s="1"/>
  <c r="A12" s="1"/>
  <c r="A11" s="1"/>
  <c r="A10" s="1"/>
  <c r="A9" s="1"/>
  <c r="A8" s="1"/>
  <c r="A21"/>
  <c r="A22"/>
  <c r="A23"/>
  <c r="A24"/>
  <c r="A25"/>
  <c r="A26"/>
  <c r="A27"/>
  <c r="A28"/>
  <c r="A29"/>
  <c r="A30"/>
  <c r="A31"/>
  <c r="A32"/>
  <c r="C4" i="8"/>
  <c r="D4"/>
  <c r="E4"/>
  <c r="F4"/>
  <c r="G4"/>
  <c r="H4"/>
  <c r="I4"/>
  <c r="J4"/>
  <c r="K4"/>
  <c r="L4"/>
  <c r="M4"/>
  <c r="N4"/>
  <c r="O4"/>
  <c r="P4"/>
  <c r="A19"/>
  <c r="A18" s="1"/>
  <c r="A17" s="1"/>
  <c r="A16" s="1"/>
  <c r="A15" s="1"/>
  <c r="A14" s="1"/>
  <c r="A13" s="1"/>
  <c r="A12" s="1"/>
  <c r="A11" s="1"/>
  <c r="A10" s="1"/>
  <c r="A9" s="1"/>
  <c r="A8" s="1"/>
  <c r="A21"/>
  <c r="A22"/>
  <c r="A23"/>
  <c r="A24"/>
  <c r="A25"/>
  <c r="A26"/>
  <c r="A27"/>
  <c r="A28"/>
  <c r="A29"/>
  <c r="A30"/>
  <c r="A31"/>
  <c r="A32"/>
  <c r="A3" i="18"/>
  <c r="A4"/>
  <c r="A5"/>
  <c r="A6"/>
  <c r="A7"/>
  <c r="A8"/>
  <c r="A9"/>
  <c r="A10"/>
  <c r="A11"/>
  <c r="A12"/>
  <c r="A13"/>
  <c r="A14"/>
  <c r="A15"/>
  <c r="A16"/>
  <c r="A17"/>
  <c r="A18"/>
  <c r="A19"/>
  <c r="A20"/>
  <c r="A21"/>
  <c r="A22"/>
  <c r="A23"/>
  <c r="A24"/>
  <c r="A25"/>
  <c r="A26"/>
  <c r="A27"/>
  <c r="A28"/>
  <c r="A29"/>
  <c r="A30"/>
  <c r="A31"/>
  <c r="A32"/>
  <c r="A33"/>
  <c r="A34"/>
  <c r="A35"/>
  <c r="A36"/>
  <c r="A37"/>
  <c r="A38"/>
  <c r="A39"/>
  <c r="A40"/>
  <c r="A41"/>
  <c r="A42"/>
  <c r="A43"/>
  <c r="A44"/>
  <c r="A45"/>
  <c r="A46"/>
  <c r="A47"/>
  <c r="A48"/>
  <c r="A49"/>
  <c r="A50"/>
  <c r="A51"/>
  <c r="A52"/>
  <c r="A53"/>
  <c r="A54"/>
  <c r="A55"/>
  <c r="A56"/>
  <c r="A57"/>
  <c r="A58"/>
  <c r="A59"/>
  <c r="A60"/>
  <c r="A61"/>
  <c r="A62"/>
  <c r="A63"/>
  <c r="A64"/>
  <c r="A65"/>
  <c r="A66"/>
  <c r="A67"/>
  <c r="A68"/>
  <c r="A69"/>
  <c r="A70"/>
  <c r="A71"/>
  <c r="A72"/>
  <c r="A73"/>
  <c r="A74"/>
  <c r="A75"/>
  <c r="A76"/>
  <c r="A77"/>
  <c r="A78"/>
  <c r="A79"/>
  <c r="A80"/>
  <c r="A81"/>
  <c r="A82"/>
  <c r="A83"/>
  <c r="A84"/>
  <c r="A85"/>
  <c r="A86"/>
  <c r="A87"/>
  <c r="A88"/>
  <c r="A89"/>
  <c r="A90"/>
  <c r="A91"/>
  <c r="A92"/>
  <c r="A93"/>
  <c r="A94"/>
  <c r="A95"/>
  <c r="A96"/>
  <c r="A97"/>
  <c r="A98"/>
  <c r="A99"/>
  <c r="A100"/>
  <c r="A101"/>
  <c r="A102"/>
  <c r="A103"/>
  <c r="A104"/>
  <c r="A105"/>
  <c r="A106"/>
  <c r="A107"/>
  <c r="A108"/>
  <c r="A109"/>
  <c r="A110"/>
  <c r="A111"/>
  <c r="A112"/>
  <c r="A113"/>
  <c r="A114"/>
  <c r="A115"/>
  <c r="A116"/>
  <c r="A117"/>
  <c r="A118"/>
  <c r="A119"/>
  <c r="A120"/>
  <c r="A121"/>
  <c r="A122"/>
  <c r="A123"/>
  <c r="A124"/>
  <c r="A125"/>
  <c r="A126"/>
  <c r="A127"/>
  <c r="A128"/>
  <c r="A129"/>
  <c r="A130"/>
  <c r="A131"/>
  <c r="A132"/>
  <c r="A133"/>
  <c r="A134"/>
  <c r="A135"/>
  <c r="A136"/>
  <c r="A137"/>
  <c r="A138"/>
  <c r="A139"/>
  <c r="A140"/>
  <c r="A141"/>
  <c r="A142"/>
  <c r="A143"/>
  <c r="A144"/>
  <c r="A145"/>
  <c r="A146"/>
  <c r="A147"/>
  <c r="A148"/>
  <c r="A149"/>
  <c r="A150"/>
  <c r="A151"/>
  <c r="A152"/>
  <c r="A153"/>
  <c r="A154"/>
  <c r="A155"/>
  <c r="A156"/>
  <c r="A157"/>
  <c r="A158"/>
  <c r="A159"/>
  <c r="A160"/>
  <c r="A161"/>
  <c r="A162"/>
  <c r="A163"/>
  <c r="A164"/>
  <c r="A165"/>
  <c r="A166"/>
  <c r="A167"/>
  <c r="A168"/>
  <c r="A169"/>
  <c r="A170"/>
  <c r="A171"/>
  <c r="A172"/>
  <c r="A173"/>
  <c r="A174"/>
  <c r="A175"/>
  <c r="A176"/>
  <c r="A177"/>
  <c r="A178"/>
  <c r="A179"/>
  <c r="A180"/>
  <c r="A181"/>
  <c r="A182"/>
  <c r="A183"/>
  <c r="A184"/>
  <c r="A185"/>
  <c r="A186"/>
  <c r="A187"/>
  <c r="A188"/>
  <c r="A189"/>
  <c r="A190"/>
  <c r="A191"/>
  <c r="A192"/>
  <c r="A193"/>
  <c r="A194"/>
  <c r="A195"/>
  <c r="A196"/>
  <c r="A197"/>
  <c r="A198"/>
  <c r="A199"/>
  <c r="A200"/>
  <c r="A201"/>
  <c r="A202"/>
  <c r="A203"/>
  <c r="A204"/>
  <c r="A205"/>
  <c r="A206"/>
  <c r="A207"/>
  <c r="A208"/>
  <c r="A209"/>
  <c r="A210"/>
  <c r="A211"/>
  <c r="A212"/>
  <c r="A213"/>
  <c r="A214"/>
  <c r="A215"/>
  <c r="A216"/>
  <c r="A217"/>
  <c r="A218"/>
  <c r="A219"/>
  <c r="A220"/>
  <c r="A221"/>
  <c r="A222"/>
  <c r="A223"/>
  <c r="A224"/>
  <c r="A225"/>
  <c r="A226"/>
  <c r="A227"/>
  <c r="A228"/>
  <c r="A229"/>
  <c r="A230"/>
  <c r="A231"/>
  <c r="A232"/>
  <c r="A233"/>
  <c r="A234"/>
  <c r="A235"/>
  <c r="A236"/>
  <c r="A237"/>
  <c r="A238"/>
  <c r="A239"/>
  <c r="A240"/>
  <c r="A241"/>
  <c r="A242"/>
  <c r="A243"/>
  <c r="A244"/>
  <c r="A245"/>
  <c r="A246"/>
  <c r="A247"/>
  <c r="A248"/>
  <c r="A249"/>
  <c r="A250"/>
  <c r="A251"/>
  <c r="A252"/>
  <c r="A253"/>
  <c r="A254"/>
  <c r="A255"/>
  <c r="A256"/>
  <c r="A257"/>
  <c r="A258"/>
  <c r="A259"/>
  <c r="A260"/>
  <c r="A261"/>
  <c r="A262"/>
  <c r="A263"/>
  <c r="A264"/>
  <c r="A265"/>
  <c r="A266"/>
  <c r="A267"/>
  <c r="A268"/>
  <c r="A269"/>
  <c r="A270"/>
  <c r="A271"/>
  <c r="A272"/>
  <c r="A273"/>
  <c r="A274"/>
  <c r="A275"/>
  <c r="A276"/>
  <c r="A277"/>
  <c r="A278"/>
  <c r="A279"/>
  <c r="A280"/>
  <c r="A281"/>
  <c r="A282"/>
  <c r="A283"/>
  <c r="A284"/>
  <c r="A285"/>
  <c r="A286"/>
  <c r="A287"/>
  <c r="A288"/>
  <c r="A289"/>
  <c r="A290"/>
  <c r="A291"/>
  <c r="A292"/>
  <c r="A293"/>
  <c r="A294"/>
  <c r="A295"/>
  <c r="A296"/>
  <c r="A297"/>
  <c r="A298"/>
  <c r="A299"/>
  <c r="A300"/>
  <c r="A301"/>
  <c r="A302"/>
  <c r="A303"/>
  <c r="A304"/>
  <c r="A305"/>
  <c r="A306"/>
  <c r="A307"/>
  <c r="A308"/>
  <c r="A309"/>
  <c r="A310"/>
  <c r="A311"/>
  <c r="A312"/>
  <c r="A313"/>
  <c r="A314"/>
  <c r="A315"/>
  <c r="A316"/>
  <c r="A317"/>
  <c r="A318"/>
  <c r="A319"/>
  <c r="A320"/>
  <c r="A321"/>
  <c r="A322"/>
  <c r="A323"/>
  <c r="A324"/>
  <c r="A325"/>
  <c r="A326"/>
  <c r="A327"/>
  <c r="A328"/>
  <c r="A329"/>
  <c r="A330"/>
  <c r="A331"/>
  <c r="A332"/>
  <c r="A333"/>
  <c r="A334"/>
  <c r="A335"/>
  <c r="A336"/>
  <c r="A337"/>
  <c r="A338"/>
  <c r="A339"/>
  <c r="A340"/>
  <c r="A341"/>
  <c r="A342"/>
  <c r="A343"/>
  <c r="A344"/>
  <c r="A345"/>
  <c r="A346"/>
  <c r="A347"/>
  <c r="A348"/>
  <c r="A349"/>
  <c r="A350"/>
  <c r="A351"/>
  <c r="A352"/>
  <c r="A353"/>
  <c r="A354"/>
  <c r="A355"/>
  <c r="A356"/>
  <c r="A357"/>
  <c r="A358"/>
  <c r="A359"/>
  <c r="A360"/>
  <c r="A361"/>
  <c r="A362"/>
  <c r="A363"/>
  <c r="A364"/>
  <c r="A365"/>
  <c r="A366"/>
  <c r="A367"/>
  <c r="A368"/>
  <c r="A369"/>
  <c r="A370"/>
  <c r="A371"/>
  <c r="A372"/>
  <c r="A373"/>
  <c r="A374"/>
  <c r="A375"/>
  <c r="A376"/>
  <c r="A377"/>
  <c r="A378"/>
  <c r="A379"/>
  <c r="A380"/>
  <c r="A381"/>
  <c r="A382"/>
  <c r="A383"/>
  <c r="A384"/>
  <c r="A385"/>
  <c r="A386"/>
  <c r="A387"/>
  <c r="A388"/>
  <c r="A389"/>
  <c r="A390"/>
  <c r="A391"/>
  <c r="A392"/>
  <c r="A393"/>
  <c r="A394"/>
  <c r="A395"/>
  <c r="A396"/>
  <c r="A397"/>
  <c r="A398"/>
  <c r="A399"/>
  <c r="A400"/>
  <c r="A401"/>
  <c r="A402"/>
  <c r="A403"/>
  <c r="A404"/>
  <c r="A405"/>
  <c r="A406"/>
  <c r="A407"/>
  <c r="A408"/>
  <c r="A409"/>
  <c r="A410"/>
  <c r="A411"/>
  <c r="A412"/>
  <c r="A413"/>
  <c r="A414"/>
  <c r="A415"/>
  <c r="A416"/>
  <c r="A417"/>
  <c r="A418"/>
  <c r="A419"/>
  <c r="A420"/>
  <c r="A421"/>
  <c r="A422"/>
  <c r="A423"/>
  <c r="A424"/>
  <c r="A425"/>
  <c r="A426"/>
  <c r="A427"/>
  <c r="A428"/>
  <c r="A429"/>
  <c r="A430"/>
  <c r="A431"/>
  <c r="A432"/>
  <c r="A433"/>
  <c r="A434"/>
  <c r="A435"/>
  <c r="A436"/>
  <c r="A437"/>
  <c r="A438"/>
  <c r="A439"/>
  <c r="A440"/>
  <c r="A441"/>
  <c r="A442"/>
  <c r="A443"/>
  <c r="A444"/>
  <c r="A445"/>
  <c r="A446"/>
  <c r="A447"/>
  <c r="A448"/>
  <c r="A449"/>
  <c r="A450"/>
  <c r="A451"/>
  <c r="A452"/>
  <c r="A453"/>
  <c r="A454"/>
  <c r="A455"/>
  <c r="A456"/>
  <c r="A457"/>
  <c r="A458"/>
  <c r="A459"/>
  <c r="A460"/>
  <c r="A461"/>
  <c r="A462"/>
  <c r="A463"/>
  <c r="A464"/>
  <c r="A465"/>
  <c r="A466"/>
  <c r="A467"/>
  <c r="A468"/>
  <c r="A469"/>
  <c r="A470"/>
  <c r="A471"/>
  <c r="A472"/>
  <c r="A473"/>
  <c r="A474"/>
  <c r="A475"/>
  <c r="A476"/>
  <c r="A477"/>
  <c r="A478"/>
  <c r="A479"/>
  <c r="A480"/>
  <c r="A481"/>
  <c r="A482"/>
  <c r="A483"/>
  <c r="A484"/>
  <c r="A485"/>
  <c r="A486"/>
  <c r="A487"/>
  <c r="A488"/>
  <c r="A489"/>
  <c r="A490"/>
  <c r="A491"/>
  <c r="A492"/>
  <c r="A493"/>
  <c r="A494"/>
  <c r="A495"/>
  <c r="A496"/>
  <c r="A497"/>
  <c r="A498"/>
  <c r="A499"/>
  <c r="A500"/>
  <c r="A501"/>
  <c r="A502"/>
  <c r="A503"/>
  <c r="A504"/>
  <c r="A505"/>
  <c r="A506"/>
  <c r="A507"/>
  <c r="A508"/>
  <c r="A509"/>
  <c r="A510"/>
  <c r="A511"/>
  <c r="A512"/>
  <c r="A513"/>
  <c r="A514"/>
  <c r="A515"/>
  <c r="A516"/>
  <c r="A517"/>
  <c r="A518"/>
  <c r="A519"/>
  <c r="A520"/>
  <c r="A521"/>
  <c r="A522"/>
  <c r="A523"/>
  <c r="A524"/>
  <c r="A525"/>
  <c r="A526"/>
  <c r="A527"/>
  <c r="A528"/>
  <c r="A529"/>
  <c r="A530"/>
  <c r="A531"/>
  <c r="A532"/>
  <c r="A533"/>
  <c r="A534"/>
  <c r="A535"/>
  <c r="A536"/>
  <c r="A537"/>
  <c r="A538"/>
  <c r="A539"/>
  <c r="A540"/>
  <c r="A541"/>
  <c r="A542"/>
  <c r="A543"/>
  <c r="A544"/>
  <c r="A545"/>
  <c r="A546"/>
  <c r="A547"/>
  <c r="A548"/>
  <c r="A549"/>
  <c r="A550"/>
  <c r="A551"/>
  <c r="A552"/>
  <c r="A553"/>
  <c r="A554"/>
  <c r="A555"/>
  <c r="A556"/>
  <c r="A557"/>
  <c r="A558"/>
  <c r="A559"/>
  <c r="A560"/>
  <c r="A561"/>
  <c r="A562"/>
  <c r="A563"/>
  <c r="A564"/>
  <c r="A565"/>
  <c r="A566"/>
  <c r="A567"/>
  <c r="A568"/>
  <c r="A569"/>
  <c r="A570"/>
  <c r="A571"/>
  <c r="A572"/>
  <c r="A573"/>
  <c r="A574"/>
  <c r="A575"/>
  <c r="A576"/>
  <c r="A577"/>
  <c r="A578"/>
  <c r="A579"/>
  <c r="A580"/>
  <c r="A581"/>
  <c r="A582"/>
  <c r="A583"/>
  <c r="A584"/>
  <c r="A585"/>
  <c r="A586"/>
  <c r="A587"/>
  <c r="A588"/>
  <c r="A589"/>
  <c r="A590"/>
  <c r="A591"/>
  <c r="A592"/>
  <c r="A593"/>
  <c r="A594"/>
  <c r="A595"/>
  <c r="A596"/>
  <c r="A597"/>
  <c r="A598"/>
  <c r="A599"/>
  <c r="A600"/>
  <c r="A601"/>
  <c r="A602"/>
  <c r="A603"/>
  <c r="A604"/>
  <c r="A605"/>
  <c r="A606"/>
  <c r="A607"/>
  <c r="A608"/>
  <c r="A609"/>
  <c r="A610"/>
  <c r="A611"/>
  <c r="A612"/>
  <c r="A613"/>
  <c r="A614"/>
  <c r="A615"/>
  <c r="A616"/>
  <c r="A617"/>
  <c r="A618"/>
  <c r="A619"/>
  <c r="A620"/>
  <c r="A621"/>
  <c r="A622"/>
  <c r="A623"/>
  <c r="A624"/>
  <c r="A625"/>
  <c r="A626"/>
  <c r="A627"/>
  <c r="A628"/>
  <c r="A629"/>
  <c r="A630"/>
  <c r="A631"/>
  <c r="A632"/>
  <c r="A633"/>
  <c r="A634"/>
  <c r="A635"/>
  <c r="A636"/>
  <c r="A637"/>
  <c r="A638"/>
  <c r="A639"/>
  <c r="A640"/>
  <c r="A641"/>
  <c r="A642"/>
  <c r="A643"/>
  <c r="A644"/>
  <c r="A645"/>
  <c r="A646"/>
  <c r="A647"/>
  <c r="A648"/>
  <c r="A649"/>
  <c r="A650"/>
  <c r="A651"/>
  <c r="A652"/>
  <c r="A653"/>
  <c r="A654"/>
  <c r="A655"/>
  <c r="A656"/>
  <c r="A657"/>
  <c r="A658"/>
  <c r="A659"/>
  <c r="A660"/>
  <c r="A661"/>
  <c r="A662"/>
  <c r="A663"/>
  <c r="A664"/>
  <c r="A665"/>
  <c r="A666"/>
  <c r="A667"/>
  <c r="A668"/>
  <c r="A669"/>
  <c r="A670"/>
  <c r="A671"/>
  <c r="A672"/>
  <c r="A673"/>
  <c r="A674"/>
  <c r="A675"/>
  <c r="A676"/>
  <c r="A677"/>
  <c r="A678"/>
  <c r="A679"/>
  <c r="A680"/>
  <c r="A681"/>
  <c r="A682"/>
  <c r="A683"/>
  <c r="A684"/>
  <c r="A685"/>
  <c r="A686"/>
  <c r="A687"/>
  <c r="A688"/>
  <c r="A689"/>
  <c r="A690"/>
  <c r="A691"/>
  <c r="A692"/>
  <c r="A693"/>
  <c r="A694"/>
  <c r="A695"/>
  <c r="A696"/>
  <c r="A697"/>
  <c r="A698"/>
  <c r="A699"/>
  <c r="A700"/>
  <c r="A701"/>
  <c r="A702"/>
  <c r="A703"/>
  <c r="A704"/>
  <c r="A705"/>
  <c r="A706"/>
  <c r="A707"/>
  <c r="A708"/>
  <c r="A709"/>
  <c r="A710"/>
  <c r="A711"/>
  <c r="A712"/>
  <c r="A713"/>
  <c r="A714"/>
  <c r="A715"/>
  <c r="A716"/>
  <c r="A717"/>
  <c r="A718"/>
  <c r="A719"/>
  <c r="A720"/>
  <c r="A721"/>
  <c r="A722"/>
  <c r="A723"/>
  <c r="A724"/>
  <c r="A725"/>
  <c r="A726"/>
  <c r="A727"/>
  <c r="A728"/>
  <c r="A729"/>
  <c r="A730"/>
  <c r="A731"/>
  <c r="A732"/>
  <c r="A733"/>
  <c r="A734"/>
  <c r="A735"/>
  <c r="A736"/>
  <c r="A737"/>
  <c r="A738"/>
  <c r="A739"/>
  <c r="A740"/>
  <c r="A741"/>
  <c r="A742"/>
  <c r="A743"/>
  <c r="A744"/>
  <c r="A745"/>
  <c r="A746"/>
  <c r="A747"/>
  <c r="A748"/>
  <c r="A749"/>
  <c r="A750"/>
  <c r="A751"/>
  <c r="A752"/>
  <c r="A753"/>
  <c r="A754"/>
  <c r="A755"/>
  <c r="A756"/>
  <c r="A757"/>
  <c r="A758"/>
  <c r="A759"/>
  <c r="A760"/>
  <c r="A761"/>
  <c r="A762"/>
  <c r="A763"/>
  <c r="A764"/>
  <c r="A765"/>
  <c r="A766"/>
  <c r="A767"/>
  <c r="A768"/>
  <c r="A769"/>
  <c r="A770"/>
  <c r="A771"/>
  <c r="A772"/>
  <c r="A773"/>
  <c r="A774"/>
  <c r="A775"/>
  <c r="A776"/>
  <c r="A777"/>
  <c r="A778"/>
  <c r="A779"/>
  <c r="A780"/>
  <c r="A781"/>
  <c r="A782"/>
  <c r="A783"/>
  <c r="A784"/>
  <c r="A785"/>
  <c r="A786"/>
  <c r="A787"/>
  <c r="A788"/>
  <c r="A789"/>
  <c r="A790"/>
  <c r="A791"/>
  <c r="A792"/>
  <c r="A793"/>
  <c r="A794"/>
  <c r="A795"/>
  <c r="A796"/>
  <c r="A797"/>
  <c r="A798"/>
  <c r="A799"/>
  <c r="A800"/>
  <c r="A801"/>
  <c r="A802"/>
  <c r="A803"/>
  <c r="A804"/>
  <c r="A805"/>
  <c r="A806"/>
  <c r="A807"/>
  <c r="A808"/>
  <c r="A809"/>
  <c r="A810"/>
  <c r="A811"/>
  <c r="A812"/>
  <c r="A813"/>
  <c r="A814"/>
  <c r="A815"/>
  <c r="A816"/>
  <c r="A817"/>
  <c r="A818"/>
  <c r="A819"/>
  <c r="A820"/>
  <c r="A821"/>
  <c r="A822"/>
  <c r="A823"/>
  <c r="A824"/>
  <c r="A825"/>
  <c r="A826"/>
  <c r="A827"/>
  <c r="A828"/>
  <c r="A829"/>
  <c r="A830"/>
  <c r="A831"/>
  <c r="A832"/>
  <c r="A833"/>
  <c r="A834"/>
  <c r="A835"/>
  <c r="A836"/>
  <c r="A837"/>
  <c r="A838"/>
  <c r="A839"/>
  <c r="A840"/>
  <c r="A841"/>
  <c r="A842"/>
  <c r="A843"/>
  <c r="A844"/>
  <c r="A845"/>
  <c r="A846"/>
  <c r="A847"/>
  <c r="A848"/>
  <c r="A849"/>
  <c r="A850"/>
  <c r="A851"/>
  <c r="A852"/>
  <c r="A853"/>
  <c r="A854"/>
  <c r="A855"/>
  <c r="A856"/>
  <c r="A857"/>
  <c r="A858"/>
  <c r="A859"/>
  <c r="A860"/>
  <c r="A861"/>
  <c r="A862"/>
  <c r="A863"/>
  <c r="A864"/>
  <c r="A865"/>
  <c r="A866"/>
  <c r="A867"/>
  <c r="A868"/>
  <c r="A869"/>
  <c r="A870"/>
  <c r="A871"/>
  <c r="A872"/>
  <c r="A873"/>
  <c r="A874"/>
  <c r="A875"/>
  <c r="A876"/>
  <c r="A877"/>
  <c r="A878"/>
  <c r="A879"/>
  <c r="A880"/>
  <c r="A881"/>
  <c r="A882"/>
  <c r="A883"/>
  <c r="A884"/>
  <c r="A885"/>
  <c r="A886"/>
  <c r="A887"/>
  <c r="A888"/>
  <c r="A889"/>
  <c r="A890"/>
  <c r="A891"/>
  <c r="A892"/>
  <c r="A893"/>
  <c r="A894"/>
  <c r="A895"/>
  <c r="A896"/>
  <c r="A897"/>
  <c r="A898"/>
  <c r="A899"/>
  <c r="A900"/>
  <c r="A901"/>
  <c r="A902"/>
  <c r="A903"/>
  <c r="A904"/>
  <c r="A905"/>
  <c r="A906"/>
  <c r="A907"/>
  <c r="A908"/>
  <c r="A909"/>
  <c r="A910"/>
  <c r="A911"/>
  <c r="A912"/>
  <c r="A913"/>
  <c r="A914"/>
  <c r="A915"/>
  <c r="A916"/>
  <c r="A917"/>
  <c r="A918"/>
  <c r="A919"/>
  <c r="A920"/>
  <c r="A921"/>
  <c r="A922"/>
  <c r="A923"/>
  <c r="A924"/>
  <c r="A925"/>
  <c r="A926"/>
  <c r="A927"/>
  <c r="A928"/>
  <c r="A929"/>
  <c r="A930"/>
  <c r="A931"/>
  <c r="A932"/>
  <c r="A933"/>
  <c r="A934"/>
  <c r="A935"/>
  <c r="A936"/>
  <c r="A937"/>
  <c r="A938"/>
  <c r="A939"/>
  <c r="A940"/>
  <c r="A941"/>
  <c r="A942"/>
  <c r="A943"/>
  <c r="A944"/>
  <c r="A945"/>
  <c r="A946"/>
  <c r="A947"/>
  <c r="A948"/>
  <c r="A949"/>
  <c r="A950"/>
  <c r="A951"/>
  <c r="A952"/>
  <c r="A953"/>
  <c r="A954"/>
  <c r="A955"/>
  <c r="A956"/>
  <c r="A957"/>
  <c r="A958"/>
  <c r="A959"/>
  <c r="A960"/>
  <c r="A961"/>
  <c r="A962"/>
  <c r="A963"/>
  <c r="A964"/>
  <c r="A965"/>
  <c r="A966"/>
  <c r="A967"/>
  <c r="A968"/>
  <c r="A969"/>
  <c r="A970"/>
  <c r="A971"/>
  <c r="A972"/>
  <c r="A973"/>
  <c r="A974"/>
  <c r="A975"/>
  <c r="A976"/>
  <c r="A977"/>
  <c r="A978"/>
  <c r="A979"/>
  <c r="A980"/>
  <c r="A981"/>
  <c r="A982"/>
  <c r="A983"/>
  <c r="A984"/>
  <c r="A985"/>
  <c r="A986"/>
  <c r="A987"/>
  <c r="A988"/>
  <c r="A989"/>
  <c r="A990"/>
  <c r="A991"/>
  <c r="A992"/>
  <c r="A993"/>
  <c r="A994"/>
  <c r="A995"/>
  <c r="A996"/>
  <c r="A997"/>
  <c r="A998"/>
  <c r="A999"/>
  <c r="A1000"/>
  <c r="A1001"/>
  <c r="A1002"/>
  <c r="A1003"/>
  <c r="A1004"/>
  <c r="A1005"/>
  <c r="A1006"/>
  <c r="A1007"/>
  <c r="A1008"/>
  <c r="A1009"/>
  <c r="A1010"/>
  <c r="A1011"/>
  <c r="A1012"/>
  <c r="A1013"/>
  <c r="A1014"/>
  <c r="A1015"/>
  <c r="A1016"/>
  <c r="A1017"/>
  <c r="A1018"/>
  <c r="A1019"/>
  <c r="A1020"/>
  <c r="A1021"/>
  <c r="A1022"/>
  <c r="A1023"/>
  <c r="A1024"/>
  <c r="A1025"/>
  <c r="A1026"/>
  <c r="A1027"/>
  <c r="A1028"/>
  <c r="A1029"/>
  <c r="A1030"/>
  <c r="A1031"/>
  <c r="A1032"/>
  <c r="A1033"/>
  <c r="A1034"/>
  <c r="A1035"/>
  <c r="A1036"/>
  <c r="A1037"/>
  <c r="A1038"/>
  <c r="A1039"/>
  <c r="A1040"/>
  <c r="A1041"/>
  <c r="A1042"/>
  <c r="A1043"/>
  <c r="A1044"/>
  <c r="A1045"/>
  <c r="A1046"/>
  <c r="A1047"/>
  <c r="A1048"/>
  <c r="A1049"/>
  <c r="A1050"/>
  <c r="A1051"/>
  <c r="A1052"/>
  <c r="A1053"/>
  <c r="A1054"/>
  <c r="A1055"/>
  <c r="A1056"/>
  <c r="A1057"/>
  <c r="A1058"/>
  <c r="A1059"/>
  <c r="A1060"/>
  <c r="A1061"/>
  <c r="A1062"/>
  <c r="A1063"/>
  <c r="A1064"/>
  <c r="A1065"/>
  <c r="A1066"/>
  <c r="A1067"/>
  <c r="A1068"/>
  <c r="A1069"/>
  <c r="A1070"/>
  <c r="A1071"/>
  <c r="A1072"/>
  <c r="A1073"/>
  <c r="A1074"/>
  <c r="A1075"/>
  <c r="A1076"/>
  <c r="A1077"/>
  <c r="A1078"/>
  <c r="A1079"/>
  <c r="A1080"/>
  <c r="A1081"/>
  <c r="A1082"/>
  <c r="A1083"/>
  <c r="A1084"/>
  <c r="A1085"/>
  <c r="A1086"/>
  <c r="A1087"/>
  <c r="A1088"/>
  <c r="A1089"/>
  <c r="A1090"/>
  <c r="A1091"/>
  <c r="A1092"/>
  <c r="A1093"/>
  <c r="A1094"/>
  <c r="A1095"/>
  <c r="A1096"/>
  <c r="A1097"/>
  <c r="A1098"/>
  <c r="A1099"/>
  <c r="A1100"/>
  <c r="A1101"/>
  <c r="A1102"/>
  <c r="A1103"/>
  <c r="A1104"/>
  <c r="A1105"/>
  <c r="A1106"/>
  <c r="A1107"/>
  <c r="A1108"/>
  <c r="A1109"/>
  <c r="A1110"/>
  <c r="A1111"/>
  <c r="A1112"/>
  <c r="A1113"/>
  <c r="A1114"/>
  <c r="A1115"/>
  <c r="A1116"/>
  <c r="A1117"/>
  <c r="A1118"/>
  <c r="A1119"/>
  <c r="A1120"/>
  <c r="A1121"/>
  <c r="A1122"/>
  <c r="A1123"/>
  <c r="A1124"/>
  <c r="A1125"/>
  <c r="A1126"/>
  <c r="A1127"/>
  <c r="A1128"/>
  <c r="A1129"/>
  <c r="A1130"/>
  <c r="A1131"/>
  <c r="A1132"/>
  <c r="A1133"/>
  <c r="A1134"/>
  <c r="A1135"/>
  <c r="A1136"/>
  <c r="A1137"/>
  <c r="A1138"/>
  <c r="A1139"/>
  <c r="A1140"/>
  <c r="A1141"/>
  <c r="A1142"/>
  <c r="A1143"/>
  <c r="A1144"/>
  <c r="A1145"/>
  <c r="A1146"/>
  <c r="A1147"/>
  <c r="A1148"/>
  <c r="A1149"/>
  <c r="A1150"/>
  <c r="A1151"/>
  <c r="A1152"/>
  <c r="A1153"/>
  <c r="A1154"/>
  <c r="A1155"/>
  <c r="A1156"/>
  <c r="A1157"/>
  <c r="A1158"/>
  <c r="A1159"/>
  <c r="A1160"/>
  <c r="A1161"/>
  <c r="A1162"/>
  <c r="A1163"/>
  <c r="A1164"/>
  <c r="A1165"/>
  <c r="A1166"/>
  <c r="A1167"/>
  <c r="A1168"/>
  <c r="A1169"/>
  <c r="A1170"/>
  <c r="A1171"/>
  <c r="A1172"/>
  <c r="A1173"/>
  <c r="A1174"/>
  <c r="A1175"/>
  <c r="A1176"/>
  <c r="A1177"/>
  <c r="A1178"/>
  <c r="A1179"/>
  <c r="A1180"/>
  <c r="A1181"/>
  <c r="A1182"/>
  <c r="A1183"/>
  <c r="A1184"/>
  <c r="A1185"/>
  <c r="A1186"/>
  <c r="A1187"/>
  <c r="A1188"/>
  <c r="A1189"/>
  <c r="A1190"/>
  <c r="A1191"/>
  <c r="A1192"/>
  <c r="A1193"/>
  <c r="A1194"/>
  <c r="A1195"/>
  <c r="A1196"/>
  <c r="A1197"/>
  <c r="A1198"/>
  <c r="A1199"/>
  <c r="A1200"/>
  <c r="A1201"/>
  <c r="A1202"/>
  <c r="A1203"/>
  <c r="A1204"/>
  <c r="A1205"/>
  <c r="A1206"/>
  <c r="A1207"/>
  <c r="A1208"/>
  <c r="A1209"/>
  <c r="A1210"/>
  <c r="A1211"/>
  <c r="A1212"/>
  <c r="A1213"/>
  <c r="A1214"/>
  <c r="A1215"/>
  <c r="A1216"/>
  <c r="A1217"/>
  <c r="A1218"/>
  <c r="A1219"/>
  <c r="A1220"/>
  <c r="A1221"/>
  <c r="A1222"/>
  <c r="A1223"/>
  <c r="A1224"/>
  <c r="A1225"/>
  <c r="A1226"/>
  <c r="A1227"/>
  <c r="A1228"/>
  <c r="A1229"/>
  <c r="A1230"/>
  <c r="A1231"/>
  <c r="A1232"/>
  <c r="A1233"/>
  <c r="A1234"/>
  <c r="A1235"/>
  <c r="A1236"/>
  <c r="A1237"/>
  <c r="A1238"/>
  <c r="A1239"/>
  <c r="A1240"/>
  <c r="A1241"/>
  <c r="A1242"/>
  <c r="A1243"/>
  <c r="A1244"/>
  <c r="A1245"/>
  <c r="A1246"/>
  <c r="A1247"/>
  <c r="A1248"/>
  <c r="A1249"/>
  <c r="A1250"/>
  <c r="A1251"/>
  <c r="A1252"/>
  <c r="A1253"/>
  <c r="A1254"/>
  <c r="A1255"/>
  <c r="A1256"/>
  <c r="A1257"/>
  <c r="A1258"/>
  <c r="A1259"/>
  <c r="A1260"/>
  <c r="A1261"/>
  <c r="A1262"/>
  <c r="A1263"/>
  <c r="A1264"/>
  <c r="A1265"/>
  <c r="A1266"/>
  <c r="A1267"/>
  <c r="A1268"/>
  <c r="A1269"/>
  <c r="A1270"/>
  <c r="A1271"/>
  <c r="A1272"/>
  <c r="A1273"/>
  <c r="A1274"/>
  <c r="A1275"/>
  <c r="A1276"/>
  <c r="A1277"/>
  <c r="A1278"/>
  <c r="A1279"/>
  <c r="A1280"/>
  <c r="A1281"/>
  <c r="A1282"/>
  <c r="A1283"/>
  <c r="A1284"/>
  <c r="A1285"/>
  <c r="A1286"/>
  <c r="A1287"/>
  <c r="A1288"/>
  <c r="A1289"/>
  <c r="A1290"/>
  <c r="A1291"/>
  <c r="A1292"/>
  <c r="A1293"/>
  <c r="A1294"/>
  <c r="A1295"/>
  <c r="A1296"/>
  <c r="A1297"/>
  <c r="A1298"/>
  <c r="A1299"/>
  <c r="A1300"/>
  <c r="A1301"/>
  <c r="A1302"/>
  <c r="A1303"/>
  <c r="A1304"/>
  <c r="A1305"/>
  <c r="A1306"/>
  <c r="A1307"/>
  <c r="A1308"/>
  <c r="A1309"/>
  <c r="A1310"/>
  <c r="A1311"/>
  <c r="A1312"/>
  <c r="A1313"/>
  <c r="A1314"/>
  <c r="A1315"/>
  <c r="A1316"/>
  <c r="A1317"/>
  <c r="A1318"/>
  <c r="A1319"/>
  <c r="A1320"/>
  <c r="A1321"/>
  <c r="A1322"/>
  <c r="A1323"/>
  <c r="A1324"/>
  <c r="A1325"/>
  <c r="A1326"/>
  <c r="A1327"/>
  <c r="A1328"/>
  <c r="A1329"/>
  <c r="A1330"/>
  <c r="A1331"/>
  <c r="A1332"/>
  <c r="A1333"/>
  <c r="A1334"/>
  <c r="A1335"/>
  <c r="A1336"/>
  <c r="A1337"/>
  <c r="A1338"/>
  <c r="A1339"/>
  <c r="A1340"/>
  <c r="A1341"/>
  <c r="A1342"/>
  <c r="A1343"/>
  <c r="A1344"/>
  <c r="A1345"/>
  <c r="A1346"/>
  <c r="A1347"/>
  <c r="A1348"/>
  <c r="A1349"/>
  <c r="A1350"/>
  <c r="A1351"/>
  <c r="A1352"/>
  <c r="A1353"/>
  <c r="A1354"/>
  <c r="A1355"/>
  <c r="A1356"/>
  <c r="A1357"/>
  <c r="A1358"/>
  <c r="A1359"/>
  <c r="A1360"/>
  <c r="A1361"/>
  <c r="A1362"/>
  <c r="A1363"/>
  <c r="A1364"/>
  <c r="A1365"/>
  <c r="A1366"/>
  <c r="A1367"/>
  <c r="A1368"/>
  <c r="A1369"/>
  <c r="A1370"/>
  <c r="A1371"/>
  <c r="A1372"/>
  <c r="A1373"/>
  <c r="A1374"/>
  <c r="A1375"/>
  <c r="A1376"/>
  <c r="A1377"/>
  <c r="A1378"/>
  <c r="A1379"/>
  <c r="A1380"/>
  <c r="A1381"/>
  <c r="A1382"/>
  <c r="A1383"/>
  <c r="A1384"/>
  <c r="A1385"/>
  <c r="A1386"/>
  <c r="A1387"/>
  <c r="A1388"/>
  <c r="A1389"/>
  <c r="A1390"/>
  <c r="A1391"/>
  <c r="A1392"/>
  <c r="A1393"/>
  <c r="A1394"/>
  <c r="A1395"/>
  <c r="A1396"/>
  <c r="A1397"/>
  <c r="A1398"/>
  <c r="A1399"/>
  <c r="A1400"/>
  <c r="A1401"/>
  <c r="A1402"/>
  <c r="A1403"/>
  <c r="A1404"/>
  <c r="A1405"/>
  <c r="A1406"/>
  <c r="A1407"/>
  <c r="A1408"/>
  <c r="A1409"/>
  <c r="A1410"/>
  <c r="A1411"/>
  <c r="A1412"/>
  <c r="A1413"/>
  <c r="A1414"/>
  <c r="A1415"/>
  <c r="A1416"/>
  <c r="A1417"/>
  <c r="A1418"/>
  <c r="A1419"/>
  <c r="A1420"/>
  <c r="A1421"/>
  <c r="A1422"/>
  <c r="A1423"/>
  <c r="A1424"/>
  <c r="A1425"/>
  <c r="A1426"/>
  <c r="A1427"/>
  <c r="A1428"/>
  <c r="A1429"/>
  <c r="A1430"/>
  <c r="A1431"/>
  <c r="A1432"/>
  <c r="A1433"/>
  <c r="A1434"/>
  <c r="A1435"/>
  <c r="A1436"/>
  <c r="A1437"/>
  <c r="A1438"/>
  <c r="A1439"/>
  <c r="A1440"/>
  <c r="A1441"/>
  <c r="A1442"/>
  <c r="A1443"/>
  <c r="A1444"/>
  <c r="A1445"/>
  <c r="A1446"/>
  <c r="A1447"/>
  <c r="A1448"/>
  <c r="A1449"/>
  <c r="A1450"/>
  <c r="A1451"/>
  <c r="A1452"/>
  <c r="A1453"/>
  <c r="A1454"/>
  <c r="A1455"/>
  <c r="A1456"/>
  <c r="A1457"/>
  <c r="A1458"/>
  <c r="A1459"/>
  <c r="A1460"/>
  <c r="A1461"/>
  <c r="A1462"/>
  <c r="A1463"/>
  <c r="A1464"/>
  <c r="A1465"/>
  <c r="A1466"/>
  <c r="A1467"/>
  <c r="A1468"/>
  <c r="A1469"/>
  <c r="A1470"/>
  <c r="A1471"/>
  <c r="A1472"/>
  <c r="A1473"/>
  <c r="A1474"/>
  <c r="A1475"/>
  <c r="A1476"/>
  <c r="A1477"/>
  <c r="A1478"/>
  <c r="A1479"/>
  <c r="A1480"/>
  <c r="A1481"/>
  <c r="A1482"/>
  <c r="A1483"/>
  <c r="A1484"/>
  <c r="A1485"/>
  <c r="A1486"/>
  <c r="A1487"/>
  <c r="A1488"/>
  <c r="A1489"/>
  <c r="A1490"/>
  <c r="A1491"/>
  <c r="A1492"/>
  <c r="A1493"/>
  <c r="A1494"/>
  <c r="A1495"/>
  <c r="A1496"/>
  <c r="A1497"/>
  <c r="A1498"/>
  <c r="A1499"/>
  <c r="A1500"/>
  <c r="A1501"/>
  <c r="A1502"/>
  <c r="A1503"/>
  <c r="A1504"/>
  <c r="A1505"/>
  <c r="A1506"/>
  <c r="A1507"/>
  <c r="A1508"/>
  <c r="A1509"/>
  <c r="A1510"/>
  <c r="A1511"/>
  <c r="A1512"/>
  <c r="A1513"/>
  <c r="A1514"/>
  <c r="A1515"/>
  <c r="A1516"/>
  <c r="A1517"/>
  <c r="A1518"/>
  <c r="A1519"/>
  <c r="A1520"/>
  <c r="A1521"/>
  <c r="A1522"/>
  <c r="A1523"/>
  <c r="A1524"/>
  <c r="A1525"/>
  <c r="A1526"/>
  <c r="A1527"/>
  <c r="A1528"/>
  <c r="A1529"/>
  <c r="A1530"/>
  <c r="A1531"/>
  <c r="A1532"/>
  <c r="A1533"/>
  <c r="A1534"/>
  <c r="A1535"/>
  <c r="A1536"/>
  <c r="A1537"/>
  <c r="A1538"/>
  <c r="A1539"/>
  <c r="A1540"/>
  <c r="A1541"/>
  <c r="A1542"/>
  <c r="A1543"/>
  <c r="A1544"/>
  <c r="A1545"/>
  <c r="A1546"/>
  <c r="A1547"/>
  <c r="A1548"/>
  <c r="A1549"/>
  <c r="A1550"/>
  <c r="A1551"/>
  <c r="A1552"/>
  <c r="A1553"/>
  <c r="A1554"/>
  <c r="A1555"/>
  <c r="A1556"/>
  <c r="A1557"/>
  <c r="A1558"/>
  <c r="A1559"/>
  <c r="A1560"/>
  <c r="A1561"/>
  <c r="A1562"/>
  <c r="A1563"/>
  <c r="A1564"/>
  <c r="A1565"/>
  <c r="A1566"/>
  <c r="A1567"/>
  <c r="A1568"/>
  <c r="A1569"/>
  <c r="A1570"/>
  <c r="A1571"/>
  <c r="A1572"/>
  <c r="A1573"/>
  <c r="A1574"/>
  <c r="A1575"/>
  <c r="A1576"/>
  <c r="A1577"/>
  <c r="A1578"/>
  <c r="A1579"/>
  <c r="A1580"/>
  <c r="A1581"/>
  <c r="A1582"/>
  <c r="A1583"/>
  <c r="A1584"/>
  <c r="A1585"/>
  <c r="A1586"/>
  <c r="A1587"/>
  <c r="A1588"/>
  <c r="A1589"/>
  <c r="A1590"/>
  <c r="A1591"/>
  <c r="A1592"/>
  <c r="A1593"/>
  <c r="A1594"/>
  <c r="A1595"/>
  <c r="A1596"/>
  <c r="A1597"/>
  <c r="A1598"/>
  <c r="A1599"/>
  <c r="A1600"/>
  <c r="A1601"/>
  <c r="A1602"/>
  <c r="A1603"/>
  <c r="A1604"/>
  <c r="A1605"/>
  <c r="A1606"/>
  <c r="A1607"/>
  <c r="A1608"/>
  <c r="A1609"/>
  <c r="A1610"/>
  <c r="A1611"/>
  <c r="A1612"/>
  <c r="A1613"/>
  <c r="A1614"/>
  <c r="A1615"/>
  <c r="A1616"/>
  <c r="A1617"/>
  <c r="A1618"/>
  <c r="A1619"/>
  <c r="A1620"/>
  <c r="A1621"/>
  <c r="A1622"/>
  <c r="A1623"/>
  <c r="A1624"/>
  <c r="A1625"/>
  <c r="A1626"/>
  <c r="A1627"/>
  <c r="A1628"/>
  <c r="A1629"/>
  <c r="A1630"/>
  <c r="A1631"/>
  <c r="A1632"/>
  <c r="A1633"/>
  <c r="A1634"/>
  <c r="A1635"/>
  <c r="A1636"/>
  <c r="A1637"/>
  <c r="A1638"/>
  <c r="A1639"/>
  <c r="A1640"/>
  <c r="A1641"/>
  <c r="A1642"/>
  <c r="A1643"/>
  <c r="A1644"/>
  <c r="A1645"/>
  <c r="A1646"/>
  <c r="A1647"/>
  <c r="A1648"/>
  <c r="A1649"/>
  <c r="A1650"/>
  <c r="A1651"/>
  <c r="A1652"/>
  <c r="A1653"/>
  <c r="A1654"/>
  <c r="A1655"/>
  <c r="A1656"/>
  <c r="A1657"/>
  <c r="A1658"/>
  <c r="A1659"/>
  <c r="A1660"/>
  <c r="A1661"/>
  <c r="A1662"/>
  <c r="A1663"/>
  <c r="A1664"/>
  <c r="A1665"/>
  <c r="A1666"/>
  <c r="A1667"/>
  <c r="A1668"/>
  <c r="A1669"/>
  <c r="A1670"/>
  <c r="A1671"/>
  <c r="A1672"/>
  <c r="A1673"/>
  <c r="A1674"/>
  <c r="A1675"/>
  <c r="A1676"/>
  <c r="A1677"/>
  <c r="A1678"/>
  <c r="A1679"/>
  <c r="A1680"/>
  <c r="A1681"/>
  <c r="A1682"/>
  <c r="A1683"/>
  <c r="A1684"/>
  <c r="A1685"/>
  <c r="A1686"/>
  <c r="A1687"/>
  <c r="A1688"/>
  <c r="A1689"/>
  <c r="A1690"/>
  <c r="A1691"/>
  <c r="A1692"/>
  <c r="A1693"/>
  <c r="A1694"/>
  <c r="A1695"/>
  <c r="A1696"/>
  <c r="A1697"/>
  <c r="A1698"/>
  <c r="A1699"/>
  <c r="A1700"/>
  <c r="A1701"/>
  <c r="A1702"/>
  <c r="A1703"/>
  <c r="A1704"/>
  <c r="A1705"/>
  <c r="A1706"/>
  <c r="A1707"/>
  <c r="A1708"/>
  <c r="A1709"/>
  <c r="A1710"/>
  <c r="A1711"/>
  <c r="A1712"/>
  <c r="A1713"/>
  <c r="A1714"/>
  <c r="A1715"/>
  <c r="A1716"/>
  <c r="A1717"/>
  <c r="A1718"/>
  <c r="A1719"/>
  <c r="A1720"/>
  <c r="A1721"/>
  <c r="A1722"/>
  <c r="A1723"/>
  <c r="A1724"/>
  <c r="A1725"/>
  <c r="A1726"/>
  <c r="A1727"/>
  <c r="A1728"/>
  <c r="A1729"/>
  <c r="A1730"/>
  <c r="A1731"/>
  <c r="A1732"/>
  <c r="A1733"/>
  <c r="A1734"/>
  <c r="A1735"/>
  <c r="A1736"/>
  <c r="A1737"/>
  <c r="A1738"/>
  <c r="A1739"/>
  <c r="A1740"/>
  <c r="A1741"/>
  <c r="A1742"/>
  <c r="A1743"/>
  <c r="A1744"/>
  <c r="A1745"/>
  <c r="A1746"/>
  <c r="A1747"/>
  <c r="A1748"/>
  <c r="A1749"/>
  <c r="A1750"/>
  <c r="A1751"/>
  <c r="A1752"/>
  <c r="A1753"/>
  <c r="A1754"/>
  <c r="A1755"/>
  <c r="A1756"/>
  <c r="A1757"/>
  <c r="A1758"/>
  <c r="A1759"/>
  <c r="A1760"/>
  <c r="A1761"/>
  <c r="A1762"/>
  <c r="A1763"/>
  <c r="A1764"/>
  <c r="A1765"/>
  <c r="A1766"/>
  <c r="A1767"/>
  <c r="A1768"/>
  <c r="A1769"/>
  <c r="A1770"/>
  <c r="A1771"/>
  <c r="A1772"/>
  <c r="A1773"/>
  <c r="A1774"/>
  <c r="A1775"/>
  <c r="A1776"/>
  <c r="A1777"/>
  <c r="A1778"/>
  <c r="A1779"/>
  <c r="A1780"/>
  <c r="A1781"/>
  <c r="A1782"/>
  <c r="A1783"/>
  <c r="A1784"/>
  <c r="A1785"/>
  <c r="A1786"/>
  <c r="A1787"/>
  <c r="A1788"/>
  <c r="A1789"/>
  <c r="A1790"/>
  <c r="A1791"/>
  <c r="A1792"/>
  <c r="A1793"/>
  <c r="A1794"/>
  <c r="A1795"/>
  <c r="A1796"/>
  <c r="A1797"/>
  <c r="A1798"/>
  <c r="A1799"/>
  <c r="A1800"/>
  <c r="A1801"/>
  <c r="A1802"/>
  <c r="A1803"/>
  <c r="A1804"/>
  <c r="A1805"/>
  <c r="A1806"/>
  <c r="A1807"/>
  <c r="A1808"/>
  <c r="A1809"/>
  <c r="A1810"/>
  <c r="A1811"/>
  <c r="A1812"/>
  <c r="A1813"/>
  <c r="A1814"/>
  <c r="A1815"/>
  <c r="A1816"/>
  <c r="A1817"/>
  <c r="A1818"/>
  <c r="A1819"/>
  <c r="A1820"/>
  <c r="A1821"/>
  <c r="A1822"/>
  <c r="A1823"/>
  <c r="A1824"/>
  <c r="A1825"/>
  <c r="A1826"/>
  <c r="A1827"/>
  <c r="A1828"/>
  <c r="A1829"/>
  <c r="A1830"/>
  <c r="A1831"/>
  <c r="A1832"/>
  <c r="A1833"/>
  <c r="A1834"/>
  <c r="A1835"/>
  <c r="A1836"/>
  <c r="A1837"/>
  <c r="A1838"/>
  <c r="A1839"/>
  <c r="A1840"/>
  <c r="A1841"/>
  <c r="A1842"/>
  <c r="A1843"/>
  <c r="A1844"/>
  <c r="A1845"/>
  <c r="A1846"/>
  <c r="A1847"/>
  <c r="A1848"/>
  <c r="A1849"/>
  <c r="A1850"/>
  <c r="A1851"/>
  <c r="A1852"/>
  <c r="A1853"/>
  <c r="A1854"/>
  <c r="A1855"/>
  <c r="A1856"/>
  <c r="A1857"/>
  <c r="A1858"/>
  <c r="A1859"/>
  <c r="A1860"/>
  <c r="A1861"/>
  <c r="A1862"/>
  <c r="A1863"/>
  <c r="A1864"/>
  <c r="A1865"/>
  <c r="A1866"/>
  <c r="A1867"/>
  <c r="A1868"/>
  <c r="A1869"/>
  <c r="A1870"/>
  <c r="A1871"/>
  <c r="A1872"/>
  <c r="A1873"/>
  <c r="A1874"/>
  <c r="A1875"/>
  <c r="A1876"/>
  <c r="A1877"/>
  <c r="A1878"/>
  <c r="A1879"/>
  <c r="A1880"/>
  <c r="A1881"/>
  <c r="A1882"/>
  <c r="A1883"/>
  <c r="A1884"/>
  <c r="A1885"/>
  <c r="A1886"/>
  <c r="A1887"/>
  <c r="A1888"/>
  <c r="A1889"/>
  <c r="A1890"/>
  <c r="A1891"/>
  <c r="A1892"/>
  <c r="A1893"/>
  <c r="A1894"/>
  <c r="A1895"/>
  <c r="A1896"/>
  <c r="A1897"/>
  <c r="A1898"/>
  <c r="A1899"/>
  <c r="A1900"/>
  <c r="A1901"/>
  <c r="A1902"/>
  <c r="A1903"/>
  <c r="A1904"/>
  <c r="A1905"/>
  <c r="A1906"/>
  <c r="A1907"/>
  <c r="A1908"/>
  <c r="A1909"/>
  <c r="A1910"/>
  <c r="A1911"/>
  <c r="A1912"/>
  <c r="A1913"/>
  <c r="A1914"/>
  <c r="A1915"/>
  <c r="A1916"/>
  <c r="A1917"/>
  <c r="A1918"/>
  <c r="A1919"/>
  <c r="A1920"/>
  <c r="A1921"/>
  <c r="A1922"/>
  <c r="A1923"/>
  <c r="A1924"/>
  <c r="A1925"/>
  <c r="A1926"/>
  <c r="A1927"/>
  <c r="A1928"/>
  <c r="A1929"/>
  <c r="A1930"/>
  <c r="A1931"/>
  <c r="A1932"/>
  <c r="A1933"/>
  <c r="A1934"/>
  <c r="A1935"/>
  <c r="A1936"/>
  <c r="A1937"/>
  <c r="A1938"/>
  <c r="A1939"/>
  <c r="A1940"/>
  <c r="A1941"/>
  <c r="A1942"/>
  <c r="A1943"/>
  <c r="A1944"/>
  <c r="A1945"/>
  <c r="A1946"/>
  <c r="A1947"/>
  <c r="A1948"/>
  <c r="A1949"/>
  <c r="A1950"/>
  <c r="A1951"/>
  <c r="A1952"/>
  <c r="A1953"/>
  <c r="A1954"/>
  <c r="A1955"/>
  <c r="A1956"/>
  <c r="A1957"/>
  <c r="A1958"/>
  <c r="A1959"/>
  <c r="A1960"/>
  <c r="A1961"/>
  <c r="A1962"/>
  <c r="A1963"/>
  <c r="A1964"/>
  <c r="A1965"/>
  <c r="A1966"/>
  <c r="A1967"/>
  <c r="A1968"/>
  <c r="A1969"/>
  <c r="A1970"/>
  <c r="A1971"/>
  <c r="A1972"/>
  <c r="A1973"/>
  <c r="A1974"/>
  <c r="A1975"/>
  <c r="A1976"/>
  <c r="A1977"/>
  <c r="A1978"/>
  <c r="A1979"/>
  <c r="A1980"/>
  <c r="A1981"/>
  <c r="A1982"/>
  <c r="A1983"/>
  <c r="A1984"/>
  <c r="A1985"/>
  <c r="A1986"/>
  <c r="A1987"/>
  <c r="A1988"/>
  <c r="A1989"/>
  <c r="A1990"/>
  <c r="A1991"/>
  <c r="A1992"/>
  <c r="A1993"/>
  <c r="A1994"/>
  <c r="A1995"/>
  <c r="A1996"/>
  <c r="A1997"/>
  <c r="A1998"/>
  <c r="A1999"/>
  <c r="A2000"/>
  <c r="A2001"/>
  <c r="A2002"/>
  <c r="A2003"/>
  <c r="A2004"/>
  <c r="A2005"/>
  <c r="A2006"/>
  <c r="A2007"/>
  <c r="A2008"/>
  <c r="A2009"/>
  <c r="A2010"/>
  <c r="A2011"/>
  <c r="A2012"/>
  <c r="A2013"/>
  <c r="A2014"/>
  <c r="A2015"/>
  <c r="A2016"/>
  <c r="A2017"/>
  <c r="A2018"/>
  <c r="A2019"/>
  <c r="A2020"/>
  <c r="A2021"/>
  <c r="A2022"/>
  <c r="A2023"/>
  <c r="A2024"/>
  <c r="A2025"/>
  <c r="A2026"/>
  <c r="A2027"/>
  <c r="A2028"/>
  <c r="A2029"/>
  <c r="A2030"/>
  <c r="A2031"/>
  <c r="A2032"/>
  <c r="A2033"/>
  <c r="A2034"/>
  <c r="A2035"/>
  <c r="A2036"/>
  <c r="A2037"/>
  <c r="A2038"/>
  <c r="A2039"/>
  <c r="A2040"/>
  <c r="A2041"/>
  <c r="A2042"/>
  <c r="A2043"/>
  <c r="A2044"/>
  <c r="A2045"/>
  <c r="A2046"/>
  <c r="A2047"/>
  <c r="A2048"/>
  <c r="A2049"/>
  <c r="A2050"/>
  <c r="A2051"/>
  <c r="A2052"/>
  <c r="A2053"/>
  <c r="A2054"/>
  <c r="A2055"/>
  <c r="A2056"/>
  <c r="A2057"/>
  <c r="A2058"/>
  <c r="A2059"/>
  <c r="A2060"/>
  <c r="A2061"/>
  <c r="A2062"/>
  <c r="A2063"/>
  <c r="A2064"/>
  <c r="A2065"/>
  <c r="A2066"/>
  <c r="A2067"/>
  <c r="A2068"/>
  <c r="A2069"/>
  <c r="A2070"/>
  <c r="A2071"/>
  <c r="A2072"/>
  <c r="A2073"/>
  <c r="A2074"/>
  <c r="A2075"/>
  <c r="A2076"/>
  <c r="A2077"/>
  <c r="A2078"/>
  <c r="A2079"/>
  <c r="A2080"/>
  <c r="A2081"/>
  <c r="A2082"/>
  <c r="A2083"/>
  <c r="A2084"/>
  <c r="A2085"/>
  <c r="A2086"/>
  <c r="A2087"/>
  <c r="A2088"/>
  <c r="A2089"/>
  <c r="A2090"/>
  <c r="A2091"/>
  <c r="A2092"/>
  <c r="A2093"/>
  <c r="A2094"/>
  <c r="A2095"/>
  <c r="A2096"/>
  <c r="A2097"/>
  <c r="A2098"/>
  <c r="A2099"/>
  <c r="A2100"/>
  <c r="A2101"/>
  <c r="A2102"/>
  <c r="A2103"/>
  <c r="A2104"/>
  <c r="A2105"/>
  <c r="A2106"/>
  <c r="A2107"/>
  <c r="A2108"/>
  <c r="A2109"/>
  <c r="A2110"/>
  <c r="A2111"/>
  <c r="A2112"/>
  <c r="A2113"/>
  <c r="A2114"/>
  <c r="A2115"/>
  <c r="A2116"/>
  <c r="A2117"/>
  <c r="A2118"/>
  <c r="A2119"/>
  <c r="A2120"/>
  <c r="A2121"/>
  <c r="A2122"/>
  <c r="A2123"/>
  <c r="A2124"/>
  <c r="A2125"/>
  <c r="A2126"/>
  <c r="A2127"/>
  <c r="A2128"/>
  <c r="A2129"/>
  <c r="A2130"/>
  <c r="A2131"/>
  <c r="A2132"/>
  <c r="A2133"/>
  <c r="A2134"/>
  <c r="A2135"/>
  <c r="A2136"/>
  <c r="A2137"/>
  <c r="A2138"/>
  <c r="A2139"/>
  <c r="A2140"/>
  <c r="A2141"/>
  <c r="A2142"/>
  <c r="A2143"/>
  <c r="A2144"/>
  <c r="A2145"/>
  <c r="A2146"/>
  <c r="A2147"/>
  <c r="A2148"/>
  <c r="A2149"/>
  <c r="A2150"/>
  <c r="A2151"/>
  <c r="A2152"/>
  <c r="A2153"/>
  <c r="A2154"/>
  <c r="A2155"/>
  <c r="A2156"/>
  <c r="A2157"/>
  <c r="A2158"/>
  <c r="A2159"/>
  <c r="A2160"/>
  <c r="A2161"/>
  <c r="A2162"/>
  <c r="A2163"/>
  <c r="A2164"/>
  <c r="A2165"/>
  <c r="A2166"/>
  <c r="A2167"/>
  <c r="A2168"/>
  <c r="A2169"/>
  <c r="A2170"/>
  <c r="A2171"/>
  <c r="A2172"/>
  <c r="A2173"/>
  <c r="A2174"/>
  <c r="A2175"/>
  <c r="A2176"/>
  <c r="A2177"/>
  <c r="A2178"/>
  <c r="A2179"/>
  <c r="A2180"/>
  <c r="A2181"/>
  <c r="A2182"/>
  <c r="A2183"/>
  <c r="A2184"/>
  <c r="A2185"/>
  <c r="A2186"/>
  <c r="A2187"/>
  <c r="A2188"/>
  <c r="A2189"/>
  <c r="A2190"/>
  <c r="A2191"/>
  <c r="A2192"/>
  <c r="A2193"/>
  <c r="A2194"/>
  <c r="A2195"/>
  <c r="A2196"/>
  <c r="A2197"/>
  <c r="A2198"/>
  <c r="A2199"/>
  <c r="A2200"/>
  <c r="A2201"/>
  <c r="A2202"/>
  <c r="A2203"/>
  <c r="A2204"/>
  <c r="A2205"/>
  <c r="A2206"/>
  <c r="A2207"/>
  <c r="A2208"/>
  <c r="A2209"/>
  <c r="A2210"/>
  <c r="A2211"/>
  <c r="A2212"/>
  <c r="A2213"/>
  <c r="A2214"/>
  <c r="A2215"/>
  <c r="A2216"/>
  <c r="A2217"/>
  <c r="A2218"/>
  <c r="A2219"/>
  <c r="A2220"/>
  <c r="A2221"/>
  <c r="A2222"/>
  <c r="A2223"/>
  <c r="A2224"/>
  <c r="A2225"/>
  <c r="A2226"/>
  <c r="A2227"/>
  <c r="A2228"/>
  <c r="A2229"/>
  <c r="A2230"/>
  <c r="A2231"/>
  <c r="A2232"/>
  <c r="A2233"/>
  <c r="A2234"/>
  <c r="A2235"/>
  <c r="A2236"/>
  <c r="A2237"/>
  <c r="A2238"/>
  <c r="A2239"/>
  <c r="A2240"/>
  <c r="A2241"/>
  <c r="A2242"/>
  <c r="A2243"/>
  <c r="A2244"/>
  <c r="A2245"/>
  <c r="A2246"/>
  <c r="A2247"/>
  <c r="A2248"/>
  <c r="A2249"/>
  <c r="A2250"/>
  <c r="A2251"/>
  <c r="A2252"/>
  <c r="A2253"/>
  <c r="A2254"/>
  <c r="A2255"/>
  <c r="A2256"/>
  <c r="A2257"/>
  <c r="A2258"/>
  <c r="A2259"/>
  <c r="A2260"/>
  <c r="A2261"/>
  <c r="A2262"/>
  <c r="A2263"/>
  <c r="A2264"/>
  <c r="A2265"/>
  <c r="A2266"/>
  <c r="A2267"/>
  <c r="A2268"/>
  <c r="A2269"/>
  <c r="A2270"/>
  <c r="A2271"/>
  <c r="A2272"/>
  <c r="A2273"/>
  <c r="A2274"/>
  <c r="A2275"/>
  <c r="A2276"/>
  <c r="A2277"/>
  <c r="A2278"/>
  <c r="A2279"/>
  <c r="A2280"/>
  <c r="A2281"/>
  <c r="A2282"/>
  <c r="A2283"/>
  <c r="A2284"/>
  <c r="A2285"/>
  <c r="A2286"/>
  <c r="A2287"/>
  <c r="A2288"/>
  <c r="A2289"/>
  <c r="A2290"/>
  <c r="A2291"/>
  <c r="A2292"/>
  <c r="A2293"/>
  <c r="A2294"/>
  <c r="A2295"/>
  <c r="A2296"/>
  <c r="A2297"/>
  <c r="A2298"/>
  <c r="A2299"/>
  <c r="A2300"/>
  <c r="A2301"/>
  <c r="A2302"/>
  <c r="A2303"/>
  <c r="A2304"/>
  <c r="A2305"/>
  <c r="A2306"/>
  <c r="A2307"/>
  <c r="A2308"/>
  <c r="A2309"/>
  <c r="A2310"/>
  <c r="A2311"/>
  <c r="A2312"/>
  <c r="A2313"/>
  <c r="A2314"/>
  <c r="A2315"/>
  <c r="A2316"/>
  <c r="A2317"/>
  <c r="A2318"/>
  <c r="A2319"/>
  <c r="A2320"/>
  <c r="A2321"/>
  <c r="A2322"/>
  <c r="A2323"/>
  <c r="A2324"/>
  <c r="A2325"/>
  <c r="A2326"/>
  <c r="A2327"/>
  <c r="A2328"/>
  <c r="A2329"/>
  <c r="A2330"/>
  <c r="A2331"/>
  <c r="A2332"/>
  <c r="A2333"/>
  <c r="A2334"/>
  <c r="A2335"/>
  <c r="A2336"/>
  <c r="A2337"/>
  <c r="A2338"/>
  <c r="A2339"/>
  <c r="A2340"/>
  <c r="A2341"/>
  <c r="A2342"/>
  <c r="A2343"/>
  <c r="A2344"/>
  <c r="A2345"/>
  <c r="A2346"/>
  <c r="A2347"/>
  <c r="A2348"/>
  <c r="A2349"/>
  <c r="A2350"/>
  <c r="A2351"/>
  <c r="A2352"/>
  <c r="A2353"/>
  <c r="A2354"/>
  <c r="A2355"/>
  <c r="A2356"/>
  <c r="A2357"/>
  <c r="A2358"/>
  <c r="A2359"/>
  <c r="A2360"/>
  <c r="A2361"/>
  <c r="A2362"/>
  <c r="A2363"/>
  <c r="A2364"/>
  <c r="A2365"/>
  <c r="A2366"/>
  <c r="A2367"/>
  <c r="A2368"/>
  <c r="A2369"/>
  <c r="A2370"/>
  <c r="A2371"/>
  <c r="A2372"/>
  <c r="A2373"/>
  <c r="A2374"/>
  <c r="A2375"/>
  <c r="A2376"/>
  <c r="A2377"/>
  <c r="A2378"/>
  <c r="A2379"/>
  <c r="A2380"/>
  <c r="A2381"/>
  <c r="A2382"/>
  <c r="A2383"/>
  <c r="A2384"/>
  <c r="A2385"/>
  <c r="A2386"/>
  <c r="A2387"/>
  <c r="A2388"/>
  <c r="A2389"/>
  <c r="A2390"/>
  <c r="A2391"/>
  <c r="A2392"/>
  <c r="A2393"/>
  <c r="A2394"/>
  <c r="A2395"/>
  <c r="A2396"/>
  <c r="A2397"/>
  <c r="A2398"/>
  <c r="A2399"/>
  <c r="A2400"/>
  <c r="A2401"/>
  <c r="A2402"/>
  <c r="A2403"/>
  <c r="A2404"/>
  <c r="A2405"/>
  <c r="A2406"/>
  <c r="A2407"/>
  <c r="A2408"/>
  <c r="A2409"/>
  <c r="A2410"/>
  <c r="A2411"/>
  <c r="A2412"/>
  <c r="A2413"/>
  <c r="A2414"/>
  <c r="A2415"/>
  <c r="A2416"/>
  <c r="A2417"/>
  <c r="A2418"/>
  <c r="A2419"/>
  <c r="A2420"/>
  <c r="A2421"/>
  <c r="A2422"/>
  <c r="A2423"/>
  <c r="A2424"/>
  <c r="A2425"/>
  <c r="A2426"/>
  <c r="A2427"/>
  <c r="A2428"/>
  <c r="A2429"/>
  <c r="A2430"/>
  <c r="A2431"/>
  <c r="A2432"/>
  <c r="A2433"/>
  <c r="A2434"/>
  <c r="A2435"/>
  <c r="A2436"/>
  <c r="A2437"/>
  <c r="A2438"/>
  <c r="A2439"/>
  <c r="A2440"/>
  <c r="A2441"/>
  <c r="A2442"/>
  <c r="A2443"/>
  <c r="A2444"/>
  <c r="A2445"/>
  <c r="A2446"/>
  <c r="A2447"/>
  <c r="A2448"/>
  <c r="A2449"/>
  <c r="A2450"/>
  <c r="A2451"/>
  <c r="A2452"/>
  <c r="A2453"/>
  <c r="A2454"/>
  <c r="A2455"/>
  <c r="A2456"/>
  <c r="A2457"/>
  <c r="A2458"/>
  <c r="A2459"/>
  <c r="A2460"/>
  <c r="A2461"/>
  <c r="A2462"/>
  <c r="A2463"/>
  <c r="A2464"/>
  <c r="A2465"/>
  <c r="A2466"/>
  <c r="A2467"/>
  <c r="A2468"/>
  <c r="A2469"/>
  <c r="A2470"/>
  <c r="A2471"/>
  <c r="A2472"/>
  <c r="A2473"/>
  <c r="A2474"/>
  <c r="A2475"/>
  <c r="A2476"/>
  <c r="A2477"/>
  <c r="A2478"/>
  <c r="A2479"/>
  <c r="A2480"/>
  <c r="A2481"/>
  <c r="A2482"/>
  <c r="A2483"/>
  <c r="A2484"/>
  <c r="A2485"/>
  <c r="A2486"/>
  <c r="A2487"/>
  <c r="A2488"/>
  <c r="A2489"/>
  <c r="A2490"/>
  <c r="A2491"/>
  <c r="A2492"/>
  <c r="A2493"/>
  <c r="A2494"/>
  <c r="A2495"/>
  <c r="A2496"/>
  <c r="A2497"/>
  <c r="A2498"/>
  <c r="A2499"/>
  <c r="A2500"/>
  <c r="A2501"/>
  <c r="A2502"/>
  <c r="A2503"/>
  <c r="A2504"/>
  <c r="A2505"/>
  <c r="A2506"/>
  <c r="A2507"/>
  <c r="A2508"/>
  <c r="A2509"/>
  <c r="A2510"/>
  <c r="A2511"/>
  <c r="A2512"/>
  <c r="A2513"/>
  <c r="A2514"/>
  <c r="A2515"/>
  <c r="A2516"/>
  <c r="A2517"/>
  <c r="A2518"/>
  <c r="A2519"/>
  <c r="A2520"/>
  <c r="A2521"/>
  <c r="A2522"/>
  <c r="A2523"/>
  <c r="A2524"/>
  <c r="A2525"/>
  <c r="A2526"/>
  <c r="A2527"/>
  <c r="A2528"/>
  <c r="A2529"/>
  <c r="A2530"/>
  <c r="A2531"/>
  <c r="A2532"/>
  <c r="A2533"/>
  <c r="A2534"/>
  <c r="A2535"/>
  <c r="A2536"/>
  <c r="A2537"/>
  <c r="A2538"/>
  <c r="A2539"/>
  <c r="A2540"/>
  <c r="A2541"/>
  <c r="A2542"/>
  <c r="A2543"/>
  <c r="A2544"/>
  <c r="A2545"/>
  <c r="A2546"/>
  <c r="A2547"/>
  <c r="A2548"/>
  <c r="A2549"/>
  <c r="A2550"/>
  <c r="A2551"/>
  <c r="A2552"/>
  <c r="A2553"/>
  <c r="A2554"/>
  <c r="A2555"/>
  <c r="A2556"/>
  <c r="A2557"/>
  <c r="A2558"/>
  <c r="A2559"/>
  <c r="A2560"/>
  <c r="A2561"/>
  <c r="A2562"/>
  <c r="A2563"/>
  <c r="A2564"/>
  <c r="A2565"/>
  <c r="A2566"/>
  <c r="A2567"/>
  <c r="A2568"/>
  <c r="A2569"/>
  <c r="A2570"/>
  <c r="A2571"/>
  <c r="A2572"/>
  <c r="A2573"/>
  <c r="A2574"/>
  <c r="A2575"/>
  <c r="A2576"/>
  <c r="A2577"/>
  <c r="A2578"/>
  <c r="A2579"/>
  <c r="A2580"/>
  <c r="A2581"/>
  <c r="A2582"/>
  <c r="A2583"/>
  <c r="A2584"/>
  <c r="A2585"/>
  <c r="A2586"/>
  <c r="A2587"/>
  <c r="A2588"/>
  <c r="A2589"/>
  <c r="A2590"/>
  <c r="A2591"/>
  <c r="A2592"/>
  <c r="A2593"/>
  <c r="A2594"/>
  <c r="A2595"/>
  <c r="A2596"/>
  <c r="A2597"/>
  <c r="A2598"/>
  <c r="A2599"/>
  <c r="A2600"/>
  <c r="A2601"/>
  <c r="A2602"/>
  <c r="A2603"/>
  <c r="A2604"/>
  <c r="A2605"/>
  <c r="A2606"/>
  <c r="A2607"/>
  <c r="A2608"/>
  <c r="A2609"/>
  <c r="A2610"/>
  <c r="A2611"/>
  <c r="A2612"/>
  <c r="A2613"/>
  <c r="A2614"/>
  <c r="A2615"/>
  <c r="A2616"/>
  <c r="A2617"/>
  <c r="A2618"/>
  <c r="A2619"/>
  <c r="A2620"/>
  <c r="A2621"/>
  <c r="A2622"/>
  <c r="A2623"/>
  <c r="A2624"/>
  <c r="A2625"/>
  <c r="A2626"/>
  <c r="A2627"/>
  <c r="A2628"/>
  <c r="A2629"/>
  <c r="A2630"/>
  <c r="A2631"/>
  <c r="A2632"/>
  <c r="A2633"/>
  <c r="A2634"/>
  <c r="A2635"/>
  <c r="A2636"/>
  <c r="A2637"/>
  <c r="A2638"/>
  <c r="A2639"/>
  <c r="A2640"/>
  <c r="A2641"/>
  <c r="A2642"/>
  <c r="A2643"/>
  <c r="A2644"/>
  <c r="A2645"/>
  <c r="A2646"/>
  <c r="A2647"/>
  <c r="A2648"/>
  <c r="A2649"/>
  <c r="A2650"/>
  <c r="A2651"/>
  <c r="A2652"/>
  <c r="A2653"/>
  <c r="A2654"/>
  <c r="A2655"/>
  <c r="A2656"/>
  <c r="A2657"/>
  <c r="A2658"/>
  <c r="A2659"/>
  <c r="A2660"/>
  <c r="A2661"/>
  <c r="A2662"/>
  <c r="A2663"/>
  <c r="A2664"/>
  <c r="A2665"/>
  <c r="A2666"/>
  <c r="A2667"/>
  <c r="A2668"/>
  <c r="A2669"/>
  <c r="A2670"/>
  <c r="A2671"/>
  <c r="A2672"/>
  <c r="A2673"/>
  <c r="A2674"/>
  <c r="A2675"/>
  <c r="A2676"/>
  <c r="A2677"/>
  <c r="A2678"/>
  <c r="A2679"/>
  <c r="A2680"/>
  <c r="A2681"/>
  <c r="A2682"/>
  <c r="A2683"/>
  <c r="A2684"/>
  <c r="A2685"/>
  <c r="A2686"/>
  <c r="A2687"/>
  <c r="A2688"/>
  <c r="A2689"/>
  <c r="A2690"/>
  <c r="A2691"/>
  <c r="A2692"/>
  <c r="A2693"/>
  <c r="A2694"/>
  <c r="A2695"/>
  <c r="A2696"/>
  <c r="A2697"/>
  <c r="A2698"/>
  <c r="A2699"/>
  <c r="A2700"/>
  <c r="A2701"/>
  <c r="A2702"/>
  <c r="A2703"/>
  <c r="A2704"/>
  <c r="A2705"/>
  <c r="A2706"/>
  <c r="A2707"/>
  <c r="A2708"/>
  <c r="A2709"/>
  <c r="A2710"/>
  <c r="A2711"/>
  <c r="A2712"/>
  <c r="A2713"/>
  <c r="A2714"/>
  <c r="A2715"/>
  <c r="A2716"/>
  <c r="A2717"/>
  <c r="A2718"/>
  <c r="A2719"/>
  <c r="A2720"/>
  <c r="A2721"/>
  <c r="A2722"/>
  <c r="A2723"/>
  <c r="A2724"/>
  <c r="A2725"/>
  <c r="A2726"/>
  <c r="A2727"/>
  <c r="A2728"/>
  <c r="A2729"/>
  <c r="A2730"/>
  <c r="A2731"/>
  <c r="A2732"/>
  <c r="A2733"/>
  <c r="A2734"/>
  <c r="A2735"/>
  <c r="A2736"/>
  <c r="A2737"/>
  <c r="A2738"/>
  <c r="A2739"/>
  <c r="A2740"/>
  <c r="A2741"/>
  <c r="A2742"/>
  <c r="A2743"/>
  <c r="A2744"/>
  <c r="A2745"/>
  <c r="A2746"/>
  <c r="A2747"/>
  <c r="A2748"/>
  <c r="A2749"/>
  <c r="A2750"/>
  <c r="A2751"/>
  <c r="A2752"/>
  <c r="A2753"/>
  <c r="A2754"/>
  <c r="A2755"/>
  <c r="A2756"/>
  <c r="A2757"/>
  <c r="A2758"/>
  <c r="A2759"/>
  <c r="A2760"/>
  <c r="A2761"/>
  <c r="A2762"/>
  <c r="A2763"/>
  <c r="A2764"/>
  <c r="A2765"/>
  <c r="A2766"/>
  <c r="A2767"/>
  <c r="A2768"/>
  <c r="A2769"/>
  <c r="A2770"/>
  <c r="A2771"/>
  <c r="A2772"/>
  <c r="A2773"/>
  <c r="A2774"/>
  <c r="A2775"/>
  <c r="A2776"/>
  <c r="A2777"/>
  <c r="A2778"/>
  <c r="A2779"/>
  <c r="A2780"/>
  <c r="A2781"/>
  <c r="A2782"/>
  <c r="A2783"/>
  <c r="A2784"/>
  <c r="A2785"/>
  <c r="A2786"/>
  <c r="A2787"/>
  <c r="A2788"/>
  <c r="A2789"/>
  <c r="A2790"/>
  <c r="A2791"/>
  <c r="A2792"/>
  <c r="A2793"/>
  <c r="A2794"/>
  <c r="A2795"/>
  <c r="A2796"/>
  <c r="A2797"/>
  <c r="A2798"/>
  <c r="A2799"/>
  <c r="A2800"/>
  <c r="A2801"/>
  <c r="A2802"/>
  <c r="A2803"/>
  <c r="A2804"/>
  <c r="A2805"/>
  <c r="A2806"/>
  <c r="A2807"/>
  <c r="A2808"/>
  <c r="A2809"/>
  <c r="A2810"/>
  <c r="A2811"/>
  <c r="A2812"/>
  <c r="A2813"/>
  <c r="A2814"/>
  <c r="A2815"/>
  <c r="A2816"/>
  <c r="A2817"/>
  <c r="A2818"/>
  <c r="A2819"/>
  <c r="A2820"/>
  <c r="A2821"/>
  <c r="A2822"/>
  <c r="A2823"/>
  <c r="A2824"/>
  <c r="A2825"/>
  <c r="A2826"/>
  <c r="A2827"/>
  <c r="A2828"/>
  <c r="A2829"/>
  <c r="A2830"/>
  <c r="A2831"/>
  <c r="A2832"/>
  <c r="A2833"/>
  <c r="A2834"/>
  <c r="A2835"/>
  <c r="A2836"/>
  <c r="A2837"/>
  <c r="A2838"/>
  <c r="A2839"/>
  <c r="A2840"/>
  <c r="A2841"/>
  <c r="A2842"/>
  <c r="A2843"/>
  <c r="A2844"/>
  <c r="A2845"/>
  <c r="A2846"/>
  <c r="A2847"/>
  <c r="A2848"/>
  <c r="A2849"/>
  <c r="A2850"/>
  <c r="A2851"/>
  <c r="A2852"/>
  <c r="A2853"/>
  <c r="A2854"/>
  <c r="A2855"/>
  <c r="A2856"/>
  <c r="A2857"/>
  <c r="A2858"/>
  <c r="A2859"/>
  <c r="A2860"/>
  <c r="A2861"/>
  <c r="A2862"/>
  <c r="A2863"/>
  <c r="A2864"/>
  <c r="A2865"/>
  <c r="A2866"/>
  <c r="A2867"/>
  <c r="A2868"/>
  <c r="A2869"/>
  <c r="A2870"/>
  <c r="A2871"/>
  <c r="A2872"/>
  <c r="A2873"/>
  <c r="A2874"/>
  <c r="A2875"/>
  <c r="A2876"/>
  <c r="A2877"/>
  <c r="A2878"/>
  <c r="A2879"/>
  <c r="A2880"/>
  <c r="A2881"/>
  <c r="A2882"/>
  <c r="A2883"/>
  <c r="A2884"/>
  <c r="A2885"/>
  <c r="A2886"/>
  <c r="A2887"/>
  <c r="A2888"/>
  <c r="A2889"/>
  <c r="A2890"/>
  <c r="A2891"/>
  <c r="A2892"/>
  <c r="A2893"/>
  <c r="A2894"/>
  <c r="A2895"/>
  <c r="A2896"/>
  <c r="A2897"/>
  <c r="A2898"/>
  <c r="A2899"/>
  <c r="A2900"/>
  <c r="A2901"/>
  <c r="A2902"/>
  <c r="A2903"/>
  <c r="A2904"/>
  <c r="A2905"/>
  <c r="A2906"/>
  <c r="A2907"/>
  <c r="A2908"/>
  <c r="A2909"/>
  <c r="A2910"/>
  <c r="A2911"/>
  <c r="A2912"/>
  <c r="A2913"/>
  <c r="A2914"/>
  <c r="A2915"/>
  <c r="A2916"/>
  <c r="A2917"/>
  <c r="A2918"/>
  <c r="A2919"/>
  <c r="A2920"/>
  <c r="A2921"/>
  <c r="A2922"/>
  <c r="A2923"/>
  <c r="A2924"/>
  <c r="A2925"/>
  <c r="A2926"/>
  <c r="A2927"/>
  <c r="A2928"/>
  <c r="A2929"/>
  <c r="A2930"/>
  <c r="A2931"/>
  <c r="A2932"/>
  <c r="A2933"/>
  <c r="A2934"/>
  <c r="A2935"/>
  <c r="A2936"/>
  <c r="A2937"/>
  <c r="A2938"/>
  <c r="A2939"/>
  <c r="A2940"/>
  <c r="A2941"/>
  <c r="A2942"/>
  <c r="A2943"/>
  <c r="A2944"/>
  <c r="A2945"/>
  <c r="A2946"/>
  <c r="A2947"/>
  <c r="A2948"/>
  <c r="A2949"/>
  <c r="A2950"/>
  <c r="A2951"/>
  <c r="A2952"/>
  <c r="A2953"/>
  <c r="A2954"/>
  <c r="A2955"/>
  <c r="A2956"/>
  <c r="A2957"/>
  <c r="A2958"/>
  <c r="A2959"/>
  <c r="A2960"/>
  <c r="A2961"/>
  <c r="A2962"/>
  <c r="A2963"/>
  <c r="A2964"/>
  <c r="A2965"/>
  <c r="A2966"/>
  <c r="A2967"/>
  <c r="A2968"/>
  <c r="A2969"/>
  <c r="A2970"/>
  <c r="A2971"/>
  <c r="A2972"/>
  <c r="A2973"/>
  <c r="A2974"/>
  <c r="A2975"/>
  <c r="A2976"/>
  <c r="A2977"/>
  <c r="A2978"/>
  <c r="A2979"/>
  <c r="A2980"/>
  <c r="A2981"/>
  <c r="A2982"/>
  <c r="A2983"/>
  <c r="A2984"/>
  <c r="A2985"/>
  <c r="A2986"/>
  <c r="A2987"/>
  <c r="A2988"/>
  <c r="A2989"/>
  <c r="A2990"/>
  <c r="A2991"/>
  <c r="A2992"/>
  <c r="A2993"/>
  <c r="A2994"/>
  <c r="A2995"/>
  <c r="A2996"/>
  <c r="A2997"/>
  <c r="A2998"/>
  <c r="A2999"/>
  <c r="A3000"/>
  <c r="A3001"/>
  <c r="A3002"/>
  <c r="A3003"/>
  <c r="A3004"/>
  <c r="A3005"/>
  <c r="A3006"/>
  <c r="A3007"/>
  <c r="A3008"/>
  <c r="A3009"/>
  <c r="A3010"/>
  <c r="A3011"/>
  <c r="A3012"/>
  <c r="A3013"/>
  <c r="A3014"/>
  <c r="A3015"/>
  <c r="A3016"/>
  <c r="A3017"/>
  <c r="A3018"/>
  <c r="A3019"/>
  <c r="A3020"/>
  <c r="A3021"/>
  <c r="A3022"/>
  <c r="A3023"/>
  <c r="A3024"/>
  <c r="A3025"/>
  <c r="A3026"/>
  <c r="A3027"/>
  <c r="A3028"/>
  <c r="A3029"/>
  <c r="A3030"/>
  <c r="A3031"/>
  <c r="A3032"/>
  <c r="A3033"/>
  <c r="A3034"/>
  <c r="A3035"/>
  <c r="A3036"/>
  <c r="A3037"/>
  <c r="A3038"/>
  <c r="A3039"/>
  <c r="A3040"/>
  <c r="A3041"/>
  <c r="A3042"/>
  <c r="A3043"/>
  <c r="A3044"/>
  <c r="A3045"/>
  <c r="A3046"/>
  <c r="A3047"/>
  <c r="A3048"/>
  <c r="A3049"/>
  <c r="A3050"/>
  <c r="A3051"/>
  <c r="A3052"/>
  <c r="A3053"/>
  <c r="A3054"/>
  <c r="A3055"/>
  <c r="A3056"/>
  <c r="A3057"/>
  <c r="A3058"/>
  <c r="A3059"/>
  <c r="A3060"/>
  <c r="A3061"/>
  <c r="A3062"/>
  <c r="A3063"/>
  <c r="A3064"/>
  <c r="A3065"/>
  <c r="A3066"/>
  <c r="A3067"/>
  <c r="A3068"/>
  <c r="A3069"/>
  <c r="A3070"/>
  <c r="A3071"/>
  <c r="A3072"/>
  <c r="A3073"/>
  <c r="A3074"/>
  <c r="A3075"/>
  <c r="A3076"/>
  <c r="A3077"/>
  <c r="A3078"/>
  <c r="A3079"/>
  <c r="A3080"/>
  <c r="A3081"/>
  <c r="A3082"/>
  <c r="A3083"/>
  <c r="A3084"/>
  <c r="A3085"/>
  <c r="A3086"/>
  <c r="A3087"/>
  <c r="A3088"/>
  <c r="A3089"/>
  <c r="A3090"/>
  <c r="A3091"/>
  <c r="A3092"/>
  <c r="A3093"/>
  <c r="A3094"/>
  <c r="A3095"/>
  <c r="A3096"/>
  <c r="A3097"/>
  <c r="A3098"/>
  <c r="A3099"/>
  <c r="A3100"/>
  <c r="A3101"/>
  <c r="A3102"/>
  <c r="A3103"/>
  <c r="A3104"/>
  <c r="A3105"/>
  <c r="A3106"/>
  <c r="A3107"/>
  <c r="A3108"/>
  <c r="A3109"/>
  <c r="A3110"/>
  <c r="A3111"/>
  <c r="A3112"/>
  <c r="A3113"/>
  <c r="A3114"/>
  <c r="A3115"/>
  <c r="A3116"/>
  <c r="A3117"/>
  <c r="A3118"/>
  <c r="A3119"/>
  <c r="A3120"/>
  <c r="A3121"/>
  <c r="A3122"/>
  <c r="A3123"/>
  <c r="A3124"/>
  <c r="A3125"/>
  <c r="A3126"/>
  <c r="A3127"/>
  <c r="A3128"/>
  <c r="A3129"/>
  <c r="A3130"/>
  <c r="A3131"/>
  <c r="A3132"/>
  <c r="A3133"/>
  <c r="A3134"/>
  <c r="A3135"/>
  <c r="A3136"/>
  <c r="A3137"/>
  <c r="A3138"/>
  <c r="A3139"/>
  <c r="A3140"/>
  <c r="A3141"/>
  <c r="A3142"/>
  <c r="A3143"/>
  <c r="A3144"/>
  <c r="A3145"/>
  <c r="A3146"/>
  <c r="A3147"/>
  <c r="A3148"/>
  <c r="A3149"/>
  <c r="A3150"/>
  <c r="A3151"/>
  <c r="A3152"/>
  <c r="A3153"/>
  <c r="A3154"/>
  <c r="A3155"/>
  <c r="A3156"/>
  <c r="A3157"/>
  <c r="A3158"/>
  <c r="A3159"/>
  <c r="A3160"/>
  <c r="A3161"/>
  <c r="A3162"/>
  <c r="A3163"/>
  <c r="A3164"/>
  <c r="A3165"/>
  <c r="A3166"/>
  <c r="A3167"/>
  <c r="A3168"/>
  <c r="A3169"/>
  <c r="A3170"/>
  <c r="A3171"/>
  <c r="A3172"/>
  <c r="A3173"/>
  <c r="A3174"/>
  <c r="A3175"/>
  <c r="A3176"/>
  <c r="A3177"/>
  <c r="A3178"/>
  <c r="A3179"/>
  <c r="A3180"/>
  <c r="A3181"/>
  <c r="A3182"/>
  <c r="A3183"/>
  <c r="A3184"/>
  <c r="A3185"/>
  <c r="A3186"/>
  <c r="A3187"/>
  <c r="A3188"/>
  <c r="A3189"/>
  <c r="A3190"/>
  <c r="A3191"/>
  <c r="A3192"/>
  <c r="A3193"/>
  <c r="A3194"/>
  <c r="A3195"/>
  <c r="A3196"/>
  <c r="A3197"/>
  <c r="A3198"/>
  <c r="A3199"/>
  <c r="A3200"/>
  <c r="A3201"/>
  <c r="A3202"/>
  <c r="A3203"/>
  <c r="A3204"/>
  <c r="A3205"/>
  <c r="A3206"/>
  <c r="A3207"/>
  <c r="A3208"/>
  <c r="A3209"/>
  <c r="A3210"/>
  <c r="A3211"/>
  <c r="A3212"/>
  <c r="A3213"/>
  <c r="A3214"/>
  <c r="A3215"/>
  <c r="A3216"/>
  <c r="A3217"/>
  <c r="A3218"/>
  <c r="A3219"/>
  <c r="A3220"/>
  <c r="A3221"/>
  <c r="A3222"/>
  <c r="A3223"/>
  <c r="A3224"/>
  <c r="A3225"/>
  <c r="A3226"/>
  <c r="A3227"/>
  <c r="A3228"/>
  <c r="A3229"/>
  <c r="A3230"/>
  <c r="A3231"/>
  <c r="A3232"/>
  <c r="A3233"/>
  <c r="A3234"/>
  <c r="A3235"/>
  <c r="A3236"/>
  <c r="A3237"/>
  <c r="A3238"/>
  <c r="A3239"/>
  <c r="A3240"/>
  <c r="A3241"/>
  <c r="A3242"/>
  <c r="A3243"/>
  <c r="A3244"/>
  <c r="A3245"/>
  <c r="A3246"/>
  <c r="A3247"/>
  <c r="A3248"/>
  <c r="A3249"/>
  <c r="A3250"/>
  <c r="A3251"/>
  <c r="A3252"/>
  <c r="A3253"/>
  <c r="A3254"/>
  <c r="A3255"/>
  <c r="A3256"/>
  <c r="A3257"/>
  <c r="A3258"/>
  <c r="A3259"/>
  <c r="A3260"/>
  <c r="A3261"/>
  <c r="A3262"/>
  <c r="A3263"/>
  <c r="A3264"/>
  <c r="A3265"/>
  <c r="A3266"/>
  <c r="A3267"/>
  <c r="A3268"/>
  <c r="A3269"/>
  <c r="A3270"/>
  <c r="A3271"/>
  <c r="A3272"/>
  <c r="A3273"/>
  <c r="A3274"/>
  <c r="A3275"/>
  <c r="A3276"/>
  <c r="A3277"/>
  <c r="A3278"/>
  <c r="A3279"/>
  <c r="A3280"/>
  <c r="A3281"/>
  <c r="A3282"/>
  <c r="A3283"/>
  <c r="A3284"/>
  <c r="A3285"/>
  <c r="A3286"/>
  <c r="A3287"/>
  <c r="A3288"/>
  <c r="A3289"/>
  <c r="A3290"/>
  <c r="A3291"/>
  <c r="A3292"/>
  <c r="A3293"/>
  <c r="A3294"/>
  <c r="A3295"/>
  <c r="A3296"/>
  <c r="A3297"/>
  <c r="A3298"/>
  <c r="A3299"/>
  <c r="A3300"/>
  <c r="A3301"/>
  <c r="A3302"/>
  <c r="A3303"/>
  <c r="A3304"/>
  <c r="A3305"/>
  <c r="A3306"/>
  <c r="A3307"/>
  <c r="A3308"/>
  <c r="A3309"/>
  <c r="A3310"/>
  <c r="A3311"/>
  <c r="A3312"/>
  <c r="A3313"/>
  <c r="A3314"/>
  <c r="A3315"/>
  <c r="A3316"/>
  <c r="A3317"/>
  <c r="A3318"/>
  <c r="A3319"/>
  <c r="A3320"/>
  <c r="A3321"/>
  <c r="A3322"/>
  <c r="A3323"/>
  <c r="A3324"/>
  <c r="A3325"/>
  <c r="A3326"/>
  <c r="A3327"/>
  <c r="A3328"/>
  <c r="A3329"/>
  <c r="A3330"/>
  <c r="A3331"/>
  <c r="A3332"/>
  <c r="A3333"/>
  <c r="A3334"/>
  <c r="A3335"/>
  <c r="A3336"/>
  <c r="A3337"/>
  <c r="A3338"/>
  <c r="A3339"/>
  <c r="A3340"/>
  <c r="A3341"/>
  <c r="A3342"/>
  <c r="A3343"/>
  <c r="A3344"/>
  <c r="A3345"/>
  <c r="A3346"/>
  <c r="A3347"/>
  <c r="A3348"/>
  <c r="A3349"/>
  <c r="A3350"/>
  <c r="A3351"/>
  <c r="A3352"/>
  <c r="A3353"/>
  <c r="A3354"/>
  <c r="A3355"/>
  <c r="A3356"/>
  <c r="A3357"/>
  <c r="A3358"/>
  <c r="A3359"/>
  <c r="A3360"/>
  <c r="A3361"/>
  <c r="A3362"/>
  <c r="A3363"/>
  <c r="A3364"/>
  <c r="A3365"/>
  <c r="A3366"/>
  <c r="A3367"/>
  <c r="A3368"/>
  <c r="A3369"/>
  <c r="A3370"/>
  <c r="A3371"/>
  <c r="A3372"/>
  <c r="A3373"/>
  <c r="A3374"/>
  <c r="A3375"/>
  <c r="A3376"/>
  <c r="A3377"/>
  <c r="A3378"/>
  <c r="A3379"/>
  <c r="A3380"/>
  <c r="A3381"/>
  <c r="A3382"/>
  <c r="A3383"/>
  <c r="A3384"/>
  <c r="A3385"/>
  <c r="A3386"/>
  <c r="A3387"/>
  <c r="A3388"/>
  <c r="A3389"/>
  <c r="A3390"/>
  <c r="A3391"/>
  <c r="A3392"/>
  <c r="A3393"/>
  <c r="A3394"/>
  <c r="A3395"/>
  <c r="A3396"/>
  <c r="A3397"/>
  <c r="A3398"/>
  <c r="A3399"/>
  <c r="A3400"/>
  <c r="A3401"/>
  <c r="A3402"/>
  <c r="A3403"/>
  <c r="A3404"/>
  <c r="A3405"/>
  <c r="A3406"/>
  <c r="A3407"/>
  <c r="A3408"/>
  <c r="A3409"/>
  <c r="A3410"/>
  <c r="A3411"/>
  <c r="A3412"/>
  <c r="A3413"/>
  <c r="A3414"/>
  <c r="A3415"/>
  <c r="A3416"/>
  <c r="A3417"/>
  <c r="A3418"/>
  <c r="A3419"/>
  <c r="A3420"/>
  <c r="A3421"/>
  <c r="A3422"/>
  <c r="A3423"/>
  <c r="A3424"/>
  <c r="A3425"/>
  <c r="A3426"/>
  <c r="A3427"/>
  <c r="A3428"/>
  <c r="A3429"/>
  <c r="A3430"/>
  <c r="A3431"/>
  <c r="A3432"/>
  <c r="A3433"/>
  <c r="A3434"/>
  <c r="A3435"/>
  <c r="A3436"/>
  <c r="A3437"/>
  <c r="A3438"/>
  <c r="A3439"/>
  <c r="A3440"/>
  <c r="A3441"/>
  <c r="A3442"/>
  <c r="A3443"/>
  <c r="A3444"/>
  <c r="A3445"/>
  <c r="A3446"/>
  <c r="A3447"/>
  <c r="A3448"/>
  <c r="A3449"/>
  <c r="A3450"/>
  <c r="A3451"/>
  <c r="A3452"/>
  <c r="A3453"/>
  <c r="A3454"/>
  <c r="A3455"/>
  <c r="A3456"/>
  <c r="A3457"/>
  <c r="A3458"/>
  <c r="A3459"/>
  <c r="A3460"/>
  <c r="A3461"/>
  <c r="A3462"/>
  <c r="A3463"/>
  <c r="A3464"/>
  <c r="A3465"/>
  <c r="A3466"/>
  <c r="A3467"/>
  <c r="A3468"/>
  <c r="A3469"/>
  <c r="A3470"/>
  <c r="A3471"/>
  <c r="A3472"/>
  <c r="A3473"/>
  <c r="A3474"/>
  <c r="A3475"/>
  <c r="A3476"/>
  <c r="A3477"/>
  <c r="A3478"/>
  <c r="A3479"/>
  <c r="A3480"/>
  <c r="A3481"/>
  <c r="A3482"/>
  <c r="A3483"/>
  <c r="A3484"/>
  <c r="A3485"/>
  <c r="A3486"/>
  <c r="A3487"/>
  <c r="A3488"/>
  <c r="A3489"/>
  <c r="A3490"/>
  <c r="A3491"/>
  <c r="A3492"/>
  <c r="A3493"/>
  <c r="A3494"/>
  <c r="A3495"/>
  <c r="A3496"/>
  <c r="A3497"/>
  <c r="A3498"/>
  <c r="A3499"/>
  <c r="A3500"/>
  <c r="A3501"/>
  <c r="A3502"/>
  <c r="A3503"/>
  <c r="A3504"/>
  <c r="A3505"/>
  <c r="A3506"/>
  <c r="A3507"/>
  <c r="A3508"/>
  <c r="A3509"/>
  <c r="A3510"/>
  <c r="A3511"/>
  <c r="A3512"/>
  <c r="A3513"/>
  <c r="A3514"/>
  <c r="A3515"/>
  <c r="A3516"/>
  <c r="A3517"/>
  <c r="A3518"/>
  <c r="A3519"/>
  <c r="A3520"/>
  <c r="A3521"/>
  <c r="A3522"/>
  <c r="A3523"/>
  <c r="A3524"/>
  <c r="A3525"/>
  <c r="A3526"/>
  <c r="A3527"/>
  <c r="A3528"/>
  <c r="A3529"/>
  <c r="A3530"/>
  <c r="A3531"/>
  <c r="A3532"/>
  <c r="A3533"/>
  <c r="A3534"/>
  <c r="A3535"/>
  <c r="A3536"/>
  <c r="A3537"/>
  <c r="A3538"/>
  <c r="A3539"/>
  <c r="A3540"/>
  <c r="A3541"/>
  <c r="A3542"/>
  <c r="A3543"/>
  <c r="A3544"/>
  <c r="A3545"/>
  <c r="A3546"/>
  <c r="A3547"/>
  <c r="A3548"/>
  <c r="A3549"/>
  <c r="A3550"/>
  <c r="A3551"/>
  <c r="A3552"/>
  <c r="A3553"/>
  <c r="A3554"/>
  <c r="A3555"/>
  <c r="A3556"/>
  <c r="A3557"/>
  <c r="A3558"/>
  <c r="A3559"/>
  <c r="A3560"/>
  <c r="A3561"/>
  <c r="A3562"/>
  <c r="A3563"/>
  <c r="A3564"/>
  <c r="A3565"/>
  <c r="A3566"/>
  <c r="A3567"/>
  <c r="A3568"/>
  <c r="A3569"/>
  <c r="A3570"/>
  <c r="A3571"/>
  <c r="A3572"/>
  <c r="A3573"/>
  <c r="A3574"/>
  <c r="A3575"/>
  <c r="A3576"/>
  <c r="A3577"/>
  <c r="A3578"/>
  <c r="A3579"/>
  <c r="A3580"/>
  <c r="A3581"/>
  <c r="A3582"/>
  <c r="A3583"/>
  <c r="A3584"/>
  <c r="A3585"/>
  <c r="A3586"/>
  <c r="A3587"/>
  <c r="A3588"/>
  <c r="A3589"/>
  <c r="A3590"/>
  <c r="A3591"/>
  <c r="A3592"/>
  <c r="A3593"/>
  <c r="A3594"/>
  <c r="A3595"/>
  <c r="A3596"/>
  <c r="A3597"/>
  <c r="A3598"/>
  <c r="A3599"/>
  <c r="A3600"/>
  <c r="A3601"/>
  <c r="A3602"/>
  <c r="A3603"/>
  <c r="A3604"/>
  <c r="A3605"/>
  <c r="A3606"/>
  <c r="A3607"/>
  <c r="A3608"/>
  <c r="A3609"/>
  <c r="A3610"/>
  <c r="A3611"/>
  <c r="A3612"/>
  <c r="A3613"/>
  <c r="A3614"/>
  <c r="A3615"/>
  <c r="A3616"/>
  <c r="A3617"/>
  <c r="A3618"/>
  <c r="A3619"/>
  <c r="A3620"/>
  <c r="A3621"/>
  <c r="A3622"/>
  <c r="A3623"/>
  <c r="A3624"/>
  <c r="A3625"/>
  <c r="A3626"/>
  <c r="A3627"/>
  <c r="A3628"/>
  <c r="A3629"/>
  <c r="A3630"/>
  <c r="A3631"/>
  <c r="A3632"/>
  <c r="A3633"/>
  <c r="A3634"/>
  <c r="A3635"/>
  <c r="A3636"/>
  <c r="A3637"/>
  <c r="A3638"/>
  <c r="A3639"/>
  <c r="A3640"/>
  <c r="A3641"/>
  <c r="A3642"/>
  <c r="A3643"/>
  <c r="A3644"/>
  <c r="A3645"/>
  <c r="A3646"/>
  <c r="A3647"/>
  <c r="A3648"/>
  <c r="A3649"/>
  <c r="A3650"/>
  <c r="A3651"/>
  <c r="A3652"/>
  <c r="A3653"/>
  <c r="A3654"/>
  <c r="A3655"/>
  <c r="A3656"/>
  <c r="A3657"/>
  <c r="A3658"/>
  <c r="A3659"/>
  <c r="A3660"/>
  <c r="A3661"/>
  <c r="A3662"/>
  <c r="A3663"/>
  <c r="A3664"/>
  <c r="A3665"/>
  <c r="A3666"/>
  <c r="A3667"/>
  <c r="A3668"/>
  <c r="A3669"/>
  <c r="A3670"/>
  <c r="A3671"/>
  <c r="A3672"/>
  <c r="A3673"/>
  <c r="A3674"/>
  <c r="A3675"/>
  <c r="A3676"/>
  <c r="A3677"/>
  <c r="A3678"/>
  <c r="A3679"/>
  <c r="A3680"/>
  <c r="A3681"/>
  <c r="A3682"/>
  <c r="A3683"/>
  <c r="A3684"/>
  <c r="A3685"/>
  <c r="A3686"/>
  <c r="A3687"/>
  <c r="A3688"/>
  <c r="A3689"/>
  <c r="A3690"/>
  <c r="A3691"/>
  <c r="A3692"/>
  <c r="A3693"/>
  <c r="A3694"/>
  <c r="A3695"/>
  <c r="A3696"/>
  <c r="A3697"/>
  <c r="A3698"/>
  <c r="A3699"/>
  <c r="A3700"/>
  <c r="A3701"/>
  <c r="A3702"/>
  <c r="A3703"/>
  <c r="A3704"/>
  <c r="A3705"/>
  <c r="A3706"/>
  <c r="A3707"/>
  <c r="A3708"/>
  <c r="A3709"/>
  <c r="A3710"/>
  <c r="A3711"/>
  <c r="A3712"/>
  <c r="A3713"/>
  <c r="A3714"/>
  <c r="A3715"/>
  <c r="A3716"/>
  <c r="A3717"/>
  <c r="A3718"/>
  <c r="A3719"/>
  <c r="A3720"/>
  <c r="A3721"/>
  <c r="A3722"/>
  <c r="A3723"/>
  <c r="A3724"/>
  <c r="A3725"/>
  <c r="A3726"/>
  <c r="A3727"/>
  <c r="A3728"/>
  <c r="A3729"/>
  <c r="A3730"/>
  <c r="A3731"/>
  <c r="A3732"/>
  <c r="A3733"/>
  <c r="A3734"/>
  <c r="A3735"/>
  <c r="A3736"/>
  <c r="A3737"/>
  <c r="A3738"/>
  <c r="A3739"/>
  <c r="A3740"/>
  <c r="A3741"/>
  <c r="A3742"/>
  <c r="A3743"/>
  <c r="A3744"/>
  <c r="A3745"/>
  <c r="A3746"/>
  <c r="A3747"/>
  <c r="A3748"/>
  <c r="A3749"/>
  <c r="A3750"/>
  <c r="A3751"/>
  <c r="A3752"/>
  <c r="A3753"/>
  <c r="A3754"/>
  <c r="A3755"/>
  <c r="A3756"/>
  <c r="A3757"/>
  <c r="A3758"/>
  <c r="A3759"/>
  <c r="A3760"/>
  <c r="A3761"/>
  <c r="A3762"/>
  <c r="A3763"/>
  <c r="A3764"/>
  <c r="A3765"/>
  <c r="A3766"/>
  <c r="A3767"/>
  <c r="A3768"/>
  <c r="A3769"/>
  <c r="A3770"/>
  <c r="A3771"/>
  <c r="A3772"/>
  <c r="A3773"/>
  <c r="A3774"/>
  <c r="A3775"/>
  <c r="A3776"/>
  <c r="A3777"/>
  <c r="A3778"/>
  <c r="A3779"/>
  <c r="A3780"/>
  <c r="A3781"/>
  <c r="A3782"/>
  <c r="A3783"/>
  <c r="A3784"/>
  <c r="A3785"/>
  <c r="A3786"/>
  <c r="A3787"/>
  <c r="A3788"/>
  <c r="A3789"/>
  <c r="A3790"/>
  <c r="A3791"/>
  <c r="A3792"/>
  <c r="A3793"/>
  <c r="A3794"/>
  <c r="A3795"/>
  <c r="A3796"/>
  <c r="A3797"/>
  <c r="A3798"/>
  <c r="A3799"/>
  <c r="A3800"/>
  <c r="A3801"/>
  <c r="A3802"/>
  <c r="A3803"/>
  <c r="A3804"/>
  <c r="A3805"/>
  <c r="A3806"/>
  <c r="A3807"/>
  <c r="A3808"/>
  <c r="A3809"/>
  <c r="A3810"/>
  <c r="A3811"/>
  <c r="A3812"/>
  <c r="A3813"/>
  <c r="A3814"/>
  <c r="A3815"/>
  <c r="A3816"/>
  <c r="A3817"/>
  <c r="A3818"/>
  <c r="A3819"/>
  <c r="A3820"/>
  <c r="A3821"/>
  <c r="A3822"/>
  <c r="A3823"/>
  <c r="A3824"/>
  <c r="A3825"/>
  <c r="A3826"/>
  <c r="A3827"/>
  <c r="A3828"/>
  <c r="A3829"/>
  <c r="A3830"/>
  <c r="A3831"/>
  <c r="A3832"/>
  <c r="A3833"/>
  <c r="A3834"/>
  <c r="A3835"/>
  <c r="A3836"/>
  <c r="A3837"/>
  <c r="A3838"/>
  <c r="A3839"/>
  <c r="A3840"/>
  <c r="A3841"/>
  <c r="A3842"/>
  <c r="A3843"/>
  <c r="A3844"/>
  <c r="A3845"/>
  <c r="A3846"/>
  <c r="A3847"/>
  <c r="A3848"/>
  <c r="A3849"/>
  <c r="A3850"/>
  <c r="A3851"/>
  <c r="A3852"/>
  <c r="A3853"/>
  <c r="A3854"/>
  <c r="A3855"/>
  <c r="A3856"/>
  <c r="A3857"/>
  <c r="A3858"/>
  <c r="A3859"/>
  <c r="A3860"/>
  <c r="A3861"/>
  <c r="A3862"/>
  <c r="A3863"/>
  <c r="A3864"/>
  <c r="A3865"/>
  <c r="A3866"/>
  <c r="A3867"/>
  <c r="A3868"/>
  <c r="A3869"/>
  <c r="A3870"/>
  <c r="A3871"/>
  <c r="A3872"/>
  <c r="A3873"/>
  <c r="A3874"/>
  <c r="A3875"/>
  <c r="A3876"/>
  <c r="A3877"/>
  <c r="A3878"/>
  <c r="A3879"/>
  <c r="A3880"/>
  <c r="A3881"/>
  <c r="A3882"/>
  <c r="A3883"/>
  <c r="A3884"/>
  <c r="A3885"/>
  <c r="A3886"/>
  <c r="A3887"/>
  <c r="A3888"/>
  <c r="A3889"/>
  <c r="A3890"/>
  <c r="A3891"/>
  <c r="A3892"/>
  <c r="A3893"/>
  <c r="A3894"/>
  <c r="A3895"/>
  <c r="A3896"/>
  <c r="A3897"/>
  <c r="A3898"/>
  <c r="A3899"/>
  <c r="A3900"/>
  <c r="A3901"/>
  <c r="A3902"/>
  <c r="A3903"/>
  <c r="A3904"/>
  <c r="A3905"/>
  <c r="A3906"/>
  <c r="A3907"/>
  <c r="A3908"/>
  <c r="A3909"/>
  <c r="A3910"/>
  <c r="A3911"/>
  <c r="A3912"/>
  <c r="A3913"/>
  <c r="A3914"/>
  <c r="A3915"/>
  <c r="A3916"/>
  <c r="A3917"/>
  <c r="A3918"/>
  <c r="A3919"/>
  <c r="A3920"/>
  <c r="A3921"/>
  <c r="A3922"/>
  <c r="A3923"/>
  <c r="A3924"/>
  <c r="A3925"/>
  <c r="A3926"/>
  <c r="A3927"/>
  <c r="A3928"/>
  <c r="A3929"/>
  <c r="A3930"/>
  <c r="A3931"/>
  <c r="A3932"/>
  <c r="A3933"/>
  <c r="A3934"/>
  <c r="A3935"/>
  <c r="A3936"/>
  <c r="A3937"/>
  <c r="A3938"/>
  <c r="A3939"/>
  <c r="A3940"/>
  <c r="A3941"/>
  <c r="A3942"/>
  <c r="A3943"/>
  <c r="A3944"/>
  <c r="A3945"/>
  <c r="A3946"/>
  <c r="A3947"/>
  <c r="A3948"/>
  <c r="A3949"/>
  <c r="A3950"/>
  <c r="A3951"/>
  <c r="A3952"/>
  <c r="A3953"/>
  <c r="A3954"/>
  <c r="A3955"/>
  <c r="A3956"/>
  <c r="A3957"/>
  <c r="A3958"/>
  <c r="A3959"/>
  <c r="A3960"/>
  <c r="A3961"/>
  <c r="A3962"/>
  <c r="A3963"/>
  <c r="A3964"/>
  <c r="A3965"/>
  <c r="A3966"/>
  <c r="A3967"/>
  <c r="A3968"/>
  <c r="A3969"/>
  <c r="A3970"/>
  <c r="A3971"/>
  <c r="A3972"/>
  <c r="A3973"/>
  <c r="A3974"/>
  <c r="A3975"/>
  <c r="A3976"/>
  <c r="A3977"/>
  <c r="A3978"/>
  <c r="A3979"/>
  <c r="A3980"/>
  <c r="A3981"/>
  <c r="A3982"/>
  <c r="A3983"/>
  <c r="A3984"/>
  <c r="A3985"/>
  <c r="A3986"/>
  <c r="A3987"/>
  <c r="A3988"/>
  <c r="A3989"/>
  <c r="A3990"/>
  <c r="A3991"/>
  <c r="A3992"/>
  <c r="A3993"/>
  <c r="A3994"/>
  <c r="A3995"/>
  <c r="A3996"/>
  <c r="A3997"/>
  <c r="A3998"/>
  <c r="A3999"/>
  <c r="A4000"/>
  <c r="A4001"/>
  <c r="A4002"/>
  <c r="A4003"/>
  <c r="A4004"/>
  <c r="A4005"/>
  <c r="A4006"/>
  <c r="A4007"/>
  <c r="A4008"/>
  <c r="A4009"/>
  <c r="A4010"/>
  <c r="A4011"/>
  <c r="A4012"/>
  <c r="A4013"/>
  <c r="A4014"/>
  <c r="A4015"/>
  <c r="A4016"/>
  <c r="A4017"/>
  <c r="A4018"/>
  <c r="A4019"/>
  <c r="A4020"/>
  <c r="A4021"/>
  <c r="A4022"/>
  <c r="A4023"/>
  <c r="A4024"/>
  <c r="A4025"/>
  <c r="A4026"/>
  <c r="A4027"/>
  <c r="A4028"/>
  <c r="A4029"/>
  <c r="A4030"/>
  <c r="A4031"/>
  <c r="A4032"/>
  <c r="A4033"/>
  <c r="A4034"/>
  <c r="A4035"/>
  <c r="A4036"/>
  <c r="A4037"/>
  <c r="A4038"/>
  <c r="A4039"/>
  <c r="A4040"/>
  <c r="A4041"/>
  <c r="A4042"/>
  <c r="A4043"/>
  <c r="A4044"/>
  <c r="A4045"/>
  <c r="A4046"/>
  <c r="A4047"/>
  <c r="A4048"/>
  <c r="A4049"/>
  <c r="A4050"/>
  <c r="A4051"/>
  <c r="A4052"/>
  <c r="A4053"/>
  <c r="A4054"/>
  <c r="A4055"/>
  <c r="A4056"/>
  <c r="A4057"/>
  <c r="A4058"/>
  <c r="A4059"/>
  <c r="A4060"/>
  <c r="A4061"/>
  <c r="A4062"/>
  <c r="A4063"/>
  <c r="A4064"/>
  <c r="A4065"/>
  <c r="A4066"/>
  <c r="A4067"/>
  <c r="A4068"/>
  <c r="A4069"/>
  <c r="A4070"/>
  <c r="A4071"/>
  <c r="A4072"/>
  <c r="A4073"/>
  <c r="A4074"/>
  <c r="A4075"/>
  <c r="A4076"/>
  <c r="A4077"/>
  <c r="A4078"/>
  <c r="A4079"/>
  <c r="A4080"/>
  <c r="A4081"/>
  <c r="A4082"/>
  <c r="A4083"/>
  <c r="A4084"/>
  <c r="A4085"/>
  <c r="A4086"/>
  <c r="A4087"/>
  <c r="A4088"/>
  <c r="A4089"/>
  <c r="A4090"/>
  <c r="A4091"/>
  <c r="A4092"/>
  <c r="A4093"/>
  <c r="A4094"/>
  <c r="A4095"/>
  <c r="A4096"/>
  <c r="A4097"/>
  <c r="A4098"/>
  <c r="A4099"/>
  <c r="A4100"/>
  <c r="A4101"/>
  <c r="A4102"/>
  <c r="A4103"/>
  <c r="A4104"/>
  <c r="A4105"/>
  <c r="A4106"/>
  <c r="A4107"/>
  <c r="A4108"/>
  <c r="A4109"/>
  <c r="A4110"/>
  <c r="A4111"/>
  <c r="A4112"/>
  <c r="A4113"/>
  <c r="A4114"/>
  <c r="A4115"/>
  <c r="A4116"/>
  <c r="A4117"/>
  <c r="A4118"/>
  <c r="A4119"/>
  <c r="A4120"/>
  <c r="A4121"/>
  <c r="A4122"/>
  <c r="A4123"/>
  <c r="A4124"/>
  <c r="A4125"/>
  <c r="A4126"/>
  <c r="A4127"/>
  <c r="A4128"/>
  <c r="A4129"/>
  <c r="A4130"/>
  <c r="A4131"/>
  <c r="A4132"/>
  <c r="A4133"/>
  <c r="A4134"/>
  <c r="A4135"/>
  <c r="A4136"/>
  <c r="A4137"/>
  <c r="A4138"/>
  <c r="A4139"/>
  <c r="A4140"/>
  <c r="A4141"/>
  <c r="A4142"/>
  <c r="A4143"/>
  <c r="A4144"/>
  <c r="A4145"/>
  <c r="A4146"/>
  <c r="A4147"/>
  <c r="A4148"/>
  <c r="A4149"/>
  <c r="A4150"/>
  <c r="A4151"/>
  <c r="A4152"/>
  <c r="A4153"/>
  <c r="A4154"/>
  <c r="A4155"/>
  <c r="A4156"/>
  <c r="A4157"/>
  <c r="A4158"/>
  <c r="A4159"/>
  <c r="A4160"/>
  <c r="A4161"/>
  <c r="A4162"/>
  <c r="A4163"/>
  <c r="A4164"/>
  <c r="A4165"/>
  <c r="A4166"/>
  <c r="A4167"/>
  <c r="A4168"/>
  <c r="A4169"/>
  <c r="A4170"/>
  <c r="A4171"/>
  <c r="A4172"/>
  <c r="A4173"/>
  <c r="A4174"/>
  <c r="A4175"/>
  <c r="A4176"/>
  <c r="A4177"/>
  <c r="A4178"/>
  <c r="A4179"/>
  <c r="A4180"/>
  <c r="A4181"/>
  <c r="A4182"/>
  <c r="A4183"/>
  <c r="A4184"/>
  <c r="A4185"/>
  <c r="A4186"/>
  <c r="A4187"/>
  <c r="A4188"/>
  <c r="A4189"/>
  <c r="A4190"/>
  <c r="A4191"/>
  <c r="A4192"/>
  <c r="A4193"/>
  <c r="A4194"/>
  <c r="A4195"/>
  <c r="A4196"/>
  <c r="A4197"/>
  <c r="A4198"/>
  <c r="A4199"/>
  <c r="A4200"/>
  <c r="A4201"/>
  <c r="A4202"/>
  <c r="A4203"/>
  <c r="A4204"/>
  <c r="A4205"/>
  <c r="A4206"/>
  <c r="A4207"/>
  <c r="A4208"/>
  <c r="A4209"/>
  <c r="A4210"/>
  <c r="A4211"/>
  <c r="A4212"/>
  <c r="A4213"/>
  <c r="A4214"/>
  <c r="A4215"/>
  <c r="A4216"/>
  <c r="A4217"/>
  <c r="A4218"/>
  <c r="A4219"/>
  <c r="A4220"/>
  <c r="A4221"/>
  <c r="A4222"/>
  <c r="A4223"/>
  <c r="A4224"/>
  <c r="A4225"/>
  <c r="A4226"/>
  <c r="A4227"/>
  <c r="A4228"/>
  <c r="A4229"/>
  <c r="A4230"/>
  <c r="A4231"/>
  <c r="A4232"/>
  <c r="A4233"/>
  <c r="A4234"/>
  <c r="A4235"/>
  <c r="A4236"/>
  <c r="A4237"/>
  <c r="A4238"/>
  <c r="A4239"/>
  <c r="A4240"/>
  <c r="A4241"/>
  <c r="A4242"/>
  <c r="A4243"/>
  <c r="A4244"/>
  <c r="A4245"/>
  <c r="A4246"/>
  <c r="A4247"/>
  <c r="A4248"/>
  <c r="A4249"/>
  <c r="A4250"/>
  <c r="A4251"/>
  <c r="A4252"/>
  <c r="A4253"/>
  <c r="A4254"/>
  <c r="A4255"/>
  <c r="A4256"/>
  <c r="A4257"/>
  <c r="A4258"/>
  <c r="A4259"/>
  <c r="A4260"/>
  <c r="A4261"/>
  <c r="A4262"/>
  <c r="A4263"/>
  <c r="A4264"/>
  <c r="A4265"/>
  <c r="A4266"/>
  <c r="A4267"/>
  <c r="A4268"/>
  <c r="A4269"/>
  <c r="A4270"/>
  <c r="A4271"/>
  <c r="A4272"/>
  <c r="A4273"/>
  <c r="A4274"/>
  <c r="A4275"/>
  <c r="A4276"/>
  <c r="A4277"/>
  <c r="A4278"/>
  <c r="A4279"/>
  <c r="A4280"/>
  <c r="A4281"/>
  <c r="A4282"/>
  <c r="A4283"/>
  <c r="A4284"/>
  <c r="A4285"/>
  <c r="A4286"/>
  <c r="A4287"/>
  <c r="A4288"/>
  <c r="A4289"/>
  <c r="A4290"/>
  <c r="A4291"/>
  <c r="A4292"/>
  <c r="A4293"/>
  <c r="A4294"/>
  <c r="A4295"/>
  <c r="A4296"/>
  <c r="A4297"/>
  <c r="A4298"/>
  <c r="A4299"/>
  <c r="A4300"/>
  <c r="A4301"/>
  <c r="A4302"/>
  <c r="A4303"/>
  <c r="A4304"/>
  <c r="A4305"/>
  <c r="A4306"/>
  <c r="A4307"/>
  <c r="A4308"/>
  <c r="A4309"/>
  <c r="A4310"/>
  <c r="A4311"/>
  <c r="A4312"/>
  <c r="A4313"/>
  <c r="A4314"/>
  <c r="A4315"/>
  <c r="A4316"/>
  <c r="A4317"/>
  <c r="A4318"/>
  <c r="A4319"/>
  <c r="A4320"/>
  <c r="A4321"/>
  <c r="A4322"/>
  <c r="A4323"/>
  <c r="A4324"/>
  <c r="A4325"/>
  <c r="A4326"/>
  <c r="A4327"/>
  <c r="A4328"/>
  <c r="A4329"/>
  <c r="A4330"/>
  <c r="A4331"/>
  <c r="A4332"/>
  <c r="A4333"/>
  <c r="A4334"/>
  <c r="A4335"/>
  <c r="A4336"/>
  <c r="A4337"/>
  <c r="A4338"/>
  <c r="A4339"/>
  <c r="A4340"/>
  <c r="A4341"/>
  <c r="A4342"/>
  <c r="A4343"/>
  <c r="A4344"/>
  <c r="A4345"/>
  <c r="A4346"/>
  <c r="A4347"/>
  <c r="A4348"/>
  <c r="A4349"/>
  <c r="A4350"/>
  <c r="A4351"/>
  <c r="A4352"/>
  <c r="A4353"/>
  <c r="A4354"/>
  <c r="A4355"/>
  <c r="A4356"/>
  <c r="A4357"/>
  <c r="A4358"/>
  <c r="A4359"/>
  <c r="A4360"/>
  <c r="A4361"/>
  <c r="A4362"/>
  <c r="A4363"/>
  <c r="A4364"/>
  <c r="A4365"/>
  <c r="A4366"/>
  <c r="A4367"/>
  <c r="A4368"/>
  <c r="A4369"/>
  <c r="A4370"/>
  <c r="A4371"/>
  <c r="A4372"/>
  <c r="A4373"/>
  <c r="A4374"/>
  <c r="A4375"/>
  <c r="A4376"/>
  <c r="A4377"/>
  <c r="A4378"/>
  <c r="A4379"/>
  <c r="A4380"/>
  <c r="A4381"/>
  <c r="A4382"/>
  <c r="A4383"/>
  <c r="A4384"/>
  <c r="A4385"/>
  <c r="A4386"/>
  <c r="A4387"/>
  <c r="A4388"/>
  <c r="A4389"/>
  <c r="A4390"/>
  <c r="A4391"/>
  <c r="A4392"/>
  <c r="A4393"/>
  <c r="A4394"/>
  <c r="A4395"/>
  <c r="A4396"/>
  <c r="A4397"/>
  <c r="A4398"/>
  <c r="A4399"/>
  <c r="A4400"/>
  <c r="A4401"/>
  <c r="A4402"/>
  <c r="A4403"/>
  <c r="A4404"/>
  <c r="A4405"/>
  <c r="A4406"/>
  <c r="A4407"/>
  <c r="A4408"/>
  <c r="A4409"/>
  <c r="A4410"/>
  <c r="A4411"/>
  <c r="A4412"/>
  <c r="A4413"/>
  <c r="A4414"/>
  <c r="A4415"/>
  <c r="A4416"/>
  <c r="A4417"/>
  <c r="A4418"/>
  <c r="A4419"/>
  <c r="A4420"/>
  <c r="A4421"/>
  <c r="A4422"/>
  <c r="A4423"/>
  <c r="A4424"/>
  <c r="A4425"/>
  <c r="A4426"/>
  <c r="A4427"/>
  <c r="A4428"/>
  <c r="A4429"/>
  <c r="A4430"/>
  <c r="A4431"/>
  <c r="A4432"/>
  <c r="A4433"/>
  <c r="A4434"/>
  <c r="A4435"/>
  <c r="A4436"/>
  <c r="A4437"/>
  <c r="A4438"/>
  <c r="A4439"/>
  <c r="A4440"/>
  <c r="A4441"/>
  <c r="A4442"/>
  <c r="A4443"/>
  <c r="A4444"/>
  <c r="A4445"/>
  <c r="A4446"/>
  <c r="A4447"/>
  <c r="A4448"/>
  <c r="A4449"/>
  <c r="A4450"/>
  <c r="A4451"/>
  <c r="A4452"/>
  <c r="A4453"/>
  <c r="A4454"/>
  <c r="A4455"/>
  <c r="A4456"/>
  <c r="A4457"/>
  <c r="A4458"/>
  <c r="A4459"/>
  <c r="A4460"/>
  <c r="A4461"/>
  <c r="A4462"/>
  <c r="A4463"/>
  <c r="A4464"/>
  <c r="A4465"/>
  <c r="A4466"/>
  <c r="A4467"/>
  <c r="A4468"/>
  <c r="A4469"/>
  <c r="A4470"/>
  <c r="A4471"/>
  <c r="A4472"/>
  <c r="A4473"/>
  <c r="A4474"/>
  <c r="A4475"/>
  <c r="A4476"/>
  <c r="A4477"/>
  <c r="A4478"/>
  <c r="A4479"/>
  <c r="A4480"/>
  <c r="A4481"/>
  <c r="A4482"/>
  <c r="A4483"/>
  <c r="A4484"/>
  <c r="A4485"/>
  <c r="A4486"/>
  <c r="A4487"/>
  <c r="A4488"/>
  <c r="A4489"/>
  <c r="A4490"/>
  <c r="A4491"/>
  <c r="A4492"/>
  <c r="A4493"/>
  <c r="A4494"/>
  <c r="A4495"/>
  <c r="A4496"/>
  <c r="A4497"/>
  <c r="A4498"/>
  <c r="A4499"/>
  <c r="A4500"/>
  <c r="A4501"/>
  <c r="A4502"/>
  <c r="A4503"/>
  <c r="A4504"/>
  <c r="A4505"/>
  <c r="A4506"/>
  <c r="A4507"/>
  <c r="A4508"/>
  <c r="A4509"/>
  <c r="A4510"/>
  <c r="A4511"/>
  <c r="A4512"/>
  <c r="A4513"/>
  <c r="A4514"/>
  <c r="A4515"/>
  <c r="A4516"/>
  <c r="A4517"/>
  <c r="A4518"/>
  <c r="A4519"/>
  <c r="A4520"/>
  <c r="A4521"/>
  <c r="A4522"/>
  <c r="A4523"/>
  <c r="A4524"/>
  <c r="A4525"/>
  <c r="A4526"/>
  <c r="A4527"/>
  <c r="A4528"/>
  <c r="A4529"/>
  <c r="A4530"/>
  <c r="A4531"/>
  <c r="A4532"/>
  <c r="A4533"/>
  <c r="A4534"/>
  <c r="A4535"/>
  <c r="A4536"/>
  <c r="A4537"/>
  <c r="A4538"/>
  <c r="A4539"/>
  <c r="A4540"/>
  <c r="A4541"/>
  <c r="A4542"/>
  <c r="A4543"/>
  <c r="A4544"/>
  <c r="A4545"/>
  <c r="A4546"/>
  <c r="A4547"/>
  <c r="A4548"/>
  <c r="A4549"/>
  <c r="A4550"/>
  <c r="A4551"/>
  <c r="A4552"/>
  <c r="A4553"/>
  <c r="A4554"/>
  <c r="A4555"/>
  <c r="A4556"/>
  <c r="A4557"/>
  <c r="A4558"/>
  <c r="A4559"/>
  <c r="A4560"/>
  <c r="A4561"/>
  <c r="A4562"/>
  <c r="A4563"/>
  <c r="A4564"/>
  <c r="A4565"/>
  <c r="A4566"/>
  <c r="A4567"/>
  <c r="A4568"/>
  <c r="A4569"/>
  <c r="A4570"/>
  <c r="A4571"/>
  <c r="A4572"/>
  <c r="A4573"/>
  <c r="A4574"/>
  <c r="A4575"/>
  <c r="A4576"/>
  <c r="A4577"/>
  <c r="A4578"/>
  <c r="A4579"/>
  <c r="A4580"/>
  <c r="A4581"/>
  <c r="A4582"/>
  <c r="A4583"/>
  <c r="A4584"/>
  <c r="A4585"/>
  <c r="A4586"/>
  <c r="A4587"/>
  <c r="A4588"/>
  <c r="A4589"/>
  <c r="A4590"/>
  <c r="A4591"/>
  <c r="A4592"/>
  <c r="A4593"/>
  <c r="A4594"/>
  <c r="A4595"/>
  <c r="A4596"/>
  <c r="A4597"/>
  <c r="A4598"/>
  <c r="A4599"/>
  <c r="A4600"/>
  <c r="A4601"/>
  <c r="A4602"/>
  <c r="A4603"/>
  <c r="A4604"/>
  <c r="A4605"/>
  <c r="A4606"/>
  <c r="A4607"/>
  <c r="A4608"/>
  <c r="A4609"/>
  <c r="A4610"/>
  <c r="A4611"/>
  <c r="A4612"/>
  <c r="A4613"/>
  <c r="A4614"/>
  <c r="A4615"/>
  <c r="A4616"/>
  <c r="A4617"/>
  <c r="A4618"/>
  <c r="A4619"/>
  <c r="A4620"/>
  <c r="A4621"/>
  <c r="A4622"/>
  <c r="A4623"/>
  <c r="A4624"/>
  <c r="A4625"/>
  <c r="A4626"/>
  <c r="A4627"/>
  <c r="A4628"/>
  <c r="A4629"/>
  <c r="A4630"/>
  <c r="A4631"/>
  <c r="A4632"/>
  <c r="A4633"/>
  <c r="A4634"/>
  <c r="A4635"/>
  <c r="A4636"/>
  <c r="A4637"/>
  <c r="A4638"/>
  <c r="A4639"/>
  <c r="A4640"/>
  <c r="A4641"/>
  <c r="A4642"/>
  <c r="A4643"/>
  <c r="A4644"/>
  <c r="A4645"/>
  <c r="A4646"/>
  <c r="A4647"/>
  <c r="A4648"/>
  <c r="A4649"/>
  <c r="A4650"/>
  <c r="A4651"/>
  <c r="A4652"/>
  <c r="A4653"/>
  <c r="A4654"/>
  <c r="A4655"/>
  <c r="A4656"/>
  <c r="A4657"/>
  <c r="A4658"/>
  <c r="A4659"/>
  <c r="A4660"/>
  <c r="A4661"/>
  <c r="A4662"/>
  <c r="A4663"/>
  <c r="A4664"/>
  <c r="A4665"/>
  <c r="A4666"/>
  <c r="A4667"/>
  <c r="A4668"/>
  <c r="A4669"/>
  <c r="A4670"/>
  <c r="A4671"/>
  <c r="A4672"/>
  <c r="A4673"/>
  <c r="A4674"/>
  <c r="A4675"/>
  <c r="A4676"/>
  <c r="A4677"/>
  <c r="A4678"/>
  <c r="A4679"/>
  <c r="A4680"/>
  <c r="A4681"/>
  <c r="A4682"/>
  <c r="A4683"/>
  <c r="A4684"/>
  <c r="A4685"/>
  <c r="A4686"/>
  <c r="A4687"/>
  <c r="A4688"/>
  <c r="A4689"/>
  <c r="A4690"/>
  <c r="A4691"/>
  <c r="A4692"/>
  <c r="A4693"/>
  <c r="A4694"/>
  <c r="A4695"/>
  <c r="A4696"/>
  <c r="A4697"/>
  <c r="A4698"/>
  <c r="A4699"/>
  <c r="A4700"/>
  <c r="A4701"/>
  <c r="A4702"/>
  <c r="A4703"/>
  <c r="A4704"/>
  <c r="A4705"/>
  <c r="A4706"/>
  <c r="A4707"/>
  <c r="A4708"/>
  <c r="A4709"/>
  <c r="A4710"/>
  <c r="A4711"/>
  <c r="A4712"/>
  <c r="A4713"/>
  <c r="A4714"/>
  <c r="A4715"/>
  <c r="A4716"/>
  <c r="A4717"/>
  <c r="A4718"/>
  <c r="A4719"/>
  <c r="A4720"/>
  <c r="A4721"/>
  <c r="A4722"/>
  <c r="A4723"/>
  <c r="A4724"/>
  <c r="A4725"/>
  <c r="A4726"/>
  <c r="A4727"/>
  <c r="A4728"/>
  <c r="A4729"/>
  <c r="A4730"/>
  <c r="A4731"/>
  <c r="A4732"/>
  <c r="A4733"/>
  <c r="A4734"/>
  <c r="A4735"/>
  <c r="A4736"/>
  <c r="A4737"/>
  <c r="A4738"/>
  <c r="A4739"/>
  <c r="A4740"/>
  <c r="A4741"/>
  <c r="A4742"/>
  <c r="A4743"/>
  <c r="A4744"/>
  <c r="A4745"/>
  <c r="A4746"/>
  <c r="A4747"/>
  <c r="A4748"/>
  <c r="A4749"/>
  <c r="A4750"/>
  <c r="A4751"/>
  <c r="A4752"/>
  <c r="A4753"/>
  <c r="A4754"/>
  <c r="A4755"/>
  <c r="A4756"/>
  <c r="A4757"/>
  <c r="A4758"/>
  <c r="A4759"/>
  <c r="A4760"/>
  <c r="A4761"/>
  <c r="A4762"/>
  <c r="A4763"/>
  <c r="A4764"/>
  <c r="A4765"/>
  <c r="A4766"/>
  <c r="A4767"/>
  <c r="A4768"/>
  <c r="A4769"/>
  <c r="A4770"/>
  <c r="A4771"/>
  <c r="A4772"/>
  <c r="A4773"/>
  <c r="A4774"/>
  <c r="A4775"/>
  <c r="A4776"/>
  <c r="A4777"/>
  <c r="A4778"/>
  <c r="A4779"/>
  <c r="A4780"/>
  <c r="A4781"/>
  <c r="A4782"/>
  <c r="A4783"/>
  <c r="A4784"/>
  <c r="A4785"/>
  <c r="A4786"/>
  <c r="A4787"/>
  <c r="A4788"/>
  <c r="A4789"/>
  <c r="A4790"/>
  <c r="A4791"/>
  <c r="A4792"/>
  <c r="A4793"/>
  <c r="A4794"/>
  <c r="A4795"/>
  <c r="A4796"/>
  <c r="A4797"/>
  <c r="A4798"/>
  <c r="A4799"/>
  <c r="A4800"/>
  <c r="A4801"/>
  <c r="A4802"/>
  <c r="A4803"/>
  <c r="A4804"/>
  <c r="A4805"/>
  <c r="A4806"/>
  <c r="A4807"/>
  <c r="A4808"/>
  <c r="A4809"/>
  <c r="A4810"/>
  <c r="A4811"/>
  <c r="A4812"/>
  <c r="A4813"/>
  <c r="A4814"/>
  <c r="A4815"/>
  <c r="A4816"/>
  <c r="A4817"/>
  <c r="A4818"/>
  <c r="A4819"/>
  <c r="A4820"/>
  <c r="A4821"/>
  <c r="A4822"/>
  <c r="A4823"/>
  <c r="A4824"/>
  <c r="A4825"/>
  <c r="A4826"/>
  <c r="A4827"/>
  <c r="A4828"/>
  <c r="A4829"/>
  <c r="A4830"/>
  <c r="A4831"/>
  <c r="A4832"/>
  <c r="A4833"/>
  <c r="A4834"/>
  <c r="A4835"/>
  <c r="A4836"/>
  <c r="A4837"/>
  <c r="A4838"/>
  <c r="A4839"/>
  <c r="A4840"/>
  <c r="A4841"/>
  <c r="A4842"/>
  <c r="A4843"/>
  <c r="A4844"/>
  <c r="A4845"/>
  <c r="A4846"/>
  <c r="A4847"/>
  <c r="A4848"/>
  <c r="A4849"/>
  <c r="A4850"/>
  <c r="A4851"/>
  <c r="A4852"/>
  <c r="A4853"/>
  <c r="A4854"/>
  <c r="A4855"/>
  <c r="A4856"/>
  <c r="A4857"/>
  <c r="A4858"/>
  <c r="A4859"/>
  <c r="A4860"/>
  <c r="A4861"/>
  <c r="A4862"/>
  <c r="A4863"/>
  <c r="A4864"/>
  <c r="A4865"/>
  <c r="A4866"/>
  <c r="A4867"/>
  <c r="A4868"/>
  <c r="A4869"/>
  <c r="A4870"/>
  <c r="A4871"/>
  <c r="A4872"/>
  <c r="A4873"/>
  <c r="A4874"/>
  <c r="A4875"/>
  <c r="A4876"/>
  <c r="A4877"/>
  <c r="A4878"/>
  <c r="A4879"/>
  <c r="A4880"/>
  <c r="A4881"/>
  <c r="A4882"/>
  <c r="A4883"/>
  <c r="A4884"/>
  <c r="A4885"/>
  <c r="A4886"/>
  <c r="A4887"/>
  <c r="A4888"/>
  <c r="A4889"/>
  <c r="A4890"/>
  <c r="A4891"/>
  <c r="A4892"/>
  <c r="A4893"/>
  <c r="A4894"/>
  <c r="A4895"/>
  <c r="A4896"/>
  <c r="A4897"/>
  <c r="A4898"/>
  <c r="A4899"/>
  <c r="A4900"/>
  <c r="A4901"/>
  <c r="A4902"/>
  <c r="A4903"/>
  <c r="A4904"/>
  <c r="A4905"/>
  <c r="A4906"/>
  <c r="A4907"/>
  <c r="A4908"/>
  <c r="A4909"/>
  <c r="A4910"/>
  <c r="A4911"/>
  <c r="A4912"/>
  <c r="A4913"/>
  <c r="A4914"/>
  <c r="A4915"/>
  <c r="A4916"/>
  <c r="A4917"/>
  <c r="A4918"/>
  <c r="A4919"/>
  <c r="A4920"/>
  <c r="A4921"/>
  <c r="A4922"/>
  <c r="A4923"/>
  <c r="A4924"/>
  <c r="A4925"/>
  <c r="A4926"/>
  <c r="A4927"/>
  <c r="A4928"/>
  <c r="A4929"/>
  <c r="A4930"/>
  <c r="A4931"/>
  <c r="A4932"/>
  <c r="A4933"/>
  <c r="A4934"/>
  <c r="A4935"/>
  <c r="A4936"/>
  <c r="A4937"/>
  <c r="A4938"/>
  <c r="A4939"/>
  <c r="A4940"/>
  <c r="A4941"/>
  <c r="A4942"/>
  <c r="A4943"/>
  <c r="A4944"/>
  <c r="A4945"/>
  <c r="A4946"/>
  <c r="A4947"/>
  <c r="A4948"/>
  <c r="A4949"/>
  <c r="A4950"/>
  <c r="A4951"/>
  <c r="A4952"/>
  <c r="A4953"/>
  <c r="A4954"/>
  <c r="A4955"/>
  <c r="A4956"/>
  <c r="A4957"/>
  <c r="A4958"/>
  <c r="A4959"/>
  <c r="A4960"/>
  <c r="A4961"/>
  <c r="A4962"/>
  <c r="A4963"/>
  <c r="A4964"/>
  <c r="A4965"/>
  <c r="A4966"/>
  <c r="A4967"/>
  <c r="A4968"/>
  <c r="A4969"/>
  <c r="A4970"/>
  <c r="A4971"/>
  <c r="A4972"/>
  <c r="A4973"/>
  <c r="A4974"/>
  <c r="A4975"/>
  <c r="A4976"/>
  <c r="A4977"/>
  <c r="A4978"/>
  <c r="A4979"/>
  <c r="A4980"/>
  <c r="A4981"/>
  <c r="A4982"/>
  <c r="A4983"/>
  <c r="A4984"/>
  <c r="A4985"/>
  <c r="A4986"/>
  <c r="A4987"/>
  <c r="A4988"/>
  <c r="A4989"/>
  <c r="A4990"/>
  <c r="A4991"/>
  <c r="A4992"/>
  <c r="A4993"/>
  <c r="A4994"/>
  <c r="A4995"/>
  <c r="A4996"/>
  <c r="A4997"/>
  <c r="A4998"/>
  <c r="A4999"/>
  <c r="A5000"/>
  <c r="A5001"/>
  <c r="A5002"/>
  <c r="A5003"/>
  <c r="A5004"/>
  <c r="A5005"/>
  <c r="A5006"/>
  <c r="A5007"/>
  <c r="A5008"/>
  <c r="A5009"/>
  <c r="A5010"/>
  <c r="A5011"/>
  <c r="A5012"/>
  <c r="A5013"/>
  <c r="A5014"/>
  <c r="A5015"/>
  <c r="A5016"/>
  <c r="A5017"/>
  <c r="A5018"/>
  <c r="A5019"/>
  <c r="A5020"/>
  <c r="A5021"/>
  <c r="A5022"/>
  <c r="A5023"/>
  <c r="A5024"/>
  <c r="A5025"/>
  <c r="A5026"/>
  <c r="A5027"/>
  <c r="A5028"/>
  <c r="A5029"/>
  <c r="A5030"/>
  <c r="A5031"/>
  <c r="A5032"/>
  <c r="A5033"/>
  <c r="A5034"/>
  <c r="A5035"/>
  <c r="A5036"/>
  <c r="A5037"/>
  <c r="A5038"/>
  <c r="A5039"/>
  <c r="A5040"/>
  <c r="A5041"/>
  <c r="A5042"/>
  <c r="A5043"/>
  <c r="A5044"/>
  <c r="A5045"/>
  <c r="A5046"/>
  <c r="A5047"/>
  <c r="A5048"/>
  <c r="A5049"/>
  <c r="A5050"/>
  <c r="A5051"/>
  <c r="A5052"/>
  <c r="A5053"/>
  <c r="A5054"/>
  <c r="A5055"/>
  <c r="A5056"/>
  <c r="A5057"/>
  <c r="A5058"/>
  <c r="A5059"/>
  <c r="A5060"/>
  <c r="A5061"/>
  <c r="A5062"/>
  <c r="A5063"/>
  <c r="A5064"/>
  <c r="A5065"/>
  <c r="A5066"/>
  <c r="A5067"/>
  <c r="A5068"/>
  <c r="A5069"/>
  <c r="A5070"/>
  <c r="A5071"/>
  <c r="A5072"/>
  <c r="A5073"/>
  <c r="A5074"/>
  <c r="A5075"/>
  <c r="A5076"/>
  <c r="A5077"/>
  <c r="A5078"/>
  <c r="A5079"/>
  <c r="A5080"/>
  <c r="A5081"/>
  <c r="A5082"/>
  <c r="A5083"/>
  <c r="A5084"/>
  <c r="A5085"/>
  <c r="A5086"/>
  <c r="A5087"/>
  <c r="A5088"/>
  <c r="A5089"/>
  <c r="A5090"/>
  <c r="A5091"/>
  <c r="A5092"/>
  <c r="A5093"/>
  <c r="A5094"/>
  <c r="A5095"/>
  <c r="A5096"/>
  <c r="A5097"/>
  <c r="A5098"/>
  <c r="A5099"/>
  <c r="A5100"/>
  <c r="A5101"/>
  <c r="A5102"/>
  <c r="A5103"/>
  <c r="A5104"/>
  <c r="A5105"/>
  <c r="A5106"/>
  <c r="A5107"/>
  <c r="A5108"/>
  <c r="A5109"/>
  <c r="A5110"/>
  <c r="A5111"/>
  <c r="A5112"/>
  <c r="A5113"/>
  <c r="A5114"/>
  <c r="A5115"/>
  <c r="A5116"/>
  <c r="A5117"/>
  <c r="A5118"/>
  <c r="A5119"/>
  <c r="A5120"/>
  <c r="A5121"/>
  <c r="A5122"/>
  <c r="A5123"/>
  <c r="A5124"/>
  <c r="A5125"/>
  <c r="A5126"/>
  <c r="A5127"/>
  <c r="A5128"/>
  <c r="A5129"/>
  <c r="A5130"/>
  <c r="A5131"/>
  <c r="A5132"/>
  <c r="A5133"/>
  <c r="A5134"/>
  <c r="A5135"/>
  <c r="A5136"/>
  <c r="A5137"/>
  <c r="A5138"/>
  <c r="A5139"/>
  <c r="A5140"/>
  <c r="A5141"/>
  <c r="A5142"/>
  <c r="A5143"/>
  <c r="A5144"/>
  <c r="A5145"/>
  <c r="A5146"/>
  <c r="A5147"/>
  <c r="A5148"/>
  <c r="A5149"/>
  <c r="A5150"/>
  <c r="A5151"/>
  <c r="A5152"/>
  <c r="A5153"/>
  <c r="A5154"/>
  <c r="A5155"/>
  <c r="A5156"/>
  <c r="A5157"/>
  <c r="A5158"/>
  <c r="A5159"/>
  <c r="A5160"/>
  <c r="A5161"/>
  <c r="A5162"/>
  <c r="A5163"/>
  <c r="A5164"/>
  <c r="A5165"/>
  <c r="A5166"/>
  <c r="A5167"/>
  <c r="A5168"/>
  <c r="A5169"/>
  <c r="A5170"/>
  <c r="A5171"/>
  <c r="A5172"/>
  <c r="A5173"/>
  <c r="A5174"/>
  <c r="A5175"/>
  <c r="A5176"/>
  <c r="A5177"/>
  <c r="A5178"/>
  <c r="A5179"/>
  <c r="A5180"/>
  <c r="A5181"/>
  <c r="A5182"/>
  <c r="A5183"/>
  <c r="A5184"/>
  <c r="A5185"/>
  <c r="A5186"/>
  <c r="A5187"/>
  <c r="A5188"/>
  <c r="A5189"/>
  <c r="A5190"/>
  <c r="A5191"/>
  <c r="A5192"/>
  <c r="A5193"/>
  <c r="A5194"/>
  <c r="A5195"/>
  <c r="A5196"/>
  <c r="A5197"/>
  <c r="A5198"/>
  <c r="A5199"/>
  <c r="A5200"/>
  <c r="A5201"/>
  <c r="A5202"/>
  <c r="A5203"/>
  <c r="A5204"/>
  <c r="A5205"/>
  <c r="A5206"/>
  <c r="A5207"/>
  <c r="A5208"/>
  <c r="A5209"/>
  <c r="A5210"/>
  <c r="A5211"/>
  <c r="A5212"/>
  <c r="A5213"/>
  <c r="A5214"/>
  <c r="A5215"/>
  <c r="A5216"/>
  <c r="A5217"/>
  <c r="A5218"/>
  <c r="A5219"/>
  <c r="A5220"/>
  <c r="A5221"/>
  <c r="A5222"/>
  <c r="A5223"/>
  <c r="A5224"/>
  <c r="A5225"/>
  <c r="A5226"/>
  <c r="A5227"/>
  <c r="A5228"/>
  <c r="A5229"/>
  <c r="A5230"/>
  <c r="A5231"/>
  <c r="A5232"/>
  <c r="A5233"/>
  <c r="A5234"/>
  <c r="A5235"/>
  <c r="A5236"/>
  <c r="A5237"/>
  <c r="A5238"/>
  <c r="A5239"/>
  <c r="A5240"/>
  <c r="A5241"/>
  <c r="A5242"/>
  <c r="A5243"/>
  <c r="A5244"/>
  <c r="A5245"/>
  <c r="A5246"/>
  <c r="A5247"/>
  <c r="A5248"/>
  <c r="A5249"/>
  <c r="A5250"/>
  <c r="A5251"/>
  <c r="A5252"/>
  <c r="A5253"/>
  <c r="A5254"/>
  <c r="A5255"/>
  <c r="A5256"/>
  <c r="A5257"/>
  <c r="A5258"/>
  <c r="A5259"/>
  <c r="A5260"/>
  <c r="A5261"/>
  <c r="A5262"/>
  <c r="A5263"/>
  <c r="A5264"/>
  <c r="A5265"/>
  <c r="A5266"/>
  <c r="A5267"/>
  <c r="A5268"/>
  <c r="A5269"/>
  <c r="A5270"/>
  <c r="A5271"/>
  <c r="A5272"/>
  <c r="A5273"/>
  <c r="A5274"/>
  <c r="A5275"/>
  <c r="A5276"/>
  <c r="A5277"/>
  <c r="A5278"/>
  <c r="A5279"/>
  <c r="A5280"/>
  <c r="A5281"/>
  <c r="A5282"/>
  <c r="A5283"/>
  <c r="A5284"/>
  <c r="A5285"/>
  <c r="A5286"/>
  <c r="A5287"/>
  <c r="A5288"/>
  <c r="A5289"/>
  <c r="A5290"/>
  <c r="A5291"/>
  <c r="A5292"/>
  <c r="A5293"/>
  <c r="A5294"/>
  <c r="A5295"/>
  <c r="A5296"/>
  <c r="A5297"/>
  <c r="A5298"/>
  <c r="A5299"/>
  <c r="A5300"/>
  <c r="A5301"/>
  <c r="A5302"/>
  <c r="A5303"/>
  <c r="A5304"/>
  <c r="A5305"/>
  <c r="A5306"/>
  <c r="A5307"/>
  <c r="A5308"/>
  <c r="A5309"/>
  <c r="A5310"/>
  <c r="A5311"/>
  <c r="A5312"/>
  <c r="A5313"/>
  <c r="A5314"/>
  <c r="A5315"/>
  <c r="A5316"/>
  <c r="A5317"/>
  <c r="A5318"/>
  <c r="A5319"/>
  <c r="A5320"/>
  <c r="A5321"/>
  <c r="A5322"/>
  <c r="A5323"/>
  <c r="A5324"/>
  <c r="A5325"/>
  <c r="A5326"/>
  <c r="A5327"/>
  <c r="A5328"/>
  <c r="A5329"/>
  <c r="A5330"/>
  <c r="A5331"/>
  <c r="A5332"/>
  <c r="A5333"/>
  <c r="A5334"/>
  <c r="A5335"/>
  <c r="A5336"/>
  <c r="A5337"/>
  <c r="A5338"/>
  <c r="A5339"/>
  <c r="A5340"/>
  <c r="A5341"/>
  <c r="A5342"/>
  <c r="A5343"/>
  <c r="A5344"/>
  <c r="A5345"/>
  <c r="A5346"/>
  <c r="A5347"/>
  <c r="A5348"/>
  <c r="A5349"/>
  <c r="A5350"/>
  <c r="A5351"/>
  <c r="A5352"/>
  <c r="A5353"/>
  <c r="A5354"/>
  <c r="A5355"/>
  <c r="A5356"/>
  <c r="A5357"/>
  <c r="A5358"/>
  <c r="A5359"/>
  <c r="A5360"/>
  <c r="A5361"/>
  <c r="A5362"/>
  <c r="A5363"/>
  <c r="A5364"/>
  <c r="A5365"/>
  <c r="A5366"/>
  <c r="A5367"/>
  <c r="A5368"/>
  <c r="A5369"/>
  <c r="A5370"/>
  <c r="A5371"/>
  <c r="A5372"/>
  <c r="A5373"/>
  <c r="A5374"/>
  <c r="A5375"/>
  <c r="A5376"/>
  <c r="A5377"/>
  <c r="A5378"/>
  <c r="A5379"/>
  <c r="A5380"/>
  <c r="A5381"/>
  <c r="A5382"/>
  <c r="A5383"/>
  <c r="A5384"/>
  <c r="A5385"/>
  <c r="A5386"/>
  <c r="A5387"/>
  <c r="A5388"/>
  <c r="A5389"/>
  <c r="A5390"/>
  <c r="A5391"/>
  <c r="A5392"/>
  <c r="A5393"/>
  <c r="A5394"/>
  <c r="A5395"/>
  <c r="A5396"/>
  <c r="A5397"/>
  <c r="A5398"/>
  <c r="A5399"/>
  <c r="A5400"/>
  <c r="A5401"/>
  <c r="A5402"/>
  <c r="A5403"/>
  <c r="A5404"/>
  <c r="A5405"/>
  <c r="A5406"/>
  <c r="A5407"/>
  <c r="A5408"/>
  <c r="A5409"/>
  <c r="A5410"/>
  <c r="A5411"/>
  <c r="A5412"/>
  <c r="A5413"/>
  <c r="A5414"/>
  <c r="A5415"/>
  <c r="A5416"/>
  <c r="A5417"/>
  <c r="A5418"/>
  <c r="A5419"/>
  <c r="A5420"/>
  <c r="A5421"/>
  <c r="A5422"/>
  <c r="A5423"/>
  <c r="A5424"/>
  <c r="A5425"/>
  <c r="A5426"/>
  <c r="A5427"/>
  <c r="A5428"/>
  <c r="A5429"/>
  <c r="A5430"/>
  <c r="A5431"/>
  <c r="A5432"/>
  <c r="A5433"/>
  <c r="A5434"/>
  <c r="A5435"/>
  <c r="A5436"/>
  <c r="A5437"/>
  <c r="A5438"/>
  <c r="A5439"/>
  <c r="A5440"/>
  <c r="A5441"/>
  <c r="A5442"/>
  <c r="A5443"/>
  <c r="A5444"/>
  <c r="A5445"/>
  <c r="A5446"/>
  <c r="A5447"/>
  <c r="A5448"/>
  <c r="A5449"/>
  <c r="A5450"/>
  <c r="A5451"/>
  <c r="A5452"/>
  <c r="A5453"/>
  <c r="A5454"/>
  <c r="A5455"/>
  <c r="A5456"/>
  <c r="A5457"/>
  <c r="A5458"/>
  <c r="A5459"/>
  <c r="A5460"/>
  <c r="A5461"/>
  <c r="A5462"/>
  <c r="A5463"/>
  <c r="A5464"/>
  <c r="A5465"/>
  <c r="A5466"/>
  <c r="A5467"/>
  <c r="A5468"/>
  <c r="A5469"/>
  <c r="A5470"/>
  <c r="A5471"/>
  <c r="A5472"/>
  <c r="A5473"/>
  <c r="A5474"/>
  <c r="A5475"/>
  <c r="A5476"/>
  <c r="A5477"/>
  <c r="A5478"/>
  <c r="A5479"/>
  <c r="A5480"/>
  <c r="A5481"/>
  <c r="A5482"/>
  <c r="A5483"/>
  <c r="A5484"/>
  <c r="A5485"/>
  <c r="A5486"/>
  <c r="A5487"/>
  <c r="A5488"/>
  <c r="A5489"/>
  <c r="A5490"/>
  <c r="A5491"/>
  <c r="A5492"/>
  <c r="A5493"/>
  <c r="A5494"/>
  <c r="A5495"/>
  <c r="A5496"/>
  <c r="A5497"/>
  <c r="A5498"/>
  <c r="A5499"/>
  <c r="A5500"/>
  <c r="A5501"/>
  <c r="A5502"/>
  <c r="A5503"/>
  <c r="A5504"/>
  <c r="A5505"/>
  <c r="A5506"/>
  <c r="A5507"/>
  <c r="A5508"/>
  <c r="A5509"/>
  <c r="A5510"/>
  <c r="A5511"/>
  <c r="A5512"/>
  <c r="A5513"/>
  <c r="A5514"/>
  <c r="A5515"/>
  <c r="A5516"/>
  <c r="A5517"/>
  <c r="A5518"/>
  <c r="A5519"/>
  <c r="A5520"/>
  <c r="A5521"/>
  <c r="A5522"/>
  <c r="A5523"/>
  <c r="A5524"/>
  <c r="A5525"/>
  <c r="A5526"/>
  <c r="A5527"/>
  <c r="A5528"/>
  <c r="A5529"/>
  <c r="A5530"/>
  <c r="A5531"/>
  <c r="A5532"/>
  <c r="A5533"/>
  <c r="A5534"/>
  <c r="A5535"/>
  <c r="A5536"/>
  <c r="A5537"/>
  <c r="A5538"/>
  <c r="A5539"/>
  <c r="A5540"/>
  <c r="A5541"/>
  <c r="A5542"/>
  <c r="A5543"/>
  <c r="A5544"/>
  <c r="A5545"/>
  <c r="A5546"/>
  <c r="A5547"/>
  <c r="A5548"/>
  <c r="A5549"/>
  <c r="A5550"/>
  <c r="A5551"/>
  <c r="A5552"/>
  <c r="A5553"/>
  <c r="A5554"/>
  <c r="A5555"/>
  <c r="A5556"/>
  <c r="A5557"/>
  <c r="A5558"/>
  <c r="A5559"/>
  <c r="A5560"/>
  <c r="A5561"/>
  <c r="A5562"/>
  <c r="A5563"/>
  <c r="A5564"/>
  <c r="A5565"/>
  <c r="A5566"/>
  <c r="A5567"/>
  <c r="A5568"/>
  <c r="A5569"/>
  <c r="A5570"/>
  <c r="A5571"/>
  <c r="A5572"/>
  <c r="A5573"/>
  <c r="A5574"/>
  <c r="A5575"/>
  <c r="A5576"/>
  <c r="A5577"/>
  <c r="A5578"/>
  <c r="A5579"/>
  <c r="A5580"/>
  <c r="A5581"/>
  <c r="A5582"/>
  <c r="A5583"/>
  <c r="A5584"/>
  <c r="A5585"/>
  <c r="A5586"/>
  <c r="A5587"/>
  <c r="A5588"/>
  <c r="A5589"/>
  <c r="A5590"/>
  <c r="A5591"/>
  <c r="A5592"/>
  <c r="A5593"/>
  <c r="A5594"/>
  <c r="A5595"/>
  <c r="A5596"/>
  <c r="A5597"/>
  <c r="A5598"/>
  <c r="A5599"/>
  <c r="A5600"/>
  <c r="A5601"/>
  <c r="A5602"/>
  <c r="A5603"/>
  <c r="A5604"/>
  <c r="A5605"/>
  <c r="A5606"/>
  <c r="A5607"/>
  <c r="A5608"/>
  <c r="A5609"/>
  <c r="A5610"/>
  <c r="A5611"/>
  <c r="A5612"/>
  <c r="A5613"/>
  <c r="A5614"/>
  <c r="A5615"/>
  <c r="A5616"/>
  <c r="A5617"/>
  <c r="A5618"/>
  <c r="A5619"/>
  <c r="A5620"/>
  <c r="A5621"/>
  <c r="A5622"/>
  <c r="A5623"/>
  <c r="A5624"/>
  <c r="A5625"/>
  <c r="A5626"/>
  <c r="A5627"/>
  <c r="A5628"/>
  <c r="A5629"/>
  <c r="A5630"/>
  <c r="A5631"/>
  <c r="A5632"/>
  <c r="A5633"/>
  <c r="A5634"/>
  <c r="A5635"/>
  <c r="A5636"/>
  <c r="A5637"/>
  <c r="A5638"/>
  <c r="A5639"/>
  <c r="A5640"/>
  <c r="A5641"/>
  <c r="A5642"/>
  <c r="A5643"/>
  <c r="A5644"/>
  <c r="A5645"/>
  <c r="A5646"/>
  <c r="A5647"/>
  <c r="A5648"/>
  <c r="A5649"/>
  <c r="A5650"/>
  <c r="A5651"/>
  <c r="A5652"/>
  <c r="A5653"/>
  <c r="A5654"/>
  <c r="A5655"/>
  <c r="A5656"/>
  <c r="A5657"/>
  <c r="A5658"/>
  <c r="A5659"/>
  <c r="A5660"/>
  <c r="A5661"/>
  <c r="A5662"/>
  <c r="A5663"/>
  <c r="A5664"/>
  <c r="A5665"/>
  <c r="A5666"/>
  <c r="A5667"/>
  <c r="A5668"/>
  <c r="A5669"/>
  <c r="A5670"/>
  <c r="A5671"/>
  <c r="A5672"/>
  <c r="A5673"/>
  <c r="A5674"/>
  <c r="A5675"/>
  <c r="A5676"/>
  <c r="A5677"/>
  <c r="A5678"/>
  <c r="A5679"/>
  <c r="A5680"/>
  <c r="A5681"/>
  <c r="A5682"/>
  <c r="A5683"/>
  <c r="A5684"/>
  <c r="A5685"/>
  <c r="A5686"/>
  <c r="A5687"/>
  <c r="A5688"/>
  <c r="A5689"/>
  <c r="A5690"/>
  <c r="A5691"/>
  <c r="A5692"/>
  <c r="A5693"/>
  <c r="A5694"/>
  <c r="A5695"/>
  <c r="A5696"/>
  <c r="A5697"/>
  <c r="A5698"/>
  <c r="A5699"/>
  <c r="A5700"/>
  <c r="A5701"/>
  <c r="A5702"/>
  <c r="A5703"/>
  <c r="A5704"/>
  <c r="A5705"/>
  <c r="A5706"/>
  <c r="A5707"/>
  <c r="A5708"/>
  <c r="A5709"/>
  <c r="A5710"/>
  <c r="A5711"/>
  <c r="A5712"/>
  <c r="A5713"/>
  <c r="A5714"/>
  <c r="A5715"/>
  <c r="A5716"/>
  <c r="A5717"/>
  <c r="A5718"/>
  <c r="A5719"/>
  <c r="A5720"/>
  <c r="A5721"/>
  <c r="A5722"/>
  <c r="A5723"/>
  <c r="A5724"/>
  <c r="A5725"/>
  <c r="A5726"/>
  <c r="A5727"/>
  <c r="A5728"/>
  <c r="A5729"/>
  <c r="A5730"/>
  <c r="A5731"/>
  <c r="A5732"/>
  <c r="A5733"/>
  <c r="A5734"/>
  <c r="A5735"/>
  <c r="A5736"/>
  <c r="A5737"/>
  <c r="A5738"/>
  <c r="A5739"/>
  <c r="A5740"/>
  <c r="A5741"/>
  <c r="A5742"/>
  <c r="A5743"/>
  <c r="A5744"/>
  <c r="A5745"/>
  <c r="A5746"/>
  <c r="A5747"/>
  <c r="A5748"/>
  <c r="A5749"/>
  <c r="A5750"/>
  <c r="A5751"/>
  <c r="A5752"/>
  <c r="A5753"/>
  <c r="A5754"/>
  <c r="A5755"/>
  <c r="A5756"/>
  <c r="A5757"/>
  <c r="A5758"/>
  <c r="A5759"/>
  <c r="A5760"/>
  <c r="A5761"/>
  <c r="A5762"/>
  <c r="A5763"/>
  <c r="A5764"/>
  <c r="A5765"/>
  <c r="A5766"/>
  <c r="A5767"/>
  <c r="A5768"/>
  <c r="A5769"/>
  <c r="A5770"/>
  <c r="A5771"/>
  <c r="A5772"/>
  <c r="A5773"/>
  <c r="A5774"/>
  <c r="A5775"/>
  <c r="A5776"/>
  <c r="A5777"/>
  <c r="A5778"/>
  <c r="A5779"/>
  <c r="A5780"/>
  <c r="A5781"/>
  <c r="A5782"/>
  <c r="A5783"/>
  <c r="A5784"/>
  <c r="A5785"/>
  <c r="A5786"/>
  <c r="A5787"/>
  <c r="A5788"/>
  <c r="A5789"/>
  <c r="A5790"/>
  <c r="A5791"/>
  <c r="A5792"/>
  <c r="A5793"/>
  <c r="A5794"/>
  <c r="A5795"/>
  <c r="A5796"/>
  <c r="A5797"/>
  <c r="A5798"/>
  <c r="A5799"/>
  <c r="A5800"/>
  <c r="A5801"/>
  <c r="A5802"/>
  <c r="A5803"/>
  <c r="A5804"/>
  <c r="A5805"/>
  <c r="A5806"/>
  <c r="A5807"/>
  <c r="A5808"/>
  <c r="A5809"/>
  <c r="A5810"/>
  <c r="A5811"/>
  <c r="A5812"/>
  <c r="A5813"/>
  <c r="A5814"/>
  <c r="A5815"/>
  <c r="A5816"/>
  <c r="A5817"/>
  <c r="A5818"/>
  <c r="A5819"/>
  <c r="A5820"/>
  <c r="A5821"/>
  <c r="A5822"/>
  <c r="A5823"/>
  <c r="A5824"/>
  <c r="A5825"/>
  <c r="A5826"/>
  <c r="A5827"/>
  <c r="A5828"/>
  <c r="A5829"/>
  <c r="A5830"/>
  <c r="A5831"/>
  <c r="A5832"/>
  <c r="A5833"/>
  <c r="A5834"/>
  <c r="A5835"/>
  <c r="A5836"/>
  <c r="A5837"/>
  <c r="A5838"/>
  <c r="A5839"/>
  <c r="A5840"/>
  <c r="A5841"/>
  <c r="A5842"/>
  <c r="A5843"/>
  <c r="A5844"/>
  <c r="A5845"/>
  <c r="A5846"/>
  <c r="A5847"/>
  <c r="A5848"/>
  <c r="A5849"/>
  <c r="A5850"/>
  <c r="A5851"/>
  <c r="A5852"/>
  <c r="A5853"/>
  <c r="A5854"/>
  <c r="A5855"/>
  <c r="A5856"/>
  <c r="A5857"/>
  <c r="A5858"/>
  <c r="A5859"/>
  <c r="A5860"/>
  <c r="A5861"/>
  <c r="A5862"/>
  <c r="A5863"/>
  <c r="A5864"/>
  <c r="A5865"/>
  <c r="A5866"/>
  <c r="A5867"/>
  <c r="A5868"/>
  <c r="A5869"/>
  <c r="A5870"/>
  <c r="A5871"/>
  <c r="A5872"/>
  <c r="A5873"/>
  <c r="A5874"/>
  <c r="A5875"/>
  <c r="A5876"/>
  <c r="A5877"/>
  <c r="A5878"/>
  <c r="A5879"/>
  <c r="A5880"/>
  <c r="A5881"/>
  <c r="A5882"/>
  <c r="A5883"/>
  <c r="A5884"/>
  <c r="A5885"/>
  <c r="A5886"/>
  <c r="A5887"/>
  <c r="A5888"/>
  <c r="A5889"/>
  <c r="A5890"/>
  <c r="A5891"/>
  <c r="A5892"/>
  <c r="A5893"/>
  <c r="A5894"/>
  <c r="A5895"/>
  <c r="A5896"/>
  <c r="A5897"/>
  <c r="A5898"/>
  <c r="A5899"/>
  <c r="A5900"/>
  <c r="A5901"/>
  <c r="A5902"/>
  <c r="A5903"/>
  <c r="A5904"/>
  <c r="A5905"/>
  <c r="A5906"/>
  <c r="A5907"/>
  <c r="A5908"/>
  <c r="A5909"/>
  <c r="A5910"/>
  <c r="A5911"/>
  <c r="A5912"/>
  <c r="A5913"/>
  <c r="A5914"/>
  <c r="A5915"/>
  <c r="A5916"/>
  <c r="A5917"/>
  <c r="A5918"/>
  <c r="A5919"/>
  <c r="A5920"/>
  <c r="A5921"/>
  <c r="A5922"/>
  <c r="A5923"/>
  <c r="A5924"/>
  <c r="A5925"/>
  <c r="A5926"/>
  <c r="A5927"/>
  <c r="A5928"/>
  <c r="A5929"/>
  <c r="A5930"/>
  <c r="A5931"/>
  <c r="A5932"/>
  <c r="A5933"/>
  <c r="A5934"/>
  <c r="A5935"/>
  <c r="A5936"/>
  <c r="A5937"/>
  <c r="A5938"/>
  <c r="A5939"/>
  <c r="A5940"/>
  <c r="A5941"/>
  <c r="A5942"/>
  <c r="A5943"/>
  <c r="A5944"/>
  <c r="A5945"/>
  <c r="A5946"/>
  <c r="A5947"/>
  <c r="A5948"/>
  <c r="A5949"/>
  <c r="A5950"/>
  <c r="A5951"/>
  <c r="A5952"/>
  <c r="A5953"/>
  <c r="A5954"/>
  <c r="A5955"/>
  <c r="A5956"/>
  <c r="A5957"/>
  <c r="A5958"/>
  <c r="A5959"/>
  <c r="A5960"/>
  <c r="A5961"/>
  <c r="A5962"/>
  <c r="A5963"/>
  <c r="A5964"/>
  <c r="A5965"/>
  <c r="A5966"/>
  <c r="A5967"/>
  <c r="A5968"/>
  <c r="A5969"/>
  <c r="A5970"/>
  <c r="A5971"/>
  <c r="A5972"/>
  <c r="A5973"/>
  <c r="A5974"/>
  <c r="A5975"/>
  <c r="A5976"/>
  <c r="A5977"/>
  <c r="A5978"/>
  <c r="A5979"/>
  <c r="A5980"/>
  <c r="A5981"/>
  <c r="A5982"/>
  <c r="A5983"/>
  <c r="A5984"/>
  <c r="A5985"/>
  <c r="A5986"/>
  <c r="A5987"/>
  <c r="A5988"/>
  <c r="A5989"/>
  <c r="A5990"/>
  <c r="A5991"/>
  <c r="A5992"/>
  <c r="A5993"/>
  <c r="A5994"/>
  <c r="A5995"/>
  <c r="A5996"/>
  <c r="A5997"/>
  <c r="A5998"/>
  <c r="A5999"/>
  <c r="A6000"/>
  <c r="A6001"/>
  <c r="A6002"/>
  <c r="A6003"/>
  <c r="A6004"/>
  <c r="A6005"/>
  <c r="A6006"/>
  <c r="A6007"/>
  <c r="A6008"/>
  <c r="A6009"/>
  <c r="A6010"/>
  <c r="A6011"/>
  <c r="A6012"/>
  <c r="A6013"/>
  <c r="A6014"/>
  <c r="A6015"/>
  <c r="A6016"/>
  <c r="A6017"/>
  <c r="A6018"/>
  <c r="A6019"/>
  <c r="A6020"/>
  <c r="A6021"/>
  <c r="A6022"/>
  <c r="A6023"/>
  <c r="A6024"/>
  <c r="A6025"/>
  <c r="A6026"/>
  <c r="A6027"/>
  <c r="A6028"/>
  <c r="A6029"/>
  <c r="A6030"/>
  <c r="A6031"/>
  <c r="A6032"/>
  <c r="A6033"/>
  <c r="A6034"/>
  <c r="A6035"/>
  <c r="A6036"/>
  <c r="A6037"/>
  <c r="A6038"/>
  <c r="A6039"/>
  <c r="A6040"/>
  <c r="A6041"/>
  <c r="A6042"/>
  <c r="A6043"/>
  <c r="A6044"/>
  <c r="A6045"/>
  <c r="A6046"/>
  <c r="A6047"/>
  <c r="A6048"/>
  <c r="A6049"/>
  <c r="A6050"/>
  <c r="A6051"/>
  <c r="A6052"/>
  <c r="A6053"/>
  <c r="A6054"/>
  <c r="A6055"/>
  <c r="A6056"/>
  <c r="A6057"/>
  <c r="A6058"/>
  <c r="A6059"/>
  <c r="A6060"/>
  <c r="A6061"/>
  <c r="A6062"/>
  <c r="A6063"/>
  <c r="A6064"/>
  <c r="A6065"/>
  <c r="A6066"/>
  <c r="A6067"/>
  <c r="A6068"/>
  <c r="A6069"/>
  <c r="A6070"/>
  <c r="A6071"/>
  <c r="A6072"/>
  <c r="A6073"/>
  <c r="A6074"/>
  <c r="A6075"/>
  <c r="A6076"/>
  <c r="A6077"/>
  <c r="A6078"/>
  <c r="A6079"/>
  <c r="A6080"/>
  <c r="A6081"/>
  <c r="A6082"/>
  <c r="A6083"/>
  <c r="A6084"/>
  <c r="A6085"/>
  <c r="A6086"/>
  <c r="A6087"/>
  <c r="A6088"/>
  <c r="A6089"/>
  <c r="A6090"/>
  <c r="A6091"/>
  <c r="A6092"/>
  <c r="A6093"/>
  <c r="A6094"/>
  <c r="A6095"/>
  <c r="A6096"/>
  <c r="A6097"/>
  <c r="A6098"/>
  <c r="A6099"/>
  <c r="A6100"/>
  <c r="A6101"/>
  <c r="A6102"/>
  <c r="A6103"/>
  <c r="A6104"/>
  <c r="A6105"/>
  <c r="A6106"/>
  <c r="A6107"/>
  <c r="A6108"/>
  <c r="A6109"/>
  <c r="A6110"/>
  <c r="A6111"/>
  <c r="A6112"/>
  <c r="A6113"/>
  <c r="A6114"/>
  <c r="A6115"/>
  <c r="A6116"/>
  <c r="A6117"/>
  <c r="A6118"/>
  <c r="A6119"/>
  <c r="A6120"/>
  <c r="A6121"/>
  <c r="A6122"/>
  <c r="A6123"/>
  <c r="A6124"/>
  <c r="A6125"/>
  <c r="A6126"/>
  <c r="A6127"/>
  <c r="A6128"/>
  <c r="A6129"/>
  <c r="A6130"/>
  <c r="A6131"/>
  <c r="A6132"/>
  <c r="A6133"/>
  <c r="A6134"/>
  <c r="A6135"/>
  <c r="A6136"/>
  <c r="A6137"/>
  <c r="A6138"/>
  <c r="A6139"/>
  <c r="A6140"/>
  <c r="A6141"/>
  <c r="A6142"/>
  <c r="A6143"/>
  <c r="A6144"/>
  <c r="A6145"/>
  <c r="A6146"/>
  <c r="A6147"/>
  <c r="A6148"/>
  <c r="A6149"/>
  <c r="A6150"/>
  <c r="A6151"/>
  <c r="A6152"/>
  <c r="A6153"/>
  <c r="A6154"/>
  <c r="A6155"/>
  <c r="A6156"/>
  <c r="A6157"/>
  <c r="A6158"/>
  <c r="A6159"/>
  <c r="A6160"/>
  <c r="A6161"/>
  <c r="A6162"/>
  <c r="A6163"/>
  <c r="A6164"/>
  <c r="A6165"/>
  <c r="A6166"/>
  <c r="A6167"/>
  <c r="A6168"/>
  <c r="A6169"/>
  <c r="A6170"/>
  <c r="A6171"/>
  <c r="A6172"/>
  <c r="A6173"/>
  <c r="A6174"/>
  <c r="A6175"/>
  <c r="A6176"/>
  <c r="A6177"/>
  <c r="A6178"/>
  <c r="A6179"/>
  <c r="A6180"/>
  <c r="A6181"/>
  <c r="A6182"/>
  <c r="A6183"/>
  <c r="A6184"/>
  <c r="A6185"/>
  <c r="A6186"/>
  <c r="A6187"/>
  <c r="A6188"/>
  <c r="A6189"/>
  <c r="A6190"/>
  <c r="A6191"/>
  <c r="A6192"/>
  <c r="A6193"/>
  <c r="A6194"/>
  <c r="A6195"/>
  <c r="A6196"/>
  <c r="A6197"/>
  <c r="A6198"/>
  <c r="A6199"/>
  <c r="A6200"/>
  <c r="A6201"/>
  <c r="A6202"/>
  <c r="A6203"/>
  <c r="A6204"/>
  <c r="A6205"/>
  <c r="A6206"/>
  <c r="A6207"/>
  <c r="A6208"/>
  <c r="A6209"/>
  <c r="A6210"/>
  <c r="A6211"/>
  <c r="A6212"/>
  <c r="A6213"/>
  <c r="A6214"/>
  <c r="A6215"/>
  <c r="A6216"/>
  <c r="A6217"/>
  <c r="A6218"/>
  <c r="A6219"/>
  <c r="A6220"/>
  <c r="A6221"/>
  <c r="A6222"/>
  <c r="A6223"/>
  <c r="A6224"/>
  <c r="A6225"/>
  <c r="A6226"/>
  <c r="A6227"/>
  <c r="A6228"/>
  <c r="A6229"/>
  <c r="A6230"/>
  <c r="A6231"/>
  <c r="A6232"/>
  <c r="A6233"/>
  <c r="A6234"/>
  <c r="A6235"/>
  <c r="A6236"/>
  <c r="A6237"/>
  <c r="A6238"/>
  <c r="A6239"/>
  <c r="A6240"/>
  <c r="A6241"/>
  <c r="A6242"/>
  <c r="A6243"/>
  <c r="A6244"/>
  <c r="A6245"/>
  <c r="A6246"/>
  <c r="A6247"/>
  <c r="A6248"/>
  <c r="A6249"/>
  <c r="A6250"/>
  <c r="A6251"/>
  <c r="A6252"/>
  <c r="A6253"/>
  <c r="A6254"/>
  <c r="A6255"/>
  <c r="A6256"/>
  <c r="A6257"/>
  <c r="A6258"/>
  <c r="A6259"/>
  <c r="A6260"/>
  <c r="A6261"/>
  <c r="A6262"/>
  <c r="A6263"/>
  <c r="A6264"/>
  <c r="A6265"/>
  <c r="A6266"/>
  <c r="A6267"/>
  <c r="A6268"/>
  <c r="A6269"/>
  <c r="A6270"/>
  <c r="A6271"/>
  <c r="A6272"/>
  <c r="A6273"/>
  <c r="A6274"/>
  <c r="A6275"/>
  <c r="A6276"/>
  <c r="A6277"/>
  <c r="A6278"/>
  <c r="A6279"/>
  <c r="A6280"/>
  <c r="A6281"/>
  <c r="A6282"/>
  <c r="A6283"/>
  <c r="A6284"/>
  <c r="A6285"/>
  <c r="A6286"/>
  <c r="A6287"/>
  <c r="A6288"/>
  <c r="A6289"/>
  <c r="A6290"/>
  <c r="A6291"/>
  <c r="A6292"/>
  <c r="A6293"/>
  <c r="A6294"/>
  <c r="A6295"/>
  <c r="A6296"/>
  <c r="A6297"/>
  <c r="A6298"/>
  <c r="A6299"/>
  <c r="A6300"/>
  <c r="A6301"/>
  <c r="A6302"/>
  <c r="A6303"/>
  <c r="A6304"/>
  <c r="A6305"/>
  <c r="A6306"/>
  <c r="A6307"/>
  <c r="A6308"/>
  <c r="A6309"/>
  <c r="A6310"/>
  <c r="A6311"/>
  <c r="A6312"/>
  <c r="A6313"/>
  <c r="A6314"/>
  <c r="A6315"/>
  <c r="A6316"/>
  <c r="A6317"/>
  <c r="A6318"/>
  <c r="A6319"/>
  <c r="A6320"/>
  <c r="A6321"/>
  <c r="A6322"/>
  <c r="A6323"/>
  <c r="A6324"/>
  <c r="A6325"/>
  <c r="A6326"/>
  <c r="A6327"/>
  <c r="A6328"/>
  <c r="A6329"/>
  <c r="A6330"/>
  <c r="A6331"/>
  <c r="A6332"/>
  <c r="A6333"/>
  <c r="A6334"/>
  <c r="A6335"/>
  <c r="A6336"/>
  <c r="A6337"/>
  <c r="A6338"/>
  <c r="A6339"/>
  <c r="A6340"/>
  <c r="A6341"/>
  <c r="A6342"/>
  <c r="A6343"/>
  <c r="A6344"/>
  <c r="A6345"/>
  <c r="A6346"/>
  <c r="A6347"/>
  <c r="A6348"/>
  <c r="A6349"/>
  <c r="A6350"/>
  <c r="A6351"/>
  <c r="A6352"/>
  <c r="A6353"/>
  <c r="A6354"/>
  <c r="A6355"/>
  <c r="A6356"/>
  <c r="A6357"/>
  <c r="A6358"/>
  <c r="A6359"/>
  <c r="A6360"/>
  <c r="A6361"/>
  <c r="A6362"/>
  <c r="A6363"/>
  <c r="A6364"/>
  <c r="A6365"/>
  <c r="A6366"/>
  <c r="A6367"/>
  <c r="A6368"/>
  <c r="A6369"/>
  <c r="A6370"/>
  <c r="A6371"/>
  <c r="A6372"/>
  <c r="A6373"/>
  <c r="A6374"/>
  <c r="A6375"/>
  <c r="A6376"/>
  <c r="A6377"/>
  <c r="A6378"/>
  <c r="A6379"/>
  <c r="A6380"/>
  <c r="A6381"/>
  <c r="A6382"/>
  <c r="A6383"/>
  <c r="A6384"/>
  <c r="A6385"/>
  <c r="A6386"/>
  <c r="A6387"/>
  <c r="A6388"/>
  <c r="A6389"/>
  <c r="A6390"/>
  <c r="A6391"/>
  <c r="A6392"/>
  <c r="A6393"/>
  <c r="A6394"/>
  <c r="A6395"/>
  <c r="A6396"/>
  <c r="A6397"/>
  <c r="A6398"/>
  <c r="A6399"/>
  <c r="A6400"/>
  <c r="A6401"/>
  <c r="A6402"/>
  <c r="A6403"/>
  <c r="A6404"/>
  <c r="A6405"/>
  <c r="A6406"/>
  <c r="A6407"/>
  <c r="A6408"/>
  <c r="A6409"/>
  <c r="A6410"/>
  <c r="A6411"/>
  <c r="A6412"/>
  <c r="A6413"/>
  <c r="A6414"/>
  <c r="A6415"/>
  <c r="A6416"/>
  <c r="A6417"/>
  <c r="A6418"/>
  <c r="A6419"/>
  <c r="A6420"/>
  <c r="A6421"/>
  <c r="A6422"/>
  <c r="A6423"/>
  <c r="A6424"/>
  <c r="A6425"/>
  <c r="A6426"/>
  <c r="A6427"/>
  <c r="A6428"/>
  <c r="A6429"/>
  <c r="A6430"/>
  <c r="A6431"/>
  <c r="A6432"/>
  <c r="A6433"/>
  <c r="A6434"/>
  <c r="A6435"/>
  <c r="A6436"/>
  <c r="A6437"/>
  <c r="A6438"/>
  <c r="A6439"/>
  <c r="A6440"/>
  <c r="A6441"/>
  <c r="A6442"/>
  <c r="A6443"/>
  <c r="A6444"/>
  <c r="A6445"/>
  <c r="A6446"/>
  <c r="A6447"/>
  <c r="A6448"/>
  <c r="A6449"/>
  <c r="A6450"/>
  <c r="A6451"/>
  <c r="A6452"/>
  <c r="A6453"/>
  <c r="A6454"/>
  <c r="A6455"/>
  <c r="A6456"/>
  <c r="A6457"/>
  <c r="A6458"/>
  <c r="A6459"/>
  <c r="A6460"/>
  <c r="A6461"/>
  <c r="A6462"/>
  <c r="A6463"/>
  <c r="A6464"/>
  <c r="A6465"/>
  <c r="A6466"/>
  <c r="A6467"/>
  <c r="A6468"/>
  <c r="A6469"/>
  <c r="A6470"/>
  <c r="A6471"/>
  <c r="A6472"/>
  <c r="A6473"/>
  <c r="A6474"/>
  <c r="A6475"/>
  <c r="A6476"/>
  <c r="A6477"/>
  <c r="A6478"/>
  <c r="A6479"/>
  <c r="A6480"/>
  <c r="A6481"/>
  <c r="A6482"/>
  <c r="A6483"/>
  <c r="A6484"/>
  <c r="A6485"/>
  <c r="A6486"/>
  <c r="A6487"/>
  <c r="A6488"/>
  <c r="A6489"/>
  <c r="A6490"/>
  <c r="A6491"/>
  <c r="A6492"/>
  <c r="A6493"/>
  <c r="A6494"/>
  <c r="A6495"/>
  <c r="A6496"/>
  <c r="A6497"/>
  <c r="A6498"/>
  <c r="A6499"/>
  <c r="A6500"/>
  <c r="A6501"/>
  <c r="A6502"/>
  <c r="A6503"/>
  <c r="A6504"/>
  <c r="A6505"/>
  <c r="A6506"/>
  <c r="A6507"/>
  <c r="A6508"/>
  <c r="A6509"/>
  <c r="A6510"/>
  <c r="A6511"/>
  <c r="A6512"/>
  <c r="A6513"/>
  <c r="A6514"/>
  <c r="A6515"/>
  <c r="A6516"/>
  <c r="A6517"/>
  <c r="A6518"/>
  <c r="A6519"/>
  <c r="A6520"/>
  <c r="A6521"/>
  <c r="A6522"/>
  <c r="A6523"/>
  <c r="A6524"/>
  <c r="A6525"/>
  <c r="A6526"/>
  <c r="A6527"/>
  <c r="A6528"/>
  <c r="A6529"/>
  <c r="A6530"/>
  <c r="A6531"/>
  <c r="A6532"/>
  <c r="A6533"/>
  <c r="A6534"/>
  <c r="A6535"/>
  <c r="A6536"/>
  <c r="A6537"/>
  <c r="A6538"/>
  <c r="A6539"/>
  <c r="A6540"/>
  <c r="A6541"/>
  <c r="A6542"/>
  <c r="A6543"/>
  <c r="A6544"/>
  <c r="A6545"/>
  <c r="A6546"/>
  <c r="A6547"/>
  <c r="A6548"/>
  <c r="A6549"/>
  <c r="A6550"/>
  <c r="A6551"/>
  <c r="A6552"/>
  <c r="A6553"/>
  <c r="A6554"/>
  <c r="A6555"/>
  <c r="A6556"/>
  <c r="A6557"/>
  <c r="A6558"/>
  <c r="A6559"/>
  <c r="A6560"/>
  <c r="A6561"/>
  <c r="A6562"/>
  <c r="A6563"/>
  <c r="A6564"/>
  <c r="A6565"/>
  <c r="A6566"/>
  <c r="A6567"/>
  <c r="A6568"/>
  <c r="A6569"/>
  <c r="A6570"/>
  <c r="A6571"/>
  <c r="A6572"/>
  <c r="A6573"/>
  <c r="A6574"/>
  <c r="A6575"/>
  <c r="A6576"/>
  <c r="A6577"/>
  <c r="A6578"/>
  <c r="A6579"/>
  <c r="A6580"/>
  <c r="A6581"/>
  <c r="A6582"/>
  <c r="A6583"/>
  <c r="A6584"/>
  <c r="A6585"/>
  <c r="A6586"/>
  <c r="A6587"/>
  <c r="A6588"/>
  <c r="A6589"/>
  <c r="A6590"/>
  <c r="A6591"/>
  <c r="A6592"/>
  <c r="A6593"/>
  <c r="A6594"/>
  <c r="A6595"/>
  <c r="A6596"/>
  <c r="A6597"/>
  <c r="A6598"/>
  <c r="A6599"/>
  <c r="A6600"/>
  <c r="A6601"/>
  <c r="A6602"/>
  <c r="A6603"/>
  <c r="A6604"/>
  <c r="A6605"/>
  <c r="A6606"/>
  <c r="A6607"/>
  <c r="A6608"/>
  <c r="A6609"/>
  <c r="A6610"/>
  <c r="A6611"/>
  <c r="A6612"/>
  <c r="A6613"/>
  <c r="A6614"/>
  <c r="A6615"/>
  <c r="A6616"/>
  <c r="A6617"/>
  <c r="A6618"/>
  <c r="A6619"/>
  <c r="A6620"/>
  <c r="A6621"/>
  <c r="A6622"/>
  <c r="A6623"/>
  <c r="A6624"/>
  <c r="A6625"/>
  <c r="A6626"/>
  <c r="A6627"/>
  <c r="A6628"/>
  <c r="A6629"/>
  <c r="A6630"/>
  <c r="A6631"/>
  <c r="A6632"/>
  <c r="A6633"/>
  <c r="A6634"/>
  <c r="A6635"/>
  <c r="A6636"/>
  <c r="A6637"/>
  <c r="A6638"/>
  <c r="A6639"/>
  <c r="A6640"/>
  <c r="A6641"/>
  <c r="A6642"/>
  <c r="A6643"/>
  <c r="A6644"/>
  <c r="A6645"/>
  <c r="A6646"/>
  <c r="A6647"/>
  <c r="A6648"/>
  <c r="A6649"/>
  <c r="A6650"/>
  <c r="A6651"/>
  <c r="A6652"/>
  <c r="A6653"/>
  <c r="A6654"/>
  <c r="A6655"/>
  <c r="A6656"/>
  <c r="A6657"/>
  <c r="A6658"/>
  <c r="A6659"/>
  <c r="A6660"/>
  <c r="A6661"/>
  <c r="A6662"/>
  <c r="A6663"/>
  <c r="A6664"/>
  <c r="A6665"/>
  <c r="A6666"/>
  <c r="A6667"/>
  <c r="A6668"/>
  <c r="A6669"/>
  <c r="A6670"/>
  <c r="A6671"/>
  <c r="A6672"/>
  <c r="A6673"/>
  <c r="A6674"/>
  <c r="A6675"/>
  <c r="A6676"/>
  <c r="A6677"/>
  <c r="A6678"/>
  <c r="A6679"/>
  <c r="A6680"/>
  <c r="A6681"/>
  <c r="A6682"/>
  <c r="A6683"/>
  <c r="A6684"/>
  <c r="A6685"/>
  <c r="A6686"/>
  <c r="A6687"/>
  <c r="A6688"/>
  <c r="A6689"/>
  <c r="A6690"/>
  <c r="A6691"/>
  <c r="A6692"/>
  <c r="A6693"/>
  <c r="A6694"/>
  <c r="A6695"/>
  <c r="A6696"/>
  <c r="A6697"/>
  <c r="A6698"/>
  <c r="A6699"/>
  <c r="A6700"/>
  <c r="A6701"/>
  <c r="A6702"/>
  <c r="A6703"/>
  <c r="A6704"/>
  <c r="A6705"/>
  <c r="A6706"/>
  <c r="A6707"/>
  <c r="A6708"/>
  <c r="A6709"/>
  <c r="A6710"/>
  <c r="A6711"/>
  <c r="A6712"/>
  <c r="A6713"/>
  <c r="A6714"/>
  <c r="A6715"/>
  <c r="A6716"/>
  <c r="A6717"/>
  <c r="A6718"/>
  <c r="A6719"/>
  <c r="A6720"/>
  <c r="A6721"/>
  <c r="A6722"/>
  <c r="A6723"/>
  <c r="A6724"/>
  <c r="A6725"/>
  <c r="A6726"/>
  <c r="A6727"/>
  <c r="A6728"/>
  <c r="A6729"/>
  <c r="A6730"/>
  <c r="A6731"/>
  <c r="A6732"/>
  <c r="A6733"/>
  <c r="A6734"/>
  <c r="A6735"/>
  <c r="A6736"/>
  <c r="A6737"/>
  <c r="A6738"/>
  <c r="A6739"/>
  <c r="A6740"/>
  <c r="A6741"/>
  <c r="A6742"/>
  <c r="A6743"/>
  <c r="A6744"/>
  <c r="A6745"/>
  <c r="A6746"/>
  <c r="A6747"/>
  <c r="A6748"/>
  <c r="A6749"/>
  <c r="A6750"/>
  <c r="A6751"/>
  <c r="A6752"/>
  <c r="A6753"/>
  <c r="A6754"/>
  <c r="A6755"/>
  <c r="A6756"/>
  <c r="A6757"/>
  <c r="A6758"/>
  <c r="A6759"/>
  <c r="A6760"/>
  <c r="A6761"/>
  <c r="A6762"/>
  <c r="A6763"/>
  <c r="A6764"/>
  <c r="A6765"/>
  <c r="A6766"/>
  <c r="A6767"/>
  <c r="A6768"/>
  <c r="A6769"/>
  <c r="A6770"/>
  <c r="A6771"/>
  <c r="A6772"/>
  <c r="A6773"/>
  <c r="A6774"/>
  <c r="A6775"/>
  <c r="A6776"/>
  <c r="A6777"/>
  <c r="A6778"/>
  <c r="A6779"/>
  <c r="A6780"/>
  <c r="A6781"/>
  <c r="A6782"/>
  <c r="A6783"/>
  <c r="A6784"/>
  <c r="A6785"/>
  <c r="A6786"/>
  <c r="A6787"/>
  <c r="A6788"/>
  <c r="A6789"/>
  <c r="A6790"/>
  <c r="A6791"/>
  <c r="A6792"/>
  <c r="A6793"/>
  <c r="A6794"/>
  <c r="A6795"/>
  <c r="A6796"/>
  <c r="A6797"/>
  <c r="A6798"/>
  <c r="A6799"/>
  <c r="A6800"/>
  <c r="A6801"/>
  <c r="A6802"/>
  <c r="A6803"/>
  <c r="A6804"/>
  <c r="A6805"/>
  <c r="A6806"/>
  <c r="A6807"/>
  <c r="A6808"/>
  <c r="A6809"/>
  <c r="A6810"/>
  <c r="A6811"/>
  <c r="A6812"/>
  <c r="A6813"/>
  <c r="A6814"/>
  <c r="A6815"/>
  <c r="A6816"/>
  <c r="A6817"/>
  <c r="A6818"/>
  <c r="A6819"/>
  <c r="A6820"/>
  <c r="A6821"/>
  <c r="A6822"/>
  <c r="A6823"/>
  <c r="A6824"/>
  <c r="A6825"/>
  <c r="A6826"/>
  <c r="A6827"/>
  <c r="A6828"/>
  <c r="A6829"/>
  <c r="A6830"/>
  <c r="A6831"/>
  <c r="A6832"/>
  <c r="A6833"/>
  <c r="A6834"/>
  <c r="A6835"/>
  <c r="A6836"/>
  <c r="A6837"/>
  <c r="A6838"/>
  <c r="A6839"/>
  <c r="A6840"/>
  <c r="A6841"/>
  <c r="A6842"/>
  <c r="A6843"/>
  <c r="A6844"/>
  <c r="A6845"/>
  <c r="A6846"/>
  <c r="A6847"/>
  <c r="A6848"/>
  <c r="A6849"/>
  <c r="A6850"/>
  <c r="A6851"/>
  <c r="A6852"/>
  <c r="A6853"/>
  <c r="A6854"/>
  <c r="A6855"/>
  <c r="A6856"/>
  <c r="A6857"/>
  <c r="A6858"/>
  <c r="A6859"/>
  <c r="A6860"/>
  <c r="A6861"/>
  <c r="A6862"/>
  <c r="A6863"/>
  <c r="A6864"/>
  <c r="A6865"/>
  <c r="A6866"/>
  <c r="A6867"/>
  <c r="A6868"/>
  <c r="A6869"/>
  <c r="A6870"/>
  <c r="A6871"/>
  <c r="A6872"/>
  <c r="A6873"/>
  <c r="A6874"/>
  <c r="A6875"/>
  <c r="A6876"/>
  <c r="A6877"/>
  <c r="A6878"/>
  <c r="A6879"/>
  <c r="A6880"/>
  <c r="A6881"/>
  <c r="A6882"/>
  <c r="A6883"/>
  <c r="A6884"/>
  <c r="A6885"/>
  <c r="A6886"/>
  <c r="A6887"/>
  <c r="A6888"/>
  <c r="A6889"/>
  <c r="A6890"/>
  <c r="A6891"/>
  <c r="A6892"/>
  <c r="A6893"/>
  <c r="A6894"/>
  <c r="A6895"/>
  <c r="A6896"/>
  <c r="A6897"/>
  <c r="A6898"/>
  <c r="A6899"/>
  <c r="A6900"/>
  <c r="A6901"/>
  <c r="A6902"/>
  <c r="A6903"/>
  <c r="A6904"/>
  <c r="A6905"/>
  <c r="A6906"/>
  <c r="A6907"/>
  <c r="A6908"/>
  <c r="A6909"/>
  <c r="A6910"/>
  <c r="A6911"/>
  <c r="A6912"/>
  <c r="A6913"/>
  <c r="A6914"/>
  <c r="A6915"/>
  <c r="A6916"/>
  <c r="A6917"/>
  <c r="A6918"/>
  <c r="A6919"/>
  <c r="A6920"/>
  <c r="A6921"/>
  <c r="A6922"/>
  <c r="A6923"/>
  <c r="A6924"/>
  <c r="A6925"/>
  <c r="A6926"/>
  <c r="A6927"/>
  <c r="A6928"/>
  <c r="A6929"/>
  <c r="A6930"/>
  <c r="A6931"/>
  <c r="A6932"/>
  <c r="A6933"/>
  <c r="A6934"/>
  <c r="A6935"/>
  <c r="A6936"/>
  <c r="A6937"/>
  <c r="A6938"/>
  <c r="A6939"/>
  <c r="A6940"/>
  <c r="A6941"/>
  <c r="A6942"/>
  <c r="A6943"/>
  <c r="A6944"/>
  <c r="A6945"/>
  <c r="A6946"/>
  <c r="A6947"/>
  <c r="A6948"/>
  <c r="A6949"/>
  <c r="A6950"/>
  <c r="A6951"/>
  <c r="A6952"/>
  <c r="A6953"/>
  <c r="A6954"/>
  <c r="A6955"/>
  <c r="A6956"/>
  <c r="A6957"/>
  <c r="A6958"/>
  <c r="A6959"/>
  <c r="A6960"/>
  <c r="A6961"/>
  <c r="A6962"/>
  <c r="A6963"/>
  <c r="A6964"/>
  <c r="A6965"/>
  <c r="A6966"/>
  <c r="A6967"/>
  <c r="A6968"/>
  <c r="A6969"/>
  <c r="A6970"/>
  <c r="A6971"/>
  <c r="A6972"/>
  <c r="A6973"/>
  <c r="A6974"/>
  <c r="A6975"/>
  <c r="A6976"/>
  <c r="A6977"/>
  <c r="A6978"/>
  <c r="A6979"/>
  <c r="A6980"/>
  <c r="A6981"/>
  <c r="A6982"/>
  <c r="A6983"/>
  <c r="A6984"/>
  <c r="A6985"/>
  <c r="A6986"/>
  <c r="A6987"/>
  <c r="A6988"/>
  <c r="A6989"/>
  <c r="A6990"/>
  <c r="A6991"/>
  <c r="A6992"/>
  <c r="A6993"/>
  <c r="A6994"/>
  <c r="A6995"/>
  <c r="A6996"/>
  <c r="A6997"/>
  <c r="A6998"/>
  <c r="A6999"/>
  <c r="A7000"/>
  <c r="A7001"/>
  <c r="A7002"/>
  <c r="A7003"/>
  <c r="A7004"/>
  <c r="A7005"/>
  <c r="A7006"/>
  <c r="A7007"/>
  <c r="A7008"/>
  <c r="A7009"/>
  <c r="A7010"/>
  <c r="A7011"/>
  <c r="A7012"/>
  <c r="A7013"/>
  <c r="A7014"/>
  <c r="A7015"/>
  <c r="A7016"/>
  <c r="A7017"/>
  <c r="A7018"/>
  <c r="A7019"/>
  <c r="A7020"/>
  <c r="A7021"/>
  <c r="A7022"/>
  <c r="A7023"/>
  <c r="A7024"/>
  <c r="A7025"/>
  <c r="A7026"/>
  <c r="A7027"/>
  <c r="A7028"/>
  <c r="A7029"/>
  <c r="A7030"/>
  <c r="A7031"/>
  <c r="A7032"/>
  <c r="A7033"/>
  <c r="A7034"/>
  <c r="A7035"/>
  <c r="A7036"/>
  <c r="A7037"/>
  <c r="A7038"/>
  <c r="A7039"/>
  <c r="A7040"/>
  <c r="A7041"/>
  <c r="A7042"/>
  <c r="A7043"/>
  <c r="A7044"/>
  <c r="A7045"/>
  <c r="A7046"/>
  <c r="A7047"/>
  <c r="A7048"/>
  <c r="A7049"/>
  <c r="A7050"/>
  <c r="A7051"/>
  <c r="A7052"/>
  <c r="A7053"/>
  <c r="A7054"/>
  <c r="A7055"/>
  <c r="A7056"/>
  <c r="A7057"/>
  <c r="A7058"/>
  <c r="A7059"/>
  <c r="A7060"/>
  <c r="A7061"/>
  <c r="A7062"/>
  <c r="A7063"/>
  <c r="A7064"/>
  <c r="A7065"/>
  <c r="A7066"/>
  <c r="A7067"/>
  <c r="A7068"/>
  <c r="A7069"/>
  <c r="A7070"/>
  <c r="A7071"/>
  <c r="A7072"/>
  <c r="A7073"/>
  <c r="A7074"/>
  <c r="A7075"/>
  <c r="A7076"/>
  <c r="A7077"/>
  <c r="A7078"/>
  <c r="A7079"/>
  <c r="A7080"/>
  <c r="A7081"/>
  <c r="A7082"/>
  <c r="A7083"/>
  <c r="A7084"/>
  <c r="A7085"/>
  <c r="A7086"/>
  <c r="A7087"/>
  <c r="A7088"/>
  <c r="A7089"/>
  <c r="A7090"/>
  <c r="A7091"/>
  <c r="A7092"/>
  <c r="A7093"/>
  <c r="A7094"/>
  <c r="A7095"/>
  <c r="A7096"/>
  <c r="A7097"/>
  <c r="A7098"/>
  <c r="A7099"/>
  <c r="A7100"/>
  <c r="A7101"/>
  <c r="A7102"/>
  <c r="A7103"/>
  <c r="A7104"/>
  <c r="A7105"/>
  <c r="A7106"/>
  <c r="A7107"/>
  <c r="A7108"/>
  <c r="A7109"/>
  <c r="A7110"/>
  <c r="A7111"/>
  <c r="A7112"/>
  <c r="A7113"/>
  <c r="A7114"/>
  <c r="A7115"/>
  <c r="A7116"/>
  <c r="A7117"/>
  <c r="A7118"/>
  <c r="A7119"/>
  <c r="A7120"/>
  <c r="A7121"/>
  <c r="A7122"/>
  <c r="A7123"/>
  <c r="A7124"/>
  <c r="A7125"/>
  <c r="A7126"/>
  <c r="A7127"/>
  <c r="A7128"/>
  <c r="A7129"/>
  <c r="A7130"/>
  <c r="A7131"/>
  <c r="A7132"/>
  <c r="A7133"/>
  <c r="A7134"/>
  <c r="A7135"/>
  <c r="A7136"/>
  <c r="A7137"/>
  <c r="A7138"/>
  <c r="A7139"/>
  <c r="A7140"/>
  <c r="A7141"/>
  <c r="A7142"/>
  <c r="A7143"/>
  <c r="A7144"/>
  <c r="A7145"/>
  <c r="A7146"/>
  <c r="A7147"/>
  <c r="A7148"/>
  <c r="A7149"/>
  <c r="A7150"/>
  <c r="A7151"/>
  <c r="A7152"/>
  <c r="A7153"/>
  <c r="A7154"/>
  <c r="A7155"/>
  <c r="A7156"/>
  <c r="A7157"/>
  <c r="A7158"/>
  <c r="A7159"/>
  <c r="A7160"/>
  <c r="A7161"/>
  <c r="A7162"/>
  <c r="A7163"/>
  <c r="A7164"/>
  <c r="A7165"/>
  <c r="A7166"/>
  <c r="A7167"/>
  <c r="A7168"/>
  <c r="A7169"/>
  <c r="A7170"/>
  <c r="A7171"/>
  <c r="A7172"/>
  <c r="A7173"/>
  <c r="A7174"/>
  <c r="A7175"/>
  <c r="A7176"/>
  <c r="A7177"/>
  <c r="A7178"/>
  <c r="A7179"/>
  <c r="A7180"/>
  <c r="A7181"/>
  <c r="A7182"/>
  <c r="A7183"/>
  <c r="A7184"/>
  <c r="A7185"/>
  <c r="A7186"/>
  <c r="A7187"/>
  <c r="A7188"/>
  <c r="A7189"/>
  <c r="A7190"/>
  <c r="A7191"/>
  <c r="A7192"/>
  <c r="A7193"/>
  <c r="A7194"/>
  <c r="A7195"/>
  <c r="A7196"/>
  <c r="A7197"/>
  <c r="A7198"/>
  <c r="A7199"/>
  <c r="A7200"/>
  <c r="A7201"/>
  <c r="A7202"/>
  <c r="A7203"/>
  <c r="A7204"/>
  <c r="A7205"/>
  <c r="A7206"/>
  <c r="A7207"/>
  <c r="A7208"/>
  <c r="A7209"/>
  <c r="A7210"/>
  <c r="A7211"/>
  <c r="A7212"/>
  <c r="A7213"/>
  <c r="A7214"/>
  <c r="A7215"/>
  <c r="A7216"/>
  <c r="A7217"/>
  <c r="A7218"/>
  <c r="A7219"/>
  <c r="A7220"/>
  <c r="A7221"/>
  <c r="A7222"/>
  <c r="A7223"/>
  <c r="A7224"/>
  <c r="A7225"/>
  <c r="A7226"/>
  <c r="A7227"/>
  <c r="A7228"/>
  <c r="A7229"/>
  <c r="A7230"/>
  <c r="A7231"/>
  <c r="A7232"/>
  <c r="A7233"/>
  <c r="A7234"/>
  <c r="A7235"/>
  <c r="A7236"/>
  <c r="A7237"/>
  <c r="A7238"/>
  <c r="A7239"/>
  <c r="A7240"/>
  <c r="A7241"/>
  <c r="A7242"/>
  <c r="A7243"/>
  <c r="A7244"/>
  <c r="A7245"/>
  <c r="A7246"/>
  <c r="A7247"/>
  <c r="A7248"/>
  <c r="A7249"/>
  <c r="A7250"/>
  <c r="A7251"/>
  <c r="A7252"/>
  <c r="A7253"/>
  <c r="A7254"/>
  <c r="A7255"/>
  <c r="A7256"/>
  <c r="A7257"/>
  <c r="A7258"/>
  <c r="A7259"/>
  <c r="A7260"/>
  <c r="A7261"/>
  <c r="A7262"/>
  <c r="A7263"/>
  <c r="A7264"/>
  <c r="A7265"/>
  <c r="A7266"/>
  <c r="A7267"/>
  <c r="A7268"/>
  <c r="A7269"/>
  <c r="A7270"/>
  <c r="A7271"/>
  <c r="A7272"/>
  <c r="A7273"/>
  <c r="A7274"/>
  <c r="A7275"/>
  <c r="A7276"/>
  <c r="A7277"/>
  <c r="A7278"/>
  <c r="A7279"/>
  <c r="A7280"/>
  <c r="A7281"/>
  <c r="A7282"/>
  <c r="A7283"/>
  <c r="A7284"/>
  <c r="A7285"/>
  <c r="A7286"/>
  <c r="A7287"/>
  <c r="A7288"/>
  <c r="A7289"/>
  <c r="A7290"/>
  <c r="A7291"/>
  <c r="A7292"/>
  <c r="A7293"/>
  <c r="A7294"/>
  <c r="A7295"/>
  <c r="A7296"/>
  <c r="A7297"/>
  <c r="A7298"/>
  <c r="A7299"/>
  <c r="A7300"/>
  <c r="A7301"/>
  <c r="A7302"/>
  <c r="A7303"/>
  <c r="A7304"/>
  <c r="A7305"/>
  <c r="A7306"/>
  <c r="A7307"/>
  <c r="A7308"/>
  <c r="A7309"/>
  <c r="A7310"/>
  <c r="A7311"/>
  <c r="A7312"/>
  <c r="A7313"/>
  <c r="A7314"/>
  <c r="A7315"/>
  <c r="A7316"/>
  <c r="A7317"/>
  <c r="A7318"/>
  <c r="A7319"/>
  <c r="A7320"/>
  <c r="A7321"/>
  <c r="A7322"/>
  <c r="A7323"/>
  <c r="A7324"/>
  <c r="A7325"/>
  <c r="A7326"/>
  <c r="A7327"/>
  <c r="A7328"/>
  <c r="A7329"/>
  <c r="A7330"/>
  <c r="A7331"/>
  <c r="A7332"/>
  <c r="A7333"/>
  <c r="A7334"/>
  <c r="A7335"/>
  <c r="A7336"/>
  <c r="A7337"/>
  <c r="A7338"/>
  <c r="A7339"/>
  <c r="A7340"/>
  <c r="A7341"/>
  <c r="A7342"/>
  <c r="A7343"/>
  <c r="A7344"/>
  <c r="A7345"/>
  <c r="A7346"/>
  <c r="A7347"/>
  <c r="A7348"/>
  <c r="A7349"/>
  <c r="A7350"/>
  <c r="A7351"/>
  <c r="A7352"/>
  <c r="A7353"/>
  <c r="A7354"/>
  <c r="A7355"/>
  <c r="A7356"/>
  <c r="A7357"/>
  <c r="A7358"/>
  <c r="A7359"/>
  <c r="A7360"/>
  <c r="A7361"/>
  <c r="A7362"/>
  <c r="A7363"/>
  <c r="A7364"/>
  <c r="A7365"/>
  <c r="A7366"/>
  <c r="A7367"/>
  <c r="A7368"/>
  <c r="A7369"/>
  <c r="A7370"/>
  <c r="A7371"/>
  <c r="A7372"/>
  <c r="A7373"/>
  <c r="A7374"/>
  <c r="A7375"/>
  <c r="A7376"/>
  <c r="A7377"/>
  <c r="A7378"/>
  <c r="A7379"/>
  <c r="A7380"/>
  <c r="A7381"/>
  <c r="A7382"/>
  <c r="A7383"/>
  <c r="A7384"/>
  <c r="A7385"/>
  <c r="A7386"/>
  <c r="A7387"/>
  <c r="A7388"/>
  <c r="A7389"/>
  <c r="A7390"/>
  <c r="A7391"/>
  <c r="A7392"/>
  <c r="A7393"/>
  <c r="A7394"/>
  <c r="A7395"/>
  <c r="A7396"/>
  <c r="A7397"/>
  <c r="A7398"/>
  <c r="A7399"/>
  <c r="A7400"/>
  <c r="A7401"/>
  <c r="A7402"/>
  <c r="A7403"/>
  <c r="A7404"/>
  <c r="A7405"/>
  <c r="A7406"/>
  <c r="A7407"/>
  <c r="A7408"/>
  <c r="A7409"/>
  <c r="A7410"/>
  <c r="A7411"/>
  <c r="A7412"/>
  <c r="A7413"/>
  <c r="A7414"/>
  <c r="A7415"/>
  <c r="A7416"/>
  <c r="A7417"/>
  <c r="A7418"/>
  <c r="A7419"/>
  <c r="A7420"/>
  <c r="A7421"/>
  <c r="A7422"/>
  <c r="A7423"/>
  <c r="A7424"/>
  <c r="A7425"/>
  <c r="A7426"/>
  <c r="A7427"/>
  <c r="A7428"/>
  <c r="A7429"/>
  <c r="A7430"/>
  <c r="A7431"/>
  <c r="A7432"/>
  <c r="A7433"/>
  <c r="A7434"/>
  <c r="A7435"/>
  <c r="A7436"/>
  <c r="A7437"/>
  <c r="A7438"/>
  <c r="A7439"/>
  <c r="A7440"/>
  <c r="A7441"/>
  <c r="A7442"/>
  <c r="A7443"/>
  <c r="A7444"/>
  <c r="A7445"/>
  <c r="A7446"/>
  <c r="A7447"/>
  <c r="A7448"/>
  <c r="A7449"/>
  <c r="A7450"/>
  <c r="A7451"/>
  <c r="A7452"/>
  <c r="A7453"/>
  <c r="A7454"/>
  <c r="A7455"/>
  <c r="A7456"/>
  <c r="A7457"/>
  <c r="A7458"/>
  <c r="A7459"/>
  <c r="A7460"/>
  <c r="A7461"/>
  <c r="A7462"/>
  <c r="A7463"/>
  <c r="A7464"/>
  <c r="A7465"/>
  <c r="A7466"/>
  <c r="A7467"/>
  <c r="A7468"/>
  <c r="A7469"/>
  <c r="A7470"/>
  <c r="A7471"/>
  <c r="A7472"/>
  <c r="A7473"/>
  <c r="A7474"/>
  <c r="A7475"/>
  <c r="A7476"/>
  <c r="A7477"/>
  <c r="A7478"/>
  <c r="A7479"/>
  <c r="A7480"/>
  <c r="A7481"/>
  <c r="A7482"/>
  <c r="A7483"/>
  <c r="A7484"/>
  <c r="A7485"/>
  <c r="A7486"/>
  <c r="A7487"/>
  <c r="A7488"/>
  <c r="A7489"/>
  <c r="A7490"/>
  <c r="A7491"/>
  <c r="A7492"/>
  <c r="A7493"/>
  <c r="A7494"/>
  <c r="A7495"/>
  <c r="A7496"/>
  <c r="A7497"/>
  <c r="A7498"/>
  <c r="A7499"/>
  <c r="A7500"/>
  <c r="A7501"/>
  <c r="A7502"/>
  <c r="A7503"/>
  <c r="A7504"/>
  <c r="A7505"/>
  <c r="A7506"/>
  <c r="A7507"/>
  <c r="A7508"/>
  <c r="A7509"/>
  <c r="A7510"/>
  <c r="A7511"/>
  <c r="A7512"/>
  <c r="A7513"/>
  <c r="A7514"/>
  <c r="A7515"/>
  <c r="A7516"/>
  <c r="A7517"/>
  <c r="A7518"/>
  <c r="A7519"/>
  <c r="A7520"/>
  <c r="A7521"/>
  <c r="A7522"/>
  <c r="A7523"/>
  <c r="A7524"/>
  <c r="A7525"/>
  <c r="A7526"/>
  <c r="A7527"/>
  <c r="A7528"/>
  <c r="A7529"/>
  <c r="A7530"/>
  <c r="A7531"/>
  <c r="A7532"/>
  <c r="A7533"/>
  <c r="A7534"/>
  <c r="A7535"/>
  <c r="A7536"/>
  <c r="A7537"/>
  <c r="A7538"/>
  <c r="A7539"/>
  <c r="A7540"/>
  <c r="A7541"/>
  <c r="A7542"/>
  <c r="A7543"/>
  <c r="A7544"/>
  <c r="A7545"/>
  <c r="A7546"/>
  <c r="A7547"/>
  <c r="A7548"/>
  <c r="A7549"/>
  <c r="A7550"/>
  <c r="A7551"/>
  <c r="A7552"/>
  <c r="A7553"/>
  <c r="A7554"/>
  <c r="A7555"/>
  <c r="A7556"/>
  <c r="A7557"/>
  <c r="A7558"/>
  <c r="A7559"/>
  <c r="A7560"/>
  <c r="A7561"/>
  <c r="A7562"/>
  <c r="A7563"/>
  <c r="A7564"/>
  <c r="A7565"/>
  <c r="A7566"/>
  <c r="A7567"/>
  <c r="A7568"/>
  <c r="A7569"/>
  <c r="A7570"/>
  <c r="A7571"/>
  <c r="A7572"/>
  <c r="A7573"/>
  <c r="A7574"/>
  <c r="A7575"/>
  <c r="A7576"/>
  <c r="A7577"/>
  <c r="A7578"/>
  <c r="A7579"/>
  <c r="A7580"/>
  <c r="A7581"/>
  <c r="A7582"/>
  <c r="A7583"/>
  <c r="A7584"/>
  <c r="A7585"/>
  <c r="A7586"/>
  <c r="A7587"/>
  <c r="A7588"/>
  <c r="A7589"/>
  <c r="A7590"/>
  <c r="A7591"/>
  <c r="A7592"/>
  <c r="A7593"/>
  <c r="A7594"/>
  <c r="A7595"/>
  <c r="A7596"/>
  <c r="A7597"/>
  <c r="A7598"/>
  <c r="A7599"/>
  <c r="A7600"/>
  <c r="A7601"/>
  <c r="A7602"/>
  <c r="A7603"/>
  <c r="A7604"/>
  <c r="A7605"/>
  <c r="A7606"/>
  <c r="A7607"/>
  <c r="A7608"/>
  <c r="A7609"/>
  <c r="A7610"/>
  <c r="A7611"/>
  <c r="A7612"/>
  <c r="A7613"/>
  <c r="A7614"/>
  <c r="A7615"/>
  <c r="A7616"/>
  <c r="A7617"/>
  <c r="A7618"/>
  <c r="A7619"/>
  <c r="A7620"/>
  <c r="A7621"/>
  <c r="A7622"/>
  <c r="A7623"/>
  <c r="A7624"/>
  <c r="A7625"/>
  <c r="A7626"/>
  <c r="A7627"/>
  <c r="A7628"/>
  <c r="A7629"/>
  <c r="A7630"/>
  <c r="A7631"/>
  <c r="A7632"/>
  <c r="A7633"/>
  <c r="A7634"/>
  <c r="A7635"/>
  <c r="A7636"/>
  <c r="A7637"/>
  <c r="A7638"/>
  <c r="A7639"/>
  <c r="A7640"/>
  <c r="A7641"/>
  <c r="A7642"/>
  <c r="A7643"/>
  <c r="A7644"/>
  <c r="A7645"/>
  <c r="A7646"/>
  <c r="A7647"/>
  <c r="A7648"/>
  <c r="A7649"/>
  <c r="A7650"/>
  <c r="A7651"/>
  <c r="A7652"/>
  <c r="A7653"/>
  <c r="A7654"/>
  <c r="A7655"/>
  <c r="A7656"/>
  <c r="A7657"/>
  <c r="A7658"/>
  <c r="A7659"/>
  <c r="A7660"/>
  <c r="A7661"/>
  <c r="A7662"/>
  <c r="A7663"/>
  <c r="A7664"/>
  <c r="A7665"/>
  <c r="A7666"/>
  <c r="A7667"/>
  <c r="A7668"/>
  <c r="A7669"/>
  <c r="A7670"/>
  <c r="A7671"/>
  <c r="A7672"/>
  <c r="A7673"/>
  <c r="A7674"/>
  <c r="A7675"/>
  <c r="A7676"/>
  <c r="A7677"/>
  <c r="A7678"/>
  <c r="A7679"/>
  <c r="A7680"/>
  <c r="A7681"/>
  <c r="A7682"/>
  <c r="A7683"/>
  <c r="A7684"/>
  <c r="A7685"/>
  <c r="A7686"/>
  <c r="A7687"/>
  <c r="A7688"/>
  <c r="A7689"/>
  <c r="A7690"/>
  <c r="A7691"/>
  <c r="A7692"/>
  <c r="A7693"/>
  <c r="A7694"/>
  <c r="A7695"/>
  <c r="A7696"/>
  <c r="A7697"/>
  <c r="A7698"/>
  <c r="A7699"/>
  <c r="A7700"/>
  <c r="A7701"/>
  <c r="A7702"/>
  <c r="A7703"/>
  <c r="A7704"/>
  <c r="A7705"/>
  <c r="A7706"/>
  <c r="A7707"/>
  <c r="A7708"/>
  <c r="A7709"/>
  <c r="A7710"/>
  <c r="A7711"/>
  <c r="A7712"/>
  <c r="A7713"/>
  <c r="A7714"/>
  <c r="A7715"/>
  <c r="A7716"/>
  <c r="A7717"/>
  <c r="A7718"/>
  <c r="A7719"/>
  <c r="A7720"/>
  <c r="A7721"/>
  <c r="A7722"/>
  <c r="A7723"/>
  <c r="A7724"/>
  <c r="A7725"/>
  <c r="A7726"/>
  <c r="A7727"/>
  <c r="A7728"/>
  <c r="A7729"/>
  <c r="A7730"/>
  <c r="A7731"/>
  <c r="A7732"/>
  <c r="A7733"/>
  <c r="A7734"/>
  <c r="A7735"/>
  <c r="A7736"/>
  <c r="A7737"/>
  <c r="A7738"/>
  <c r="A7739"/>
  <c r="A7740"/>
  <c r="A7741"/>
  <c r="A7742"/>
  <c r="A7743"/>
  <c r="A7744"/>
  <c r="A7745"/>
  <c r="A7746"/>
  <c r="A7747"/>
  <c r="A7748"/>
  <c r="A7749"/>
  <c r="A7750"/>
  <c r="A7751"/>
  <c r="A7752"/>
  <c r="A7753"/>
  <c r="A7754"/>
  <c r="A7755"/>
  <c r="A7756"/>
  <c r="A7757"/>
  <c r="A7758"/>
  <c r="A7759"/>
  <c r="A7760"/>
  <c r="A7761"/>
  <c r="A7762"/>
  <c r="A7763"/>
  <c r="A7764"/>
  <c r="A7765"/>
  <c r="A7766"/>
  <c r="A7767"/>
  <c r="A7768"/>
  <c r="A7769"/>
  <c r="A7770"/>
  <c r="A7771"/>
  <c r="A7772"/>
  <c r="A7773"/>
  <c r="A7774"/>
  <c r="A7775"/>
  <c r="A7776"/>
  <c r="A7777"/>
  <c r="A7778"/>
  <c r="A7779"/>
  <c r="A7780"/>
  <c r="A7781"/>
  <c r="A7782"/>
  <c r="A7783"/>
  <c r="A7784"/>
  <c r="A7785"/>
  <c r="A7786"/>
  <c r="A7787"/>
  <c r="A7788"/>
  <c r="A7789"/>
  <c r="A7790"/>
  <c r="A7791"/>
  <c r="A7792"/>
  <c r="A7793"/>
  <c r="A7794"/>
  <c r="A7795"/>
  <c r="A7796"/>
  <c r="A7797"/>
  <c r="A7798"/>
  <c r="A7799"/>
  <c r="A7800"/>
  <c r="A7801"/>
  <c r="A7802"/>
  <c r="A7803"/>
  <c r="A7804"/>
  <c r="A7805"/>
  <c r="A7806"/>
  <c r="A7807"/>
  <c r="A7808"/>
  <c r="A7809"/>
  <c r="A7810"/>
  <c r="A7811"/>
  <c r="A7812"/>
  <c r="A7813"/>
  <c r="A7814"/>
  <c r="A7815"/>
  <c r="A7816"/>
  <c r="A7817"/>
  <c r="A7818"/>
  <c r="A7819"/>
  <c r="A7820"/>
  <c r="A7821"/>
  <c r="A7822"/>
  <c r="A7823"/>
  <c r="A7824"/>
  <c r="A7825"/>
  <c r="A7826"/>
  <c r="A7827"/>
  <c r="A7828"/>
  <c r="A7829"/>
  <c r="A7830"/>
  <c r="A7831"/>
  <c r="A7832"/>
  <c r="A7833"/>
  <c r="A7834"/>
  <c r="A7835"/>
  <c r="A7836"/>
  <c r="A7837"/>
  <c r="A7838"/>
  <c r="A7839"/>
  <c r="A7840"/>
  <c r="A7841"/>
  <c r="A7842"/>
  <c r="A7843"/>
  <c r="A7844"/>
  <c r="A7845"/>
  <c r="A7846"/>
  <c r="A7847"/>
  <c r="A7848"/>
  <c r="A7849"/>
  <c r="A7850"/>
  <c r="A7851"/>
  <c r="A7852"/>
  <c r="A7853"/>
  <c r="A7854"/>
  <c r="A7855"/>
  <c r="A7856"/>
  <c r="A7857"/>
  <c r="A7858"/>
  <c r="A7859"/>
  <c r="A7860"/>
  <c r="A7861"/>
  <c r="A7862"/>
  <c r="A7863"/>
  <c r="A7864"/>
  <c r="A7865"/>
  <c r="A7866"/>
  <c r="A7867"/>
  <c r="A7868"/>
  <c r="A7869"/>
  <c r="A7870"/>
  <c r="A7871"/>
  <c r="A7872"/>
  <c r="A7873"/>
  <c r="A7874"/>
  <c r="A7875"/>
  <c r="A7876"/>
  <c r="A7877"/>
  <c r="A7878"/>
  <c r="A7879"/>
  <c r="A7880"/>
  <c r="A7881"/>
  <c r="A7882"/>
  <c r="A7883"/>
  <c r="A7884"/>
  <c r="A7885"/>
  <c r="A7886"/>
  <c r="A7887"/>
  <c r="A7888"/>
  <c r="A7889"/>
  <c r="A7890"/>
  <c r="A7891"/>
  <c r="A7892"/>
  <c r="A7893"/>
  <c r="A7894"/>
  <c r="A7895"/>
  <c r="A7896"/>
  <c r="A7897"/>
  <c r="A7898"/>
  <c r="A7899"/>
  <c r="A7900"/>
  <c r="A7901"/>
  <c r="A7902"/>
  <c r="A7903"/>
  <c r="A7904"/>
  <c r="A7905"/>
  <c r="A7906"/>
  <c r="A7907"/>
  <c r="A7908"/>
  <c r="A7909"/>
  <c r="A7910"/>
  <c r="A7911"/>
  <c r="A7912"/>
  <c r="A7913"/>
  <c r="A7914"/>
  <c r="A7915"/>
  <c r="A7916"/>
  <c r="A7917"/>
  <c r="A7918"/>
  <c r="A7919"/>
  <c r="A7920"/>
  <c r="A7921"/>
  <c r="A7922"/>
  <c r="A7923"/>
  <c r="A7924"/>
  <c r="A7925"/>
  <c r="A7926"/>
  <c r="A7927"/>
  <c r="A7928"/>
  <c r="A7929"/>
  <c r="A7930"/>
  <c r="A7931"/>
  <c r="A7932"/>
  <c r="A7933"/>
  <c r="A7934"/>
  <c r="A7935"/>
  <c r="A7936"/>
  <c r="A7937"/>
  <c r="A7938"/>
  <c r="A7939"/>
  <c r="A7940"/>
  <c r="A7941"/>
  <c r="A7942"/>
  <c r="A7943"/>
  <c r="A7944"/>
  <c r="A7945"/>
  <c r="A7946"/>
  <c r="A7947"/>
  <c r="A7948"/>
  <c r="A7949"/>
  <c r="A7950"/>
  <c r="A7951"/>
  <c r="A7952"/>
  <c r="A7953"/>
  <c r="A7954"/>
  <c r="A7955"/>
  <c r="A7956"/>
  <c r="A7957"/>
  <c r="A7958"/>
  <c r="A7959"/>
  <c r="A7960"/>
  <c r="A7961"/>
  <c r="A7962"/>
  <c r="A7963"/>
  <c r="A7964"/>
  <c r="A7965"/>
  <c r="A7966"/>
  <c r="A7967"/>
  <c r="A7968"/>
  <c r="A7969"/>
  <c r="A7970"/>
  <c r="A7971"/>
  <c r="A7972"/>
  <c r="A7973"/>
  <c r="A7974"/>
  <c r="A7975"/>
  <c r="A7976"/>
  <c r="A7977"/>
  <c r="A7978"/>
  <c r="A7979"/>
  <c r="A7980"/>
  <c r="A7981"/>
  <c r="A7982"/>
  <c r="A7983"/>
  <c r="A7984"/>
  <c r="A7985"/>
  <c r="A7986"/>
  <c r="A7987"/>
  <c r="A7988"/>
  <c r="A7989"/>
  <c r="A7990"/>
  <c r="A7991"/>
  <c r="A7992"/>
  <c r="A7993"/>
  <c r="A7994"/>
  <c r="A7995"/>
  <c r="A7996"/>
  <c r="A7997"/>
  <c r="A7998"/>
  <c r="A7999"/>
  <c r="A8000"/>
  <c r="A8001"/>
  <c r="A8002"/>
  <c r="A8003"/>
  <c r="A8004"/>
  <c r="A8005"/>
  <c r="A8006"/>
  <c r="A8007"/>
  <c r="A8008"/>
  <c r="A8009"/>
  <c r="A8010"/>
  <c r="A8011"/>
  <c r="A8012"/>
  <c r="A8013"/>
  <c r="A8014"/>
  <c r="A8015"/>
  <c r="A8016"/>
  <c r="A8017"/>
  <c r="A8018"/>
  <c r="A8019"/>
  <c r="A8020"/>
  <c r="A8021"/>
  <c r="A8022"/>
  <c r="A8023"/>
  <c r="A8024"/>
  <c r="A8025"/>
  <c r="A8026"/>
  <c r="A8027"/>
  <c r="A8028"/>
  <c r="A8029"/>
  <c r="A8030"/>
  <c r="A8031"/>
  <c r="A8032"/>
  <c r="A8033"/>
  <c r="A8034"/>
  <c r="A8035"/>
  <c r="A8036"/>
  <c r="A8037"/>
  <c r="A8038"/>
  <c r="A8039"/>
  <c r="A8040"/>
  <c r="A8041"/>
  <c r="A8042"/>
  <c r="A8043"/>
  <c r="A8044"/>
  <c r="A8045"/>
  <c r="A8046"/>
  <c r="A8047"/>
  <c r="A8048"/>
  <c r="A8049"/>
  <c r="A8050"/>
  <c r="A8051"/>
  <c r="A8052"/>
  <c r="A8053"/>
  <c r="A8054"/>
  <c r="A8055"/>
  <c r="A8056"/>
  <c r="A8057"/>
  <c r="A8058"/>
  <c r="A8059"/>
  <c r="A8060"/>
  <c r="A8061"/>
  <c r="A8062"/>
  <c r="A8063"/>
  <c r="A8064"/>
  <c r="A8065"/>
  <c r="A8066"/>
  <c r="A8067"/>
  <c r="A8068"/>
  <c r="A8069"/>
  <c r="A8070"/>
  <c r="A8071"/>
  <c r="A8072"/>
  <c r="A8073"/>
  <c r="A8074"/>
  <c r="A8075"/>
  <c r="A8076"/>
  <c r="A8077"/>
  <c r="A8078"/>
  <c r="A8079"/>
  <c r="A8080"/>
  <c r="A8081"/>
  <c r="A8082"/>
  <c r="A8083"/>
  <c r="A8084"/>
  <c r="A8085"/>
  <c r="A8086"/>
  <c r="A8087"/>
  <c r="A8088"/>
  <c r="A8089"/>
  <c r="A8090"/>
  <c r="A8091"/>
  <c r="A8092"/>
  <c r="A8093"/>
  <c r="A8094"/>
  <c r="A8095"/>
  <c r="A8096"/>
  <c r="A8097"/>
  <c r="A8098"/>
  <c r="A8099"/>
  <c r="A8100"/>
  <c r="A8101"/>
  <c r="A8102"/>
  <c r="A8103"/>
  <c r="A8104"/>
  <c r="A8105"/>
  <c r="A8106"/>
  <c r="A8107"/>
  <c r="A8108"/>
  <c r="A8109"/>
  <c r="A8110"/>
  <c r="A8111"/>
  <c r="A8112"/>
  <c r="A8113"/>
  <c r="A8114"/>
  <c r="A8115"/>
  <c r="A8116"/>
  <c r="A8117"/>
  <c r="A8118"/>
  <c r="A8119"/>
  <c r="A8120"/>
  <c r="A8121"/>
  <c r="A8122"/>
  <c r="A8123"/>
  <c r="A8124"/>
  <c r="A8125"/>
  <c r="A8126"/>
  <c r="A8127"/>
  <c r="A8128"/>
  <c r="A8129"/>
  <c r="A8130"/>
  <c r="A8131"/>
  <c r="A8132"/>
  <c r="A8133"/>
  <c r="A8134"/>
  <c r="A8135"/>
  <c r="A8136"/>
  <c r="A8137"/>
  <c r="A8138"/>
  <c r="A8139"/>
  <c r="A8140"/>
  <c r="A8141"/>
  <c r="A8142"/>
  <c r="A8143"/>
  <c r="A8144"/>
  <c r="A8145"/>
  <c r="A8146"/>
  <c r="A8147"/>
  <c r="A8148"/>
  <c r="A8149"/>
  <c r="A8150"/>
  <c r="A8151"/>
  <c r="A8152"/>
  <c r="A8153"/>
  <c r="A8154"/>
  <c r="A8155"/>
  <c r="A8156"/>
  <c r="A8157"/>
  <c r="A8158"/>
  <c r="A8159"/>
  <c r="A8160"/>
  <c r="A8161"/>
  <c r="A8162"/>
  <c r="A8163"/>
  <c r="A8164"/>
  <c r="A8165"/>
  <c r="A8166"/>
  <c r="A8167"/>
  <c r="A8168"/>
  <c r="A8169"/>
  <c r="A8170"/>
  <c r="A8171"/>
  <c r="A8172"/>
  <c r="A8173"/>
  <c r="A8174"/>
  <c r="A8175"/>
  <c r="A8176"/>
  <c r="A8177"/>
  <c r="A8178"/>
  <c r="A8179"/>
  <c r="A8180"/>
  <c r="A8181"/>
  <c r="A8182"/>
  <c r="A8183"/>
  <c r="A8184"/>
  <c r="A8185"/>
  <c r="A8186"/>
  <c r="A8187"/>
  <c r="A8188"/>
  <c r="A8189"/>
  <c r="A8190"/>
  <c r="A8191"/>
  <c r="A8192"/>
  <c r="A8193"/>
  <c r="A8194"/>
  <c r="A8195"/>
  <c r="A8196"/>
  <c r="A8197"/>
  <c r="A8198"/>
  <c r="A8199"/>
  <c r="A8200"/>
  <c r="A8201"/>
  <c r="A8202"/>
  <c r="A8203"/>
  <c r="A8204"/>
  <c r="A8205"/>
  <c r="A8206"/>
  <c r="A8207"/>
  <c r="A8208"/>
  <c r="A8209"/>
  <c r="A8210"/>
  <c r="A8211"/>
  <c r="A8212"/>
  <c r="A8213"/>
  <c r="A8214"/>
  <c r="A8215"/>
  <c r="A8216"/>
  <c r="A8217"/>
  <c r="A8218"/>
  <c r="A8219"/>
  <c r="A8220"/>
  <c r="A8221"/>
  <c r="A8222"/>
  <c r="A8223"/>
  <c r="A8224"/>
  <c r="A8225"/>
  <c r="A8226"/>
  <c r="A8227"/>
  <c r="A8228"/>
  <c r="A8229"/>
  <c r="A8230"/>
  <c r="A8231"/>
  <c r="A8232"/>
  <c r="A8233"/>
  <c r="A8234"/>
  <c r="A8235"/>
  <c r="A8236"/>
  <c r="A8237"/>
  <c r="A8238"/>
  <c r="A8239"/>
  <c r="A8240"/>
  <c r="A8241"/>
  <c r="A8242"/>
  <c r="A8243"/>
  <c r="A8244"/>
  <c r="A8245"/>
  <c r="A8246"/>
  <c r="A8247"/>
  <c r="A8248"/>
  <c r="A8249"/>
  <c r="A8250"/>
  <c r="A8251"/>
  <c r="A8252"/>
  <c r="A8253"/>
  <c r="A8254"/>
  <c r="A8255"/>
  <c r="A8256"/>
  <c r="A8257"/>
  <c r="A8258"/>
  <c r="A8259"/>
  <c r="A8260"/>
  <c r="A8261"/>
  <c r="A8262"/>
  <c r="A8263"/>
  <c r="A8264"/>
  <c r="A8265"/>
  <c r="A8266"/>
  <c r="A8267"/>
  <c r="A8268"/>
  <c r="A8269"/>
  <c r="A8270"/>
  <c r="A8271"/>
  <c r="A8272"/>
  <c r="A8273"/>
  <c r="A8274"/>
  <c r="A8275"/>
  <c r="A8276"/>
  <c r="A8277"/>
  <c r="A8278"/>
  <c r="A8279"/>
  <c r="A8280"/>
  <c r="A8281"/>
  <c r="A8282"/>
  <c r="A8283"/>
  <c r="A8284"/>
  <c r="A8285"/>
  <c r="A8286"/>
  <c r="A8287"/>
  <c r="A8288"/>
  <c r="A8289"/>
  <c r="A8290"/>
  <c r="A8291"/>
  <c r="A8292"/>
  <c r="A8293"/>
  <c r="A8294"/>
  <c r="A8295"/>
  <c r="A8296"/>
  <c r="A8297"/>
  <c r="A8298"/>
  <c r="A8299"/>
  <c r="A8300"/>
  <c r="A8301"/>
  <c r="A8302"/>
  <c r="A8303"/>
  <c r="A8304"/>
  <c r="A8305"/>
  <c r="A8306"/>
  <c r="A8307"/>
  <c r="A8308"/>
  <c r="A8309"/>
  <c r="A8310"/>
  <c r="A8311"/>
  <c r="A8312"/>
  <c r="A8313"/>
  <c r="A8314"/>
  <c r="A8315"/>
  <c r="A8316"/>
  <c r="A8317"/>
  <c r="A8318"/>
  <c r="A8319"/>
  <c r="A8320"/>
  <c r="A8321"/>
  <c r="A8322"/>
  <c r="A8323"/>
  <c r="A8324"/>
  <c r="A8325"/>
  <c r="A8326"/>
  <c r="A8327"/>
  <c r="A8328"/>
  <c r="A8329"/>
  <c r="A8330"/>
  <c r="A8331"/>
  <c r="A8332"/>
  <c r="A8333"/>
  <c r="A8334"/>
  <c r="A8335"/>
  <c r="A8336"/>
  <c r="A8337"/>
  <c r="A8338"/>
  <c r="A8339"/>
  <c r="A8340"/>
  <c r="A8341"/>
  <c r="A8342"/>
  <c r="A8343"/>
  <c r="A8344"/>
  <c r="A8345"/>
  <c r="A8346"/>
  <c r="A8347"/>
  <c r="A8348"/>
  <c r="A8349"/>
  <c r="A8350"/>
  <c r="A8351"/>
  <c r="A8352"/>
  <c r="A8353"/>
  <c r="A8354"/>
  <c r="A8355"/>
  <c r="A8356"/>
  <c r="A8357"/>
  <c r="A8358"/>
  <c r="A8359"/>
  <c r="A8360"/>
  <c r="A8361"/>
  <c r="A8362"/>
  <c r="A8363"/>
  <c r="A8364"/>
  <c r="A8365"/>
  <c r="A8366"/>
  <c r="A8367"/>
  <c r="A8368"/>
  <c r="A8369"/>
  <c r="A8370"/>
  <c r="A8371"/>
  <c r="A8372"/>
  <c r="A8373"/>
  <c r="A8374"/>
  <c r="A8375"/>
  <c r="A8376"/>
  <c r="A8377"/>
  <c r="A8378"/>
  <c r="A8379"/>
  <c r="A8380"/>
  <c r="A8381"/>
  <c r="A8382"/>
  <c r="A8383"/>
  <c r="A8384"/>
  <c r="A8385"/>
  <c r="A8386"/>
  <c r="A8387"/>
  <c r="A8388"/>
  <c r="A8389"/>
  <c r="A8390"/>
  <c r="A8391"/>
  <c r="A8392"/>
  <c r="A8393"/>
  <c r="A8394"/>
  <c r="A8395"/>
  <c r="A8396"/>
  <c r="A8397"/>
  <c r="A8398"/>
  <c r="A8399"/>
  <c r="A8400"/>
  <c r="A8401"/>
  <c r="A8402"/>
  <c r="A8403"/>
  <c r="A8404"/>
  <c r="A8405"/>
  <c r="A8406"/>
  <c r="A8407"/>
  <c r="A8408"/>
  <c r="A8409"/>
  <c r="A8410"/>
  <c r="A8411"/>
  <c r="A8412"/>
  <c r="A8413"/>
  <c r="A8414"/>
  <c r="A8415"/>
  <c r="A8416"/>
  <c r="A8417"/>
  <c r="A8418"/>
  <c r="A8419"/>
  <c r="A8420"/>
  <c r="A8421"/>
  <c r="A8422"/>
  <c r="A8423"/>
  <c r="A8424"/>
  <c r="A8425"/>
  <c r="A8426"/>
  <c r="A8427"/>
  <c r="A8428"/>
  <c r="A8429"/>
  <c r="A8430"/>
  <c r="A8431"/>
  <c r="A8432"/>
  <c r="A8433"/>
  <c r="A8434"/>
  <c r="A8435"/>
  <c r="A8436"/>
  <c r="A8437"/>
  <c r="A8438"/>
  <c r="A8439"/>
  <c r="A8440"/>
  <c r="A8441"/>
  <c r="A8442"/>
  <c r="A8443"/>
  <c r="A8444"/>
  <c r="A8445"/>
  <c r="A8446"/>
  <c r="A8447"/>
  <c r="A8448"/>
  <c r="A8449"/>
  <c r="A8450"/>
  <c r="A8451"/>
  <c r="A8452"/>
  <c r="A8453"/>
  <c r="A8454"/>
  <c r="A8455"/>
  <c r="A8456"/>
  <c r="A8457"/>
  <c r="A8458"/>
  <c r="A8459"/>
  <c r="A8460"/>
  <c r="A8461"/>
  <c r="A8462"/>
  <c r="A8463"/>
  <c r="A8464"/>
  <c r="A8465"/>
  <c r="A8466"/>
  <c r="A8467"/>
  <c r="A8468"/>
  <c r="A8469"/>
  <c r="A8470"/>
  <c r="A8471"/>
  <c r="A8472"/>
  <c r="A8473"/>
  <c r="A8474"/>
  <c r="A8475"/>
  <c r="A8476"/>
  <c r="A8477"/>
  <c r="A8478"/>
  <c r="A8479"/>
  <c r="A8480"/>
  <c r="A8481"/>
  <c r="A8482"/>
  <c r="A8483"/>
  <c r="A8484"/>
  <c r="A8485"/>
  <c r="A8486"/>
  <c r="A8487"/>
  <c r="A8488"/>
  <c r="A8489"/>
  <c r="A8490"/>
  <c r="A8491"/>
  <c r="A8492"/>
  <c r="A8493"/>
  <c r="A8494"/>
  <c r="A8495"/>
  <c r="A8496"/>
  <c r="A8497"/>
  <c r="A8498"/>
  <c r="A8499"/>
  <c r="A8500"/>
  <c r="A8501"/>
  <c r="A8502"/>
  <c r="A8503"/>
  <c r="A8504"/>
  <c r="A8505"/>
  <c r="A8506"/>
  <c r="A8507"/>
  <c r="A8508"/>
  <c r="A8509"/>
  <c r="A8510"/>
  <c r="A8511"/>
  <c r="A8512"/>
  <c r="A8513"/>
  <c r="A8514"/>
  <c r="A8515"/>
  <c r="A8516"/>
  <c r="A8517"/>
  <c r="A8518"/>
  <c r="A8519"/>
  <c r="A8520"/>
  <c r="A8521"/>
  <c r="A8522"/>
  <c r="A8523"/>
  <c r="A8524"/>
  <c r="A8525"/>
  <c r="A8526"/>
  <c r="A8527"/>
  <c r="A8528"/>
  <c r="A8529"/>
  <c r="A8530"/>
  <c r="A8531"/>
  <c r="A8532"/>
  <c r="A8533"/>
  <c r="A8534"/>
  <c r="A8535"/>
  <c r="A8536"/>
  <c r="A8537"/>
  <c r="A8538"/>
  <c r="A8539"/>
  <c r="A8540"/>
  <c r="A8541"/>
  <c r="A8542"/>
  <c r="A8543"/>
  <c r="A8544"/>
  <c r="A8545"/>
  <c r="A8546"/>
  <c r="A8547"/>
  <c r="A8548"/>
  <c r="A8549"/>
  <c r="A8550"/>
  <c r="A8551"/>
  <c r="A8552"/>
  <c r="A8553"/>
  <c r="A8554"/>
  <c r="A8555"/>
  <c r="A8556"/>
  <c r="A8557"/>
  <c r="A8558"/>
  <c r="A8559"/>
  <c r="A8560"/>
  <c r="A8561"/>
  <c r="A8562"/>
  <c r="A8563"/>
  <c r="A8564"/>
  <c r="A8565"/>
  <c r="A8566"/>
  <c r="A8567"/>
  <c r="A8568"/>
  <c r="A8569"/>
  <c r="A8570"/>
  <c r="A8571"/>
  <c r="A8572"/>
  <c r="A8573"/>
  <c r="A8574"/>
  <c r="A8575"/>
  <c r="A8576"/>
  <c r="A8577"/>
  <c r="A8578"/>
  <c r="A8579"/>
  <c r="A8580"/>
  <c r="A8581"/>
  <c r="A8582"/>
  <c r="A8583"/>
  <c r="A8584"/>
  <c r="A8585"/>
  <c r="A8586"/>
  <c r="A8587"/>
  <c r="A8588"/>
  <c r="A8589"/>
  <c r="A8590"/>
  <c r="A8591"/>
  <c r="A8592"/>
  <c r="A8593"/>
  <c r="A8594"/>
  <c r="A8595"/>
  <c r="A8596"/>
  <c r="A8597"/>
  <c r="A8598"/>
  <c r="A8599"/>
  <c r="A8600"/>
  <c r="A8601"/>
  <c r="A8602"/>
  <c r="A8603"/>
  <c r="A8604"/>
  <c r="A8605"/>
  <c r="A8606"/>
  <c r="A8607"/>
  <c r="A8608"/>
  <c r="A8609"/>
  <c r="A8610"/>
  <c r="A8611"/>
  <c r="A8612"/>
  <c r="A8613"/>
  <c r="A8614"/>
  <c r="A8615"/>
  <c r="A8616"/>
  <c r="A8617"/>
  <c r="A8618"/>
  <c r="A8619"/>
  <c r="A8620"/>
  <c r="A8621"/>
  <c r="A8622"/>
  <c r="A8623"/>
  <c r="A8624"/>
  <c r="A8625"/>
  <c r="A8626"/>
  <c r="A8627"/>
  <c r="A8628"/>
  <c r="A8629"/>
  <c r="A8630"/>
  <c r="A8631"/>
  <c r="A8632"/>
  <c r="A8633"/>
  <c r="A8634"/>
  <c r="A8635"/>
  <c r="A8636"/>
  <c r="A8637"/>
  <c r="A8638"/>
  <c r="A8639"/>
  <c r="A8640"/>
  <c r="A8641"/>
  <c r="A8642"/>
  <c r="A8643"/>
  <c r="A8644"/>
  <c r="A8645"/>
  <c r="A8646"/>
  <c r="A8647"/>
  <c r="A8648"/>
  <c r="A8649"/>
  <c r="A8650"/>
  <c r="A8651"/>
  <c r="A8652"/>
  <c r="A8653"/>
  <c r="A8654"/>
  <c r="A8655"/>
  <c r="A8656"/>
  <c r="A8657"/>
  <c r="A8658"/>
  <c r="A8659"/>
  <c r="A8660"/>
  <c r="A8661"/>
  <c r="A8662"/>
  <c r="A8663"/>
  <c r="A8664"/>
  <c r="A8665"/>
  <c r="A8666"/>
  <c r="A8667"/>
  <c r="A8668"/>
  <c r="A8669"/>
  <c r="A8670"/>
  <c r="A8671"/>
  <c r="A8672"/>
  <c r="A8673"/>
  <c r="A8674"/>
  <c r="A8675"/>
  <c r="A8676"/>
  <c r="A8677"/>
  <c r="A8678"/>
  <c r="A8679"/>
  <c r="A8680"/>
  <c r="A8681"/>
  <c r="A8682"/>
  <c r="A8683"/>
  <c r="A8684"/>
  <c r="A8685"/>
  <c r="A8686"/>
  <c r="A8687"/>
  <c r="A8688"/>
  <c r="A8689"/>
  <c r="A8690"/>
  <c r="A8691"/>
  <c r="A8692"/>
  <c r="A8693"/>
  <c r="A8694"/>
  <c r="A8695"/>
  <c r="A8696"/>
  <c r="A8697"/>
  <c r="A8698"/>
  <c r="A8699"/>
  <c r="A8700"/>
  <c r="A8701"/>
  <c r="A8702"/>
  <c r="A8703"/>
  <c r="A8704"/>
  <c r="A8705"/>
  <c r="A8706"/>
  <c r="A8707"/>
  <c r="A8708"/>
  <c r="A8709"/>
  <c r="A8710"/>
  <c r="A8711"/>
  <c r="A8712"/>
  <c r="A8713"/>
  <c r="A8714"/>
  <c r="A8715"/>
  <c r="A8716"/>
  <c r="A8717"/>
  <c r="A8718"/>
  <c r="A8719"/>
  <c r="A8720"/>
  <c r="A8721"/>
  <c r="A8722"/>
  <c r="A8723"/>
  <c r="A8724"/>
  <c r="A8725"/>
  <c r="A8726"/>
  <c r="A8727"/>
  <c r="A8728"/>
  <c r="A8729"/>
  <c r="A8730"/>
  <c r="A8731"/>
  <c r="A8732"/>
  <c r="A8733"/>
  <c r="A8734"/>
  <c r="A8735"/>
  <c r="A8736"/>
  <c r="A8737"/>
  <c r="A8738"/>
  <c r="A8739"/>
  <c r="A8740"/>
  <c r="A8741"/>
  <c r="A8742"/>
  <c r="A8743"/>
  <c r="A8744"/>
  <c r="A8745"/>
  <c r="A8746"/>
  <c r="A8747"/>
  <c r="A8748"/>
  <c r="A8749"/>
  <c r="A8750"/>
  <c r="A8751"/>
  <c r="A8752"/>
  <c r="A8753"/>
  <c r="A8754"/>
  <c r="A8755"/>
  <c r="A8756"/>
  <c r="A8757"/>
  <c r="A8758"/>
  <c r="A8759"/>
  <c r="A8760"/>
  <c r="A8761"/>
  <c r="A8762"/>
  <c r="A8763"/>
  <c r="A8764"/>
  <c r="A8765"/>
  <c r="A8766"/>
  <c r="A8767"/>
  <c r="A8768"/>
  <c r="A8769"/>
  <c r="A8770"/>
  <c r="A8771"/>
  <c r="A8772"/>
  <c r="A8773"/>
  <c r="A8774"/>
  <c r="A8775"/>
  <c r="A8776"/>
  <c r="A8777"/>
  <c r="A8778"/>
  <c r="A8779"/>
  <c r="A8780"/>
  <c r="A8781"/>
  <c r="A8782"/>
  <c r="A8783"/>
  <c r="A8784"/>
  <c r="A8785"/>
  <c r="A8786"/>
  <c r="A8787"/>
  <c r="A8788"/>
  <c r="A8789"/>
  <c r="A8790"/>
  <c r="A8791"/>
  <c r="A8792"/>
  <c r="A8793"/>
  <c r="A8794"/>
  <c r="A8795"/>
  <c r="A8796"/>
  <c r="A8797"/>
  <c r="A8798"/>
  <c r="A8799"/>
  <c r="A8800"/>
  <c r="A8801"/>
  <c r="A8802"/>
  <c r="A8803"/>
  <c r="A8804"/>
  <c r="A8805"/>
  <c r="A8806"/>
  <c r="A8807"/>
  <c r="A8808"/>
  <c r="A8809"/>
  <c r="A8810"/>
  <c r="A8811"/>
  <c r="A8812"/>
  <c r="A8813"/>
  <c r="A8814"/>
  <c r="A8815"/>
  <c r="A8816"/>
  <c r="A8817"/>
  <c r="A8818"/>
  <c r="A8819"/>
  <c r="A8820"/>
  <c r="A8821"/>
  <c r="A8822"/>
  <c r="A8823"/>
  <c r="A8824"/>
  <c r="A8825"/>
  <c r="A8826"/>
  <c r="A8827"/>
  <c r="A8828"/>
  <c r="A8829"/>
  <c r="A8830"/>
  <c r="A8831"/>
  <c r="A8832"/>
  <c r="A8833"/>
  <c r="A8834"/>
  <c r="A8835"/>
  <c r="A8836"/>
  <c r="A8837"/>
  <c r="A8838"/>
  <c r="A8839"/>
  <c r="A8840"/>
  <c r="A8841"/>
  <c r="A8842"/>
  <c r="A8843"/>
  <c r="A8844"/>
  <c r="A8845"/>
  <c r="A8846"/>
  <c r="A8847"/>
  <c r="A8848"/>
  <c r="A8849"/>
  <c r="A8850"/>
  <c r="A8851"/>
  <c r="A8852"/>
  <c r="A8853"/>
  <c r="A8854"/>
  <c r="A8855"/>
  <c r="A8856"/>
  <c r="A8857"/>
  <c r="A8858"/>
  <c r="A8859"/>
  <c r="A8860"/>
  <c r="A8861"/>
  <c r="A8862"/>
  <c r="A8863"/>
  <c r="A8864"/>
  <c r="A8865"/>
  <c r="A8866"/>
  <c r="A8867"/>
  <c r="A8868"/>
  <c r="A8869"/>
  <c r="A8870"/>
  <c r="A8871"/>
  <c r="A8872"/>
  <c r="A8873"/>
  <c r="A8874"/>
  <c r="A8875"/>
  <c r="A8876"/>
  <c r="A8877"/>
  <c r="A8878"/>
  <c r="A8879"/>
  <c r="A8880"/>
  <c r="A8881"/>
  <c r="A8882"/>
  <c r="A8883"/>
  <c r="A8884"/>
  <c r="A8885"/>
  <c r="A8886"/>
  <c r="A8887"/>
  <c r="A8888"/>
  <c r="A8889"/>
  <c r="A8890"/>
  <c r="A8891"/>
  <c r="A8892"/>
  <c r="A8893"/>
  <c r="A8894"/>
  <c r="A8895"/>
  <c r="A8896"/>
  <c r="A8897"/>
  <c r="A8898"/>
  <c r="A8899"/>
  <c r="A8900"/>
  <c r="A8901"/>
  <c r="A8902"/>
  <c r="A8903"/>
  <c r="A8904"/>
  <c r="A8905"/>
  <c r="A8906"/>
  <c r="A8907"/>
  <c r="A8908"/>
  <c r="A8909"/>
  <c r="A8910"/>
  <c r="A8911"/>
  <c r="A8912"/>
  <c r="A8913"/>
  <c r="A8914"/>
  <c r="A8915"/>
  <c r="A8916"/>
  <c r="A8917"/>
  <c r="A8918"/>
  <c r="A8919"/>
  <c r="A8920"/>
  <c r="A8921"/>
  <c r="A8922"/>
  <c r="A8923"/>
  <c r="A8924"/>
  <c r="A8925"/>
  <c r="A8926"/>
  <c r="A8927"/>
  <c r="A8928"/>
  <c r="A8929"/>
  <c r="A8930"/>
  <c r="A8931"/>
  <c r="A8932"/>
  <c r="A8933"/>
  <c r="A8934"/>
  <c r="A8935"/>
  <c r="A8936"/>
  <c r="A8937"/>
  <c r="A8938"/>
  <c r="A8939"/>
  <c r="A8940"/>
  <c r="A8941"/>
  <c r="A8942"/>
  <c r="A8943"/>
  <c r="A8944"/>
  <c r="A8945"/>
  <c r="A8946"/>
  <c r="A8947"/>
  <c r="A8948"/>
  <c r="A8949"/>
  <c r="A8950"/>
  <c r="A8951"/>
  <c r="A8952"/>
  <c r="A8953"/>
  <c r="A8954"/>
  <c r="A8955"/>
  <c r="A8956"/>
  <c r="A8957"/>
  <c r="A8958"/>
  <c r="A8959"/>
  <c r="A8960"/>
  <c r="A8961"/>
  <c r="A8962"/>
  <c r="A8963"/>
  <c r="A8964"/>
  <c r="A8965"/>
  <c r="A8966"/>
  <c r="A8967"/>
  <c r="A8968"/>
  <c r="A8969"/>
  <c r="A8970"/>
  <c r="A8971"/>
  <c r="A8972"/>
  <c r="A8973"/>
  <c r="A8974"/>
  <c r="A8975"/>
  <c r="A8976"/>
  <c r="A8977"/>
  <c r="A8978"/>
  <c r="A8979"/>
  <c r="A8980"/>
  <c r="A8981"/>
  <c r="A8982"/>
  <c r="A8983"/>
  <c r="A8984"/>
  <c r="A8985"/>
  <c r="A8986"/>
  <c r="A8987"/>
  <c r="A8988"/>
  <c r="A8989"/>
  <c r="A8990"/>
  <c r="A8991"/>
  <c r="A8992"/>
  <c r="A8993"/>
  <c r="A8994"/>
  <c r="A8995"/>
  <c r="A8996"/>
  <c r="A8997"/>
  <c r="A8998"/>
  <c r="A8999"/>
  <c r="A9000"/>
  <c r="A9001"/>
  <c r="A9002"/>
  <c r="A9003"/>
  <c r="A9004"/>
  <c r="A9005"/>
  <c r="A9006"/>
  <c r="A9007"/>
  <c r="A9008"/>
  <c r="A9009"/>
  <c r="A9010"/>
  <c r="A9011"/>
  <c r="A9012"/>
  <c r="A9013"/>
  <c r="A9014"/>
  <c r="A9015"/>
  <c r="A9016"/>
  <c r="A9017"/>
  <c r="A9018"/>
  <c r="A9019"/>
  <c r="A9020"/>
  <c r="A9021"/>
  <c r="A9022"/>
  <c r="A9023"/>
  <c r="A9024"/>
  <c r="A9025"/>
  <c r="A9026"/>
  <c r="A9027"/>
  <c r="A9028"/>
  <c r="A9029"/>
  <c r="A9030"/>
  <c r="A9031"/>
  <c r="A9032"/>
  <c r="A9033"/>
  <c r="A9034"/>
  <c r="A9035"/>
  <c r="A9036"/>
  <c r="A9037"/>
  <c r="A9038"/>
  <c r="A9039"/>
  <c r="A9040"/>
  <c r="A9041"/>
  <c r="A9042"/>
  <c r="A9043"/>
  <c r="A9044"/>
  <c r="A9045"/>
  <c r="A9046"/>
  <c r="A9047"/>
  <c r="A9048"/>
  <c r="A9049"/>
  <c r="A9050"/>
  <c r="A9051"/>
  <c r="A9052"/>
  <c r="A9053"/>
  <c r="A9054"/>
  <c r="A9055"/>
  <c r="A9056"/>
  <c r="A9057"/>
  <c r="A9058"/>
  <c r="A9059"/>
  <c r="A9060"/>
  <c r="A9061"/>
  <c r="A9062"/>
  <c r="A9063"/>
  <c r="A9064"/>
  <c r="A9065"/>
  <c r="A9066"/>
  <c r="A9067"/>
  <c r="A9068"/>
  <c r="A9069"/>
  <c r="A9070"/>
  <c r="A9071"/>
  <c r="A9072"/>
  <c r="A9073"/>
  <c r="A9074"/>
  <c r="A9075"/>
  <c r="A9076"/>
  <c r="A9077"/>
  <c r="A9078"/>
  <c r="A9079"/>
  <c r="A9080"/>
  <c r="A9081"/>
  <c r="A9082"/>
  <c r="A9083"/>
  <c r="A9084"/>
  <c r="A9085"/>
  <c r="A9086"/>
  <c r="A9087"/>
  <c r="A9088"/>
  <c r="A9089"/>
  <c r="A9090"/>
  <c r="A9091"/>
  <c r="A9092"/>
  <c r="A9093"/>
  <c r="A9094"/>
  <c r="A9095"/>
  <c r="A9096"/>
  <c r="A9097"/>
  <c r="A9098"/>
  <c r="A9099"/>
  <c r="A9100"/>
  <c r="A9101"/>
  <c r="A9102"/>
  <c r="A9103"/>
  <c r="A9104"/>
  <c r="A9105"/>
  <c r="A9106"/>
  <c r="A9107"/>
  <c r="A9108"/>
  <c r="A9109"/>
  <c r="A9110"/>
  <c r="A9111"/>
  <c r="A9112"/>
  <c r="A9113"/>
  <c r="A9114"/>
  <c r="A9115"/>
  <c r="A9116"/>
  <c r="A9117"/>
  <c r="A9118"/>
  <c r="A9119"/>
  <c r="A9120"/>
  <c r="A9121"/>
  <c r="A9122"/>
  <c r="A9123"/>
  <c r="A9124"/>
  <c r="A9125"/>
  <c r="A9126"/>
  <c r="A9127"/>
  <c r="A9128"/>
  <c r="A9129"/>
  <c r="A9130"/>
  <c r="A9131"/>
  <c r="A9132"/>
  <c r="A9133"/>
  <c r="A9134"/>
  <c r="A9135"/>
  <c r="A9136"/>
  <c r="A9137"/>
  <c r="A9138"/>
  <c r="A9139"/>
  <c r="A9140"/>
  <c r="A9141"/>
  <c r="A9142"/>
  <c r="A9143"/>
  <c r="A9144"/>
  <c r="A9145"/>
  <c r="A9146"/>
  <c r="A9147"/>
  <c r="A9148"/>
  <c r="A9149"/>
  <c r="A9150"/>
  <c r="A9151"/>
  <c r="A9152"/>
  <c r="A9153"/>
  <c r="A9154"/>
  <c r="A9155"/>
  <c r="A9156"/>
  <c r="A9157"/>
  <c r="A9158"/>
  <c r="A9159"/>
  <c r="A9160"/>
  <c r="A9161"/>
  <c r="A9162"/>
  <c r="A9163"/>
  <c r="A9164"/>
  <c r="A9165"/>
  <c r="A9166"/>
  <c r="A9167"/>
  <c r="A9168"/>
  <c r="A9169"/>
  <c r="A9170"/>
  <c r="A9171"/>
  <c r="A9172"/>
  <c r="A9173"/>
  <c r="A9174"/>
  <c r="A9175"/>
  <c r="A9176"/>
  <c r="A9177"/>
  <c r="A9178"/>
  <c r="A9179"/>
  <c r="A9180"/>
  <c r="A9181"/>
  <c r="A9182"/>
  <c r="A9183"/>
  <c r="A9184"/>
  <c r="A9185"/>
  <c r="A9186"/>
  <c r="A9187"/>
  <c r="A9188"/>
  <c r="A9189"/>
  <c r="A9190"/>
  <c r="A9191"/>
  <c r="A9192"/>
  <c r="A9193"/>
  <c r="A9194"/>
  <c r="A9195"/>
  <c r="A9196"/>
  <c r="A9197"/>
  <c r="A9198"/>
  <c r="A9199"/>
  <c r="A9200"/>
  <c r="A9201"/>
  <c r="A9202"/>
  <c r="A9203"/>
  <c r="A9204"/>
  <c r="A9205"/>
  <c r="A9206"/>
  <c r="A9207"/>
  <c r="A9208"/>
  <c r="A9209"/>
  <c r="A9210"/>
  <c r="A9211"/>
  <c r="A9212"/>
  <c r="A9213"/>
  <c r="A9214"/>
  <c r="A9215"/>
  <c r="A9216"/>
  <c r="A9217"/>
  <c r="A9218"/>
  <c r="A9219"/>
  <c r="A9220"/>
  <c r="A9221"/>
  <c r="A9222"/>
  <c r="A9223"/>
  <c r="A9224"/>
  <c r="A9225"/>
  <c r="A9226"/>
  <c r="A9227"/>
  <c r="A9228"/>
  <c r="A9229"/>
  <c r="A9230"/>
  <c r="A9231"/>
  <c r="A9232"/>
  <c r="A9233"/>
  <c r="A9234"/>
  <c r="A9235"/>
  <c r="A9236"/>
  <c r="A9237"/>
  <c r="A9238"/>
  <c r="A9239"/>
  <c r="A9240"/>
  <c r="A9241"/>
  <c r="A9242"/>
  <c r="A9243"/>
  <c r="A9244"/>
  <c r="A9245"/>
  <c r="A9246"/>
  <c r="A9247"/>
  <c r="A9248"/>
  <c r="A9249"/>
  <c r="A9250"/>
  <c r="A9251"/>
  <c r="A9252"/>
  <c r="A9253"/>
  <c r="A9254"/>
  <c r="A9255"/>
  <c r="A9256"/>
  <c r="A9257"/>
  <c r="A9258"/>
  <c r="A9259"/>
  <c r="A9260"/>
  <c r="A9261"/>
  <c r="A9262"/>
  <c r="A9263"/>
  <c r="A9264"/>
  <c r="A9265"/>
  <c r="A9266"/>
  <c r="A9267"/>
  <c r="A9268"/>
  <c r="A9269"/>
  <c r="A9270"/>
  <c r="A9271"/>
  <c r="A9272"/>
  <c r="A9273"/>
  <c r="A9274"/>
  <c r="A9275"/>
  <c r="A9276"/>
  <c r="A9277"/>
  <c r="A9278"/>
  <c r="A9279"/>
  <c r="A9280"/>
  <c r="A9281"/>
  <c r="A9282"/>
  <c r="A9283"/>
  <c r="A9284"/>
  <c r="A9285"/>
  <c r="A9286"/>
  <c r="A9287"/>
  <c r="A9288"/>
  <c r="A9289"/>
  <c r="A9290"/>
  <c r="A9291"/>
  <c r="A9292"/>
  <c r="A9293"/>
  <c r="A9294"/>
  <c r="A9295"/>
  <c r="A9296"/>
  <c r="A9297"/>
  <c r="A9298"/>
  <c r="A9299"/>
  <c r="A9300"/>
  <c r="A9301"/>
  <c r="A9302"/>
  <c r="A9303"/>
  <c r="A9304"/>
  <c r="A9305"/>
  <c r="A9306"/>
  <c r="A9307"/>
  <c r="A9308"/>
  <c r="A9309"/>
  <c r="A9310"/>
  <c r="A9311"/>
  <c r="A9312"/>
  <c r="A9313"/>
  <c r="A9314"/>
  <c r="A9315"/>
  <c r="A9316"/>
  <c r="A9317"/>
  <c r="A9318"/>
  <c r="A9319"/>
  <c r="A9320"/>
  <c r="A9321"/>
  <c r="A9322"/>
  <c r="A9323"/>
  <c r="A9324"/>
  <c r="A9325"/>
  <c r="A9326"/>
  <c r="A9327"/>
  <c r="A9328"/>
  <c r="A9329"/>
  <c r="A9330"/>
  <c r="A9331"/>
  <c r="A9332"/>
  <c r="A9333"/>
  <c r="A9334"/>
  <c r="A9335"/>
  <c r="A9336"/>
  <c r="A9337"/>
  <c r="A9338"/>
  <c r="A9339"/>
  <c r="A9340"/>
  <c r="A9341"/>
  <c r="A9342"/>
  <c r="A9343"/>
  <c r="A9344"/>
  <c r="A9345"/>
  <c r="A9346"/>
  <c r="A9347"/>
  <c r="A9348"/>
  <c r="A9349"/>
  <c r="A9350"/>
  <c r="A9351"/>
  <c r="A9352"/>
  <c r="A9353"/>
  <c r="A9354"/>
  <c r="A9355"/>
  <c r="A9356"/>
  <c r="A9357"/>
  <c r="A9358"/>
  <c r="A9359"/>
  <c r="A9360"/>
  <c r="A9361"/>
  <c r="A9362"/>
  <c r="A9363"/>
  <c r="A9364"/>
  <c r="A9365"/>
  <c r="A9366"/>
  <c r="A9367"/>
  <c r="A9368"/>
  <c r="A9369"/>
  <c r="A9370"/>
  <c r="A9371"/>
  <c r="A9372"/>
  <c r="A9373"/>
  <c r="A9374"/>
  <c r="A9375"/>
  <c r="A9376"/>
  <c r="A9377"/>
  <c r="A9378"/>
  <c r="A9379"/>
  <c r="A9380"/>
  <c r="A9381"/>
  <c r="A9382"/>
  <c r="A9383"/>
  <c r="A9384"/>
  <c r="A9385"/>
  <c r="A9386"/>
  <c r="A9387"/>
  <c r="A9388"/>
  <c r="A9389"/>
  <c r="A9390"/>
  <c r="A9391"/>
  <c r="A9392"/>
  <c r="A9393"/>
  <c r="A9394"/>
  <c r="A9395"/>
  <c r="A9396"/>
  <c r="A9397"/>
  <c r="A9398"/>
  <c r="A9399"/>
  <c r="A9400"/>
  <c r="A9401"/>
  <c r="A9402"/>
  <c r="A9403"/>
  <c r="A9404"/>
  <c r="A9405"/>
  <c r="A9406"/>
  <c r="A9407"/>
  <c r="A9408"/>
  <c r="A9409"/>
  <c r="A9410"/>
  <c r="A9411"/>
  <c r="A9412"/>
  <c r="A9413"/>
  <c r="A9414"/>
  <c r="A9415"/>
  <c r="A9416"/>
  <c r="A9417"/>
  <c r="A9418"/>
  <c r="A9419"/>
  <c r="A9420"/>
  <c r="A9421"/>
  <c r="A9422"/>
  <c r="A9423"/>
  <c r="A9424"/>
  <c r="A9425"/>
  <c r="A9426"/>
  <c r="A9427"/>
  <c r="A9428"/>
  <c r="A9429"/>
  <c r="A9430"/>
  <c r="A9431"/>
  <c r="A9432"/>
  <c r="A9433"/>
  <c r="A9434"/>
  <c r="A9435"/>
  <c r="A9436"/>
  <c r="A9437"/>
  <c r="A9438"/>
  <c r="A9439"/>
  <c r="A9440"/>
  <c r="A9441"/>
  <c r="A9442"/>
  <c r="A9443"/>
  <c r="A9444"/>
  <c r="A9445"/>
  <c r="A9446"/>
  <c r="A9447"/>
  <c r="A9448"/>
  <c r="A9449"/>
  <c r="A9450"/>
  <c r="A9451"/>
  <c r="A9452"/>
  <c r="A9453"/>
  <c r="A9454"/>
  <c r="A9455"/>
  <c r="A9456"/>
  <c r="A9457"/>
  <c r="A9458"/>
  <c r="A9459"/>
  <c r="A9460"/>
  <c r="A9461"/>
  <c r="A9462"/>
  <c r="A9463"/>
  <c r="A9464"/>
  <c r="A9465"/>
  <c r="A9466"/>
  <c r="A9467"/>
  <c r="A9468"/>
  <c r="A9469"/>
  <c r="A9470"/>
  <c r="A9471"/>
  <c r="A9472"/>
  <c r="A9473"/>
  <c r="A9474"/>
  <c r="A9475"/>
  <c r="A9476"/>
  <c r="A9477"/>
  <c r="A9478"/>
  <c r="A9479"/>
  <c r="A9480"/>
  <c r="A9481"/>
  <c r="A9482"/>
  <c r="A9483"/>
  <c r="A9484"/>
  <c r="A9485"/>
  <c r="A9486"/>
  <c r="A9487"/>
  <c r="A9488"/>
  <c r="A9489"/>
  <c r="A9490"/>
  <c r="A9491"/>
  <c r="A9492"/>
  <c r="A9493"/>
  <c r="A9494"/>
  <c r="A9495"/>
  <c r="A9496"/>
  <c r="A9497"/>
  <c r="A9498"/>
  <c r="A9499"/>
  <c r="A9500"/>
  <c r="A9501"/>
  <c r="A9502"/>
  <c r="A9503"/>
  <c r="A9504"/>
  <c r="A9505"/>
  <c r="A9506"/>
  <c r="A9507"/>
  <c r="A9508"/>
  <c r="A9509"/>
  <c r="A9510"/>
  <c r="A9511"/>
  <c r="A9512"/>
  <c r="A9513"/>
  <c r="A9514"/>
  <c r="A9515"/>
  <c r="A9516"/>
  <c r="A9517"/>
  <c r="A9518"/>
  <c r="A9519"/>
  <c r="A9520"/>
  <c r="A9521"/>
  <c r="A9522"/>
  <c r="A9523"/>
  <c r="A9524"/>
  <c r="A9525"/>
  <c r="A9526"/>
  <c r="A9527"/>
  <c r="A9528"/>
  <c r="A9529"/>
  <c r="A9530"/>
  <c r="A9531"/>
  <c r="A9532"/>
  <c r="A9533"/>
  <c r="A9534"/>
  <c r="A9535"/>
  <c r="A9536"/>
  <c r="A9537"/>
  <c r="A9538"/>
  <c r="A9539"/>
  <c r="A9540"/>
  <c r="A9541"/>
  <c r="A9542"/>
  <c r="A9543"/>
  <c r="A9544"/>
  <c r="A9545"/>
  <c r="A9546"/>
  <c r="A9547"/>
  <c r="A9548"/>
  <c r="A9549"/>
  <c r="A9550"/>
  <c r="A9551"/>
  <c r="A9552"/>
  <c r="A9553"/>
  <c r="A9554"/>
  <c r="A9555"/>
  <c r="A9556"/>
  <c r="A9557"/>
  <c r="A9558"/>
  <c r="A9559"/>
  <c r="A9560"/>
  <c r="A9561"/>
  <c r="A9562"/>
  <c r="A9563"/>
  <c r="A9564"/>
  <c r="A9565"/>
  <c r="A9566"/>
  <c r="A9567"/>
  <c r="A9568"/>
  <c r="A9569"/>
  <c r="A9570"/>
  <c r="A9571"/>
  <c r="A9572"/>
  <c r="A9573"/>
  <c r="A9574"/>
  <c r="A9575"/>
  <c r="A9576"/>
  <c r="A9577"/>
  <c r="A9578"/>
  <c r="A9579"/>
  <c r="A9580"/>
  <c r="A9581"/>
  <c r="A9582"/>
  <c r="A9583"/>
  <c r="A9584"/>
  <c r="A9585"/>
  <c r="A9586"/>
  <c r="A9587"/>
  <c r="A9588"/>
  <c r="A9589"/>
  <c r="A9590"/>
  <c r="A9591"/>
  <c r="A9592"/>
  <c r="A9593"/>
  <c r="A9594"/>
  <c r="A9595"/>
  <c r="A9596"/>
  <c r="A9597"/>
  <c r="A9598"/>
  <c r="A9599"/>
  <c r="A9600"/>
  <c r="A9601"/>
  <c r="A9602"/>
  <c r="A9603"/>
  <c r="A9604"/>
  <c r="A9605"/>
  <c r="A9606"/>
  <c r="A9607"/>
  <c r="A9608"/>
  <c r="A9609"/>
  <c r="A9610"/>
  <c r="A9611"/>
  <c r="A9612"/>
  <c r="A9613"/>
  <c r="A9614"/>
  <c r="A9615"/>
  <c r="A9616"/>
  <c r="A9617"/>
  <c r="A9618"/>
  <c r="A9619"/>
  <c r="A9620"/>
  <c r="A9621"/>
  <c r="A9622"/>
  <c r="A9623"/>
  <c r="A9624"/>
  <c r="A9625"/>
  <c r="A9626"/>
  <c r="A9627"/>
  <c r="A9628"/>
  <c r="A9629"/>
  <c r="A9630"/>
  <c r="A9631"/>
  <c r="A9632"/>
  <c r="A9633"/>
  <c r="A9634"/>
  <c r="A9635"/>
  <c r="A9636"/>
  <c r="A9637"/>
  <c r="A9638"/>
  <c r="A9639"/>
  <c r="A9640"/>
  <c r="A9641"/>
  <c r="A9642"/>
  <c r="A9643"/>
  <c r="A9644"/>
  <c r="A9645"/>
  <c r="A9646"/>
  <c r="A9647"/>
  <c r="A9648"/>
  <c r="A9649"/>
  <c r="A9650"/>
  <c r="A9651"/>
  <c r="A9652"/>
  <c r="A9653"/>
  <c r="A9654"/>
  <c r="A9655"/>
  <c r="A9656"/>
  <c r="A9657"/>
  <c r="A9658"/>
  <c r="A9659"/>
  <c r="A9660"/>
  <c r="A9661"/>
  <c r="A9662"/>
  <c r="A9663"/>
  <c r="A9664"/>
  <c r="A9665"/>
  <c r="A9666"/>
  <c r="A9667"/>
  <c r="A9668"/>
  <c r="A9669"/>
  <c r="A9670"/>
  <c r="A9671"/>
  <c r="A9672"/>
  <c r="A9673"/>
  <c r="A9674"/>
  <c r="A9675"/>
  <c r="A9676"/>
  <c r="A9677"/>
  <c r="A9678"/>
  <c r="A9679"/>
  <c r="A9680"/>
  <c r="A9681"/>
  <c r="A9682"/>
  <c r="A9683"/>
  <c r="A9684"/>
  <c r="A9685"/>
  <c r="A9686"/>
  <c r="A9687"/>
  <c r="A9688"/>
  <c r="A9689"/>
  <c r="A9690"/>
  <c r="A9691"/>
  <c r="A9692"/>
  <c r="A9693"/>
  <c r="A9694"/>
  <c r="A9695"/>
  <c r="A9696"/>
  <c r="A9697"/>
  <c r="A9698"/>
  <c r="A9699"/>
  <c r="A9700"/>
  <c r="A9701"/>
  <c r="A9702"/>
  <c r="A9703"/>
  <c r="A9704"/>
  <c r="A9705"/>
  <c r="A9706"/>
  <c r="A9707"/>
  <c r="A9708"/>
  <c r="A9709"/>
  <c r="A9710"/>
  <c r="A9711"/>
  <c r="A9712"/>
  <c r="A9713"/>
  <c r="A9714"/>
  <c r="A9715"/>
  <c r="A9716"/>
  <c r="A9717"/>
  <c r="A9718"/>
  <c r="A9719"/>
  <c r="A9720"/>
  <c r="A9721"/>
  <c r="A9722"/>
  <c r="A9723"/>
  <c r="A9724"/>
  <c r="A9725"/>
  <c r="A9726"/>
  <c r="A9727"/>
  <c r="A9728"/>
  <c r="A9729"/>
  <c r="A9730"/>
  <c r="A9731"/>
  <c r="A9732"/>
  <c r="A9733"/>
  <c r="A9734"/>
  <c r="A9735"/>
  <c r="A9736"/>
  <c r="A9737"/>
  <c r="A9738"/>
  <c r="A9739"/>
  <c r="A9740"/>
  <c r="A9741"/>
  <c r="A9742"/>
  <c r="A9743"/>
  <c r="A9744"/>
  <c r="A9745"/>
  <c r="A9746"/>
  <c r="A9747"/>
  <c r="A9748"/>
  <c r="A9749"/>
  <c r="A9750"/>
  <c r="A9751"/>
  <c r="A9752"/>
  <c r="A9753"/>
  <c r="A9754"/>
  <c r="A9755"/>
  <c r="A9756"/>
  <c r="A9757"/>
  <c r="A9758"/>
  <c r="A9759"/>
  <c r="A9760"/>
  <c r="A9761"/>
  <c r="A9762"/>
  <c r="A9763"/>
  <c r="A9764"/>
  <c r="A9765"/>
  <c r="A9766"/>
  <c r="A9767"/>
  <c r="A9768"/>
  <c r="A9769"/>
  <c r="A9770"/>
  <c r="A9771"/>
  <c r="A9772"/>
  <c r="A9773"/>
  <c r="A9774"/>
  <c r="A9775"/>
  <c r="A9776"/>
  <c r="A9777"/>
  <c r="A9778"/>
  <c r="A9779"/>
  <c r="A9780"/>
  <c r="A9781"/>
  <c r="A9782"/>
  <c r="A9783"/>
  <c r="A9784"/>
  <c r="A9785"/>
  <c r="A9786"/>
  <c r="A9787"/>
  <c r="A9788"/>
  <c r="A9789"/>
  <c r="A9790"/>
  <c r="A9791"/>
  <c r="A9792"/>
  <c r="A9793"/>
  <c r="A9794"/>
  <c r="A9795"/>
  <c r="A9796"/>
  <c r="A9797"/>
  <c r="A9798"/>
  <c r="A9799"/>
  <c r="A9800"/>
  <c r="A9801"/>
  <c r="A9802"/>
  <c r="A9803"/>
  <c r="A9804"/>
  <c r="A9805"/>
  <c r="A9806"/>
  <c r="A9807"/>
  <c r="A9808"/>
  <c r="A9809"/>
  <c r="A9810"/>
  <c r="A9811"/>
  <c r="A9812"/>
  <c r="A9813"/>
  <c r="A9814"/>
  <c r="A9815"/>
  <c r="A9816"/>
  <c r="A9817"/>
  <c r="A9818"/>
  <c r="A9819"/>
  <c r="A9820"/>
  <c r="A9821"/>
  <c r="A9822"/>
  <c r="A9823"/>
  <c r="A9824"/>
  <c r="A9825"/>
  <c r="A9826"/>
  <c r="A9827"/>
  <c r="A9828"/>
  <c r="A9829"/>
  <c r="A9830"/>
  <c r="A9831"/>
  <c r="A9832"/>
  <c r="A9833"/>
  <c r="A9834"/>
  <c r="A9835"/>
  <c r="A9836"/>
  <c r="A9837"/>
  <c r="A9838"/>
  <c r="A9839"/>
  <c r="A9840"/>
  <c r="A9841"/>
  <c r="A9842"/>
  <c r="A9843"/>
  <c r="A9844"/>
  <c r="A9845"/>
  <c r="A9846"/>
  <c r="A9847"/>
  <c r="A9848"/>
  <c r="A9849"/>
  <c r="A9850"/>
  <c r="A9851"/>
  <c r="A9852"/>
  <c r="A9853"/>
  <c r="A9854"/>
  <c r="A9855"/>
  <c r="A9856"/>
  <c r="A9857"/>
  <c r="A9858"/>
  <c r="A9859"/>
  <c r="A9860"/>
  <c r="A9861"/>
  <c r="A9862"/>
  <c r="A9863"/>
  <c r="A9864"/>
  <c r="A9865"/>
  <c r="A9866"/>
  <c r="A9867"/>
  <c r="A9868"/>
  <c r="A9869"/>
  <c r="A9870"/>
  <c r="A9871"/>
  <c r="A9872"/>
  <c r="A9873"/>
  <c r="A9874"/>
  <c r="A9875"/>
  <c r="A9876"/>
  <c r="A9877"/>
  <c r="A9878"/>
  <c r="A9879"/>
  <c r="A9880"/>
  <c r="A9881"/>
  <c r="A9882"/>
  <c r="A9883"/>
  <c r="A9884"/>
  <c r="A9885"/>
  <c r="A9886"/>
  <c r="A9887"/>
  <c r="A9888"/>
  <c r="A9889"/>
  <c r="A9890"/>
  <c r="A9891"/>
  <c r="A9892"/>
  <c r="A9893"/>
  <c r="A9894"/>
  <c r="A9895"/>
  <c r="A9896"/>
  <c r="A9897"/>
  <c r="A9898"/>
  <c r="A9899"/>
  <c r="A9900"/>
  <c r="A9901"/>
  <c r="A9902"/>
  <c r="A9903"/>
  <c r="A9904"/>
  <c r="A9905"/>
  <c r="A9906"/>
  <c r="A9907"/>
  <c r="A9908"/>
  <c r="A9909"/>
  <c r="A9910"/>
  <c r="A9911"/>
  <c r="A9912"/>
  <c r="A9913"/>
  <c r="A9914"/>
  <c r="A9915"/>
  <c r="A9916"/>
  <c r="A9917"/>
  <c r="A9918"/>
  <c r="A9919"/>
  <c r="A9920"/>
  <c r="A9921"/>
  <c r="A9922"/>
  <c r="A9923"/>
  <c r="A9924"/>
  <c r="A9925"/>
  <c r="A9926"/>
  <c r="A9927"/>
  <c r="A9928"/>
  <c r="A9929"/>
  <c r="A9930"/>
  <c r="A9931"/>
  <c r="A9932"/>
  <c r="A9933"/>
  <c r="A9934"/>
  <c r="A9935"/>
  <c r="A9936"/>
  <c r="A9937"/>
  <c r="A9938"/>
  <c r="A9939"/>
  <c r="A9940"/>
  <c r="A9941"/>
  <c r="A9942"/>
  <c r="A9943"/>
  <c r="A9944"/>
  <c r="A9945"/>
  <c r="A9946"/>
  <c r="A9947"/>
  <c r="A9948"/>
  <c r="A9949"/>
  <c r="A9950"/>
  <c r="A9951"/>
  <c r="A9952"/>
  <c r="A9953"/>
  <c r="A9954"/>
  <c r="A9955"/>
  <c r="A9956"/>
  <c r="A9957"/>
  <c r="A9958"/>
  <c r="A9959"/>
  <c r="A9960"/>
  <c r="A9961"/>
  <c r="A9962"/>
  <c r="A9963"/>
  <c r="A9964"/>
  <c r="A9965"/>
  <c r="A9966"/>
  <c r="A9967"/>
  <c r="A9968"/>
  <c r="A9969"/>
  <c r="A9970"/>
  <c r="A9971"/>
  <c r="A9972"/>
  <c r="A9973"/>
  <c r="A9974"/>
  <c r="A9975"/>
  <c r="A9976"/>
  <c r="A9977"/>
  <c r="A9978"/>
  <c r="A9979"/>
  <c r="A9980"/>
  <c r="A9981"/>
  <c r="A9982"/>
  <c r="A9983"/>
  <c r="A9984"/>
  <c r="A9985"/>
  <c r="A9986"/>
  <c r="A9987"/>
  <c r="A9988"/>
  <c r="A9989"/>
  <c r="A9990"/>
  <c r="A9991"/>
  <c r="A9992"/>
  <c r="A9993"/>
  <c r="A9994"/>
  <c r="A9995"/>
  <c r="A9996"/>
  <c r="A9997"/>
  <c r="A9998"/>
  <c r="A9999"/>
  <c r="A10000"/>
  <c r="A10001"/>
  <c r="A10002"/>
  <c r="C4" i="17"/>
  <c r="D4"/>
  <c r="E4"/>
  <c r="F4"/>
  <c r="G4"/>
  <c r="H4"/>
  <c r="I4"/>
  <c r="J4"/>
  <c r="K4"/>
  <c r="L4"/>
  <c r="M4"/>
  <c r="N4"/>
  <c r="O4"/>
  <c r="A19"/>
  <c r="A18" s="1"/>
  <c r="A17" s="1"/>
  <c r="A16" s="1"/>
  <c r="A15" s="1"/>
  <c r="A14" s="1"/>
  <c r="A13" s="1"/>
  <c r="A12" s="1"/>
  <c r="A11" s="1"/>
  <c r="A10" s="1"/>
  <c r="A9" s="1"/>
  <c r="A8" s="1"/>
  <c r="A21"/>
  <c r="A22"/>
  <c r="A23"/>
  <c r="A24"/>
  <c r="A25"/>
  <c r="A26"/>
  <c r="A27"/>
  <c r="A28"/>
  <c r="A29"/>
  <c r="A30"/>
  <c r="A31"/>
  <c r="A32"/>
  <c r="A19" i="5"/>
  <c r="A18" s="1"/>
  <c r="B19"/>
  <c r="C19"/>
  <c r="D19"/>
  <c r="E19"/>
  <c r="A21" i="6"/>
  <c r="B21"/>
  <c r="C21"/>
  <c r="D21"/>
  <c r="E21"/>
  <c r="A22"/>
  <c r="B22"/>
  <c r="C22"/>
  <c r="D22"/>
  <c r="E22"/>
  <c r="A23"/>
  <c r="B23"/>
  <c r="C23"/>
  <c r="D23"/>
  <c r="E23"/>
  <c r="A24"/>
  <c r="B24"/>
  <c r="C24"/>
  <c r="D24"/>
  <c r="E24"/>
  <c r="A25"/>
  <c r="B25"/>
  <c r="C25"/>
  <c r="D25"/>
  <c r="E25"/>
  <c r="A26"/>
  <c r="B26"/>
  <c r="C26"/>
  <c r="D26"/>
  <c r="E26"/>
  <c r="A27"/>
  <c r="B27"/>
  <c r="C27"/>
  <c r="D27"/>
  <c r="E27"/>
  <c r="A28"/>
  <c r="B28"/>
  <c r="C28"/>
  <c r="D28"/>
  <c r="E28"/>
  <c r="A29"/>
  <c r="B29"/>
  <c r="C29"/>
  <c r="D29"/>
  <c r="E29"/>
  <c r="A30"/>
  <c r="B30"/>
  <c r="C30"/>
  <c r="D30"/>
  <c r="E30"/>
  <c r="A31"/>
  <c r="B31"/>
  <c r="C31"/>
  <c r="D31"/>
  <c r="E31"/>
  <c r="A32"/>
  <c r="B32"/>
  <c r="C32"/>
  <c r="D32"/>
  <c r="E32"/>
  <c r="A19" i="4"/>
  <c r="A18" s="1"/>
  <c r="B19"/>
  <c r="C19"/>
  <c r="D19"/>
  <c r="E19"/>
  <c r="B20"/>
  <c r="C20"/>
  <c r="D20"/>
  <c r="E20"/>
  <c r="A21"/>
  <c r="B21"/>
  <c r="C21"/>
  <c r="D21"/>
  <c r="E21"/>
  <c r="A22"/>
  <c r="B22"/>
  <c r="C22"/>
  <c r="D22"/>
  <c r="E22"/>
  <c r="A23"/>
  <c r="B23"/>
  <c r="C23"/>
  <c r="D23"/>
  <c r="E23"/>
  <c r="A24"/>
  <c r="B24"/>
  <c r="C24"/>
  <c r="D24"/>
  <c r="E24"/>
  <c r="A25"/>
  <c r="B25"/>
  <c r="C25"/>
  <c r="D25"/>
  <c r="E25"/>
  <c r="A26"/>
  <c r="B26"/>
  <c r="C26"/>
  <c r="D26"/>
  <c r="E26"/>
  <c r="A27"/>
  <c r="B27"/>
  <c r="C27"/>
  <c r="D27"/>
  <c r="E27"/>
  <c r="A28"/>
  <c r="B28"/>
  <c r="C28"/>
  <c r="D28"/>
  <c r="E28"/>
  <c r="A29"/>
  <c r="B29"/>
  <c r="C29"/>
  <c r="D29"/>
  <c r="E29"/>
  <c r="A30"/>
  <c r="B30"/>
  <c r="C30"/>
  <c r="D30"/>
  <c r="E30"/>
  <c r="A31"/>
  <c r="B31"/>
  <c r="C31"/>
  <c r="D31"/>
  <c r="E31"/>
  <c r="A32"/>
  <c r="B32"/>
  <c r="C32"/>
  <c r="D32"/>
  <c r="E32"/>
  <c r="D11" i="3"/>
  <c r="D14"/>
  <c r="D17"/>
  <c r="D18"/>
  <c r="B20"/>
  <c r="D20"/>
  <c r="D21"/>
  <c r="D22"/>
  <c r="D24"/>
  <c r="D25"/>
  <c r="D26"/>
  <c r="D28"/>
  <c r="D29"/>
  <c r="D30"/>
  <c r="D31"/>
  <c r="C4" i="11"/>
  <c r="D4"/>
  <c r="E4"/>
  <c r="F4"/>
  <c r="G4"/>
  <c r="H4"/>
  <c r="I4"/>
  <c r="J4"/>
  <c r="K4"/>
  <c r="L4"/>
  <c r="M4"/>
  <c r="N4"/>
  <c r="O4"/>
  <c r="A19"/>
  <c r="A18" s="1"/>
  <c r="A17" s="1"/>
  <c r="A16" s="1"/>
  <c r="A15" s="1"/>
  <c r="A14" s="1"/>
  <c r="A13" s="1"/>
  <c r="A12" s="1"/>
  <c r="A11" s="1"/>
  <c r="A10" s="1"/>
  <c r="A9" s="1"/>
  <c r="A8" s="1"/>
  <c r="A21"/>
  <c r="D21"/>
  <c r="A22"/>
  <c r="A23"/>
  <c r="A24"/>
  <c r="A25"/>
  <c r="A26"/>
  <c r="A27"/>
  <c r="A28"/>
  <c r="A29"/>
  <c r="A30"/>
  <c r="A31"/>
  <c r="A32"/>
  <c r="C4" i="14"/>
  <c r="D4"/>
  <c r="E4"/>
  <c r="F4"/>
  <c r="G4"/>
  <c r="H4"/>
  <c r="I4"/>
  <c r="J4"/>
  <c r="K4"/>
  <c r="L4"/>
  <c r="M4"/>
  <c r="N4"/>
  <c r="O4"/>
  <c r="A19"/>
  <c r="A18" s="1"/>
  <c r="A17" s="1"/>
  <c r="A16" s="1"/>
  <c r="A15" s="1"/>
  <c r="A14" s="1"/>
  <c r="A13" s="1"/>
  <c r="A12" s="1"/>
  <c r="A11" s="1"/>
  <c r="A10" s="1"/>
  <c r="A9" s="1"/>
  <c r="A8" s="1"/>
  <c r="A21"/>
  <c r="A22"/>
  <c r="A23"/>
  <c r="A24"/>
  <c r="A25"/>
  <c r="A26"/>
  <c r="A27"/>
  <c r="A28"/>
  <c r="A29"/>
  <c r="A30"/>
  <c r="A31"/>
  <c r="A32"/>
  <c r="C4" i="12"/>
  <c r="D4"/>
  <c r="E4"/>
  <c r="F4"/>
  <c r="G4"/>
  <c r="H4"/>
  <c r="I4"/>
  <c r="J4"/>
  <c r="K4"/>
  <c r="L4"/>
  <c r="M4"/>
  <c r="N4"/>
  <c r="O4"/>
  <c r="A19"/>
  <c r="A18" s="1"/>
  <c r="B19"/>
  <c r="B20"/>
  <c r="A21"/>
  <c r="B21"/>
  <c r="A22"/>
  <c r="B22"/>
  <c r="A23"/>
  <c r="B23"/>
  <c r="A24"/>
  <c r="B24"/>
  <c r="A25"/>
  <c r="B25"/>
  <c r="A26"/>
  <c r="B26"/>
  <c r="A27"/>
  <c r="B27"/>
  <c r="A28"/>
  <c r="B28"/>
  <c r="A29"/>
  <c r="B29"/>
  <c r="A30"/>
  <c r="B30"/>
  <c r="A31"/>
  <c r="B31"/>
  <c r="A32"/>
  <c r="B32"/>
  <c r="H26" i="19"/>
  <c r="H27" l="1"/>
  <c r="A17" i="12"/>
  <c r="B18"/>
  <c r="A17" i="4"/>
  <c r="B18"/>
  <c r="A17" i="5"/>
  <c r="B18"/>
  <c r="D21" i="9"/>
  <c r="D21" i="10" s="1"/>
  <c r="C18" i="5" l="1"/>
  <c r="D18"/>
  <c r="E18"/>
  <c r="A16"/>
  <c r="B17"/>
  <c r="C18" i="4"/>
  <c r="D18"/>
  <c r="E18"/>
  <c r="A16"/>
  <c r="B17"/>
  <c r="A16" i="12"/>
  <c r="B17"/>
  <c r="A15" l="1"/>
  <c r="B16"/>
  <c r="C17" i="4"/>
  <c r="D17"/>
  <c r="E17"/>
  <c r="A15"/>
  <c r="B16"/>
  <c r="C17" i="5"/>
  <c r="D17"/>
  <c r="E17"/>
  <c r="A15"/>
  <c r="B16"/>
  <c r="D20" i="9"/>
  <c r="D20" i="10" s="1"/>
  <c r="D20" i="11"/>
  <c r="E22" l="1"/>
  <c r="C16" i="5"/>
  <c r="D16"/>
  <c r="E16"/>
  <c r="A14"/>
  <c r="B15"/>
  <c r="D19" i="11"/>
  <c r="D19" i="9"/>
  <c r="C16" i="4"/>
  <c r="D16"/>
  <c r="E16"/>
  <c r="A14"/>
  <c r="B15"/>
  <c r="A14" i="12"/>
  <c r="B15"/>
  <c r="A13" l="1"/>
  <c r="B14"/>
  <c r="C15" i="4"/>
  <c r="D15"/>
  <c r="E15"/>
  <c r="A13"/>
  <c r="B14"/>
  <c r="D19" i="10"/>
  <c r="D5" s="1"/>
  <c r="E21" i="9"/>
  <c r="E21" i="10" s="1"/>
  <c r="E18" i="11"/>
  <c r="E21"/>
  <c r="F23" s="1"/>
  <c r="E20"/>
  <c r="F22" s="1"/>
  <c r="G24" s="1"/>
  <c r="C15" i="5"/>
  <c r="D15"/>
  <c r="E15"/>
  <c r="A13"/>
  <c r="B14"/>
  <c r="E18" i="9"/>
  <c r="E18" i="10" s="1"/>
  <c r="E19" i="11"/>
  <c r="F21" s="1"/>
  <c r="G23" s="1"/>
  <c r="H25" s="1"/>
  <c r="C14" i="5" l="1"/>
  <c r="D14"/>
  <c r="E14"/>
  <c r="A12"/>
  <c r="B13"/>
  <c r="F17" i="11"/>
  <c r="F20"/>
  <c r="G22" s="1"/>
  <c r="H24" s="1"/>
  <c r="I26" s="1"/>
  <c r="F19"/>
  <c r="G21" s="1"/>
  <c r="H23" s="1"/>
  <c r="I25" s="1"/>
  <c r="J27" s="1"/>
  <c r="D20" i="12"/>
  <c r="E22" i="9"/>
  <c r="E22" i="10" s="1"/>
  <c r="E19" i="9"/>
  <c r="E19" i="10" s="1"/>
  <c r="E20" i="9"/>
  <c r="E20" i="10" s="1"/>
  <c r="C14" i="4"/>
  <c r="D14"/>
  <c r="E14"/>
  <c r="A12"/>
  <c r="B13"/>
  <c r="A12" i="12"/>
  <c r="B13"/>
  <c r="F18" i="11"/>
  <c r="G20" s="1"/>
  <c r="H22" s="1"/>
  <c r="I24" s="1"/>
  <c r="J26" s="1"/>
  <c r="K28" s="1"/>
  <c r="A11" i="12" l="1"/>
  <c r="B12"/>
  <c r="C13" i="4"/>
  <c r="D13"/>
  <c r="E13"/>
  <c r="A11"/>
  <c r="B12"/>
  <c r="D19" i="12"/>
  <c r="D21"/>
  <c r="G19" i="11"/>
  <c r="H21" s="1"/>
  <c r="I23" s="1"/>
  <c r="J25" s="1"/>
  <c r="K27" s="1"/>
  <c r="L29" s="1"/>
  <c r="G18"/>
  <c r="H20" s="1"/>
  <c r="I22" s="1"/>
  <c r="J24" s="1"/>
  <c r="K26" s="1"/>
  <c r="L28" s="1"/>
  <c r="M30" s="1"/>
  <c r="C13" i="5"/>
  <c r="D13"/>
  <c r="E13"/>
  <c r="A11"/>
  <c r="B12"/>
  <c r="G16" i="11"/>
  <c r="E5" i="10"/>
  <c r="G17" i="11"/>
  <c r="H19" s="1"/>
  <c r="I21" s="1"/>
  <c r="J23" s="1"/>
  <c r="K25" s="1"/>
  <c r="L27" s="1"/>
  <c r="M29" s="1"/>
  <c r="N31" s="1"/>
  <c r="E20" i="12" l="1"/>
  <c r="F19" i="9"/>
  <c r="F19" i="10" s="1"/>
  <c r="F18" i="9"/>
  <c r="F18" i="10" s="1"/>
  <c r="F17" i="9"/>
  <c r="F17" i="10" s="1"/>
  <c r="F23" i="9"/>
  <c r="F23" i="10" s="1"/>
  <c r="F22" i="9"/>
  <c r="F22" i="10" s="1"/>
  <c r="F20" i="9"/>
  <c r="F20" i="10" s="1"/>
  <c r="F21" i="9"/>
  <c r="F21" i="10" s="1"/>
  <c r="H18" i="11"/>
  <c r="I20" s="1"/>
  <c r="J22" s="1"/>
  <c r="K24" s="1"/>
  <c r="L26" s="1"/>
  <c r="M28" s="1"/>
  <c r="N30" s="1"/>
  <c r="O32" s="1"/>
  <c r="H17"/>
  <c r="I19" s="1"/>
  <c r="J21" s="1"/>
  <c r="K23" s="1"/>
  <c r="L25" s="1"/>
  <c r="M27" s="1"/>
  <c r="N29" s="1"/>
  <c r="O31" s="1"/>
  <c r="C12" i="5"/>
  <c r="D12"/>
  <c r="E12"/>
  <c r="A10"/>
  <c r="B11"/>
  <c r="H15" i="11"/>
  <c r="C12" i="4"/>
  <c r="D12"/>
  <c r="E12"/>
  <c r="A10"/>
  <c r="B11"/>
  <c r="A10" i="12"/>
  <c r="B11"/>
  <c r="H16" i="11"/>
  <c r="I18" s="1"/>
  <c r="J20" s="1"/>
  <c r="K22" s="1"/>
  <c r="L24" s="1"/>
  <c r="M26" s="1"/>
  <c r="N28" s="1"/>
  <c r="O30" s="1"/>
  <c r="F5" i="10"/>
  <c r="A9" i="12" l="1"/>
  <c r="B10"/>
  <c r="C11" i="4"/>
  <c r="D11"/>
  <c r="E11"/>
  <c r="A9"/>
  <c r="B10"/>
  <c r="I17" i="11"/>
  <c r="J19" s="1"/>
  <c r="K21" s="1"/>
  <c r="L23" s="1"/>
  <c r="M25" s="1"/>
  <c r="N27" s="1"/>
  <c r="O29" s="1"/>
  <c r="I16"/>
  <c r="J18" s="1"/>
  <c r="K20" s="1"/>
  <c r="L22" s="1"/>
  <c r="M24" s="1"/>
  <c r="N26" s="1"/>
  <c r="O28" s="1"/>
  <c r="C11" i="5"/>
  <c r="D11"/>
  <c r="E11"/>
  <c r="A9"/>
  <c r="B10"/>
  <c r="I14" i="11"/>
  <c r="E18" i="12"/>
  <c r="E19"/>
  <c r="E21"/>
  <c r="E22"/>
  <c r="I15" i="11"/>
  <c r="J17" s="1"/>
  <c r="K19" s="1"/>
  <c r="L21" s="1"/>
  <c r="M23" s="1"/>
  <c r="N25" s="1"/>
  <c r="O27" s="1"/>
  <c r="F20" i="12"/>
  <c r="G18" i="9"/>
  <c r="G17"/>
  <c r="G16"/>
  <c r="G23"/>
  <c r="G22"/>
  <c r="G24"/>
  <c r="G24" i="10" s="1"/>
  <c r="G19" i="9"/>
  <c r="G20"/>
  <c r="G21"/>
  <c r="J16" i="11" l="1"/>
  <c r="K18" s="1"/>
  <c r="L20" s="1"/>
  <c r="M22" s="1"/>
  <c r="N24" s="1"/>
  <c r="O26" s="1"/>
  <c r="J15"/>
  <c r="K17" s="1"/>
  <c r="L19" s="1"/>
  <c r="M21" s="1"/>
  <c r="N23" s="1"/>
  <c r="O25" s="1"/>
  <c r="C10" i="5"/>
  <c r="D10"/>
  <c r="E10"/>
  <c r="A8"/>
  <c r="B8" s="1"/>
  <c r="B9"/>
  <c r="J13" i="11"/>
  <c r="C10" i="4"/>
  <c r="D10"/>
  <c r="E10"/>
  <c r="A8"/>
  <c r="B8" s="1"/>
  <c r="B9"/>
  <c r="A8" i="12"/>
  <c r="B8" s="1"/>
  <c r="B9"/>
  <c r="J14" i="11"/>
  <c r="K16" s="1"/>
  <c r="L18" s="1"/>
  <c r="M20" s="1"/>
  <c r="N22" s="1"/>
  <c r="O24" s="1"/>
  <c r="G21" i="10"/>
  <c r="G20"/>
  <c r="G19"/>
  <c r="G22"/>
  <c r="G23"/>
  <c r="G16"/>
  <c r="G17"/>
  <c r="G18"/>
  <c r="F17" i="12"/>
  <c r="F18"/>
  <c r="F19"/>
  <c r="F21"/>
  <c r="F22"/>
  <c r="F23"/>
  <c r="C9" i="4" l="1"/>
  <c r="D9"/>
  <c r="E9"/>
  <c r="C8"/>
  <c r="D8"/>
  <c r="E8"/>
  <c r="K15" i="11"/>
  <c r="L17" s="1"/>
  <c r="M19" s="1"/>
  <c r="N21" s="1"/>
  <c r="O23" s="1"/>
  <c r="K14"/>
  <c r="L16" s="1"/>
  <c r="M18" s="1"/>
  <c r="N20" s="1"/>
  <c r="O22" s="1"/>
  <c r="C9" i="5"/>
  <c r="D9"/>
  <c r="E9"/>
  <c r="C8"/>
  <c r="D8"/>
  <c r="E8"/>
  <c r="K12" i="11"/>
  <c r="K13"/>
  <c r="L15" s="1"/>
  <c r="M17" s="1"/>
  <c r="N19" s="1"/>
  <c r="O21" s="1"/>
  <c r="G5" i="10"/>
  <c r="L14" i="11" l="1"/>
  <c r="M16" s="1"/>
  <c r="N18" s="1"/>
  <c r="O20" s="1"/>
  <c r="L13"/>
  <c r="M15" s="1"/>
  <c r="N17" s="1"/>
  <c r="O19" s="1"/>
  <c r="L11"/>
  <c r="L12"/>
  <c r="M14" s="1"/>
  <c r="N16" s="1"/>
  <c r="O18" s="1"/>
  <c r="G20" i="12"/>
  <c r="H17" i="9"/>
  <c r="H16"/>
  <c r="H15"/>
  <c r="H23"/>
  <c r="H22"/>
  <c r="H21"/>
  <c r="H24"/>
  <c r="H25"/>
  <c r="H25" i="10" s="1"/>
  <c r="H18" i="9"/>
  <c r="H19"/>
  <c r="H20"/>
  <c r="M13" i="11" l="1"/>
  <c r="N15" s="1"/>
  <c r="O17" s="1"/>
  <c r="M12"/>
  <c r="N14" s="1"/>
  <c r="O16" s="1"/>
  <c r="M11"/>
  <c r="N13" s="1"/>
  <c r="O15" s="1"/>
  <c r="M10"/>
  <c r="H20" i="10"/>
  <c r="H19"/>
  <c r="H18"/>
  <c r="H24"/>
  <c r="H21"/>
  <c r="H22"/>
  <c r="H23"/>
  <c r="H15"/>
  <c r="H16"/>
  <c r="H17"/>
  <c r="G16" i="12"/>
  <c r="G17"/>
  <c r="G18"/>
  <c r="G19"/>
  <c r="G21"/>
  <c r="G22"/>
  <c r="G23"/>
  <c r="G24"/>
  <c r="N12" i="11" l="1"/>
  <c r="O14" s="1"/>
  <c r="N10"/>
  <c r="N9"/>
  <c r="N11"/>
  <c r="O13" s="1"/>
  <c r="H5" i="10"/>
  <c r="O10" i="11" l="1"/>
  <c r="O9"/>
  <c r="O11"/>
  <c r="O8"/>
  <c r="O12"/>
  <c r="H20" i="12"/>
  <c r="I16" i="9"/>
  <c r="I15"/>
  <c r="I14"/>
  <c r="I22"/>
  <c r="I21"/>
  <c r="I20"/>
  <c r="I26"/>
  <c r="I26" i="10" s="1"/>
  <c r="I23" i="9"/>
  <c r="I24"/>
  <c r="I25"/>
  <c r="I17"/>
  <c r="I18"/>
  <c r="I19"/>
  <c r="I19" i="10" l="1"/>
  <c r="I18"/>
  <c r="I17"/>
  <c r="I25"/>
  <c r="I24"/>
  <c r="I23"/>
  <c r="I20"/>
  <c r="I21"/>
  <c r="I22"/>
  <c r="I14"/>
  <c r="I15"/>
  <c r="I16"/>
  <c r="H15" i="12"/>
  <c r="H16"/>
  <c r="H17"/>
  <c r="H18"/>
  <c r="H19"/>
  <c r="H21"/>
  <c r="H22"/>
  <c r="H23"/>
  <c r="H24"/>
  <c r="H25"/>
  <c r="I5" i="10" l="1"/>
  <c r="I20" i="12" l="1"/>
  <c r="J15" i="9"/>
  <c r="J14"/>
  <c r="J13"/>
  <c r="J21"/>
  <c r="J20"/>
  <c r="J19"/>
  <c r="J27"/>
  <c r="J27" i="10" s="1"/>
  <c r="J26" i="9"/>
  <c r="J25"/>
  <c r="J22"/>
  <c r="J23"/>
  <c r="J24"/>
  <c r="J16"/>
  <c r="J17"/>
  <c r="J18"/>
  <c r="J18" i="10" l="1"/>
  <c r="J17"/>
  <c r="J16"/>
  <c r="J24"/>
  <c r="J23"/>
  <c r="J22"/>
  <c r="J25"/>
  <c r="J26"/>
  <c r="J19"/>
  <c r="J20"/>
  <c r="J21"/>
  <c r="J13"/>
  <c r="J14"/>
  <c r="J15"/>
  <c r="I14" i="12"/>
  <c r="I15"/>
  <c r="I16"/>
  <c r="I17"/>
  <c r="I18"/>
  <c r="I19"/>
  <c r="I21"/>
  <c r="I22"/>
  <c r="I23"/>
  <c r="I24"/>
  <c r="I25"/>
  <c r="I26"/>
  <c r="J5" i="10" l="1"/>
  <c r="J20" i="12" l="1"/>
  <c r="K14" i="9"/>
  <c r="K13"/>
  <c r="K12"/>
  <c r="K20"/>
  <c r="K19"/>
  <c r="K18"/>
  <c r="K26"/>
  <c r="K25"/>
  <c r="K24"/>
  <c r="K27"/>
  <c r="K28"/>
  <c r="K28" i="10" s="1"/>
  <c r="K21" i="9"/>
  <c r="K22"/>
  <c r="K23"/>
  <c r="K15"/>
  <c r="K16"/>
  <c r="K17"/>
  <c r="K17" i="10" l="1"/>
  <c r="K16"/>
  <c r="K15"/>
  <c r="K23"/>
  <c r="K22"/>
  <c r="K21"/>
  <c r="K27"/>
  <c r="K24"/>
  <c r="K25"/>
  <c r="K26"/>
  <c r="K18"/>
  <c r="K19"/>
  <c r="K20"/>
  <c r="K12"/>
  <c r="K13"/>
  <c r="K14"/>
  <c r="J13" i="12"/>
  <c r="J14"/>
  <c r="J15"/>
  <c r="J16"/>
  <c r="J17"/>
  <c r="J18"/>
  <c r="J19"/>
  <c r="J21"/>
  <c r="J22"/>
  <c r="J23"/>
  <c r="J24"/>
  <c r="J25"/>
  <c r="J26"/>
  <c r="J27"/>
  <c r="K5" i="10" l="1"/>
  <c r="K20" i="12" l="1"/>
  <c r="L13" i="9"/>
  <c r="L12"/>
  <c r="L11"/>
  <c r="L19"/>
  <c r="L18"/>
  <c r="L17"/>
  <c r="L25"/>
  <c r="L24"/>
  <c r="L23"/>
  <c r="L29"/>
  <c r="L29" i="10" s="1"/>
  <c r="L26" i="9"/>
  <c r="L27"/>
  <c r="L28"/>
  <c r="L20"/>
  <c r="L21"/>
  <c r="L22"/>
  <c r="L14"/>
  <c r="L15"/>
  <c r="L16"/>
  <c r="L16" i="10" l="1"/>
  <c r="L15"/>
  <c r="L14"/>
  <c r="L22"/>
  <c r="L21"/>
  <c r="L20"/>
  <c r="L28"/>
  <c r="L27"/>
  <c r="L26"/>
  <c r="L23"/>
  <c r="L24"/>
  <c r="L25"/>
  <c r="L17"/>
  <c r="L18"/>
  <c r="L19"/>
  <c r="L11"/>
  <c r="L12"/>
  <c r="L13"/>
  <c r="K12" i="12"/>
  <c r="K13"/>
  <c r="K14"/>
  <c r="K15"/>
  <c r="K16"/>
  <c r="K17"/>
  <c r="K18"/>
  <c r="K19"/>
  <c r="K21"/>
  <c r="K22"/>
  <c r="K23"/>
  <c r="K24"/>
  <c r="K25"/>
  <c r="K26"/>
  <c r="K27"/>
  <c r="K28"/>
  <c r="L5" i="10" l="1"/>
  <c r="L20" i="12" l="1"/>
  <c r="M12" i="9"/>
  <c r="M11"/>
  <c r="M10"/>
  <c r="M18"/>
  <c r="M17"/>
  <c r="M16"/>
  <c r="M24"/>
  <c r="M23"/>
  <c r="M22"/>
  <c r="M30"/>
  <c r="M30" i="10" s="1"/>
  <c r="M29" i="9"/>
  <c r="M28"/>
  <c r="M25"/>
  <c r="M26"/>
  <c r="M27"/>
  <c r="M19"/>
  <c r="M20"/>
  <c r="M21"/>
  <c r="M13"/>
  <c r="M14"/>
  <c r="M15"/>
  <c r="M15" i="10" l="1"/>
  <c r="M14"/>
  <c r="M13"/>
  <c r="M21"/>
  <c r="M20"/>
  <c r="M19"/>
  <c r="M27"/>
  <c r="M26"/>
  <c r="M25"/>
  <c r="M28"/>
  <c r="M29"/>
  <c r="M22"/>
  <c r="M23"/>
  <c r="M24"/>
  <c r="M16"/>
  <c r="M17"/>
  <c r="M18"/>
  <c r="M10"/>
  <c r="M11"/>
  <c r="M12"/>
  <c r="L11" i="12"/>
  <c r="L12"/>
  <c r="L13"/>
  <c r="L14"/>
  <c r="L15"/>
  <c r="L16"/>
  <c r="L17"/>
  <c r="L18"/>
  <c r="L19"/>
  <c r="L21"/>
  <c r="L22"/>
  <c r="L23"/>
  <c r="L24"/>
  <c r="L25"/>
  <c r="L26"/>
  <c r="L27"/>
  <c r="L28"/>
  <c r="L29"/>
  <c r="M5" i="10" l="1"/>
  <c r="N9" i="9" l="1"/>
  <c r="M20" i="12"/>
  <c r="N11" i="9"/>
  <c r="N10"/>
  <c r="N17"/>
  <c r="N16"/>
  <c r="N15"/>
  <c r="N23"/>
  <c r="N22"/>
  <c r="N21"/>
  <c r="N29"/>
  <c r="N28"/>
  <c r="N27"/>
  <c r="N30"/>
  <c r="N31"/>
  <c r="N31" i="10" s="1"/>
  <c r="N24" i="9"/>
  <c r="N25"/>
  <c r="N26"/>
  <c r="N18"/>
  <c r="N19"/>
  <c r="N20"/>
  <c r="N12"/>
  <c r="N13"/>
  <c r="N14"/>
  <c r="N14" i="10" l="1"/>
  <c r="N13"/>
  <c r="N12"/>
  <c r="N20"/>
  <c r="N19"/>
  <c r="N18"/>
  <c r="N26"/>
  <c r="N25"/>
  <c r="N24"/>
  <c r="N30"/>
  <c r="N27"/>
  <c r="N28"/>
  <c r="N29"/>
  <c r="N21"/>
  <c r="N22"/>
  <c r="N23"/>
  <c r="N15"/>
  <c r="N16"/>
  <c r="N17"/>
  <c r="N10"/>
  <c r="N11"/>
  <c r="M10" i="12"/>
  <c r="M11"/>
  <c r="M12"/>
  <c r="M13"/>
  <c r="M14"/>
  <c r="M15"/>
  <c r="M16"/>
  <c r="M17"/>
  <c r="M18"/>
  <c r="M19"/>
  <c r="M21"/>
  <c r="M22"/>
  <c r="M23"/>
  <c r="M24"/>
  <c r="M25"/>
  <c r="M26"/>
  <c r="M27"/>
  <c r="M28"/>
  <c r="M29"/>
  <c r="M30"/>
  <c r="N9" i="10"/>
  <c r="N5" s="1"/>
  <c r="O11" i="9"/>
  <c r="O11" i="10" s="1"/>
  <c r="O8" i="9" l="1"/>
  <c r="O8" i="10" s="1"/>
  <c r="O9" i="9"/>
  <c r="O9" i="10" s="1"/>
  <c r="N20" i="12"/>
  <c r="O10" i="9"/>
  <c r="O10" i="10" s="1"/>
  <c r="O13" i="9"/>
  <c r="O13" i="10" s="1"/>
  <c r="O12" i="9"/>
  <c r="O12" i="10" s="1"/>
  <c r="O19" i="9"/>
  <c r="O19" i="10" s="1"/>
  <c r="O18" i="9"/>
  <c r="O18" i="10" s="1"/>
  <c r="O17" i="9"/>
  <c r="O17" i="10" s="1"/>
  <c r="O25" i="9"/>
  <c r="O25" i="10" s="1"/>
  <c r="O24" i="9"/>
  <c r="O24" i="10" s="1"/>
  <c r="O23" i="9"/>
  <c r="O23" i="10" s="1"/>
  <c r="O31" i="9"/>
  <c r="O31" i="10" s="1"/>
  <c r="O30" i="9"/>
  <c r="O30" i="10" s="1"/>
  <c r="O29" i="9"/>
  <c r="O29" i="10" s="1"/>
  <c r="O32" i="9"/>
  <c r="O32" i="10" s="1"/>
  <c r="O26" i="9"/>
  <c r="O26" i="10" s="1"/>
  <c r="O27" i="9"/>
  <c r="O27" i="10" s="1"/>
  <c r="O28" i="9"/>
  <c r="O28" i="10" s="1"/>
  <c r="O20" i="9"/>
  <c r="O20" i="10" s="1"/>
  <c r="O21" i="9"/>
  <c r="O21" i="10" s="1"/>
  <c r="O22" i="9"/>
  <c r="O22" i="10" s="1"/>
  <c r="O14" i="9"/>
  <c r="O14" i="10" s="1"/>
  <c r="O15" i="9"/>
  <c r="O15" i="10" s="1"/>
  <c r="O16" i="9"/>
  <c r="O16" i="10" s="1"/>
  <c r="N9" i="12" l="1"/>
  <c r="N10"/>
  <c r="N11"/>
  <c r="N12"/>
  <c r="N13"/>
  <c r="N14"/>
  <c r="N15"/>
  <c r="N16"/>
  <c r="N17"/>
  <c r="N18"/>
  <c r="N19"/>
  <c r="N21"/>
  <c r="N22"/>
  <c r="N23"/>
  <c r="N24"/>
  <c r="N25"/>
  <c r="N26"/>
  <c r="N27"/>
  <c r="N28"/>
  <c r="N29"/>
  <c r="N30"/>
  <c r="N31"/>
  <c r="O5" i="10"/>
  <c r="O20" i="12" s="1"/>
  <c r="O8" l="1"/>
  <c r="O9"/>
  <c r="O10"/>
  <c r="O11"/>
  <c r="O12"/>
  <c r="O13"/>
  <c r="O14"/>
  <c r="O15"/>
  <c r="O16"/>
  <c r="O17"/>
  <c r="O18"/>
  <c r="O19"/>
  <c r="O21"/>
  <c r="O22"/>
  <c r="O23"/>
  <c r="O24"/>
  <c r="O25"/>
  <c r="O26"/>
  <c r="O27"/>
  <c r="O28"/>
  <c r="O29"/>
  <c r="O30"/>
  <c r="O31"/>
  <c r="O32"/>
</calcChain>
</file>

<file path=xl/sharedStrings.xml><?xml version="1.0" encoding="utf-8"?>
<sst xmlns="http://schemas.openxmlformats.org/spreadsheetml/2006/main" count="91" uniqueCount="46">
  <si>
    <t>入力項目</t>
  </si>
  <si>
    <t>入力値</t>
  </si>
  <si>
    <t>ａ</t>
  </si>
  <si>
    <t>σ</t>
  </si>
  <si>
    <t>△t</t>
  </si>
  <si>
    <t>Select M&amp;V</t>
  </si>
  <si>
    <t>M</t>
  </si>
  <si>
    <t>= -aΔt</t>
  </si>
  <si>
    <t>V</t>
  </si>
  <si>
    <t>= σ^2･Δt</t>
  </si>
  <si>
    <t>ｊmax</t>
  </si>
  <si>
    <t>= -0.184/M</t>
  </si>
  <si>
    <t xml:space="preserve">  → 整数</t>
  </si>
  <si>
    <t>△r</t>
  </si>
  <si>
    <t>= root(3V)</t>
  </si>
  <si>
    <t>ｲｰﾙﾄﾞｶｰﾌﾞ・ﾃﾞｰﾀ</t>
  </si>
  <si>
    <t>参照金利の種類</t>
  </si>
  <si>
    <t>商品の種類</t>
  </si>
  <si>
    <t>固定金利の向き または</t>
  </si>
  <si>
    <t>キャップ/フロアー</t>
  </si>
  <si>
    <t>スタート日</t>
  </si>
  <si>
    <t>エンド日</t>
  </si>
  <si>
    <t>権利行使回数</t>
  </si>
  <si>
    <t>Fixed Tenor/Maturity</t>
  </si>
  <si>
    <t>Tenor</t>
  </si>
  <si>
    <t>ラチェット</t>
  </si>
  <si>
    <t>モンテカルロ回数</t>
  </si>
  <si>
    <t>負相関変量法</t>
  </si>
  <si>
    <t>乱数の初期値</t>
  </si>
  <si>
    <t>j</t>
  </si>
  <si>
    <t>jmax</t>
  </si>
  <si>
    <t>推移確率</t>
  </si>
  <si>
    <t>サイン</t>
  </si>
  <si>
    <t>Pu</t>
  </si>
  <si>
    <t>Pm</t>
  </si>
  <si>
    <t>Pd</t>
  </si>
  <si>
    <t>i</t>
  </si>
  <si>
    <t>t</t>
  </si>
  <si>
    <t>ｊ</t>
  </si>
  <si>
    <t>価値</t>
  </si>
  <si>
    <t>平均値</t>
  </si>
  <si>
    <t>回数</t>
  </si>
  <si>
    <t>価格</t>
  </si>
  <si>
    <t>ｼｮｰﾄﾚｰﾄのﾄﾘｶﾞｰ</t>
  </si>
  <si>
    <t>原資産のｽﾜｯﾌﾟ価値</t>
  </si>
  <si>
    <r>
      <t>誤差(価値の２乗</t>
    </r>
    <r>
      <rPr>
        <sz val="11"/>
        <rFont val="明朝"/>
        <family val="3"/>
        <charset val="128"/>
      </rPr>
      <t>)</t>
    </r>
  </si>
</sst>
</file>

<file path=xl/styles.xml><?xml version="1.0" encoding="utf-8"?>
<styleSheet xmlns="http://schemas.openxmlformats.org/spreadsheetml/2006/main">
  <numFmts count="17">
    <numFmt numFmtId="176" formatCode="0.000000000"/>
    <numFmt numFmtId="177" formatCode="0\ &quot;ヶ&quot;&quot;月&quot;"/>
    <numFmt numFmtId="178" formatCode="0\ &quot;年&quot;"/>
    <numFmt numFmtId="179" formatCode="0;0;"/>
    <numFmt numFmtId="180" formatCode="General;0;"/>
    <numFmt numFmtId="181" formatCode="0.0000;\-0.000;;"/>
    <numFmt numFmtId="182" formatCode="#0.00%;\-#0.00%;;"/>
    <numFmt numFmtId="183" formatCode="#0.00%;\-#0.00%;0.00%"/>
    <numFmt numFmtId="184" formatCode="#.0####%"/>
    <numFmt numFmtId="185" formatCode="#0.0;\-#0.0;0.0;"/>
    <numFmt numFmtId="186" formatCode="0.0000;\-0.000;0.000;"/>
    <numFmt numFmtId="187" formatCode="0.00000;;;"/>
    <numFmt numFmtId="188" formatCode="#,##0.0000"/>
    <numFmt numFmtId="189" formatCode="#0.000;\-#0.000;0.000;"/>
    <numFmt numFmtId="190" formatCode="0.000%"/>
    <numFmt numFmtId="191" formatCode="#,##0.0;[Red]\-#,##0.0"/>
    <numFmt numFmtId="192" formatCode="#,##0.0"/>
  </numFmts>
  <fonts count="14">
    <font>
      <sz val="11"/>
      <name val="明朝"/>
      <family val="3"/>
      <charset val="128"/>
    </font>
    <font>
      <sz val="11"/>
      <name val="明朝"/>
      <family val="3"/>
      <charset val="128"/>
    </font>
    <font>
      <sz val="11"/>
      <name val="ＭＳ 明朝"/>
      <family val="1"/>
      <charset val="128"/>
    </font>
    <font>
      <b/>
      <sz val="11"/>
      <name val="ＭＳ 明朝"/>
      <family val="1"/>
      <charset val="128"/>
    </font>
    <font>
      <b/>
      <sz val="11"/>
      <name val="ＭＳ 明朝"/>
      <family val="1"/>
      <charset val="128"/>
    </font>
    <font>
      <b/>
      <sz val="11"/>
      <name val="ＭＳ ゴシック"/>
      <family val="3"/>
      <charset val="128"/>
    </font>
    <font>
      <sz val="11"/>
      <color indexed="10"/>
      <name val="ＭＳ 明朝"/>
      <family val="1"/>
      <charset val="128"/>
    </font>
    <font>
      <b/>
      <sz val="10"/>
      <name val="ＭＳ 明朝"/>
      <family val="1"/>
      <charset val="128"/>
    </font>
    <font>
      <sz val="11"/>
      <color indexed="8"/>
      <name val="ＭＳ 明朝"/>
      <family val="1"/>
      <charset val="128"/>
    </font>
    <font>
      <sz val="6"/>
      <name val="明朝"/>
      <family val="3"/>
      <charset val="128"/>
    </font>
    <font>
      <b/>
      <sz val="10"/>
      <name val="Century"/>
      <family val="1"/>
    </font>
    <font>
      <sz val="11"/>
      <color indexed="9"/>
      <name val="ＭＳ 明朝"/>
      <family val="1"/>
      <charset val="128"/>
    </font>
    <font>
      <sz val="11"/>
      <color indexed="17"/>
      <name val="ＭＳ 明朝"/>
      <family val="1"/>
      <charset val="128"/>
    </font>
    <font>
      <sz val="11"/>
      <color indexed="12"/>
      <name val="ＭＳ 明朝"/>
      <family val="1"/>
      <charset val="128"/>
    </font>
  </fonts>
  <fills count="13">
    <fill>
      <patternFill patternType="none"/>
    </fill>
    <fill>
      <patternFill patternType="gray125"/>
    </fill>
    <fill>
      <patternFill patternType="solid">
        <fgColor indexed="22"/>
        <bgColor indexed="64"/>
      </patternFill>
    </fill>
    <fill>
      <patternFill patternType="solid">
        <fgColor indexed="49"/>
        <bgColor indexed="64"/>
      </patternFill>
    </fill>
    <fill>
      <patternFill patternType="solid">
        <fgColor indexed="27"/>
        <bgColor indexed="64"/>
      </patternFill>
    </fill>
    <fill>
      <patternFill patternType="solid">
        <fgColor indexed="42"/>
        <bgColor indexed="64"/>
      </patternFill>
    </fill>
    <fill>
      <patternFill patternType="solid">
        <fgColor indexed="31"/>
        <bgColor indexed="64"/>
      </patternFill>
    </fill>
    <fill>
      <patternFill patternType="solid">
        <fgColor indexed="43"/>
        <bgColor indexed="64"/>
      </patternFill>
    </fill>
    <fill>
      <patternFill patternType="solid">
        <fgColor indexed="13"/>
        <bgColor indexed="64"/>
      </patternFill>
    </fill>
    <fill>
      <patternFill patternType="solid">
        <fgColor indexed="41"/>
        <bgColor indexed="64"/>
      </patternFill>
    </fill>
    <fill>
      <patternFill patternType="solid">
        <fgColor indexed="12"/>
        <bgColor indexed="64"/>
      </patternFill>
    </fill>
    <fill>
      <patternFill patternType="solid">
        <fgColor indexed="40"/>
        <bgColor indexed="64"/>
      </patternFill>
    </fill>
    <fill>
      <patternFill patternType="solid">
        <fgColor indexed="15"/>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s>
  <cellStyleXfs count="3">
    <xf numFmtId="0" fontId="0" fillId="0" borderId="0"/>
    <xf numFmtId="9" fontId="1" fillId="0" borderId="0" applyFont="0" applyFill="0" applyBorder="0" applyAlignment="0" applyProtection="0"/>
    <xf numFmtId="38" fontId="1" fillId="0" borderId="0" applyFont="0" applyFill="0" applyBorder="0" applyAlignment="0" applyProtection="0"/>
  </cellStyleXfs>
  <cellXfs count="135">
    <xf numFmtId="0" fontId="0" fillId="0" borderId="0" xfId="0"/>
    <xf numFmtId="0" fontId="2" fillId="0" borderId="0" xfId="0" applyFont="1"/>
    <xf numFmtId="0" fontId="2" fillId="0" borderId="0" xfId="0" applyFont="1" applyAlignment="1">
      <alignment horizontal="center"/>
    </xf>
    <xf numFmtId="0" fontId="2" fillId="2" borderId="1" xfId="0" applyFont="1" applyFill="1" applyBorder="1" applyAlignment="1">
      <alignment horizontal="center"/>
    </xf>
    <xf numFmtId="0" fontId="4" fillId="2" borderId="2" xfId="0" applyFont="1" applyFill="1" applyBorder="1" applyAlignment="1">
      <alignment horizontal="center"/>
    </xf>
    <xf numFmtId="0" fontId="4" fillId="2" borderId="1" xfId="0" applyFont="1" applyFill="1" applyBorder="1" applyAlignment="1">
      <alignment horizontal="center"/>
    </xf>
    <xf numFmtId="0" fontId="4" fillId="2" borderId="3" xfId="0" applyFont="1" applyFill="1" applyBorder="1" applyAlignment="1">
      <alignment horizontal="centerContinuous"/>
    </xf>
    <xf numFmtId="0" fontId="4" fillId="2" borderId="4" xfId="0" applyFont="1" applyFill="1" applyBorder="1" applyAlignment="1">
      <alignment horizontal="centerContinuous"/>
    </xf>
    <xf numFmtId="0" fontId="4" fillId="2" borderId="5" xfId="0" applyFont="1" applyFill="1" applyBorder="1" applyAlignment="1">
      <alignment horizontal="center"/>
    </xf>
    <xf numFmtId="0" fontId="4" fillId="2" borderId="6" xfId="0" applyFont="1" applyFill="1" applyBorder="1" applyAlignment="1">
      <alignment horizontal="center"/>
    </xf>
    <xf numFmtId="0" fontId="4" fillId="2" borderId="7" xfId="0" applyFont="1" applyFill="1" applyBorder="1" applyAlignment="1">
      <alignment horizontal="center"/>
    </xf>
    <xf numFmtId="0" fontId="4" fillId="0" borderId="0" xfId="0" applyFont="1" applyFill="1" applyBorder="1" applyAlignment="1">
      <alignment horizontal="center"/>
    </xf>
    <xf numFmtId="0" fontId="4" fillId="0" borderId="0" xfId="0" applyFont="1" applyFill="1" applyBorder="1" applyAlignment="1">
      <alignment horizontal="centerContinuous"/>
    </xf>
    <xf numFmtId="0" fontId="2" fillId="3" borderId="1" xfId="0" applyNumberFormat="1" applyFont="1" applyFill="1" applyBorder="1"/>
    <xf numFmtId="0" fontId="2" fillId="3" borderId="1" xfId="0" applyNumberFormat="1" applyFont="1" applyFill="1" applyBorder="1" applyAlignment="1">
      <alignment horizontal="right"/>
    </xf>
    <xf numFmtId="0" fontId="2" fillId="4" borderId="1" xfId="0" applyNumberFormat="1" applyFont="1" applyFill="1" applyBorder="1"/>
    <xf numFmtId="0" fontId="0" fillId="0" borderId="0" xfId="0" applyFill="1" applyBorder="1"/>
    <xf numFmtId="0" fontId="3" fillId="2" borderId="1" xfId="0" applyNumberFormat="1" applyFont="1" applyFill="1" applyBorder="1" applyAlignment="1">
      <alignment horizontal="center"/>
    </xf>
    <xf numFmtId="0" fontId="2" fillId="2" borderId="1" xfId="0" applyNumberFormat="1" applyFont="1" applyFill="1" applyBorder="1"/>
    <xf numFmtId="0" fontId="3" fillId="0" borderId="0" xfId="0" applyNumberFormat="1" applyFont="1" applyFill="1" applyBorder="1" applyAlignment="1">
      <alignment horizontal="center"/>
    </xf>
    <xf numFmtId="0" fontId="2" fillId="0" borderId="0" xfId="0" applyNumberFormat="1" applyFont="1"/>
    <xf numFmtId="0" fontId="2" fillId="0" borderId="0" xfId="0" applyNumberFormat="1" applyFont="1" applyBorder="1"/>
    <xf numFmtId="0" fontId="2" fillId="0" borderId="3" xfId="0" applyNumberFormat="1" applyFont="1" applyBorder="1"/>
    <xf numFmtId="0" fontId="2" fillId="5" borderId="8" xfId="0" applyNumberFormat="1" applyFont="1" applyFill="1" applyBorder="1" applyAlignment="1">
      <alignment horizontal="right"/>
    </xf>
    <xf numFmtId="0" fontId="2" fillId="0" borderId="0" xfId="0" applyNumberFormat="1" applyFont="1" applyFill="1" applyBorder="1" applyAlignment="1">
      <alignment horizontal="center"/>
    </xf>
    <xf numFmtId="0" fontId="2" fillId="5" borderId="9" xfId="0" applyNumberFormat="1" applyFont="1" applyFill="1" applyBorder="1" applyAlignment="1">
      <alignment horizontal="right"/>
    </xf>
    <xf numFmtId="0" fontId="2" fillId="3" borderId="1" xfId="0" applyNumberFormat="1" applyFont="1" applyFill="1" applyBorder="1" applyAlignment="1">
      <alignment horizontal="center"/>
    </xf>
    <xf numFmtId="0" fontId="2" fillId="0" borderId="10" xfId="0" applyNumberFormat="1" applyFont="1" applyBorder="1"/>
    <xf numFmtId="0" fontId="2" fillId="0" borderId="0" xfId="0" applyNumberFormat="1" applyFont="1" applyBorder="1" applyAlignment="1">
      <alignment horizontal="center"/>
    </xf>
    <xf numFmtId="0" fontId="2" fillId="0" borderId="0" xfId="0" applyNumberFormat="1" applyFont="1" applyAlignment="1">
      <alignment horizontal="center"/>
    </xf>
    <xf numFmtId="0" fontId="2" fillId="0" borderId="0" xfId="0" applyNumberFormat="1" applyFont="1" applyAlignment="1">
      <alignment horizontal="left"/>
    </xf>
    <xf numFmtId="0" fontId="2" fillId="5" borderId="1" xfId="0" applyNumberFormat="1" applyFont="1" applyFill="1" applyBorder="1"/>
    <xf numFmtId="0" fontId="3" fillId="0" borderId="0" xfId="0" applyNumberFormat="1" applyFont="1"/>
    <xf numFmtId="14" fontId="2" fillId="3" borderId="1" xfId="0" applyNumberFormat="1" applyFont="1" applyFill="1" applyBorder="1" applyAlignment="1">
      <alignment horizontal="center"/>
    </xf>
    <xf numFmtId="0" fontId="4" fillId="2" borderId="2" xfId="0" applyNumberFormat="1" applyFont="1" applyFill="1" applyBorder="1" applyAlignment="1">
      <alignment horizontal="center"/>
    </xf>
    <xf numFmtId="0" fontId="4" fillId="2" borderId="7" xfId="0" applyNumberFormat="1" applyFont="1" applyFill="1" applyBorder="1" applyAlignment="1">
      <alignment horizontal="center"/>
    </xf>
    <xf numFmtId="0" fontId="4" fillId="2" borderId="3" xfId="0" applyNumberFormat="1" applyFont="1" applyFill="1" applyBorder="1" applyAlignment="1">
      <alignment horizontal="centerContinuous"/>
    </xf>
    <xf numFmtId="0" fontId="4" fillId="2" borderId="4" xfId="0" applyNumberFormat="1" applyFont="1" applyFill="1" applyBorder="1" applyAlignment="1">
      <alignment horizontal="centerContinuous"/>
    </xf>
    <xf numFmtId="0" fontId="4" fillId="2" borderId="5" xfId="0" applyNumberFormat="1" applyFont="1" applyFill="1" applyBorder="1" applyAlignment="1">
      <alignment horizontal="center"/>
    </xf>
    <xf numFmtId="0" fontId="4" fillId="2" borderId="6" xfId="0" applyNumberFormat="1" applyFont="1" applyFill="1" applyBorder="1" applyAlignment="1">
      <alignment horizontal="center"/>
    </xf>
    <xf numFmtId="0" fontId="4" fillId="2" borderId="1" xfId="0" applyNumberFormat="1" applyFont="1" applyFill="1" applyBorder="1" applyAlignment="1">
      <alignment horizontal="center"/>
    </xf>
    <xf numFmtId="0" fontId="2" fillId="2" borderId="1" xfId="0" applyNumberFormat="1" applyFont="1" applyFill="1" applyBorder="1" applyAlignment="1">
      <alignment horizontal="center"/>
    </xf>
    <xf numFmtId="0" fontId="2" fillId="0" borderId="0" xfId="0" applyNumberFormat="1" applyFont="1" applyFill="1" applyBorder="1"/>
    <xf numFmtId="14" fontId="2" fillId="2" borderId="1" xfId="0" applyNumberFormat="1" applyFont="1" applyFill="1" applyBorder="1" applyAlignment="1">
      <alignment horizontal="center"/>
    </xf>
    <xf numFmtId="177" fontId="2" fillId="2" borderId="1" xfId="0" applyNumberFormat="1" applyFont="1" applyFill="1" applyBorder="1" applyAlignment="1">
      <alignment horizontal="center"/>
    </xf>
    <xf numFmtId="178" fontId="2" fillId="2" borderId="1" xfId="0" applyNumberFormat="1" applyFont="1" applyFill="1" applyBorder="1" applyAlignment="1">
      <alignment horizontal="center"/>
    </xf>
    <xf numFmtId="0" fontId="2" fillId="6" borderId="1" xfId="0" applyNumberFormat="1" applyFont="1" applyFill="1" applyBorder="1" applyAlignment="1">
      <alignment horizontal="center"/>
    </xf>
    <xf numFmtId="0" fontId="2" fillId="7" borderId="1" xfId="0" applyNumberFormat="1" applyFont="1" applyFill="1" applyBorder="1"/>
    <xf numFmtId="0" fontId="6" fillId="0" borderId="0" xfId="0" applyNumberFormat="1" applyFont="1"/>
    <xf numFmtId="0" fontId="2" fillId="0" borderId="0" xfId="0" applyNumberFormat="1" applyFont="1" applyFill="1"/>
    <xf numFmtId="0" fontId="2" fillId="0" borderId="0" xfId="0" applyNumberFormat="1" applyFont="1" applyAlignment="1"/>
    <xf numFmtId="0" fontId="2" fillId="8" borderId="1" xfId="0" applyNumberFormat="1" applyFont="1" applyFill="1" applyBorder="1"/>
    <xf numFmtId="0" fontId="0" fillId="0" borderId="0" xfId="0" applyAlignment="1"/>
    <xf numFmtId="0" fontId="2" fillId="0" borderId="0" xfId="0" applyNumberFormat="1" applyFont="1" applyFill="1" applyBorder="1" applyAlignment="1">
      <alignment horizontal="centerContinuous"/>
    </xf>
    <xf numFmtId="0" fontId="2" fillId="0" borderId="0" xfId="0" applyNumberFormat="1" applyFont="1" applyAlignment="1">
      <alignment horizontal="centerContinuous"/>
    </xf>
    <xf numFmtId="0" fontId="7" fillId="0" borderId="0" xfId="0" applyNumberFormat="1" applyFont="1" applyFill="1" applyBorder="1" applyAlignment="1">
      <alignment horizontal="center"/>
    </xf>
    <xf numFmtId="0" fontId="8" fillId="0" borderId="0" xfId="0" applyNumberFormat="1" applyFont="1"/>
    <xf numFmtId="0" fontId="8" fillId="0" borderId="0" xfId="0" applyNumberFormat="1" applyFont="1" applyFill="1"/>
    <xf numFmtId="179" fontId="2" fillId="0" borderId="0" xfId="0" applyNumberFormat="1" applyFont="1"/>
    <xf numFmtId="180" fontId="2" fillId="0" borderId="0" xfId="0" applyNumberFormat="1" applyFont="1"/>
    <xf numFmtId="181" fontId="2" fillId="0" borderId="0" xfId="0" applyNumberFormat="1" applyFont="1"/>
    <xf numFmtId="181" fontId="2" fillId="4" borderId="1" xfId="0" applyNumberFormat="1" applyFont="1" applyFill="1" applyBorder="1"/>
    <xf numFmtId="181" fontId="2" fillId="5" borderId="1" xfId="0" applyNumberFormat="1" applyFont="1" applyFill="1" applyBorder="1"/>
    <xf numFmtId="181" fontId="2" fillId="7" borderId="1" xfId="0" applyNumberFormat="1" applyFont="1" applyFill="1" applyBorder="1"/>
    <xf numFmtId="182" fontId="2" fillId="0" borderId="0" xfId="0" applyNumberFormat="1" applyFont="1"/>
    <xf numFmtId="182" fontId="8" fillId="4" borderId="1" xfId="0" applyNumberFormat="1" applyFont="1" applyFill="1" applyBorder="1"/>
    <xf numFmtId="182" fontId="8" fillId="5" borderId="1" xfId="0" applyNumberFormat="1" applyFont="1" applyFill="1" applyBorder="1"/>
    <xf numFmtId="182" fontId="8" fillId="7" borderId="1" xfId="0" applyNumberFormat="1" applyFont="1" applyFill="1" applyBorder="1"/>
    <xf numFmtId="183" fontId="2" fillId="0" borderId="0" xfId="0" applyNumberFormat="1" applyFont="1"/>
    <xf numFmtId="183" fontId="2" fillId="0" borderId="0" xfId="0" applyNumberFormat="1" applyFont="1" applyFill="1"/>
    <xf numFmtId="184" fontId="2" fillId="3" borderId="1" xfId="0" applyNumberFormat="1" applyFont="1" applyFill="1" applyBorder="1" applyAlignment="1">
      <alignment horizontal="center"/>
    </xf>
    <xf numFmtId="185" fontId="2" fillId="0" borderId="0" xfId="0" applyNumberFormat="1" applyFont="1"/>
    <xf numFmtId="185" fontId="8" fillId="5" borderId="1" xfId="0" applyNumberFormat="1" applyFont="1" applyFill="1" applyBorder="1"/>
    <xf numFmtId="185" fontId="8" fillId="7" borderId="1" xfId="0" applyNumberFormat="1" applyFont="1" applyFill="1" applyBorder="1"/>
    <xf numFmtId="186" fontId="2" fillId="0" borderId="0" xfId="0" applyNumberFormat="1" applyFont="1"/>
    <xf numFmtId="186" fontId="2" fillId="4" borderId="1" xfId="0" applyNumberFormat="1" applyFont="1" applyFill="1" applyBorder="1"/>
    <xf numFmtId="186" fontId="2" fillId="5" borderId="1" xfId="0" applyNumberFormat="1" applyFont="1" applyFill="1" applyBorder="1"/>
    <xf numFmtId="186" fontId="2" fillId="7" borderId="1" xfId="0" applyNumberFormat="1" applyFont="1" applyFill="1" applyBorder="1"/>
    <xf numFmtId="0" fontId="2" fillId="2" borderId="1" xfId="0" quotePrefix="1" applyNumberFormat="1" applyFont="1" applyFill="1" applyBorder="1" applyAlignment="1">
      <alignment horizontal="left"/>
    </xf>
    <xf numFmtId="0" fontId="3" fillId="2" borderId="6" xfId="0" applyNumberFormat="1" applyFont="1" applyFill="1" applyBorder="1"/>
    <xf numFmtId="0" fontId="2" fillId="2" borderId="6" xfId="0" applyNumberFormat="1" applyFont="1" applyFill="1" applyBorder="1" applyAlignment="1">
      <alignment horizontal="left"/>
    </xf>
    <xf numFmtId="0" fontId="3" fillId="2" borderId="7" xfId="0" applyNumberFormat="1" applyFont="1" applyFill="1" applyBorder="1" applyAlignment="1">
      <alignment horizontal="center"/>
    </xf>
    <xf numFmtId="0" fontId="2" fillId="2" borderId="7" xfId="0" quotePrefix="1" applyNumberFormat="1" applyFont="1" applyFill="1" applyBorder="1" applyAlignment="1">
      <alignment horizontal="left"/>
    </xf>
    <xf numFmtId="183" fontId="8" fillId="7" borderId="1" xfId="0" applyNumberFormat="1" applyFont="1" applyFill="1" applyBorder="1"/>
    <xf numFmtId="183" fontId="8" fillId="5" borderId="1" xfId="0" applyNumberFormat="1" applyFont="1" applyFill="1" applyBorder="1"/>
    <xf numFmtId="183" fontId="8" fillId="4" borderId="1" xfId="0" applyNumberFormat="1" applyFont="1" applyFill="1" applyBorder="1"/>
    <xf numFmtId="185" fontId="8" fillId="4" borderId="1" xfId="0" applyNumberFormat="1" applyFont="1" applyFill="1" applyBorder="1"/>
    <xf numFmtId="187" fontId="2" fillId="4" borderId="1" xfId="0" applyNumberFormat="1" applyFont="1" applyFill="1" applyBorder="1"/>
    <xf numFmtId="176" fontId="2" fillId="5" borderId="1" xfId="0" applyNumberFormat="1" applyFont="1" applyFill="1" applyBorder="1"/>
    <xf numFmtId="176" fontId="2" fillId="4" borderId="1" xfId="0" applyNumberFormat="1" applyFont="1" applyFill="1" applyBorder="1"/>
    <xf numFmtId="188" fontId="0" fillId="0" borderId="0" xfId="0" applyNumberFormat="1"/>
    <xf numFmtId="185" fontId="8" fillId="9" borderId="1" xfId="0" applyNumberFormat="1" applyFont="1" applyFill="1" applyBorder="1"/>
    <xf numFmtId="0" fontId="2" fillId="0" borderId="0" xfId="0" applyNumberFormat="1" applyFont="1" applyFill="1" applyAlignment="1">
      <alignment horizontal="center"/>
    </xf>
    <xf numFmtId="0" fontId="0" fillId="0" borderId="0" xfId="0" applyAlignment="1">
      <alignment horizontal="center"/>
    </xf>
    <xf numFmtId="188" fontId="0" fillId="0" borderId="0" xfId="0" applyNumberFormat="1" applyAlignment="1">
      <alignment horizontal="center"/>
    </xf>
    <xf numFmtId="0" fontId="3" fillId="2" borderId="6" xfId="0" applyNumberFormat="1" applyFont="1" applyFill="1" applyBorder="1" applyAlignment="1">
      <alignment horizontal="center"/>
    </xf>
    <xf numFmtId="0" fontId="2" fillId="3" borderId="11" xfId="0" applyNumberFormat="1" applyFont="1" applyFill="1" applyBorder="1" applyAlignment="1">
      <alignment horizontal="center"/>
    </xf>
    <xf numFmtId="0" fontId="10" fillId="2" borderId="1" xfId="0" applyNumberFormat="1" applyFont="1" applyFill="1" applyBorder="1" applyAlignment="1">
      <alignment horizontal="center"/>
    </xf>
    <xf numFmtId="0" fontId="11" fillId="10" borderId="1" xfId="0" applyNumberFormat="1" applyFont="1" applyFill="1" applyBorder="1"/>
    <xf numFmtId="10" fontId="2" fillId="0" borderId="0" xfId="1" applyNumberFormat="1" applyFont="1"/>
    <xf numFmtId="189" fontId="2" fillId="0" borderId="0" xfId="0" applyNumberFormat="1" applyFont="1"/>
    <xf numFmtId="185" fontId="2" fillId="0" borderId="0" xfId="0" applyNumberFormat="1" applyFont="1" applyFill="1" applyBorder="1"/>
    <xf numFmtId="185" fontId="8" fillId="0" borderId="0" xfId="0" applyNumberFormat="1" applyFont="1" applyFill="1" applyBorder="1"/>
    <xf numFmtId="185" fontId="6" fillId="0" borderId="0" xfId="0" applyNumberFormat="1" applyFont="1" applyFill="1" applyBorder="1"/>
    <xf numFmtId="185" fontId="12" fillId="0" borderId="0" xfId="0" applyNumberFormat="1" applyFont="1" applyFill="1" applyBorder="1"/>
    <xf numFmtId="185" fontId="13" fillId="0" borderId="0" xfId="0" applyNumberFormat="1" applyFont="1" applyFill="1" applyBorder="1"/>
    <xf numFmtId="4" fontId="2" fillId="0" borderId="0" xfId="0" applyNumberFormat="1" applyFont="1" applyFill="1" applyBorder="1" applyAlignment="1">
      <alignment horizontal="centerContinuous"/>
    </xf>
    <xf numFmtId="0" fontId="2" fillId="11" borderId="1" xfId="0" applyNumberFormat="1" applyFont="1" applyFill="1" applyBorder="1" applyAlignment="1">
      <alignment horizontal="center"/>
    </xf>
    <xf numFmtId="0" fontId="8" fillId="4" borderId="12" xfId="0" applyNumberFormat="1" applyFont="1" applyFill="1" applyBorder="1"/>
    <xf numFmtId="0" fontId="8" fillId="4" borderId="13" xfId="0" applyNumberFormat="1" applyFont="1" applyFill="1" applyBorder="1"/>
    <xf numFmtId="189" fontId="8" fillId="0" borderId="0" xfId="0" applyNumberFormat="1" applyFont="1" applyFill="1" applyBorder="1"/>
    <xf numFmtId="0" fontId="3" fillId="2" borderId="14" xfId="0" applyNumberFormat="1" applyFont="1" applyFill="1" applyBorder="1" applyAlignment="1">
      <alignment horizontal="center"/>
    </xf>
    <xf numFmtId="0" fontId="2" fillId="5" borderId="15" xfId="0" applyNumberFormat="1" applyFont="1" applyFill="1" applyBorder="1" applyAlignment="1"/>
    <xf numFmtId="185" fontId="2" fillId="7" borderId="1" xfId="0" applyNumberFormat="1" applyFont="1" applyFill="1" applyBorder="1"/>
    <xf numFmtId="190" fontId="8" fillId="4" borderId="16" xfId="1" applyNumberFormat="1" applyFont="1" applyFill="1" applyBorder="1"/>
    <xf numFmtId="185" fontId="6" fillId="7" borderId="1" xfId="0" applyNumberFormat="1" applyFont="1" applyFill="1" applyBorder="1"/>
    <xf numFmtId="182" fontId="6" fillId="7" borderId="1" xfId="0" applyNumberFormat="1" applyFont="1" applyFill="1" applyBorder="1"/>
    <xf numFmtId="183" fontId="6" fillId="7" borderId="1" xfId="0" applyNumberFormat="1" applyFont="1" applyFill="1" applyBorder="1"/>
    <xf numFmtId="191" fontId="2" fillId="12" borderId="1" xfId="2" applyNumberFormat="1" applyFont="1" applyFill="1" applyBorder="1" applyAlignment="1">
      <alignment horizontal="center"/>
    </xf>
    <xf numFmtId="185" fontId="6" fillId="4" borderId="1" xfId="0" applyNumberFormat="1" applyFont="1" applyFill="1" applyBorder="1"/>
    <xf numFmtId="182" fontId="6" fillId="4" borderId="1" xfId="0" applyNumberFormat="1" applyFont="1" applyFill="1" applyBorder="1"/>
    <xf numFmtId="183" fontId="6" fillId="4" borderId="1" xfId="0" applyNumberFormat="1" applyFont="1" applyFill="1" applyBorder="1"/>
    <xf numFmtId="192" fontId="2" fillId="9" borderId="14" xfId="0" applyNumberFormat="1" applyFont="1" applyFill="1" applyBorder="1" applyAlignment="1">
      <alignment horizontal="centerContinuous"/>
    </xf>
    <xf numFmtId="192" fontId="2" fillId="9" borderId="11" xfId="0" applyNumberFormat="1" applyFont="1" applyFill="1" applyBorder="1" applyAlignment="1">
      <alignment horizontal="centerContinuous"/>
    </xf>
    <xf numFmtId="185" fontId="6" fillId="5" borderId="1" xfId="0" applyNumberFormat="1" applyFont="1" applyFill="1" applyBorder="1"/>
    <xf numFmtId="182" fontId="6" fillId="5" borderId="1" xfId="0" applyNumberFormat="1" applyFont="1" applyFill="1" applyBorder="1"/>
    <xf numFmtId="183" fontId="6" fillId="5" borderId="1" xfId="0" applyNumberFormat="1" applyFont="1" applyFill="1" applyBorder="1"/>
    <xf numFmtId="0" fontId="2" fillId="11" borderId="14" xfId="0" applyNumberFormat="1" applyFont="1" applyFill="1" applyBorder="1" applyAlignment="1">
      <alignment horizontal="centerContinuous"/>
    </xf>
    <xf numFmtId="0" fontId="2" fillId="11" borderId="11" xfId="0" applyNumberFormat="1" applyFont="1" applyFill="1" applyBorder="1" applyAlignment="1">
      <alignment horizontal="centerContinuous"/>
    </xf>
    <xf numFmtId="0" fontId="1" fillId="2" borderId="17" xfId="0" applyNumberFormat="1" applyFont="1" applyFill="1" applyBorder="1" applyAlignment="1">
      <alignment horizontal="centerContinuous"/>
    </xf>
    <xf numFmtId="0" fontId="1" fillId="2" borderId="18" xfId="0" applyNumberFormat="1" applyFont="1" applyFill="1" applyBorder="1" applyAlignment="1">
      <alignment horizontal="centerContinuous"/>
    </xf>
    <xf numFmtId="0" fontId="1" fillId="2" borderId="19" xfId="0" applyNumberFormat="1" applyFont="1" applyFill="1" applyBorder="1" applyAlignment="1">
      <alignment horizontal="centerContinuous"/>
    </xf>
    <xf numFmtId="0" fontId="1" fillId="2" borderId="1" xfId="0" applyNumberFormat="1" applyFont="1" applyFill="1" applyBorder="1" applyAlignment="1">
      <alignment horizontal="centerContinuous"/>
    </xf>
    <xf numFmtId="0" fontId="1" fillId="2" borderId="20" xfId="0" applyNumberFormat="1" applyFont="1" applyFill="1" applyBorder="1" applyAlignment="1">
      <alignment horizontal="centerContinuous"/>
    </xf>
    <xf numFmtId="0" fontId="1" fillId="2" borderId="21" xfId="0" applyNumberFormat="1" applyFont="1" applyFill="1" applyBorder="1" applyAlignment="1">
      <alignment horizontal="centerContinuous"/>
    </xf>
  </cellXfs>
  <cellStyles count="3">
    <cellStyle name="パーセント" xfId="1" builtinId="5"/>
    <cellStyle name="桁区切り" xfId="2" builtinId="6"/>
    <cellStyle name="標準" xfId="0" builtinId="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lang val="ja-JP"/>
  <c:chart>
    <c:title>
      <c:tx>
        <c:rich>
          <a:bodyPr/>
          <a:lstStyle/>
          <a:p>
            <a:pPr>
              <a:defRPr sz="1200" b="0" i="0" u="none" strike="noStrike" baseline="0">
                <a:solidFill>
                  <a:srgbClr val="000000"/>
                </a:solidFill>
                <a:latin typeface="ＭＳ ゴシック"/>
                <a:ea typeface="ＭＳ ゴシック"/>
                <a:cs typeface="ＭＳ ゴシック"/>
              </a:defRPr>
            </a:pPr>
            <a:r>
              <a:rPr altLang="en-US"/>
              <a:t>市場のディスカウント・ファクター</a:t>
            </a:r>
          </a:p>
        </c:rich>
      </c:tx>
      <c:layout>
        <c:manualLayout>
          <c:xMode val="edge"/>
          <c:yMode val="edge"/>
          <c:x val="0.25378834818216622"/>
          <c:y val="2.9914592336472385E-2"/>
        </c:manualLayout>
      </c:layout>
      <c:spPr>
        <a:noFill/>
        <a:ln w="25400">
          <a:noFill/>
        </a:ln>
      </c:spPr>
    </c:title>
    <c:plotArea>
      <c:layout>
        <c:manualLayout>
          <c:layoutTarget val="inner"/>
          <c:xMode val="edge"/>
          <c:yMode val="edge"/>
          <c:x val="0.16098514623495619"/>
          <c:y val="0.1474362050868997"/>
          <c:w val="0.71212252922757091"/>
          <c:h val="0.55341995822473922"/>
        </c:manualLayout>
      </c:layout>
      <c:lineChart>
        <c:grouping val="standard"/>
        <c:ser>
          <c:idx val="0"/>
          <c:order val="0"/>
          <c:tx>
            <c:strRef>
              <c:f>CurveData!$D$8:$D$9</c:f>
              <c:strCache>
                <c:ptCount val="1"/>
                <c:pt idx="0">
                  <c:v>1 1994/10/3</c:v>
                </c:pt>
              </c:strCache>
            </c:strRef>
          </c:tx>
          <c:spPr>
            <a:ln w="12700">
              <a:solidFill>
                <a:srgbClr val="000000"/>
              </a:solidFill>
              <a:prstDash val="solid"/>
            </a:ln>
          </c:spPr>
          <c:marker>
            <c:symbol val="none"/>
          </c:marker>
          <c:cat>
            <c:numRef>
              <c:f>CurveData!$B$11:$B$36</c:f>
              <c:numCache>
                <c:formatCode>General</c:formatCode>
                <c:ptCount val="26"/>
                <c:pt idx="3" formatCode="0\ &quot;年&quot;">
                  <c:v>1</c:v>
                </c:pt>
                <c:pt idx="4" formatCode="0\ &quot;年&quot;">
                  <c:v>1</c:v>
                </c:pt>
                <c:pt idx="5" formatCode="0\ &quot;年&quot;">
                  <c:v>1</c:v>
                </c:pt>
                <c:pt idx="6" formatCode="0\ &quot;年&quot;">
                  <c:v>1</c:v>
                </c:pt>
                <c:pt idx="7" formatCode="0\ &quot;年&quot;">
                  <c:v>2</c:v>
                </c:pt>
                <c:pt idx="8" formatCode="0\ &quot;年&quot;">
                  <c:v>2</c:v>
                </c:pt>
                <c:pt idx="9" formatCode="0\ &quot;年&quot;">
                  <c:v>2</c:v>
                </c:pt>
                <c:pt idx="10" formatCode="0\ &quot;年&quot;">
                  <c:v>2</c:v>
                </c:pt>
                <c:pt idx="11" formatCode="0\ &quot;年&quot;">
                  <c:v>3</c:v>
                </c:pt>
                <c:pt idx="12" formatCode="0\ &quot;年&quot;">
                  <c:v>3</c:v>
                </c:pt>
                <c:pt idx="13" formatCode="0\ &quot;年&quot;">
                  <c:v>3</c:v>
                </c:pt>
                <c:pt idx="14" formatCode="0\ &quot;年&quot;">
                  <c:v>3</c:v>
                </c:pt>
                <c:pt idx="15" formatCode="0\ &quot;年&quot;">
                  <c:v>4</c:v>
                </c:pt>
                <c:pt idx="16" formatCode="0\ &quot;年&quot;">
                  <c:v>4</c:v>
                </c:pt>
                <c:pt idx="17" formatCode="0\ &quot;年&quot;">
                  <c:v>4</c:v>
                </c:pt>
                <c:pt idx="18" formatCode="0\ &quot;年&quot;">
                  <c:v>4</c:v>
                </c:pt>
                <c:pt idx="19" formatCode="0\ &quot;年&quot;">
                  <c:v>5</c:v>
                </c:pt>
                <c:pt idx="20" formatCode="0\ &quot;年&quot;">
                  <c:v>5</c:v>
                </c:pt>
                <c:pt idx="21" formatCode="0\ &quot;年&quot;">
                  <c:v>5</c:v>
                </c:pt>
                <c:pt idx="22" formatCode="0\ &quot;年&quot;">
                  <c:v>5</c:v>
                </c:pt>
                <c:pt idx="23" formatCode="0\ &quot;年&quot;">
                  <c:v>6</c:v>
                </c:pt>
                <c:pt idx="24" formatCode="0\ &quot;年&quot;">
                  <c:v>6</c:v>
                </c:pt>
                <c:pt idx="25" formatCode="0\ &quot;年&quot;">
                  <c:v>6</c:v>
                </c:pt>
              </c:numCache>
            </c:numRef>
          </c:cat>
          <c:val>
            <c:numRef>
              <c:f>CurveData!$D$11:$D$36</c:f>
              <c:numCache>
                <c:formatCode>0.000000000</c:formatCode>
                <c:ptCount val="26"/>
                <c:pt idx="0">
                  <c:v>0.99384121299999995</c:v>
                </c:pt>
                <c:pt idx="1">
                  <c:v>0.98733109200000002</c:v>
                </c:pt>
                <c:pt idx="2">
                  <c:v>0.98014671499999995</c:v>
                </c:pt>
                <c:pt idx="3">
                  <c:v>0.97227850199999999</c:v>
                </c:pt>
                <c:pt idx="4">
                  <c:v>0.96381232800000005</c:v>
                </c:pt>
                <c:pt idx="5">
                  <c:v>0.954454998</c:v>
                </c:pt>
                <c:pt idx="6">
                  <c:v>0.94534317300000004</c:v>
                </c:pt>
                <c:pt idx="7">
                  <c:v>0.93494433899999996</c:v>
                </c:pt>
                <c:pt idx="8">
                  <c:v>0.924324335</c:v>
                </c:pt>
                <c:pt idx="9">
                  <c:v>0.91325504099999999</c:v>
                </c:pt>
                <c:pt idx="10">
                  <c:v>0.90185744199999995</c:v>
                </c:pt>
                <c:pt idx="11">
                  <c:v>0.89028614500000003</c:v>
                </c:pt>
                <c:pt idx="12">
                  <c:v>0.87868360700000003</c:v>
                </c:pt>
                <c:pt idx="13">
                  <c:v>0.867132766</c:v>
                </c:pt>
                <c:pt idx="14">
                  <c:v>0.85567993899999995</c:v>
                </c:pt>
                <c:pt idx="15">
                  <c:v>0.84436157199999995</c:v>
                </c:pt>
                <c:pt idx="16">
                  <c:v>0.83307203799999996</c:v>
                </c:pt>
                <c:pt idx="17">
                  <c:v>0.822042351</c:v>
                </c:pt>
                <c:pt idx="18">
                  <c:v>0.81123327700000003</c:v>
                </c:pt>
                <c:pt idx="19">
                  <c:v>0.80023836800000003</c:v>
                </c:pt>
                <c:pt idx="20">
                  <c:v>0.78924475900000002</c:v>
                </c:pt>
                <c:pt idx="21">
                  <c:v>0.77838607400000004</c:v>
                </c:pt>
                <c:pt idx="22">
                  <c:v>0.76757519100000005</c:v>
                </c:pt>
                <c:pt idx="23">
                  <c:v>0.75672938999999995</c:v>
                </c:pt>
                <c:pt idx="24">
                  <c:v>0.74600435200000004</c:v>
                </c:pt>
                <c:pt idx="25">
                  <c:v>0.73566573499999999</c:v>
                </c:pt>
              </c:numCache>
            </c:numRef>
          </c:val>
        </c:ser>
        <c:ser>
          <c:idx val="1"/>
          <c:order val="1"/>
          <c:tx>
            <c:strRef>
              <c:f>CurveData!$E$8:$E$9</c:f>
              <c:strCache>
                <c:ptCount val="1"/>
                <c:pt idx="0">
                  <c:v>2 1995/5/15</c:v>
                </c:pt>
              </c:strCache>
            </c:strRef>
          </c:tx>
          <c:spPr>
            <a:ln w="12700">
              <a:solidFill>
                <a:srgbClr val="0000FF"/>
              </a:solidFill>
              <a:prstDash val="solid"/>
            </a:ln>
          </c:spPr>
          <c:marker>
            <c:symbol val="none"/>
          </c:marker>
          <c:cat>
            <c:multiLvlStrRef>
              <c:f>CurveData!$B$11:$C$36</c:f>
              <c:multiLvlStrCache>
                <c:ptCount val="26"/>
                <c:lvl>
                  <c:pt idx="0">
                    <c:v>3 ヶ月</c:v>
                  </c:pt>
                  <c:pt idx="1">
                    <c:v>6 ヶ月</c:v>
                  </c:pt>
                  <c:pt idx="2">
                    <c:v>9 ヶ月</c:v>
                  </c:pt>
                  <c:pt idx="3">
                    <c:v>0 ヶ月</c:v>
                  </c:pt>
                  <c:pt idx="4">
                    <c:v>3 ヶ月</c:v>
                  </c:pt>
                  <c:pt idx="5">
                    <c:v>6 ヶ月</c:v>
                  </c:pt>
                  <c:pt idx="6">
                    <c:v>9 ヶ月</c:v>
                  </c:pt>
                  <c:pt idx="7">
                    <c:v>0 ヶ月</c:v>
                  </c:pt>
                  <c:pt idx="8">
                    <c:v>3 ヶ月</c:v>
                  </c:pt>
                  <c:pt idx="9">
                    <c:v>6 ヶ月</c:v>
                  </c:pt>
                  <c:pt idx="10">
                    <c:v>9 ヶ月</c:v>
                  </c:pt>
                  <c:pt idx="11">
                    <c:v>0 ヶ月</c:v>
                  </c:pt>
                  <c:pt idx="12">
                    <c:v>3 ヶ月</c:v>
                  </c:pt>
                  <c:pt idx="13">
                    <c:v>6 ヶ月</c:v>
                  </c:pt>
                  <c:pt idx="14">
                    <c:v>9 ヶ月</c:v>
                  </c:pt>
                  <c:pt idx="15">
                    <c:v>0 ヶ月</c:v>
                  </c:pt>
                  <c:pt idx="16">
                    <c:v>3 ヶ月</c:v>
                  </c:pt>
                  <c:pt idx="17">
                    <c:v>6 ヶ月</c:v>
                  </c:pt>
                  <c:pt idx="18">
                    <c:v>9 ヶ月</c:v>
                  </c:pt>
                  <c:pt idx="19">
                    <c:v>0 ヶ月</c:v>
                  </c:pt>
                  <c:pt idx="20">
                    <c:v>3 ヶ月</c:v>
                  </c:pt>
                  <c:pt idx="21">
                    <c:v>6 ヶ月</c:v>
                  </c:pt>
                  <c:pt idx="22">
                    <c:v>9 ヶ月</c:v>
                  </c:pt>
                  <c:pt idx="23">
                    <c:v>0 ヶ月</c:v>
                  </c:pt>
                  <c:pt idx="24">
                    <c:v>3 ヶ月</c:v>
                  </c:pt>
                  <c:pt idx="25">
                    <c:v>6 ヶ月</c:v>
                  </c:pt>
                </c:lvl>
                <c:lvl>
                  <c:pt idx="3">
                    <c:v>1 年</c:v>
                  </c:pt>
                  <c:pt idx="4">
                    <c:v>1 年</c:v>
                  </c:pt>
                  <c:pt idx="5">
                    <c:v>1 年</c:v>
                  </c:pt>
                  <c:pt idx="6">
                    <c:v>1 年</c:v>
                  </c:pt>
                  <c:pt idx="7">
                    <c:v>2 年</c:v>
                  </c:pt>
                  <c:pt idx="8">
                    <c:v>2 年</c:v>
                  </c:pt>
                  <c:pt idx="9">
                    <c:v>2 年</c:v>
                  </c:pt>
                  <c:pt idx="10">
                    <c:v>2 年</c:v>
                  </c:pt>
                  <c:pt idx="11">
                    <c:v>3 年</c:v>
                  </c:pt>
                  <c:pt idx="12">
                    <c:v>3 年</c:v>
                  </c:pt>
                  <c:pt idx="13">
                    <c:v>3 年</c:v>
                  </c:pt>
                  <c:pt idx="14">
                    <c:v>3 年</c:v>
                  </c:pt>
                  <c:pt idx="15">
                    <c:v>4 年</c:v>
                  </c:pt>
                  <c:pt idx="16">
                    <c:v>4 年</c:v>
                  </c:pt>
                  <c:pt idx="17">
                    <c:v>4 年</c:v>
                  </c:pt>
                  <c:pt idx="18">
                    <c:v>4 年</c:v>
                  </c:pt>
                  <c:pt idx="19">
                    <c:v>5 年</c:v>
                  </c:pt>
                  <c:pt idx="20">
                    <c:v>5 年</c:v>
                  </c:pt>
                  <c:pt idx="21">
                    <c:v>5 年</c:v>
                  </c:pt>
                  <c:pt idx="22">
                    <c:v>5 年</c:v>
                  </c:pt>
                  <c:pt idx="23">
                    <c:v>6 年</c:v>
                  </c:pt>
                  <c:pt idx="24">
                    <c:v>6 年</c:v>
                  </c:pt>
                  <c:pt idx="25">
                    <c:v>6 年</c:v>
                  </c:pt>
                </c:lvl>
              </c:multiLvlStrCache>
            </c:multiLvlStrRef>
          </c:cat>
          <c:val>
            <c:numRef>
              <c:f>CurveData!$E$11:$E$36</c:f>
              <c:numCache>
                <c:formatCode>0.000000000</c:formatCode>
                <c:ptCount val="26"/>
                <c:pt idx="0">
                  <c:v>0.996260272</c:v>
                </c:pt>
                <c:pt idx="1">
                  <c:v>0.99255970900000001</c:v>
                </c:pt>
                <c:pt idx="2">
                  <c:v>0.98852348000000001</c:v>
                </c:pt>
                <c:pt idx="3">
                  <c:v>0.98449748000000004</c:v>
                </c:pt>
                <c:pt idx="4">
                  <c:v>0.97973412100000001</c:v>
                </c:pt>
                <c:pt idx="5">
                  <c:v>0.97446847299999995</c:v>
                </c:pt>
                <c:pt idx="6">
                  <c:v>0.96869143999999996</c:v>
                </c:pt>
                <c:pt idx="7">
                  <c:v>0.96238782</c:v>
                </c:pt>
                <c:pt idx="8">
                  <c:v>0.95544805099999996</c:v>
                </c:pt>
                <c:pt idx="9">
                  <c:v>0.94792346400000005</c:v>
                </c:pt>
                <c:pt idx="10">
                  <c:v>0.93985951599999995</c:v>
                </c:pt>
                <c:pt idx="11">
                  <c:v>0.93171636999999996</c:v>
                </c:pt>
                <c:pt idx="12">
                  <c:v>0.92341137100000004</c:v>
                </c:pt>
                <c:pt idx="13">
                  <c:v>0.91496196699999999</c:v>
                </c:pt>
                <c:pt idx="14">
                  <c:v>0.90639694100000001</c:v>
                </c:pt>
                <c:pt idx="15">
                  <c:v>0.89791161600000002</c:v>
                </c:pt>
                <c:pt idx="16">
                  <c:v>0.888840301</c:v>
                </c:pt>
                <c:pt idx="17">
                  <c:v>0.87949455600000004</c:v>
                </c:pt>
                <c:pt idx="18">
                  <c:v>0.86994660099999999</c:v>
                </c:pt>
                <c:pt idx="19">
                  <c:v>0.86049433500000005</c:v>
                </c:pt>
                <c:pt idx="20">
                  <c:v>0.85079431000000005</c:v>
                </c:pt>
                <c:pt idx="21">
                  <c:v>0.84110340900000002</c:v>
                </c:pt>
                <c:pt idx="22">
                  <c:v>0.83124693999999999</c:v>
                </c:pt>
                <c:pt idx="23">
                  <c:v>0.82219172799999996</c:v>
                </c:pt>
                <c:pt idx="24">
                  <c:v>0.81272220399999995</c:v>
                </c:pt>
                <c:pt idx="25">
                  <c:v>0.80319008400000003</c:v>
                </c:pt>
              </c:numCache>
            </c:numRef>
          </c:val>
        </c:ser>
        <c:ser>
          <c:idx val="2"/>
          <c:order val="2"/>
          <c:tx>
            <c:strRef>
              <c:f>CurveData!$F$8:$F$9</c:f>
              <c:strCache>
                <c:ptCount val="1"/>
                <c:pt idx="0">
                  <c:v>3 1995/12/1</c:v>
                </c:pt>
              </c:strCache>
            </c:strRef>
          </c:tx>
          <c:spPr>
            <a:ln w="12700">
              <a:solidFill>
                <a:srgbClr val="FF0000"/>
              </a:solidFill>
              <a:prstDash val="solid"/>
            </a:ln>
          </c:spPr>
          <c:marker>
            <c:symbol val="none"/>
          </c:marker>
          <c:cat>
            <c:multiLvlStrRef>
              <c:f>CurveData!$B$11:$C$36</c:f>
              <c:multiLvlStrCache>
                <c:ptCount val="26"/>
                <c:lvl>
                  <c:pt idx="0">
                    <c:v>3 ヶ月</c:v>
                  </c:pt>
                  <c:pt idx="1">
                    <c:v>6 ヶ月</c:v>
                  </c:pt>
                  <c:pt idx="2">
                    <c:v>9 ヶ月</c:v>
                  </c:pt>
                  <c:pt idx="3">
                    <c:v>0 ヶ月</c:v>
                  </c:pt>
                  <c:pt idx="4">
                    <c:v>3 ヶ月</c:v>
                  </c:pt>
                  <c:pt idx="5">
                    <c:v>6 ヶ月</c:v>
                  </c:pt>
                  <c:pt idx="6">
                    <c:v>9 ヶ月</c:v>
                  </c:pt>
                  <c:pt idx="7">
                    <c:v>0 ヶ月</c:v>
                  </c:pt>
                  <c:pt idx="8">
                    <c:v>3 ヶ月</c:v>
                  </c:pt>
                  <c:pt idx="9">
                    <c:v>6 ヶ月</c:v>
                  </c:pt>
                  <c:pt idx="10">
                    <c:v>9 ヶ月</c:v>
                  </c:pt>
                  <c:pt idx="11">
                    <c:v>0 ヶ月</c:v>
                  </c:pt>
                  <c:pt idx="12">
                    <c:v>3 ヶ月</c:v>
                  </c:pt>
                  <c:pt idx="13">
                    <c:v>6 ヶ月</c:v>
                  </c:pt>
                  <c:pt idx="14">
                    <c:v>9 ヶ月</c:v>
                  </c:pt>
                  <c:pt idx="15">
                    <c:v>0 ヶ月</c:v>
                  </c:pt>
                  <c:pt idx="16">
                    <c:v>3 ヶ月</c:v>
                  </c:pt>
                  <c:pt idx="17">
                    <c:v>6 ヶ月</c:v>
                  </c:pt>
                  <c:pt idx="18">
                    <c:v>9 ヶ月</c:v>
                  </c:pt>
                  <c:pt idx="19">
                    <c:v>0 ヶ月</c:v>
                  </c:pt>
                  <c:pt idx="20">
                    <c:v>3 ヶ月</c:v>
                  </c:pt>
                  <c:pt idx="21">
                    <c:v>6 ヶ月</c:v>
                  </c:pt>
                  <c:pt idx="22">
                    <c:v>9 ヶ月</c:v>
                  </c:pt>
                  <c:pt idx="23">
                    <c:v>0 ヶ月</c:v>
                  </c:pt>
                  <c:pt idx="24">
                    <c:v>3 ヶ月</c:v>
                  </c:pt>
                  <c:pt idx="25">
                    <c:v>6 ヶ月</c:v>
                  </c:pt>
                </c:lvl>
                <c:lvl>
                  <c:pt idx="3">
                    <c:v>1 年</c:v>
                  </c:pt>
                  <c:pt idx="4">
                    <c:v>1 年</c:v>
                  </c:pt>
                  <c:pt idx="5">
                    <c:v>1 年</c:v>
                  </c:pt>
                  <c:pt idx="6">
                    <c:v>1 年</c:v>
                  </c:pt>
                  <c:pt idx="7">
                    <c:v>2 年</c:v>
                  </c:pt>
                  <c:pt idx="8">
                    <c:v>2 年</c:v>
                  </c:pt>
                  <c:pt idx="9">
                    <c:v>2 年</c:v>
                  </c:pt>
                  <c:pt idx="10">
                    <c:v>2 年</c:v>
                  </c:pt>
                  <c:pt idx="11">
                    <c:v>3 年</c:v>
                  </c:pt>
                  <c:pt idx="12">
                    <c:v>3 年</c:v>
                  </c:pt>
                  <c:pt idx="13">
                    <c:v>3 年</c:v>
                  </c:pt>
                  <c:pt idx="14">
                    <c:v>3 年</c:v>
                  </c:pt>
                  <c:pt idx="15">
                    <c:v>4 年</c:v>
                  </c:pt>
                  <c:pt idx="16">
                    <c:v>4 年</c:v>
                  </c:pt>
                  <c:pt idx="17">
                    <c:v>4 年</c:v>
                  </c:pt>
                  <c:pt idx="18">
                    <c:v>4 年</c:v>
                  </c:pt>
                  <c:pt idx="19">
                    <c:v>5 年</c:v>
                  </c:pt>
                  <c:pt idx="20">
                    <c:v>5 年</c:v>
                  </c:pt>
                  <c:pt idx="21">
                    <c:v>5 年</c:v>
                  </c:pt>
                  <c:pt idx="22">
                    <c:v>5 年</c:v>
                  </c:pt>
                  <c:pt idx="23">
                    <c:v>6 年</c:v>
                  </c:pt>
                  <c:pt idx="24">
                    <c:v>6 年</c:v>
                  </c:pt>
                  <c:pt idx="25">
                    <c:v>6 年</c:v>
                  </c:pt>
                </c:lvl>
              </c:multiLvlStrCache>
            </c:multiLvlStrRef>
          </c:cat>
          <c:val>
            <c:numRef>
              <c:f>CurveData!$F$11:$F$36</c:f>
              <c:numCache>
                <c:formatCode>0.000000000</c:formatCode>
                <c:ptCount val="26"/>
                <c:pt idx="0">
                  <c:v>0.99836023299999999</c:v>
                </c:pt>
                <c:pt idx="1">
                  <c:v>0.99704745400000006</c:v>
                </c:pt>
                <c:pt idx="2">
                  <c:v>0.99572819999999995</c:v>
                </c:pt>
                <c:pt idx="3">
                  <c:v>0.99422746900000003</c:v>
                </c:pt>
                <c:pt idx="4">
                  <c:v>0.99241630999999997</c:v>
                </c:pt>
                <c:pt idx="5">
                  <c:v>0.99009044300000004</c:v>
                </c:pt>
                <c:pt idx="6">
                  <c:v>0.98798454099999999</c:v>
                </c:pt>
                <c:pt idx="7">
                  <c:v>0.985438802</c:v>
                </c:pt>
                <c:pt idx="8">
                  <c:v>0.98206945599999995</c:v>
                </c:pt>
                <c:pt idx="9">
                  <c:v>0.97763988499999999</c:v>
                </c:pt>
                <c:pt idx="10">
                  <c:v>0.972136997</c:v>
                </c:pt>
                <c:pt idx="11">
                  <c:v>0.96600857799999995</c:v>
                </c:pt>
                <c:pt idx="12">
                  <c:v>0.95949564700000001</c:v>
                </c:pt>
                <c:pt idx="13">
                  <c:v>0.95199</c:v>
                </c:pt>
                <c:pt idx="14">
                  <c:v>0.94424258999999999</c:v>
                </c:pt>
                <c:pt idx="15">
                  <c:v>0.93609596100000003</c:v>
                </c:pt>
                <c:pt idx="16">
                  <c:v>0.92761487200000003</c:v>
                </c:pt>
                <c:pt idx="17">
                  <c:v>0.918849472</c:v>
                </c:pt>
                <c:pt idx="18">
                  <c:v>0.90973845200000003</c:v>
                </c:pt>
                <c:pt idx="19">
                  <c:v>0.90052134500000003</c:v>
                </c:pt>
                <c:pt idx="20">
                  <c:v>0.89123530500000003</c:v>
                </c:pt>
                <c:pt idx="21">
                  <c:v>0.88161639700000005</c:v>
                </c:pt>
                <c:pt idx="22">
                  <c:v>0.87191517500000004</c:v>
                </c:pt>
                <c:pt idx="23">
                  <c:v>0.86228396299999999</c:v>
                </c:pt>
                <c:pt idx="24">
                  <c:v>0.852768627</c:v>
                </c:pt>
                <c:pt idx="25">
                  <c:v>0.84309926599999996</c:v>
                </c:pt>
              </c:numCache>
            </c:numRef>
          </c:val>
        </c:ser>
        <c:marker val="1"/>
        <c:axId val="95989120"/>
        <c:axId val="96974720"/>
      </c:lineChart>
      <c:catAx>
        <c:axId val="95989120"/>
        <c:scaling>
          <c:orientation val="minMax"/>
        </c:scaling>
        <c:axPos val="b"/>
        <c:title>
          <c:tx>
            <c:rich>
              <a:bodyPr/>
              <a:lstStyle/>
              <a:p>
                <a:pPr>
                  <a:defRPr sz="1050" b="0" i="0" u="none" strike="noStrike" baseline="0">
                    <a:solidFill>
                      <a:srgbClr val="000000"/>
                    </a:solidFill>
                    <a:latin typeface="ＭＳ 明朝"/>
                    <a:ea typeface="ＭＳ 明朝"/>
                    <a:cs typeface="ＭＳ 明朝"/>
                  </a:defRPr>
                </a:pPr>
                <a:r>
                  <a:rPr altLang="en-US"/>
                  <a:t>期日（年）</a:t>
                </a:r>
              </a:p>
            </c:rich>
          </c:tx>
          <c:layout>
            <c:manualLayout>
              <c:xMode val="edge"/>
              <c:yMode val="edge"/>
              <c:x val="0.44697052366411372"/>
              <c:y val="0.76923237436643288"/>
            </c:manualLayout>
          </c:layout>
          <c:spPr>
            <a:noFill/>
            <a:ln w="25400">
              <a:noFill/>
            </a:ln>
          </c:spPr>
        </c:title>
        <c:numFmt formatCode="General" sourceLinked="0"/>
        <c:majorTickMark val="in"/>
        <c:tickLblPos val="nextTo"/>
        <c:spPr>
          <a:ln w="3175">
            <a:solidFill>
              <a:srgbClr val="000000"/>
            </a:solidFill>
            <a:prstDash val="solid"/>
          </a:ln>
        </c:spPr>
        <c:txPr>
          <a:bodyPr rot="0" vert="horz"/>
          <a:lstStyle/>
          <a:p>
            <a:pPr>
              <a:defRPr sz="1100" b="0" i="0" u="none" strike="noStrike" baseline="0">
                <a:solidFill>
                  <a:srgbClr val="000000"/>
                </a:solidFill>
                <a:latin typeface="ＭＳ 明朝"/>
                <a:ea typeface="ＭＳ 明朝"/>
                <a:cs typeface="ＭＳ 明朝"/>
              </a:defRPr>
            </a:pPr>
            <a:endParaRPr lang="ja-JP"/>
          </a:p>
        </c:txPr>
        <c:crossAx val="96974720"/>
        <c:crosses val="autoZero"/>
        <c:lblAlgn val="ctr"/>
        <c:lblOffset val="100"/>
        <c:tickLblSkip val="4"/>
        <c:tickMarkSkip val="1"/>
      </c:catAx>
      <c:valAx>
        <c:axId val="96974720"/>
        <c:scaling>
          <c:orientation val="minMax"/>
          <c:min val="0.70000000000000007"/>
        </c:scaling>
        <c:axPos val="l"/>
        <c:title>
          <c:tx>
            <c:rich>
              <a:bodyPr/>
              <a:lstStyle/>
              <a:p>
                <a:pPr>
                  <a:defRPr sz="1050" b="0" i="0" u="none" strike="noStrike" baseline="0">
                    <a:solidFill>
                      <a:srgbClr val="000000"/>
                    </a:solidFill>
                    <a:latin typeface="ＭＳ 明朝"/>
                    <a:ea typeface="ＭＳ 明朝"/>
                    <a:cs typeface="ＭＳ 明朝"/>
                  </a:defRPr>
                </a:pPr>
                <a:r>
                  <a:rPr altLang="en-US"/>
                  <a:t>ディスカウントファクター</a:t>
                </a:r>
              </a:p>
            </c:rich>
          </c:tx>
          <c:layout>
            <c:manualLayout>
              <c:xMode val="edge"/>
              <c:yMode val="edge"/>
              <c:x val="3.4090972143873091E-2"/>
              <c:y val="0.23931673869177914"/>
            </c:manualLayout>
          </c:layout>
          <c:spPr>
            <a:noFill/>
            <a:ln w="25400">
              <a:noFill/>
            </a:ln>
          </c:spPr>
        </c:title>
        <c:numFmt formatCode="0.00" sourceLinked="0"/>
        <c:majorTickMark val="in"/>
        <c:tickLblPos val="nextTo"/>
        <c:spPr>
          <a:ln w="3175">
            <a:solidFill>
              <a:srgbClr val="000000"/>
            </a:solidFill>
            <a:prstDash val="solid"/>
          </a:ln>
        </c:spPr>
        <c:txPr>
          <a:bodyPr rot="0" vert="horz"/>
          <a:lstStyle/>
          <a:p>
            <a:pPr>
              <a:defRPr sz="1100" b="0" i="0" u="none" strike="noStrike" baseline="0">
                <a:solidFill>
                  <a:srgbClr val="000000"/>
                </a:solidFill>
                <a:latin typeface="ＭＳ 明朝"/>
                <a:ea typeface="ＭＳ 明朝"/>
                <a:cs typeface="ＭＳ 明朝"/>
              </a:defRPr>
            </a:pPr>
            <a:endParaRPr lang="ja-JP"/>
          </a:p>
        </c:txPr>
        <c:crossAx val="95989120"/>
        <c:crosses val="autoZero"/>
        <c:crossBetween val="midCat"/>
      </c:valAx>
      <c:spPr>
        <a:solidFill>
          <a:srgbClr val="FFFF00"/>
        </a:solidFill>
        <a:ln w="3175">
          <a:solidFill>
            <a:srgbClr val="000000"/>
          </a:solidFill>
          <a:prstDash val="solid"/>
        </a:ln>
      </c:spPr>
    </c:plotArea>
    <c:legend>
      <c:legendPos val="b"/>
      <c:layout>
        <c:manualLayout>
          <c:xMode val="edge"/>
          <c:yMode val="edge"/>
          <c:x val="0.38636435096389493"/>
          <c:y val="0.83760858542122696"/>
          <c:w val="0.4071977228295951"/>
          <c:h val="0.13675242210958807"/>
        </c:manualLayout>
      </c:layout>
      <c:spPr>
        <a:solidFill>
          <a:srgbClr val="FFFFFF"/>
        </a:solidFill>
        <a:ln w="3175">
          <a:solidFill>
            <a:srgbClr val="000000"/>
          </a:solidFill>
          <a:prstDash val="solid"/>
        </a:ln>
      </c:spPr>
      <c:txPr>
        <a:bodyPr/>
        <a:lstStyle/>
        <a:p>
          <a:pPr>
            <a:defRPr sz="1010" b="0" i="0" u="none" strike="noStrike" baseline="0">
              <a:solidFill>
                <a:srgbClr val="000000"/>
              </a:solidFill>
              <a:latin typeface="ＭＳ 明朝"/>
              <a:ea typeface="ＭＳ 明朝"/>
              <a:cs typeface="ＭＳ 明朝"/>
            </a:defRPr>
          </a:pPr>
          <a:endParaRPr lang="ja-JP"/>
        </a:p>
      </c:txPr>
    </c:legend>
    <c:plotVisOnly val="1"/>
    <c:dispBlanksAs val="gap"/>
  </c:chart>
  <c:spPr>
    <a:solidFill>
      <a:srgbClr val="FFFFFF"/>
    </a:solidFill>
    <a:ln w="12700">
      <a:solidFill>
        <a:srgbClr val="000000"/>
      </a:solidFill>
      <a:prstDash val="solid"/>
    </a:ln>
  </c:spPr>
  <c:txPr>
    <a:bodyPr/>
    <a:lstStyle/>
    <a:p>
      <a:pPr>
        <a:defRPr sz="1050" b="0" i="0" u="none" strike="noStrike" baseline="0">
          <a:solidFill>
            <a:srgbClr val="000000"/>
          </a:solidFill>
          <a:latin typeface="ＭＳ 明朝"/>
          <a:ea typeface="ＭＳ 明朝"/>
          <a:cs typeface="ＭＳ 明朝"/>
        </a:defRPr>
      </a:pPr>
      <a:endParaRPr lang="ja-JP"/>
    </a:p>
  </c:txPr>
  <c:printSettings>
    <c:headerFooter alignWithMargins="0"/>
    <c:pageMargins b="0.98425196850393692" l="0.78740157480314954" r="0.78740157480314954" t="0.98425196850393692" header="0.51181102362204722" footer="0.51181102362204722"/>
    <c:pageSetup paperSize="9" orientation="landscape" blackAndWhite="1" horizontalDpi="-4" verticalDpi="0"/>
  </c:printSettings>
</c:chartSpace>
</file>

<file path=xl/charts/chart2.xml><?xml version="1.0" encoding="utf-8"?>
<c:chartSpace xmlns:c="http://schemas.openxmlformats.org/drawingml/2006/chart" xmlns:a="http://schemas.openxmlformats.org/drawingml/2006/main" xmlns:r="http://schemas.openxmlformats.org/officeDocument/2006/relationships">
  <c:lang val="ja-JP"/>
  <c:chart>
    <c:title>
      <c:tx>
        <c:rich>
          <a:bodyPr/>
          <a:lstStyle/>
          <a:p>
            <a:pPr>
              <a:defRPr sz="1400" b="1" i="0" u="none" strike="noStrike" baseline="0">
                <a:solidFill>
                  <a:srgbClr val="000000"/>
                </a:solidFill>
                <a:latin typeface="ＭＳ ゴシック"/>
                <a:ea typeface="ＭＳ ゴシック"/>
                <a:cs typeface="ＭＳ ゴシック"/>
              </a:defRPr>
            </a:pPr>
            <a:r>
              <a:rPr lang="ja-JP" altLang="en-US"/>
              <a:t>ツリーの形状</a:t>
            </a:r>
          </a:p>
        </c:rich>
      </c:tx>
      <c:layout>
        <c:manualLayout>
          <c:xMode val="edge"/>
          <c:yMode val="edge"/>
          <c:x val="0.39715189873417728"/>
          <c:y val="5.46318923413983E-2"/>
        </c:manualLayout>
      </c:layout>
      <c:spPr>
        <a:noFill/>
        <a:ln w="25400">
          <a:noFill/>
        </a:ln>
      </c:spPr>
    </c:title>
    <c:plotArea>
      <c:layout>
        <c:manualLayout>
          <c:layoutTarget val="inner"/>
          <c:xMode val="edge"/>
          <c:yMode val="edge"/>
          <c:x val="0.15822784810126589"/>
          <c:y val="0.16152037735717756"/>
          <c:w val="0.79113924050632911"/>
          <c:h val="0.65320740842976233"/>
        </c:manualLayout>
      </c:layout>
      <c:lineChart>
        <c:grouping val="standard"/>
        <c:ser>
          <c:idx val="0"/>
          <c:order val="0"/>
          <c:spPr>
            <a:ln w="28575">
              <a:noFill/>
            </a:ln>
          </c:spPr>
          <c:marker>
            <c:symbol val="circle"/>
            <c:size val="5"/>
            <c:spPr>
              <a:solidFill>
                <a:srgbClr val="333300"/>
              </a:solidFill>
              <a:ln>
                <a:solidFill>
                  <a:srgbClr val="333300"/>
                </a:solidFill>
                <a:prstDash val="solid"/>
              </a:ln>
            </c:spPr>
          </c:marker>
          <c:cat>
            <c:numRef>
              <c:f>ShortRate!$C$4:$O$4</c:f>
              <c:numCache>
                <c:formatCode>General</c:formatCode>
                <c:ptCount val="13"/>
                <c:pt idx="0">
                  <c:v>0</c:v>
                </c:pt>
                <c:pt idx="1">
                  <c:v>0.25</c:v>
                </c:pt>
                <c:pt idx="2">
                  <c:v>0.5</c:v>
                </c:pt>
                <c:pt idx="3">
                  <c:v>0.75</c:v>
                </c:pt>
                <c:pt idx="4">
                  <c:v>1</c:v>
                </c:pt>
                <c:pt idx="5">
                  <c:v>1.25</c:v>
                </c:pt>
                <c:pt idx="6">
                  <c:v>1.5</c:v>
                </c:pt>
                <c:pt idx="7">
                  <c:v>1.75</c:v>
                </c:pt>
                <c:pt idx="8">
                  <c:v>2</c:v>
                </c:pt>
                <c:pt idx="9">
                  <c:v>2.25</c:v>
                </c:pt>
                <c:pt idx="10">
                  <c:v>2.5</c:v>
                </c:pt>
                <c:pt idx="11">
                  <c:v>2.75</c:v>
                </c:pt>
                <c:pt idx="12">
                  <c:v>3</c:v>
                </c:pt>
              </c:numCache>
            </c:numRef>
          </c:cat>
          <c:val>
            <c:numRef>
              <c:f>ShortRate!$C$10:$O$10</c:f>
              <c:numCache>
                <c:formatCode>#0.00%;\-#0.00%;;</c:formatCode>
                <c:ptCount val="13"/>
                <c:pt idx="10">
                  <c:v>0</c:v>
                </c:pt>
                <c:pt idx="11">
                  <c:v>0</c:v>
                </c:pt>
                <c:pt idx="12">
                  <c:v>0</c:v>
                </c:pt>
              </c:numCache>
            </c:numRef>
          </c:val>
        </c:ser>
        <c:ser>
          <c:idx val="1"/>
          <c:order val="1"/>
          <c:spPr>
            <a:ln w="28575">
              <a:noFill/>
            </a:ln>
          </c:spPr>
          <c:marker>
            <c:symbol val="circle"/>
            <c:size val="5"/>
            <c:spPr>
              <a:solidFill>
                <a:srgbClr val="003300"/>
              </a:solidFill>
              <a:ln>
                <a:solidFill>
                  <a:srgbClr val="003300"/>
                </a:solidFill>
                <a:prstDash val="solid"/>
              </a:ln>
            </c:spPr>
          </c:marker>
          <c:val>
            <c:numRef>
              <c:f>ShortRate!$C$11:$O$11</c:f>
              <c:numCache>
                <c:formatCode>#0.00%;\-#0.00%;;</c:formatCode>
                <c:ptCount val="13"/>
                <c:pt idx="9">
                  <c:v>0</c:v>
                </c:pt>
                <c:pt idx="10">
                  <c:v>0</c:v>
                </c:pt>
                <c:pt idx="11">
                  <c:v>0</c:v>
                </c:pt>
                <c:pt idx="12">
                  <c:v>0</c:v>
                </c:pt>
              </c:numCache>
            </c:numRef>
          </c:val>
        </c:ser>
        <c:ser>
          <c:idx val="2"/>
          <c:order val="2"/>
          <c:spPr>
            <a:ln w="28575">
              <a:noFill/>
            </a:ln>
          </c:spPr>
          <c:marker>
            <c:symbol val="circle"/>
            <c:size val="5"/>
            <c:spPr>
              <a:solidFill>
                <a:srgbClr val="663300"/>
              </a:solidFill>
              <a:ln>
                <a:solidFill>
                  <a:srgbClr val="663300"/>
                </a:solidFill>
                <a:prstDash val="solid"/>
              </a:ln>
            </c:spPr>
          </c:marker>
          <c:val>
            <c:numRef>
              <c:f>ShortRate!$C$12:$O$12</c:f>
              <c:numCache>
                <c:formatCode>#0.00%;\-#0.00%;;</c:formatCode>
                <c:ptCount val="13"/>
                <c:pt idx="8">
                  <c:v>0.11514601542344099</c:v>
                </c:pt>
                <c:pt idx="9">
                  <c:v>0.11768097793707999</c:v>
                </c:pt>
                <c:pt idx="10">
                  <c:v>0.11976707248336566</c:v>
                </c:pt>
                <c:pt idx="11">
                  <c:v>0.12123162325424669</c:v>
                </c:pt>
                <c:pt idx="12">
                  <c:v>0.12209740034696298</c:v>
                </c:pt>
              </c:numCache>
            </c:numRef>
          </c:val>
        </c:ser>
        <c:ser>
          <c:idx val="3"/>
          <c:order val="3"/>
          <c:spPr>
            <a:ln w="28575">
              <a:noFill/>
            </a:ln>
          </c:spPr>
          <c:marker>
            <c:symbol val="circle"/>
            <c:size val="5"/>
            <c:spPr>
              <a:solidFill>
                <a:srgbClr val="800000"/>
              </a:solidFill>
              <a:ln>
                <a:solidFill>
                  <a:srgbClr val="800000"/>
                </a:solidFill>
                <a:prstDash val="solid"/>
              </a:ln>
            </c:spPr>
          </c:marker>
          <c:val>
            <c:numRef>
              <c:f>ShortRate!$C$13:$O$13</c:f>
              <c:numCache>
                <c:formatCode>#0.00%;\-#0.00%;;</c:formatCode>
                <c:ptCount val="13"/>
                <c:pt idx="7">
                  <c:v>0.10499770299064297</c:v>
                </c:pt>
                <c:pt idx="8">
                  <c:v>0.10648576138559661</c:v>
                </c:pt>
                <c:pt idx="9">
                  <c:v>0.1090207238992356</c:v>
                </c:pt>
                <c:pt idx="10">
                  <c:v>0.11110681844552127</c:v>
                </c:pt>
                <c:pt idx="11">
                  <c:v>0.1125713692164023</c:v>
                </c:pt>
                <c:pt idx="12">
                  <c:v>0.11343714630911859</c:v>
                </c:pt>
              </c:numCache>
            </c:numRef>
          </c:val>
        </c:ser>
        <c:ser>
          <c:idx val="4"/>
          <c:order val="4"/>
          <c:spPr>
            <a:ln w="28575">
              <a:noFill/>
            </a:ln>
          </c:spPr>
          <c:marker>
            <c:symbol val="circle"/>
            <c:size val="5"/>
            <c:spPr>
              <a:solidFill>
                <a:srgbClr val="600080"/>
              </a:solidFill>
              <a:ln>
                <a:solidFill>
                  <a:srgbClr val="600080"/>
                </a:solidFill>
                <a:prstDash val="solid"/>
              </a:ln>
            </c:spPr>
          </c:marker>
          <c:val>
            <c:numRef>
              <c:f>ShortRate!$C$14:$O$14</c:f>
              <c:numCache>
                <c:formatCode>#0.00%;\-#0.00%;;</c:formatCode>
                <c:ptCount val="13"/>
                <c:pt idx="6">
                  <c:v>9.0430781957209411E-2</c:v>
                </c:pt>
                <c:pt idx="7">
                  <c:v>9.6337448952798582E-2</c:v>
                </c:pt>
                <c:pt idx="8">
                  <c:v>9.7825507347752222E-2</c:v>
                </c:pt>
                <c:pt idx="9">
                  <c:v>0.10036046986139122</c:v>
                </c:pt>
                <c:pt idx="10">
                  <c:v>0.10244656440767688</c:v>
                </c:pt>
                <c:pt idx="11">
                  <c:v>0.10391111517855792</c:v>
                </c:pt>
                <c:pt idx="12">
                  <c:v>0.10477689227127421</c:v>
                </c:pt>
              </c:numCache>
            </c:numRef>
          </c:val>
        </c:ser>
        <c:ser>
          <c:idx val="5"/>
          <c:order val="5"/>
          <c:spPr>
            <a:ln w="28575">
              <a:noFill/>
            </a:ln>
          </c:spPr>
          <c:marker>
            <c:symbol val="circle"/>
            <c:size val="5"/>
            <c:spPr>
              <a:solidFill>
                <a:srgbClr val="3366FF"/>
              </a:solidFill>
              <a:ln>
                <a:solidFill>
                  <a:srgbClr val="3366FF"/>
                </a:solidFill>
                <a:prstDash val="solid"/>
              </a:ln>
            </c:spPr>
          </c:marker>
          <c:val>
            <c:numRef>
              <c:f>ShortRate!$C$15:$O$15</c:f>
              <c:numCache>
                <c:formatCode>#0.00%;\-#0.00%;;</c:formatCode>
                <c:ptCount val="13"/>
                <c:pt idx="5">
                  <c:v>8.239636257197501E-2</c:v>
                </c:pt>
                <c:pt idx="6">
                  <c:v>8.1770527919365024E-2</c:v>
                </c:pt>
                <c:pt idx="7">
                  <c:v>8.7677194914954196E-2</c:v>
                </c:pt>
                <c:pt idx="8">
                  <c:v>8.9165253309907835E-2</c:v>
                </c:pt>
                <c:pt idx="9">
                  <c:v>9.170021582354683E-2</c:v>
                </c:pt>
                <c:pt idx="10">
                  <c:v>9.3786310369832496E-2</c:v>
                </c:pt>
                <c:pt idx="11">
                  <c:v>9.525086114071353E-2</c:v>
                </c:pt>
                <c:pt idx="12">
                  <c:v>9.6116638233429821E-2</c:v>
                </c:pt>
              </c:numCache>
            </c:numRef>
          </c:val>
        </c:ser>
        <c:ser>
          <c:idx val="6"/>
          <c:order val="6"/>
          <c:spPr>
            <a:ln w="28575">
              <a:noFill/>
            </a:ln>
          </c:spPr>
          <c:marker>
            <c:symbol val="circle"/>
            <c:size val="5"/>
            <c:spPr>
              <a:solidFill>
                <a:srgbClr val="00CCFF"/>
              </a:solidFill>
              <a:ln>
                <a:solidFill>
                  <a:srgbClr val="00CCFF"/>
                </a:solidFill>
                <a:prstDash val="solid"/>
              </a:ln>
            </c:spPr>
          </c:marker>
          <c:val>
            <c:numRef>
              <c:f>ShortRate!$C$16:$O$16</c:f>
              <c:numCache>
                <c:formatCode>#0.00%;\-#0.00%;;</c:formatCode>
                <c:ptCount val="13"/>
                <c:pt idx="4">
                  <c:v>6.9670168069482369E-2</c:v>
                </c:pt>
                <c:pt idx="5">
                  <c:v>7.3736108534130623E-2</c:v>
                </c:pt>
                <c:pt idx="6">
                  <c:v>7.3110273881520638E-2</c:v>
                </c:pt>
                <c:pt idx="7">
                  <c:v>7.9016940877109809E-2</c:v>
                </c:pt>
                <c:pt idx="8">
                  <c:v>8.0504999272063449E-2</c:v>
                </c:pt>
                <c:pt idx="9">
                  <c:v>8.3039961785702443E-2</c:v>
                </c:pt>
                <c:pt idx="10">
                  <c:v>8.5126056331988109E-2</c:v>
                </c:pt>
                <c:pt idx="11">
                  <c:v>8.6590607102869144E-2</c:v>
                </c:pt>
                <c:pt idx="12">
                  <c:v>8.7456384195585435E-2</c:v>
                </c:pt>
              </c:numCache>
            </c:numRef>
          </c:val>
        </c:ser>
        <c:ser>
          <c:idx val="7"/>
          <c:order val="7"/>
          <c:spPr>
            <a:ln w="28575">
              <a:noFill/>
            </a:ln>
          </c:spPr>
          <c:marker>
            <c:symbol val="circle"/>
            <c:size val="5"/>
            <c:spPr>
              <a:solidFill>
                <a:srgbClr val="00FFFF"/>
              </a:solidFill>
              <a:ln>
                <a:solidFill>
                  <a:srgbClr val="00FFFF"/>
                </a:solidFill>
                <a:prstDash val="solid"/>
              </a:ln>
            </c:spPr>
          </c:marker>
          <c:val>
            <c:numRef>
              <c:f>ShortRate!$C$17:$O$17</c:f>
              <c:numCache>
                <c:formatCode>#0.00%;\-#0.00%;;</c:formatCode>
                <c:ptCount val="13"/>
                <c:pt idx="3">
                  <c:v>5.824743599486075E-2</c:v>
                </c:pt>
                <c:pt idx="4">
                  <c:v>6.1009914031637982E-2</c:v>
                </c:pt>
                <c:pt idx="5">
                  <c:v>6.5075854496286237E-2</c:v>
                </c:pt>
                <c:pt idx="6">
                  <c:v>6.4450019843676251E-2</c:v>
                </c:pt>
                <c:pt idx="7">
                  <c:v>7.0356686839265423E-2</c:v>
                </c:pt>
                <c:pt idx="8">
                  <c:v>7.1844745234219062E-2</c:v>
                </c:pt>
                <c:pt idx="9">
                  <c:v>7.4379707747858056E-2</c:v>
                </c:pt>
                <c:pt idx="10">
                  <c:v>7.6465802294143723E-2</c:v>
                </c:pt>
                <c:pt idx="11">
                  <c:v>7.7930353065024757E-2</c:v>
                </c:pt>
                <c:pt idx="12">
                  <c:v>7.8796130157741048E-2</c:v>
                </c:pt>
              </c:numCache>
            </c:numRef>
          </c:val>
        </c:ser>
        <c:ser>
          <c:idx val="8"/>
          <c:order val="8"/>
          <c:spPr>
            <a:ln w="28575">
              <a:noFill/>
            </a:ln>
          </c:spPr>
          <c:marker>
            <c:symbol val="circle"/>
            <c:size val="5"/>
            <c:spPr>
              <a:solidFill>
                <a:srgbClr val="00FF00"/>
              </a:solidFill>
              <a:ln>
                <a:solidFill>
                  <a:srgbClr val="00FF00"/>
                </a:solidFill>
                <a:prstDash val="solid"/>
              </a:ln>
            </c:spPr>
          </c:marker>
          <c:val>
            <c:numRef>
              <c:f>ShortRate!$C$18:$O$18</c:f>
              <c:numCache>
                <c:formatCode>#0.00%;\-#0.00%;;</c:formatCode>
                <c:ptCount val="13"/>
                <c:pt idx="2">
                  <c:v>4.6545363233972237E-2</c:v>
                </c:pt>
                <c:pt idx="3">
                  <c:v>4.9587181957016363E-2</c:v>
                </c:pt>
                <c:pt idx="4">
                  <c:v>5.2349659993793596E-2</c:v>
                </c:pt>
                <c:pt idx="5">
                  <c:v>5.641560045844185E-2</c:v>
                </c:pt>
                <c:pt idx="6">
                  <c:v>5.5789765805831865E-2</c:v>
                </c:pt>
                <c:pt idx="7">
                  <c:v>6.1696432801421036E-2</c:v>
                </c:pt>
                <c:pt idx="8">
                  <c:v>6.3184491196374676E-2</c:v>
                </c:pt>
                <c:pt idx="9">
                  <c:v>6.571945371001367E-2</c:v>
                </c:pt>
                <c:pt idx="10">
                  <c:v>6.7805548256299336E-2</c:v>
                </c:pt>
                <c:pt idx="11">
                  <c:v>6.9270099027180371E-2</c:v>
                </c:pt>
                <c:pt idx="12">
                  <c:v>7.0135876119896662E-2</c:v>
                </c:pt>
              </c:numCache>
            </c:numRef>
          </c:val>
        </c:ser>
        <c:ser>
          <c:idx val="9"/>
          <c:order val="9"/>
          <c:spPr>
            <a:ln w="28575">
              <a:noFill/>
            </a:ln>
          </c:spPr>
          <c:marker>
            <c:symbol val="circle"/>
            <c:size val="5"/>
            <c:spPr>
              <a:solidFill>
                <a:srgbClr val="FF00FF"/>
              </a:solidFill>
              <a:ln>
                <a:solidFill>
                  <a:srgbClr val="FF00FF"/>
                </a:solidFill>
                <a:prstDash val="solid"/>
              </a:ln>
            </c:spPr>
          </c:marker>
          <c:val>
            <c:numRef>
              <c:f>ShortRate!$C$19:$O$19</c:f>
              <c:numCache>
                <c:formatCode>#0.00%;\-#0.00%;;</c:formatCode>
                <c:ptCount val="13"/>
                <c:pt idx="1">
                  <c:v>3.495142845300625E-2</c:v>
                </c:pt>
                <c:pt idx="2">
                  <c:v>3.788510919612785E-2</c:v>
                </c:pt>
                <c:pt idx="3">
                  <c:v>4.0926927919171976E-2</c:v>
                </c:pt>
                <c:pt idx="4">
                  <c:v>4.3689405955949209E-2</c:v>
                </c:pt>
                <c:pt idx="5">
                  <c:v>4.7755346420597464E-2</c:v>
                </c:pt>
                <c:pt idx="6">
                  <c:v>4.7129511767987478E-2</c:v>
                </c:pt>
                <c:pt idx="7">
                  <c:v>5.303617876357665E-2</c:v>
                </c:pt>
                <c:pt idx="8">
                  <c:v>5.4524237158530289E-2</c:v>
                </c:pt>
                <c:pt idx="9">
                  <c:v>5.7059199672169283E-2</c:v>
                </c:pt>
                <c:pt idx="10">
                  <c:v>5.914529421845495E-2</c:v>
                </c:pt>
                <c:pt idx="11">
                  <c:v>6.0609844989335984E-2</c:v>
                </c:pt>
                <c:pt idx="12">
                  <c:v>6.1475622082052275E-2</c:v>
                </c:pt>
              </c:numCache>
            </c:numRef>
          </c:val>
        </c:ser>
        <c:ser>
          <c:idx val="10"/>
          <c:order val="10"/>
          <c:spPr>
            <a:ln w="12700">
              <a:solidFill>
                <a:srgbClr val="FF0000"/>
              </a:solidFill>
              <a:prstDash val="solid"/>
            </a:ln>
          </c:spPr>
          <c:marker>
            <c:symbol val="circle"/>
            <c:size val="5"/>
            <c:spPr>
              <a:solidFill>
                <a:srgbClr val="FF0000"/>
              </a:solidFill>
              <a:ln>
                <a:solidFill>
                  <a:srgbClr val="FF0000"/>
                </a:solidFill>
                <a:prstDash val="solid"/>
              </a:ln>
            </c:spPr>
          </c:marker>
          <c:val>
            <c:numRef>
              <c:f>ShortRate!$C$20:$O$20</c:f>
              <c:numCache>
                <c:formatCode>#0.00%;\-#0.00%;;</c:formatCode>
                <c:ptCount val="13"/>
                <c:pt idx="0">
                  <c:v>2.4711322236268519E-2</c:v>
                </c:pt>
                <c:pt idx="1">
                  <c:v>2.629117441516186E-2</c:v>
                </c:pt>
                <c:pt idx="2">
                  <c:v>2.9224855158283464E-2</c:v>
                </c:pt>
                <c:pt idx="3">
                  <c:v>3.226667388132759E-2</c:v>
                </c:pt>
                <c:pt idx="4">
                  <c:v>3.5029151918104823E-2</c:v>
                </c:pt>
                <c:pt idx="5">
                  <c:v>3.9095092382753077E-2</c:v>
                </c:pt>
                <c:pt idx="6">
                  <c:v>3.8469257730143092E-2</c:v>
                </c:pt>
                <c:pt idx="7">
                  <c:v>4.4375924725732263E-2</c:v>
                </c:pt>
                <c:pt idx="8">
                  <c:v>4.5863983120685903E-2</c:v>
                </c:pt>
                <c:pt idx="9">
                  <c:v>4.8398945634324897E-2</c:v>
                </c:pt>
                <c:pt idx="10">
                  <c:v>5.0485040180610563E-2</c:v>
                </c:pt>
                <c:pt idx="11">
                  <c:v>5.1949590951491598E-2</c:v>
                </c:pt>
                <c:pt idx="12">
                  <c:v>5.2815368044207889E-2</c:v>
                </c:pt>
              </c:numCache>
            </c:numRef>
          </c:val>
        </c:ser>
        <c:ser>
          <c:idx val="11"/>
          <c:order val="11"/>
          <c:spPr>
            <a:ln w="28575">
              <a:noFill/>
            </a:ln>
          </c:spPr>
          <c:marker>
            <c:symbol val="circle"/>
            <c:size val="5"/>
            <c:spPr>
              <a:solidFill>
                <a:srgbClr val="FF00FF"/>
              </a:solidFill>
              <a:ln>
                <a:solidFill>
                  <a:srgbClr val="FF00FF"/>
                </a:solidFill>
                <a:prstDash val="solid"/>
              </a:ln>
            </c:spPr>
          </c:marker>
          <c:val>
            <c:numRef>
              <c:f>ShortRate!$C$21:$O$21</c:f>
              <c:numCache>
                <c:formatCode>#0.00%;\-#0.00%;;</c:formatCode>
                <c:ptCount val="13"/>
                <c:pt idx="1">
                  <c:v>1.7630920377317474E-2</c:v>
                </c:pt>
                <c:pt idx="2">
                  <c:v>2.0564601120439077E-2</c:v>
                </c:pt>
                <c:pt idx="3">
                  <c:v>2.3606419843483203E-2</c:v>
                </c:pt>
                <c:pt idx="4">
                  <c:v>2.6368897880260436E-2</c:v>
                </c:pt>
                <c:pt idx="5">
                  <c:v>3.0434838344908691E-2</c:v>
                </c:pt>
                <c:pt idx="6">
                  <c:v>2.9809003692298705E-2</c:v>
                </c:pt>
                <c:pt idx="7">
                  <c:v>3.5715670687887877E-2</c:v>
                </c:pt>
                <c:pt idx="8">
                  <c:v>3.7203729082841516E-2</c:v>
                </c:pt>
                <c:pt idx="9">
                  <c:v>3.973869159648051E-2</c:v>
                </c:pt>
                <c:pt idx="10">
                  <c:v>4.1824786142766177E-2</c:v>
                </c:pt>
                <c:pt idx="11">
                  <c:v>4.3289336913647211E-2</c:v>
                </c:pt>
                <c:pt idx="12">
                  <c:v>4.4155114006363502E-2</c:v>
                </c:pt>
              </c:numCache>
            </c:numRef>
          </c:val>
        </c:ser>
        <c:ser>
          <c:idx val="12"/>
          <c:order val="12"/>
          <c:spPr>
            <a:ln w="28575">
              <a:noFill/>
            </a:ln>
          </c:spPr>
          <c:marker>
            <c:symbol val="circle"/>
            <c:size val="5"/>
            <c:spPr>
              <a:solidFill>
                <a:srgbClr val="00FF00"/>
              </a:solidFill>
              <a:ln>
                <a:solidFill>
                  <a:srgbClr val="00FF00"/>
                </a:solidFill>
                <a:prstDash val="solid"/>
              </a:ln>
            </c:spPr>
          </c:marker>
          <c:val>
            <c:numRef>
              <c:f>ShortRate!$C$22:$O$22</c:f>
              <c:numCache>
                <c:formatCode>#0.00%;\-#0.00%;;</c:formatCode>
                <c:ptCount val="13"/>
                <c:pt idx="2">
                  <c:v>1.1904347082594691E-2</c:v>
                </c:pt>
                <c:pt idx="3">
                  <c:v>1.4946165805638817E-2</c:v>
                </c:pt>
                <c:pt idx="4">
                  <c:v>1.770864384241605E-2</c:v>
                </c:pt>
                <c:pt idx="5">
                  <c:v>2.1774584307064304E-2</c:v>
                </c:pt>
                <c:pt idx="6">
                  <c:v>2.1148749654454319E-2</c:v>
                </c:pt>
                <c:pt idx="7">
                  <c:v>2.705541665004349E-2</c:v>
                </c:pt>
                <c:pt idx="8">
                  <c:v>2.854347504499713E-2</c:v>
                </c:pt>
                <c:pt idx="9">
                  <c:v>3.1078437558636124E-2</c:v>
                </c:pt>
                <c:pt idx="10">
                  <c:v>3.316453210492179E-2</c:v>
                </c:pt>
                <c:pt idx="11">
                  <c:v>3.4629082875802825E-2</c:v>
                </c:pt>
                <c:pt idx="12">
                  <c:v>3.5494859968519116E-2</c:v>
                </c:pt>
              </c:numCache>
            </c:numRef>
          </c:val>
        </c:ser>
        <c:ser>
          <c:idx val="13"/>
          <c:order val="13"/>
          <c:spPr>
            <a:ln w="28575">
              <a:noFill/>
            </a:ln>
          </c:spPr>
          <c:marker>
            <c:symbol val="circle"/>
            <c:size val="5"/>
            <c:spPr>
              <a:solidFill>
                <a:srgbClr val="00FFFF"/>
              </a:solidFill>
              <a:ln>
                <a:solidFill>
                  <a:srgbClr val="00FFFF"/>
                </a:solidFill>
                <a:prstDash val="solid"/>
              </a:ln>
            </c:spPr>
          </c:marker>
          <c:val>
            <c:numRef>
              <c:f>ShortRate!$C$23:$O$23</c:f>
              <c:numCache>
                <c:formatCode>#0.00%;\-#0.00%;;</c:formatCode>
                <c:ptCount val="13"/>
                <c:pt idx="3">
                  <c:v>6.2859117677944304E-3</c:v>
                </c:pt>
                <c:pt idx="4">
                  <c:v>9.0483898045716632E-3</c:v>
                </c:pt>
                <c:pt idx="5">
                  <c:v>1.3114330269219918E-2</c:v>
                </c:pt>
                <c:pt idx="6">
                  <c:v>1.2488495616609932E-2</c:v>
                </c:pt>
                <c:pt idx="7">
                  <c:v>1.8395162612199104E-2</c:v>
                </c:pt>
                <c:pt idx="8">
                  <c:v>1.9883221007152743E-2</c:v>
                </c:pt>
                <c:pt idx="9">
                  <c:v>2.2418183520791737E-2</c:v>
                </c:pt>
                <c:pt idx="10">
                  <c:v>2.4504278067077404E-2</c:v>
                </c:pt>
                <c:pt idx="11">
                  <c:v>2.5968828837958438E-2</c:v>
                </c:pt>
                <c:pt idx="12">
                  <c:v>2.6834605930674729E-2</c:v>
                </c:pt>
              </c:numCache>
            </c:numRef>
          </c:val>
        </c:ser>
        <c:ser>
          <c:idx val="14"/>
          <c:order val="14"/>
          <c:spPr>
            <a:ln w="28575">
              <a:noFill/>
            </a:ln>
          </c:spPr>
          <c:marker>
            <c:symbol val="circle"/>
            <c:size val="5"/>
            <c:spPr>
              <a:solidFill>
                <a:srgbClr val="00CCFF"/>
              </a:solidFill>
              <a:ln>
                <a:solidFill>
                  <a:srgbClr val="00CCFF"/>
                </a:solidFill>
                <a:prstDash val="solid"/>
              </a:ln>
            </c:spPr>
          </c:marker>
          <c:val>
            <c:numRef>
              <c:f>ShortRate!$C$24:$O$24</c:f>
              <c:numCache>
                <c:formatCode>#0.00%;\-#0.00%;;</c:formatCode>
                <c:ptCount val="13"/>
                <c:pt idx="4">
                  <c:v>3.8813576672727668E-4</c:v>
                </c:pt>
                <c:pt idx="5">
                  <c:v>4.4540762313755311E-3</c:v>
                </c:pt>
                <c:pt idx="6">
                  <c:v>3.8282415787655455E-3</c:v>
                </c:pt>
                <c:pt idx="7">
                  <c:v>9.734908574354717E-3</c:v>
                </c:pt>
                <c:pt idx="8">
                  <c:v>1.1222966969308357E-2</c:v>
                </c:pt>
                <c:pt idx="9">
                  <c:v>1.3757929482947351E-2</c:v>
                </c:pt>
                <c:pt idx="10">
                  <c:v>1.5844024029233017E-2</c:v>
                </c:pt>
                <c:pt idx="11">
                  <c:v>1.7308574800114052E-2</c:v>
                </c:pt>
                <c:pt idx="12">
                  <c:v>1.8174351892830343E-2</c:v>
                </c:pt>
              </c:numCache>
            </c:numRef>
          </c:val>
        </c:ser>
        <c:ser>
          <c:idx val="15"/>
          <c:order val="15"/>
          <c:spPr>
            <a:ln w="28575">
              <a:noFill/>
            </a:ln>
          </c:spPr>
          <c:marker>
            <c:symbol val="circle"/>
            <c:size val="5"/>
            <c:spPr>
              <a:solidFill>
                <a:srgbClr val="3366FF"/>
              </a:solidFill>
              <a:ln>
                <a:solidFill>
                  <a:srgbClr val="3366FF"/>
                </a:solidFill>
                <a:prstDash val="solid"/>
              </a:ln>
            </c:spPr>
          </c:marker>
          <c:val>
            <c:numRef>
              <c:f>ShortRate!$C$25:$O$25</c:f>
              <c:numCache>
                <c:formatCode>#0.00%;\-#0.00%;;</c:formatCode>
                <c:ptCount val="13"/>
                <c:pt idx="5">
                  <c:v>-4.2061778064688554E-3</c:v>
                </c:pt>
                <c:pt idx="6">
                  <c:v>-4.832012459078841E-3</c:v>
                </c:pt>
                <c:pt idx="7">
                  <c:v>1.0746545365103305E-3</c:v>
                </c:pt>
                <c:pt idx="8">
                  <c:v>2.5627129314639702E-3</c:v>
                </c:pt>
                <c:pt idx="9">
                  <c:v>5.0976754451029643E-3</c:v>
                </c:pt>
                <c:pt idx="10">
                  <c:v>7.1837699913886305E-3</c:v>
                </c:pt>
                <c:pt idx="11">
                  <c:v>8.6483207622696651E-3</c:v>
                </c:pt>
                <c:pt idx="12">
                  <c:v>9.5140978549859562E-3</c:v>
                </c:pt>
              </c:numCache>
            </c:numRef>
          </c:val>
        </c:ser>
        <c:ser>
          <c:idx val="16"/>
          <c:order val="16"/>
          <c:spPr>
            <a:ln w="28575">
              <a:noFill/>
            </a:ln>
          </c:spPr>
          <c:marker>
            <c:symbol val="circle"/>
            <c:size val="5"/>
            <c:spPr>
              <a:solidFill>
                <a:srgbClr val="600080"/>
              </a:solidFill>
              <a:ln>
                <a:solidFill>
                  <a:srgbClr val="600080"/>
                </a:solidFill>
                <a:prstDash val="solid"/>
              </a:ln>
            </c:spPr>
          </c:marker>
          <c:val>
            <c:numRef>
              <c:f>ShortRate!$C$26:$O$26</c:f>
              <c:numCache>
                <c:formatCode>#0.00%;\-#0.00%;;</c:formatCode>
                <c:ptCount val="13"/>
                <c:pt idx="6">
                  <c:v>-1.3492266496923228E-2</c:v>
                </c:pt>
                <c:pt idx="7">
                  <c:v>-7.585599501334056E-3</c:v>
                </c:pt>
                <c:pt idx="8">
                  <c:v>-6.0975411063804164E-3</c:v>
                </c:pt>
                <c:pt idx="9">
                  <c:v>-3.5625785927414222E-3</c:v>
                </c:pt>
                <c:pt idx="10">
                  <c:v>-1.476484046455756E-3</c:v>
                </c:pt>
                <c:pt idx="11">
                  <c:v>-1.1933275574721458E-5</c:v>
                </c:pt>
                <c:pt idx="12">
                  <c:v>8.5384381714156965E-4</c:v>
                </c:pt>
              </c:numCache>
            </c:numRef>
          </c:val>
        </c:ser>
        <c:ser>
          <c:idx val="17"/>
          <c:order val="17"/>
          <c:spPr>
            <a:ln w="28575">
              <a:noFill/>
            </a:ln>
          </c:spPr>
          <c:marker>
            <c:symbol val="circle"/>
            <c:size val="5"/>
            <c:spPr>
              <a:solidFill>
                <a:srgbClr val="800000"/>
              </a:solidFill>
              <a:ln>
                <a:solidFill>
                  <a:srgbClr val="800000"/>
                </a:solidFill>
                <a:prstDash val="solid"/>
              </a:ln>
            </c:spPr>
          </c:marker>
          <c:val>
            <c:numRef>
              <c:f>ShortRate!$C$27:$O$27</c:f>
              <c:numCache>
                <c:formatCode>#0.00%;\-#0.00%;;</c:formatCode>
                <c:ptCount val="13"/>
                <c:pt idx="7">
                  <c:v>-1.6245853539178443E-2</c:v>
                </c:pt>
                <c:pt idx="8">
                  <c:v>-1.4757795144224803E-2</c:v>
                </c:pt>
                <c:pt idx="9">
                  <c:v>-1.2222832630585809E-2</c:v>
                </c:pt>
                <c:pt idx="10">
                  <c:v>-1.0136738084300143E-2</c:v>
                </c:pt>
                <c:pt idx="11">
                  <c:v>-8.672187313419108E-3</c:v>
                </c:pt>
                <c:pt idx="12">
                  <c:v>-7.8064102207028169E-3</c:v>
                </c:pt>
              </c:numCache>
            </c:numRef>
          </c:val>
        </c:ser>
        <c:ser>
          <c:idx val="18"/>
          <c:order val="18"/>
          <c:spPr>
            <a:ln w="28575">
              <a:noFill/>
            </a:ln>
          </c:spPr>
          <c:marker>
            <c:symbol val="circle"/>
            <c:size val="5"/>
            <c:spPr>
              <a:solidFill>
                <a:srgbClr val="993366"/>
              </a:solidFill>
              <a:ln>
                <a:solidFill>
                  <a:srgbClr val="993366"/>
                </a:solidFill>
                <a:prstDash val="solid"/>
              </a:ln>
            </c:spPr>
          </c:marker>
          <c:val>
            <c:numRef>
              <c:f>ShortRate!$C$28:$O$28</c:f>
              <c:numCache>
                <c:formatCode>#0.00%;\-#0.00%;;</c:formatCode>
                <c:ptCount val="13"/>
                <c:pt idx="8">
                  <c:v>-2.3418049182069189E-2</c:v>
                </c:pt>
                <c:pt idx="9">
                  <c:v>-2.0883086668430195E-2</c:v>
                </c:pt>
                <c:pt idx="10">
                  <c:v>-1.8796992122144529E-2</c:v>
                </c:pt>
                <c:pt idx="11">
                  <c:v>-1.7332441351263495E-2</c:v>
                </c:pt>
                <c:pt idx="12">
                  <c:v>-1.6466664258547203E-2</c:v>
                </c:pt>
              </c:numCache>
            </c:numRef>
          </c:val>
        </c:ser>
        <c:ser>
          <c:idx val="19"/>
          <c:order val="19"/>
          <c:spPr>
            <a:ln w="28575">
              <a:noFill/>
            </a:ln>
          </c:spPr>
          <c:marker>
            <c:symbol val="circle"/>
            <c:size val="5"/>
            <c:spPr>
              <a:solidFill>
                <a:srgbClr val="333300"/>
              </a:solidFill>
              <a:ln>
                <a:solidFill>
                  <a:srgbClr val="333300"/>
                </a:solidFill>
                <a:prstDash val="solid"/>
              </a:ln>
            </c:spPr>
          </c:marker>
          <c:val>
            <c:numRef>
              <c:f>ShortRate!$C$29:$O$29</c:f>
              <c:numCache>
                <c:formatCode>#0.00%;\-#0.00%;;</c:formatCode>
                <c:ptCount val="13"/>
                <c:pt idx="9">
                  <c:v>0</c:v>
                </c:pt>
                <c:pt idx="10">
                  <c:v>0</c:v>
                </c:pt>
                <c:pt idx="11">
                  <c:v>0</c:v>
                </c:pt>
                <c:pt idx="12">
                  <c:v>0</c:v>
                </c:pt>
              </c:numCache>
            </c:numRef>
          </c:val>
        </c:ser>
        <c:ser>
          <c:idx val="20"/>
          <c:order val="20"/>
          <c:spPr>
            <a:ln w="28575">
              <a:noFill/>
            </a:ln>
          </c:spPr>
          <c:marker>
            <c:symbol val="circle"/>
            <c:size val="5"/>
            <c:spPr>
              <a:solidFill>
                <a:srgbClr val="000000"/>
              </a:solidFill>
              <a:ln>
                <a:solidFill>
                  <a:srgbClr val="000000"/>
                </a:solidFill>
                <a:prstDash val="solid"/>
              </a:ln>
            </c:spPr>
          </c:marker>
          <c:cat>
            <c:numRef>
              <c:f>ShortRate!$C$4:$O$4</c:f>
              <c:numCache>
                <c:formatCode>General</c:formatCode>
                <c:ptCount val="13"/>
                <c:pt idx="0">
                  <c:v>0</c:v>
                </c:pt>
                <c:pt idx="1">
                  <c:v>0.25</c:v>
                </c:pt>
                <c:pt idx="2">
                  <c:v>0.5</c:v>
                </c:pt>
                <c:pt idx="3">
                  <c:v>0.75</c:v>
                </c:pt>
                <c:pt idx="4">
                  <c:v>1</c:v>
                </c:pt>
                <c:pt idx="5">
                  <c:v>1.25</c:v>
                </c:pt>
                <c:pt idx="6">
                  <c:v>1.5</c:v>
                </c:pt>
                <c:pt idx="7">
                  <c:v>1.75</c:v>
                </c:pt>
                <c:pt idx="8">
                  <c:v>2</c:v>
                </c:pt>
                <c:pt idx="9">
                  <c:v>2.25</c:v>
                </c:pt>
                <c:pt idx="10">
                  <c:v>2.5</c:v>
                </c:pt>
                <c:pt idx="11">
                  <c:v>2.75</c:v>
                </c:pt>
                <c:pt idx="12">
                  <c:v>3</c:v>
                </c:pt>
              </c:numCache>
            </c:numRef>
          </c:cat>
          <c:val>
            <c:numRef>
              <c:f>ShortRate!$C$9:$O$9</c:f>
              <c:numCache>
                <c:formatCode>#0.00%;\-#0.00%;;</c:formatCode>
                <c:ptCount val="13"/>
                <c:pt idx="11">
                  <c:v>0</c:v>
                </c:pt>
                <c:pt idx="12">
                  <c:v>0</c:v>
                </c:pt>
              </c:numCache>
            </c:numRef>
          </c:val>
        </c:ser>
        <c:ser>
          <c:idx val="21"/>
          <c:order val="21"/>
          <c:spPr>
            <a:ln w="28575">
              <a:noFill/>
            </a:ln>
          </c:spPr>
          <c:marker>
            <c:symbol val="circle"/>
            <c:size val="5"/>
            <c:spPr>
              <a:solidFill>
                <a:srgbClr val="000000"/>
              </a:solidFill>
              <a:ln>
                <a:solidFill>
                  <a:srgbClr val="000000"/>
                </a:solidFill>
                <a:prstDash val="solid"/>
              </a:ln>
            </c:spPr>
          </c:marker>
          <c:cat>
            <c:numRef>
              <c:f>ShortRate!$C$4:$O$4</c:f>
              <c:numCache>
                <c:formatCode>General</c:formatCode>
                <c:ptCount val="13"/>
                <c:pt idx="0">
                  <c:v>0</c:v>
                </c:pt>
                <c:pt idx="1">
                  <c:v>0.25</c:v>
                </c:pt>
                <c:pt idx="2">
                  <c:v>0.5</c:v>
                </c:pt>
                <c:pt idx="3">
                  <c:v>0.75</c:v>
                </c:pt>
                <c:pt idx="4">
                  <c:v>1</c:v>
                </c:pt>
                <c:pt idx="5">
                  <c:v>1.25</c:v>
                </c:pt>
                <c:pt idx="6">
                  <c:v>1.5</c:v>
                </c:pt>
                <c:pt idx="7">
                  <c:v>1.75</c:v>
                </c:pt>
                <c:pt idx="8">
                  <c:v>2</c:v>
                </c:pt>
                <c:pt idx="9">
                  <c:v>2.25</c:v>
                </c:pt>
                <c:pt idx="10">
                  <c:v>2.5</c:v>
                </c:pt>
                <c:pt idx="11">
                  <c:v>2.75</c:v>
                </c:pt>
                <c:pt idx="12">
                  <c:v>3</c:v>
                </c:pt>
              </c:numCache>
            </c:numRef>
          </c:cat>
          <c:val>
            <c:numRef>
              <c:f>ShortRate!$C$8:$O$8</c:f>
              <c:numCache>
                <c:formatCode>#0.00%;\-#0.00%;;</c:formatCode>
                <c:ptCount val="13"/>
                <c:pt idx="12">
                  <c:v>0</c:v>
                </c:pt>
              </c:numCache>
            </c:numRef>
          </c:val>
        </c:ser>
        <c:ser>
          <c:idx val="22"/>
          <c:order val="22"/>
          <c:spPr>
            <a:ln w="28575">
              <a:noFill/>
            </a:ln>
          </c:spPr>
          <c:marker>
            <c:symbol val="circle"/>
            <c:size val="5"/>
            <c:spPr>
              <a:solidFill>
                <a:srgbClr val="000000"/>
              </a:solidFill>
              <a:ln>
                <a:solidFill>
                  <a:srgbClr val="000000"/>
                </a:solidFill>
                <a:prstDash val="solid"/>
              </a:ln>
            </c:spPr>
          </c:marker>
          <c:cat>
            <c:numRef>
              <c:f>ShortRate!$C$4:$O$4</c:f>
              <c:numCache>
                <c:formatCode>General</c:formatCode>
                <c:ptCount val="13"/>
                <c:pt idx="0">
                  <c:v>0</c:v>
                </c:pt>
                <c:pt idx="1">
                  <c:v>0.25</c:v>
                </c:pt>
                <c:pt idx="2">
                  <c:v>0.5</c:v>
                </c:pt>
                <c:pt idx="3">
                  <c:v>0.75</c:v>
                </c:pt>
                <c:pt idx="4">
                  <c:v>1</c:v>
                </c:pt>
                <c:pt idx="5">
                  <c:v>1.25</c:v>
                </c:pt>
                <c:pt idx="6">
                  <c:v>1.5</c:v>
                </c:pt>
                <c:pt idx="7">
                  <c:v>1.75</c:v>
                </c:pt>
                <c:pt idx="8">
                  <c:v>2</c:v>
                </c:pt>
                <c:pt idx="9">
                  <c:v>2.25</c:v>
                </c:pt>
                <c:pt idx="10">
                  <c:v>2.5</c:v>
                </c:pt>
                <c:pt idx="11">
                  <c:v>2.75</c:v>
                </c:pt>
                <c:pt idx="12">
                  <c:v>3</c:v>
                </c:pt>
              </c:numCache>
            </c:numRef>
          </c:cat>
          <c:val>
            <c:numRef>
              <c:f>ShortRate!$C$31:$O$31</c:f>
              <c:numCache>
                <c:formatCode>#0.00%;\-#0.00%;;</c:formatCode>
                <c:ptCount val="13"/>
                <c:pt idx="11">
                  <c:v>0</c:v>
                </c:pt>
                <c:pt idx="12">
                  <c:v>0</c:v>
                </c:pt>
              </c:numCache>
            </c:numRef>
          </c:val>
        </c:ser>
        <c:ser>
          <c:idx val="23"/>
          <c:order val="23"/>
          <c:spPr>
            <a:ln w="12700">
              <a:solidFill>
                <a:srgbClr val="969696"/>
              </a:solidFill>
              <a:prstDash val="solid"/>
            </a:ln>
          </c:spPr>
          <c:marker>
            <c:symbol val="circle"/>
            <c:size val="5"/>
            <c:spPr>
              <a:solidFill>
                <a:srgbClr val="969696"/>
              </a:solidFill>
              <a:ln>
                <a:solidFill>
                  <a:srgbClr val="969696"/>
                </a:solidFill>
                <a:prstDash val="solid"/>
              </a:ln>
            </c:spPr>
          </c:marker>
          <c:dPt>
            <c:idx val="12"/>
            <c:marker>
              <c:spPr>
                <a:solidFill>
                  <a:srgbClr val="000000"/>
                </a:solidFill>
                <a:ln>
                  <a:solidFill>
                    <a:srgbClr val="000000"/>
                  </a:solidFill>
                  <a:prstDash val="solid"/>
                </a:ln>
              </c:spPr>
            </c:marker>
            <c:spPr>
              <a:ln w="28575">
                <a:noFill/>
              </a:ln>
            </c:spPr>
          </c:dPt>
          <c:cat>
            <c:numRef>
              <c:f>ShortRate!$C$4:$O$4</c:f>
              <c:numCache>
                <c:formatCode>General</c:formatCode>
                <c:ptCount val="13"/>
                <c:pt idx="0">
                  <c:v>0</c:v>
                </c:pt>
                <c:pt idx="1">
                  <c:v>0.25</c:v>
                </c:pt>
                <c:pt idx="2">
                  <c:v>0.5</c:v>
                </c:pt>
                <c:pt idx="3">
                  <c:v>0.75</c:v>
                </c:pt>
                <c:pt idx="4">
                  <c:v>1</c:v>
                </c:pt>
                <c:pt idx="5">
                  <c:v>1.25</c:v>
                </c:pt>
                <c:pt idx="6">
                  <c:v>1.5</c:v>
                </c:pt>
                <c:pt idx="7">
                  <c:v>1.75</c:v>
                </c:pt>
                <c:pt idx="8">
                  <c:v>2</c:v>
                </c:pt>
                <c:pt idx="9">
                  <c:v>2.25</c:v>
                </c:pt>
                <c:pt idx="10">
                  <c:v>2.5</c:v>
                </c:pt>
                <c:pt idx="11">
                  <c:v>2.75</c:v>
                </c:pt>
                <c:pt idx="12">
                  <c:v>3</c:v>
                </c:pt>
              </c:numCache>
            </c:numRef>
          </c:cat>
          <c:val>
            <c:numRef>
              <c:f>ShortRate!$C$32:$O$32</c:f>
              <c:numCache>
                <c:formatCode>#0.00%;\-#0.00%;;</c:formatCode>
                <c:ptCount val="13"/>
                <c:pt idx="12">
                  <c:v>0</c:v>
                </c:pt>
              </c:numCache>
            </c:numRef>
          </c:val>
        </c:ser>
        <c:ser>
          <c:idx val="24"/>
          <c:order val="24"/>
          <c:spPr>
            <a:ln w="28575">
              <a:noFill/>
            </a:ln>
          </c:spPr>
          <c:marker>
            <c:symbol val="circle"/>
            <c:size val="5"/>
            <c:spPr>
              <a:solidFill>
                <a:srgbClr val="000080"/>
              </a:solidFill>
              <a:ln>
                <a:solidFill>
                  <a:srgbClr val="000080"/>
                </a:solidFill>
                <a:prstDash val="solid"/>
              </a:ln>
            </c:spPr>
          </c:marker>
          <c:cat>
            <c:numRef>
              <c:f>ShortRate!$C$4:$O$4</c:f>
              <c:numCache>
                <c:formatCode>General</c:formatCode>
                <c:ptCount val="13"/>
                <c:pt idx="0">
                  <c:v>0</c:v>
                </c:pt>
                <c:pt idx="1">
                  <c:v>0.25</c:v>
                </c:pt>
                <c:pt idx="2">
                  <c:v>0.5</c:v>
                </c:pt>
                <c:pt idx="3">
                  <c:v>0.75</c:v>
                </c:pt>
                <c:pt idx="4">
                  <c:v>1</c:v>
                </c:pt>
                <c:pt idx="5">
                  <c:v>1.25</c:v>
                </c:pt>
                <c:pt idx="6">
                  <c:v>1.5</c:v>
                </c:pt>
                <c:pt idx="7">
                  <c:v>1.75</c:v>
                </c:pt>
                <c:pt idx="8">
                  <c:v>2</c:v>
                </c:pt>
                <c:pt idx="9">
                  <c:v>2.25</c:v>
                </c:pt>
                <c:pt idx="10">
                  <c:v>2.5</c:v>
                </c:pt>
                <c:pt idx="11">
                  <c:v>2.75</c:v>
                </c:pt>
                <c:pt idx="12">
                  <c:v>3</c:v>
                </c:pt>
              </c:numCache>
            </c:numRef>
          </c:cat>
          <c:val>
            <c:numRef>
              <c:f>ShortRate!$C$30:$O$30</c:f>
              <c:numCache>
                <c:formatCode>#0.00%;\-#0.00%;;</c:formatCode>
                <c:ptCount val="13"/>
                <c:pt idx="10">
                  <c:v>0</c:v>
                </c:pt>
                <c:pt idx="11">
                  <c:v>0</c:v>
                </c:pt>
                <c:pt idx="12">
                  <c:v>0</c:v>
                </c:pt>
              </c:numCache>
            </c:numRef>
          </c:val>
        </c:ser>
        <c:marker val="1"/>
        <c:axId val="78483840"/>
        <c:axId val="78486144"/>
      </c:lineChart>
      <c:catAx>
        <c:axId val="78483840"/>
        <c:scaling>
          <c:orientation val="minMax"/>
        </c:scaling>
        <c:axPos val="b"/>
        <c:title>
          <c:tx>
            <c:rich>
              <a:bodyPr/>
              <a:lstStyle/>
              <a:p>
                <a:pPr>
                  <a:defRPr sz="1200" b="1" i="0" u="none" strike="noStrike" baseline="0">
                    <a:solidFill>
                      <a:srgbClr val="000000"/>
                    </a:solidFill>
                    <a:latin typeface="ＭＳ ゴシック"/>
                    <a:ea typeface="ＭＳ ゴシック"/>
                    <a:cs typeface="ＭＳ ゴシック"/>
                  </a:defRPr>
                </a:pPr>
                <a:r>
                  <a:rPr lang="ja-JP" altLang="en-US"/>
                  <a:t>時点</a:t>
                </a:r>
                <a:r>
                  <a:rPr lang="en-US" altLang="en-US"/>
                  <a:t>t</a:t>
                </a:r>
              </a:p>
            </c:rich>
          </c:tx>
          <c:layout>
            <c:manualLayout>
              <c:xMode val="edge"/>
              <c:yMode val="edge"/>
              <c:x val="0.51582278481012656"/>
              <c:y val="0.89311267479851131"/>
            </c:manualLayout>
          </c:layout>
          <c:spPr>
            <a:noFill/>
            <a:ln w="25400">
              <a:noFill/>
            </a:ln>
          </c:spPr>
        </c:title>
        <c:numFmt formatCode="0.00" sourceLinked="0"/>
        <c:majorTickMark val="in"/>
        <c:tickLblPos val="low"/>
        <c:spPr>
          <a:ln w="3175">
            <a:solidFill>
              <a:srgbClr val="000000"/>
            </a:solidFill>
            <a:prstDash val="solid"/>
          </a:ln>
        </c:spPr>
        <c:txPr>
          <a:bodyPr rot="0" vert="horz"/>
          <a:lstStyle/>
          <a:p>
            <a:pPr>
              <a:defRPr sz="1200" b="0" i="0" u="none" strike="noStrike" baseline="0">
                <a:solidFill>
                  <a:srgbClr val="000000"/>
                </a:solidFill>
                <a:latin typeface="ＭＳ ゴシック"/>
                <a:ea typeface="ＭＳ ゴシック"/>
                <a:cs typeface="ＭＳ ゴシック"/>
              </a:defRPr>
            </a:pPr>
            <a:endParaRPr lang="ja-JP"/>
          </a:p>
        </c:txPr>
        <c:crossAx val="78486144"/>
        <c:crosses val="autoZero"/>
        <c:lblAlgn val="ctr"/>
        <c:lblOffset val="100"/>
        <c:tickLblSkip val="1"/>
        <c:tickMarkSkip val="1"/>
      </c:catAx>
      <c:valAx>
        <c:axId val="78486144"/>
        <c:scaling>
          <c:orientation val="minMax"/>
        </c:scaling>
        <c:axPos val="l"/>
        <c:majorGridlines>
          <c:spPr>
            <a:ln w="3175">
              <a:solidFill>
                <a:srgbClr val="000000"/>
              </a:solidFill>
              <a:prstDash val="sysDash"/>
            </a:ln>
          </c:spPr>
        </c:majorGridlines>
        <c:title>
          <c:tx>
            <c:rich>
              <a:bodyPr/>
              <a:lstStyle/>
              <a:p>
                <a:pPr>
                  <a:defRPr sz="1200" b="1" i="0" u="none" strike="noStrike" baseline="0">
                    <a:solidFill>
                      <a:srgbClr val="000000"/>
                    </a:solidFill>
                    <a:latin typeface="Arial"/>
                    <a:ea typeface="Arial"/>
                    <a:cs typeface="Arial"/>
                  </a:defRPr>
                </a:pPr>
                <a:r>
                  <a:rPr lang="en-US" altLang="en-US"/>
                  <a:t>Short Rate (%)</a:t>
                </a:r>
              </a:p>
            </c:rich>
          </c:tx>
          <c:layout>
            <c:manualLayout>
              <c:xMode val="edge"/>
              <c:yMode val="edge"/>
              <c:x val="2.6898734177215194E-2"/>
              <c:y val="0.34916905105154561"/>
            </c:manualLayout>
          </c:layout>
          <c:spPr>
            <a:noFill/>
            <a:ln w="25400">
              <a:noFill/>
            </a:ln>
          </c:spPr>
        </c:title>
        <c:numFmt formatCode="0.00" sourceLinked="0"/>
        <c:majorTickMark val="in"/>
        <c:tickLblPos val="nextTo"/>
        <c:spPr>
          <a:ln w="3175">
            <a:solidFill>
              <a:srgbClr val="000000"/>
            </a:solidFill>
            <a:prstDash val="solid"/>
          </a:ln>
        </c:spPr>
        <c:txPr>
          <a:bodyPr rot="0" vert="horz"/>
          <a:lstStyle/>
          <a:p>
            <a:pPr>
              <a:defRPr sz="1200" b="0" i="0" u="none" strike="noStrike" baseline="0">
                <a:solidFill>
                  <a:srgbClr val="000000"/>
                </a:solidFill>
                <a:latin typeface="ＭＳ ゴシック"/>
                <a:ea typeface="ＭＳ ゴシック"/>
                <a:cs typeface="ＭＳ ゴシック"/>
              </a:defRPr>
            </a:pPr>
            <a:endParaRPr lang="ja-JP"/>
          </a:p>
        </c:txPr>
        <c:crossAx val="78483840"/>
        <c:crosses val="autoZero"/>
        <c:crossBetween val="midCat"/>
      </c:valAx>
      <c:spPr>
        <a:solidFill>
          <a:srgbClr val="FFFF00"/>
        </a:solidFill>
        <a:ln w="3175">
          <a:solidFill>
            <a:srgbClr val="000000"/>
          </a:solidFill>
          <a:prstDash val="solid"/>
        </a:ln>
      </c:spPr>
    </c:plotArea>
    <c:plotVisOnly val="1"/>
    <c:dispBlanksAs val="gap"/>
  </c:chart>
  <c:spPr>
    <a:solidFill>
      <a:srgbClr val="FFFFFF"/>
    </a:solidFill>
    <a:ln w="12700">
      <a:solidFill>
        <a:srgbClr val="000000"/>
      </a:solidFill>
      <a:prstDash val="solid"/>
    </a:ln>
  </c:spPr>
  <c:txPr>
    <a:bodyPr/>
    <a:lstStyle/>
    <a:p>
      <a:pPr>
        <a:defRPr sz="1200" b="0" i="0" u="none" strike="noStrike" baseline="0">
          <a:solidFill>
            <a:srgbClr val="000000"/>
          </a:solidFill>
          <a:latin typeface="ＭＳ ゴシック"/>
          <a:ea typeface="ＭＳ ゴシック"/>
          <a:cs typeface="ＭＳ ゴシック"/>
        </a:defRPr>
      </a:pPr>
      <a:endParaRPr lang="ja-JP"/>
    </a:p>
  </c:txPr>
  <c:printSettings>
    <c:headerFooter alignWithMargins="0"/>
    <c:pageMargins b="0.98425196850393692" l="0.78740157480314954" r="0.78740157480314954" t="0.98425196850393692" header="0.51181102362204722" footer="0.51181102362204722"/>
    <c:pageSetup paperSize="9" orientation="landscape" blackAndWhite="1" horizontalDpi="-4" verticalDpi="0"/>
  </c:printSettings>
</c:chartSpace>
</file>

<file path=xl/charts/chart3.xml><?xml version="1.0" encoding="utf-8"?>
<c:chartSpace xmlns:c="http://schemas.openxmlformats.org/drawingml/2006/chart" xmlns:a="http://schemas.openxmlformats.org/drawingml/2006/main" xmlns:r="http://schemas.openxmlformats.org/officeDocument/2006/relationships">
  <c:lang val="ja-JP"/>
  <c:chart>
    <c:title>
      <c:tx>
        <c:rich>
          <a:bodyPr/>
          <a:lstStyle/>
          <a:p>
            <a:pPr>
              <a:defRPr sz="1400" b="0" i="0" u="none" strike="noStrike" baseline="0">
                <a:solidFill>
                  <a:srgbClr val="000000"/>
                </a:solidFill>
                <a:latin typeface="ＭＳ ゴシック"/>
                <a:ea typeface="ＭＳ ゴシック"/>
                <a:cs typeface="ＭＳ ゴシック"/>
              </a:defRPr>
            </a:pPr>
            <a:r>
              <a:rPr altLang="en-US"/>
              <a:t>モンテカルロ・シミュレーションの収束状況</a:t>
            </a:r>
          </a:p>
        </c:rich>
      </c:tx>
      <c:layout>
        <c:manualLayout>
          <c:xMode val="edge"/>
          <c:yMode val="edge"/>
          <c:x val="0.20088626292466766"/>
          <c:y val="3.5928196236720264E-2"/>
        </c:manualLayout>
      </c:layout>
      <c:spPr>
        <a:noFill/>
        <a:ln w="25400">
          <a:noFill/>
        </a:ln>
      </c:spPr>
    </c:title>
    <c:plotArea>
      <c:layout>
        <c:manualLayout>
          <c:layoutTarget val="inner"/>
          <c:xMode val="edge"/>
          <c:yMode val="edge"/>
          <c:x val="0.12407680945347122"/>
          <c:y val="0.1826349975366614"/>
          <c:w val="0.79615952732644013"/>
          <c:h val="0.61077933602424472"/>
        </c:manualLayout>
      </c:layout>
      <c:lineChart>
        <c:grouping val="standard"/>
        <c:ser>
          <c:idx val="0"/>
          <c:order val="0"/>
          <c:spPr>
            <a:ln w="12700">
              <a:solidFill>
                <a:srgbClr val="000080"/>
              </a:solidFill>
              <a:prstDash val="solid"/>
            </a:ln>
          </c:spPr>
          <c:marker>
            <c:symbol val="none"/>
          </c:marker>
          <c:cat>
            <c:numRef>
              <c:f>MC_Result!$A$2:$A$1002</c:f>
              <c:numCache>
                <c:formatCode>General</c:formatCode>
                <c:ptCount val="1001"/>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numCache>
            </c:numRef>
          </c:cat>
          <c:val>
            <c:numRef>
              <c:f>MC_Result!$C$2:$C$1002</c:f>
              <c:numCache>
                <c:formatCode>#,##0.0000</c:formatCode>
                <c:ptCount val="1001"/>
                <c:pt idx="1">
                  <c:v>-75.670484213803448</c:v>
                </c:pt>
                <c:pt idx="2">
                  <c:v>44.912304856710271</c:v>
                </c:pt>
                <c:pt idx="3">
                  <c:v>-7.4816728485872943</c:v>
                </c:pt>
                <c:pt idx="4">
                  <c:v>-15.115529263894103</c:v>
                </c:pt>
                <c:pt idx="5">
                  <c:v>20.829862797885891</c:v>
                </c:pt>
                <c:pt idx="6">
                  <c:v>-23.121627580036833</c:v>
                </c:pt>
                <c:pt idx="7">
                  <c:v>-36.283240326670494</c:v>
                </c:pt>
                <c:pt idx="8">
                  <c:v>-46.953445731074737</c:v>
                </c:pt>
                <c:pt idx="9">
                  <c:v>15.146164174511505</c:v>
                </c:pt>
                <c:pt idx="10">
                  <c:v>18.178988583264069</c:v>
                </c:pt>
                <c:pt idx="11">
                  <c:v>-1.5840647959188139</c:v>
                </c:pt>
                <c:pt idx="12">
                  <c:v>31.519958748005923</c:v>
                </c:pt>
                <c:pt idx="13">
                  <c:v>35.432318356992944</c:v>
                </c:pt>
                <c:pt idx="14">
                  <c:v>55.812787464543995</c:v>
                </c:pt>
                <c:pt idx="15">
                  <c:v>27.865993641902914</c:v>
                </c:pt>
                <c:pt idx="16">
                  <c:v>31.353220142070274</c:v>
                </c:pt>
                <c:pt idx="17">
                  <c:v>55.071417237197423</c:v>
                </c:pt>
                <c:pt idx="18">
                  <c:v>82.494798733700918</c:v>
                </c:pt>
                <c:pt idx="19">
                  <c:v>72.01128893658877</c:v>
                </c:pt>
                <c:pt idx="20">
                  <c:v>78.432817795973008</c:v>
                </c:pt>
                <c:pt idx="21">
                  <c:v>74.875729022446578</c:v>
                </c:pt>
                <c:pt idx="22">
                  <c:v>71.577040464025799</c:v>
                </c:pt>
                <c:pt idx="23">
                  <c:v>50.704718352849511</c:v>
                </c:pt>
                <c:pt idx="24">
                  <c:v>47.186010519796639</c:v>
                </c:pt>
                <c:pt idx="25">
                  <c:v>50.217616820992198</c:v>
                </c:pt>
                <c:pt idx="26">
                  <c:v>56.172802185782686</c:v>
                </c:pt>
                <c:pt idx="27">
                  <c:v>72.926393895780066</c:v>
                </c:pt>
                <c:pt idx="28">
                  <c:v>68.989822493172312</c:v>
                </c:pt>
                <c:pt idx="29">
                  <c:v>53.940896167000574</c:v>
                </c:pt>
                <c:pt idx="30">
                  <c:v>48.233236343343982</c:v>
                </c:pt>
                <c:pt idx="31">
                  <c:v>46.800070602491239</c:v>
                </c:pt>
                <c:pt idx="32">
                  <c:v>57.694955866139082</c:v>
                </c:pt>
                <c:pt idx="33">
                  <c:v>52.328505612633336</c:v>
                </c:pt>
                <c:pt idx="34">
                  <c:v>47.400427637254921</c:v>
                </c:pt>
                <c:pt idx="35">
                  <c:v>54.133092468764893</c:v>
                </c:pt>
                <c:pt idx="36">
                  <c:v>52.78196154744159</c:v>
                </c:pt>
                <c:pt idx="37">
                  <c:v>51.504404226579922</c:v>
                </c:pt>
                <c:pt idx="38">
                  <c:v>46.941186325484352</c:v>
                </c:pt>
                <c:pt idx="39">
                  <c:v>46.78590594396519</c:v>
                </c:pt>
                <c:pt idx="40">
                  <c:v>45.735787167671319</c:v>
                </c:pt>
                <c:pt idx="41">
                  <c:v>47.608391263137932</c:v>
                </c:pt>
                <c:pt idx="42">
                  <c:v>49.440297878595779</c:v>
                </c:pt>
                <c:pt idx="43">
                  <c:v>50.253879676898485</c:v>
                </c:pt>
                <c:pt idx="44">
                  <c:v>54.65557887448697</c:v>
                </c:pt>
                <c:pt idx="45">
                  <c:v>46.233359569784078</c:v>
                </c:pt>
                <c:pt idx="46">
                  <c:v>43.543951525719109</c:v>
                </c:pt>
                <c:pt idx="47">
                  <c:v>51.847581688042517</c:v>
                </c:pt>
                <c:pt idx="48">
                  <c:v>49.20761403902543</c:v>
                </c:pt>
                <c:pt idx="49">
                  <c:v>45.854396041646204</c:v>
                </c:pt>
                <c:pt idx="50">
                  <c:v>48.162522942612107</c:v>
                </c:pt>
                <c:pt idx="51">
                  <c:v>44.916877149389038</c:v>
                </c:pt>
                <c:pt idx="52">
                  <c:v>47.128680356303533</c:v>
                </c:pt>
                <c:pt idx="53">
                  <c:v>47.082219422855694</c:v>
                </c:pt>
                <c:pt idx="54">
                  <c:v>42.499312818939494</c:v>
                </c:pt>
                <c:pt idx="55">
                  <c:v>40.335986676972496</c:v>
                </c:pt>
                <c:pt idx="56">
                  <c:v>40.387569131524899</c:v>
                </c:pt>
                <c:pt idx="57">
                  <c:v>44.570518043307402</c:v>
                </c:pt>
                <c:pt idx="58">
                  <c:v>46.611752611739973</c:v>
                </c:pt>
                <c:pt idx="59">
                  <c:v>45.927599981427811</c:v>
                </c:pt>
                <c:pt idx="60">
                  <c:v>47.17481133839636</c:v>
                </c:pt>
                <c:pt idx="61">
                  <c:v>43.740214449401925</c:v>
                </c:pt>
                <c:pt idx="62">
                  <c:v>45.635706814571918</c:v>
                </c:pt>
                <c:pt idx="63">
                  <c:v>46.248074954780535</c:v>
                </c:pt>
                <c:pt idx="64">
                  <c:v>48.028951863629985</c:v>
                </c:pt>
                <c:pt idx="65">
                  <c:v>46.139831872980587</c:v>
                </c:pt>
                <c:pt idx="66">
                  <c:v>50.269657610412075</c:v>
                </c:pt>
                <c:pt idx="67">
                  <c:v>50.755707445427177</c:v>
                </c:pt>
                <c:pt idx="68">
                  <c:v>56.931639237304715</c:v>
                </c:pt>
                <c:pt idx="69">
                  <c:v>59.045949173711762</c:v>
                </c:pt>
                <c:pt idx="70">
                  <c:v>61.664927214509618</c:v>
                </c:pt>
                <c:pt idx="71">
                  <c:v>60.895103747937455</c:v>
                </c:pt>
                <c:pt idx="72">
                  <c:v>60.123795933141551</c:v>
                </c:pt>
                <c:pt idx="73">
                  <c:v>64.704514244229244</c:v>
                </c:pt>
                <c:pt idx="74">
                  <c:v>67.08442200037112</c:v>
                </c:pt>
                <c:pt idx="75">
                  <c:v>68.377792894905312</c:v>
                </c:pt>
                <c:pt idx="76">
                  <c:v>69.099144260292704</c:v>
                </c:pt>
                <c:pt idx="77">
                  <c:v>65.136004719916372</c:v>
                </c:pt>
                <c:pt idx="78">
                  <c:v>65.875005811845625</c:v>
                </c:pt>
                <c:pt idx="79">
                  <c:v>74.287206391291988</c:v>
                </c:pt>
                <c:pt idx="80">
                  <c:v>76.890780001043666</c:v>
                </c:pt>
                <c:pt idx="81">
                  <c:v>76.475148200190119</c:v>
                </c:pt>
                <c:pt idx="82">
                  <c:v>80.80347290036282</c:v>
                </c:pt>
                <c:pt idx="83">
                  <c:v>77.93336366102929</c:v>
                </c:pt>
                <c:pt idx="84">
                  <c:v>76.113291228856468</c:v>
                </c:pt>
                <c:pt idx="85">
                  <c:v>79.431528391251121</c:v>
                </c:pt>
                <c:pt idx="86">
                  <c:v>79.028625430197138</c:v>
                </c:pt>
                <c:pt idx="87">
                  <c:v>78.594536720627886</c:v>
                </c:pt>
                <c:pt idx="88">
                  <c:v>75.872637748797516</c:v>
                </c:pt>
                <c:pt idx="89">
                  <c:v>74.178272253181945</c:v>
                </c:pt>
                <c:pt idx="90">
                  <c:v>74.274856053907698</c:v>
                </c:pt>
                <c:pt idx="91">
                  <c:v>72.186512693612826</c:v>
                </c:pt>
                <c:pt idx="92">
                  <c:v>71.873149346563451</c:v>
                </c:pt>
                <c:pt idx="93">
                  <c:v>70.720728131571349</c:v>
                </c:pt>
                <c:pt idx="94">
                  <c:v>69.564209135891801</c:v>
                </c:pt>
                <c:pt idx="95">
                  <c:v>71.358327020116604</c:v>
                </c:pt>
                <c:pt idx="96">
                  <c:v>70.672710196279965</c:v>
                </c:pt>
                <c:pt idx="97">
                  <c:v>67.873722724814172</c:v>
                </c:pt>
                <c:pt idx="98">
                  <c:v>68.014886960098295</c:v>
                </c:pt>
                <c:pt idx="99">
                  <c:v>67.76143143057385</c:v>
                </c:pt>
                <c:pt idx="100">
                  <c:v>67.129985149410061</c:v>
                </c:pt>
                <c:pt idx="101">
                  <c:v>66.457303188261193</c:v>
                </c:pt>
                <c:pt idx="102">
                  <c:v>65.459400265788616</c:v>
                </c:pt>
                <c:pt idx="103">
                  <c:v>66.420218274149903</c:v>
                </c:pt>
                <c:pt idx="104">
                  <c:v>65.036762443770073</c:v>
                </c:pt>
                <c:pt idx="105">
                  <c:v>64.461140302416027</c:v>
                </c:pt>
                <c:pt idx="106">
                  <c:v>62.382468155799508</c:v>
                </c:pt>
                <c:pt idx="107">
                  <c:v>61.451918257920489</c:v>
                </c:pt>
                <c:pt idx="108">
                  <c:v>61.284219061629393</c:v>
                </c:pt>
                <c:pt idx="109">
                  <c:v>60.397861135339753</c:v>
                </c:pt>
                <c:pt idx="110">
                  <c:v>61.332005447609994</c:v>
                </c:pt>
                <c:pt idx="111">
                  <c:v>63.637562386910631</c:v>
                </c:pt>
                <c:pt idx="112">
                  <c:v>61.641245710975134</c:v>
                </c:pt>
                <c:pt idx="113">
                  <c:v>61.130661958143683</c:v>
                </c:pt>
                <c:pt idx="114">
                  <c:v>61.67997676332643</c:v>
                </c:pt>
                <c:pt idx="115">
                  <c:v>61.155047747813619</c:v>
                </c:pt>
                <c:pt idx="116">
                  <c:v>59.2558310947515</c:v>
                </c:pt>
                <c:pt idx="117">
                  <c:v>61.154797679297786</c:v>
                </c:pt>
                <c:pt idx="118">
                  <c:v>65.240541817508429</c:v>
                </c:pt>
                <c:pt idx="119">
                  <c:v>66.396663523658702</c:v>
                </c:pt>
                <c:pt idx="120">
                  <c:v>68.194299645648272</c:v>
                </c:pt>
                <c:pt idx="121">
                  <c:v>67.01072407435548</c:v>
                </c:pt>
                <c:pt idx="122">
                  <c:v>65.83848851273298</c:v>
                </c:pt>
                <c:pt idx="123">
                  <c:v>65.028343483116117</c:v>
                </c:pt>
                <c:pt idx="124">
                  <c:v>65.804436195233009</c:v>
                </c:pt>
                <c:pt idx="125">
                  <c:v>68.16366033262824</c:v>
                </c:pt>
                <c:pt idx="126">
                  <c:v>65.378268067086339</c:v>
                </c:pt>
                <c:pt idx="127">
                  <c:v>67.059088683752023</c:v>
                </c:pt>
                <c:pt idx="128">
                  <c:v>68.103268344323183</c:v>
                </c:pt>
                <c:pt idx="129">
                  <c:v>68.830906375010414</c:v>
                </c:pt>
                <c:pt idx="130">
                  <c:v>70.738223445063184</c:v>
                </c:pt>
                <c:pt idx="131">
                  <c:v>74.935831114664353</c:v>
                </c:pt>
                <c:pt idx="132">
                  <c:v>75.284808375275389</c:v>
                </c:pt>
                <c:pt idx="133">
                  <c:v>75.052943711675695</c:v>
                </c:pt>
                <c:pt idx="134">
                  <c:v>73.609668342203193</c:v>
                </c:pt>
                <c:pt idx="135">
                  <c:v>75.126827746010122</c:v>
                </c:pt>
                <c:pt idx="136">
                  <c:v>76.640388665824048</c:v>
                </c:pt>
                <c:pt idx="137">
                  <c:v>75.22916982721101</c:v>
                </c:pt>
                <c:pt idx="138">
                  <c:v>75.569883049847405</c:v>
                </c:pt>
                <c:pt idx="139">
                  <c:v>75.630767101847326</c:v>
                </c:pt>
                <c:pt idx="140">
                  <c:v>75.39794477792357</c:v>
                </c:pt>
                <c:pt idx="141">
                  <c:v>75.462151868052572</c:v>
                </c:pt>
                <c:pt idx="142">
                  <c:v>74.120551911683563</c:v>
                </c:pt>
                <c:pt idx="143">
                  <c:v>75.034255081031091</c:v>
                </c:pt>
                <c:pt idx="144">
                  <c:v>75.095668171920977</c:v>
                </c:pt>
                <c:pt idx="145">
                  <c:v>74.333777097840326</c:v>
                </c:pt>
                <c:pt idx="146">
                  <c:v>75.754248080114124</c:v>
                </c:pt>
                <c:pt idx="147">
                  <c:v>77.670557754961479</c:v>
                </c:pt>
                <c:pt idx="148">
                  <c:v>75.240246776804938</c:v>
                </c:pt>
                <c:pt idx="149">
                  <c:v>74.492559653538677</c:v>
                </c:pt>
                <c:pt idx="150">
                  <c:v>74.292254643291869</c:v>
                </c:pt>
                <c:pt idx="151">
                  <c:v>72.478091512594162</c:v>
                </c:pt>
                <c:pt idx="152">
                  <c:v>71.226034261389515</c:v>
                </c:pt>
                <c:pt idx="153">
                  <c:v>70.255198455274055</c:v>
                </c:pt>
                <c:pt idx="154">
                  <c:v>71.630898453372325</c:v>
                </c:pt>
                <c:pt idx="155">
                  <c:v>70.671056269216649</c:v>
                </c:pt>
                <c:pt idx="156">
                  <c:v>70.504479133014613</c:v>
                </c:pt>
                <c:pt idx="157">
                  <c:v>69.563292096821073</c:v>
                </c:pt>
                <c:pt idx="158">
                  <c:v>69.147764791395304</c:v>
                </c:pt>
                <c:pt idx="159">
                  <c:v>68.726095337198757</c:v>
                </c:pt>
                <c:pt idx="160">
                  <c:v>69.060604707285208</c:v>
                </c:pt>
                <c:pt idx="161">
                  <c:v>69.655135289407767</c:v>
                </c:pt>
                <c:pt idx="162">
                  <c:v>68.493410693393002</c:v>
                </c:pt>
                <c:pt idx="163">
                  <c:v>69.565626707613035</c:v>
                </c:pt>
                <c:pt idx="164">
                  <c:v>70.865910208901369</c:v>
                </c:pt>
                <c:pt idx="165">
                  <c:v>71.903202792442713</c:v>
                </c:pt>
                <c:pt idx="166">
                  <c:v>72.684578703705199</c:v>
                </c:pt>
                <c:pt idx="167">
                  <c:v>73.922035687704707</c:v>
                </c:pt>
                <c:pt idx="168">
                  <c:v>73.02313189011906</c:v>
                </c:pt>
                <c:pt idx="169">
                  <c:v>71.409702836970055</c:v>
                </c:pt>
                <c:pt idx="170">
                  <c:v>70.31127689399122</c:v>
                </c:pt>
                <c:pt idx="171">
                  <c:v>69.932149548497705</c:v>
                </c:pt>
                <c:pt idx="172">
                  <c:v>69.304607262998559</c:v>
                </c:pt>
                <c:pt idx="173">
                  <c:v>70.314123781429046</c:v>
                </c:pt>
                <c:pt idx="174">
                  <c:v>70.394013297901949</c:v>
                </c:pt>
                <c:pt idx="175">
                  <c:v>69.769240632179049</c:v>
                </c:pt>
                <c:pt idx="176">
                  <c:v>71.191019070142289</c:v>
                </c:pt>
                <c:pt idx="177">
                  <c:v>70.578717431795411</c:v>
                </c:pt>
                <c:pt idx="178">
                  <c:v>72.401579955632755</c:v>
                </c:pt>
                <c:pt idx="179">
                  <c:v>70.882415383173409</c:v>
                </c:pt>
                <c:pt idx="180">
                  <c:v>73.09156833582081</c:v>
                </c:pt>
                <c:pt idx="181">
                  <c:v>71.119340843883904</c:v>
                </c:pt>
                <c:pt idx="182">
                  <c:v>71.411484992350736</c:v>
                </c:pt>
                <c:pt idx="183">
                  <c:v>71.690355658299836</c:v>
                </c:pt>
                <c:pt idx="184">
                  <c:v>71.322175908205935</c:v>
                </c:pt>
                <c:pt idx="185">
                  <c:v>70.532320498962562</c:v>
                </c:pt>
                <c:pt idx="186">
                  <c:v>71.238193745195588</c:v>
                </c:pt>
                <c:pt idx="187">
                  <c:v>71.947580383044027</c:v>
                </c:pt>
                <c:pt idx="188">
                  <c:v>72.835978544549988</c:v>
                </c:pt>
                <c:pt idx="189">
                  <c:v>72.461774661411297</c:v>
                </c:pt>
                <c:pt idx="190">
                  <c:v>72.318807180756167</c:v>
                </c:pt>
                <c:pt idx="191">
                  <c:v>72.796290500344213</c:v>
                </c:pt>
                <c:pt idx="192">
                  <c:v>73.468123012699422</c:v>
                </c:pt>
                <c:pt idx="193">
                  <c:v>74.352328522810524</c:v>
                </c:pt>
                <c:pt idx="194">
                  <c:v>75.620600861911115</c:v>
                </c:pt>
                <c:pt idx="195">
                  <c:v>74.630325130522493</c:v>
                </c:pt>
                <c:pt idx="196">
                  <c:v>75.276795788799248</c:v>
                </c:pt>
                <c:pt idx="197">
                  <c:v>73.260148287759705</c:v>
                </c:pt>
                <c:pt idx="198">
                  <c:v>72.929140383938162</c:v>
                </c:pt>
                <c:pt idx="199">
                  <c:v>72.790660018650016</c:v>
                </c:pt>
                <c:pt idx="200">
                  <c:v>72.237209997243212</c:v>
                </c:pt>
                <c:pt idx="201">
                  <c:v>70.895621273795328</c:v>
                </c:pt>
                <c:pt idx="202">
                  <c:v>69.763678703470404</c:v>
                </c:pt>
                <c:pt idx="203">
                  <c:v>70.226028449073411</c:v>
                </c:pt>
                <c:pt idx="204">
                  <c:v>70.873463875310719</c:v>
                </c:pt>
                <c:pt idx="205">
                  <c:v>72.086980713702275</c:v>
                </c:pt>
                <c:pt idx="206">
                  <c:v>72.913372058024606</c:v>
                </c:pt>
                <c:pt idx="207">
                  <c:v>71.396976707313144</c:v>
                </c:pt>
                <c:pt idx="208">
                  <c:v>70.69251877090214</c:v>
                </c:pt>
                <c:pt idx="209">
                  <c:v>71.710377965498154</c:v>
                </c:pt>
                <c:pt idx="210">
                  <c:v>72.157871848781866</c:v>
                </c:pt>
                <c:pt idx="211">
                  <c:v>70.664805728789304</c:v>
                </c:pt>
                <c:pt idx="212">
                  <c:v>71.104436465878763</c:v>
                </c:pt>
                <c:pt idx="213">
                  <c:v>71.166971107849335</c:v>
                </c:pt>
                <c:pt idx="214">
                  <c:v>71.045973213290154</c:v>
                </c:pt>
                <c:pt idx="215">
                  <c:v>72.914434363683313</c:v>
                </c:pt>
                <c:pt idx="216">
                  <c:v>74.586435546558945</c:v>
                </c:pt>
                <c:pt idx="217">
                  <c:v>74.632614632621539</c:v>
                </c:pt>
                <c:pt idx="218">
                  <c:v>76.116626486856163</c:v>
                </c:pt>
                <c:pt idx="219">
                  <c:v>74.094792742029398</c:v>
                </c:pt>
                <c:pt idx="220">
                  <c:v>76.23204029885558</c:v>
                </c:pt>
                <c:pt idx="221">
                  <c:v>75.727378166780142</c:v>
                </c:pt>
                <c:pt idx="222">
                  <c:v>76.302716689396689</c:v>
                </c:pt>
                <c:pt idx="223">
                  <c:v>74.695596097269288</c:v>
                </c:pt>
                <c:pt idx="224">
                  <c:v>75.26384635827155</c:v>
                </c:pt>
                <c:pt idx="225">
                  <c:v>76.181160874383906</c:v>
                </c:pt>
                <c:pt idx="226">
                  <c:v>76.911895423715265</c:v>
                </c:pt>
                <c:pt idx="227">
                  <c:v>76.765028933578165</c:v>
                </c:pt>
                <c:pt idx="228">
                  <c:v>77.316329689821458</c:v>
                </c:pt>
                <c:pt idx="229">
                  <c:v>77.517904091779116</c:v>
                </c:pt>
                <c:pt idx="230">
                  <c:v>78.391710893060292</c:v>
                </c:pt>
                <c:pt idx="231">
                  <c:v>76.997740904661072</c:v>
                </c:pt>
                <c:pt idx="232">
                  <c:v>76.682325851269709</c:v>
                </c:pt>
                <c:pt idx="233">
                  <c:v>76.545714962071372</c:v>
                </c:pt>
                <c:pt idx="234">
                  <c:v>76.063037553933711</c:v>
                </c:pt>
                <c:pt idx="235">
                  <c:v>76.938297902621599</c:v>
                </c:pt>
                <c:pt idx="236">
                  <c:v>75.941581160135073</c:v>
                </c:pt>
                <c:pt idx="237">
                  <c:v>77.291283870156192</c:v>
                </c:pt>
                <c:pt idx="238">
                  <c:v>75.419364988523753</c:v>
                </c:pt>
                <c:pt idx="239">
                  <c:v>75.616124201379449</c:v>
                </c:pt>
                <c:pt idx="240">
                  <c:v>76.307398041828392</c:v>
                </c:pt>
                <c:pt idx="241">
                  <c:v>74.808710234116759</c:v>
                </c:pt>
                <c:pt idx="242">
                  <c:v>75.66201907533933</c:v>
                </c:pt>
                <c:pt idx="243">
                  <c:v>76.838262840185919</c:v>
                </c:pt>
                <c:pt idx="244">
                  <c:v>78.140487911565927</c:v>
                </c:pt>
                <c:pt idx="245">
                  <c:v>78.494712094134158</c:v>
                </c:pt>
                <c:pt idx="246">
                  <c:v>78.516594322081474</c:v>
                </c:pt>
                <c:pt idx="247">
                  <c:v>78.854348203557819</c:v>
                </c:pt>
                <c:pt idx="248">
                  <c:v>79.193492456819257</c:v>
                </c:pt>
                <c:pt idx="249">
                  <c:v>79.68327407242225</c:v>
                </c:pt>
                <c:pt idx="250">
                  <c:v>80.486857138375299</c:v>
                </c:pt>
                <c:pt idx="251">
                  <c:v>81.585882526683719</c:v>
                </c:pt>
                <c:pt idx="252">
                  <c:v>82.074741302443542</c:v>
                </c:pt>
                <c:pt idx="253">
                  <c:v>81.60645853625941</c:v>
                </c:pt>
                <c:pt idx="254">
                  <c:v>82.38049868572655</c:v>
                </c:pt>
                <c:pt idx="255">
                  <c:v>81.754055360689193</c:v>
                </c:pt>
                <c:pt idx="256">
                  <c:v>81.608731705642271</c:v>
                </c:pt>
                <c:pt idx="257">
                  <c:v>82.38101754355533</c:v>
                </c:pt>
                <c:pt idx="258">
                  <c:v>82.701122945844759</c:v>
                </c:pt>
                <c:pt idx="259">
                  <c:v>83.451699699625507</c:v>
                </c:pt>
                <c:pt idx="260">
                  <c:v>83.145326536402436</c:v>
                </c:pt>
                <c:pt idx="261">
                  <c:v>82.055634276608416</c:v>
                </c:pt>
                <c:pt idx="262">
                  <c:v>81.295762335770874</c:v>
                </c:pt>
                <c:pt idx="263">
                  <c:v>81.755641948740106</c:v>
                </c:pt>
                <c:pt idx="264">
                  <c:v>81.296350275352523</c:v>
                </c:pt>
                <c:pt idx="265">
                  <c:v>82.909085963798177</c:v>
                </c:pt>
                <c:pt idx="266">
                  <c:v>82.467247875109635</c:v>
                </c:pt>
                <c:pt idx="267">
                  <c:v>83.644445108384858</c:v>
                </c:pt>
                <c:pt idx="268">
                  <c:v>82.889819165217702</c:v>
                </c:pt>
                <c:pt idx="269">
                  <c:v>83.341524224180532</c:v>
                </c:pt>
                <c:pt idx="270">
                  <c:v>83.641828412709486</c:v>
                </c:pt>
                <c:pt idx="271">
                  <c:v>84.664210792624345</c:v>
                </c:pt>
                <c:pt idx="272">
                  <c:v>83.918099141180235</c:v>
                </c:pt>
                <c:pt idx="273">
                  <c:v>82.41794573724394</c:v>
                </c:pt>
                <c:pt idx="274">
                  <c:v>82.276267115523424</c:v>
                </c:pt>
                <c:pt idx="275">
                  <c:v>82.716499550112431</c:v>
                </c:pt>
                <c:pt idx="276">
                  <c:v>83.438950632041028</c:v>
                </c:pt>
                <c:pt idx="277">
                  <c:v>84.425874096225826</c:v>
                </c:pt>
                <c:pt idx="278">
                  <c:v>84.284900471332108</c:v>
                </c:pt>
                <c:pt idx="279">
                  <c:v>83.705700670093364</c:v>
                </c:pt>
                <c:pt idx="280">
                  <c:v>83.702006901330734</c:v>
                </c:pt>
                <c:pt idx="281">
                  <c:v>83.275500393621968</c:v>
                </c:pt>
                <c:pt idx="282">
                  <c:v>82.853923882310269</c:v>
                </c:pt>
                <c:pt idx="283">
                  <c:v>82.436317102146845</c:v>
                </c:pt>
                <c:pt idx="284">
                  <c:v>83.269700393262298</c:v>
                </c:pt>
                <c:pt idx="285">
                  <c:v>82.572884927077411</c:v>
                </c:pt>
                <c:pt idx="286">
                  <c:v>82.311046953558673</c:v>
                </c:pt>
                <c:pt idx="287">
                  <c:v>84.050430525590642</c:v>
                </c:pt>
                <c:pt idx="288">
                  <c:v>83.620528202387547</c:v>
                </c:pt>
                <c:pt idx="289">
                  <c:v>82.490771774456618</c:v>
                </c:pt>
                <c:pt idx="290">
                  <c:v>81.940132566214828</c:v>
                </c:pt>
                <c:pt idx="291">
                  <c:v>81.385806605276457</c:v>
                </c:pt>
                <c:pt idx="292">
                  <c:v>82.596259945686086</c:v>
                </c:pt>
                <c:pt idx="293">
                  <c:v>84.060282620137414</c:v>
                </c:pt>
                <c:pt idx="294">
                  <c:v>84.059365275467258</c:v>
                </c:pt>
                <c:pt idx="295">
                  <c:v>84.191286640803597</c:v>
                </c:pt>
                <c:pt idx="296">
                  <c:v>83.245654708562896</c:v>
                </c:pt>
                <c:pt idx="297">
                  <c:v>83.512636360335975</c:v>
                </c:pt>
                <c:pt idx="298">
                  <c:v>83.119218649059178</c:v>
                </c:pt>
                <c:pt idx="299">
                  <c:v>84.281096686761444</c:v>
                </c:pt>
                <c:pt idx="300">
                  <c:v>84.274761810021701</c:v>
                </c:pt>
                <c:pt idx="301">
                  <c:v>84.00790837577</c:v>
                </c:pt>
                <c:pt idx="302">
                  <c:v>83.215504776434813</c:v>
                </c:pt>
                <c:pt idx="303">
                  <c:v>82.285388180172177</c:v>
                </c:pt>
                <c:pt idx="304">
                  <c:v>82.156284405737622</c:v>
                </c:pt>
                <c:pt idx="305">
                  <c:v>80.811814249379339</c:v>
                </c:pt>
                <c:pt idx="306">
                  <c:v>81.473584379968017</c:v>
                </c:pt>
                <c:pt idx="307">
                  <c:v>80.836507651519725</c:v>
                </c:pt>
                <c:pt idx="308">
                  <c:v>81.108137821379145</c:v>
                </c:pt>
                <c:pt idx="309">
                  <c:v>81.877862663094021</c:v>
                </c:pt>
                <c:pt idx="310">
                  <c:v>81.887341756030892</c:v>
                </c:pt>
                <c:pt idx="311">
                  <c:v>81.115682453328091</c:v>
                </c:pt>
                <c:pt idx="312">
                  <c:v>80.608277706312094</c:v>
                </c:pt>
                <c:pt idx="313">
                  <c:v>80.235073706685327</c:v>
                </c:pt>
                <c:pt idx="314">
                  <c:v>80.630544978397381</c:v>
                </c:pt>
                <c:pt idx="315">
                  <c:v>80.644984918200066</c:v>
                </c:pt>
                <c:pt idx="316">
                  <c:v>80.781375765315261</c:v>
                </c:pt>
                <c:pt idx="317">
                  <c:v>80.148419884356485</c:v>
                </c:pt>
                <c:pt idx="318">
                  <c:v>79.908269078519737</c:v>
                </c:pt>
                <c:pt idx="319">
                  <c:v>79.415783599854606</c:v>
                </c:pt>
                <c:pt idx="320">
                  <c:v>79.55683082291975</c:v>
                </c:pt>
                <c:pt idx="321">
                  <c:v>79.567847373321968</c:v>
                </c:pt>
                <c:pt idx="322">
                  <c:v>80.435461936448988</c:v>
                </c:pt>
                <c:pt idx="323">
                  <c:v>80.324099008338578</c:v>
                </c:pt>
                <c:pt idx="324">
                  <c:v>81.296667835594391</c:v>
                </c:pt>
                <c:pt idx="325">
                  <c:v>80.549483704501355</c:v>
                </c:pt>
                <c:pt idx="326">
                  <c:v>81.041655561076155</c:v>
                </c:pt>
                <c:pt idx="327">
                  <c:v>80.685843932733988</c:v>
                </c:pt>
                <c:pt idx="328">
                  <c:v>80.938694033734436</c:v>
                </c:pt>
                <c:pt idx="329">
                  <c:v>81.776809558470021</c:v>
                </c:pt>
                <c:pt idx="330">
                  <c:v>81.545705107309686</c:v>
                </c:pt>
                <c:pt idx="331">
                  <c:v>82.021595636812236</c:v>
                </c:pt>
                <c:pt idx="332">
                  <c:v>81.43491364977811</c:v>
                </c:pt>
                <c:pt idx="333">
                  <c:v>81.571346462439763</c:v>
                </c:pt>
                <c:pt idx="334">
                  <c:v>80.723167317198829</c:v>
                </c:pt>
                <c:pt idx="335">
                  <c:v>81.435367325185865</c:v>
                </c:pt>
                <c:pt idx="336">
                  <c:v>82.709950196311596</c:v>
                </c:pt>
                <c:pt idx="337">
                  <c:v>81.998074558423326</c:v>
                </c:pt>
                <c:pt idx="338">
                  <c:v>82.360803701850358</c:v>
                </c:pt>
                <c:pt idx="339">
                  <c:v>82.37045857016706</c:v>
                </c:pt>
                <c:pt idx="340">
                  <c:v>81.660952557781556</c:v>
                </c:pt>
                <c:pt idx="341">
                  <c:v>80.839983051590778</c:v>
                </c:pt>
                <c:pt idx="342">
                  <c:v>80.857365863069774</c:v>
                </c:pt>
                <c:pt idx="343">
                  <c:v>81.096918775965548</c:v>
                </c:pt>
                <c:pt idx="344">
                  <c:v>81.101656516703088</c:v>
                </c:pt>
                <c:pt idx="345">
                  <c:v>81.687404512701164</c:v>
                </c:pt>
                <c:pt idx="346">
                  <c:v>80.508164788590989</c:v>
                </c:pt>
                <c:pt idx="347">
                  <c:v>80.63077024269846</c:v>
                </c:pt>
                <c:pt idx="348">
                  <c:v>80.637351160138692</c:v>
                </c:pt>
                <c:pt idx="349">
                  <c:v>80.655687605498045</c:v>
                </c:pt>
                <c:pt idx="350">
                  <c:v>80.783567082179573</c:v>
                </c:pt>
                <c:pt idx="351">
                  <c:v>80.68729476490789</c:v>
                </c:pt>
                <c:pt idx="352">
                  <c:v>80.586965937995075</c:v>
                </c:pt>
                <c:pt idx="353">
                  <c:v>80.36516054030497</c:v>
                </c:pt>
                <c:pt idx="354">
                  <c:v>80.376111298462902</c:v>
                </c:pt>
                <c:pt idx="355">
                  <c:v>80.614365984856903</c:v>
                </c:pt>
                <c:pt idx="356">
                  <c:v>80.730570594607542</c:v>
                </c:pt>
                <c:pt idx="357">
                  <c:v>80.739895431973011</c:v>
                </c:pt>
                <c:pt idx="358">
                  <c:v>80.419720783229323</c:v>
                </c:pt>
                <c:pt idx="359">
                  <c:v>80.42522598491685</c:v>
                </c:pt>
                <c:pt idx="360">
                  <c:v>80.875084835040866</c:v>
                </c:pt>
                <c:pt idx="361">
                  <c:v>81.430294909717958</c:v>
                </c:pt>
                <c:pt idx="362">
                  <c:v>81.545730128191209</c:v>
                </c:pt>
                <c:pt idx="363">
                  <c:v>81.983927592977679</c:v>
                </c:pt>
                <c:pt idx="364">
                  <c:v>82.528222747124403</c:v>
                </c:pt>
                <c:pt idx="365">
                  <c:v>83.279147916971382</c:v>
                </c:pt>
                <c:pt idx="366">
                  <c:v>83.601466597703663</c:v>
                </c:pt>
                <c:pt idx="367">
                  <c:v>83.277197296755489</c:v>
                </c:pt>
                <c:pt idx="368">
                  <c:v>83.06159825273113</c:v>
                </c:pt>
                <c:pt idx="369">
                  <c:v>82.626981877861198</c:v>
                </c:pt>
                <c:pt idx="370">
                  <c:v>81.974946294807083</c:v>
                </c:pt>
                <c:pt idx="371">
                  <c:v>82.611670951131373</c:v>
                </c:pt>
                <c:pt idx="372">
                  <c:v>83.257785825204252</c:v>
                </c:pt>
                <c:pt idx="373">
                  <c:v>83.156214141199939</c:v>
                </c:pt>
                <c:pt idx="374">
                  <c:v>82.941673309511089</c:v>
                </c:pt>
                <c:pt idx="375">
                  <c:v>83.370289194253118</c:v>
                </c:pt>
                <c:pt idx="376">
                  <c:v>83.265707197107844</c:v>
                </c:pt>
                <c:pt idx="377">
                  <c:v>83.265996506217235</c:v>
                </c:pt>
                <c:pt idx="378">
                  <c:v>83.170033509427824</c:v>
                </c:pt>
                <c:pt idx="379">
                  <c:v>83.489736471996949</c:v>
                </c:pt>
                <c:pt idx="380">
                  <c:v>83.275547099276366</c:v>
                </c:pt>
                <c:pt idx="381">
                  <c:v>82.968237657729347</c:v>
                </c:pt>
                <c:pt idx="382">
                  <c:v>83.072451930589736</c:v>
                </c:pt>
                <c:pt idx="383">
                  <c:v>82.867623771194189</c:v>
                </c:pt>
                <c:pt idx="384">
                  <c:v>83.178616965374147</c:v>
                </c:pt>
                <c:pt idx="385">
                  <c:v>83.07380891204096</c:v>
                </c:pt>
                <c:pt idx="386">
                  <c:v>83.585950151576768</c:v>
                </c:pt>
                <c:pt idx="387">
                  <c:v>83.587104715210515</c:v>
                </c:pt>
                <c:pt idx="388">
                  <c:v>84.392165065872462</c:v>
                </c:pt>
                <c:pt idx="389">
                  <c:v>84.187181708622205</c:v>
                </c:pt>
                <c:pt idx="390">
                  <c:v>84.87657172399075</c:v>
                </c:pt>
                <c:pt idx="391">
                  <c:v>85.277359616869532</c:v>
                </c:pt>
                <c:pt idx="392">
                  <c:v>85.479742452145388</c:v>
                </c:pt>
                <c:pt idx="393">
                  <c:v>85.065088119042713</c:v>
                </c:pt>
                <c:pt idx="394">
                  <c:v>86.233902976957566</c:v>
                </c:pt>
                <c:pt idx="395">
                  <c:v>86.430497078130415</c:v>
                </c:pt>
                <c:pt idx="396">
                  <c:v>88.055264151028766</c:v>
                </c:pt>
                <c:pt idx="397">
                  <c:v>89.212439971789294</c:v>
                </c:pt>
                <c:pt idx="398">
                  <c:v>88.897420940227349</c:v>
                </c:pt>
                <c:pt idx="399">
                  <c:v>89.57421872408699</c:v>
                </c:pt>
                <c:pt idx="400">
                  <c:v>89.364093897706994</c:v>
                </c:pt>
                <c:pt idx="401">
                  <c:v>88.96136258226241</c:v>
                </c:pt>
                <c:pt idx="402">
                  <c:v>89.051755822853536</c:v>
                </c:pt>
                <c:pt idx="403">
                  <c:v>88.741140364812452</c:v>
                </c:pt>
                <c:pt idx="404">
                  <c:v>88.925212921428525</c:v>
                </c:pt>
                <c:pt idx="405">
                  <c:v>89.490196567729001</c:v>
                </c:pt>
                <c:pt idx="406">
                  <c:v>89.279109032929114</c:v>
                </c:pt>
                <c:pt idx="407">
                  <c:v>89.464172081873912</c:v>
                </c:pt>
                <c:pt idx="408">
                  <c:v>89.645650474692559</c:v>
                </c:pt>
                <c:pt idx="409">
                  <c:v>90.210091392145642</c:v>
                </c:pt>
                <c:pt idx="410">
                  <c:v>90.005236917268078</c:v>
                </c:pt>
                <c:pt idx="411">
                  <c:v>91.121555054816611</c:v>
                </c:pt>
                <c:pt idx="412">
                  <c:v>91.952584769787279</c:v>
                </c:pt>
                <c:pt idx="413">
                  <c:v>91.927635053616171</c:v>
                </c:pt>
                <c:pt idx="414">
                  <c:v>92.010857358948883</c:v>
                </c:pt>
                <c:pt idx="415">
                  <c:v>92.275129922700486</c:v>
                </c:pt>
                <c:pt idx="416">
                  <c:v>92.827003904862949</c:v>
                </c:pt>
                <c:pt idx="417">
                  <c:v>92.904113632333036</c:v>
                </c:pt>
                <c:pt idx="418">
                  <c:v>92.596478840107139</c:v>
                </c:pt>
                <c:pt idx="419">
                  <c:v>93.321292664904917</c:v>
                </c:pt>
                <c:pt idx="420">
                  <c:v>93.112223731596941</c:v>
                </c:pt>
                <c:pt idx="421">
                  <c:v>92.412812062374201</c:v>
                </c:pt>
                <c:pt idx="422">
                  <c:v>92.48113296790477</c:v>
                </c:pt>
                <c:pt idx="423">
                  <c:v>92.746632247494986</c:v>
                </c:pt>
                <c:pt idx="424">
                  <c:v>93.361766315607241</c:v>
                </c:pt>
                <c:pt idx="425">
                  <c:v>92.665568290353249</c:v>
                </c:pt>
                <c:pt idx="426">
                  <c:v>92.736254960775895</c:v>
                </c:pt>
                <c:pt idx="427">
                  <c:v>92.991794212751941</c:v>
                </c:pt>
                <c:pt idx="428">
                  <c:v>92.878615253536807</c:v>
                </c:pt>
                <c:pt idx="429">
                  <c:v>92.671042097140685</c:v>
                </c:pt>
                <c:pt idx="430">
                  <c:v>93.192868508068571</c:v>
                </c:pt>
                <c:pt idx="431">
                  <c:v>92.985472289666802</c:v>
                </c:pt>
                <c:pt idx="432">
                  <c:v>93.332496049412683</c:v>
                </c:pt>
                <c:pt idx="433">
                  <c:v>93.311080440832242</c:v>
                </c:pt>
                <c:pt idx="434">
                  <c:v>93.561111924374799</c:v>
                </c:pt>
                <c:pt idx="435">
                  <c:v>92.79563735973008</c:v>
                </c:pt>
                <c:pt idx="436">
                  <c:v>92.126158023746441</c:v>
                </c:pt>
                <c:pt idx="437">
                  <c:v>91.738428041828769</c:v>
                </c:pt>
                <c:pt idx="438">
                  <c:v>91.442825260723723</c:v>
                </c:pt>
                <c:pt idx="439">
                  <c:v>91.429647568571525</c:v>
                </c:pt>
                <c:pt idx="440">
                  <c:v>91.047438091103359</c:v>
                </c:pt>
                <c:pt idx="441">
                  <c:v>91.395851217070657</c:v>
                </c:pt>
                <c:pt idx="442">
                  <c:v>91.285968106697425</c:v>
                </c:pt>
                <c:pt idx="443">
                  <c:v>91.803397704051505</c:v>
                </c:pt>
                <c:pt idx="444">
                  <c:v>90.961278986245532</c:v>
                </c:pt>
                <c:pt idx="445">
                  <c:v>91.817893968139487</c:v>
                </c:pt>
                <c:pt idx="446">
                  <c:v>92.243961541781246</c:v>
                </c:pt>
                <c:pt idx="447">
                  <c:v>92.049990960998286</c:v>
                </c:pt>
                <c:pt idx="448">
                  <c:v>91.491967492444132</c:v>
                </c:pt>
                <c:pt idx="449">
                  <c:v>90.929089904043536</c:v>
                </c:pt>
                <c:pt idx="450">
                  <c:v>90.819290193128268</c:v>
                </c:pt>
                <c:pt idx="451">
                  <c:v>90.079845807881227</c:v>
                </c:pt>
                <c:pt idx="452">
                  <c:v>90.241226713143249</c:v>
                </c:pt>
                <c:pt idx="453">
                  <c:v>91.166545016999805</c:v>
                </c:pt>
                <c:pt idx="454">
                  <c:v>91.330680586246686</c:v>
                </c:pt>
                <c:pt idx="455">
                  <c:v>90.960405156187321</c:v>
                </c:pt>
                <c:pt idx="456">
                  <c:v>91.03347248142957</c:v>
                </c:pt>
                <c:pt idx="457">
                  <c:v>91.018610898162152</c:v>
                </c:pt>
                <c:pt idx="458">
                  <c:v>91.270245015520686</c:v>
                </c:pt>
                <c:pt idx="459">
                  <c:v>91.257388383146662</c:v>
                </c:pt>
                <c:pt idx="460">
                  <c:v>90.890933529978355</c:v>
                </c:pt>
                <c:pt idx="461">
                  <c:v>90.790413499910443</c:v>
                </c:pt>
                <c:pt idx="462">
                  <c:v>90.690328621487865</c:v>
                </c:pt>
                <c:pt idx="463">
                  <c:v>90.155890376381379</c:v>
                </c:pt>
                <c:pt idx="464">
                  <c:v>90.312173887320739</c:v>
                </c:pt>
                <c:pt idx="465">
                  <c:v>90.469860191596155</c:v>
                </c:pt>
                <c:pt idx="466">
                  <c:v>89.754852852100129</c:v>
                </c:pt>
                <c:pt idx="467">
                  <c:v>89.660170225041227</c:v>
                </c:pt>
                <c:pt idx="468">
                  <c:v>89.042916445526714</c:v>
                </c:pt>
                <c:pt idx="469">
                  <c:v>89.20404334232731</c:v>
                </c:pt>
                <c:pt idx="470">
                  <c:v>88.679279807986802</c:v>
                </c:pt>
                <c:pt idx="471">
                  <c:v>88.233622101477707</c:v>
                </c:pt>
                <c:pt idx="472">
                  <c:v>88.402626188166295</c:v>
                </c:pt>
                <c:pt idx="473">
                  <c:v>88.31503774525622</c:v>
                </c:pt>
                <c:pt idx="474">
                  <c:v>88.057755783195788</c:v>
                </c:pt>
                <c:pt idx="475">
                  <c:v>88.381529399841128</c:v>
                </c:pt>
                <c:pt idx="476">
                  <c:v>87.690176920737485</c:v>
                </c:pt>
                <c:pt idx="477">
                  <c:v>88.01226705093147</c:v>
                </c:pt>
                <c:pt idx="478">
                  <c:v>88.812582684416725</c:v>
                </c:pt>
                <c:pt idx="479">
                  <c:v>88.971062692743359</c:v>
                </c:pt>
                <c:pt idx="480">
                  <c:v>88.624661848210067</c:v>
                </c:pt>
                <c:pt idx="481">
                  <c:v>89.023620813919081</c:v>
                </c:pt>
                <c:pt idx="482">
                  <c:v>88.678526488424893</c:v>
                </c:pt>
                <c:pt idx="483">
                  <c:v>88.591760040431311</c:v>
                </c:pt>
                <c:pt idx="484">
                  <c:v>88.335686223320977</c:v>
                </c:pt>
                <c:pt idx="485">
                  <c:v>88.493691429735208</c:v>
                </c:pt>
                <c:pt idx="486">
                  <c:v>88.885992611676699</c:v>
                </c:pt>
                <c:pt idx="487">
                  <c:v>88.961864503438292</c:v>
                </c:pt>
                <c:pt idx="488">
                  <c:v>88.62569616140533</c:v>
                </c:pt>
                <c:pt idx="489">
                  <c:v>88.366500104895508</c:v>
                </c:pt>
                <c:pt idx="490">
                  <c:v>87.861489577732229</c:v>
                </c:pt>
                <c:pt idx="491">
                  <c:v>88.012404129683816</c:v>
                </c:pt>
                <c:pt idx="492">
                  <c:v>88.405139953273675</c:v>
                </c:pt>
                <c:pt idx="493">
                  <c:v>88.787706738039944</c:v>
                </c:pt>
                <c:pt idx="494">
                  <c:v>88.778504353809538</c:v>
                </c:pt>
                <c:pt idx="495">
                  <c:v>88.844660737940032</c:v>
                </c:pt>
                <c:pt idx="496">
                  <c:v>87.664343730069845</c:v>
                </c:pt>
                <c:pt idx="497">
                  <c:v>87.81242501248407</c:v>
                </c:pt>
                <c:pt idx="498">
                  <c:v>88.503463933519313</c:v>
                </c:pt>
                <c:pt idx="499">
                  <c:v>88.494923382406483</c:v>
                </c:pt>
                <c:pt idx="500">
                  <c:v>88.405458113144874</c:v>
                </c:pt>
                <c:pt idx="501">
                  <c:v>87.159582045988614</c:v>
                </c:pt>
                <c:pt idx="502">
                  <c:v>86.993602862138417</c:v>
                </c:pt>
                <c:pt idx="503">
                  <c:v>87.913683209539528</c:v>
                </c:pt>
                <c:pt idx="504">
                  <c:v>87.504511097500711</c:v>
                </c:pt>
                <c:pt idx="505">
                  <c:v>87.888976644799811</c:v>
                </c:pt>
                <c:pt idx="506">
                  <c:v>87.568867186588747</c:v>
                </c:pt>
                <c:pt idx="507">
                  <c:v>87.63970750270029</c:v>
                </c:pt>
                <c:pt idx="508">
                  <c:v>87.235302811664354</c:v>
                </c:pt>
                <c:pt idx="509">
                  <c:v>87.074793889762688</c:v>
                </c:pt>
                <c:pt idx="510">
                  <c:v>87.14933622630852</c:v>
                </c:pt>
                <c:pt idx="511">
                  <c:v>87.757193300119226</c:v>
                </c:pt>
                <c:pt idx="512">
                  <c:v>88.358129248828419</c:v>
                </c:pt>
                <c:pt idx="513">
                  <c:v>87.556845032778696</c:v>
                </c:pt>
                <c:pt idx="514">
                  <c:v>87.78009441709807</c:v>
                </c:pt>
                <c:pt idx="515">
                  <c:v>87.620335561012823</c:v>
                </c:pt>
                <c:pt idx="516">
                  <c:v>88.067318064131541</c:v>
                </c:pt>
                <c:pt idx="517">
                  <c:v>87.901067973089368</c:v>
                </c:pt>
                <c:pt idx="518">
                  <c:v>88.27629773385371</c:v>
                </c:pt>
                <c:pt idx="519">
                  <c:v>88.574223434751644</c:v>
                </c:pt>
                <c:pt idx="520">
                  <c:v>88.01440942091719</c:v>
                </c:pt>
                <c:pt idx="521">
                  <c:v>87.856056121981766</c:v>
                </c:pt>
                <c:pt idx="522">
                  <c:v>88.226682248121847</c:v>
                </c:pt>
                <c:pt idx="523">
                  <c:v>88.297567072312617</c:v>
                </c:pt>
                <c:pt idx="524">
                  <c:v>88.13636891217385</c:v>
                </c:pt>
                <c:pt idx="525">
                  <c:v>88.057649684755901</c:v>
                </c:pt>
                <c:pt idx="526">
                  <c:v>88.051567342368386</c:v>
                </c:pt>
                <c:pt idx="527">
                  <c:v>87.964224750832315</c:v>
                </c:pt>
                <c:pt idx="528">
                  <c:v>88.259352876168805</c:v>
                </c:pt>
                <c:pt idx="529">
                  <c:v>88.32947425809391</c:v>
                </c:pt>
                <c:pt idx="530">
                  <c:v>88.022310219763995</c:v>
                </c:pt>
                <c:pt idx="531">
                  <c:v>87.792595762982373</c:v>
                </c:pt>
                <c:pt idx="532">
                  <c:v>87.250036558323799</c:v>
                </c:pt>
                <c:pt idx="533">
                  <c:v>87.679593032299067</c:v>
                </c:pt>
                <c:pt idx="534">
                  <c:v>87.451795744901986</c:v>
                </c:pt>
                <c:pt idx="535">
                  <c:v>87.525784011001377</c:v>
                </c:pt>
                <c:pt idx="536">
                  <c:v>87.595869088458713</c:v>
                </c:pt>
                <c:pt idx="537">
                  <c:v>87.286022055806711</c:v>
                </c:pt>
                <c:pt idx="538">
                  <c:v>87.132628885894306</c:v>
                </c:pt>
                <c:pt idx="539">
                  <c:v>87.126253574383057</c:v>
                </c:pt>
                <c:pt idx="540">
                  <c:v>87.041373314024412</c:v>
                </c:pt>
                <c:pt idx="541">
                  <c:v>86.664367536865498</c:v>
                </c:pt>
                <c:pt idx="542">
                  <c:v>85.506575443061067</c:v>
                </c:pt>
                <c:pt idx="543">
                  <c:v>85.65077810055385</c:v>
                </c:pt>
                <c:pt idx="544">
                  <c:v>85.496972496287327</c:v>
                </c:pt>
                <c:pt idx="545">
                  <c:v>84.895411446432263</c:v>
                </c:pt>
                <c:pt idx="546">
                  <c:v>85.038115084368087</c:v>
                </c:pt>
                <c:pt idx="547">
                  <c:v>84.737554138936247</c:v>
                </c:pt>
                <c:pt idx="548">
                  <c:v>84.520959940997898</c:v>
                </c:pt>
                <c:pt idx="549">
                  <c:v>84.591692196876082</c:v>
                </c:pt>
                <c:pt idx="550">
                  <c:v>84.293170673330991</c:v>
                </c:pt>
                <c:pt idx="551">
                  <c:v>84.006021214860979</c:v>
                </c:pt>
                <c:pt idx="552">
                  <c:v>83.863737752552595</c:v>
                </c:pt>
                <c:pt idx="553">
                  <c:v>83.86396932861183</c:v>
                </c:pt>
                <c:pt idx="554">
                  <c:v>83.35193829086154</c:v>
                </c:pt>
                <c:pt idx="555">
                  <c:v>83.280479840046738</c:v>
                </c:pt>
                <c:pt idx="556">
                  <c:v>83.214960758324281</c:v>
                </c:pt>
                <c:pt idx="557">
                  <c:v>83.431104800566899</c:v>
                </c:pt>
                <c:pt idx="558">
                  <c:v>83.221326508951918</c:v>
                </c:pt>
                <c:pt idx="559">
                  <c:v>83.009162172496232</c:v>
                </c:pt>
                <c:pt idx="560">
                  <c:v>82.800576277025442</c:v>
                </c:pt>
                <c:pt idx="561">
                  <c:v>82.871837442111683</c:v>
                </c:pt>
                <c:pt idx="562">
                  <c:v>83.082632347290783</c:v>
                </c:pt>
                <c:pt idx="563">
                  <c:v>83.499436889610195</c:v>
                </c:pt>
                <c:pt idx="564">
                  <c:v>83.84822010284833</c:v>
                </c:pt>
                <c:pt idx="565">
                  <c:v>83.706532416403689</c:v>
                </c:pt>
                <c:pt idx="566">
                  <c:v>83.707786317788347</c:v>
                </c:pt>
                <c:pt idx="567">
                  <c:v>83.352451410332449</c:v>
                </c:pt>
                <c:pt idx="568">
                  <c:v>83.906436245037227</c:v>
                </c:pt>
                <c:pt idx="569">
                  <c:v>83.767221168235849</c:v>
                </c:pt>
                <c:pt idx="570">
                  <c:v>83.837370867500297</c:v>
                </c:pt>
                <c:pt idx="571">
                  <c:v>84.187513448142397</c:v>
                </c:pt>
                <c:pt idx="572">
                  <c:v>84.262422547198227</c:v>
                </c:pt>
                <c:pt idx="573">
                  <c:v>84.262082472706481</c:v>
                </c:pt>
                <c:pt idx="574">
                  <c:v>84.395618877851831</c:v>
                </c:pt>
                <c:pt idx="575">
                  <c:v>84.935544912064643</c:v>
                </c:pt>
                <c:pt idx="576">
                  <c:v>85.138137366789564</c:v>
                </c:pt>
                <c:pt idx="577">
                  <c:v>85.210986449728694</c:v>
                </c:pt>
                <c:pt idx="578">
                  <c:v>84.508234274662016</c:v>
                </c:pt>
                <c:pt idx="579">
                  <c:v>84.368861062309691</c:v>
                </c:pt>
                <c:pt idx="580">
                  <c:v>84.43542538470173</c:v>
                </c:pt>
                <c:pt idx="581">
                  <c:v>84.707222269750659</c:v>
                </c:pt>
                <c:pt idx="582">
                  <c:v>84.845223775317834</c:v>
                </c:pt>
                <c:pt idx="583">
                  <c:v>84.709080420234798</c:v>
                </c:pt>
                <c:pt idx="584">
                  <c:v>84.369015288367734</c:v>
                </c:pt>
                <c:pt idx="585">
                  <c:v>84.435010421293072</c:v>
                </c:pt>
                <c:pt idx="586">
                  <c:v>85.02869558850125</c:v>
                </c:pt>
                <c:pt idx="587">
                  <c:v>85.362025329183922</c:v>
                </c:pt>
                <c:pt idx="588">
                  <c:v>85.694257379491347</c:v>
                </c:pt>
                <c:pt idx="589">
                  <c:v>85.823147025814379</c:v>
                </c:pt>
                <c:pt idx="590">
                  <c:v>86.343788814679669</c:v>
                </c:pt>
                <c:pt idx="591">
                  <c:v>86.806766940958028</c:v>
                </c:pt>
                <c:pt idx="592">
                  <c:v>87.269111008888359</c:v>
                </c:pt>
                <c:pt idx="593">
                  <c:v>87.397123382975451</c:v>
                </c:pt>
                <c:pt idx="594">
                  <c:v>87.912616798144455</c:v>
                </c:pt>
                <c:pt idx="595">
                  <c:v>88.429248108130409</c:v>
                </c:pt>
                <c:pt idx="596">
                  <c:v>88.357003644344275</c:v>
                </c:pt>
                <c:pt idx="597">
                  <c:v>88.21535820651728</c:v>
                </c:pt>
                <c:pt idx="598">
                  <c:v>88.143334860944492</c:v>
                </c:pt>
                <c:pt idx="599">
                  <c:v>88.657991164199558</c:v>
                </c:pt>
                <c:pt idx="600">
                  <c:v>88.583367793606726</c:v>
                </c:pt>
                <c:pt idx="601">
                  <c:v>87.822201021253051</c:v>
                </c:pt>
                <c:pt idx="602">
                  <c:v>88.211358193674855</c:v>
                </c:pt>
                <c:pt idx="603">
                  <c:v>88.13671253213036</c:v>
                </c:pt>
                <c:pt idx="604">
                  <c:v>87.934738174398731</c:v>
                </c:pt>
                <c:pt idx="605">
                  <c:v>88.186954471643261</c:v>
                </c:pt>
                <c:pt idx="606">
                  <c:v>88.244035553192361</c:v>
                </c:pt>
                <c:pt idx="607">
                  <c:v>88.172359116015159</c:v>
                </c:pt>
                <c:pt idx="608">
                  <c:v>87.766744436671061</c:v>
                </c:pt>
                <c:pt idx="609">
                  <c:v>87.821553703965407</c:v>
                </c:pt>
                <c:pt idx="610">
                  <c:v>87.279078231876511</c:v>
                </c:pt>
                <c:pt idx="611">
                  <c:v>87.009424404234792</c:v>
                </c:pt>
                <c:pt idx="612">
                  <c:v>87.007113074129265</c:v>
                </c:pt>
                <c:pt idx="613">
                  <c:v>87.003198203245105</c:v>
                </c:pt>
                <c:pt idx="614">
                  <c:v>87.130177051992632</c:v>
                </c:pt>
                <c:pt idx="615">
                  <c:v>87.12325125893004</c:v>
                </c:pt>
                <c:pt idx="616">
                  <c:v>86.924185330756643</c:v>
                </c:pt>
                <c:pt idx="617">
                  <c:v>86.852866296467894</c:v>
                </c:pt>
                <c:pt idx="618">
                  <c:v>86.910997726231543</c:v>
                </c:pt>
                <c:pt idx="619">
                  <c:v>86.972576821184106</c:v>
                </c:pt>
                <c:pt idx="620">
                  <c:v>86.83549641280041</c:v>
                </c:pt>
                <c:pt idx="621">
                  <c:v>87.263735810247198</c:v>
                </c:pt>
                <c:pt idx="622">
                  <c:v>86.997266857011667</c:v>
                </c:pt>
                <c:pt idx="623">
                  <c:v>87.370734040471902</c:v>
                </c:pt>
                <c:pt idx="624">
                  <c:v>87.365610819078555</c:v>
                </c:pt>
                <c:pt idx="625">
                  <c:v>87.544456524880587</c:v>
                </c:pt>
                <c:pt idx="626">
                  <c:v>87.851063533041966</c:v>
                </c:pt>
                <c:pt idx="627">
                  <c:v>87.65058114940274</c:v>
                </c:pt>
                <c:pt idx="628">
                  <c:v>88.139786329525919</c:v>
                </c:pt>
                <c:pt idx="629">
                  <c:v>87.350910393303209</c:v>
                </c:pt>
                <c:pt idx="630">
                  <c:v>87.222123632582779</c:v>
                </c:pt>
                <c:pt idx="631">
                  <c:v>87.158145418271801</c:v>
                </c:pt>
                <c:pt idx="632">
                  <c:v>86.833385684286384</c:v>
                </c:pt>
                <c:pt idx="633">
                  <c:v>86.377445935460543</c:v>
                </c:pt>
                <c:pt idx="634">
                  <c:v>86.182550325282762</c:v>
                </c:pt>
                <c:pt idx="635">
                  <c:v>85.799467335978875</c:v>
                </c:pt>
                <c:pt idx="636">
                  <c:v>86.69977964894629</c:v>
                </c:pt>
                <c:pt idx="637">
                  <c:v>87.062221113059564</c:v>
                </c:pt>
                <c:pt idx="638">
                  <c:v>86.611661617288902</c:v>
                </c:pt>
                <c:pt idx="639">
                  <c:v>86.479725653470283</c:v>
                </c:pt>
                <c:pt idx="640">
                  <c:v>86.960253327989662</c:v>
                </c:pt>
                <c:pt idx="641">
                  <c:v>86.830662212984834</c:v>
                </c:pt>
                <c:pt idx="642">
                  <c:v>87.130562621238951</c:v>
                </c:pt>
                <c:pt idx="643">
                  <c:v>87.003598105966603</c:v>
                </c:pt>
                <c:pt idx="644">
                  <c:v>87.364022909806621</c:v>
                </c:pt>
                <c:pt idx="645">
                  <c:v>87.173801486839565</c:v>
                </c:pt>
                <c:pt idx="646">
                  <c:v>87.105335481272803</c:v>
                </c:pt>
                <c:pt idx="647">
                  <c:v>87.222875512190569</c:v>
                </c:pt>
                <c:pt idx="648">
                  <c:v>87.096660030680752</c:v>
                </c:pt>
                <c:pt idx="649">
                  <c:v>86.723646866365101</c:v>
                </c:pt>
                <c:pt idx="650">
                  <c:v>86.841949989741266</c:v>
                </c:pt>
                <c:pt idx="651">
                  <c:v>86.89910152802679</c:v>
                </c:pt>
                <c:pt idx="652">
                  <c:v>86.462173771595317</c:v>
                </c:pt>
                <c:pt idx="653">
                  <c:v>86.637289190265861</c:v>
                </c:pt>
                <c:pt idx="654">
                  <c:v>86.387113216392549</c:v>
                </c:pt>
                <c:pt idx="655">
                  <c:v>85.690588523354265</c:v>
                </c:pt>
                <c:pt idx="656">
                  <c:v>85.508353175700108</c:v>
                </c:pt>
                <c:pt idx="657">
                  <c:v>85.506147976854407</c:v>
                </c:pt>
                <c:pt idx="658">
                  <c:v>85.379686692974943</c:v>
                </c:pt>
                <c:pt idx="659">
                  <c:v>85.372827274481239</c:v>
                </c:pt>
                <c:pt idx="660">
                  <c:v>85.18324005488779</c:v>
                </c:pt>
                <c:pt idx="661">
                  <c:v>84.691197717397202</c:v>
                </c:pt>
                <c:pt idx="662">
                  <c:v>84.74979848739379</c:v>
                </c:pt>
                <c:pt idx="663">
                  <c:v>84.873500665772056</c:v>
                </c:pt>
                <c:pt idx="664">
                  <c:v>84.873099756971413</c:v>
                </c:pt>
                <c:pt idx="665">
                  <c:v>85.168481006117773</c:v>
                </c:pt>
                <c:pt idx="666">
                  <c:v>85.344337656763685</c:v>
                </c:pt>
                <c:pt idx="667">
                  <c:v>85.163418417542232</c:v>
                </c:pt>
                <c:pt idx="668">
                  <c:v>85.280869403535249</c:v>
                </c:pt>
                <c:pt idx="669">
                  <c:v>85.514631165906081</c:v>
                </c:pt>
                <c:pt idx="670">
                  <c:v>85.276180992887518</c:v>
                </c:pt>
                <c:pt idx="671">
                  <c:v>85.27449826806172</c:v>
                </c:pt>
                <c:pt idx="672">
                  <c:v>85.272860389524467</c:v>
                </c:pt>
                <c:pt idx="673">
                  <c:v>85.330036748156644</c:v>
                </c:pt>
                <c:pt idx="674">
                  <c:v>85.032805748751187</c:v>
                </c:pt>
                <c:pt idx="675">
                  <c:v>85.322035158083736</c:v>
                </c:pt>
                <c:pt idx="676">
                  <c:v>84.837390413174887</c:v>
                </c:pt>
                <c:pt idx="677">
                  <c:v>84.837050541400842</c:v>
                </c:pt>
                <c:pt idx="678">
                  <c:v>84.536037038603098</c:v>
                </c:pt>
                <c:pt idx="679">
                  <c:v>85.216057712101062</c:v>
                </c:pt>
                <c:pt idx="680">
                  <c:v>84.976507466408478</c:v>
                </c:pt>
                <c:pt idx="681">
                  <c:v>85.265415003917141</c:v>
                </c:pt>
                <c:pt idx="682">
                  <c:v>85.321051963834705</c:v>
                </c:pt>
                <c:pt idx="683">
                  <c:v>85.259964044979625</c:v>
                </c:pt>
                <c:pt idx="684">
                  <c:v>85.146826985497071</c:v>
                </c:pt>
                <c:pt idx="685">
                  <c:v>85.488305162903984</c:v>
                </c:pt>
                <c:pt idx="686">
                  <c:v>85.48945117393464</c:v>
                </c:pt>
                <c:pt idx="687">
                  <c:v>85.543526369745024</c:v>
                </c:pt>
                <c:pt idx="688">
                  <c:v>85.066101463082205</c:v>
                </c:pt>
                <c:pt idx="689">
                  <c:v>85.235627433125273</c:v>
                </c:pt>
                <c:pt idx="690">
                  <c:v>85.0631135683075</c:v>
                </c:pt>
                <c:pt idx="691">
                  <c:v>84.711709962663306</c:v>
                </c:pt>
                <c:pt idx="692">
                  <c:v>84.711030799318721</c:v>
                </c:pt>
                <c:pt idx="693">
                  <c:v>85.104506297188053</c:v>
                </c:pt>
                <c:pt idx="694">
                  <c:v>85.162005060002485</c:v>
                </c:pt>
                <c:pt idx="695">
                  <c:v>85.104736101423356</c:v>
                </c:pt>
                <c:pt idx="696">
                  <c:v>84.927049701312839</c:v>
                </c:pt>
                <c:pt idx="697">
                  <c:v>84.572909405428106</c:v>
                </c:pt>
                <c:pt idx="698">
                  <c:v>84.400675195864324</c:v>
                </c:pt>
                <c:pt idx="699">
                  <c:v>84.450119334445944</c:v>
                </c:pt>
                <c:pt idx="700">
                  <c:v>84.16697920985871</c:v>
                </c:pt>
                <c:pt idx="701">
                  <c:v>83.936145658881728</c:v>
                </c:pt>
                <c:pt idx="702">
                  <c:v>83.825554083000043</c:v>
                </c:pt>
                <c:pt idx="703">
                  <c:v>83.941217838412157</c:v>
                </c:pt>
                <c:pt idx="704">
                  <c:v>84.112669960136984</c:v>
                </c:pt>
                <c:pt idx="705">
                  <c:v>84.441639217031607</c:v>
                </c:pt>
                <c:pt idx="706">
                  <c:v>84.663856681346388</c:v>
                </c:pt>
                <c:pt idx="707">
                  <c:v>84.257652648674977</c:v>
                </c:pt>
                <c:pt idx="708">
                  <c:v>84.369125524655004</c:v>
                </c:pt>
                <c:pt idx="709">
                  <c:v>84.141320495578256</c:v>
                </c:pt>
                <c:pt idx="710">
                  <c:v>84.085733550680473</c:v>
                </c:pt>
                <c:pt idx="711">
                  <c:v>84.140252921221389</c:v>
                </c:pt>
                <c:pt idx="712">
                  <c:v>84.144628212152355</c:v>
                </c:pt>
                <c:pt idx="713">
                  <c:v>84.090248015068823</c:v>
                </c:pt>
                <c:pt idx="714">
                  <c:v>84.199801686334084</c:v>
                </c:pt>
                <c:pt idx="715">
                  <c:v>83.922754471961412</c:v>
                </c:pt>
                <c:pt idx="716">
                  <c:v>83.979628746534061</c:v>
                </c:pt>
                <c:pt idx="717">
                  <c:v>84.304823053021195</c:v>
                </c:pt>
                <c:pt idx="718">
                  <c:v>84.837498336686565</c:v>
                </c:pt>
                <c:pt idx="719">
                  <c:v>84.782199737931961</c:v>
                </c:pt>
                <c:pt idx="720">
                  <c:v>84.556836390438718</c:v>
                </c:pt>
                <c:pt idx="721">
                  <c:v>84.500255880537424</c:v>
                </c:pt>
                <c:pt idx="722">
                  <c:v>84.659640295962106</c:v>
                </c:pt>
                <c:pt idx="723">
                  <c:v>84.268894075494643</c:v>
                </c:pt>
                <c:pt idx="724">
                  <c:v>83.877504231289365</c:v>
                </c:pt>
                <c:pt idx="725">
                  <c:v>83.483129557654024</c:v>
                </c:pt>
                <c:pt idx="726">
                  <c:v>83.484174460368294</c:v>
                </c:pt>
                <c:pt idx="727">
                  <c:v>83.432114750832056</c:v>
                </c:pt>
                <c:pt idx="728">
                  <c:v>83.21344849762896</c:v>
                </c:pt>
                <c:pt idx="729">
                  <c:v>83.483598940006061</c:v>
                </c:pt>
                <c:pt idx="730">
                  <c:v>83.316876979741849</c:v>
                </c:pt>
                <c:pt idx="731">
                  <c:v>83.042295448847099</c:v>
                </c:pt>
                <c:pt idx="732">
                  <c:v>83.261312802687144</c:v>
                </c:pt>
                <c:pt idx="733">
                  <c:v>83.317639073232428</c:v>
                </c:pt>
                <c:pt idx="734">
                  <c:v>83.04680320565366</c:v>
                </c:pt>
                <c:pt idx="735">
                  <c:v>83.048454495260046</c:v>
                </c:pt>
                <c:pt idx="736">
                  <c:v>83.104695376893574</c:v>
                </c:pt>
                <c:pt idx="737">
                  <c:v>83.370137799243508</c:v>
                </c:pt>
                <c:pt idx="738">
                  <c:v>83.68905679525632</c:v>
                </c:pt>
                <c:pt idx="739">
                  <c:v>83.308807822717455</c:v>
                </c:pt>
                <c:pt idx="740">
                  <c:v>83.887360623634649</c:v>
                </c:pt>
                <c:pt idx="741">
                  <c:v>83.832485108801009</c:v>
                </c:pt>
                <c:pt idx="742">
                  <c:v>83.777628548799541</c:v>
                </c:pt>
                <c:pt idx="743">
                  <c:v>83.282096047358365</c:v>
                </c:pt>
                <c:pt idx="744">
                  <c:v>83.281721259302998</c:v>
                </c:pt>
                <c:pt idx="745">
                  <c:v>83.122512512775145</c:v>
                </c:pt>
                <c:pt idx="746">
                  <c:v>83.229792972523526</c:v>
                </c:pt>
                <c:pt idx="747">
                  <c:v>83.288107514577121</c:v>
                </c:pt>
                <c:pt idx="748">
                  <c:v>83.289382409515142</c:v>
                </c:pt>
                <c:pt idx="749">
                  <c:v>83.50473074152184</c:v>
                </c:pt>
                <c:pt idx="750">
                  <c:v>83.554700456120202</c:v>
                </c:pt>
                <c:pt idx="751">
                  <c:v>83.501027981258261</c:v>
                </c:pt>
                <c:pt idx="752">
                  <c:v>83.291895897232124</c:v>
                </c:pt>
                <c:pt idx="753">
                  <c:v>83.554523473992816</c:v>
                </c:pt>
                <c:pt idx="754">
                  <c:v>83.503973150901885</c:v>
                </c:pt>
                <c:pt idx="755">
                  <c:v>83.290972068484436</c:v>
                </c:pt>
                <c:pt idx="756">
                  <c:v>83.704826656848098</c:v>
                </c:pt>
                <c:pt idx="757">
                  <c:v>83.861476833439184</c:v>
                </c:pt>
                <c:pt idx="758">
                  <c:v>84.018266079925212</c:v>
                </c:pt>
                <c:pt idx="759">
                  <c:v>83.914853567905894</c:v>
                </c:pt>
                <c:pt idx="760">
                  <c:v>83.706102823876677</c:v>
                </c:pt>
                <c:pt idx="761">
                  <c:v>83.962798756852706</c:v>
                </c:pt>
                <c:pt idx="762">
                  <c:v>84.219199145664746</c:v>
                </c:pt>
                <c:pt idx="763">
                  <c:v>84.475474248409284</c:v>
                </c:pt>
                <c:pt idx="764">
                  <c:v>84.779899542319924</c:v>
                </c:pt>
                <c:pt idx="765">
                  <c:v>84.935456416079333</c:v>
                </c:pt>
                <c:pt idx="766">
                  <c:v>85.294179979372586</c:v>
                </c:pt>
                <c:pt idx="767">
                  <c:v>84.977902042882292</c:v>
                </c:pt>
                <c:pt idx="768">
                  <c:v>84.554342483012917</c:v>
                </c:pt>
                <c:pt idx="769">
                  <c:v>84.395060593629978</c:v>
                </c:pt>
                <c:pt idx="770">
                  <c:v>84.081767486525465</c:v>
                </c:pt>
                <c:pt idx="771">
                  <c:v>83.2745477579453</c:v>
                </c:pt>
                <c:pt idx="772">
                  <c:v>82.965916370162759</c:v>
                </c:pt>
                <c:pt idx="773">
                  <c:v>83.173493331211219</c:v>
                </c:pt>
                <c:pt idx="774">
                  <c:v>83.174873480561345</c:v>
                </c:pt>
                <c:pt idx="775">
                  <c:v>83.578897477915945</c:v>
                </c:pt>
                <c:pt idx="776">
                  <c:v>83.683619203402245</c:v>
                </c:pt>
                <c:pt idx="777">
                  <c:v>83.884035052920282</c:v>
                </c:pt>
                <c:pt idx="778">
                  <c:v>84.037354862165017</c:v>
                </c:pt>
                <c:pt idx="779">
                  <c:v>83.986928201636033</c:v>
                </c:pt>
                <c:pt idx="780">
                  <c:v>83.934159725008428</c:v>
                </c:pt>
                <c:pt idx="781">
                  <c:v>83.884658139793544</c:v>
                </c:pt>
                <c:pt idx="782">
                  <c:v>83.832155401036914</c:v>
                </c:pt>
                <c:pt idx="783">
                  <c:v>83.832678483447097</c:v>
                </c:pt>
                <c:pt idx="784">
                  <c:v>83.57058975634844</c:v>
                </c:pt>
                <c:pt idx="785">
                  <c:v>83.721823413138182</c:v>
                </c:pt>
                <c:pt idx="786">
                  <c:v>83.870116254316628</c:v>
                </c:pt>
                <c:pt idx="787">
                  <c:v>83.870588443228826</c:v>
                </c:pt>
                <c:pt idx="788">
                  <c:v>83.81996233203904</c:v>
                </c:pt>
                <c:pt idx="789">
                  <c:v>83.918999812715739</c:v>
                </c:pt>
                <c:pt idx="790">
                  <c:v>84.31423888635743</c:v>
                </c:pt>
                <c:pt idx="791">
                  <c:v>84.060254870689192</c:v>
                </c:pt>
                <c:pt idx="792">
                  <c:v>84.211562037927322</c:v>
                </c:pt>
                <c:pt idx="793">
                  <c:v>84.412263782947932</c:v>
                </c:pt>
                <c:pt idx="794">
                  <c:v>84.611870171760202</c:v>
                </c:pt>
                <c:pt idx="795">
                  <c:v>85.140979672880164</c:v>
                </c:pt>
                <c:pt idx="796">
                  <c:v>85.335835895351863</c:v>
                </c:pt>
                <c:pt idx="797">
                  <c:v>85.333474404255597</c:v>
                </c:pt>
                <c:pt idx="798">
                  <c:v>85.332106302155296</c:v>
                </c:pt>
                <c:pt idx="799">
                  <c:v>85.28369244502548</c:v>
                </c:pt>
                <c:pt idx="800">
                  <c:v>85.080238566397696</c:v>
                </c:pt>
                <c:pt idx="801">
                  <c:v>84.776689857577765</c:v>
                </c:pt>
                <c:pt idx="802">
                  <c:v>84.925074169436485</c:v>
                </c:pt>
                <c:pt idx="803">
                  <c:v>84.825179458299331</c:v>
                </c:pt>
                <c:pt idx="804">
                  <c:v>84.870622617747841</c:v>
                </c:pt>
                <c:pt idx="805">
                  <c:v>85.112232681964457</c:v>
                </c:pt>
                <c:pt idx="806">
                  <c:v>85.158964514729277</c:v>
                </c:pt>
                <c:pt idx="807">
                  <c:v>85.252990618907063</c:v>
                </c:pt>
                <c:pt idx="808">
                  <c:v>85.053282267365176</c:v>
                </c:pt>
                <c:pt idx="809">
                  <c:v>85.341369990933131</c:v>
                </c:pt>
                <c:pt idx="810">
                  <c:v>85.629988599495249</c:v>
                </c:pt>
                <c:pt idx="811">
                  <c:v>85.728568368188562</c:v>
                </c:pt>
                <c:pt idx="812">
                  <c:v>86.06505628488128</c:v>
                </c:pt>
                <c:pt idx="813">
                  <c:v>86.06348878125354</c:v>
                </c:pt>
                <c:pt idx="814">
                  <c:v>86.298295800346722</c:v>
                </c:pt>
                <c:pt idx="815">
                  <c:v>86.295772405411597</c:v>
                </c:pt>
                <c:pt idx="816">
                  <c:v>86.146722690571707</c:v>
                </c:pt>
                <c:pt idx="817">
                  <c:v>85.848604799929248</c:v>
                </c:pt>
                <c:pt idx="818">
                  <c:v>85.846417676132361</c:v>
                </c:pt>
                <c:pt idx="819">
                  <c:v>85.696386401770013</c:v>
                </c:pt>
                <c:pt idx="820">
                  <c:v>85.933678566019537</c:v>
                </c:pt>
                <c:pt idx="821">
                  <c:v>86.355135483342337</c:v>
                </c:pt>
                <c:pt idx="822">
                  <c:v>86.109045063236806</c:v>
                </c:pt>
                <c:pt idx="823">
                  <c:v>86.057646372815327</c:v>
                </c:pt>
                <c:pt idx="824">
                  <c:v>85.859848191468416</c:v>
                </c:pt>
                <c:pt idx="825">
                  <c:v>85.462013466782125</c:v>
                </c:pt>
                <c:pt idx="826">
                  <c:v>85.363175010427511</c:v>
                </c:pt>
                <c:pt idx="827">
                  <c:v>85.69423395362719</c:v>
                </c:pt>
                <c:pt idx="828">
                  <c:v>85.879989604519281</c:v>
                </c:pt>
                <c:pt idx="829">
                  <c:v>85.733778766752749</c:v>
                </c:pt>
                <c:pt idx="830">
                  <c:v>85.966311275044362</c:v>
                </c:pt>
                <c:pt idx="831">
                  <c:v>85.520114021963067</c:v>
                </c:pt>
                <c:pt idx="832">
                  <c:v>85.706754805083747</c:v>
                </c:pt>
                <c:pt idx="833">
                  <c:v>85.312294019639879</c:v>
                </c:pt>
                <c:pt idx="834">
                  <c:v>84.972888778118744</c:v>
                </c:pt>
                <c:pt idx="835">
                  <c:v>85.159468845745081</c:v>
                </c:pt>
                <c:pt idx="836">
                  <c:v>84.965125170003432</c:v>
                </c:pt>
                <c:pt idx="837">
                  <c:v>84.523314917677581</c:v>
                </c:pt>
                <c:pt idx="838">
                  <c:v>84.707345747719131</c:v>
                </c:pt>
                <c:pt idx="839">
                  <c:v>84.848743651032336</c:v>
                </c:pt>
                <c:pt idx="840">
                  <c:v>84.606075861451501</c:v>
                </c:pt>
                <c:pt idx="841">
                  <c:v>84.413405921483374</c:v>
                </c:pt>
                <c:pt idx="842">
                  <c:v>84.918584544449942</c:v>
                </c:pt>
                <c:pt idx="843">
                  <c:v>84.96369103151882</c:v>
                </c:pt>
                <c:pt idx="844">
                  <c:v>85.329365669573733</c:v>
                </c:pt>
                <c:pt idx="845">
                  <c:v>85.652246242784173</c:v>
                </c:pt>
                <c:pt idx="846">
                  <c:v>85.553851653975613</c:v>
                </c:pt>
                <c:pt idx="847">
                  <c:v>85.876621293935756</c:v>
                </c:pt>
                <c:pt idx="848">
                  <c:v>86.06117057546362</c:v>
                </c:pt>
                <c:pt idx="849">
                  <c:v>86.062800031004073</c:v>
                </c:pt>
                <c:pt idx="850">
                  <c:v>86.245102652039449</c:v>
                </c:pt>
                <c:pt idx="851">
                  <c:v>86.150220532610646</c:v>
                </c:pt>
                <c:pt idx="852">
                  <c:v>85.961512682796183</c:v>
                </c:pt>
                <c:pt idx="853">
                  <c:v>86.098463792293344</c:v>
                </c:pt>
                <c:pt idx="854">
                  <c:v>86.187064816907608</c:v>
                </c:pt>
                <c:pt idx="855">
                  <c:v>86.140334227218602</c:v>
                </c:pt>
                <c:pt idx="856">
                  <c:v>85.56249929460148</c:v>
                </c:pt>
                <c:pt idx="857">
                  <c:v>85.698161190755158</c:v>
                </c:pt>
                <c:pt idx="858">
                  <c:v>85.878256228388139</c:v>
                </c:pt>
                <c:pt idx="859">
                  <c:v>85.592641915870786</c:v>
                </c:pt>
                <c:pt idx="860">
                  <c:v>85.163403060513701</c:v>
                </c:pt>
                <c:pt idx="861">
                  <c:v>85.02047304039381</c:v>
                </c:pt>
                <c:pt idx="862">
                  <c:v>84.737547218257745</c:v>
                </c:pt>
                <c:pt idx="863">
                  <c:v>84.596174661816576</c:v>
                </c:pt>
                <c:pt idx="864">
                  <c:v>84.732620994510512</c:v>
                </c:pt>
                <c:pt idx="865">
                  <c:v>84.865701024268077</c:v>
                </c:pt>
                <c:pt idx="866">
                  <c:v>85.17922984145153</c:v>
                </c:pt>
                <c:pt idx="867">
                  <c:v>84.899026833639212</c:v>
                </c:pt>
                <c:pt idx="868">
                  <c:v>84.671593666254267</c:v>
                </c:pt>
                <c:pt idx="869">
                  <c:v>84.488903214152714</c:v>
                </c:pt>
                <c:pt idx="870">
                  <c:v>84.11382531043067</c:v>
                </c:pt>
                <c:pt idx="871">
                  <c:v>84.02170327297226</c:v>
                </c:pt>
                <c:pt idx="872">
                  <c:v>84.021877746158097</c:v>
                </c:pt>
                <c:pt idx="873">
                  <c:v>83.83668963874554</c:v>
                </c:pt>
                <c:pt idx="874">
                  <c:v>84.01782976372067</c:v>
                </c:pt>
                <c:pt idx="875">
                  <c:v>83.883107514536576</c:v>
                </c:pt>
                <c:pt idx="876">
                  <c:v>83.974437954520241</c:v>
                </c:pt>
                <c:pt idx="877">
                  <c:v>83.83839816017057</c:v>
                </c:pt>
                <c:pt idx="878">
                  <c:v>83.97425618273185</c:v>
                </c:pt>
                <c:pt idx="879">
                  <c:v>83.925336513020227</c:v>
                </c:pt>
                <c:pt idx="880">
                  <c:v>83.695222397336607</c:v>
                </c:pt>
                <c:pt idx="881">
                  <c:v>83.512467497822868</c:v>
                </c:pt>
                <c:pt idx="882">
                  <c:v>83.236380827193656</c:v>
                </c:pt>
                <c:pt idx="883">
                  <c:v>83.370682484578836</c:v>
                </c:pt>
                <c:pt idx="884">
                  <c:v>83.636155233068195</c:v>
                </c:pt>
                <c:pt idx="885">
                  <c:v>83.812995517579438</c:v>
                </c:pt>
                <c:pt idx="886">
                  <c:v>83.631139039484808</c:v>
                </c:pt>
                <c:pt idx="887">
                  <c:v>83.402301535292779</c:v>
                </c:pt>
                <c:pt idx="888">
                  <c:v>83.224156354752097</c:v>
                </c:pt>
                <c:pt idx="889">
                  <c:v>83.403178014678772</c:v>
                </c:pt>
                <c:pt idx="890">
                  <c:v>83.131827588387509</c:v>
                </c:pt>
                <c:pt idx="891">
                  <c:v>83.087885114455915</c:v>
                </c:pt>
                <c:pt idx="892">
                  <c:v>83.136474413583372</c:v>
                </c:pt>
                <c:pt idx="893">
                  <c:v>82.820774271012482</c:v>
                </c:pt>
                <c:pt idx="894">
                  <c:v>82.999986364033887</c:v>
                </c:pt>
                <c:pt idx="895">
                  <c:v>82.864773365069368</c:v>
                </c:pt>
                <c:pt idx="896">
                  <c:v>83.38461248166432</c:v>
                </c:pt>
                <c:pt idx="897">
                  <c:v>83.340989462041307</c:v>
                </c:pt>
                <c:pt idx="898">
                  <c:v>83.514105575970717</c:v>
                </c:pt>
                <c:pt idx="899">
                  <c:v>83.601764664808158</c:v>
                </c:pt>
                <c:pt idx="900">
                  <c:v>83.602475736211943</c:v>
                </c:pt>
                <c:pt idx="901">
                  <c:v>83.821277486117097</c:v>
                </c:pt>
                <c:pt idx="902">
                  <c:v>83.821541632511739</c:v>
                </c:pt>
                <c:pt idx="903">
                  <c:v>83.691286393393625</c:v>
                </c:pt>
                <c:pt idx="904">
                  <c:v>83.422690323198537</c:v>
                </c:pt>
                <c:pt idx="905">
                  <c:v>83.892954681010536</c:v>
                </c:pt>
                <c:pt idx="906">
                  <c:v>83.715024439558789</c:v>
                </c:pt>
                <c:pt idx="907">
                  <c:v>83.448586129315316</c:v>
                </c:pt>
                <c:pt idx="908">
                  <c:v>83.535053032901942</c:v>
                </c:pt>
                <c:pt idx="909">
                  <c:v>83.749949570031418</c:v>
                </c:pt>
                <c:pt idx="910">
                  <c:v>83.793605524062286</c:v>
                </c:pt>
                <c:pt idx="911">
                  <c:v>83.574593694505268</c:v>
                </c:pt>
                <c:pt idx="912">
                  <c:v>83.488999118826598</c:v>
                </c:pt>
                <c:pt idx="913">
                  <c:v>83.355773151667378</c:v>
                </c:pt>
                <c:pt idx="914">
                  <c:v>83.655659362970454</c:v>
                </c:pt>
                <c:pt idx="915">
                  <c:v>83.525788535836611</c:v>
                </c:pt>
                <c:pt idx="916">
                  <c:v>83.483500437212413</c:v>
                </c:pt>
                <c:pt idx="917">
                  <c:v>83.215502788055048</c:v>
                </c:pt>
                <c:pt idx="918">
                  <c:v>83.218137103167422</c:v>
                </c:pt>
                <c:pt idx="919">
                  <c:v>83.26139937840847</c:v>
                </c:pt>
                <c:pt idx="920">
                  <c:v>83.307092906584003</c:v>
                </c:pt>
                <c:pt idx="921">
                  <c:v>83.265903389521043</c:v>
                </c:pt>
                <c:pt idx="922">
                  <c:v>83.310973828041568</c:v>
                </c:pt>
                <c:pt idx="923">
                  <c:v>83.355330664858869</c:v>
                </c:pt>
                <c:pt idx="924">
                  <c:v>83.402535343458638</c:v>
                </c:pt>
                <c:pt idx="925">
                  <c:v>83.142725069981893</c:v>
                </c:pt>
                <c:pt idx="926">
                  <c:v>82.971484834559547</c:v>
                </c:pt>
                <c:pt idx="927">
                  <c:v>82.974467237131336</c:v>
                </c:pt>
                <c:pt idx="928">
                  <c:v>82.804140993978564</c:v>
                </c:pt>
                <c:pt idx="929">
                  <c:v>83.138915011600801</c:v>
                </c:pt>
                <c:pt idx="930">
                  <c:v>83.099700243746454</c:v>
                </c:pt>
                <c:pt idx="931">
                  <c:v>83.517703484116907</c:v>
                </c:pt>
                <c:pt idx="932">
                  <c:v>83.685911165618819</c:v>
                </c:pt>
                <c:pt idx="933">
                  <c:v>83.815631764156336</c:v>
                </c:pt>
                <c:pt idx="934">
                  <c:v>83.770072102414915</c:v>
                </c:pt>
                <c:pt idx="935">
                  <c:v>83.379139170765157</c:v>
                </c:pt>
                <c:pt idx="936">
                  <c:v>83.548654323916068</c:v>
                </c:pt>
                <c:pt idx="937">
                  <c:v>83.676413088372357</c:v>
                </c:pt>
                <c:pt idx="938">
                  <c:v>83.844156814196126</c:v>
                </c:pt>
                <c:pt idx="939">
                  <c:v>84.298651717833422</c:v>
                </c:pt>
                <c:pt idx="940">
                  <c:v>84.506538924663928</c:v>
                </c:pt>
                <c:pt idx="941">
                  <c:v>84.58902124688089</c:v>
                </c:pt>
                <c:pt idx="942">
                  <c:v>84.670422228645592</c:v>
                </c:pt>
                <c:pt idx="943">
                  <c:v>84.917404805592</c:v>
                </c:pt>
                <c:pt idx="944">
                  <c:v>85.041739133484711</c:v>
                </c:pt>
                <c:pt idx="945">
                  <c:v>84.999760094921868</c:v>
                </c:pt>
                <c:pt idx="946">
                  <c:v>85.083344956700444</c:v>
                </c:pt>
                <c:pt idx="947">
                  <c:v>84.911861124566371</c:v>
                </c:pt>
                <c:pt idx="948">
                  <c:v>84.91339647883855</c:v>
                </c:pt>
                <c:pt idx="949">
                  <c:v>85.039703009438455</c:v>
                </c:pt>
                <c:pt idx="950">
                  <c:v>84.73684043105817</c:v>
                </c:pt>
                <c:pt idx="951">
                  <c:v>85.022794018062044</c:v>
                </c:pt>
                <c:pt idx="952">
                  <c:v>85.267972039023917</c:v>
                </c:pt>
                <c:pt idx="953">
                  <c:v>85.141615833441975</c:v>
                </c:pt>
                <c:pt idx="954">
                  <c:v>85.140552737779331</c:v>
                </c:pt>
                <c:pt idx="955">
                  <c:v>85.424078132810848</c:v>
                </c:pt>
                <c:pt idx="956">
                  <c:v>85.62934542815681</c:v>
                </c:pt>
                <c:pt idx="957">
                  <c:v>85.417933481615961</c:v>
                </c:pt>
                <c:pt idx="958">
                  <c:v>85.620468887255996</c:v>
                </c:pt>
                <c:pt idx="959">
                  <c:v>85.366303958480771</c:v>
                </c:pt>
                <c:pt idx="960">
                  <c:v>85.237902241583697</c:v>
                </c:pt>
                <c:pt idx="961">
                  <c:v>85.024723929931767</c:v>
                </c:pt>
                <c:pt idx="962">
                  <c:v>85.021806221482507</c:v>
                </c:pt>
                <c:pt idx="963">
                  <c:v>85.061013161948665</c:v>
                </c:pt>
                <c:pt idx="964">
                  <c:v>84.639757243332951</c:v>
                </c:pt>
                <c:pt idx="965">
                  <c:v>84.846043117068959</c:v>
                </c:pt>
                <c:pt idx="966">
                  <c:v>84.846013695148713</c:v>
                </c:pt>
                <c:pt idx="967">
                  <c:v>85.128658406976285</c:v>
                </c:pt>
                <c:pt idx="968">
                  <c:v>85.28833972595092</c:v>
                </c:pt>
                <c:pt idx="969">
                  <c:v>85.285155131085489</c:v>
                </c:pt>
                <c:pt idx="970">
                  <c:v>85.074459462170111</c:v>
                </c:pt>
                <c:pt idx="971">
                  <c:v>84.953461359697826</c:v>
                </c:pt>
                <c:pt idx="972">
                  <c:v>84.829611066519803</c:v>
                </c:pt>
                <c:pt idx="973">
                  <c:v>84.321985832611773</c:v>
                </c:pt>
                <c:pt idx="974">
                  <c:v>84.444324714927575</c:v>
                </c:pt>
                <c:pt idx="975">
                  <c:v>84.647287611082561</c:v>
                </c:pt>
                <c:pt idx="976">
                  <c:v>84.884773331000105</c:v>
                </c:pt>
                <c:pt idx="977">
                  <c:v>84.720114069228714</c:v>
                </c:pt>
                <c:pt idx="978">
                  <c:v>84.79837646904538</c:v>
                </c:pt>
                <c:pt idx="979">
                  <c:v>84.839810721596848</c:v>
                </c:pt>
                <c:pt idx="980">
                  <c:v>85.038315647575175</c:v>
                </c:pt>
                <c:pt idx="981">
                  <c:v>85.079420840306426</c:v>
                </c:pt>
                <c:pt idx="982">
                  <c:v>84.868907292035331</c:v>
                </c:pt>
                <c:pt idx="983">
                  <c:v>85.185053498412728</c:v>
                </c:pt>
                <c:pt idx="984">
                  <c:v>85.22139745833266</c:v>
                </c:pt>
                <c:pt idx="985">
                  <c:v>85.220402870992444</c:v>
                </c:pt>
                <c:pt idx="986">
                  <c:v>85.574152731524421</c:v>
                </c:pt>
                <c:pt idx="987">
                  <c:v>85.810777139016551</c:v>
                </c:pt>
                <c:pt idx="988">
                  <c:v>85.306174845169295</c:v>
                </c:pt>
                <c:pt idx="989">
                  <c:v>84.845777659692871</c:v>
                </c:pt>
                <c:pt idx="990">
                  <c:v>85.11957718225166</c:v>
                </c:pt>
                <c:pt idx="991">
                  <c:v>84.748792938234203</c:v>
                </c:pt>
                <c:pt idx="992">
                  <c:v>85.065453278493806</c:v>
                </c:pt>
                <c:pt idx="993">
                  <c:v>85.262863656484711</c:v>
                </c:pt>
                <c:pt idx="994">
                  <c:v>84.895536731050441</c:v>
                </c:pt>
                <c:pt idx="995">
                  <c:v>84.895499344977949</c:v>
                </c:pt>
                <c:pt idx="996">
                  <c:v>84.69447704897955</c:v>
                </c:pt>
                <c:pt idx="997">
                  <c:v>84.615056651413425</c:v>
                </c:pt>
                <c:pt idx="998">
                  <c:v>84.577174605187309</c:v>
                </c:pt>
                <c:pt idx="999">
                  <c:v>84.697382857224454</c:v>
                </c:pt>
                <c:pt idx="1000">
                  <c:v>84.895832823240681</c:v>
                </c:pt>
              </c:numCache>
            </c:numRef>
          </c:val>
        </c:ser>
        <c:marker val="1"/>
        <c:axId val="97288192"/>
        <c:axId val="97290112"/>
      </c:lineChart>
      <c:catAx>
        <c:axId val="97288192"/>
        <c:scaling>
          <c:orientation val="minMax"/>
        </c:scaling>
        <c:axPos val="b"/>
        <c:majorGridlines>
          <c:spPr>
            <a:ln w="3175">
              <a:solidFill>
                <a:srgbClr val="000000"/>
              </a:solidFill>
              <a:prstDash val="sysDash"/>
            </a:ln>
          </c:spPr>
        </c:majorGridlines>
        <c:title>
          <c:tx>
            <c:rich>
              <a:bodyPr/>
              <a:lstStyle/>
              <a:p>
                <a:pPr>
                  <a:defRPr sz="1100" b="0" i="0" u="none" strike="noStrike" baseline="0">
                    <a:solidFill>
                      <a:srgbClr val="000000"/>
                    </a:solidFill>
                    <a:latin typeface="ＭＳ 明朝"/>
                    <a:ea typeface="ＭＳ 明朝"/>
                    <a:cs typeface="ＭＳ 明朝"/>
                  </a:defRPr>
                </a:pPr>
                <a:r>
                  <a:rPr altLang="en-US"/>
                  <a:t>シミュレーションの回数</a:t>
                </a:r>
              </a:p>
            </c:rich>
          </c:tx>
          <c:layout>
            <c:manualLayout>
              <c:xMode val="edge"/>
              <c:yMode val="edge"/>
              <c:x val="0.38847858197932073"/>
              <c:y val="0.88922285685882663"/>
            </c:manualLayout>
          </c:layout>
          <c:spPr>
            <a:noFill/>
            <a:ln w="25400">
              <a:noFill/>
            </a:ln>
          </c:spPr>
        </c:title>
        <c:numFmt formatCode="General" sourceLinked="1"/>
        <c:majorTickMark val="in"/>
        <c:tickLblPos val="low"/>
        <c:spPr>
          <a:ln w="3175">
            <a:solidFill>
              <a:srgbClr val="000000"/>
            </a:solidFill>
            <a:prstDash val="solid"/>
          </a:ln>
        </c:spPr>
        <c:txPr>
          <a:bodyPr rot="0" vert="horz"/>
          <a:lstStyle/>
          <a:p>
            <a:pPr>
              <a:defRPr sz="1100" b="0" i="0" u="none" strike="noStrike" baseline="0">
                <a:solidFill>
                  <a:srgbClr val="000000"/>
                </a:solidFill>
                <a:latin typeface="ＭＳ 明朝"/>
                <a:ea typeface="ＭＳ 明朝"/>
                <a:cs typeface="ＭＳ 明朝"/>
              </a:defRPr>
            </a:pPr>
            <a:endParaRPr lang="ja-JP"/>
          </a:p>
        </c:txPr>
        <c:crossAx val="97290112"/>
        <c:crosses val="autoZero"/>
        <c:lblAlgn val="ctr"/>
        <c:lblOffset val="100"/>
        <c:tickLblSkip val="100"/>
        <c:tickMarkSkip val="100"/>
      </c:catAx>
      <c:valAx>
        <c:axId val="97290112"/>
        <c:scaling>
          <c:orientation val="minMax"/>
        </c:scaling>
        <c:axPos val="l"/>
        <c:majorGridlines>
          <c:spPr>
            <a:ln w="3175">
              <a:solidFill>
                <a:srgbClr val="000000"/>
              </a:solidFill>
              <a:prstDash val="sysDash"/>
            </a:ln>
          </c:spPr>
        </c:majorGridlines>
        <c:title>
          <c:tx>
            <c:rich>
              <a:bodyPr/>
              <a:lstStyle/>
              <a:p>
                <a:pPr>
                  <a:defRPr sz="1100" b="0" i="0" u="none" strike="noStrike" baseline="0">
                    <a:solidFill>
                      <a:srgbClr val="000000"/>
                    </a:solidFill>
                    <a:latin typeface="ＭＳ 明朝"/>
                    <a:ea typeface="ＭＳ 明朝"/>
                    <a:cs typeface="ＭＳ 明朝"/>
                  </a:defRPr>
                </a:pPr>
                <a:r>
                  <a:rPr altLang="en-US"/>
                  <a:t>平均価格</a:t>
                </a:r>
              </a:p>
            </c:rich>
          </c:tx>
          <c:layout>
            <c:manualLayout>
              <c:xMode val="edge"/>
              <c:yMode val="edge"/>
              <c:x val="2.3633677991137376E-2"/>
              <c:y val="0.38622810954474296"/>
            </c:manualLayout>
          </c:layout>
          <c:spPr>
            <a:noFill/>
            <a:ln w="25400">
              <a:noFill/>
            </a:ln>
          </c:spPr>
        </c:title>
        <c:numFmt formatCode="#,##0" sourceLinked="0"/>
        <c:majorTickMark val="in"/>
        <c:tickLblPos val="low"/>
        <c:spPr>
          <a:ln w="3175">
            <a:solidFill>
              <a:srgbClr val="000000"/>
            </a:solidFill>
            <a:prstDash val="solid"/>
          </a:ln>
        </c:spPr>
        <c:txPr>
          <a:bodyPr rot="0" vert="horz"/>
          <a:lstStyle/>
          <a:p>
            <a:pPr>
              <a:defRPr sz="1100" b="0" i="0" u="none" strike="noStrike" baseline="0">
                <a:solidFill>
                  <a:srgbClr val="000000"/>
                </a:solidFill>
                <a:latin typeface="ＭＳ 明朝"/>
                <a:ea typeface="ＭＳ 明朝"/>
                <a:cs typeface="ＭＳ 明朝"/>
              </a:defRPr>
            </a:pPr>
            <a:endParaRPr lang="ja-JP"/>
          </a:p>
        </c:txPr>
        <c:crossAx val="97288192"/>
        <c:crosses val="autoZero"/>
        <c:crossBetween val="midCat"/>
      </c:valAx>
      <c:spPr>
        <a:solidFill>
          <a:srgbClr val="FFFF00"/>
        </a:solidFill>
        <a:ln w="3175">
          <a:solidFill>
            <a:srgbClr val="000000"/>
          </a:solidFill>
          <a:prstDash val="solid"/>
        </a:ln>
      </c:spPr>
    </c:plotArea>
    <c:plotVisOnly val="1"/>
    <c:dispBlanksAs val="gap"/>
  </c:chart>
  <c:spPr>
    <a:solidFill>
      <a:srgbClr val="FFFFFF"/>
    </a:solidFill>
    <a:ln w="12700">
      <a:solidFill>
        <a:srgbClr val="000000"/>
      </a:solidFill>
      <a:prstDash val="solid"/>
    </a:ln>
  </c:spPr>
  <c:txPr>
    <a:bodyPr/>
    <a:lstStyle/>
    <a:p>
      <a:pPr>
        <a:defRPr sz="1100" b="0" i="0" u="none" strike="noStrike" baseline="0">
          <a:solidFill>
            <a:srgbClr val="000000"/>
          </a:solidFill>
          <a:latin typeface="ＭＳ 明朝"/>
          <a:ea typeface="ＭＳ 明朝"/>
          <a:cs typeface="ＭＳ 明朝"/>
        </a:defRPr>
      </a:pPr>
      <a:endParaRPr lang="ja-JP"/>
    </a:p>
  </c:txPr>
  <c:printSettings>
    <c:headerFooter alignWithMargins="0"/>
    <c:pageMargins b="0.98425196850393692" l="0.78740157480314954" r="0.78740157480314954" t="0.98425196850393692" header="0.51181102362204722" footer="0.51181102362204722"/>
    <c:pageSetup paperSize="9" orientation="landscape" blackAndWhite="1" horizontalDpi="-4" verticalDpi="0"/>
  </c:printSettings>
</c:chartSpace>
</file>

<file path=xl/charts/chart4.xml><?xml version="1.0" encoding="utf-8"?>
<c:chartSpace xmlns:c="http://schemas.openxmlformats.org/drawingml/2006/chart" xmlns:a="http://schemas.openxmlformats.org/drawingml/2006/main" xmlns:r="http://schemas.openxmlformats.org/officeDocument/2006/relationships">
  <c:lang val="ja-JP"/>
  <c:chart>
    <c:title>
      <c:tx>
        <c:rich>
          <a:bodyPr/>
          <a:lstStyle/>
          <a:p>
            <a:pPr>
              <a:defRPr sz="1400" b="0" i="0" u="none" strike="noStrike" baseline="0">
                <a:solidFill>
                  <a:srgbClr val="000000"/>
                </a:solidFill>
                <a:latin typeface="ＭＳ 明朝"/>
                <a:ea typeface="ＭＳ 明朝"/>
                <a:cs typeface="ＭＳ 明朝"/>
              </a:defRPr>
            </a:pPr>
            <a:r>
              <a:rPr altLang="en-US"/>
              <a:t>t=5,t=10 時点における各ノードの通過回数</a:t>
            </a:r>
          </a:p>
        </c:rich>
      </c:tx>
      <c:layout>
        <c:manualLayout>
          <c:xMode val="edge"/>
          <c:yMode val="edge"/>
          <c:x val="0.20796490131375214"/>
          <c:y val="3.3434650455927049E-2"/>
        </c:manualLayout>
      </c:layout>
      <c:spPr>
        <a:noFill/>
        <a:ln w="25400">
          <a:noFill/>
        </a:ln>
      </c:spPr>
    </c:title>
    <c:plotArea>
      <c:layout>
        <c:manualLayout>
          <c:layoutTarget val="inner"/>
          <c:xMode val="edge"/>
          <c:yMode val="edge"/>
          <c:x val="0.10914469998026709"/>
          <c:y val="0.17933130699088146"/>
          <c:w val="0.74631375932452892"/>
          <c:h val="0.59878419452887555"/>
        </c:manualLayout>
      </c:layout>
      <c:lineChart>
        <c:grouping val="standard"/>
        <c:ser>
          <c:idx val="0"/>
          <c:order val="0"/>
          <c:tx>
            <c:v>t=10</c:v>
          </c:tx>
          <c:spPr>
            <a:ln w="12700">
              <a:solidFill>
                <a:srgbClr val="000080"/>
              </a:solidFill>
              <a:prstDash val="solid"/>
            </a:ln>
          </c:spPr>
          <c:marker>
            <c:symbol val="diamond"/>
            <c:size val="5"/>
            <c:spPr>
              <a:solidFill>
                <a:srgbClr val="000080"/>
              </a:solidFill>
              <a:ln>
                <a:solidFill>
                  <a:srgbClr val="000080"/>
                </a:solidFill>
                <a:prstDash val="solid"/>
              </a:ln>
            </c:spPr>
          </c:marker>
          <c:cat>
            <c:numRef>
              <c:f>MonteCarlo!$A$9:$A$31</c:f>
              <c:numCache>
                <c:formatCode>General</c:formatCode>
                <c:ptCount val="23"/>
                <c:pt idx="0">
                  <c:v>11</c:v>
                </c:pt>
                <c:pt idx="1">
                  <c:v>10</c:v>
                </c:pt>
                <c:pt idx="2">
                  <c:v>9</c:v>
                </c:pt>
                <c:pt idx="3">
                  <c:v>8</c:v>
                </c:pt>
                <c:pt idx="4">
                  <c:v>7</c:v>
                </c:pt>
                <c:pt idx="5">
                  <c:v>6</c:v>
                </c:pt>
                <c:pt idx="6">
                  <c:v>5</c:v>
                </c:pt>
                <c:pt idx="7">
                  <c:v>4</c:v>
                </c:pt>
                <c:pt idx="8">
                  <c:v>3</c:v>
                </c:pt>
                <c:pt idx="9">
                  <c:v>2</c:v>
                </c:pt>
                <c:pt idx="10">
                  <c:v>1</c:v>
                </c:pt>
                <c:pt idx="11">
                  <c:v>0</c:v>
                </c:pt>
                <c:pt idx="12">
                  <c:v>-1</c:v>
                </c:pt>
                <c:pt idx="13">
                  <c:v>-2</c:v>
                </c:pt>
                <c:pt idx="14">
                  <c:v>-3</c:v>
                </c:pt>
                <c:pt idx="15">
                  <c:v>-4</c:v>
                </c:pt>
                <c:pt idx="16">
                  <c:v>-5</c:v>
                </c:pt>
                <c:pt idx="17">
                  <c:v>-6</c:v>
                </c:pt>
                <c:pt idx="18">
                  <c:v>-7</c:v>
                </c:pt>
                <c:pt idx="19">
                  <c:v>-8</c:v>
                </c:pt>
                <c:pt idx="20">
                  <c:v>-9</c:v>
                </c:pt>
                <c:pt idx="21">
                  <c:v>-10</c:v>
                </c:pt>
                <c:pt idx="22">
                  <c:v>-11</c:v>
                </c:pt>
              </c:numCache>
            </c:numRef>
          </c:cat>
          <c:val>
            <c:numRef>
              <c:f>MonteCarlo!$M$9:$M$31</c:f>
              <c:numCache>
                <c:formatCode>General</c:formatCode>
                <c:ptCount val="23"/>
                <c:pt idx="3">
                  <c:v>0</c:v>
                </c:pt>
                <c:pt idx="4">
                  <c:v>0</c:v>
                </c:pt>
                <c:pt idx="5">
                  <c:v>0</c:v>
                </c:pt>
                <c:pt idx="6">
                  <c:v>4</c:v>
                </c:pt>
                <c:pt idx="7">
                  <c:v>8</c:v>
                </c:pt>
                <c:pt idx="8">
                  <c:v>44</c:v>
                </c:pt>
                <c:pt idx="9">
                  <c:v>118</c:v>
                </c:pt>
                <c:pt idx="10">
                  <c:v>187</c:v>
                </c:pt>
                <c:pt idx="11">
                  <c:v>255</c:v>
                </c:pt>
                <c:pt idx="12">
                  <c:v>201</c:v>
                </c:pt>
                <c:pt idx="13">
                  <c:v>128</c:v>
                </c:pt>
                <c:pt idx="14">
                  <c:v>37</c:v>
                </c:pt>
                <c:pt idx="15">
                  <c:v>15</c:v>
                </c:pt>
                <c:pt idx="16">
                  <c:v>2</c:v>
                </c:pt>
                <c:pt idx="17">
                  <c:v>1</c:v>
                </c:pt>
                <c:pt idx="18">
                  <c:v>0</c:v>
                </c:pt>
                <c:pt idx="19">
                  <c:v>0</c:v>
                </c:pt>
              </c:numCache>
            </c:numRef>
          </c:val>
        </c:ser>
        <c:ser>
          <c:idx val="1"/>
          <c:order val="1"/>
          <c:tx>
            <c:v>t=5</c:v>
          </c:tx>
          <c:spPr>
            <a:ln w="12700">
              <a:solidFill>
                <a:srgbClr val="FF00FF"/>
              </a:solidFill>
              <a:prstDash val="solid"/>
            </a:ln>
          </c:spPr>
          <c:marker>
            <c:symbol val="square"/>
            <c:size val="5"/>
            <c:spPr>
              <a:solidFill>
                <a:srgbClr val="FF00FF"/>
              </a:solidFill>
              <a:ln>
                <a:solidFill>
                  <a:srgbClr val="FF00FF"/>
                </a:solidFill>
                <a:prstDash val="solid"/>
              </a:ln>
            </c:spPr>
          </c:marker>
          <c:cat>
            <c:numRef>
              <c:f>MonteCarlo!$A$9:$A$31</c:f>
              <c:numCache>
                <c:formatCode>General</c:formatCode>
                <c:ptCount val="23"/>
                <c:pt idx="0">
                  <c:v>11</c:v>
                </c:pt>
                <c:pt idx="1">
                  <c:v>10</c:v>
                </c:pt>
                <c:pt idx="2">
                  <c:v>9</c:v>
                </c:pt>
                <c:pt idx="3">
                  <c:v>8</c:v>
                </c:pt>
                <c:pt idx="4">
                  <c:v>7</c:v>
                </c:pt>
                <c:pt idx="5">
                  <c:v>6</c:v>
                </c:pt>
                <c:pt idx="6">
                  <c:v>5</c:v>
                </c:pt>
                <c:pt idx="7">
                  <c:v>4</c:v>
                </c:pt>
                <c:pt idx="8">
                  <c:v>3</c:v>
                </c:pt>
                <c:pt idx="9">
                  <c:v>2</c:v>
                </c:pt>
                <c:pt idx="10">
                  <c:v>1</c:v>
                </c:pt>
                <c:pt idx="11">
                  <c:v>0</c:v>
                </c:pt>
                <c:pt idx="12">
                  <c:v>-1</c:v>
                </c:pt>
                <c:pt idx="13">
                  <c:v>-2</c:v>
                </c:pt>
                <c:pt idx="14">
                  <c:v>-3</c:v>
                </c:pt>
                <c:pt idx="15">
                  <c:v>-4</c:v>
                </c:pt>
                <c:pt idx="16">
                  <c:v>-5</c:v>
                </c:pt>
                <c:pt idx="17">
                  <c:v>-6</c:v>
                </c:pt>
                <c:pt idx="18">
                  <c:v>-7</c:v>
                </c:pt>
                <c:pt idx="19">
                  <c:v>-8</c:v>
                </c:pt>
                <c:pt idx="20">
                  <c:v>-9</c:v>
                </c:pt>
                <c:pt idx="21">
                  <c:v>-10</c:v>
                </c:pt>
                <c:pt idx="22">
                  <c:v>-11</c:v>
                </c:pt>
              </c:numCache>
            </c:numRef>
          </c:cat>
          <c:val>
            <c:numRef>
              <c:f>MonteCarlo!$H$9:$H$31</c:f>
              <c:numCache>
                <c:formatCode>General</c:formatCode>
                <c:ptCount val="23"/>
                <c:pt idx="6">
                  <c:v>0</c:v>
                </c:pt>
                <c:pt idx="7">
                  <c:v>5</c:v>
                </c:pt>
                <c:pt idx="8">
                  <c:v>20</c:v>
                </c:pt>
                <c:pt idx="9">
                  <c:v>84</c:v>
                </c:pt>
                <c:pt idx="10">
                  <c:v>230</c:v>
                </c:pt>
                <c:pt idx="11">
                  <c:v>336</c:v>
                </c:pt>
                <c:pt idx="12">
                  <c:v>236</c:v>
                </c:pt>
                <c:pt idx="13">
                  <c:v>79</c:v>
                </c:pt>
                <c:pt idx="14">
                  <c:v>8</c:v>
                </c:pt>
                <c:pt idx="15">
                  <c:v>2</c:v>
                </c:pt>
                <c:pt idx="16">
                  <c:v>0</c:v>
                </c:pt>
              </c:numCache>
            </c:numRef>
          </c:val>
        </c:ser>
        <c:marker val="1"/>
        <c:axId val="97308032"/>
        <c:axId val="97326976"/>
      </c:lineChart>
      <c:catAx>
        <c:axId val="97308032"/>
        <c:scaling>
          <c:orientation val="minMax"/>
        </c:scaling>
        <c:axPos val="b"/>
        <c:majorGridlines>
          <c:spPr>
            <a:ln w="3175">
              <a:solidFill>
                <a:srgbClr val="000000"/>
              </a:solidFill>
              <a:prstDash val="sysDash"/>
            </a:ln>
          </c:spPr>
        </c:majorGridlines>
        <c:title>
          <c:tx>
            <c:rich>
              <a:bodyPr/>
              <a:lstStyle/>
              <a:p>
                <a:pPr>
                  <a:defRPr sz="1100" b="0" i="0" u="none" strike="noStrike" baseline="0">
                    <a:solidFill>
                      <a:srgbClr val="000000"/>
                    </a:solidFill>
                    <a:latin typeface="ＭＳ 明朝"/>
                    <a:ea typeface="ＭＳ 明朝"/>
                    <a:cs typeface="ＭＳ 明朝"/>
                  </a:defRPr>
                </a:pPr>
                <a:r>
                  <a:rPr altLang="en-US"/>
                  <a:t>ノード番号（ｊ）</a:t>
                </a:r>
              </a:p>
            </c:rich>
          </c:tx>
          <c:layout>
            <c:manualLayout>
              <c:xMode val="edge"/>
              <c:yMode val="edge"/>
              <c:x val="0.3849563066871583"/>
              <c:y val="0.8936170212765957"/>
            </c:manualLayout>
          </c:layout>
          <c:spPr>
            <a:noFill/>
            <a:ln w="25400">
              <a:noFill/>
            </a:ln>
          </c:spPr>
        </c:title>
        <c:numFmt formatCode="General" sourceLinked="1"/>
        <c:majorTickMark val="in"/>
        <c:tickLblPos val="low"/>
        <c:spPr>
          <a:ln w="3175">
            <a:solidFill>
              <a:srgbClr val="000000"/>
            </a:solidFill>
            <a:prstDash val="solid"/>
          </a:ln>
        </c:spPr>
        <c:txPr>
          <a:bodyPr rot="-5400000" vert="horz"/>
          <a:lstStyle/>
          <a:p>
            <a:pPr>
              <a:defRPr sz="1100" b="0" i="0" u="none" strike="noStrike" baseline="0">
                <a:solidFill>
                  <a:srgbClr val="000000"/>
                </a:solidFill>
                <a:latin typeface="ＭＳ 明朝"/>
                <a:ea typeface="ＭＳ 明朝"/>
                <a:cs typeface="ＭＳ 明朝"/>
              </a:defRPr>
            </a:pPr>
            <a:endParaRPr lang="ja-JP"/>
          </a:p>
        </c:txPr>
        <c:crossAx val="97326976"/>
        <c:crosses val="autoZero"/>
        <c:lblAlgn val="ctr"/>
        <c:lblOffset val="100"/>
        <c:tickLblSkip val="1"/>
        <c:tickMarkSkip val="1"/>
      </c:catAx>
      <c:valAx>
        <c:axId val="97326976"/>
        <c:scaling>
          <c:orientation val="minMax"/>
        </c:scaling>
        <c:axPos val="l"/>
        <c:majorGridlines>
          <c:spPr>
            <a:ln w="3175">
              <a:solidFill>
                <a:srgbClr val="000000"/>
              </a:solidFill>
              <a:prstDash val="sysDash"/>
            </a:ln>
          </c:spPr>
        </c:majorGridlines>
        <c:title>
          <c:tx>
            <c:rich>
              <a:bodyPr/>
              <a:lstStyle/>
              <a:p>
                <a:pPr>
                  <a:defRPr sz="1400" b="0" i="0" u="none" strike="noStrike" baseline="0">
                    <a:solidFill>
                      <a:srgbClr val="000000"/>
                    </a:solidFill>
                    <a:latin typeface="ＭＳ 明朝"/>
                    <a:ea typeface="ＭＳ 明朝"/>
                    <a:cs typeface="ＭＳ 明朝"/>
                  </a:defRPr>
                </a:pPr>
                <a:r>
                  <a:rPr altLang="en-US"/>
                  <a:t>通過回数</a:t>
                </a:r>
              </a:p>
            </c:rich>
          </c:tx>
          <c:layout>
            <c:manualLayout>
              <c:xMode val="edge"/>
              <c:yMode val="edge"/>
              <c:x val="1.0324498646782025E-2"/>
              <c:y val="0.34650455927051677"/>
            </c:manualLayout>
          </c:layout>
          <c:spPr>
            <a:noFill/>
            <a:ln w="25400">
              <a:noFill/>
            </a:ln>
          </c:spPr>
        </c:title>
        <c:numFmt formatCode="General" sourceLinked="1"/>
        <c:majorTickMark val="in"/>
        <c:tickLblPos val="nextTo"/>
        <c:spPr>
          <a:ln w="3175">
            <a:solidFill>
              <a:srgbClr val="000000"/>
            </a:solidFill>
            <a:prstDash val="solid"/>
          </a:ln>
        </c:spPr>
        <c:txPr>
          <a:bodyPr rot="0" vert="horz"/>
          <a:lstStyle/>
          <a:p>
            <a:pPr>
              <a:defRPr sz="1100" b="0" i="0" u="none" strike="noStrike" baseline="0">
                <a:solidFill>
                  <a:srgbClr val="000000"/>
                </a:solidFill>
                <a:latin typeface="ＭＳ 明朝"/>
                <a:ea typeface="ＭＳ 明朝"/>
                <a:cs typeface="ＭＳ 明朝"/>
              </a:defRPr>
            </a:pPr>
            <a:endParaRPr lang="ja-JP"/>
          </a:p>
        </c:txPr>
        <c:crossAx val="97308032"/>
        <c:crosses val="autoZero"/>
        <c:crossBetween val="midCat"/>
      </c:valAx>
      <c:spPr>
        <a:solidFill>
          <a:srgbClr val="FFFF00"/>
        </a:solidFill>
        <a:ln w="3175">
          <a:solidFill>
            <a:srgbClr val="000000"/>
          </a:solidFill>
          <a:prstDash val="solid"/>
        </a:ln>
      </c:spPr>
    </c:plotArea>
    <c:legend>
      <c:legendPos val="r"/>
      <c:layout>
        <c:manualLayout>
          <c:xMode val="edge"/>
          <c:yMode val="edge"/>
          <c:x val="0.87905731335458381"/>
          <c:y val="0.40121580547112456"/>
          <c:w val="0.10619484322404366"/>
          <c:h val="0.12462006079027357"/>
        </c:manualLayout>
      </c:layout>
      <c:spPr>
        <a:solidFill>
          <a:srgbClr val="FFFFFF"/>
        </a:solidFill>
        <a:ln w="3175">
          <a:solidFill>
            <a:srgbClr val="000000"/>
          </a:solidFill>
          <a:prstDash val="solid"/>
        </a:ln>
      </c:spPr>
      <c:txPr>
        <a:bodyPr/>
        <a:lstStyle/>
        <a:p>
          <a:pPr>
            <a:defRPr sz="1010" b="0" i="0" u="none" strike="noStrike" baseline="0">
              <a:solidFill>
                <a:srgbClr val="000000"/>
              </a:solidFill>
              <a:latin typeface="ＭＳ 明朝"/>
              <a:ea typeface="ＭＳ 明朝"/>
              <a:cs typeface="ＭＳ 明朝"/>
            </a:defRPr>
          </a:pPr>
          <a:endParaRPr lang="ja-JP"/>
        </a:p>
      </c:txPr>
    </c:legend>
    <c:plotVisOnly val="1"/>
    <c:dispBlanksAs val="gap"/>
  </c:chart>
  <c:spPr>
    <a:solidFill>
      <a:srgbClr val="FFFFFF"/>
    </a:solidFill>
    <a:ln w="12700">
      <a:solidFill>
        <a:srgbClr val="000000"/>
      </a:solidFill>
      <a:prstDash val="solid"/>
    </a:ln>
  </c:spPr>
  <c:txPr>
    <a:bodyPr/>
    <a:lstStyle/>
    <a:p>
      <a:pPr>
        <a:defRPr sz="1050" b="0" i="0" u="none" strike="noStrike" baseline="0">
          <a:solidFill>
            <a:srgbClr val="000000"/>
          </a:solidFill>
          <a:latin typeface="ＭＳ 明朝"/>
          <a:ea typeface="ＭＳ 明朝"/>
          <a:cs typeface="ＭＳ 明朝"/>
        </a:defRPr>
      </a:pPr>
      <a:endParaRPr lang="ja-JP"/>
    </a:p>
  </c:txPr>
  <c:printSettings>
    <c:headerFooter alignWithMargins="0"/>
    <c:pageMargins b="0.98425196850393692" l="0.78740157480314954" r="0.78740157480314954" t="0.98425196850393692" header="0.51181102362204722" footer="0.51181102362204722"/>
    <c:pageSetup paperSize="9" orientation="landscape" blackAndWhite="1" horizontalDpi="-4" verticalDpi="0"/>
  </c:printSettings>
</c:chartSpace>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8.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0</xdr:col>
      <xdr:colOff>76200</xdr:colOff>
      <xdr:row>0</xdr:row>
      <xdr:rowOff>57150</xdr:rowOff>
    </xdr:from>
    <xdr:to>
      <xdr:col>9</xdr:col>
      <xdr:colOff>200025</xdr:colOff>
      <xdr:row>5</xdr:row>
      <xdr:rowOff>123825</xdr:rowOff>
    </xdr:to>
    <xdr:sp macro="" textlink="">
      <xdr:nvSpPr>
        <xdr:cNvPr id="1025" name="テキスト 1"/>
        <xdr:cNvSpPr>
          <a:spLocks noChangeArrowheads="1"/>
        </xdr:cNvSpPr>
      </xdr:nvSpPr>
      <xdr:spPr bwMode="auto">
        <a:xfrm>
          <a:off x="76200" y="57150"/>
          <a:ext cx="6038850" cy="923925"/>
        </a:xfrm>
        <a:prstGeom prst="roundRect">
          <a:avLst>
            <a:gd name="adj" fmla="val 16667"/>
          </a:avLst>
        </a:prstGeom>
        <a:solidFill>
          <a:srgbClr val="A0E0E0"/>
        </a:solidFill>
        <a:ln w="9525">
          <a:solidFill>
            <a:srgbClr val="000000"/>
          </a:solidFill>
          <a:prstDash val="solid"/>
          <a:round/>
          <a:headEnd/>
          <a:tailEnd/>
        </a:ln>
        <a:effectLst>
          <a:outerShdw dist="35921" dir="2700000" algn="ctr" rotWithShape="0">
            <a:srgbClr val="000000"/>
          </a:outerShdw>
        </a:effectLst>
      </xdr:spPr>
      <xdr:txBody>
        <a:bodyPr vertOverflow="clip" wrap="square" lIns="36576" tIns="32004" rIns="36576" bIns="32004" anchor="ctr" upright="1"/>
        <a:lstStyle/>
        <a:p>
          <a:pPr algn="ctr" rtl="0">
            <a:defRPr sz="1000"/>
          </a:pPr>
          <a:r>
            <a:rPr lang="en-US" altLang="ja-JP" sz="1600" b="0" i="0" u="none" strike="noStrike" baseline="0">
              <a:solidFill>
                <a:srgbClr val="000000"/>
              </a:solidFill>
              <a:latin typeface="Arial"/>
              <a:cs typeface="Arial"/>
            </a:rPr>
            <a:t>EXCEL</a:t>
          </a:r>
          <a:r>
            <a:rPr lang="ja-JP" altLang="en-US" sz="1600" b="0" i="0" u="none" strike="noStrike" baseline="0">
              <a:solidFill>
                <a:srgbClr val="000000"/>
              </a:solidFill>
              <a:latin typeface="ＭＳ ゴシック"/>
              <a:ea typeface="ＭＳ ゴシック"/>
            </a:rPr>
            <a:t>でわかるハル･ホワイト･モデル</a:t>
          </a:r>
          <a:r>
            <a:rPr lang="en-US" altLang="ja-JP" sz="1600" b="0" i="0" u="none" strike="noStrike" baseline="0">
              <a:solidFill>
                <a:srgbClr val="000000"/>
              </a:solidFill>
              <a:latin typeface="ＭＳ ゴシック"/>
              <a:ea typeface="ＭＳ ゴシック"/>
            </a:rPr>
            <a:t>(</a:t>
          </a:r>
          <a:r>
            <a:rPr lang="ja-JP" altLang="en-US" sz="1600" b="0" i="0" u="none" strike="noStrike" baseline="0">
              <a:solidFill>
                <a:srgbClr val="000000"/>
              </a:solidFill>
              <a:latin typeface="ＭＳ ゴシック"/>
              <a:ea typeface="ＭＳ ゴシック"/>
            </a:rPr>
            <a:t>第２版）</a:t>
          </a:r>
        </a:p>
        <a:p>
          <a:pPr algn="ctr" rtl="0">
            <a:defRPr sz="1000"/>
          </a:pPr>
          <a:r>
            <a:rPr lang="ja-JP" altLang="en-US" sz="1600" b="0" i="0" u="none" strike="noStrike" baseline="0">
              <a:solidFill>
                <a:srgbClr val="000000"/>
              </a:solidFill>
              <a:latin typeface="ＭＳ ゴシック"/>
              <a:ea typeface="ＭＳ ゴシック"/>
            </a:rPr>
            <a:t>学習ソフト</a:t>
          </a:r>
        </a:p>
      </xdr:txBody>
    </xdr:sp>
    <xdr:clientData/>
  </xdr:twoCellAnchor>
  <xdr:twoCellAnchor>
    <xdr:from>
      <xdr:col>0</xdr:col>
      <xdr:colOff>114300</xdr:colOff>
      <xdr:row>6</xdr:row>
      <xdr:rowOff>38100</xdr:rowOff>
    </xdr:from>
    <xdr:to>
      <xdr:col>9</xdr:col>
      <xdr:colOff>161925</xdr:colOff>
      <xdr:row>21</xdr:row>
      <xdr:rowOff>123825</xdr:rowOff>
    </xdr:to>
    <xdr:sp macro="" textlink="">
      <xdr:nvSpPr>
        <xdr:cNvPr id="1026" name="テキスト 2"/>
        <xdr:cNvSpPr txBox="1">
          <a:spLocks noChangeArrowheads="1"/>
        </xdr:cNvSpPr>
      </xdr:nvSpPr>
      <xdr:spPr bwMode="auto">
        <a:xfrm>
          <a:off x="114300" y="1066800"/>
          <a:ext cx="5962650" cy="2657475"/>
        </a:xfrm>
        <a:prstGeom prst="rect">
          <a:avLst/>
        </a:prstGeom>
        <a:solidFill>
          <a:srgbClr val="E3E3E3"/>
        </a:solidFill>
        <a:ln w="9525">
          <a:solidFill>
            <a:srgbClr val="000000"/>
          </a:solidFill>
          <a:prstDash val="solid"/>
          <a:miter lim="800000"/>
          <a:headEnd/>
          <a:tailEnd/>
        </a:ln>
        <a:effectLst>
          <a:outerShdw dist="35921" dir="2700000" algn="ctr" rotWithShape="0">
            <a:srgbClr val="000000"/>
          </a:outerShdw>
        </a:effectLst>
      </xdr:spPr>
      <xdr:txBody>
        <a:bodyPr vertOverflow="clip" wrap="square" lIns="27432" tIns="18288" rIns="0" bIns="18288" anchor="ctr" upright="1"/>
        <a:lstStyle/>
        <a:p>
          <a:pPr algn="l" rtl="0">
            <a:defRPr sz="1000"/>
          </a:pPr>
          <a:endParaRPr lang="ja-JP" altLang="en-US" sz="1200" b="0" i="0" u="none" strike="noStrike" baseline="0">
            <a:solidFill>
              <a:srgbClr val="000000"/>
            </a:solidFill>
            <a:latin typeface="ＭＳ 明朝"/>
            <a:ea typeface="ＭＳ 明朝"/>
          </a:endParaRPr>
        </a:p>
        <a:p>
          <a:pPr algn="l" rtl="0">
            <a:defRPr sz="1000"/>
          </a:pPr>
          <a:r>
            <a:rPr lang="ja-JP" altLang="en-US" sz="1200" b="0" i="0" u="none" strike="noStrike" baseline="0">
              <a:solidFill>
                <a:srgbClr val="000000"/>
              </a:solidFill>
              <a:latin typeface="ＭＳ 明朝"/>
              <a:ea typeface="ＭＳ 明朝"/>
            </a:rPr>
            <a:t>　このプログラムは、ハル・ホワイト・モデルの学習と理解を目的に作成された、プライシングプログラムです。このため、実用上の計算精度を得ることはできませんので、計算結果等を学習以外の用途には絶対に使用しないで下さい。このプログラムの使用または使用不能が原因で発生したいかなる損害にも、著者及び社団法人金融財政事情研究会、株式会社きんざいは一切責任を負いませんのでご了承下さい。</a:t>
          </a:r>
        </a:p>
        <a:p>
          <a:pPr algn="l" rtl="0">
            <a:defRPr sz="1000"/>
          </a:pPr>
          <a:r>
            <a:rPr lang="ja-JP" altLang="en-US" sz="1200" b="0" i="0" u="none" strike="noStrike" baseline="0">
              <a:solidFill>
                <a:srgbClr val="000000"/>
              </a:solidFill>
              <a:latin typeface="ＭＳ 明朝"/>
              <a:ea typeface="ＭＳ 明朝"/>
            </a:rPr>
            <a:t>　また、当プログラムの著作権はあおぞら銀行に帰属しておりますので、本書の学習以外の目的による複写・転載等は禁止いたします。</a:t>
          </a:r>
        </a:p>
        <a:p>
          <a:pPr algn="l" rtl="0">
            <a:defRPr sz="1000"/>
          </a:pPr>
          <a:endParaRPr lang="ja-JP" altLang="en-US" sz="1200" b="0" i="0" u="none" strike="noStrike" baseline="0">
            <a:solidFill>
              <a:srgbClr val="000000"/>
            </a:solidFill>
            <a:latin typeface="ＭＳ 明朝"/>
            <a:ea typeface="ＭＳ 明朝"/>
          </a:endParaRPr>
        </a:p>
        <a:p>
          <a:pPr algn="l" rtl="0">
            <a:defRPr sz="1000"/>
          </a:pPr>
          <a:r>
            <a:rPr lang="ja-JP" altLang="en-US" sz="1200" b="0" i="0" u="none" strike="noStrike" baseline="0">
              <a:solidFill>
                <a:srgbClr val="000000"/>
              </a:solidFill>
              <a:latin typeface="ＭＳ 明朝"/>
              <a:ea typeface="ＭＳ 明朝"/>
            </a:rPr>
            <a:t>    </a:t>
          </a:r>
          <a:r>
            <a:rPr lang="en-US" altLang="ja-JP" sz="1200" b="0" i="0" u="none" strike="noStrike" baseline="0">
              <a:solidFill>
                <a:srgbClr val="000000"/>
              </a:solidFill>
              <a:latin typeface="Century"/>
            </a:rPr>
            <a:t>2004</a:t>
          </a:r>
          <a:r>
            <a:rPr lang="ja-JP" altLang="en-US" sz="1200" b="0" i="0" u="none" strike="noStrike" baseline="0">
              <a:solidFill>
                <a:srgbClr val="000000"/>
              </a:solidFill>
              <a:latin typeface="ＭＳ 明朝"/>
              <a:ea typeface="ＭＳ 明朝"/>
            </a:rPr>
            <a:t>年</a:t>
          </a:r>
          <a:r>
            <a:rPr lang="en-US" altLang="ja-JP" sz="1200" b="0" i="0" u="none" strike="noStrike" baseline="0">
              <a:solidFill>
                <a:srgbClr val="000000"/>
              </a:solidFill>
              <a:latin typeface="Century"/>
            </a:rPr>
            <a:t>6</a:t>
          </a:r>
          <a:r>
            <a:rPr lang="ja-JP" altLang="en-US" sz="1200" b="0" i="0" u="none" strike="noStrike" baseline="0">
              <a:solidFill>
                <a:srgbClr val="000000"/>
              </a:solidFill>
              <a:latin typeface="ＭＳ 明朝"/>
              <a:ea typeface="ＭＳ 明朝"/>
            </a:rPr>
            <a:t>月</a:t>
          </a:r>
          <a:r>
            <a:rPr lang="ja-JP" altLang="en-US" sz="1200" b="0" i="0" u="none" strike="noStrike" baseline="0">
              <a:solidFill>
                <a:srgbClr val="000000"/>
              </a:solidFill>
              <a:latin typeface="Century"/>
            </a:rPr>
            <a:t> </a:t>
          </a:r>
          <a:r>
            <a:rPr lang="ja-JP" altLang="en-US" sz="1200" b="0" i="0" u="none" strike="noStrike" baseline="0">
              <a:solidFill>
                <a:srgbClr val="000000"/>
              </a:solidFill>
              <a:latin typeface="ＭＳ 明朝"/>
              <a:ea typeface="ＭＳ 明朝"/>
            </a:rPr>
            <a:t>著者</a:t>
          </a:r>
        </a:p>
        <a:p>
          <a:pPr algn="l" rtl="0">
            <a:defRPr sz="1000"/>
          </a:pPr>
          <a:r>
            <a:rPr lang="ja-JP" altLang="en-US" sz="1200" b="0" i="0" u="none" strike="noStrike" baseline="0">
              <a:solidFill>
                <a:srgbClr val="000000"/>
              </a:solidFill>
              <a:latin typeface="Century"/>
            </a:rPr>
            <a:t>                            </a:t>
          </a:r>
          <a:r>
            <a:rPr lang="ja-JP" altLang="en-US" sz="1200" b="0" i="0" u="none" strike="noStrike" baseline="0">
              <a:solidFill>
                <a:srgbClr val="000000"/>
              </a:solidFill>
              <a:latin typeface="ＭＳ 明朝"/>
              <a:ea typeface="ＭＳ 明朝"/>
            </a:rPr>
            <a:t>あおぞら銀行</a:t>
          </a:r>
        </a:p>
        <a:p>
          <a:pPr algn="l" rtl="0">
            <a:defRPr sz="1000"/>
          </a:pPr>
          <a:r>
            <a:rPr lang="ja-JP" altLang="en-US" sz="1200" b="0" i="0" u="none" strike="noStrike" baseline="0">
              <a:solidFill>
                <a:srgbClr val="000000"/>
              </a:solidFill>
              <a:latin typeface="ＭＳ 明朝"/>
              <a:ea typeface="ＭＳ 明朝"/>
            </a:rPr>
            <a:t>　　　　　　　リスク統括部</a:t>
          </a:r>
        </a:p>
        <a:p>
          <a:pPr algn="l" rtl="0">
            <a:defRPr sz="1000"/>
          </a:pPr>
          <a:endParaRPr lang="ja-JP" altLang="en-US" sz="1200" b="0" i="0" u="none" strike="noStrike" baseline="0">
            <a:solidFill>
              <a:srgbClr val="000000"/>
            </a:solidFill>
            <a:latin typeface="ＭＳ 明朝"/>
            <a:ea typeface="ＭＳ 明朝"/>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561975</xdr:colOff>
      <xdr:row>0</xdr:row>
      <xdr:rowOff>142875</xdr:rowOff>
    </xdr:from>
    <xdr:to>
      <xdr:col>5</xdr:col>
      <xdr:colOff>76200</xdr:colOff>
      <xdr:row>5</xdr:row>
      <xdr:rowOff>133350</xdr:rowOff>
    </xdr:to>
    <xdr:sp macro="" textlink="">
      <xdr:nvSpPr>
        <xdr:cNvPr id="2050" name="テキスト 2"/>
        <xdr:cNvSpPr>
          <a:spLocks noChangeArrowheads="1"/>
        </xdr:cNvSpPr>
      </xdr:nvSpPr>
      <xdr:spPr bwMode="auto">
        <a:xfrm>
          <a:off x="200025" y="142875"/>
          <a:ext cx="4533900" cy="847725"/>
        </a:xfrm>
        <a:prstGeom prst="roundRect">
          <a:avLst>
            <a:gd name="adj" fmla="val 16667"/>
          </a:avLst>
        </a:prstGeom>
        <a:solidFill>
          <a:srgbClr val="CC99FF"/>
        </a:solidFill>
        <a:ln w="9525">
          <a:solidFill>
            <a:srgbClr val="000000"/>
          </a:solidFill>
          <a:prstDash val="solid"/>
          <a:round/>
          <a:headEnd/>
          <a:tailEnd/>
        </a:ln>
      </xdr:spPr>
      <xdr:txBody>
        <a:bodyPr vertOverflow="clip" wrap="square" lIns="36576" tIns="18288" rIns="36576" bIns="18288" anchor="ctr" upright="1"/>
        <a:lstStyle/>
        <a:p>
          <a:pPr algn="ctr" rtl="0">
            <a:defRPr sz="1000"/>
          </a:pPr>
          <a:r>
            <a:rPr lang="ja-JP" altLang="en-US" sz="1200" b="1" i="0" u="none" strike="noStrike" baseline="0">
              <a:solidFill>
                <a:srgbClr val="000000"/>
              </a:solidFill>
              <a:latin typeface="ＭＳ 明朝"/>
              <a:ea typeface="ＭＳ 明朝"/>
            </a:rPr>
            <a:t>パラメータ定義</a:t>
          </a:r>
          <a:endParaRPr lang="ja-JP" altLang="en-US" sz="1100" b="1" i="0" u="none" strike="noStrike" baseline="0">
            <a:solidFill>
              <a:srgbClr val="000000"/>
            </a:solidFill>
            <a:latin typeface="ＭＳ 明朝"/>
            <a:ea typeface="ＭＳ 明朝"/>
          </a:endParaRPr>
        </a:p>
        <a:p>
          <a:pPr algn="ctr" rtl="0">
            <a:defRPr sz="1000"/>
          </a:pPr>
          <a:endParaRPr lang="ja-JP" altLang="en-US" sz="1100" b="1" i="0" u="none" strike="noStrike" baseline="0">
            <a:solidFill>
              <a:srgbClr val="000000"/>
            </a:solidFill>
            <a:latin typeface="ＭＳ 明朝"/>
            <a:ea typeface="ＭＳ 明朝"/>
          </a:endParaRPr>
        </a:p>
        <a:p>
          <a:pPr algn="ctr" rtl="0">
            <a:defRPr sz="1000"/>
          </a:pPr>
          <a:r>
            <a:rPr lang="ja-JP" altLang="en-US" sz="1100" b="1" i="0" u="none" strike="noStrike" baseline="0">
              <a:solidFill>
                <a:srgbClr val="000000"/>
              </a:solidFill>
              <a:latin typeface="ＭＳ 明朝"/>
              <a:ea typeface="ＭＳ 明朝"/>
            </a:rPr>
            <a:t>　ここではツリーを構築する際に必要となる各種の</a:t>
          </a:r>
        </a:p>
        <a:p>
          <a:pPr algn="ctr" rtl="0">
            <a:defRPr sz="1000"/>
          </a:pPr>
          <a:r>
            <a:rPr lang="ja-JP" altLang="en-US" sz="1100" b="1" i="0" u="none" strike="noStrike" baseline="0">
              <a:solidFill>
                <a:srgbClr val="000000"/>
              </a:solidFill>
              <a:latin typeface="ＭＳ 明朝"/>
              <a:ea typeface="ＭＳ 明朝"/>
            </a:rPr>
            <a:t>パラメータを指定します。</a:t>
          </a:r>
        </a:p>
      </xdr:txBody>
    </xdr:sp>
    <xdr:clientData/>
  </xdr:twoCellAnchor>
  <xdr:oneCellAnchor>
    <xdr:from>
      <xdr:col>4</xdr:col>
      <xdr:colOff>1095375</xdr:colOff>
      <xdr:row>15</xdr:row>
      <xdr:rowOff>76200</xdr:rowOff>
    </xdr:from>
    <xdr:ext cx="2557623" cy="385234"/>
    <xdr:sp macro="" textlink="">
      <xdr:nvSpPr>
        <xdr:cNvPr id="2051" name="テキスト 3"/>
        <xdr:cNvSpPr txBox="1">
          <a:spLocks noChangeArrowheads="1"/>
        </xdr:cNvSpPr>
      </xdr:nvSpPr>
      <xdr:spPr bwMode="auto">
        <a:xfrm>
          <a:off x="4655344" y="2600325"/>
          <a:ext cx="2557623" cy="385234"/>
        </a:xfrm>
        <a:prstGeom prst="rect">
          <a:avLst/>
        </a:prstGeom>
        <a:solidFill>
          <a:srgbClr val="FFFF99"/>
        </a:solidFill>
        <a:ln w="9525">
          <a:solidFill>
            <a:srgbClr val="000000"/>
          </a:solidFill>
          <a:prstDash val="solid"/>
          <a:miter lim="800000"/>
          <a:headEnd/>
          <a:tailEnd/>
        </a:ln>
      </xdr:spPr>
      <xdr:txBody>
        <a:bodyPr wrap="none" lIns="18288" tIns="18288" rIns="0" bIns="0" anchor="t" upright="1">
          <a:spAutoFit/>
        </a:bodyPr>
        <a:lstStyle/>
        <a:p>
          <a:pPr algn="l" rtl="0">
            <a:defRPr sz="1000"/>
          </a:pPr>
          <a:r>
            <a:rPr lang="ja-JP" altLang="en-US" sz="1100" b="0" i="0" u="none" strike="noStrike" baseline="0">
              <a:solidFill>
                <a:srgbClr val="000000"/>
              </a:solidFill>
              <a:latin typeface="ＭＳ 明朝"/>
              <a:ea typeface="ＭＳ 明朝"/>
            </a:rPr>
            <a:t>この枠内は自動的に計算されますので、</a:t>
          </a:r>
        </a:p>
        <a:p>
          <a:pPr algn="l" rtl="0">
            <a:defRPr sz="1000"/>
          </a:pPr>
          <a:r>
            <a:rPr lang="ja-JP" altLang="en-US" sz="1100" b="0" i="0" u="none" strike="noStrike" baseline="0">
              <a:solidFill>
                <a:srgbClr val="000000"/>
              </a:solidFill>
              <a:latin typeface="ＭＳ 明朝"/>
              <a:ea typeface="ＭＳ 明朝"/>
            </a:rPr>
            <a:t>入力しないで下さい。</a:t>
          </a:r>
        </a:p>
      </xdr:txBody>
    </xdr:sp>
    <xdr:clientData/>
  </xdr:oneCellAnchor>
  <xdr:twoCellAnchor>
    <xdr:from>
      <xdr:col>4</xdr:col>
      <xdr:colOff>428625</xdr:colOff>
      <xdr:row>16</xdr:row>
      <xdr:rowOff>76200</xdr:rowOff>
    </xdr:from>
    <xdr:to>
      <xdr:col>4</xdr:col>
      <xdr:colOff>1085850</xdr:colOff>
      <xdr:row>16</xdr:row>
      <xdr:rowOff>76200</xdr:rowOff>
    </xdr:to>
    <xdr:sp macro="" textlink="">
      <xdr:nvSpPr>
        <xdr:cNvPr id="2052" name="Line 4"/>
        <xdr:cNvSpPr>
          <a:spLocks noChangeShapeType="1"/>
        </xdr:cNvSpPr>
      </xdr:nvSpPr>
      <xdr:spPr bwMode="auto">
        <a:xfrm flipH="1" flipV="1">
          <a:off x="3971925" y="2838450"/>
          <a:ext cx="657225" cy="0"/>
        </a:xfrm>
        <a:prstGeom prst="line">
          <a:avLst/>
        </a:prstGeom>
        <a:noFill/>
        <a:ln w="9525">
          <a:solidFill>
            <a:srgbClr val="000000"/>
          </a:solidFill>
          <a:prstDash val="solid"/>
          <a:round/>
          <a:headEnd/>
          <a:tailEnd type="triangle" w="med" len="med"/>
        </a:ln>
      </xdr:spPr>
    </xdr:sp>
    <xdr:clientData/>
  </xdr:twoCellAnchor>
  <xdr:oneCellAnchor>
    <xdr:from>
      <xdr:col>5</xdr:col>
      <xdr:colOff>180975</xdr:colOff>
      <xdr:row>6</xdr:row>
      <xdr:rowOff>0</xdr:rowOff>
    </xdr:from>
    <xdr:ext cx="2366963" cy="204788"/>
    <xdr:sp macro="" textlink="">
      <xdr:nvSpPr>
        <xdr:cNvPr id="2053" name="テキスト 5"/>
        <xdr:cNvSpPr txBox="1">
          <a:spLocks noChangeArrowheads="1"/>
        </xdr:cNvSpPr>
      </xdr:nvSpPr>
      <xdr:spPr bwMode="auto">
        <a:xfrm>
          <a:off x="4838700" y="1028700"/>
          <a:ext cx="2352675" cy="209550"/>
        </a:xfrm>
        <a:prstGeom prst="rect">
          <a:avLst/>
        </a:prstGeom>
        <a:solidFill>
          <a:srgbClr val="FFFF99"/>
        </a:solidFill>
        <a:ln w="9525">
          <a:solidFill>
            <a:srgbClr val="000000"/>
          </a:solidFill>
          <a:prstDash val="solid"/>
          <a:miter lim="800000"/>
          <a:headEnd/>
          <a:tailEnd/>
        </a:ln>
      </xdr:spPr>
      <xdr:txBody>
        <a:bodyPr wrap="none" lIns="18288" tIns="18288" rIns="0" bIns="0" anchor="t" upright="1">
          <a:spAutoFit/>
        </a:bodyPr>
        <a:lstStyle/>
        <a:p>
          <a:pPr algn="l" rtl="0">
            <a:defRPr sz="1000"/>
          </a:pPr>
          <a:r>
            <a:rPr lang="ja-JP" altLang="en-US" sz="1100" b="0" i="0" u="none" strike="noStrike" baseline="0">
              <a:solidFill>
                <a:srgbClr val="000000"/>
              </a:solidFill>
              <a:latin typeface="ＭＳ 明朝"/>
              <a:ea typeface="ＭＳ 明朝"/>
            </a:rPr>
            <a:t>この枠内に数値を入力して下さい。</a:t>
          </a:r>
        </a:p>
      </xdr:txBody>
    </xdr:sp>
    <xdr:clientData/>
  </xdr:oneCellAnchor>
  <xdr:twoCellAnchor>
    <xdr:from>
      <xdr:col>4</xdr:col>
      <xdr:colOff>28575</xdr:colOff>
      <xdr:row>6</xdr:row>
      <xdr:rowOff>123825</xdr:rowOff>
    </xdr:from>
    <xdr:to>
      <xdr:col>5</xdr:col>
      <xdr:colOff>161925</xdr:colOff>
      <xdr:row>9</xdr:row>
      <xdr:rowOff>19050</xdr:rowOff>
    </xdr:to>
    <xdr:sp macro="" textlink="">
      <xdr:nvSpPr>
        <xdr:cNvPr id="2054" name="Line 6"/>
        <xdr:cNvSpPr>
          <a:spLocks noChangeShapeType="1"/>
        </xdr:cNvSpPr>
      </xdr:nvSpPr>
      <xdr:spPr bwMode="auto">
        <a:xfrm flipH="1">
          <a:off x="3571875" y="1152525"/>
          <a:ext cx="1247775" cy="419100"/>
        </a:xfrm>
        <a:prstGeom prst="line">
          <a:avLst/>
        </a:prstGeom>
        <a:noFill/>
        <a:ln w="9525">
          <a:solidFill>
            <a:srgbClr val="000000"/>
          </a:solidFill>
          <a:prstDash val="solid"/>
          <a:round/>
          <a:headEnd/>
          <a:tailEnd type="triangle" w="med" len="med"/>
        </a:ln>
      </xdr:spPr>
    </xdr:sp>
    <xdr:clientData/>
  </xdr:twoCellAnchor>
  <xdr:oneCellAnchor>
    <xdr:from>
      <xdr:col>5</xdr:col>
      <xdr:colOff>485775</xdr:colOff>
      <xdr:row>8</xdr:row>
      <xdr:rowOff>95250</xdr:rowOff>
    </xdr:from>
    <xdr:ext cx="2063898" cy="568617"/>
    <xdr:sp macro="" textlink="">
      <xdr:nvSpPr>
        <xdr:cNvPr id="2055" name="テキスト 7"/>
        <xdr:cNvSpPr txBox="1">
          <a:spLocks noChangeArrowheads="1"/>
        </xdr:cNvSpPr>
      </xdr:nvSpPr>
      <xdr:spPr bwMode="auto">
        <a:xfrm>
          <a:off x="5164931" y="1428750"/>
          <a:ext cx="2063898" cy="568617"/>
        </a:xfrm>
        <a:prstGeom prst="rect">
          <a:avLst/>
        </a:prstGeom>
        <a:solidFill>
          <a:srgbClr val="FFFF99"/>
        </a:solidFill>
        <a:ln w="9525">
          <a:solidFill>
            <a:srgbClr val="000000"/>
          </a:solidFill>
          <a:prstDash val="solid"/>
          <a:miter lim="800000"/>
          <a:headEnd/>
          <a:tailEnd/>
        </a:ln>
      </xdr:spPr>
      <xdr:txBody>
        <a:bodyPr wrap="none" lIns="18288" tIns="18288" rIns="0" bIns="0" anchor="t" upright="1">
          <a:spAutoFit/>
        </a:bodyPr>
        <a:lstStyle/>
        <a:p>
          <a:pPr algn="l" rtl="0">
            <a:defRPr sz="1000"/>
          </a:pPr>
          <a:r>
            <a:rPr lang="el-GR" altLang="ja-JP" sz="1100" b="0" i="0" u="none" strike="noStrike" baseline="0">
              <a:solidFill>
                <a:srgbClr val="000000"/>
              </a:solidFill>
              <a:latin typeface="ＭＳ 明朝"/>
              <a:ea typeface="ＭＳ 明朝"/>
            </a:rPr>
            <a:t>Δ</a:t>
          </a:r>
          <a:r>
            <a:rPr lang="en-US" altLang="ja-JP" sz="1100" b="0" i="0" u="none" strike="noStrike" baseline="0">
              <a:solidFill>
                <a:srgbClr val="000000"/>
              </a:solidFill>
              <a:latin typeface="ＭＳ 明朝"/>
              <a:ea typeface="ＭＳ 明朝"/>
            </a:rPr>
            <a:t>t</a:t>
          </a:r>
          <a:r>
            <a:rPr lang="ja-JP" altLang="en-US" sz="1100" b="0" i="0" u="none" strike="noStrike" baseline="0">
              <a:solidFill>
                <a:srgbClr val="000000"/>
              </a:solidFill>
              <a:latin typeface="ＭＳ 明朝"/>
              <a:ea typeface="ＭＳ 明朝"/>
            </a:rPr>
            <a:t>は次の値を指定して下さい。</a:t>
          </a:r>
        </a:p>
        <a:p>
          <a:pPr algn="l" rtl="0">
            <a:defRPr sz="1000"/>
          </a:pPr>
          <a:r>
            <a:rPr lang="ja-JP" altLang="en-US" sz="1100" b="0" i="0" u="none" strike="noStrike" baseline="0">
              <a:solidFill>
                <a:srgbClr val="000000"/>
              </a:solidFill>
              <a:latin typeface="ＭＳ 明朝"/>
              <a:ea typeface="ＭＳ 明朝"/>
            </a:rPr>
            <a:t>　３ヶ月の場合　</a:t>
          </a:r>
          <a:r>
            <a:rPr lang="en-US" altLang="ja-JP" sz="1100" b="0" i="0" u="none" strike="noStrike" baseline="0">
              <a:solidFill>
                <a:srgbClr val="000000"/>
              </a:solidFill>
              <a:latin typeface="ＭＳ 明朝"/>
              <a:ea typeface="ＭＳ 明朝"/>
            </a:rPr>
            <a:t>0.25</a:t>
          </a:r>
        </a:p>
        <a:p>
          <a:pPr algn="l" rtl="0">
            <a:defRPr sz="1000"/>
          </a:pPr>
          <a:r>
            <a:rPr lang="ja-JP" altLang="en-US" sz="1100" b="0" i="0" u="none" strike="noStrike" baseline="0">
              <a:solidFill>
                <a:srgbClr val="000000"/>
              </a:solidFill>
              <a:latin typeface="ＭＳ 明朝"/>
              <a:ea typeface="ＭＳ 明朝"/>
            </a:rPr>
            <a:t>　６ヶ月の場合　</a:t>
          </a:r>
          <a:r>
            <a:rPr lang="en-US" altLang="ja-JP" sz="1100" b="0" i="0" u="none" strike="noStrike" baseline="0">
              <a:solidFill>
                <a:srgbClr val="000000"/>
              </a:solidFill>
              <a:latin typeface="ＭＳ 明朝"/>
              <a:ea typeface="ＭＳ 明朝"/>
            </a:rPr>
            <a:t>0.5</a:t>
          </a:r>
        </a:p>
      </xdr:txBody>
    </xdr:sp>
    <xdr:clientData/>
  </xdr:oneCellAnchor>
  <xdr:twoCellAnchor>
    <xdr:from>
      <xdr:col>4</xdr:col>
      <xdr:colOff>1104900</xdr:colOff>
      <xdr:row>11</xdr:row>
      <xdr:rowOff>76200</xdr:rowOff>
    </xdr:from>
    <xdr:to>
      <xdr:col>5</xdr:col>
      <xdr:colOff>485775</xdr:colOff>
      <xdr:row>11</xdr:row>
      <xdr:rowOff>76200</xdr:rowOff>
    </xdr:to>
    <xdr:sp macro="" textlink="">
      <xdr:nvSpPr>
        <xdr:cNvPr id="2056" name="Line 8"/>
        <xdr:cNvSpPr>
          <a:spLocks noChangeShapeType="1"/>
        </xdr:cNvSpPr>
      </xdr:nvSpPr>
      <xdr:spPr bwMode="auto">
        <a:xfrm flipH="1">
          <a:off x="4648200" y="1971675"/>
          <a:ext cx="495300" cy="0"/>
        </a:xfrm>
        <a:prstGeom prst="line">
          <a:avLst/>
        </a:prstGeom>
        <a:noFill/>
        <a:ln w="9525">
          <a:solidFill>
            <a:srgbClr val="000000"/>
          </a:solidFill>
          <a:prstDash val="solid"/>
          <a:round/>
          <a:headEnd/>
          <a:tailEnd type="triangle" w="med" len="med"/>
        </a:ln>
      </xdr:spPr>
    </xdr:sp>
    <xdr:clientData/>
  </xdr:twoCellAnchor>
  <xdr:twoCellAnchor>
    <xdr:from>
      <xdr:col>5</xdr:col>
      <xdr:colOff>0</xdr:colOff>
      <xdr:row>12</xdr:row>
      <xdr:rowOff>104775</xdr:rowOff>
    </xdr:from>
    <xdr:to>
      <xdr:col>5</xdr:col>
      <xdr:colOff>476250</xdr:colOff>
      <xdr:row>12</xdr:row>
      <xdr:rowOff>104775</xdr:rowOff>
    </xdr:to>
    <xdr:sp macro="" textlink="">
      <xdr:nvSpPr>
        <xdr:cNvPr id="2058" name="Line 10"/>
        <xdr:cNvSpPr>
          <a:spLocks noChangeShapeType="1"/>
        </xdr:cNvSpPr>
      </xdr:nvSpPr>
      <xdr:spPr bwMode="auto">
        <a:xfrm flipH="1">
          <a:off x="4657725" y="2171700"/>
          <a:ext cx="476250" cy="0"/>
        </a:xfrm>
        <a:prstGeom prst="line">
          <a:avLst/>
        </a:prstGeom>
        <a:noFill/>
        <a:ln w="9525">
          <a:solidFill>
            <a:srgbClr val="000000"/>
          </a:solidFill>
          <a:prstDash val="solid"/>
          <a:round/>
          <a:headEnd/>
          <a:tailEnd type="triangle" w="med" len="med"/>
        </a:ln>
      </xdr:spPr>
    </xdr:sp>
    <xdr:clientData/>
  </xdr:twoCellAnchor>
  <xdr:oneCellAnchor>
    <xdr:from>
      <xdr:col>5</xdr:col>
      <xdr:colOff>485775</xdr:colOff>
      <xdr:row>12</xdr:row>
      <xdr:rowOff>28575</xdr:rowOff>
    </xdr:from>
    <xdr:ext cx="3545073" cy="201850"/>
    <xdr:sp macro="" textlink="">
      <xdr:nvSpPr>
        <xdr:cNvPr id="2059" name="テキスト 5"/>
        <xdr:cNvSpPr txBox="1">
          <a:spLocks noChangeArrowheads="1"/>
        </xdr:cNvSpPr>
      </xdr:nvSpPr>
      <xdr:spPr bwMode="auto">
        <a:xfrm>
          <a:off x="5164931" y="2040731"/>
          <a:ext cx="3545073" cy="201850"/>
        </a:xfrm>
        <a:prstGeom prst="rect">
          <a:avLst/>
        </a:prstGeom>
        <a:solidFill>
          <a:srgbClr val="FFFF99"/>
        </a:solidFill>
        <a:ln w="9525">
          <a:solidFill>
            <a:srgbClr val="000000"/>
          </a:solidFill>
          <a:prstDash val="solid"/>
          <a:miter lim="800000"/>
          <a:headEnd/>
          <a:tailEnd/>
        </a:ln>
      </xdr:spPr>
      <xdr:txBody>
        <a:bodyPr wrap="none" lIns="18288" tIns="18288" rIns="0" bIns="0" anchor="t" upright="1">
          <a:spAutoFit/>
        </a:bodyPr>
        <a:lstStyle/>
        <a:p>
          <a:pPr algn="l" rtl="0">
            <a:defRPr sz="1000"/>
          </a:pPr>
          <a:r>
            <a:rPr lang="el-GR" altLang="ja-JP" sz="1100" b="0" i="0" u="none" strike="noStrike" baseline="0">
              <a:solidFill>
                <a:srgbClr val="000000"/>
              </a:solidFill>
              <a:latin typeface="ＭＳ 明朝"/>
              <a:ea typeface="ＭＳ 明朝"/>
            </a:rPr>
            <a:t>0(Δ</a:t>
          </a:r>
          <a:r>
            <a:rPr lang="en-US" altLang="ja-JP" sz="1100" b="0" i="0" u="none" strike="noStrike" baseline="0">
              <a:solidFill>
                <a:srgbClr val="000000"/>
              </a:solidFill>
              <a:latin typeface="ＭＳ 明朝"/>
              <a:ea typeface="ＭＳ 明朝"/>
            </a:rPr>
            <a:t>t</a:t>
          </a:r>
          <a:r>
            <a:rPr lang="ja-JP" altLang="en-US" sz="1100" b="0" i="0" u="none" strike="noStrike" baseline="0">
              <a:solidFill>
                <a:srgbClr val="000000"/>
              </a:solidFill>
              <a:latin typeface="ＭＳ 明朝"/>
              <a:ea typeface="ＭＳ 明朝"/>
            </a:rPr>
            <a:t>ｵｰﾀﾞｰ</a:t>
          </a:r>
          <a:r>
            <a:rPr lang="en-US" altLang="ja-JP" sz="1100" b="0" i="0" u="none" strike="noStrike" baseline="0">
              <a:solidFill>
                <a:srgbClr val="000000"/>
              </a:solidFill>
              <a:latin typeface="ＭＳ 明朝"/>
              <a:ea typeface="ＭＳ 明朝"/>
            </a:rPr>
            <a:t>)</a:t>
          </a:r>
          <a:r>
            <a:rPr lang="ja-JP" altLang="en-US" sz="1100" b="0" i="0" u="none" strike="noStrike" baseline="0">
              <a:solidFill>
                <a:srgbClr val="000000"/>
              </a:solidFill>
              <a:latin typeface="ＭＳ 明朝"/>
              <a:ea typeface="ＭＳ 明朝"/>
            </a:rPr>
            <a:t>または</a:t>
          </a:r>
          <a:r>
            <a:rPr lang="en-US" altLang="ja-JP" sz="1100" b="0" i="0" u="none" strike="noStrike" baseline="0">
              <a:solidFill>
                <a:srgbClr val="000000"/>
              </a:solidFill>
              <a:latin typeface="ＭＳ 明朝"/>
              <a:ea typeface="ＭＳ 明朝"/>
            </a:rPr>
            <a:t>1(</a:t>
          </a:r>
          <a:r>
            <a:rPr lang="ja-JP" altLang="en-US" sz="1100" b="0" i="0" u="none" strike="noStrike" baseline="0">
              <a:solidFill>
                <a:srgbClr val="000000"/>
              </a:solidFill>
              <a:latin typeface="ＭＳ 明朝"/>
              <a:ea typeface="ＭＳ 明朝"/>
            </a:rPr>
            <a:t>より正確な値</a:t>
          </a:r>
          <a:r>
            <a:rPr lang="en-US" altLang="ja-JP" sz="1100" b="0" i="0" u="none" strike="noStrike" baseline="0">
              <a:solidFill>
                <a:srgbClr val="000000"/>
              </a:solidFill>
              <a:latin typeface="ＭＳ 明朝"/>
              <a:ea typeface="ＭＳ 明朝"/>
            </a:rPr>
            <a:t>)</a:t>
          </a:r>
          <a:r>
            <a:rPr lang="ja-JP" altLang="en-US" sz="1100" b="0" i="0" u="none" strike="noStrike" baseline="0">
              <a:solidFill>
                <a:srgbClr val="000000"/>
              </a:solidFill>
              <a:latin typeface="ＭＳ 明朝"/>
              <a:ea typeface="ＭＳ 明朝"/>
            </a:rPr>
            <a:t>を入力して下さい。</a:t>
          </a:r>
        </a:p>
      </xdr:txBody>
    </xdr:sp>
    <xdr:clientData/>
  </xdr:oneCellAnchor>
  <xdr:twoCellAnchor>
    <xdr:from>
      <xdr:col>4</xdr:col>
      <xdr:colOff>38100</xdr:colOff>
      <xdr:row>14</xdr:row>
      <xdr:rowOff>9525</xdr:rowOff>
    </xdr:from>
    <xdr:to>
      <xdr:col>4</xdr:col>
      <xdr:colOff>371475</xdr:colOff>
      <xdr:row>18</xdr:row>
      <xdr:rowOff>161925</xdr:rowOff>
    </xdr:to>
    <xdr:sp macro="" textlink="">
      <xdr:nvSpPr>
        <xdr:cNvPr id="2060" name="図形 12"/>
        <xdr:cNvSpPr>
          <a:spLocks/>
        </xdr:cNvSpPr>
      </xdr:nvSpPr>
      <xdr:spPr bwMode="auto">
        <a:xfrm>
          <a:off x="3581400" y="2428875"/>
          <a:ext cx="333375" cy="838200"/>
        </a:xfrm>
        <a:custGeom>
          <a:avLst/>
          <a:gdLst/>
          <a:ahLst/>
          <a:cxnLst>
            <a:cxn ang="0">
              <a:pos x="839" y="0"/>
            </a:cxn>
            <a:cxn ang="0">
              <a:pos x="2438" y="52"/>
            </a:cxn>
            <a:cxn ang="0">
              <a:pos x="3906" y="157"/>
            </a:cxn>
            <a:cxn ang="0">
              <a:pos x="5216" y="315"/>
            </a:cxn>
            <a:cxn ang="0">
              <a:pos x="6318" y="498"/>
            </a:cxn>
            <a:cxn ang="0">
              <a:pos x="7209" y="708"/>
            </a:cxn>
            <a:cxn ang="0">
              <a:pos x="7812" y="944"/>
            </a:cxn>
            <a:cxn ang="0">
              <a:pos x="8127" y="1232"/>
            </a:cxn>
            <a:cxn ang="0">
              <a:pos x="8179" y="6816"/>
            </a:cxn>
            <a:cxn ang="0">
              <a:pos x="8336" y="7104"/>
            </a:cxn>
            <a:cxn ang="0">
              <a:pos x="8834" y="7340"/>
            </a:cxn>
            <a:cxn ang="0">
              <a:pos x="9568" y="7576"/>
            </a:cxn>
            <a:cxn ang="0">
              <a:pos x="10590" y="7785"/>
            </a:cxn>
            <a:cxn ang="0">
              <a:pos x="11796" y="7943"/>
            </a:cxn>
            <a:cxn ang="0">
              <a:pos x="13186" y="8074"/>
            </a:cxn>
            <a:cxn ang="0">
              <a:pos x="14733" y="8153"/>
            </a:cxn>
            <a:cxn ang="0">
              <a:pos x="16384" y="8179"/>
            </a:cxn>
            <a:cxn ang="0">
              <a:pos x="14733" y="8205"/>
            </a:cxn>
            <a:cxn ang="0">
              <a:pos x="13186" y="8284"/>
            </a:cxn>
            <a:cxn ang="0">
              <a:pos x="11796" y="8415"/>
            </a:cxn>
            <a:cxn ang="0">
              <a:pos x="10590" y="8599"/>
            </a:cxn>
            <a:cxn ang="0">
              <a:pos x="9568" y="8808"/>
            </a:cxn>
            <a:cxn ang="0">
              <a:pos x="8834" y="9044"/>
            </a:cxn>
            <a:cxn ang="0">
              <a:pos x="8336" y="9280"/>
            </a:cxn>
            <a:cxn ang="0">
              <a:pos x="8179" y="9568"/>
            </a:cxn>
            <a:cxn ang="0">
              <a:pos x="8127" y="15152"/>
            </a:cxn>
            <a:cxn ang="0">
              <a:pos x="7812" y="15440"/>
            </a:cxn>
            <a:cxn ang="0">
              <a:pos x="7209" y="15676"/>
            </a:cxn>
            <a:cxn ang="0">
              <a:pos x="6318" y="15886"/>
            </a:cxn>
            <a:cxn ang="0">
              <a:pos x="5216" y="16069"/>
            </a:cxn>
            <a:cxn ang="0">
              <a:pos x="3906" y="16227"/>
            </a:cxn>
            <a:cxn ang="0">
              <a:pos x="2438" y="16332"/>
            </a:cxn>
            <a:cxn ang="0">
              <a:pos x="839" y="16384"/>
            </a:cxn>
          </a:cxnLst>
          <a:rect l="0" t="0" r="r" b="b"/>
          <a:pathLst>
            <a:path w="16384" h="16384">
              <a:moveTo>
                <a:pt x="0" y="0"/>
              </a:moveTo>
              <a:lnTo>
                <a:pt x="839" y="0"/>
              </a:lnTo>
              <a:lnTo>
                <a:pt x="1651" y="27"/>
              </a:lnTo>
              <a:lnTo>
                <a:pt x="2438" y="52"/>
              </a:lnTo>
              <a:lnTo>
                <a:pt x="3198" y="105"/>
              </a:lnTo>
              <a:lnTo>
                <a:pt x="3906" y="157"/>
              </a:lnTo>
              <a:lnTo>
                <a:pt x="4588" y="236"/>
              </a:lnTo>
              <a:lnTo>
                <a:pt x="5216" y="315"/>
              </a:lnTo>
              <a:lnTo>
                <a:pt x="5794" y="393"/>
              </a:lnTo>
              <a:lnTo>
                <a:pt x="6318" y="498"/>
              </a:lnTo>
              <a:lnTo>
                <a:pt x="6789" y="603"/>
              </a:lnTo>
              <a:lnTo>
                <a:pt x="7209" y="708"/>
              </a:lnTo>
              <a:lnTo>
                <a:pt x="7550" y="839"/>
              </a:lnTo>
              <a:lnTo>
                <a:pt x="7812" y="944"/>
              </a:lnTo>
              <a:lnTo>
                <a:pt x="8021" y="1075"/>
              </a:lnTo>
              <a:lnTo>
                <a:pt x="8127" y="1232"/>
              </a:lnTo>
              <a:lnTo>
                <a:pt x="8179" y="1363"/>
              </a:lnTo>
              <a:lnTo>
                <a:pt x="8179" y="6816"/>
              </a:lnTo>
              <a:lnTo>
                <a:pt x="8231" y="6947"/>
              </a:lnTo>
              <a:lnTo>
                <a:pt x="8336" y="7104"/>
              </a:lnTo>
              <a:lnTo>
                <a:pt x="8546" y="7236"/>
              </a:lnTo>
              <a:lnTo>
                <a:pt x="8834" y="7340"/>
              </a:lnTo>
              <a:lnTo>
                <a:pt x="9175" y="7471"/>
              </a:lnTo>
              <a:lnTo>
                <a:pt x="9568" y="7576"/>
              </a:lnTo>
              <a:lnTo>
                <a:pt x="10040" y="7681"/>
              </a:lnTo>
              <a:lnTo>
                <a:pt x="10590" y="7785"/>
              </a:lnTo>
              <a:lnTo>
                <a:pt x="11168" y="7864"/>
              </a:lnTo>
              <a:lnTo>
                <a:pt x="11796" y="7943"/>
              </a:lnTo>
              <a:lnTo>
                <a:pt x="12478" y="8021"/>
              </a:lnTo>
              <a:lnTo>
                <a:pt x="13186" y="8074"/>
              </a:lnTo>
              <a:lnTo>
                <a:pt x="13946" y="8127"/>
              </a:lnTo>
              <a:lnTo>
                <a:pt x="14733" y="8153"/>
              </a:lnTo>
              <a:lnTo>
                <a:pt x="15545" y="8179"/>
              </a:lnTo>
              <a:lnTo>
                <a:pt x="16384" y="8179"/>
              </a:lnTo>
              <a:lnTo>
                <a:pt x="15545" y="8179"/>
              </a:lnTo>
              <a:lnTo>
                <a:pt x="14733" y="8205"/>
              </a:lnTo>
              <a:lnTo>
                <a:pt x="13946" y="8231"/>
              </a:lnTo>
              <a:lnTo>
                <a:pt x="13186" y="8284"/>
              </a:lnTo>
              <a:lnTo>
                <a:pt x="12478" y="8336"/>
              </a:lnTo>
              <a:lnTo>
                <a:pt x="11796" y="8415"/>
              </a:lnTo>
              <a:lnTo>
                <a:pt x="11168" y="8493"/>
              </a:lnTo>
              <a:lnTo>
                <a:pt x="10590" y="8599"/>
              </a:lnTo>
              <a:lnTo>
                <a:pt x="10040" y="8677"/>
              </a:lnTo>
              <a:lnTo>
                <a:pt x="9568" y="8808"/>
              </a:lnTo>
              <a:lnTo>
                <a:pt x="9175" y="8913"/>
              </a:lnTo>
              <a:lnTo>
                <a:pt x="8834" y="9044"/>
              </a:lnTo>
              <a:lnTo>
                <a:pt x="8546" y="9148"/>
              </a:lnTo>
              <a:lnTo>
                <a:pt x="8336" y="9280"/>
              </a:lnTo>
              <a:lnTo>
                <a:pt x="8231" y="9437"/>
              </a:lnTo>
              <a:lnTo>
                <a:pt x="8179" y="9568"/>
              </a:lnTo>
              <a:lnTo>
                <a:pt x="8179" y="15021"/>
              </a:lnTo>
              <a:lnTo>
                <a:pt x="8127" y="15152"/>
              </a:lnTo>
              <a:lnTo>
                <a:pt x="8021" y="15309"/>
              </a:lnTo>
              <a:lnTo>
                <a:pt x="7812" y="15440"/>
              </a:lnTo>
              <a:lnTo>
                <a:pt x="7550" y="15545"/>
              </a:lnTo>
              <a:lnTo>
                <a:pt x="7209" y="15676"/>
              </a:lnTo>
              <a:lnTo>
                <a:pt x="6789" y="15781"/>
              </a:lnTo>
              <a:lnTo>
                <a:pt x="6318" y="15886"/>
              </a:lnTo>
              <a:lnTo>
                <a:pt x="5794" y="15991"/>
              </a:lnTo>
              <a:lnTo>
                <a:pt x="5216" y="16069"/>
              </a:lnTo>
              <a:lnTo>
                <a:pt x="4588" y="16148"/>
              </a:lnTo>
              <a:lnTo>
                <a:pt x="3906" y="16227"/>
              </a:lnTo>
              <a:lnTo>
                <a:pt x="3198" y="16279"/>
              </a:lnTo>
              <a:lnTo>
                <a:pt x="2438" y="16332"/>
              </a:lnTo>
              <a:lnTo>
                <a:pt x="1651" y="16357"/>
              </a:lnTo>
              <a:lnTo>
                <a:pt x="839" y="16384"/>
              </a:lnTo>
              <a:lnTo>
                <a:pt x="0" y="16384"/>
              </a:lnTo>
            </a:path>
          </a:pathLst>
        </a:custGeom>
        <a:noFill/>
        <a:ln w="9525">
          <a:solidFill>
            <a:srgbClr val="000000"/>
          </a:solidFill>
          <a:prstDash val="solid"/>
          <a:round/>
          <a:headEnd/>
          <a:tailEnd/>
        </a:ln>
      </xdr:spPr>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352425</xdr:colOff>
      <xdr:row>1</xdr:row>
      <xdr:rowOff>9525</xdr:rowOff>
    </xdr:from>
    <xdr:to>
      <xdr:col>3</xdr:col>
      <xdr:colOff>0</xdr:colOff>
      <xdr:row>5</xdr:row>
      <xdr:rowOff>133350</xdr:rowOff>
    </xdr:to>
    <xdr:sp macro="" textlink="">
      <xdr:nvSpPr>
        <xdr:cNvPr id="3073" name="テキスト 1"/>
        <xdr:cNvSpPr>
          <a:spLocks noChangeArrowheads="1"/>
        </xdr:cNvSpPr>
      </xdr:nvSpPr>
      <xdr:spPr bwMode="auto">
        <a:xfrm>
          <a:off x="352425" y="180975"/>
          <a:ext cx="4581525" cy="809625"/>
        </a:xfrm>
        <a:prstGeom prst="roundRect">
          <a:avLst>
            <a:gd name="adj" fmla="val 16667"/>
          </a:avLst>
        </a:prstGeom>
        <a:solidFill>
          <a:srgbClr val="CC99FF"/>
        </a:solidFill>
        <a:ln w="9525">
          <a:solidFill>
            <a:srgbClr val="000000"/>
          </a:solidFill>
          <a:prstDash val="solid"/>
          <a:round/>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000000"/>
              </a:solidFill>
              <a:latin typeface="ＭＳ 明朝"/>
              <a:ea typeface="ＭＳ 明朝"/>
            </a:rPr>
            <a:t>プライシング</a:t>
          </a:r>
        </a:p>
        <a:p>
          <a:pPr algn="ctr" rtl="0">
            <a:defRPr sz="1000"/>
          </a:pPr>
          <a:endParaRPr lang="ja-JP" altLang="en-US" sz="1100" b="1" i="0" u="none" strike="noStrike" baseline="0">
            <a:solidFill>
              <a:srgbClr val="000000"/>
            </a:solidFill>
            <a:latin typeface="ＭＳ 明朝"/>
            <a:ea typeface="ＭＳ 明朝"/>
          </a:endParaRPr>
        </a:p>
        <a:p>
          <a:pPr algn="ctr" rtl="0">
            <a:defRPr sz="1000"/>
          </a:pPr>
          <a:r>
            <a:rPr lang="ja-JP" altLang="en-US" sz="1100" b="1" i="0" u="none" strike="noStrike" baseline="0">
              <a:solidFill>
                <a:srgbClr val="000000"/>
              </a:solidFill>
              <a:latin typeface="ＭＳ 明朝"/>
              <a:ea typeface="ＭＳ 明朝"/>
            </a:rPr>
            <a:t>ここではツリーを用いて</a:t>
          </a:r>
        </a:p>
        <a:p>
          <a:pPr algn="ctr" rtl="0">
            <a:defRPr sz="1000"/>
          </a:pPr>
          <a:r>
            <a:rPr lang="ja-JP" altLang="en-US" sz="1100" b="1" i="0" u="none" strike="noStrike" baseline="0">
              <a:solidFill>
                <a:srgbClr val="000000"/>
              </a:solidFill>
              <a:latin typeface="ＭＳ 明朝"/>
              <a:ea typeface="ＭＳ 明朝"/>
            </a:rPr>
            <a:t>商品のプライシングを行います。</a:t>
          </a:r>
        </a:p>
      </xdr:txBody>
    </xdr:sp>
    <xdr:clientData/>
  </xdr:twoCellAnchor>
  <xdr:oneCellAnchor>
    <xdr:from>
      <xdr:col>5</xdr:col>
      <xdr:colOff>0</xdr:colOff>
      <xdr:row>9</xdr:row>
      <xdr:rowOff>133350</xdr:rowOff>
    </xdr:from>
    <xdr:ext cx="1524000" cy="571500"/>
    <xdr:sp macro="" textlink="">
      <xdr:nvSpPr>
        <xdr:cNvPr id="3074" name="テキスト 2"/>
        <xdr:cNvSpPr txBox="1">
          <a:spLocks noChangeArrowheads="1"/>
        </xdr:cNvSpPr>
      </xdr:nvSpPr>
      <xdr:spPr bwMode="auto">
        <a:xfrm>
          <a:off x="6886575" y="1676400"/>
          <a:ext cx="1514475" cy="590550"/>
        </a:xfrm>
        <a:prstGeom prst="rect">
          <a:avLst/>
        </a:prstGeom>
        <a:solidFill>
          <a:srgbClr val="FFFF99"/>
        </a:solidFill>
        <a:ln w="9525">
          <a:solidFill>
            <a:srgbClr val="000000"/>
          </a:solidFill>
          <a:prstDash val="solid"/>
          <a:miter lim="800000"/>
          <a:headEnd/>
          <a:tailEnd/>
        </a:ln>
      </xdr:spPr>
      <xdr:txBody>
        <a:bodyPr wrap="none" lIns="18288" tIns="18288" rIns="0" bIns="0" anchor="t" upright="1">
          <a:spAutoFit/>
        </a:bodyPr>
        <a:lstStyle/>
        <a:p>
          <a:pPr algn="l" rtl="0">
            <a:defRPr sz="1000"/>
          </a:pPr>
          <a:r>
            <a:rPr lang="ja-JP" altLang="en-US" sz="1100" b="0" i="0" u="none" strike="noStrike" baseline="0">
              <a:solidFill>
                <a:srgbClr val="000000"/>
              </a:solidFill>
              <a:latin typeface="ＭＳ 明朝"/>
              <a:ea typeface="ＭＳ 明朝"/>
            </a:rPr>
            <a:t>３ヶ月</a:t>
          </a:r>
          <a:r>
            <a:rPr lang="ja-JP" altLang="en-US" sz="1100" b="0" i="0" u="none" strike="noStrike" baseline="0">
              <a:solidFill>
                <a:srgbClr val="000000"/>
              </a:solidFill>
              <a:latin typeface="Century"/>
            </a:rPr>
            <a:t> </a:t>
          </a:r>
          <a:r>
            <a:rPr lang="en-US" altLang="ja-JP" sz="1100" b="0" i="0" u="none" strike="noStrike" baseline="0">
              <a:solidFill>
                <a:srgbClr val="000000"/>
              </a:solidFill>
              <a:latin typeface="Century"/>
            </a:rPr>
            <a:t>LIBOR </a:t>
          </a:r>
          <a:r>
            <a:rPr lang="ja-JP" altLang="en-US" sz="1100" b="0" i="0" u="none" strike="noStrike" baseline="0">
              <a:solidFill>
                <a:srgbClr val="000000"/>
              </a:solidFill>
              <a:latin typeface="ＭＳ 明朝"/>
              <a:ea typeface="ＭＳ 明朝"/>
            </a:rPr>
            <a:t>　：３</a:t>
          </a:r>
        </a:p>
        <a:p>
          <a:pPr algn="l" rtl="0">
            <a:defRPr sz="1000"/>
          </a:pPr>
          <a:r>
            <a:rPr lang="ja-JP" altLang="en-US" sz="1100" b="0" i="0" u="none" strike="noStrike" baseline="0">
              <a:solidFill>
                <a:srgbClr val="000000"/>
              </a:solidFill>
              <a:latin typeface="ＭＳ 明朝"/>
              <a:ea typeface="ＭＳ 明朝"/>
            </a:rPr>
            <a:t>６ヶ月</a:t>
          </a:r>
          <a:r>
            <a:rPr lang="ja-JP" altLang="en-US" sz="1100" b="0" i="0" u="none" strike="noStrike" baseline="0">
              <a:solidFill>
                <a:srgbClr val="000000"/>
              </a:solidFill>
              <a:latin typeface="Century"/>
            </a:rPr>
            <a:t> </a:t>
          </a:r>
          <a:r>
            <a:rPr lang="en-US" altLang="ja-JP" sz="1100" b="0" i="0" u="none" strike="noStrike" baseline="0">
              <a:solidFill>
                <a:srgbClr val="000000"/>
              </a:solidFill>
              <a:latin typeface="Century"/>
            </a:rPr>
            <a:t>LIBOR </a:t>
          </a:r>
          <a:r>
            <a:rPr lang="ja-JP" altLang="en-US" sz="1100" b="0" i="0" u="none" strike="noStrike" baseline="0">
              <a:solidFill>
                <a:srgbClr val="000000"/>
              </a:solidFill>
              <a:latin typeface="ＭＳ 明朝"/>
              <a:ea typeface="ＭＳ 明朝"/>
            </a:rPr>
            <a:t>　：６</a:t>
          </a:r>
        </a:p>
        <a:p>
          <a:pPr algn="l" rtl="0">
            <a:defRPr sz="1000"/>
          </a:pPr>
          <a:r>
            <a:rPr lang="en-US" altLang="ja-JP" sz="1100" b="0" i="0" u="none" strike="noStrike" baseline="0">
              <a:solidFill>
                <a:srgbClr val="000000"/>
              </a:solidFill>
              <a:latin typeface="Century"/>
            </a:rPr>
            <a:t>12</a:t>
          </a:r>
          <a:r>
            <a:rPr lang="ja-JP" altLang="en-US" sz="1100" b="0" i="0" u="none" strike="noStrike" baseline="0">
              <a:solidFill>
                <a:srgbClr val="000000"/>
              </a:solidFill>
              <a:latin typeface="ＭＳ 明朝"/>
              <a:ea typeface="ＭＳ 明朝"/>
            </a:rPr>
            <a:t>ヶ月</a:t>
          </a:r>
          <a:r>
            <a:rPr lang="ja-JP" altLang="en-US" sz="1100" b="0" i="0" u="none" strike="noStrike" baseline="0">
              <a:solidFill>
                <a:srgbClr val="000000"/>
              </a:solidFill>
              <a:latin typeface="Century"/>
            </a:rPr>
            <a:t> </a:t>
          </a:r>
          <a:r>
            <a:rPr lang="en-US" altLang="ja-JP" sz="1100" b="0" i="0" u="none" strike="noStrike" baseline="0">
              <a:solidFill>
                <a:srgbClr val="000000"/>
              </a:solidFill>
              <a:latin typeface="Century"/>
            </a:rPr>
            <a:t>LIBOR </a:t>
          </a:r>
          <a:r>
            <a:rPr lang="ja-JP" altLang="en-US" sz="1100" b="0" i="0" u="none" strike="noStrike" baseline="0">
              <a:solidFill>
                <a:srgbClr val="000000"/>
              </a:solidFill>
              <a:latin typeface="ＭＳ 明朝"/>
              <a:ea typeface="ＭＳ 明朝"/>
            </a:rPr>
            <a:t>　：</a:t>
          </a:r>
          <a:r>
            <a:rPr lang="en-US" altLang="ja-JP" sz="1100" b="0" i="0" u="none" strike="noStrike" baseline="0">
              <a:solidFill>
                <a:srgbClr val="000000"/>
              </a:solidFill>
              <a:latin typeface="Century"/>
            </a:rPr>
            <a:t>12</a:t>
          </a:r>
        </a:p>
      </xdr:txBody>
    </xdr:sp>
    <xdr:clientData/>
  </xdr:oneCellAnchor>
  <xdr:twoCellAnchor>
    <xdr:from>
      <xdr:col>4</xdr:col>
      <xdr:colOff>0</xdr:colOff>
      <xdr:row>11</xdr:row>
      <xdr:rowOff>57150</xdr:rowOff>
    </xdr:from>
    <xdr:to>
      <xdr:col>5</xdr:col>
      <xdr:colOff>0</xdr:colOff>
      <xdr:row>13</xdr:row>
      <xdr:rowOff>95250</xdr:rowOff>
    </xdr:to>
    <xdr:sp macro="" textlink="">
      <xdr:nvSpPr>
        <xdr:cNvPr id="3075" name="Line 3"/>
        <xdr:cNvSpPr>
          <a:spLocks noChangeShapeType="1"/>
        </xdr:cNvSpPr>
      </xdr:nvSpPr>
      <xdr:spPr bwMode="auto">
        <a:xfrm flipH="1">
          <a:off x="6200775" y="1943100"/>
          <a:ext cx="685800" cy="381000"/>
        </a:xfrm>
        <a:prstGeom prst="line">
          <a:avLst/>
        </a:prstGeom>
        <a:noFill/>
        <a:ln w="9525">
          <a:solidFill>
            <a:srgbClr val="000000"/>
          </a:solidFill>
          <a:prstDash val="solid"/>
          <a:round/>
          <a:headEnd/>
          <a:tailEnd type="triangle" w="med" len="med"/>
        </a:ln>
      </xdr:spPr>
    </xdr:sp>
    <xdr:clientData/>
  </xdr:twoCellAnchor>
  <xdr:oneCellAnchor>
    <xdr:from>
      <xdr:col>5</xdr:col>
      <xdr:colOff>9525</xdr:colOff>
      <xdr:row>13</xdr:row>
      <xdr:rowOff>76200</xdr:rowOff>
    </xdr:from>
    <xdr:ext cx="1570173" cy="568617"/>
    <xdr:sp macro="" textlink="">
      <xdr:nvSpPr>
        <xdr:cNvPr id="3077" name="テキスト 5"/>
        <xdr:cNvSpPr txBox="1">
          <a:spLocks noChangeArrowheads="1"/>
        </xdr:cNvSpPr>
      </xdr:nvSpPr>
      <xdr:spPr bwMode="auto">
        <a:xfrm>
          <a:off x="6903244" y="2243138"/>
          <a:ext cx="1570173" cy="568617"/>
        </a:xfrm>
        <a:prstGeom prst="rect">
          <a:avLst/>
        </a:prstGeom>
        <a:solidFill>
          <a:srgbClr val="FFFF99"/>
        </a:solidFill>
        <a:ln w="9525">
          <a:solidFill>
            <a:srgbClr val="000000"/>
          </a:solidFill>
          <a:prstDash val="solid"/>
          <a:miter lim="800000"/>
          <a:headEnd/>
          <a:tailEnd/>
        </a:ln>
      </xdr:spPr>
      <xdr:txBody>
        <a:bodyPr wrap="none" lIns="18288" tIns="18288" rIns="0" bIns="0" anchor="t" upright="1">
          <a:spAutoFit/>
        </a:bodyPr>
        <a:lstStyle/>
        <a:p>
          <a:pPr algn="l" rtl="0">
            <a:defRPr sz="1000"/>
          </a:pPr>
          <a:r>
            <a:rPr lang="ja-JP" altLang="en-US" sz="1100" b="0" i="0" u="none" strike="noStrike" baseline="0">
              <a:solidFill>
                <a:srgbClr val="000000"/>
              </a:solidFill>
              <a:latin typeface="ＭＳ 明朝"/>
              <a:ea typeface="ＭＳ 明朝"/>
            </a:rPr>
            <a:t>スワップ　　　　　：１</a:t>
          </a:r>
        </a:p>
        <a:p>
          <a:pPr algn="l" rtl="0">
            <a:defRPr sz="1000"/>
          </a:pPr>
          <a:r>
            <a:rPr lang="ja-JP" altLang="en-US" sz="1100" b="0" i="0" u="none" strike="noStrike" baseline="0">
              <a:solidFill>
                <a:srgbClr val="000000"/>
              </a:solidFill>
              <a:latin typeface="ＭＳ 明朝"/>
              <a:ea typeface="ＭＳ 明朝"/>
            </a:rPr>
            <a:t>キャップ／フロアー：２</a:t>
          </a:r>
        </a:p>
        <a:p>
          <a:pPr algn="l" rtl="0">
            <a:defRPr sz="1000"/>
          </a:pPr>
          <a:r>
            <a:rPr lang="ja-JP" altLang="en-US" sz="1100" b="0" i="0" u="none" strike="noStrike" baseline="0">
              <a:solidFill>
                <a:srgbClr val="000000"/>
              </a:solidFill>
              <a:latin typeface="ＭＳ 明朝"/>
              <a:ea typeface="ＭＳ 明朝"/>
            </a:rPr>
            <a:t>スワップション　　：３</a:t>
          </a:r>
        </a:p>
      </xdr:txBody>
    </xdr:sp>
    <xdr:clientData/>
  </xdr:oneCellAnchor>
  <xdr:oneCellAnchor>
    <xdr:from>
      <xdr:col>5</xdr:col>
      <xdr:colOff>0</xdr:colOff>
      <xdr:row>17</xdr:row>
      <xdr:rowOff>9525</xdr:rowOff>
    </xdr:from>
    <xdr:ext cx="1570173" cy="385234"/>
    <xdr:sp macro="" textlink="">
      <xdr:nvSpPr>
        <xdr:cNvPr id="3078" name="テキスト 6"/>
        <xdr:cNvSpPr txBox="1">
          <a:spLocks noChangeArrowheads="1"/>
        </xdr:cNvSpPr>
      </xdr:nvSpPr>
      <xdr:spPr bwMode="auto">
        <a:xfrm>
          <a:off x="6893719" y="2843213"/>
          <a:ext cx="1570173" cy="385234"/>
        </a:xfrm>
        <a:prstGeom prst="rect">
          <a:avLst/>
        </a:prstGeom>
        <a:solidFill>
          <a:srgbClr val="FFFF99"/>
        </a:solidFill>
        <a:ln w="9525">
          <a:solidFill>
            <a:srgbClr val="000000"/>
          </a:solidFill>
          <a:prstDash val="solid"/>
          <a:miter lim="800000"/>
          <a:headEnd/>
          <a:tailEnd/>
        </a:ln>
      </xdr:spPr>
      <xdr:txBody>
        <a:bodyPr wrap="none" lIns="18288" tIns="18288" rIns="0" bIns="0" anchor="t" upright="1">
          <a:spAutoFit/>
        </a:bodyPr>
        <a:lstStyle/>
        <a:p>
          <a:pPr algn="l" rtl="0">
            <a:defRPr sz="1000"/>
          </a:pPr>
          <a:r>
            <a:rPr lang="ja-JP" altLang="en-US" sz="1100" b="0" i="0" u="none" strike="noStrike" baseline="0">
              <a:solidFill>
                <a:srgbClr val="000000"/>
              </a:solidFill>
              <a:latin typeface="ＭＳ 明朝"/>
              <a:ea typeface="ＭＳ 明朝"/>
            </a:rPr>
            <a:t>固定受け</a:t>
          </a:r>
          <a:r>
            <a:rPr lang="en-US" altLang="ja-JP" sz="1100" b="0" i="0" u="none" strike="noStrike" baseline="0">
              <a:solidFill>
                <a:srgbClr val="000000"/>
              </a:solidFill>
              <a:latin typeface="ＭＳ 明朝"/>
              <a:ea typeface="ＭＳ 明朝"/>
            </a:rPr>
            <a:t>/</a:t>
          </a:r>
          <a:r>
            <a:rPr lang="ja-JP" altLang="en-US" sz="1100" b="0" i="0" u="none" strike="noStrike" baseline="0">
              <a:solidFill>
                <a:srgbClr val="000000"/>
              </a:solidFill>
              <a:latin typeface="ＭＳ 明朝"/>
              <a:ea typeface="ＭＳ 明朝"/>
            </a:rPr>
            <a:t>変動払い ：１</a:t>
          </a:r>
        </a:p>
        <a:p>
          <a:pPr algn="l" rtl="0">
            <a:defRPr sz="1000"/>
          </a:pPr>
          <a:r>
            <a:rPr lang="ja-JP" altLang="en-US" sz="1100" b="0" i="0" u="none" strike="noStrike" baseline="0">
              <a:solidFill>
                <a:srgbClr val="000000"/>
              </a:solidFill>
              <a:latin typeface="ＭＳ 明朝"/>
              <a:ea typeface="ＭＳ 明朝"/>
            </a:rPr>
            <a:t>固定払い</a:t>
          </a:r>
          <a:r>
            <a:rPr lang="en-US" altLang="ja-JP" sz="1100" b="0" i="0" u="none" strike="noStrike" baseline="0">
              <a:solidFill>
                <a:srgbClr val="000000"/>
              </a:solidFill>
              <a:latin typeface="ＭＳ 明朝"/>
              <a:ea typeface="ＭＳ 明朝"/>
            </a:rPr>
            <a:t>/</a:t>
          </a:r>
          <a:r>
            <a:rPr lang="ja-JP" altLang="en-US" sz="1100" b="0" i="0" u="none" strike="noStrike" baseline="0">
              <a:solidFill>
                <a:srgbClr val="000000"/>
              </a:solidFill>
              <a:latin typeface="ＭＳ 明朝"/>
              <a:ea typeface="ＭＳ 明朝"/>
            </a:rPr>
            <a:t>変動受け ：</a:t>
          </a:r>
          <a:r>
            <a:rPr lang="en-US" altLang="ja-JP" sz="1100" b="0" i="0" u="none" strike="noStrike" baseline="0">
              <a:solidFill>
                <a:srgbClr val="000000"/>
              </a:solidFill>
              <a:latin typeface="ＭＳ 明朝"/>
              <a:ea typeface="ＭＳ 明朝"/>
            </a:rPr>
            <a:t>-1</a:t>
          </a:r>
        </a:p>
      </xdr:txBody>
    </xdr:sp>
    <xdr:clientData/>
  </xdr:oneCellAnchor>
  <xdr:oneCellAnchor>
    <xdr:from>
      <xdr:col>5</xdr:col>
      <xdr:colOff>0</xdr:colOff>
      <xdr:row>19</xdr:row>
      <xdr:rowOff>28575</xdr:rowOff>
    </xdr:from>
    <xdr:ext cx="1570173" cy="385234"/>
    <xdr:sp macro="" textlink="">
      <xdr:nvSpPr>
        <xdr:cNvPr id="3079" name="テキスト 7"/>
        <xdr:cNvSpPr txBox="1">
          <a:spLocks noChangeArrowheads="1"/>
        </xdr:cNvSpPr>
      </xdr:nvSpPr>
      <xdr:spPr bwMode="auto">
        <a:xfrm>
          <a:off x="6893719" y="3195638"/>
          <a:ext cx="1570173" cy="385234"/>
        </a:xfrm>
        <a:prstGeom prst="rect">
          <a:avLst/>
        </a:prstGeom>
        <a:solidFill>
          <a:srgbClr val="FFFF99"/>
        </a:solidFill>
        <a:ln w="9525">
          <a:solidFill>
            <a:srgbClr val="000000"/>
          </a:solidFill>
          <a:prstDash val="solid"/>
          <a:miter lim="800000"/>
          <a:headEnd/>
          <a:tailEnd/>
        </a:ln>
      </xdr:spPr>
      <xdr:txBody>
        <a:bodyPr wrap="none" lIns="18288" tIns="18288" rIns="0" bIns="0" anchor="t" upright="1">
          <a:spAutoFit/>
        </a:bodyPr>
        <a:lstStyle/>
        <a:p>
          <a:pPr algn="l" rtl="0">
            <a:defRPr sz="1000"/>
          </a:pPr>
          <a:r>
            <a:rPr lang="ja-JP" altLang="en-US" sz="1100" b="0" i="0" u="none" strike="noStrike" baseline="0">
              <a:solidFill>
                <a:srgbClr val="000000"/>
              </a:solidFill>
              <a:latin typeface="ＭＳ 明朝"/>
              <a:ea typeface="ＭＳ 明朝"/>
            </a:rPr>
            <a:t>フロアー　　　　  ：１</a:t>
          </a:r>
        </a:p>
        <a:p>
          <a:pPr algn="l" rtl="0">
            <a:defRPr sz="1000"/>
          </a:pPr>
          <a:r>
            <a:rPr lang="ja-JP" altLang="en-US" sz="1100" b="0" i="0" u="none" strike="noStrike" baseline="0">
              <a:solidFill>
                <a:srgbClr val="000000"/>
              </a:solidFill>
              <a:latin typeface="ＭＳ 明朝"/>
              <a:ea typeface="ＭＳ 明朝"/>
            </a:rPr>
            <a:t>キャップ　　　　  ：</a:t>
          </a:r>
          <a:r>
            <a:rPr lang="en-US" altLang="ja-JP" sz="1100" b="0" i="0" u="none" strike="noStrike" baseline="0">
              <a:solidFill>
                <a:srgbClr val="000000"/>
              </a:solidFill>
              <a:latin typeface="ＭＳ 明朝"/>
              <a:ea typeface="ＭＳ 明朝"/>
            </a:rPr>
            <a:t>-1</a:t>
          </a:r>
        </a:p>
      </xdr:txBody>
    </xdr:sp>
    <xdr:clientData/>
  </xdr:oneCellAnchor>
  <xdr:twoCellAnchor>
    <xdr:from>
      <xdr:col>4</xdr:col>
      <xdr:colOff>9525</xdr:colOff>
      <xdr:row>14</xdr:row>
      <xdr:rowOff>152400</xdr:rowOff>
    </xdr:from>
    <xdr:to>
      <xdr:col>5</xdr:col>
      <xdr:colOff>9525</xdr:colOff>
      <xdr:row>16</xdr:row>
      <xdr:rowOff>76200</xdr:rowOff>
    </xdr:to>
    <xdr:sp macro="" textlink="">
      <xdr:nvSpPr>
        <xdr:cNvPr id="3082" name="Line 10"/>
        <xdr:cNvSpPr>
          <a:spLocks noChangeShapeType="1"/>
        </xdr:cNvSpPr>
      </xdr:nvSpPr>
      <xdr:spPr bwMode="auto">
        <a:xfrm flipH="1">
          <a:off x="6210300" y="2552700"/>
          <a:ext cx="685800" cy="266700"/>
        </a:xfrm>
        <a:prstGeom prst="line">
          <a:avLst/>
        </a:prstGeom>
        <a:noFill/>
        <a:ln w="9525">
          <a:solidFill>
            <a:srgbClr val="000000"/>
          </a:solidFill>
          <a:prstDash val="solid"/>
          <a:round/>
          <a:headEnd/>
          <a:tailEnd type="triangle" w="med" len="med"/>
        </a:ln>
      </xdr:spPr>
    </xdr:sp>
    <xdr:clientData/>
  </xdr:twoCellAnchor>
  <xdr:twoCellAnchor>
    <xdr:from>
      <xdr:col>4</xdr:col>
      <xdr:colOff>0</xdr:colOff>
      <xdr:row>17</xdr:row>
      <xdr:rowOff>95250</xdr:rowOff>
    </xdr:from>
    <xdr:to>
      <xdr:col>4</xdr:col>
      <xdr:colOff>676275</xdr:colOff>
      <xdr:row>18</xdr:row>
      <xdr:rowOff>9525</xdr:rowOff>
    </xdr:to>
    <xdr:sp macro="" textlink="">
      <xdr:nvSpPr>
        <xdr:cNvPr id="3084" name="Line 12"/>
        <xdr:cNvSpPr>
          <a:spLocks noChangeShapeType="1"/>
        </xdr:cNvSpPr>
      </xdr:nvSpPr>
      <xdr:spPr bwMode="auto">
        <a:xfrm flipH="1" flipV="1">
          <a:off x="6200775" y="3009900"/>
          <a:ext cx="676275" cy="85725"/>
        </a:xfrm>
        <a:prstGeom prst="line">
          <a:avLst/>
        </a:prstGeom>
        <a:noFill/>
        <a:ln w="9525">
          <a:solidFill>
            <a:srgbClr val="000000"/>
          </a:solidFill>
          <a:prstDash val="solid"/>
          <a:round/>
          <a:headEnd/>
          <a:tailEnd type="triangle" w="med" len="med"/>
        </a:ln>
      </xdr:spPr>
    </xdr:sp>
    <xdr:clientData/>
  </xdr:twoCellAnchor>
  <xdr:oneCellAnchor>
    <xdr:from>
      <xdr:col>5</xdr:col>
      <xdr:colOff>9525</xdr:colOff>
      <xdr:row>7</xdr:row>
      <xdr:rowOff>123825</xdr:rowOff>
    </xdr:from>
    <xdr:ext cx="1640706" cy="201850"/>
    <xdr:sp macro="" textlink="">
      <xdr:nvSpPr>
        <xdr:cNvPr id="3085" name="テキスト 13"/>
        <xdr:cNvSpPr txBox="1">
          <a:spLocks noChangeArrowheads="1"/>
        </xdr:cNvSpPr>
      </xdr:nvSpPr>
      <xdr:spPr bwMode="auto">
        <a:xfrm>
          <a:off x="6903244" y="1290638"/>
          <a:ext cx="1640706" cy="201850"/>
        </a:xfrm>
        <a:prstGeom prst="rect">
          <a:avLst/>
        </a:prstGeom>
        <a:solidFill>
          <a:srgbClr val="FFFF99"/>
        </a:solidFill>
        <a:ln w="9525">
          <a:solidFill>
            <a:srgbClr val="000000"/>
          </a:solidFill>
          <a:prstDash val="solid"/>
          <a:miter lim="800000"/>
          <a:headEnd/>
          <a:tailEnd/>
        </a:ln>
      </xdr:spPr>
      <xdr:txBody>
        <a:bodyPr wrap="none" lIns="18288" tIns="18288" rIns="0" bIns="0" anchor="t" upright="1">
          <a:spAutoFit/>
        </a:bodyPr>
        <a:lstStyle/>
        <a:p>
          <a:pPr algn="l" rtl="0">
            <a:defRPr sz="1000"/>
          </a:pPr>
          <a:r>
            <a:rPr lang="ja-JP" altLang="en-US" sz="1100" b="0" i="0" u="none" strike="noStrike" baseline="0">
              <a:solidFill>
                <a:srgbClr val="000000"/>
              </a:solidFill>
              <a:latin typeface="ＭＳ 明朝"/>
              <a:ea typeface="ＭＳ 明朝"/>
            </a:rPr>
            <a:t>ﾃﾞｰﾀは</a:t>
          </a:r>
          <a:r>
            <a:rPr lang="en-US" altLang="ja-JP" sz="1100" b="0" i="0" u="none" strike="noStrike" baseline="0">
              <a:solidFill>
                <a:srgbClr val="000000"/>
              </a:solidFill>
              <a:latin typeface="ＭＳ 明朝"/>
              <a:ea typeface="ＭＳ 明朝"/>
            </a:rPr>
            <a:t>3</a:t>
          </a:r>
          <a:r>
            <a:rPr lang="ja-JP" altLang="en-US" sz="1100" b="0" i="0" u="none" strike="noStrike" baseline="0">
              <a:solidFill>
                <a:srgbClr val="000000"/>
              </a:solidFill>
              <a:latin typeface="ＭＳ 明朝"/>
              <a:ea typeface="ＭＳ 明朝"/>
            </a:rPr>
            <a:t>種類　：１</a:t>
          </a:r>
          <a:r>
            <a:rPr lang="en-US" altLang="ja-JP" sz="1100" b="0" i="0" u="none" strike="noStrike" baseline="0">
              <a:solidFill>
                <a:srgbClr val="000000"/>
              </a:solidFill>
              <a:latin typeface="ＭＳ 明朝"/>
              <a:ea typeface="ＭＳ 明朝"/>
            </a:rPr>
            <a:t>,</a:t>
          </a:r>
          <a:r>
            <a:rPr lang="ja-JP" altLang="en-US" sz="1100" b="0" i="0" u="none" strike="noStrike" baseline="0">
              <a:solidFill>
                <a:srgbClr val="000000"/>
              </a:solidFill>
              <a:latin typeface="ＭＳ 明朝"/>
              <a:ea typeface="ＭＳ 明朝"/>
            </a:rPr>
            <a:t>２</a:t>
          </a:r>
          <a:r>
            <a:rPr lang="en-US" altLang="ja-JP" sz="1100" b="0" i="0" u="none" strike="noStrike" baseline="0">
              <a:solidFill>
                <a:srgbClr val="000000"/>
              </a:solidFill>
              <a:latin typeface="ＭＳ 明朝"/>
              <a:ea typeface="ＭＳ 明朝"/>
            </a:rPr>
            <a:t>,</a:t>
          </a:r>
          <a:r>
            <a:rPr lang="ja-JP" altLang="en-US" sz="1100" b="0" i="0" u="none" strike="noStrike" baseline="0">
              <a:solidFill>
                <a:srgbClr val="000000"/>
              </a:solidFill>
              <a:latin typeface="ＭＳ 明朝"/>
              <a:ea typeface="ＭＳ 明朝"/>
            </a:rPr>
            <a:t>３</a:t>
          </a:r>
        </a:p>
      </xdr:txBody>
    </xdr:sp>
    <xdr:clientData/>
  </xdr:oneCellAnchor>
  <xdr:twoCellAnchor>
    <xdr:from>
      <xdr:col>4</xdr:col>
      <xdr:colOff>0</xdr:colOff>
      <xdr:row>8</xdr:row>
      <xdr:rowOff>38100</xdr:rowOff>
    </xdr:from>
    <xdr:to>
      <xdr:col>5</xdr:col>
      <xdr:colOff>0</xdr:colOff>
      <xdr:row>10</xdr:row>
      <xdr:rowOff>104775</xdr:rowOff>
    </xdr:to>
    <xdr:sp macro="" textlink="">
      <xdr:nvSpPr>
        <xdr:cNvPr id="3086" name="Line 14"/>
        <xdr:cNvSpPr>
          <a:spLocks noChangeShapeType="1"/>
        </xdr:cNvSpPr>
      </xdr:nvSpPr>
      <xdr:spPr bwMode="auto">
        <a:xfrm flipH="1">
          <a:off x="6200775" y="1409700"/>
          <a:ext cx="685800" cy="409575"/>
        </a:xfrm>
        <a:prstGeom prst="line">
          <a:avLst/>
        </a:prstGeom>
        <a:noFill/>
        <a:ln w="9525">
          <a:solidFill>
            <a:srgbClr val="000000"/>
          </a:solidFill>
          <a:prstDash val="solid"/>
          <a:round/>
          <a:headEnd/>
          <a:tailEnd type="triangle" w="med" len="med"/>
        </a:ln>
      </xdr:spPr>
    </xdr:sp>
    <xdr:clientData/>
  </xdr:twoCellAnchor>
  <xdr:oneCellAnchor>
    <xdr:from>
      <xdr:col>5</xdr:col>
      <xdr:colOff>9525</xdr:colOff>
      <xdr:row>25</xdr:row>
      <xdr:rowOff>104775</xdr:rowOff>
    </xdr:from>
    <xdr:ext cx="1288045" cy="568617"/>
    <xdr:sp macro="" textlink="">
      <xdr:nvSpPr>
        <xdr:cNvPr id="3087" name="テキスト 15"/>
        <xdr:cNvSpPr txBox="1">
          <a:spLocks noChangeArrowheads="1"/>
        </xdr:cNvSpPr>
      </xdr:nvSpPr>
      <xdr:spPr bwMode="auto">
        <a:xfrm>
          <a:off x="6903244" y="4283869"/>
          <a:ext cx="1288045" cy="568617"/>
        </a:xfrm>
        <a:prstGeom prst="rect">
          <a:avLst/>
        </a:prstGeom>
        <a:solidFill>
          <a:srgbClr val="FFFF99"/>
        </a:solidFill>
        <a:ln w="9525">
          <a:solidFill>
            <a:srgbClr val="000000"/>
          </a:solidFill>
          <a:prstDash val="solid"/>
          <a:miter lim="800000"/>
          <a:headEnd/>
          <a:tailEnd/>
        </a:ln>
      </xdr:spPr>
      <xdr:txBody>
        <a:bodyPr wrap="none" lIns="18288" tIns="18288" rIns="0" bIns="0" anchor="t" upright="1">
          <a:spAutoFit/>
        </a:bodyPr>
        <a:lstStyle/>
        <a:p>
          <a:pPr algn="l" rtl="0">
            <a:defRPr sz="1000"/>
          </a:pPr>
          <a:r>
            <a:rPr lang="ja-JP" altLang="en-US" sz="1100" b="0" i="0" u="none" strike="noStrike" baseline="0">
              <a:solidFill>
                <a:srgbClr val="000000"/>
              </a:solidFill>
              <a:latin typeface="ＭＳ 明朝"/>
              <a:ea typeface="ＭＳ 明朝"/>
            </a:rPr>
            <a:t>ラチェット　　：１</a:t>
          </a:r>
        </a:p>
        <a:p>
          <a:pPr algn="l" rtl="0">
            <a:defRPr sz="1000"/>
          </a:pPr>
          <a:r>
            <a:rPr lang="ja-JP" altLang="en-US" sz="1100" b="0" i="0" u="none" strike="noStrike" baseline="0">
              <a:solidFill>
                <a:srgbClr val="000000"/>
              </a:solidFill>
              <a:latin typeface="ＭＳ 明朝"/>
              <a:ea typeface="ＭＳ 明朝"/>
            </a:rPr>
            <a:t>スティッキー　：２</a:t>
          </a:r>
        </a:p>
        <a:p>
          <a:pPr algn="l" rtl="0">
            <a:defRPr sz="1000"/>
          </a:pPr>
          <a:r>
            <a:rPr lang="ja-JP" altLang="en-US" sz="1100" b="0" i="0" u="none" strike="noStrike" baseline="0">
              <a:solidFill>
                <a:srgbClr val="000000"/>
              </a:solidFill>
              <a:latin typeface="ＭＳ 明朝"/>
              <a:ea typeface="ＭＳ 明朝"/>
            </a:rPr>
            <a:t>プレーン　　　：０</a:t>
          </a:r>
        </a:p>
      </xdr:txBody>
    </xdr:sp>
    <xdr:clientData/>
  </xdr:oneCellAnchor>
  <xdr:twoCellAnchor>
    <xdr:from>
      <xdr:col>4</xdr:col>
      <xdr:colOff>0</xdr:colOff>
      <xdr:row>27</xdr:row>
      <xdr:rowOff>38100</xdr:rowOff>
    </xdr:from>
    <xdr:to>
      <xdr:col>5</xdr:col>
      <xdr:colOff>0</xdr:colOff>
      <xdr:row>27</xdr:row>
      <xdr:rowOff>85725</xdr:rowOff>
    </xdr:to>
    <xdr:sp macro="" textlink="">
      <xdr:nvSpPr>
        <xdr:cNvPr id="3088" name="Line 16"/>
        <xdr:cNvSpPr>
          <a:spLocks noChangeShapeType="1"/>
        </xdr:cNvSpPr>
      </xdr:nvSpPr>
      <xdr:spPr bwMode="auto">
        <a:xfrm flipH="1">
          <a:off x="6200775" y="4686300"/>
          <a:ext cx="685800" cy="47625"/>
        </a:xfrm>
        <a:prstGeom prst="line">
          <a:avLst/>
        </a:prstGeom>
        <a:noFill/>
        <a:ln w="9525">
          <a:solidFill>
            <a:srgbClr val="000000"/>
          </a:solidFill>
          <a:prstDash val="solid"/>
          <a:round/>
          <a:headEnd/>
          <a:tailEnd type="triangle" w="med" len="med"/>
        </a:ln>
      </xdr:spPr>
    </xdr:sp>
    <xdr:clientData/>
  </xdr:twoCellAnchor>
  <xdr:oneCellAnchor>
    <xdr:from>
      <xdr:col>5</xdr:col>
      <xdr:colOff>9525</xdr:colOff>
      <xdr:row>22</xdr:row>
      <xdr:rowOff>28575</xdr:rowOff>
    </xdr:from>
    <xdr:ext cx="1429109" cy="385234"/>
    <xdr:sp macro="" textlink="">
      <xdr:nvSpPr>
        <xdr:cNvPr id="3090" name="テキスト 18"/>
        <xdr:cNvSpPr txBox="1">
          <a:spLocks noChangeArrowheads="1"/>
        </xdr:cNvSpPr>
      </xdr:nvSpPr>
      <xdr:spPr bwMode="auto">
        <a:xfrm>
          <a:off x="6903244" y="3695700"/>
          <a:ext cx="1429109" cy="385234"/>
        </a:xfrm>
        <a:prstGeom prst="rect">
          <a:avLst/>
        </a:prstGeom>
        <a:solidFill>
          <a:srgbClr val="FFFF99"/>
        </a:solidFill>
        <a:ln w="9525">
          <a:solidFill>
            <a:srgbClr val="000000"/>
          </a:solidFill>
          <a:prstDash val="solid"/>
          <a:miter lim="800000"/>
          <a:headEnd/>
          <a:tailEnd/>
        </a:ln>
      </xdr:spPr>
      <xdr:txBody>
        <a:bodyPr wrap="none" lIns="18288" tIns="18288" rIns="0" bIns="0" anchor="t" upright="1">
          <a:spAutoFit/>
        </a:bodyPr>
        <a:lstStyle/>
        <a:p>
          <a:pPr algn="l" rtl="0">
            <a:defRPr sz="1000"/>
          </a:pPr>
          <a:r>
            <a:rPr lang="en-US" altLang="ja-JP" sz="1100" b="0" i="0" u="none" strike="noStrike" baseline="0">
              <a:solidFill>
                <a:srgbClr val="000000"/>
              </a:solidFill>
              <a:latin typeface="ＭＳ 明朝"/>
              <a:ea typeface="ＭＳ 明朝"/>
            </a:rPr>
            <a:t>Fixed Tenor     </a:t>
          </a:r>
          <a:r>
            <a:rPr lang="ja-JP" altLang="en-US" sz="1100" b="0" i="0" u="none" strike="noStrike" baseline="0">
              <a:solidFill>
                <a:srgbClr val="000000"/>
              </a:solidFill>
              <a:latin typeface="ＭＳ 明朝"/>
              <a:ea typeface="ＭＳ 明朝"/>
            </a:rPr>
            <a:t>：１</a:t>
          </a:r>
        </a:p>
        <a:p>
          <a:pPr algn="l" rtl="0">
            <a:defRPr sz="1000"/>
          </a:pPr>
          <a:r>
            <a:rPr lang="en-US" altLang="ja-JP" sz="1100" b="0" i="0" u="none" strike="noStrike" baseline="0">
              <a:solidFill>
                <a:srgbClr val="000000"/>
              </a:solidFill>
              <a:latin typeface="ＭＳ 明朝"/>
              <a:ea typeface="ＭＳ 明朝"/>
            </a:rPr>
            <a:t>Fixed Maturity  </a:t>
          </a:r>
          <a:r>
            <a:rPr lang="ja-JP" altLang="en-US" sz="1100" b="0" i="0" u="none" strike="noStrike" baseline="0">
              <a:solidFill>
                <a:srgbClr val="000000"/>
              </a:solidFill>
              <a:latin typeface="ＭＳ 明朝"/>
              <a:ea typeface="ＭＳ 明朝"/>
            </a:rPr>
            <a:t>：２</a:t>
          </a:r>
        </a:p>
      </xdr:txBody>
    </xdr:sp>
    <xdr:clientData/>
  </xdr:oneCellAnchor>
  <xdr:oneCellAnchor>
    <xdr:from>
      <xdr:col>5</xdr:col>
      <xdr:colOff>9525</xdr:colOff>
      <xdr:row>29</xdr:row>
      <xdr:rowOff>76200</xdr:rowOff>
    </xdr:from>
    <xdr:ext cx="1429109" cy="385234"/>
    <xdr:sp macro="" textlink="">
      <xdr:nvSpPr>
        <xdr:cNvPr id="3091" name="テキスト 19"/>
        <xdr:cNvSpPr txBox="1">
          <a:spLocks noChangeArrowheads="1"/>
        </xdr:cNvSpPr>
      </xdr:nvSpPr>
      <xdr:spPr bwMode="auto">
        <a:xfrm>
          <a:off x="6903244" y="4933950"/>
          <a:ext cx="1429109" cy="385234"/>
        </a:xfrm>
        <a:prstGeom prst="rect">
          <a:avLst/>
        </a:prstGeom>
        <a:solidFill>
          <a:srgbClr val="FFFF99"/>
        </a:solidFill>
        <a:ln w="9525">
          <a:solidFill>
            <a:srgbClr val="000000"/>
          </a:solidFill>
          <a:prstDash val="solid"/>
          <a:miter lim="800000"/>
          <a:headEnd/>
          <a:tailEnd/>
        </a:ln>
      </xdr:spPr>
      <xdr:txBody>
        <a:bodyPr wrap="none" lIns="18288" tIns="18288" rIns="0" bIns="0" anchor="t" upright="1">
          <a:spAutoFit/>
        </a:bodyPr>
        <a:lstStyle/>
        <a:p>
          <a:pPr algn="l" rtl="0">
            <a:defRPr sz="1000"/>
          </a:pPr>
          <a:r>
            <a:rPr lang="ja-JP" altLang="en-US" sz="1100" b="0" i="0" u="none" strike="noStrike" baseline="0">
              <a:solidFill>
                <a:srgbClr val="000000"/>
              </a:solidFill>
              <a:latin typeface="ＭＳ 明朝"/>
              <a:ea typeface="ＭＳ 明朝"/>
            </a:rPr>
            <a:t>通常　　　　　　：０</a:t>
          </a:r>
        </a:p>
        <a:p>
          <a:pPr algn="l" rtl="0">
            <a:defRPr sz="1000"/>
          </a:pPr>
          <a:r>
            <a:rPr lang="ja-JP" altLang="en-US" sz="1100" b="0" i="0" u="none" strike="noStrike" baseline="0">
              <a:solidFill>
                <a:srgbClr val="000000"/>
              </a:solidFill>
              <a:latin typeface="ＭＳ 明朝"/>
              <a:ea typeface="ＭＳ 明朝"/>
            </a:rPr>
            <a:t>負相関変量法　　：１</a:t>
          </a:r>
        </a:p>
      </xdr:txBody>
    </xdr:sp>
    <xdr:clientData/>
  </xdr:oneCellAnchor>
  <xdr:twoCellAnchor>
    <xdr:from>
      <xdr:col>4</xdr:col>
      <xdr:colOff>0</xdr:colOff>
      <xdr:row>29</xdr:row>
      <xdr:rowOff>85725</xdr:rowOff>
    </xdr:from>
    <xdr:to>
      <xdr:col>5</xdr:col>
      <xdr:colOff>9525</xdr:colOff>
      <xdr:row>30</xdr:row>
      <xdr:rowOff>95250</xdr:rowOff>
    </xdr:to>
    <xdr:sp macro="" textlink="">
      <xdr:nvSpPr>
        <xdr:cNvPr id="3092" name="Line 20"/>
        <xdr:cNvSpPr>
          <a:spLocks noChangeShapeType="1"/>
        </xdr:cNvSpPr>
      </xdr:nvSpPr>
      <xdr:spPr bwMode="auto">
        <a:xfrm flipH="1" flipV="1">
          <a:off x="6200775" y="5076825"/>
          <a:ext cx="695325" cy="180975"/>
        </a:xfrm>
        <a:prstGeom prst="line">
          <a:avLst/>
        </a:prstGeom>
        <a:noFill/>
        <a:ln w="9525">
          <a:solidFill>
            <a:srgbClr val="000000"/>
          </a:solidFill>
          <a:prstDash val="solid"/>
          <a:round/>
          <a:headEnd/>
          <a:tailEnd type="triangle" w="med" len="med"/>
        </a:ln>
      </xdr:spPr>
    </xdr:sp>
    <xdr:clientData/>
  </xdr:twoCellAnchor>
  <xdr:twoCellAnchor>
    <xdr:from>
      <xdr:col>4</xdr:col>
      <xdr:colOff>257175</xdr:colOff>
      <xdr:row>17</xdr:row>
      <xdr:rowOff>123825</xdr:rowOff>
    </xdr:from>
    <xdr:to>
      <xdr:col>5</xdr:col>
      <xdr:colOff>0</xdr:colOff>
      <xdr:row>20</xdr:row>
      <xdr:rowOff>19050</xdr:rowOff>
    </xdr:to>
    <xdr:sp macro="" textlink="">
      <xdr:nvSpPr>
        <xdr:cNvPr id="3095" name="図形 23"/>
        <xdr:cNvSpPr>
          <a:spLocks/>
        </xdr:cNvSpPr>
      </xdr:nvSpPr>
      <xdr:spPr bwMode="auto">
        <a:xfrm>
          <a:off x="6457950" y="3038475"/>
          <a:ext cx="428625" cy="409575"/>
        </a:xfrm>
        <a:custGeom>
          <a:avLst/>
          <a:gdLst/>
          <a:ahLst/>
          <a:cxnLst>
            <a:cxn ang="0">
              <a:pos x="16384" y="16384"/>
            </a:cxn>
            <a:cxn ang="0">
              <a:pos x="3604" y="14043"/>
            </a:cxn>
            <a:cxn ang="0">
              <a:pos x="0" y="0"/>
            </a:cxn>
          </a:cxnLst>
          <a:rect l="0" t="0" r="r" b="b"/>
          <a:pathLst>
            <a:path w="16384" h="16384">
              <a:moveTo>
                <a:pt x="16384" y="16384"/>
              </a:moveTo>
              <a:lnTo>
                <a:pt x="3604" y="14043"/>
              </a:lnTo>
              <a:lnTo>
                <a:pt x="0" y="0"/>
              </a:lnTo>
            </a:path>
          </a:pathLst>
        </a:custGeom>
        <a:noFill/>
        <a:ln w="9525">
          <a:solidFill>
            <a:srgbClr val="000000"/>
          </a:solidFill>
          <a:prstDash val="solid"/>
          <a:round/>
          <a:headEnd/>
          <a:tailEnd/>
        </a:ln>
      </xdr:spPr>
    </xdr:sp>
    <xdr:clientData/>
  </xdr:twoCellAnchor>
  <xdr:twoCellAnchor>
    <xdr:from>
      <xdr:col>4</xdr:col>
      <xdr:colOff>9525</xdr:colOff>
      <xdr:row>23</xdr:row>
      <xdr:rowOff>19050</xdr:rowOff>
    </xdr:from>
    <xdr:to>
      <xdr:col>5</xdr:col>
      <xdr:colOff>9525</xdr:colOff>
      <xdr:row>24</xdr:row>
      <xdr:rowOff>85725</xdr:rowOff>
    </xdr:to>
    <xdr:sp macro="" textlink="">
      <xdr:nvSpPr>
        <xdr:cNvPr id="3096" name="Line 24"/>
        <xdr:cNvSpPr>
          <a:spLocks noChangeShapeType="1"/>
        </xdr:cNvSpPr>
      </xdr:nvSpPr>
      <xdr:spPr bwMode="auto">
        <a:xfrm flipH="1">
          <a:off x="6210300" y="3962400"/>
          <a:ext cx="685800" cy="238125"/>
        </a:xfrm>
        <a:prstGeom prst="line">
          <a:avLst/>
        </a:prstGeom>
        <a:noFill/>
        <a:ln w="9525">
          <a:solidFill>
            <a:srgbClr val="000000"/>
          </a:solidFill>
          <a:prstDash val="solid"/>
          <a:round/>
          <a:headEnd/>
          <a:tailEnd type="triangle" w="med" len="med"/>
        </a:ln>
      </xdr:spPr>
    </xdr:sp>
    <xdr:clientData/>
  </xdr:twoCellAnchor>
</xdr:wsDr>
</file>

<file path=xl/drawings/drawing4.xml><?xml version="1.0" encoding="utf-8"?>
<xdr:wsDr xmlns:xdr="http://schemas.openxmlformats.org/drawingml/2006/spreadsheetDrawing" xmlns:a="http://schemas.openxmlformats.org/drawingml/2006/main">
  <xdr:twoCellAnchor>
    <xdr:from>
      <xdr:col>5</xdr:col>
      <xdr:colOff>447675</xdr:colOff>
      <xdr:row>2</xdr:row>
      <xdr:rowOff>47625</xdr:rowOff>
    </xdr:from>
    <xdr:to>
      <xdr:col>8</xdr:col>
      <xdr:colOff>723900</xdr:colOff>
      <xdr:row>6</xdr:row>
      <xdr:rowOff>0</xdr:rowOff>
    </xdr:to>
    <xdr:sp macro="" textlink="">
      <xdr:nvSpPr>
        <xdr:cNvPr id="4100" name="テキスト 4"/>
        <xdr:cNvSpPr>
          <a:spLocks noChangeArrowheads="1"/>
        </xdr:cNvSpPr>
      </xdr:nvSpPr>
      <xdr:spPr bwMode="auto">
        <a:xfrm>
          <a:off x="4343400" y="390525"/>
          <a:ext cx="2476500" cy="628650"/>
        </a:xfrm>
        <a:prstGeom prst="roundRect">
          <a:avLst>
            <a:gd name="adj" fmla="val 16667"/>
          </a:avLst>
        </a:prstGeom>
        <a:solidFill>
          <a:srgbClr val="A6CAF0"/>
        </a:solidFill>
        <a:ln w="9525">
          <a:solidFill>
            <a:srgbClr val="000000"/>
          </a:solidFill>
          <a:prstDash val="solid"/>
          <a:round/>
          <a:headEnd/>
          <a:tailEnd/>
        </a:ln>
      </xdr:spPr>
      <xdr:txBody>
        <a:bodyPr vertOverflow="clip" wrap="square" lIns="36576" tIns="18288" rIns="36576" bIns="18288" anchor="ctr" upright="1"/>
        <a:lstStyle/>
        <a:p>
          <a:pPr algn="ctr" rtl="0">
            <a:defRPr sz="1000"/>
          </a:pPr>
          <a:r>
            <a:rPr lang="ja-JP" altLang="en-US" sz="1200" b="1" i="0" u="none" strike="noStrike" baseline="0">
              <a:solidFill>
                <a:srgbClr val="000000"/>
              </a:solidFill>
              <a:latin typeface="ＭＳ ゴシック"/>
              <a:ea typeface="ＭＳ ゴシック"/>
            </a:rPr>
            <a:t>ノード間の推移確率</a:t>
          </a:r>
        </a:p>
        <a:p>
          <a:pPr algn="ctr" rtl="0">
            <a:defRPr sz="1000"/>
          </a:pPr>
          <a:r>
            <a:rPr lang="ja-JP" altLang="en-US" sz="1200" b="1" i="0" u="none" strike="noStrike" baseline="0">
              <a:solidFill>
                <a:srgbClr val="000000"/>
              </a:solidFill>
              <a:latin typeface="ＭＳ ゴシック"/>
              <a:ea typeface="ＭＳ ゴシック"/>
            </a:rPr>
            <a:t>図</a:t>
          </a:r>
          <a:r>
            <a:rPr lang="en-US" altLang="ja-JP" sz="1200" b="1" i="0" u="none" strike="noStrike" baseline="0">
              <a:solidFill>
                <a:srgbClr val="000000"/>
              </a:solidFill>
              <a:latin typeface="ＭＳ ゴシック"/>
              <a:ea typeface="ＭＳ ゴシック"/>
            </a:rPr>
            <a:t>3.1</a:t>
          </a:r>
        </a:p>
      </xdr:txBody>
    </xdr:sp>
    <xdr:clientData/>
  </xdr:twoCellAnchor>
  <xdr:twoCellAnchor>
    <xdr:from>
      <xdr:col>5</xdr:col>
      <xdr:colOff>685800</xdr:colOff>
      <xdr:row>7</xdr:row>
      <xdr:rowOff>9525</xdr:rowOff>
    </xdr:from>
    <xdr:to>
      <xdr:col>8</xdr:col>
      <xdr:colOff>238125</xdr:colOff>
      <xdr:row>14</xdr:row>
      <xdr:rowOff>19050</xdr:rowOff>
    </xdr:to>
    <xdr:grpSp>
      <xdr:nvGrpSpPr>
        <xdr:cNvPr id="4105" name="Group 9"/>
        <xdr:cNvGrpSpPr>
          <a:grpSpLocks/>
        </xdr:cNvGrpSpPr>
      </xdr:nvGrpSpPr>
      <xdr:grpSpPr bwMode="auto">
        <a:xfrm>
          <a:off x="4581525" y="1200150"/>
          <a:ext cx="1752600" cy="1209675"/>
          <a:chOff x="-231" y="-17043"/>
          <a:chExt cx="16008" cy="127"/>
        </a:xfrm>
      </xdr:grpSpPr>
      <xdr:sp macro="" textlink="">
        <xdr:nvSpPr>
          <xdr:cNvPr id="4097" name="Line 1"/>
          <xdr:cNvSpPr>
            <a:spLocks noChangeShapeType="1"/>
          </xdr:cNvSpPr>
        </xdr:nvSpPr>
        <xdr:spPr bwMode="auto">
          <a:xfrm flipV="1">
            <a:off x="-231" y="-17034"/>
            <a:ext cx="13485" cy="54"/>
          </a:xfrm>
          <a:prstGeom prst="line">
            <a:avLst/>
          </a:prstGeom>
          <a:noFill/>
          <a:ln w="9525">
            <a:solidFill>
              <a:srgbClr val="000000"/>
            </a:solidFill>
            <a:prstDash val="solid"/>
            <a:round/>
            <a:headEnd/>
            <a:tailEnd type="triangle" w="med" len="med"/>
          </a:ln>
        </xdr:spPr>
      </xdr:sp>
      <xdr:sp macro="" textlink="">
        <xdr:nvSpPr>
          <xdr:cNvPr id="4098" name="Line 2"/>
          <xdr:cNvSpPr>
            <a:spLocks noChangeShapeType="1"/>
          </xdr:cNvSpPr>
        </xdr:nvSpPr>
        <xdr:spPr bwMode="auto">
          <a:xfrm>
            <a:off x="-231" y="-16980"/>
            <a:ext cx="13572" cy="1"/>
          </a:xfrm>
          <a:prstGeom prst="line">
            <a:avLst/>
          </a:prstGeom>
          <a:noFill/>
          <a:ln w="9525">
            <a:solidFill>
              <a:srgbClr val="000000"/>
            </a:solidFill>
            <a:prstDash val="solid"/>
            <a:round/>
            <a:headEnd/>
            <a:tailEnd type="triangle" w="med" len="med"/>
          </a:ln>
        </xdr:spPr>
      </xdr:sp>
      <xdr:sp macro="" textlink="">
        <xdr:nvSpPr>
          <xdr:cNvPr id="4099" name="Line 3"/>
          <xdr:cNvSpPr>
            <a:spLocks noChangeShapeType="1"/>
          </xdr:cNvSpPr>
        </xdr:nvSpPr>
        <xdr:spPr bwMode="auto">
          <a:xfrm>
            <a:off x="-231" y="-16980"/>
            <a:ext cx="13485" cy="53"/>
          </a:xfrm>
          <a:prstGeom prst="line">
            <a:avLst/>
          </a:prstGeom>
          <a:noFill/>
          <a:ln w="9525">
            <a:solidFill>
              <a:srgbClr val="000000"/>
            </a:solidFill>
            <a:prstDash val="solid"/>
            <a:round/>
            <a:headEnd/>
            <a:tailEnd type="triangle" w="med" len="med"/>
          </a:ln>
        </xdr:spPr>
      </xdr:sp>
      <xdr:sp macro="" textlink="">
        <xdr:nvSpPr>
          <xdr:cNvPr id="4101" name="テキスト 5"/>
          <xdr:cNvSpPr txBox="1">
            <a:spLocks noChangeArrowheads="1"/>
          </xdr:cNvSpPr>
        </xdr:nvSpPr>
        <xdr:spPr bwMode="auto">
          <a:xfrm>
            <a:off x="13341" y="-17043"/>
            <a:ext cx="2436" cy="19"/>
          </a:xfrm>
          <a:prstGeom prst="rect">
            <a:avLst/>
          </a:prstGeom>
          <a:solidFill>
            <a:srgbClr val="FFFFFF"/>
          </a:solidFill>
          <a:ln w="1">
            <a:noFill/>
            <a:miter lim="800000"/>
            <a:headEnd/>
            <a:tailEnd/>
          </a:ln>
        </xdr:spPr>
        <xdr:txBody>
          <a:bodyPr vertOverflow="clip" wrap="square" lIns="27432" tIns="18288" rIns="0" bIns="0" anchor="t" upright="1"/>
          <a:lstStyle/>
          <a:p>
            <a:pPr algn="l" rtl="0">
              <a:defRPr sz="1000"/>
            </a:pPr>
            <a:r>
              <a:rPr lang="en-US" altLang="ja-JP" sz="1100" b="0" i="0" u="none" strike="noStrike" baseline="0">
                <a:solidFill>
                  <a:srgbClr val="000000"/>
                </a:solidFill>
                <a:latin typeface="ＭＳ ゴシック"/>
                <a:ea typeface="ＭＳ ゴシック"/>
              </a:rPr>
              <a:t>Pu</a:t>
            </a:r>
          </a:p>
        </xdr:txBody>
      </xdr:sp>
      <xdr:sp macro="" textlink="">
        <xdr:nvSpPr>
          <xdr:cNvPr id="4102" name="テキスト 6"/>
          <xdr:cNvSpPr txBox="1">
            <a:spLocks noChangeArrowheads="1"/>
          </xdr:cNvSpPr>
        </xdr:nvSpPr>
        <xdr:spPr bwMode="auto">
          <a:xfrm>
            <a:off x="13341" y="-16936"/>
            <a:ext cx="2436" cy="20"/>
          </a:xfrm>
          <a:prstGeom prst="rect">
            <a:avLst/>
          </a:prstGeom>
          <a:solidFill>
            <a:srgbClr val="FFFFFF"/>
          </a:solidFill>
          <a:ln w="1">
            <a:noFill/>
            <a:miter lim="800000"/>
            <a:headEnd/>
            <a:tailEnd/>
          </a:ln>
        </xdr:spPr>
        <xdr:txBody>
          <a:bodyPr vertOverflow="clip" wrap="square" lIns="27432" tIns="18288" rIns="0" bIns="0" anchor="t" upright="1"/>
          <a:lstStyle/>
          <a:p>
            <a:pPr algn="l" rtl="0">
              <a:defRPr sz="1000"/>
            </a:pPr>
            <a:r>
              <a:rPr lang="en-US" altLang="ja-JP" sz="1100" b="0" i="0" u="none" strike="noStrike" baseline="0">
                <a:solidFill>
                  <a:srgbClr val="000000"/>
                </a:solidFill>
                <a:latin typeface="ＭＳ ゴシック"/>
                <a:ea typeface="ＭＳ ゴシック"/>
              </a:rPr>
              <a:t>Pd</a:t>
            </a:r>
          </a:p>
        </xdr:txBody>
      </xdr:sp>
      <xdr:sp macro="" textlink="">
        <xdr:nvSpPr>
          <xdr:cNvPr id="4103" name="テキスト 7"/>
          <xdr:cNvSpPr txBox="1">
            <a:spLocks noChangeArrowheads="1"/>
          </xdr:cNvSpPr>
        </xdr:nvSpPr>
        <xdr:spPr bwMode="auto">
          <a:xfrm>
            <a:off x="13341" y="-16987"/>
            <a:ext cx="2436" cy="24"/>
          </a:xfrm>
          <a:prstGeom prst="rect">
            <a:avLst/>
          </a:prstGeom>
          <a:solidFill>
            <a:srgbClr val="FFFFFF"/>
          </a:solidFill>
          <a:ln w="1">
            <a:noFill/>
            <a:miter lim="800000"/>
            <a:headEnd/>
            <a:tailEnd/>
          </a:ln>
        </xdr:spPr>
        <xdr:txBody>
          <a:bodyPr vertOverflow="clip" wrap="square" lIns="27432" tIns="18288" rIns="0" bIns="0" anchor="t" upright="1"/>
          <a:lstStyle/>
          <a:p>
            <a:pPr algn="l" rtl="0">
              <a:defRPr sz="1000"/>
            </a:pPr>
            <a:r>
              <a:rPr lang="en-US" altLang="ja-JP" sz="1100" b="0" i="0" u="none" strike="noStrike" baseline="0">
                <a:solidFill>
                  <a:srgbClr val="000000"/>
                </a:solidFill>
                <a:latin typeface="ＭＳ ゴシック"/>
                <a:ea typeface="ＭＳ ゴシック"/>
              </a:rPr>
              <a:t>Pm</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5</xdr:col>
      <xdr:colOff>457200</xdr:colOff>
      <xdr:row>2</xdr:row>
      <xdr:rowOff>38100</xdr:rowOff>
    </xdr:from>
    <xdr:to>
      <xdr:col>8</xdr:col>
      <xdr:colOff>723900</xdr:colOff>
      <xdr:row>6</xdr:row>
      <xdr:rowOff>9525</xdr:rowOff>
    </xdr:to>
    <xdr:sp macro="" textlink="">
      <xdr:nvSpPr>
        <xdr:cNvPr id="5127" name="テキスト 7"/>
        <xdr:cNvSpPr>
          <a:spLocks noChangeArrowheads="1"/>
        </xdr:cNvSpPr>
      </xdr:nvSpPr>
      <xdr:spPr bwMode="auto">
        <a:xfrm>
          <a:off x="4352925" y="381000"/>
          <a:ext cx="2466975" cy="657225"/>
        </a:xfrm>
        <a:prstGeom prst="roundRect">
          <a:avLst>
            <a:gd name="adj" fmla="val 16667"/>
          </a:avLst>
        </a:prstGeom>
        <a:solidFill>
          <a:srgbClr val="A6CAF0"/>
        </a:solidFill>
        <a:ln w="9525">
          <a:solidFill>
            <a:srgbClr val="000000"/>
          </a:solidFill>
          <a:prstDash val="solid"/>
          <a:round/>
          <a:headEnd/>
          <a:tailEnd/>
        </a:ln>
      </xdr:spPr>
      <xdr:txBody>
        <a:bodyPr vertOverflow="clip" wrap="square" lIns="36576" tIns="18288" rIns="36576" bIns="18288" anchor="ctr" upright="1"/>
        <a:lstStyle/>
        <a:p>
          <a:pPr algn="ctr" rtl="0">
            <a:defRPr sz="1000"/>
          </a:pPr>
          <a:r>
            <a:rPr lang="ja-JP" altLang="en-US" sz="1200" b="1" i="0" u="none" strike="noStrike" baseline="0">
              <a:solidFill>
                <a:srgbClr val="000000"/>
              </a:solidFill>
              <a:latin typeface="ＭＳ ゴシック"/>
              <a:ea typeface="ＭＳ ゴシック"/>
            </a:rPr>
            <a:t>ノード間の推移確率</a:t>
          </a:r>
        </a:p>
        <a:p>
          <a:pPr algn="ctr" rtl="0">
            <a:defRPr sz="1000"/>
          </a:pPr>
          <a:r>
            <a:rPr lang="ja-JP" altLang="en-US" sz="1200" b="1" i="0" u="none" strike="noStrike" baseline="0">
              <a:solidFill>
                <a:srgbClr val="000000"/>
              </a:solidFill>
              <a:latin typeface="ＭＳ ゴシック"/>
              <a:ea typeface="ＭＳ ゴシック"/>
            </a:rPr>
            <a:t>図</a:t>
          </a:r>
          <a:r>
            <a:rPr lang="en-US" altLang="ja-JP" sz="1200" b="1" i="0" u="none" strike="noStrike" baseline="0">
              <a:solidFill>
                <a:srgbClr val="000000"/>
              </a:solidFill>
              <a:latin typeface="ＭＳ ゴシック"/>
              <a:ea typeface="ＭＳ ゴシック"/>
            </a:rPr>
            <a:t>3.4</a:t>
          </a:r>
        </a:p>
      </xdr:txBody>
    </xdr:sp>
    <xdr:clientData/>
  </xdr:twoCellAnchor>
  <xdr:twoCellAnchor>
    <xdr:from>
      <xdr:col>5</xdr:col>
      <xdr:colOff>685800</xdr:colOff>
      <xdr:row>6</xdr:row>
      <xdr:rowOff>161925</xdr:rowOff>
    </xdr:from>
    <xdr:to>
      <xdr:col>8</xdr:col>
      <xdr:colOff>238125</xdr:colOff>
      <xdr:row>14</xdr:row>
      <xdr:rowOff>19050</xdr:rowOff>
    </xdr:to>
    <xdr:grpSp>
      <xdr:nvGrpSpPr>
        <xdr:cNvPr id="5136" name="Group 16"/>
        <xdr:cNvGrpSpPr>
          <a:grpSpLocks/>
        </xdr:cNvGrpSpPr>
      </xdr:nvGrpSpPr>
      <xdr:grpSpPr bwMode="auto">
        <a:xfrm>
          <a:off x="4581525" y="1190625"/>
          <a:ext cx="1752600" cy="1228725"/>
          <a:chOff x="-231" y="-15373"/>
          <a:chExt cx="16008" cy="129"/>
        </a:xfrm>
      </xdr:grpSpPr>
      <xdr:sp macro="" textlink="">
        <xdr:nvSpPr>
          <xdr:cNvPr id="5129" name="Line 9"/>
          <xdr:cNvSpPr>
            <a:spLocks noChangeShapeType="1"/>
          </xdr:cNvSpPr>
        </xdr:nvSpPr>
        <xdr:spPr bwMode="auto">
          <a:xfrm>
            <a:off x="-231" y="-15364"/>
            <a:ext cx="13485" cy="1"/>
          </a:xfrm>
          <a:prstGeom prst="line">
            <a:avLst/>
          </a:prstGeom>
          <a:noFill/>
          <a:ln w="9525">
            <a:solidFill>
              <a:srgbClr val="000000"/>
            </a:solidFill>
            <a:prstDash val="solid"/>
            <a:round/>
            <a:headEnd/>
            <a:tailEnd type="triangle" w="med" len="med"/>
          </a:ln>
        </xdr:spPr>
      </xdr:sp>
      <xdr:sp macro="" textlink="">
        <xdr:nvSpPr>
          <xdr:cNvPr id="5130" name="Line 10"/>
          <xdr:cNvSpPr>
            <a:spLocks noChangeShapeType="1"/>
          </xdr:cNvSpPr>
        </xdr:nvSpPr>
        <xdr:spPr bwMode="auto">
          <a:xfrm>
            <a:off x="-144" y="-15364"/>
            <a:ext cx="13485" cy="56"/>
          </a:xfrm>
          <a:prstGeom prst="line">
            <a:avLst/>
          </a:prstGeom>
          <a:noFill/>
          <a:ln w="9525">
            <a:solidFill>
              <a:srgbClr val="000000"/>
            </a:solidFill>
            <a:prstDash val="solid"/>
            <a:round/>
            <a:headEnd/>
            <a:tailEnd type="triangle" w="med" len="med"/>
          </a:ln>
        </xdr:spPr>
      </xdr:sp>
      <xdr:sp macro="" textlink="">
        <xdr:nvSpPr>
          <xdr:cNvPr id="5131" name="Line 11"/>
          <xdr:cNvSpPr>
            <a:spLocks noChangeShapeType="1"/>
          </xdr:cNvSpPr>
        </xdr:nvSpPr>
        <xdr:spPr bwMode="auto">
          <a:xfrm>
            <a:off x="-144" y="-15364"/>
            <a:ext cx="13398" cy="109"/>
          </a:xfrm>
          <a:prstGeom prst="line">
            <a:avLst/>
          </a:prstGeom>
          <a:noFill/>
          <a:ln w="9525">
            <a:solidFill>
              <a:srgbClr val="000000"/>
            </a:solidFill>
            <a:prstDash val="solid"/>
            <a:round/>
            <a:headEnd/>
            <a:tailEnd type="triangle" w="med" len="med"/>
          </a:ln>
        </xdr:spPr>
      </xdr:sp>
      <xdr:sp macro="" textlink="">
        <xdr:nvSpPr>
          <xdr:cNvPr id="5132" name="テキスト 12"/>
          <xdr:cNvSpPr txBox="1">
            <a:spLocks noChangeArrowheads="1"/>
          </xdr:cNvSpPr>
        </xdr:nvSpPr>
        <xdr:spPr bwMode="auto">
          <a:xfrm>
            <a:off x="13341" y="-15373"/>
            <a:ext cx="2436" cy="20"/>
          </a:xfrm>
          <a:prstGeom prst="rect">
            <a:avLst/>
          </a:prstGeom>
          <a:solidFill>
            <a:srgbClr val="FFFFFF"/>
          </a:solidFill>
          <a:ln w="1">
            <a:noFill/>
            <a:miter lim="800000"/>
            <a:headEnd/>
            <a:tailEnd/>
          </a:ln>
        </xdr:spPr>
        <xdr:txBody>
          <a:bodyPr vertOverflow="clip" wrap="square" lIns="27432" tIns="18288" rIns="0" bIns="0" anchor="t" upright="1"/>
          <a:lstStyle/>
          <a:p>
            <a:pPr algn="l" rtl="0">
              <a:defRPr sz="1000"/>
            </a:pPr>
            <a:r>
              <a:rPr lang="en-US" altLang="ja-JP" sz="1100" b="0" i="0" u="none" strike="noStrike" baseline="0">
                <a:solidFill>
                  <a:srgbClr val="000000"/>
                </a:solidFill>
                <a:latin typeface="ＭＳ ゴシック"/>
                <a:ea typeface="ＭＳ ゴシック"/>
              </a:rPr>
              <a:t>Pu</a:t>
            </a:r>
          </a:p>
        </xdr:txBody>
      </xdr:sp>
      <xdr:sp macro="" textlink="">
        <xdr:nvSpPr>
          <xdr:cNvPr id="5133" name="テキスト 13"/>
          <xdr:cNvSpPr txBox="1">
            <a:spLocks noChangeArrowheads="1"/>
          </xdr:cNvSpPr>
        </xdr:nvSpPr>
        <xdr:spPr bwMode="auto">
          <a:xfrm>
            <a:off x="13341" y="-15264"/>
            <a:ext cx="2436" cy="20"/>
          </a:xfrm>
          <a:prstGeom prst="rect">
            <a:avLst/>
          </a:prstGeom>
          <a:solidFill>
            <a:srgbClr val="FFFFFF"/>
          </a:solidFill>
          <a:ln w="1">
            <a:noFill/>
            <a:miter lim="800000"/>
            <a:headEnd/>
            <a:tailEnd/>
          </a:ln>
        </xdr:spPr>
        <xdr:txBody>
          <a:bodyPr vertOverflow="clip" wrap="square" lIns="27432" tIns="18288" rIns="0" bIns="0" anchor="t" upright="1"/>
          <a:lstStyle/>
          <a:p>
            <a:pPr algn="l" rtl="0">
              <a:defRPr sz="1000"/>
            </a:pPr>
            <a:r>
              <a:rPr lang="en-US" altLang="ja-JP" sz="1100" b="0" i="0" u="none" strike="noStrike" baseline="0">
                <a:solidFill>
                  <a:srgbClr val="000000"/>
                </a:solidFill>
                <a:latin typeface="ＭＳ ゴシック"/>
                <a:ea typeface="ＭＳ ゴシック"/>
              </a:rPr>
              <a:t>Pd</a:t>
            </a:r>
          </a:p>
        </xdr:txBody>
      </xdr:sp>
      <xdr:sp macro="" textlink="">
        <xdr:nvSpPr>
          <xdr:cNvPr id="5134" name="テキスト 14"/>
          <xdr:cNvSpPr txBox="1">
            <a:spLocks noChangeArrowheads="1"/>
          </xdr:cNvSpPr>
        </xdr:nvSpPr>
        <xdr:spPr bwMode="auto">
          <a:xfrm>
            <a:off x="13341" y="-15315"/>
            <a:ext cx="2436" cy="26"/>
          </a:xfrm>
          <a:prstGeom prst="rect">
            <a:avLst/>
          </a:prstGeom>
          <a:solidFill>
            <a:srgbClr val="FFFFFF"/>
          </a:solidFill>
          <a:ln w="1">
            <a:noFill/>
            <a:miter lim="800000"/>
            <a:headEnd/>
            <a:tailEnd/>
          </a:ln>
        </xdr:spPr>
        <xdr:txBody>
          <a:bodyPr vertOverflow="clip" wrap="square" lIns="27432" tIns="18288" rIns="0" bIns="0" anchor="t" upright="1"/>
          <a:lstStyle/>
          <a:p>
            <a:pPr algn="l" rtl="0">
              <a:defRPr sz="1000"/>
            </a:pPr>
            <a:r>
              <a:rPr lang="en-US" altLang="ja-JP" sz="1100" b="0" i="0" u="none" strike="noStrike" baseline="0">
                <a:solidFill>
                  <a:srgbClr val="000000"/>
                </a:solidFill>
                <a:latin typeface="ＭＳ ゴシック"/>
                <a:ea typeface="ＭＳ ゴシック"/>
              </a:rPr>
              <a:t>Pm</a:t>
            </a: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457200</xdr:colOff>
      <xdr:row>2</xdr:row>
      <xdr:rowOff>28575</xdr:rowOff>
    </xdr:from>
    <xdr:to>
      <xdr:col>9</xdr:col>
      <xdr:colOff>0</xdr:colOff>
      <xdr:row>19</xdr:row>
      <xdr:rowOff>0</xdr:rowOff>
    </xdr:to>
    <xdr:sp macro="" textlink="">
      <xdr:nvSpPr>
        <xdr:cNvPr id="6148" name="テキスト 4"/>
        <xdr:cNvSpPr>
          <a:spLocks noChangeArrowheads="1"/>
        </xdr:cNvSpPr>
      </xdr:nvSpPr>
      <xdr:spPr bwMode="auto">
        <a:xfrm>
          <a:off x="4352925" y="371475"/>
          <a:ext cx="2476500" cy="647700"/>
        </a:xfrm>
        <a:prstGeom prst="roundRect">
          <a:avLst>
            <a:gd name="adj" fmla="val 16667"/>
          </a:avLst>
        </a:prstGeom>
        <a:solidFill>
          <a:srgbClr val="A6CAF0"/>
        </a:solidFill>
        <a:ln w="9525">
          <a:solidFill>
            <a:srgbClr val="000000"/>
          </a:solidFill>
          <a:prstDash val="solid"/>
          <a:round/>
          <a:headEnd/>
          <a:tailEnd/>
        </a:ln>
      </xdr:spPr>
      <xdr:txBody>
        <a:bodyPr vertOverflow="clip" wrap="square" lIns="36576" tIns="18288" rIns="36576" bIns="18288" anchor="ctr" upright="1"/>
        <a:lstStyle/>
        <a:p>
          <a:pPr algn="ctr" rtl="0">
            <a:defRPr sz="1000"/>
          </a:pPr>
          <a:r>
            <a:rPr lang="ja-JP" altLang="en-US" sz="1200" b="1" i="0" u="none" strike="noStrike" baseline="0">
              <a:solidFill>
                <a:srgbClr val="000000"/>
              </a:solidFill>
              <a:latin typeface="ＭＳ ゴシック"/>
              <a:ea typeface="ＭＳ ゴシック"/>
            </a:rPr>
            <a:t>ノード間の推移確率</a:t>
          </a:r>
        </a:p>
        <a:p>
          <a:pPr algn="ctr" rtl="0">
            <a:defRPr sz="1000"/>
          </a:pPr>
          <a:r>
            <a:rPr lang="ja-JP" altLang="en-US" sz="1200" b="1" i="0" u="none" strike="noStrike" baseline="0">
              <a:solidFill>
                <a:srgbClr val="000000"/>
              </a:solidFill>
              <a:latin typeface="ＭＳ ゴシック"/>
              <a:ea typeface="ＭＳ ゴシック"/>
            </a:rPr>
            <a:t>図</a:t>
          </a:r>
          <a:r>
            <a:rPr lang="en-US" altLang="ja-JP" sz="1200" b="1" i="0" u="none" strike="noStrike" baseline="0">
              <a:solidFill>
                <a:srgbClr val="000000"/>
              </a:solidFill>
              <a:latin typeface="ＭＳ ゴシック"/>
              <a:ea typeface="ＭＳ ゴシック"/>
            </a:rPr>
            <a:t>3.5</a:t>
          </a:r>
        </a:p>
      </xdr:txBody>
    </xdr:sp>
    <xdr:clientData/>
  </xdr:twoCellAnchor>
  <xdr:twoCellAnchor>
    <xdr:from>
      <xdr:col>6</xdr:col>
      <xdr:colOff>0</xdr:colOff>
      <xdr:row>20</xdr:row>
      <xdr:rowOff>0</xdr:rowOff>
    </xdr:from>
    <xdr:to>
      <xdr:col>8</xdr:col>
      <xdr:colOff>238125</xdr:colOff>
      <xdr:row>27</xdr:row>
      <xdr:rowOff>19050</xdr:rowOff>
    </xdr:to>
    <xdr:grpSp>
      <xdr:nvGrpSpPr>
        <xdr:cNvPr id="6157" name="Group 13"/>
        <xdr:cNvGrpSpPr>
          <a:grpSpLocks/>
        </xdr:cNvGrpSpPr>
      </xdr:nvGrpSpPr>
      <xdr:grpSpPr bwMode="auto">
        <a:xfrm>
          <a:off x="4629150" y="1181100"/>
          <a:ext cx="1704975" cy="1219200"/>
          <a:chOff x="204" y="-14181"/>
          <a:chExt cx="15573" cy="128"/>
        </a:xfrm>
      </xdr:grpSpPr>
      <xdr:sp macro="" textlink="">
        <xdr:nvSpPr>
          <xdr:cNvPr id="6150" name="Line 6"/>
          <xdr:cNvSpPr>
            <a:spLocks noChangeShapeType="1"/>
          </xdr:cNvSpPr>
        </xdr:nvSpPr>
        <xdr:spPr bwMode="auto">
          <a:xfrm flipV="1">
            <a:off x="465" y="-14173"/>
            <a:ext cx="12789" cy="109"/>
          </a:xfrm>
          <a:prstGeom prst="line">
            <a:avLst/>
          </a:prstGeom>
          <a:noFill/>
          <a:ln w="9525">
            <a:solidFill>
              <a:srgbClr val="000000"/>
            </a:solidFill>
            <a:prstDash val="solid"/>
            <a:round/>
            <a:headEnd/>
            <a:tailEnd type="triangle" w="med" len="med"/>
          </a:ln>
        </xdr:spPr>
      </xdr:sp>
      <xdr:sp macro="" textlink="">
        <xdr:nvSpPr>
          <xdr:cNvPr id="6151" name="Line 7"/>
          <xdr:cNvSpPr>
            <a:spLocks noChangeShapeType="1"/>
          </xdr:cNvSpPr>
        </xdr:nvSpPr>
        <xdr:spPr bwMode="auto">
          <a:xfrm flipV="1">
            <a:off x="204" y="-14117"/>
            <a:ext cx="13137" cy="53"/>
          </a:xfrm>
          <a:prstGeom prst="line">
            <a:avLst/>
          </a:prstGeom>
          <a:noFill/>
          <a:ln w="9525">
            <a:solidFill>
              <a:srgbClr val="000000"/>
            </a:solidFill>
            <a:prstDash val="solid"/>
            <a:round/>
            <a:headEnd/>
            <a:tailEnd type="triangle" w="med" len="med"/>
          </a:ln>
        </xdr:spPr>
      </xdr:sp>
      <xdr:sp macro="" textlink="">
        <xdr:nvSpPr>
          <xdr:cNvPr id="6152" name="Line 8"/>
          <xdr:cNvSpPr>
            <a:spLocks noChangeShapeType="1"/>
          </xdr:cNvSpPr>
        </xdr:nvSpPr>
        <xdr:spPr bwMode="auto">
          <a:xfrm>
            <a:off x="465" y="-14064"/>
            <a:ext cx="12789" cy="1"/>
          </a:xfrm>
          <a:prstGeom prst="line">
            <a:avLst/>
          </a:prstGeom>
          <a:noFill/>
          <a:ln w="9525">
            <a:solidFill>
              <a:srgbClr val="000000"/>
            </a:solidFill>
            <a:prstDash val="solid"/>
            <a:round/>
            <a:headEnd/>
            <a:tailEnd type="triangle" w="med" len="med"/>
          </a:ln>
        </xdr:spPr>
      </xdr:sp>
      <xdr:sp macro="" textlink="">
        <xdr:nvSpPr>
          <xdr:cNvPr id="6153" name="テキスト 9"/>
          <xdr:cNvSpPr txBox="1">
            <a:spLocks noChangeArrowheads="1"/>
          </xdr:cNvSpPr>
        </xdr:nvSpPr>
        <xdr:spPr bwMode="auto">
          <a:xfrm>
            <a:off x="13341" y="-14181"/>
            <a:ext cx="2436" cy="19"/>
          </a:xfrm>
          <a:prstGeom prst="rect">
            <a:avLst/>
          </a:prstGeom>
          <a:solidFill>
            <a:srgbClr val="FFFFFF"/>
          </a:solidFill>
          <a:ln w="1">
            <a:noFill/>
            <a:miter lim="800000"/>
            <a:headEnd/>
            <a:tailEnd/>
          </a:ln>
        </xdr:spPr>
        <xdr:txBody>
          <a:bodyPr vertOverflow="clip" wrap="square" lIns="27432" tIns="18288" rIns="0" bIns="0" anchor="t" upright="1"/>
          <a:lstStyle/>
          <a:p>
            <a:pPr algn="l" rtl="0">
              <a:defRPr sz="1000"/>
            </a:pPr>
            <a:r>
              <a:rPr lang="en-US" altLang="ja-JP" sz="1100" b="0" i="0" u="none" strike="noStrike" baseline="0">
                <a:solidFill>
                  <a:srgbClr val="000000"/>
                </a:solidFill>
                <a:latin typeface="ＭＳ ゴシック"/>
                <a:ea typeface="ＭＳ ゴシック"/>
              </a:rPr>
              <a:t>Pu</a:t>
            </a:r>
          </a:p>
        </xdr:txBody>
      </xdr:sp>
      <xdr:sp macro="" textlink="">
        <xdr:nvSpPr>
          <xdr:cNvPr id="6154" name="テキスト 10"/>
          <xdr:cNvSpPr txBox="1">
            <a:spLocks noChangeArrowheads="1"/>
          </xdr:cNvSpPr>
        </xdr:nvSpPr>
        <xdr:spPr bwMode="auto">
          <a:xfrm>
            <a:off x="13341" y="-14073"/>
            <a:ext cx="2436" cy="20"/>
          </a:xfrm>
          <a:prstGeom prst="rect">
            <a:avLst/>
          </a:prstGeom>
          <a:solidFill>
            <a:srgbClr val="FFFFFF"/>
          </a:solidFill>
          <a:ln w="1">
            <a:noFill/>
            <a:miter lim="800000"/>
            <a:headEnd/>
            <a:tailEnd/>
          </a:ln>
        </xdr:spPr>
        <xdr:txBody>
          <a:bodyPr vertOverflow="clip" wrap="square" lIns="27432" tIns="18288" rIns="0" bIns="0" anchor="t" upright="1"/>
          <a:lstStyle/>
          <a:p>
            <a:pPr algn="l" rtl="0">
              <a:defRPr sz="1000"/>
            </a:pPr>
            <a:r>
              <a:rPr lang="en-US" altLang="ja-JP" sz="1100" b="0" i="0" u="none" strike="noStrike" baseline="0">
                <a:solidFill>
                  <a:srgbClr val="000000"/>
                </a:solidFill>
                <a:latin typeface="ＭＳ ゴシック"/>
                <a:ea typeface="ＭＳ ゴシック"/>
              </a:rPr>
              <a:t>Pd</a:t>
            </a:r>
          </a:p>
        </xdr:txBody>
      </xdr:sp>
      <xdr:sp macro="" textlink="">
        <xdr:nvSpPr>
          <xdr:cNvPr id="6155" name="テキスト 11"/>
          <xdr:cNvSpPr txBox="1">
            <a:spLocks noChangeArrowheads="1"/>
          </xdr:cNvSpPr>
        </xdr:nvSpPr>
        <xdr:spPr bwMode="auto">
          <a:xfrm>
            <a:off x="13341" y="-14124"/>
            <a:ext cx="2436" cy="27"/>
          </a:xfrm>
          <a:prstGeom prst="rect">
            <a:avLst/>
          </a:prstGeom>
          <a:solidFill>
            <a:srgbClr val="FFFFFF"/>
          </a:solidFill>
          <a:ln w="1">
            <a:noFill/>
            <a:miter lim="800000"/>
            <a:headEnd/>
            <a:tailEnd/>
          </a:ln>
        </xdr:spPr>
        <xdr:txBody>
          <a:bodyPr vertOverflow="clip" wrap="square" lIns="27432" tIns="18288" rIns="0" bIns="0" anchor="t" upright="1"/>
          <a:lstStyle/>
          <a:p>
            <a:pPr algn="l" rtl="0">
              <a:defRPr sz="1000"/>
            </a:pPr>
            <a:r>
              <a:rPr lang="en-US" altLang="ja-JP" sz="1100" b="0" i="0" u="none" strike="noStrike" baseline="0">
                <a:solidFill>
                  <a:srgbClr val="000000"/>
                </a:solidFill>
                <a:latin typeface="ＭＳ ゴシック"/>
                <a:ea typeface="ＭＳ ゴシック"/>
              </a:rPr>
              <a:t>Pm</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9525</xdr:colOff>
      <xdr:row>1</xdr:row>
      <xdr:rowOff>161925</xdr:rowOff>
    </xdr:from>
    <xdr:to>
      <xdr:col>4</xdr:col>
      <xdr:colOff>266700</xdr:colOff>
      <xdr:row>5</xdr:row>
      <xdr:rowOff>152400</xdr:rowOff>
    </xdr:to>
    <xdr:sp macro="" textlink="">
      <xdr:nvSpPr>
        <xdr:cNvPr id="7169" name="テキスト 1"/>
        <xdr:cNvSpPr>
          <a:spLocks noChangeArrowheads="1"/>
        </xdr:cNvSpPr>
      </xdr:nvSpPr>
      <xdr:spPr bwMode="auto">
        <a:xfrm>
          <a:off x="285750" y="333375"/>
          <a:ext cx="2876550" cy="676275"/>
        </a:xfrm>
        <a:prstGeom prst="roundRect">
          <a:avLst>
            <a:gd name="adj" fmla="val 16667"/>
          </a:avLst>
        </a:prstGeom>
        <a:solidFill>
          <a:srgbClr val="FF00FF"/>
        </a:solidFill>
        <a:ln w="9525">
          <a:solidFill>
            <a:srgbClr val="000000"/>
          </a:solidFill>
          <a:prstDash val="solid"/>
          <a:round/>
          <a:headEnd/>
          <a:tailEnd/>
        </a:ln>
      </xdr:spPr>
      <xdr:txBody>
        <a:bodyPr vertOverflow="clip" wrap="square" lIns="36576" tIns="18288" rIns="36576" bIns="18288" anchor="ctr" upright="1"/>
        <a:lstStyle/>
        <a:p>
          <a:pPr algn="ctr" rtl="0">
            <a:defRPr sz="1000"/>
          </a:pPr>
          <a:r>
            <a:rPr lang="ja-JP" altLang="en-US" sz="1200" b="1" i="0" u="none" strike="noStrike" baseline="0">
              <a:solidFill>
                <a:srgbClr val="000000"/>
              </a:solidFill>
              <a:latin typeface="ＭＳ ゴシック"/>
              <a:ea typeface="ＭＳ ゴシック"/>
            </a:rPr>
            <a:t>市場の</a:t>
          </a:r>
        </a:p>
        <a:p>
          <a:pPr algn="ctr" rtl="0">
            <a:defRPr sz="1000"/>
          </a:pPr>
          <a:r>
            <a:rPr lang="ja-JP" altLang="en-US" sz="1200" b="1" i="0" u="none" strike="noStrike" baseline="0">
              <a:solidFill>
                <a:srgbClr val="000000"/>
              </a:solidFill>
              <a:latin typeface="ＭＳ ゴシック"/>
              <a:ea typeface="ＭＳ ゴシック"/>
            </a:rPr>
            <a:t>ディスカウント・ファクター</a:t>
          </a:r>
        </a:p>
      </xdr:txBody>
    </xdr:sp>
    <xdr:clientData/>
  </xdr:twoCellAnchor>
  <xdr:twoCellAnchor>
    <xdr:from>
      <xdr:col>6</xdr:col>
      <xdr:colOff>247650</xdr:colOff>
      <xdr:row>7</xdr:row>
      <xdr:rowOff>0</xdr:rowOff>
    </xdr:from>
    <xdr:to>
      <xdr:col>13</xdr:col>
      <xdr:colOff>476250</xdr:colOff>
      <xdr:row>32</xdr:row>
      <xdr:rowOff>171450</xdr:rowOff>
    </xdr:to>
    <xdr:graphicFrame macro="">
      <xdr:nvGraphicFramePr>
        <xdr:cNvPr id="7171"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wsDr>
</file>

<file path=xl/drawings/drawing8.xml><?xml version="1.0" encoding="utf-8"?>
<xdr:wsDr xmlns:xdr="http://schemas.openxmlformats.org/drawingml/2006/spreadsheetDrawing" xmlns:a="http://schemas.openxmlformats.org/drawingml/2006/main">
  <xdr:twoCellAnchor>
    <xdr:from>
      <xdr:col>2</xdr:col>
      <xdr:colOff>0</xdr:colOff>
      <xdr:row>6</xdr:row>
      <xdr:rowOff>9525</xdr:rowOff>
    </xdr:from>
    <xdr:to>
      <xdr:col>7</xdr:col>
      <xdr:colOff>390525</xdr:colOff>
      <xdr:row>10</xdr:row>
      <xdr:rowOff>0</xdr:rowOff>
    </xdr:to>
    <xdr:sp macro="" textlink="">
      <xdr:nvSpPr>
        <xdr:cNvPr id="8193" name="テキスト 1"/>
        <xdr:cNvSpPr>
          <a:spLocks noChangeArrowheads="1"/>
        </xdr:cNvSpPr>
      </xdr:nvSpPr>
      <xdr:spPr bwMode="auto">
        <a:xfrm>
          <a:off x="628650" y="1038225"/>
          <a:ext cx="3676650" cy="676275"/>
        </a:xfrm>
        <a:prstGeom prst="roundRect">
          <a:avLst>
            <a:gd name="adj" fmla="val 16667"/>
          </a:avLst>
        </a:prstGeom>
        <a:solidFill>
          <a:srgbClr val="FF00FF"/>
        </a:solidFill>
        <a:ln w="9525">
          <a:solidFill>
            <a:srgbClr val="000000"/>
          </a:solidFill>
          <a:prstDash val="solid"/>
          <a:round/>
          <a:headEnd/>
          <a:tailEnd/>
        </a:ln>
      </xdr:spPr>
      <xdr:txBody>
        <a:bodyPr vertOverflow="clip" wrap="square" lIns="36576" tIns="18288" rIns="36576" bIns="18288" anchor="ctr" upright="1"/>
        <a:lstStyle/>
        <a:p>
          <a:pPr algn="ctr" rtl="0">
            <a:defRPr sz="1000"/>
          </a:pPr>
          <a:r>
            <a:rPr lang="ja-JP" altLang="en-US" sz="1200" b="1" i="0" u="none" strike="noStrike" baseline="0">
              <a:solidFill>
                <a:srgbClr val="000000"/>
              </a:solidFill>
              <a:latin typeface="ＭＳ ゴシック"/>
              <a:ea typeface="ＭＳ ゴシック"/>
            </a:rPr>
            <a:t>割引債価格</a:t>
          </a:r>
        </a:p>
        <a:p>
          <a:pPr algn="ctr" rtl="0">
            <a:defRPr sz="1000"/>
          </a:pPr>
          <a:r>
            <a:rPr lang="en-US" altLang="ja-JP" sz="1200" b="1" i="0" u="none" strike="noStrike" baseline="0">
              <a:solidFill>
                <a:srgbClr val="000000"/>
              </a:solidFill>
              <a:latin typeface="ＭＳ ゴシック"/>
              <a:ea typeface="ＭＳ ゴシック"/>
            </a:rPr>
            <a:t>(</a:t>
          </a:r>
          <a:r>
            <a:rPr lang="ja-JP" altLang="en-US" sz="1200" b="1" i="0" u="none" strike="noStrike" baseline="0">
              <a:solidFill>
                <a:srgbClr val="000000"/>
              </a:solidFill>
              <a:latin typeface="ＭＳ ゴシック"/>
              <a:ea typeface="ＭＳ ゴシック"/>
            </a:rPr>
            <a:t>ディスカウント・ファクター</a:t>
          </a:r>
          <a:r>
            <a:rPr lang="en-US" altLang="ja-JP" sz="1200" b="1" i="0" u="none" strike="noStrike" baseline="0">
              <a:solidFill>
                <a:srgbClr val="000000"/>
              </a:solidFill>
              <a:latin typeface="ＭＳ ゴシック"/>
              <a:ea typeface="ＭＳ ゴシック"/>
            </a:rPr>
            <a:t>)</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0</xdr:colOff>
      <xdr:row>6</xdr:row>
      <xdr:rowOff>0</xdr:rowOff>
    </xdr:from>
    <xdr:to>
      <xdr:col>6</xdr:col>
      <xdr:colOff>28575</xdr:colOff>
      <xdr:row>9</xdr:row>
      <xdr:rowOff>161925</xdr:rowOff>
    </xdr:to>
    <xdr:sp macro="" textlink="">
      <xdr:nvSpPr>
        <xdr:cNvPr id="9217" name="テキスト 1"/>
        <xdr:cNvSpPr>
          <a:spLocks noChangeArrowheads="1"/>
        </xdr:cNvSpPr>
      </xdr:nvSpPr>
      <xdr:spPr bwMode="auto">
        <a:xfrm>
          <a:off x="628650" y="1028700"/>
          <a:ext cx="2657475" cy="676275"/>
        </a:xfrm>
        <a:prstGeom prst="roundRect">
          <a:avLst>
            <a:gd name="adj" fmla="val 16667"/>
          </a:avLst>
        </a:prstGeom>
        <a:solidFill>
          <a:srgbClr val="FF00FF"/>
        </a:solidFill>
        <a:ln w="9525">
          <a:solidFill>
            <a:srgbClr val="000000"/>
          </a:solidFill>
          <a:prstDash val="solid"/>
          <a:round/>
          <a:headEnd/>
          <a:tailEnd/>
        </a:ln>
      </xdr:spPr>
      <xdr:txBody>
        <a:bodyPr vertOverflow="clip" wrap="square" lIns="36576" tIns="18288" rIns="36576" bIns="18288" anchor="ctr" upright="1"/>
        <a:lstStyle/>
        <a:p>
          <a:pPr algn="ctr" rtl="0">
            <a:defRPr sz="1000"/>
          </a:pPr>
          <a:r>
            <a:rPr lang="ja-JP" altLang="en-US" sz="1200" b="1" i="0" u="none" strike="noStrike" baseline="0">
              <a:solidFill>
                <a:srgbClr val="000000"/>
              </a:solidFill>
              <a:latin typeface="ＭＳ ゴシック"/>
              <a:ea typeface="ＭＳ ゴシック"/>
            </a:rPr>
            <a:t>アロー・デブリュー証券</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247650</xdr:colOff>
      <xdr:row>6</xdr:row>
      <xdr:rowOff>9525</xdr:rowOff>
    </xdr:from>
    <xdr:to>
      <xdr:col>5</xdr:col>
      <xdr:colOff>228600</xdr:colOff>
      <xdr:row>9</xdr:row>
      <xdr:rowOff>152400</xdr:rowOff>
    </xdr:to>
    <xdr:sp macro="" textlink="">
      <xdr:nvSpPr>
        <xdr:cNvPr id="10241" name="テキスト 1"/>
        <xdr:cNvSpPr>
          <a:spLocks noChangeArrowheads="1"/>
        </xdr:cNvSpPr>
      </xdr:nvSpPr>
      <xdr:spPr bwMode="auto">
        <a:xfrm>
          <a:off x="600075" y="1038225"/>
          <a:ext cx="2228850" cy="657225"/>
        </a:xfrm>
        <a:prstGeom prst="roundRect">
          <a:avLst>
            <a:gd name="adj" fmla="val 16667"/>
          </a:avLst>
        </a:prstGeom>
        <a:solidFill>
          <a:srgbClr val="FF00FF"/>
        </a:solidFill>
        <a:ln w="9525">
          <a:solidFill>
            <a:srgbClr val="000000"/>
          </a:solidFill>
          <a:prstDash val="solid"/>
          <a:round/>
          <a:headEnd/>
          <a:tailEnd/>
        </a:ln>
      </xdr:spPr>
      <xdr:txBody>
        <a:bodyPr vertOverflow="clip" wrap="square" lIns="36576" tIns="18288" rIns="36576" bIns="18288" anchor="ctr" upright="1"/>
        <a:lstStyle/>
        <a:p>
          <a:pPr algn="ctr" rtl="0">
            <a:defRPr sz="1000"/>
          </a:pPr>
          <a:r>
            <a:rPr lang="ja-JP" altLang="en-US" sz="1200" b="1" i="0" u="none" strike="noStrike" baseline="0">
              <a:solidFill>
                <a:srgbClr val="000000"/>
              </a:solidFill>
              <a:latin typeface="ＭＳ ゴシック"/>
              <a:ea typeface="ＭＳ ゴシック"/>
            </a:rPr>
            <a:t>アルファ</a:t>
          </a:r>
        </a:p>
      </xdr:txBody>
    </xdr:sp>
    <xdr:clientData/>
  </xdr:twoCellAnchor>
  <xdr:oneCellAnchor>
    <xdr:from>
      <xdr:col>7</xdr:col>
      <xdr:colOff>338053</xdr:colOff>
      <xdr:row>6</xdr:row>
      <xdr:rowOff>16048</xdr:rowOff>
    </xdr:from>
    <xdr:ext cx="2486193" cy="220317"/>
    <xdr:sp macro="" textlink="">
      <xdr:nvSpPr>
        <xdr:cNvPr id="10242" name="テキスト 2"/>
        <xdr:cNvSpPr txBox="1">
          <a:spLocks noChangeArrowheads="1"/>
        </xdr:cNvSpPr>
      </xdr:nvSpPr>
      <xdr:spPr bwMode="auto">
        <a:xfrm>
          <a:off x="4243303" y="1016173"/>
          <a:ext cx="2486193" cy="220317"/>
        </a:xfrm>
        <a:prstGeom prst="rect">
          <a:avLst/>
        </a:prstGeom>
        <a:solidFill>
          <a:srgbClr val="0000FF"/>
        </a:solidFill>
        <a:ln w="9525">
          <a:solidFill>
            <a:srgbClr val="000000"/>
          </a:solidFill>
          <a:prstDash val="solid"/>
          <a:miter lim="800000"/>
          <a:headEnd/>
          <a:tailEnd/>
        </a:ln>
      </xdr:spPr>
      <xdr:txBody>
        <a:bodyPr wrap="none" lIns="18288" tIns="18288" rIns="18288" bIns="18288" anchor="ctr" upright="1">
          <a:spAutoFit/>
        </a:bodyPr>
        <a:lstStyle/>
        <a:p>
          <a:pPr algn="ctr" rtl="0">
            <a:defRPr sz="1000"/>
          </a:pPr>
          <a:r>
            <a:rPr lang="ja-JP" altLang="en-US" sz="1100" b="0" i="0" u="none" strike="noStrike" baseline="0">
              <a:solidFill>
                <a:srgbClr val="FFFFFF"/>
              </a:solidFill>
              <a:latin typeface="明朝"/>
            </a:rPr>
            <a:t>アルファの値はこの色の部分になります。</a:t>
          </a:r>
        </a:p>
      </xdr:txBody>
    </xdr:sp>
    <xdr:clientData/>
  </xdr:oneCellAnchor>
  <xdr:twoCellAnchor>
    <xdr:from>
      <xdr:col>6</xdr:col>
      <xdr:colOff>238125</xdr:colOff>
      <xdr:row>5</xdr:row>
      <xdr:rowOff>9525</xdr:rowOff>
    </xdr:from>
    <xdr:to>
      <xdr:col>6</xdr:col>
      <xdr:colOff>533400</xdr:colOff>
      <xdr:row>6</xdr:row>
      <xdr:rowOff>133350</xdr:rowOff>
    </xdr:to>
    <xdr:sp macro="" textlink="">
      <xdr:nvSpPr>
        <xdr:cNvPr id="10243" name="Line 3"/>
        <xdr:cNvSpPr>
          <a:spLocks noChangeShapeType="1"/>
        </xdr:cNvSpPr>
      </xdr:nvSpPr>
      <xdr:spPr bwMode="auto">
        <a:xfrm flipH="1" flipV="1">
          <a:off x="3495675" y="866775"/>
          <a:ext cx="295275" cy="295275"/>
        </a:xfrm>
        <a:prstGeom prst="line">
          <a:avLst/>
        </a:prstGeom>
        <a:noFill/>
        <a:ln w="9525">
          <a:solidFill>
            <a:srgbClr val="000000"/>
          </a:solidFill>
          <a:prstDash val="solid"/>
          <a:round/>
          <a:headEnd/>
          <a:tailEnd type="triangle" w="med" len="med"/>
        </a:ln>
      </xdr:spPr>
    </xdr:sp>
    <xdr:clientData/>
  </xdr:twoCellAnchor>
  <xdr:twoCellAnchor>
    <xdr:from>
      <xdr:col>6</xdr:col>
      <xdr:colOff>533400</xdr:colOff>
      <xdr:row>6</xdr:row>
      <xdr:rowOff>133350</xdr:rowOff>
    </xdr:from>
    <xdr:to>
      <xdr:col>7</xdr:col>
      <xdr:colOff>161925</xdr:colOff>
      <xdr:row>6</xdr:row>
      <xdr:rowOff>133350</xdr:rowOff>
    </xdr:to>
    <xdr:sp macro="" textlink="">
      <xdr:nvSpPr>
        <xdr:cNvPr id="10244" name="Line 4"/>
        <xdr:cNvSpPr>
          <a:spLocks noChangeShapeType="1"/>
        </xdr:cNvSpPr>
      </xdr:nvSpPr>
      <xdr:spPr bwMode="auto">
        <a:xfrm flipH="1">
          <a:off x="3790950" y="1162050"/>
          <a:ext cx="285750" cy="0"/>
        </a:xfrm>
        <a:prstGeom prst="line">
          <a:avLst/>
        </a:prstGeom>
        <a:noFill/>
        <a:ln w="9525">
          <a:solidFill>
            <a:srgbClr val="000000"/>
          </a:solidFill>
          <a:prstDash val="solid"/>
          <a:round/>
          <a:headEnd/>
          <a:tailEnd type="none" w="med" len="med"/>
        </a:ln>
      </xdr:spPr>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0</xdr:colOff>
      <xdr:row>6</xdr:row>
      <xdr:rowOff>0</xdr:rowOff>
    </xdr:from>
    <xdr:to>
      <xdr:col>5</xdr:col>
      <xdr:colOff>200025</xdr:colOff>
      <xdr:row>9</xdr:row>
      <xdr:rowOff>152400</xdr:rowOff>
    </xdr:to>
    <xdr:sp macro="" textlink="">
      <xdr:nvSpPr>
        <xdr:cNvPr id="11265" name="テキスト 1"/>
        <xdr:cNvSpPr>
          <a:spLocks noChangeArrowheads="1"/>
        </xdr:cNvSpPr>
      </xdr:nvSpPr>
      <xdr:spPr bwMode="auto">
        <a:xfrm>
          <a:off x="628650" y="1028700"/>
          <a:ext cx="2171700" cy="666750"/>
        </a:xfrm>
        <a:prstGeom prst="roundRect">
          <a:avLst>
            <a:gd name="adj" fmla="val 16667"/>
          </a:avLst>
        </a:prstGeom>
        <a:solidFill>
          <a:srgbClr val="FF00FF"/>
        </a:solidFill>
        <a:ln w="9525">
          <a:solidFill>
            <a:srgbClr val="000000"/>
          </a:solidFill>
          <a:prstDash val="solid"/>
          <a:round/>
          <a:headEnd/>
          <a:tailEnd/>
        </a:ln>
      </xdr:spPr>
      <xdr:txBody>
        <a:bodyPr vertOverflow="clip" wrap="square" lIns="36576" tIns="18288" rIns="36576" bIns="18288" anchor="ctr" upright="1"/>
        <a:lstStyle/>
        <a:p>
          <a:pPr algn="ctr" rtl="0">
            <a:defRPr sz="1000"/>
          </a:pPr>
          <a:r>
            <a:rPr lang="ja-JP" altLang="en-US" sz="1200" b="1" i="0" u="none" strike="noStrike" baseline="0">
              <a:solidFill>
                <a:srgbClr val="000000"/>
              </a:solidFill>
              <a:latin typeface="ＭＳ ゴシック"/>
              <a:ea typeface="ＭＳ ゴシック"/>
            </a:rPr>
            <a:t>到達確率</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xdr:col>
      <xdr:colOff>9525</xdr:colOff>
      <xdr:row>6</xdr:row>
      <xdr:rowOff>0</xdr:rowOff>
    </xdr:from>
    <xdr:to>
      <xdr:col>5</xdr:col>
      <xdr:colOff>200025</xdr:colOff>
      <xdr:row>9</xdr:row>
      <xdr:rowOff>152400</xdr:rowOff>
    </xdr:to>
    <xdr:sp macro="" textlink="">
      <xdr:nvSpPr>
        <xdr:cNvPr id="12290" name="テキスト 2"/>
        <xdr:cNvSpPr>
          <a:spLocks noChangeArrowheads="1"/>
        </xdr:cNvSpPr>
      </xdr:nvSpPr>
      <xdr:spPr bwMode="auto">
        <a:xfrm>
          <a:off x="638175" y="1028700"/>
          <a:ext cx="2162175" cy="666750"/>
        </a:xfrm>
        <a:prstGeom prst="roundRect">
          <a:avLst>
            <a:gd name="adj" fmla="val 16667"/>
          </a:avLst>
        </a:prstGeom>
        <a:solidFill>
          <a:srgbClr val="00FFFF"/>
        </a:solidFill>
        <a:ln w="9525">
          <a:solidFill>
            <a:srgbClr val="000000"/>
          </a:solidFill>
          <a:prstDash val="solid"/>
          <a:round/>
          <a:headEnd/>
          <a:tailEnd/>
        </a:ln>
      </xdr:spPr>
      <xdr:txBody>
        <a:bodyPr vertOverflow="clip" wrap="square" lIns="36576" tIns="18288" rIns="36576" bIns="18288" anchor="ctr" upright="1"/>
        <a:lstStyle/>
        <a:p>
          <a:pPr algn="ctr" rtl="0">
            <a:defRPr sz="1000"/>
          </a:pPr>
          <a:r>
            <a:rPr lang="ja-JP" altLang="en-US" sz="1200" b="1" i="0" u="none" strike="noStrike" baseline="0">
              <a:solidFill>
                <a:srgbClr val="000000"/>
              </a:solidFill>
              <a:latin typeface="ＭＳ ゴシック"/>
              <a:ea typeface="ＭＳ ゴシック"/>
            </a:rPr>
            <a:t>ショートレート</a:t>
          </a:r>
        </a:p>
        <a:p>
          <a:pPr algn="ctr" rtl="0">
            <a:defRPr sz="1000"/>
          </a:pPr>
          <a:r>
            <a:rPr lang="ja-JP" altLang="en-US" sz="1200" b="1" i="0" u="none" strike="noStrike" baseline="0">
              <a:solidFill>
                <a:srgbClr val="000000"/>
              </a:solidFill>
              <a:latin typeface="ＭＳ ゴシック"/>
              <a:ea typeface="ＭＳ ゴシック"/>
            </a:rPr>
            <a:t>単位（％）</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266700</xdr:colOff>
      <xdr:row>0</xdr:row>
      <xdr:rowOff>85725</xdr:rowOff>
    </xdr:from>
    <xdr:to>
      <xdr:col>9</xdr:col>
      <xdr:colOff>28575</xdr:colOff>
      <xdr:row>23</xdr:row>
      <xdr:rowOff>152400</xdr:rowOff>
    </xdr:to>
    <xdr:graphicFrame macro="">
      <xdr:nvGraphicFramePr>
        <xdr:cNvPr id="13313"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2</xdr:col>
      <xdr:colOff>9525</xdr:colOff>
      <xdr:row>6</xdr:row>
      <xdr:rowOff>0</xdr:rowOff>
    </xdr:from>
    <xdr:to>
      <xdr:col>5</xdr:col>
      <xdr:colOff>619125</xdr:colOff>
      <xdr:row>9</xdr:row>
      <xdr:rowOff>152400</xdr:rowOff>
    </xdr:to>
    <xdr:sp macro="" textlink="">
      <xdr:nvSpPr>
        <xdr:cNvPr id="14341" name="テキスト 5"/>
        <xdr:cNvSpPr>
          <a:spLocks noChangeArrowheads="1"/>
        </xdr:cNvSpPr>
      </xdr:nvSpPr>
      <xdr:spPr bwMode="auto">
        <a:xfrm>
          <a:off x="638175" y="1028700"/>
          <a:ext cx="2581275" cy="666750"/>
        </a:xfrm>
        <a:prstGeom prst="roundRect">
          <a:avLst>
            <a:gd name="adj" fmla="val 16667"/>
          </a:avLst>
        </a:prstGeom>
        <a:solidFill>
          <a:srgbClr val="69FFFF"/>
        </a:solidFill>
        <a:ln w="9525">
          <a:solidFill>
            <a:srgbClr val="000000"/>
          </a:solidFill>
          <a:prstDash val="solid"/>
          <a:round/>
          <a:headEnd/>
          <a:tailEnd/>
        </a:ln>
      </xdr:spPr>
      <xdr:txBody>
        <a:bodyPr vertOverflow="clip" wrap="square" lIns="36576" tIns="18288" rIns="36576" bIns="18288" anchor="ctr" upright="1"/>
        <a:lstStyle/>
        <a:p>
          <a:pPr algn="ctr" rtl="0">
            <a:defRPr sz="1000"/>
          </a:pPr>
          <a:r>
            <a:rPr lang="ja-JP" altLang="en-US" sz="1200" b="1" i="0" u="none" strike="noStrike" baseline="0">
              <a:solidFill>
                <a:srgbClr val="000000"/>
              </a:solidFill>
              <a:latin typeface="ＭＳ ゴシック"/>
              <a:ea typeface="ＭＳ ゴシック"/>
            </a:rPr>
            <a:t>参照金利</a:t>
          </a:r>
        </a:p>
        <a:p>
          <a:pPr algn="ctr" rtl="0">
            <a:defRPr sz="1000"/>
          </a:pPr>
          <a:r>
            <a:rPr lang="ja-JP" altLang="en-US" sz="1200" b="1" i="0" u="none" strike="noStrike" baseline="0">
              <a:solidFill>
                <a:srgbClr val="000000"/>
              </a:solidFill>
              <a:latin typeface="ＭＳ ゴシック"/>
              <a:ea typeface="ＭＳ ゴシック"/>
            </a:rPr>
            <a:t>　単位（％）</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0</xdr:colOff>
      <xdr:row>6</xdr:row>
      <xdr:rowOff>0</xdr:rowOff>
    </xdr:from>
    <xdr:to>
      <xdr:col>5</xdr:col>
      <xdr:colOff>200025</xdr:colOff>
      <xdr:row>9</xdr:row>
      <xdr:rowOff>152400</xdr:rowOff>
    </xdr:to>
    <xdr:sp macro="" textlink="">
      <xdr:nvSpPr>
        <xdr:cNvPr id="15361" name="テキスト 1"/>
        <xdr:cNvSpPr>
          <a:spLocks noChangeArrowheads="1"/>
        </xdr:cNvSpPr>
      </xdr:nvSpPr>
      <xdr:spPr bwMode="auto">
        <a:xfrm>
          <a:off x="628650" y="1028700"/>
          <a:ext cx="2171700" cy="666750"/>
        </a:xfrm>
        <a:prstGeom prst="roundRect">
          <a:avLst>
            <a:gd name="adj" fmla="val 16667"/>
          </a:avLst>
        </a:prstGeom>
        <a:solidFill>
          <a:srgbClr val="69FFFF"/>
        </a:solidFill>
        <a:ln w="9525">
          <a:solidFill>
            <a:srgbClr val="000000"/>
          </a:solidFill>
          <a:prstDash val="solid"/>
          <a:round/>
          <a:headEnd/>
          <a:tailEnd/>
        </a:ln>
      </xdr:spPr>
      <xdr:txBody>
        <a:bodyPr vertOverflow="clip" wrap="square" lIns="36576" tIns="18288" rIns="36576" bIns="18288" anchor="ctr" upright="1"/>
        <a:lstStyle/>
        <a:p>
          <a:pPr algn="ctr" rtl="0">
            <a:defRPr sz="1000"/>
          </a:pPr>
          <a:r>
            <a:rPr lang="ja-JP" altLang="en-US" sz="1200" b="1" i="0" u="none" strike="noStrike" baseline="0">
              <a:solidFill>
                <a:srgbClr val="000000"/>
              </a:solidFill>
              <a:latin typeface="ＭＳ ゴシック"/>
              <a:ea typeface="ＭＳ ゴシック"/>
            </a:rPr>
            <a:t>ディスカウント</a:t>
          </a:r>
        </a:p>
        <a:p>
          <a:pPr algn="ctr" rtl="0">
            <a:defRPr sz="1000"/>
          </a:pPr>
          <a:r>
            <a:rPr lang="ja-JP" altLang="en-US" sz="1200" b="1" i="0" u="none" strike="noStrike" baseline="0">
              <a:solidFill>
                <a:srgbClr val="000000"/>
              </a:solidFill>
              <a:latin typeface="ＭＳ ゴシック"/>
              <a:ea typeface="ＭＳ ゴシック"/>
            </a:rPr>
            <a:t>・ファクター</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2</xdr:col>
      <xdr:colOff>0</xdr:colOff>
      <xdr:row>6</xdr:row>
      <xdr:rowOff>0</xdr:rowOff>
    </xdr:from>
    <xdr:to>
      <xdr:col>6</xdr:col>
      <xdr:colOff>504825</xdr:colOff>
      <xdr:row>9</xdr:row>
      <xdr:rowOff>152400</xdr:rowOff>
    </xdr:to>
    <xdr:sp macro="" textlink="">
      <xdr:nvSpPr>
        <xdr:cNvPr id="16390" name="テキスト 6"/>
        <xdr:cNvSpPr>
          <a:spLocks noChangeArrowheads="1"/>
        </xdr:cNvSpPr>
      </xdr:nvSpPr>
      <xdr:spPr bwMode="auto">
        <a:xfrm>
          <a:off x="628650" y="1028700"/>
          <a:ext cx="3133725" cy="666750"/>
        </a:xfrm>
        <a:prstGeom prst="roundRect">
          <a:avLst>
            <a:gd name="adj" fmla="val 16667"/>
          </a:avLst>
        </a:prstGeom>
        <a:solidFill>
          <a:srgbClr val="00FF00"/>
        </a:solidFill>
        <a:ln w="9525">
          <a:solidFill>
            <a:srgbClr val="000000"/>
          </a:solidFill>
          <a:prstDash val="solid"/>
          <a:round/>
          <a:headEnd/>
          <a:tailEnd/>
        </a:ln>
      </xdr:spPr>
      <xdr:txBody>
        <a:bodyPr vertOverflow="clip" wrap="square" lIns="36576" tIns="18288" rIns="36576" bIns="18288" anchor="ctr" upright="1"/>
        <a:lstStyle/>
        <a:p>
          <a:pPr algn="ctr" rtl="0">
            <a:defRPr sz="1000"/>
          </a:pPr>
          <a:r>
            <a:rPr lang="ja-JP" altLang="en-US" sz="1200" b="1" i="0" u="none" strike="noStrike" baseline="0">
              <a:solidFill>
                <a:srgbClr val="000000"/>
              </a:solidFill>
              <a:latin typeface="ＭＳ ゴシック"/>
              <a:ea typeface="ＭＳ ゴシック"/>
            </a:rPr>
            <a:t>バックワード・インダクション</a:t>
          </a:r>
        </a:p>
        <a:p>
          <a:pPr algn="ctr" rtl="0">
            <a:defRPr sz="1000"/>
          </a:pPr>
          <a:r>
            <a:rPr lang="ja-JP" altLang="en-US" sz="1200" b="1" i="0" u="none" strike="noStrike" baseline="0">
              <a:solidFill>
                <a:srgbClr val="000000"/>
              </a:solidFill>
              <a:latin typeface="ＭＳ ゴシック"/>
              <a:ea typeface="ＭＳ ゴシック"/>
            </a:rPr>
            <a:t>プライシング</a:t>
          </a:r>
        </a:p>
      </xdr:txBody>
    </xdr:sp>
    <xdr:clientData/>
  </xdr:twoCellAnchor>
  <xdr:oneCellAnchor>
    <xdr:from>
      <xdr:col>1</xdr:col>
      <xdr:colOff>175009</xdr:colOff>
      <xdr:row>23</xdr:row>
      <xdr:rowOff>20098</xdr:rowOff>
    </xdr:from>
    <xdr:ext cx="845368" cy="483679"/>
    <xdr:sp macro="" textlink="">
      <xdr:nvSpPr>
        <xdr:cNvPr id="16391" name="テキスト 7"/>
        <xdr:cNvSpPr>
          <a:spLocks noChangeArrowheads="1"/>
        </xdr:cNvSpPr>
      </xdr:nvSpPr>
      <xdr:spPr bwMode="auto">
        <a:xfrm>
          <a:off x="532197" y="3853911"/>
          <a:ext cx="845368" cy="483679"/>
        </a:xfrm>
        <a:prstGeom prst="roundRect">
          <a:avLst>
            <a:gd name="adj" fmla="val 16667"/>
          </a:avLst>
        </a:prstGeom>
        <a:solidFill>
          <a:srgbClr val="FFFF00"/>
        </a:solidFill>
        <a:ln w="9525">
          <a:solidFill>
            <a:srgbClr val="000000"/>
          </a:solidFill>
          <a:prstDash val="solid"/>
          <a:round/>
          <a:headEnd/>
          <a:tailEnd/>
        </a:ln>
        <a:effectLst>
          <a:outerShdw dist="35921" dir="2700000" algn="ctr" rotWithShape="0">
            <a:srgbClr val="000000"/>
          </a:outerShdw>
        </a:effectLst>
      </xdr:spPr>
      <xdr:txBody>
        <a:bodyPr wrap="none" lIns="18288" tIns="18288" rIns="18288" bIns="18288" anchor="ctr" upright="1">
          <a:spAutoFit/>
        </a:bodyPr>
        <a:lstStyle/>
        <a:p>
          <a:pPr algn="ctr" rtl="0">
            <a:defRPr sz="1000"/>
          </a:pPr>
          <a:r>
            <a:rPr lang="ja-JP" altLang="en-US" sz="1200" b="0" i="0" u="none" strike="noStrike" baseline="0">
              <a:solidFill>
                <a:srgbClr val="000000"/>
              </a:solidFill>
              <a:latin typeface="標準ゴシック"/>
              <a:ea typeface="標準ゴシック"/>
            </a:rPr>
            <a:t>価格</a:t>
          </a:r>
        </a:p>
        <a:p>
          <a:pPr algn="ctr" rtl="0">
            <a:defRPr sz="1000"/>
          </a:pPr>
          <a:r>
            <a:rPr lang="en-US" altLang="ja-JP" sz="1200" b="0" i="0" u="none" strike="noStrike" baseline="0">
              <a:solidFill>
                <a:srgbClr val="000000"/>
              </a:solidFill>
              <a:latin typeface="標準ゴシック"/>
              <a:ea typeface="標準ゴシック"/>
            </a:rPr>
            <a:t>(</a:t>
          </a:r>
          <a:r>
            <a:rPr lang="ja-JP" altLang="en-US" sz="1200" b="0" i="0" u="none" strike="noStrike" baseline="0">
              <a:solidFill>
                <a:srgbClr val="000000"/>
              </a:solidFill>
              <a:latin typeface="標準ゴシック"/>
              <a:ea typeface="標準ゴシック"/>
            </a:rPr>
            <a:t>単位：</a:t>
          </a:r>
          <a:r>
            <a:rPr lang="en-US" altLang="ja-JP" sz="1200" b="0" i="0" u="none" strike="noStrike" baseline="0">
              <a:solidFill>
                <a:srgbClr val="000000"/>
              </a:solidFill>
              <a:latin typeface="標準ゴシック"/>
              <a:ea typeface="標準ゴシック"/>
            </a:rPr>
            <a:t>bp)</a:t>
          </a:r>
        </a:p>
      </xdr:txBody>
    </xdr:sp>
    <xdr:clientData/>
  </xdr:oneCellAnchor>
  <xdr:twoCellAnchor>
    <xdr:from>
      <xdr:col>2</xdr:col>
      <xdr:colOff>266700</xdr:colOff>
      <xdr:row>20</xdr:row>
      <xdr:rowOff>9525</xdr:rowOff>
    </xdr:from>
    <xdr:to>
      <xdr:col>2</xdr:col>
      <xdr:colOff>409575</xdr:colOff>
      <xdr:row>23</xdr:row>
      <xdr:rowOff>38100</xdr:rowOff>
    </xdr:to>
    <xdr:sp macro="" textlink="">
      <xdr:nvSpPr>
        <xdr:cNvPr id="16392" name="Line 8"/>
        <xdr:cNvSpPr>
          <a:spLocks noChangeShapeType="1"/>
        </xdr:cNvSpPr>
      </xdr:nvSpPr>
      <xdr:spPr bwMode="auto">
        <a:xfrm flipH="1" flipV="1">
          <a:off x="895350" y="3438525"/>
          <a:ext cx="142875" cy="542925"/>
        </a:xfrm>
        <a:prstGeom prst="line">
          <a:avLst/>
        </a:prstGeom>
        <a:noFill/>
        <a:ln w="9525">
          <a:solidFill>
            <a:srgbClr val="000000"/>
          </a:solidFill>
          <a:prstDash val="solid"/>
          <a:round/>
          <a:headEnd/>
          <a:tailEnd type="triangle" w="med" len="med"/>
        </a:ln>
      </xdr:spPr>
    </xdr:sp>
    <xdr:clientData/>
  </xdr:twoCellAnchor>
</xdr:wsDr>
</file>

<file path=xl/drawings/drawing17.xml><?xml version="1.0" encoding="utf-8"?>
<xdr:wsDr xmlns:xdr="http://schemas.openxmlformats.org/drawingml/2006/spreadsheetDrawing" xmlns:a="http://schemas.openxmlformats.org/drawingml/2006/main">
  <xdr:twoCellAnchor>
    <xdr:from>
      <xdr:col>2</xdr:col>
      <xdr:colOff>0</xdr:colOff>
      <xdr:row>5</xdr:row>
      <xdr:rowOff>0</xdr:rowOff>
    </xdr:from>
    <xdr:to>
      <xdr:col>10</xdr:col>
      <xdr:colOff>352425</xdr:colOff>
      <xdr:row>7</xdr:row>
      <xdr:rowOff>152400</xdr:rowOff>
    </xdr:to>
    <xdr:sp macro="" textlink="">
      <xdr:nvSpPr>
        <xdr:cNvPr id="17414" name="テキスト 6"/>
        <xdr:cNvSpPr>
          <a:spLocks noChangeArrowheads="1"/>
        </xdr:cNvSpPr>
      </xdr:nvSpPr>
      <xdr:spPr bwMode="auto">
        <a:xfrm>
          <a:off x="628650" y="857250"/>
          <a:ext cx="3629025" cy="495300"/>
        </a:xfrm>
        <a:prstGeom prst="roundRect">
          <a:avLst>
            <a:gd name="adj" fmla="val 16667"/>
          </a:avLst>
        </a:prstGeom>
        <a:solidFill>
          <a:srgbClr val="00FF00"/>
        </a:solidFill>
        <a:ln w="9525">
          <a:solidFill>
            <a:srgbClr val="000000"/>
          </a:solidFill>
          <a:prstDash val="solid"/>
          <a:round/>
          <a:headEnd/>
          <a:tailEnd/>
        </a:ln>
      </xdr:spPr>
      <xdr:txBody>
        <a:bodyPr vertOverflow="clip" wrap="square" lIns="36576" tIns="18288" rIns="36576" bIns="18288" anchor="ctr" upright="1"/>
        <a:lstStyle/>
        <a:p>
          <a:pPr algn="ctr" rtl="0">
            <a:defRPr sz="1000"/>
          </a:pPr>
          <a:r>
            <a:rPr lang="ja-JP" altLang="en-US" sz="1200" b="1" i="0" u="none" strike="noStrike" baseline="0">
              <a:solidFill>
                <a:srgbClr val="000000"/>
              </a:solidFill>
              <a:latin typeface="ＭＳ ゴシック"/>
              <a:ea typeface="ＭＳ ゴシック"/>
            </a:rPr>
            <a:t>モンテカルロ・シミュレーション</a:t>
          </a:r>
        </a:p>
        <a:p>
          <a:pPr algn="ctr" rtl="0">
            <a:defRPr sz="1000"/>
          </a:pPr>
          <a:r>
            <a:rPr lang="ja-JP" altLang="en-US" sz="1200" b="1" i="0" u="none" strike="noStrike" baseline="0">
              <a:solidFill>
                <a:srgbClr val="000000"/>
              </a:solidFill>
              <a:latin typeface="ＭＳ ゴシック"/>
              <a:ea typeface="ＭＳ ゴシック"/>
            </a:rPr>
            <a:t>プライシング</a:t>
          </a:r>
        </a:p>
      </xdr:txBody>
    </xdr:sp>
    <xdr:clientData/>
  </xdr:twoCellAnchor>
  <xdr:oneCellAnchor>
    <xdr:from>
      <xdr:col>2</xdr:col>
      <xdr:colOff>189119</xdr:colOff>
      <xdr:row>27</xdr:row>
      <xdr:rowOff>140327</xdr:rowOff>
    </xdr:from>
    <xdr:ext cx="2212562" cy="262271"/>
    <xdr:sp macro="" textlink="">
      <xdr:nvSpPr>
        <xdr:cNvPr id="17415" name="テキスト 7"/>
        <xdr:cNvSpPr>
          <a:spLocks noChangeArrowheads="1"/>
        </xdr:cNvSpPr>
      </xdr:nvSpPr>
      <xdr:spPr bwMode="auto">
        <a:xfrm>
          <a:off x="820150" y="4640890"/>
          <a:ext cx="2212562" cy="262271"/>
        </a:xfrm>
        <a:prstGeom prst="roundRect">
          <a:avLst>
            <a:gd name="adj" fmla="val 16667"/>
          </a:avLst>
        </a:prstGeom>
        <a:solidFill>
          <a:srgbClr val="FF00FF"/>
        </a:solidFill>
        <a:ln w="9525">
          <a:solidFill>
            <a:srgbClr val="000000"/>
          </a:solidFill>
          <a:prstDash val="solid"/>
          <a:round/>
          <a:headEnd/>
          <a:tailEnd/>
        </a:ln>
      </xdr:spPr>
      <xdr:txBody>
        <a:bodyPr wrap="none" lIns="18288" tIns="18288" rIns="18288" bIns="18288" anchor="ctr" upright="1">
          <a:spAutoFit/>
        </a:bodyPr>
        <a:lstStyle/>
        <a:p>
          <a:pPr algn="ctr" rtl="0">
            <a:defRPr sz="1000"/>
          </a:pPr>
          <a:r>
            <a:rPr lang="ja-JP" altLang="en-US" sz="1200" b="0" i="0" u="none" strike="noStrike" baseline="0">
              <a:solidFill>
                <a:srgbClr val="000000"/>
              </a:solidFill>
              <a:latin typeface="標準ゴシック"/>
              <a:ea typeface="標準ゴシック"/>
            </a:rPr>
            <a:t>各ノードを通過した回数を表示</a:t>
          </a:r>
        </a:p>
      </xdr:txBody>
    </xdr:sp>
    <xdr:clientData/>
  </xdr:oneCellAnchor>
  <xdr:oneCellAnchor>
    <xdr:from>
      <xdr:col>2</xdr:col>
      <xdr:colOff>137922</xdr:colOff>
      <xdr:row>24</xdr:row>
      <xdr:rowOff>111752</xdr:rowOff>
    </xdr:from>
    <xdr:ext cx="1591056" cy="262271"/>
    <xdr:sp macro="" textlink="">
      <xdr:nvSpPr>
        <xdr:cNvPr id="17416" name="テキスト 8"/>
        <xdr:cNvSpPr>
          <a:spLocks noChangeArrowheads="1"/>
        </xdr:cNvSpPr>
      </xdr:nvSpPr>
      <xdr:spPr bwMode="auto">
        <a:xfrm>
          <a:off x="768953" y="4112252"/>
          <a:ext cx="1591056" cy="262271"/>
        </a:xfrm>
        <a:prstGeom prst="roundRect">
          <a:avLst>
            <a:gd name="adj" fmla="val 16667"/>
          </a:avLst>
        </a:prstGeom>
        <a:solidFill>
          <a:srgbClr val="FFFF00"/>
        </a:solidFill>
        <a:ln w="9525">
          <a:solidFill>
            <a:srgbClr val="000000"/>
          </a:solidFill>
          <a:prstDash val="solid"/>
          <a:round/>
          <a:headEnd/>
          <a:tailEnd/>
        </a:ln>
        <a:effectLst>
          <a:outerShdw dist="35921" dir="2700000" algn="ctr" rotWithShape="0">
            <a:srgbClr val="000000"/>
          </a:outerShdw>
        </a:effectLst>
      </xdr:spPr>
      <xdr:txBody>
        <a:bodyPr wrap="none" lIns="18288" tIns="18288" rIns="18288" bIns="18288" anchor="ctr" upright="1">
          <a:spAutoFit/>
        </a:bodyPr>
        <a:lstStyle/>
        <a:p>
          <a:pPr algn="ctr" rtl="0">
            <a:defRPr sz="1000"/>
          </a:pPr>
          <a:r>
            <a:rPr lang="ja-JP" altLang="en-US" sz="1200" b="0" i="0" u="none" strike="noStrike" baseline="0">
              <a:solidFill>
                <a:srgbClr val="000000"/>
              </a:solidFill>
              <a:latin typeface="標準ゴシック"/>
              <a:ea typeface="標準ゴシック"/>
            </a:rPr>
            <a:t>シミュレーション回数</a:t>
          </a:r>
        </a:p>
      </xdr:txBody>
    </xdr:sp>
    <xdr:clientData/>
  </xdr:oneCellAnchor>
  <xdr:twoCellAnchor>
    <xdr:from>
      <xdr:col>2</xdr:col>
      <xdr:colOff>209550</xdr:colOff>
      <xdr:row>20</xdr:row>
      <xdr:rowOff>28575</xdr:rowOff>
    </xdr:from>
    <xdr:to>
      <xdr:col>2</xdr:col>
      <xdr:colOff>333375</xdr:colOff>
      <xdr:row>24</xdr:row>
      <xdr:rowOff>104775</xdr:rowOff>
    </xdr:to>
    <xdr:sp macro="" textlink="">
      <xdr:nvSpPr>
        <xdr:cNvPr id="17417" name="Line 9"/>
        <xdr:cNvSpPr>
          <a:spLocks noChangeShapeType="1"/>
        </xdr:cNvSpPr>
      </xdr:nvSpPr>
      <xdr:spPr bwMode="auto">
        <a:xfrm flipH="1" flipV="1">
          <a:off x="838200" y="3457575"/>
          <a:ext cx="123825" cy="762000"/>
        </a:xfrm>
        <a:prstGeom prst="line">
          <a:avLst/>
        </a:prstGeom>
        <a:noFill/>
        <a:ln w="9525">
          <a:solidFill>
            <a:srgbClr val="000000"/>
          </a:solidFill>
          <a:prstDash val="solid"/>
          <a:round/>
          <a:headEnd/>
          <a:tailEnd type="triangle" w="med" len="med"/>
        </a:ln>
      </xdr:spPr>
    </xdr:sp>
    <xdr:clientData/>
  </xdr:twoCellAnchor>
  <xdr:oneCellAnchor>
    <xdr:from>
      <xdr:col>18</xdr:col>
      <xdr:colOff>96697</xdr:colOff>
      <xdr:row>27</xdr:row>
      <xdr:rowOff>111752</xdr:rowOff>
    </xdr:from>
    <xdr:ext cx="1668744" cy="262271"/>
    <xdr:sp macro="" textlink="">
      <xdr:nvSpPr>
        <xdr:cNvPr id="17418" name="テキスト 10"/>
        <xdr:cNvSpPr>
          <a:spLocks noChangeArrowheads="1"/>
        </xdr:cNvSpPr>
      </xdr:nvSpPr>
      <xdr:spPr bwMode="auto">
        <a:xfrm>
          <a:off x="6585603" y="4612315"/>
          <a:ext cx="1668744" cy="262271"/>
        </a:xfrm>
        <a:prstGeom prst="roundRect">
          <a:avLst>
            <a:gd name="adj" fmla="val 16667"/>
          </a:avLst>
        </a:prstGeom>
        <a:solidFill>
          <a:srgbClr val="FF00FF"/>
        </a:solidFill>
        <a:ln w="9525">
          <a:solidFill>
            <a:srgbClr val="000000"/>
          </a:solidFill>
          <a:prstDash val="solid"/>
          <a:round/>
          <a:headEnd/>
          <a:tailEnd/>
        </a:ln>
      </xdr:spPr>
      <xdr:txBody>
        <a:bodyPr wrap="none" lIns="18288" tIns="18288" rIns="18288" bIns="18288" anchor="ctr" upright="1">
          <a:spAutoFit/>
        </a:bodyPr>
        <a:lstStyle/>
        <a:p>
          <a:pPr algn="ctr" rtl="0">
            <a:defRPr sz="1000"/>
          </a:pPr>
          <a:r>
            <a:rPr lang="ja-JP" altLang="en-US" sz="1200" b="0" i="0" u="none" strike="noStrike" baseline="0">
              <a:solidFill>
                <a:srgbClr val="000000"/>
              </a:solidFill>
              <a:latin typeface="標準ゴシック"/>
              <a:ea typeface="標準ゴシック"/>
            </a:rPr>
            <a:t>パスのﾘﾌｧﾚﾝｽﾚｰﾄを表示</a:t>
          </a:r>
        </a:p>
      </xdr:txBody>
    </xdr:sp>
    <xdr:clientData/>
  </xdr:oneCellAnchor>
</xdr:wsDr>
</file>

<file path=xl/drawings/drawing18.xml><?xml version="1.0" encoding="utf-8"?>
<xdr:wsDr xmlns:xdr="http://schemas.openxmlformats.org/drawingml/2006/spreadsheetDrawing" xmlns:a="http://schemas.openxmlformats.org/drawingml/2006/main">
  <xdr:twoCellAnchor>
    <xdr:from>
      <xdr:col>3</xdr:col>
      <xdr:colOff>200025</xdr:colOff>
      <xdr:row>1</xdr:row>
      <xdr:rowOff>76200</xdr:rowOff>
    </xdr:from>
    <xdr:to>
      <xdr:col>12</xdr:col>
      <xdr:colOff>476250</xdr:colOff>
      <xdr:row>20</xdr:row>
      <xdr:rowOff>0</xdr:rowOff>
    </xdr:to>
    <xdr:graphicFrame macro="">
      <xdr:nvGraphicFramePr>
        <xdr:cNvPr id="18433"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209550</xdr:colOff>
      <xdr:row>20</xdr:row>
      <xdr:rowOff>47625</xdr:rowOff>
    </xdr:from>
    <xdr:to>
      <xdr:col>12</xdr:col>
      <xdr:colOff>495300</xdr:colOff>
      <xdr:row>38</xdr:row>
      <xdr:rowOff>95250</xdr:rowOff>
    </xdr:to>
    <xdr:graphicFrame macro="">
      <xdr:nvGraphicFramePr>
        <xdr:cNvPr id="18434"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238125</xdr:colOff>
      <xdr:row>5</xdr:row>
      <xdr:rowOff>161925</xdr:rowOff>
    </xdr:from>
    <xdr:to>
      <xdr:col>6</xdr:col>
      <xdr:colOff>19050</xdr:colOff>
      <xdr:row>9</xdr:row>
      <xdr:rowOff>142875</xdr:rowOff>
    </xdr:to>
    <xdr:sp macro="" textlink="">
      <xdr:nvSpPr>
        <xdr:cNvPr id="19458" name="テキスト 6"/>
        <xdr:cNvSpPr>
          <a:spLocks noChangeArrowheads="1"/>
        </xdr:cNvSpPr>
      </xdr:nvSpPr>
      <xdr:spPr bwMode="auto">
        <a:xfrm>
          <a:off x="590550" y="1019175"/>
          <a:ext cx="2686050" cy="666750"/>
        </a:xfrm>
        <a:prstGeom prst="roundRect">
          <a:avLst>
            <a:gd name="adj" fmla="val 16667"/>
          </a:avLst>
        </a:prstGeom>
        <a:solidFill>
          <a:srgbClr val="00FF00"/>
        </a:solidFill>
        <a:ln w="9525">
          <a:solidFill>
            <a:srgbClr val="000000"/>
          </a:solidFill>
          <a:prstDash val="solid"/>
          <a:round/>
          <a:headEnd/>
          <a:tailEnd/>
        </a:ln>
      </xdr:spPr>
      <xdr:txBody>
        <a:bodyPr vertOverflow="clip" wrap="square" lIns="36576" tIns="18288" rIns="36576" bIns="18288" anchor="ctr" upright="1"/>
        <a:lstStyle/>
        <a:p>
          <a:pPr algn="ctr" rtl="0">
            <a:defRPr sz="1000"/>
          </a:pPr>
          <a:r>
            <a:rPr lang="ja-JP" altLang="en-US" sz="1200" b="1" i="0" u="none" strike="noStrike" baseline="0">
              <a:solidFill>
                <a:srgbClr val="000000"/>
              </a:solidFill>
              <a:latin typeface="ＭＳ ゴシック"/>
              <a:ea typeface="ＭＳ ゴシック"/>
            </a:rPr>
            <a:t>解析計算式による</a:t>
          </a:r>
        </a:p>
        <a:p>
          <a:pPr algn="ctr" rtl="0">
            <a:defRPr sz="1000"/>
          </a:pPr>
          <a:r>
            <a:rPr lang="ja-JP" altLang="en-US" sz="1200" b="1" i="0" u="none" strike="noStrike" baseline="0">
              <a:solidFill>
                <a:srgbClr val="000000"/>
              </a:solidFill>
              <a:latin typeface="ＭＳ ゴシック"/>
              <a:ea typeface="ＭＳ ゴシック"/>
            </a:rPr>
            <a:t>プライシング</a:t>
          </a:r>
        </a:p>
      </xdr:txBody>
    </xdr:sp>
    <xdr:clientData/>
  </xdr:twoCellAnchor>
  <xdr:oneCellAnchor>
    <xdr:from>
      <xdr:col>9</xdr:col>
      <xdr:colOff>82677</xdr:colOff>
      <xdr:row>23</xdr:row>
      <xdr:rowOff>142780</xdr:rowOff>
    </xdr:from>
    <xdr:ext cx="1353884" cy="926495"/>
    <xdr:sp macro="" textlink="">
      <xdr:nvSpPr>
        <xdr:cNvPr id="19459" name="テキスト 7"/>
        <xdr:cNvSpPr>
          <a:spLocks noChangeArrowheads="1"/>
        </xdr:cNvSpPr>
      </xdr:nvSpPr>
      <xdr:spPr bwMode="auto">
        <a:xfrm>
          <a:off x="5297615" y="3976593"/>
          <a:ext cx="1353884" cy="926495"/>
        </a:xfrm>
        <a:prstGeom prst="roundRect">
          <a:avLst>
            <a:gd name="adj" fmla="val 16667"/>
          </a:avLst>
        </a:prstGeom>
        <a:solidFill>
          <a:srgbClr val="FFFF00"/>
        </a:solidFill>
        <a:ln w="9525">
          <a:solidFill>
            <a:srgbClr val="000000"/>
          </a:solidFill>
          <a:prstDash val="solid"/>
          <a:round/>
          <a:headEnd/>
          <a:tailEnd/>
        </a:ln>
        <a:effectLst>
          <a:outerShdw dist="35921" dir="2700000" algn="ctr" rotWithShape="0">
            <a:srgbClr val="000000"/>
          </a:outerShdw>
        </a:effectLst>
      </xdr:spPr>
      <xdr:txBody>
        <a:bodyPr wrap="none" lIns="18288" tIns="18288" rIns="18288" bIns="18288" anchor="ctr" upright="1">
          <a:spAutoFit/>
        </a:bodyPr>
        <a:lstStyle/>
        <a:p>
          <a:pPr algn="ctr" rtl="0">
            <a:defRPr sz="1000"/>
          </a:pPr>
          <a:r>
            <a:rPr lang="ja-JP" altLang="en-US" sz="1200" b="0" i="0" u="none" strike="noStrike" baseline="0">
              <a:solidFill>
                <a:srgbClr val="000000"/>
              </a:solidFill>
              <a:latin typeface="標準ゴシック"/>
              <a:ea typeface="標準ゴシック"/>
            </a:rPr>
            <a:t>ヨーロピアン・</a:t>
          </a:r>
        </a:p>
        <a:p>
          <a:pPr algn="ctr" rtl="0">
            <a:defRPr sz="1000"/>
          </a:pPr>
          <a:r>
            <a:rPr lang="ja-JP" altLang="en-US" sz="1200" b="0" i="0" u="none" strike="noStrike" baseline="0">
              <a:solidFill>
                <a:srgbClr val="000000"/>
              </a:solidFill>
              <a:latin typeface="標準ゴシック"/>
              <a:ea typeface="標準ゴシック"/>
            </a:rPr>
            <a:t>スワップション</a:t>
          </a:r>
        </a:p>
        <a:p>
          <a:pPr algn="ctr" rtl="0">
            <a:defRPr sz="1000"/>
          </a:pPr>
          <a:r>
            <a:rPr lang="ja-JP" altLang="en-US" sz="1200" b="0" i="0" u="none" strike="noStrike" baseline="0">
              <a:solidFill>
                <a:srgbClr val="000000"/>
              </a:solidFill>
              <a:latin typeface="標準ゴシック"/>
              <a:ea typeface="標準ゴシック"/>
            </a:rPr>
            <a:t>の行使判定のため</a:t>
          </a:r>
        </a:p>
        <a:p>
          <a:pPr algn="ctr" rtl="0">
            <a:defRPr sz="1000"/>
          </a:pPr>
          <a:r>
            <a:rPr lang="ja-JP" altLang="en-US" sz="1200" b="0" i="0" u="none" strike="noStrike" baseline="0">
              <a:solidFill>
                <a:srgbClr val="000000"/>
              </a:solidFill>
              <a:latin typeface="標準ゴシック"/>
              <a:ea typeface="標準ゴシック"/>
            </a:rPr>
            <a:t>のトリガー探索用</a:t>
          </a:r>
        </a:p>
      </xdr:txBody>
    </xdr:sp>
    <xdr:clientData/>
  </xdr:oneCellAnchor>
  <xdr:twoCellAnchor>
    <xdr:from>
      <xdr:col>8</xdr:col>
      <xdr:colOff>0</xdr:colOff>
      <xdr:row>24</xdr:row>
      <xdr:rowOff>76200</xdr:rowOff>
    </xdr:from>
    <xdr:to>
      <xdr:col>9</xdr:col>
      <xdr:colOff>0</xdr:colOff>
      <xdr:row>25</xdr:row>
      <xdr:rowOff>9525</xdr:rowOff>
    </xdr:to>
    <xdr:sp macro="" textlink="">
      <xdr:nvSpPr>
        <xdr:cNvPr id="19460" name="Line 4"/>
        <xdr:cNvSpPr>
          <a:spLocks noChangeShapeType="1"/>
        </xdr:cNvSpPr>
      </xdr:nvSpPr>
      <xdr:spPr bwMode="auto">
        <a:xfrm flipH="1" flipV="1">
          <a:off x="4572000" y="4200525"/>
          <a:ext cx="657225" cy="104775"/>
        </a:xfrm>
        <a:prstGeom prst="line">
          <a:avLst/>
        </a:prstGeom>
        <a:noFill/>
        <a:ln w="9525">
          <a:solidFill>
            <a:srgbClr val="000000"/>
          </a:solidFill>
          <a:prstDash val="solid"/>
          <a:round/>
          <a:headEnd/>
          <a:tailEnd type="triangle" w="med" len="med"/>
        </a:ln>
      </xdr:spPr>
    </xdr:sp>
    <xdr:clientData/>
  </xdr:twoCellAnchor>
  <xdr:oneCellAnchor>
    <xdr:from>
      <xdr:col>5</xdr:col>
      <xdr:colOff>174695</xdr:colOff>
      <xdr:row>10</xdr:row>
      <xdr:rowOff>147017</xdr:rowOff>
    </xdr:from>
    <xdr:ext cx="4141647" cy="220317"/>
    <xdr:sp macro="" textlink="">
      <xdr:nvSpPr>
        <xdr:cNvPr id="19461" name="テキスト 2"/>
        <xdr:cNvSpPr txBox="1">
          <a:spLocks noChangeArrowheads="1"/>
        </xdr:cNvSpPr>
      </xdr:nvSpPr>
      <xdr:spPr bwMode="auto">
        <a:xfrm>
          <a:off x="2770258" y="1813892"/>
          <a:ext cx="4141647" cy="220317"/>
        </a:xfrm>
        <a:prstGeom prst="rect">
          <a:avLst/>
        </a:prstGeom>
        <a:solidFill>
          <a:srgbClr val="33CCCC"/>
        </a:solidFill>
        <a:ln w="9525">
          <a:solidFill>
            <a:srgbClr val="000000"/>
          </a:solidFill>
          <a:prstDash val="solid"/>
          <a:miter lim="800000"/>
          <a:headEnd/>
          <a:tailEnd/>
        </a:ln>
      </xdr:spPr>
      <xdr:txBody>
        <a:bodyPr wrap="none" lIns="18288" tIns="18288" rIns="18288" bIns="18288" anchor="ctr" upright="1">
          <a:spAutoFit/>
        </a:bodyPr>
        <a:lstStyle/>
        <a:p>
          <a:pPr algn="ctr" rtl="0">
            <a:defRPr sz="1000"/>
          </a:pPr>
          <a:r>
            <a:rPr lang="ja-JP" altLang="en-US" sz="1100" b="0" i="0" u="none" strike="noStrike" baseline="0">
              <a:solidFill>
                <a:srgbClr val="000000"/>
              </a:solidFill>
              <a:latin typeface="明朝"/>
            </a:rPr>
            <a:t>ｽﾜｯﾌﾟ、ﾌﾟﾚｰﾝなｷｬｯﾌﾟ</a:t>
          </a:r>
          <a:r>
            <a:rPr lang="en-US" altLang="ja-JP" sz="1100" b="0" i="0" u="none" strike="noStrike" baseline="0">
              <a:solidFill>
                <a:srgbClr val="000000"/>
              </a:solidFill>
              <a:latin typeface="明朝"/>
            </a:rPr>
            <a:t>/</a:t>
          </a:r>
          <a:r>
            <a:rPr lang="ja-JP" altLang="en-US" sz="1100" b="0" i="0" u="none" strike="noStrike" baseline="0">
              <a:solidFill>
                <a:srgbClr val="000000"/>
              </a:solidFill>
              <a:latin typeface="明朝"/>
            </a:rPr>
            <a:t>ﾌﾛｱｰ、ﾖｰﾛﾋﾟｱﾝ・ｽﾜｯﾌﾟｼｮﾝのみ計算できます。</a:t>
          </a:r>
        </a:p>
      </xdr:txBody>
    </xdr:sp>
    <xdr:clientData/>
  </xdr:oneCellAnchor>
  <xdr:twoCellAnchor>
    <xdr:from>
      <xdr:col>4</xdr:col>
      <xdr:colOff>19050</xdr:colOff>
      <xdr:row>11</xdr:row>
      <xdr:rowOff>76200</xdr:rowOff>
    </xdr:from>
    <xdr:to>
      <xdr:col>4</xdr:col>
      <xdr:colOff>647700</xdr:colOff>
      <xdr:row>11</xdr:row>
      <xdr:rowOff>76200</xdr:rowOff>
    </xdr:to>
    <xdr:sp macro="" textlink="">
      <xdr:nvSpPr>
        <xdr:cNvPr id="19462" name="Line 6"/>
        <xdr:cNvSpPr>
          <a:spLocks noChangeShapeType="1"/>
        </xdr:cNvSpPr>
      </xdr:nvSpPr>
      <xdr:spPr bwMode="auto">
        <a:xfrm flipH="1">
          <a:off x="1962150" y="1962150"/>
          <a:ext cx="628650" cy="0"/>
        </a:xfrm>
        <a:prstGeom prst="line">
          <a:avLst/>
        </a:prstGeom>
        <a:noFill/>
        <a:ln w="9525">
          <a:solidFill>
            <a:srgbClr val="000000"/>
          </a:solidFill>
          <a:prstDash val="solid"/>
          <a:round/>
          <a:headEnd/>
          <a:tailEnd type="triangle" w="med" len="med"/>
        </a:ln>
      </xdr:spPr>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4.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9.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dimension ref="A1"/>
  <sheetViews>
    <sheetView workbookViewId="0">
      <selection activeCell="A25" sqref="A25"/>
    </sheetView>
  </sheetViews>
  <sheetFormatPr defaultColWidth="8.625" defaultRowHeight="13.5"/>
  <cols>
    <col min="1" max="16384" width="8.625" style="1"/>
  </cols>
  <sheetData/>
  <sheetProtection password="C0AB" sheet="1" objects="1" scenarios="1"/>
  <phoneticPr fontId="9"/>
  <printOptions gridLinesSet="0"/>
  <pageMargins left="0.78740157480314965" right="0.78740157480314965" top="0.78740157480314965" bottom="0.78740157480314965" header="0.51181102362204722" footer="0.51181102362204722"/>
  <pageSetup paperSize="9" orientation="landscape" horizontalDpi="4294967292" verticalDpi="0" r:id="rId1"/>
  <headerFooter alignWithMargins="0">
    <oddHeader>&amp;A</oddHeader>
    <oddFooter>- &amp;P -</oddFooter>
  </headerFooter>
  <drawing r:id="rId2"/>
</worksheet>
</file>

<file path=xl/worksheets/sheet2.xml><?xml version="1.0" encoding="utf-8"?>
<worksheet xmlns="http://schemas.openxmlformats.org/spreadsheetml/2006/main" xmlns:r="http://schemas.openxmlformats.org/officeDocument/2006/relationships">
  <dimension ref="B8:E22"/>
  <sheetViews>
    <sheetView zoomScale="80" workbookViewId="0">
      <selection activeCell="E21" sqref="E21"/>
    </sheetView>
  </sheetViews>
  <sheetFormatPr defaultRowHeight="13.5"/>
  <cols>
    <col min="1" max="1" width="2.625" style="20" customWidth="1"/>
    <col min="2" max="5" width="14.625" style="20" customWidth="1"/>
    <col min="6" max="16384" width="9" style="20"/>
  </cols>
  <sheetData>
    <row r="8" spans="2:5">
      <c r="B8" s="17" t="s">
        <v>0</v>
      </c>
      <c r="C8" s="18"/>
      <c r="D8" s="17" t="s">
        <v>1</v>
      </c>
      <c r="E8" s="19"/>
    </row>
    <row r="9" spans="2:5" ht="14.25" thickBot="1">
      <c r="E9" s="21"/>
    </row>
    <row r="10" spans="2:5">
      <c r="B10" s="17" t="s">
        <v>2</v>
      </c>
      <c r="C10" s="22"/>
      <c r="D10" s="23">
        <v>0.1</v>
      </c>
      <c r="E10" s="24"/>
    </row>
    <row r="11" spans="2:5">
      <c r="B11" s="17" t="s">
        <v>3</v>
      </c>
      <c r="C11" s="21"/>
      <c r="D11" s="25">
        <v>0.01</v>
      </c>
      <c r="E11" s="96" t="str">
        <f>IF(D11&gt;0,"OK","エラー")</f>
        <v>OK</v>
      </c>
    </row>
    <row r="12" spans="2:5">
      <c r="B12" s="17" t="s">
        <v>4</v>
      </c>
      <c r="C12" s="27"/>
      <c r="D12" s="25">
        <v>0.25</v>
      </c>
      <c r="E12" s="96" t="str">
        <f>IF(D12=0.25,"３ヶ月",IF(D12=0.5,"６ヶ月","エラー"))</f>
        <v>３ヶ月</v>
      </c>
    </row>
    <row r="13" spans="2:5" ht="14.25" thickBot="1">
      <c r="B13" s="28"/>
      <c r="C13" s="111" t="s">
        <v>5</v>
      </c>
      <c r="D13" s="112">
        <v>0</v>
      </c>
      <c r="E13" s="96" t="str">
        <f>IF(D13=0,"Δt order",IF(D13=1,"Exact value","エラー"))</f>
        <v>Δt order</v>
      </c>
    </row>
    <row r="14" spans="2:5">
      <c r="B14" s="28"/>
      <c r="D14" s="28"/>
      <c r="E14" s="21"/>
    </row>
    <row r="15" spans="2:5">
      <c r="B15" s="17" t="s">
        <v>6</v>
      </c>
      <c r="C15" s="78" t="s">
        <v>7</v>
      </c>
      <c r="D15" s="14">
        <f>IF(D13=0,-D10*D12,EXP(-D10*D12)-1)</f>
        <v>-2.5000000000000001E-2</v>
      </c>
      <c r="E15" s="21"/>
    </row>
    <row r="16" spans="2:5">
      <c r="B16" s="17" t="s">
        <v>8</v>
      </c>
      <c r="C16" s="78" t="s">
        <v>9</v>
      </c>
      <c r="D16" s="13">
        <f>IF(D13=0,D11*D11*D12,D11*D11*(1-EXP(-2*D10*D12))/(2*D10))</f>
        <v>2.5000000000000001E-5</v>
      </c>
      <c r="E16" s="21"/>
    </row>
    <row r="17" spans="2:5">
      <c r="B17" s="81" t="s">
        <v>10</v>
      </c>
      <c r="C17" s="82" t="s">
        <v>11</v>
      </c>
      <c r="D17" s="14">
        <f>IF(D10&gt;0,-0.184/D15,12)</f>
        <v>7.3599999999999994</v>
      </c>
      <c r="E17" s="21"/>
    </row>
    <row r="18" spans="2:5">
      <c r="B18" s="79"/>
      <c r="C18" s="80" t="s">
        <v>12</v>
      </c>
      <c r="D18" s="14">
        <f>ROUNDUP(D17,0)</f>
        <v>8</v>
      </c>
      <c r="E18" s="21"/>
    </row>
    <row r="19" spans="2:5">
      <c r="B19" s="17" t="s">
        <v>13</v>
      </c>
      <c r="C19" s="78" t="s">
        <v>14</v>
      </c>
      <c r="D19" s="14">
        <f>IF(D11&gt;0,SQRT(3*D16),"エラー")</f>
        <v>8.6602540378443865E-3</v>
      </c>
      <c r="E19" s="21"/>
    </row>
    <row r="20" spans="2:5">
      <c r="E20" s="21"/>
    </row>
    <row r="22" spans="2:5">
      <c r="B22" s="29"/>
      <c r="C22" s="30"/>
      <c r="D22" s="29"/>
    </row>
  </sheetData>
  <phoneticPr fontId="9"/>
  <printOptions gridLinesSet="0"/>
  <pageMargins left="0.78740157480314965" right="0.78740157480314965" top="0.98425196850393704" bottom="0.98425196850393704" header="0.51181102362204722" footer="0.51181102362204722"/>
  <pageSetup paperSize="9" orientation="landscape" horizontalDpi="4294967292" verticalDpi="0" r:id="rId1"/>
  <headerFooter alignWithMargins="0">
    <oddHeader>&amp;A</oddHeader>
    <oddFooter>- &amp;P -</oddFooter>
  </headerFooter>
  <drawing r:id="rId2"/>
</worksheet>
</file>

<file path=xl/worksheets/sheet3.xml><?xml version="1.0" encoding="utf-8"?>
<worksheet xmlns="http://schemas.openxmlformats.org/spreadsheetml/2006/main" xmlns:r="http://schemas.openxmlformats.org/officeDocument/2006/relationships">
  <dimension ref="B8:J32"/>
  <sheetViews>
    <sheetView zoomScale="80" workbookViewId="0">
      <selection activeCell="A34" sqref="A34"/>
    </sheetView>
  </sheetViews>
  <sheetFormatPr defaultRowHeight="13.5"/>
  <cols>
    <col min="1" max="1" width="24.625" style="20" customWidth="1"/>
    <col min="2" max="2" width="30.625" style="20" customWidth="1"/>
    <col min="3" max="3" width="9.5" style="20" customWidth="1"/>
    <col min="4" max="4" width="16.625" style="20" customWidth="1"/>
    <col min="5" max="16384" width="9" style="20"/>
  </cols>
  <sheetData>
    <row r="8" spans="2:10">
      <c r="B8" s="17" t="s">
        <v>0</v>
      </c>
      <c r="C8" s="17" t="s">
        <v>1</v>
      </c>
      <c r="I8" s="56"/>
      <c r="J8" s="56"/>
    </row>
    <row r="9" spans="2:10">
      <c r="I9" s="57"/>
      <c r="J9" s="57"/>
    </row>
    <row r="10" spans="2:10">
      <c r="B10" s="19"/>
      <c r="C10" s="42"/>
      <c r="D10" s="24"/>
      <c r="I10" s="57"/>
      <c r="J10" s="57"/>
    </row>
    <row r="11" spans="2:10">
      <c r="B11" s="17" t="s">
        <v>15</v>
      </c>
      <c r="C11" s="31">
        <v>1</v>
      </c>
      <c r="D11" s="33">
        <f>IF(C11=1,CurveData!D9,IF(C11=2,CurveData!E9,IF(C11=3,CurveData!F9,"エラー")))</f>
        <v>34610</v>
      </c>
      <c r="I11" s="57"/>
      <c r="J11" s="57"/>
    </row>
    <row r="12" spans="2:10">
      <c r="B12" s="32"/>
      <c r="I12" s="57"/>
      <c r="J12" s="57"/>
    </row>
    <row r="13" spans="2:10">
      <c r="B13" s="32"/>
      <c r="I13" s="57"/>
      <c r="J13" s="57"/>
    </row>
    <row r="14" spans="2:10">
      <c r="B14" s="17" t="s">
        <v>16</v>
      </c>
      <c r="C14" s="31">
        <v>6</v>
      </c>
      <c r="D14" s="26" t="str">
        <f>IF(AND(C14=3,Def!D12=0.5),"エラー",IF(C14=3,"3ヶ月LIBOR",IF(C14=6,"6ヶ月LIBOR",IF(C14=12,"12ヶ月LIBOR","エラー"))))</f>
        <v>6ヶ月LIBOR</v>
      </c>
      <c r="I14" s="57"/>
      <c r="J14" s="57"/>
    </row>
    <row r="15" spans="2:10">
      <c r="B15" s="32"/>
      <c r="I15" s="57"/>
      <c r="J15" s="57"/>
    </row>
    <row r="16" spans="2:10">
      <c r="B16" s="32"/>
      <c r="D16" s="30"/>
      <c r="I16" s="57"/>
      <c r="J16" s="57"/>
    </row>
    <row r="17" spans="2:10">
      <c r="B17" s="17" t="s">
        <v>17</v>
      </c>
      <c r="C17" s="31">
        <v>1</v>
      </c>
      <c r="D17" s="26" t="str">
        <f>IF(C17=1,"Swap",IF(C17=2,"Cap/Floor",IF(C17=3,"Swaption","エラー")))</f>
        <v>Swap</v>
      </c>
      <c r="I17" s="57"/>
      <c r="J17" s="57"/>
    </row>
    <row r="18" spans="2:10">
      <c r="B18" s="81" t="s">
        <v>18</v>
      </c>
      <c r="C18" s="31">
        <v>-1</v>
      </c>
      <c r="D18" s="26" t="str">
        <f>IF(OR(C17=1,C17=3),IF(C18=1,"固定金利受け",IF(C18=-1,"固定金利払い","エラー")),IF(C17=2,IF(C18=1,"Floor",IF(C18=-1,"Cap","エラー")),"エラー"))</f>
        <v>固定金利払い</v>
      </c>
      <c r="I18" s="57"/>
      <c r="J18" s="57"/>
    </row>
    <row r="19" spans="2:10">
      <c r="B19" s="95" t="s">
        <v>19</v>
      </c>
      <c r="C19" s="42"/>
      <c r="D19" s="24"/>
      <c r="I19" s="57"/>
      <c r="J19" s="57"/>
    </row>
    <row r="20" spans="2:10">
      <c r="B20" s="17" t="str">
        <f>IF($C$17=2,IF(C28&lt;&gt;0,"スプレッド","ｷｬｯﾌﾟ/ﾌﾛｱｰﾚｰﾄ"),"固定金利")</f>
        <v>固定金利</v>
      </c>
      <c r="C20" s="31">
        <v>0.04</v>
      </c>
      <c r="D20" s="70">
        <f>C20</f>
        <v>0.04</v>
      </c>
      <c r="I20" s="56"/>
      <c r="J20" s="56"/>
    </row>
    <row r="21" spans="2:10">
      <c r="B21" s="17" t="s">
        <v>20</v>
      </c>
      <c r="C21" s="31">
        <v>1</v>
      </c>
      <c r="D21" s="26" t="str">
        <f>IF(Def!D12=0.25,IF(OR(C21&lt;0,C21&gt;2.75),"エラー","年後"),IF(Def!D12=0.5,IF(OR(C21&lt;0,C21&gt;5.5),"エラー","年後"),"エラー"))</f>
        <v>年後</v>
      </c>
      <c r="I21" s="56"/>
      <c r="J21" s="56"/>
    </row>
    <row r="22" spans="2:10">
      <c r="B22" s="17" t="s">
        <v>21</v>
      </c>
      <c r="C22" s="31">
        <v>3</v>
      </c>
      <c r="D22" s="26" t="str">
        <f>IF(Def!D12=0.25,IF(OR(C22&lt;0.25,C22&gt;3),"エラー","年後"),IF(Def!D12=0.5,IF(OR(C22&lt;0.5,C22&gt;6),"エラー","年後"),"エラー"))</f>
        <v>年後</v>
      </c>
      <c r="I22" s="56"/>
      <c r="J22" s="56"/>
    </row>
    <row r="23" spans="2:10">
      <c r="B23" s="19"/>
      <c r="C23" s="42"/>
      <c r="D23" s="24"/>
      <c r="E23" s="49"/>
      <c r="I23" s="56"/>
      <c r="J23" s="56"/>
    </row>
    <row r="24" spans="2:10">
      <c r="B24" s="17" t="s">
        <v>22</v>
      </c>
      <c r="C24" s="31">
        <v>1</v>
      </c>
      <c r="D24" s="26" t="str">
        <f>IF(C17=3,IF(OR(C24&lt;=0,C24&gt;(C22-C21)/(C14/12)),"エラー",IF(C24=1,"European","回")),"------")</f>
        <v>------</v>
      </c>
      <c r="I24" s="56"/>
      <c r="J24" s="56"/>
    </row>
    <row r="25" spans="2:10" ht="14.25">
      <c r="B25" s="97" t="s">
        <v>23</v>
      </c>
      <c r="C25" s="31">
        <v>2</v>
      </c>
      <c r="D25" s="26" t="str">
        <f>IF(C17=3,IF(C24&gt;1,IF(C25=1,"Tenor",IF(C25=2,"Maturity","エラー")),IF(C25=2,"OK","エラー")),"------")</f>
        <v>------</v>
      </c>
      <c r="I25" s="56"/>
      <c r="J25" s="56"/>
    </row>
    <row r="26" spans="2:10" ht="14.25">
      <c r="B26" s="97" t="s">
        <v>24</v>
      </c>
      <c r="C26" s="31">
        <v>1</v>
      </c>
      <c r="D26" s="26" t="str">
        <f>IF(C17=3,IF(AND(C24&gt;1,C25=1),IF(AND(C26&gt;0,C26&lt;(C22-C21)),"年","エラー"),"------"),"------")</f>
        <v>------</v>
      </c>
      <c r="I26" s="56"/>
      <c r="J26" s="56"/>
    </row>
    <row r="27" spans="2:10">
      <c r="B27" s="55"/>
      <c r="C27" s="42"/>
      <c r="D27" s="24"/>
      <c r="I27" s="56"/>
      <c r="J27" s="56"/>
    </row>
    <row r="28" spans="2:10">
      <c r="B28" s="17" t="s">
        <v>25</v>
      </c>
      <c r="C28" s="31">
        <v>0</v>
      </c>
      <c r="D28" s="26" t="str">
        <f>IF(C17=2,IF(C28=1,"Ratchet",IF(C28=2,"Sticky",IF(C28=0,"Off","エラー"))),IF(C17=1,IF(C28=0,"Off","エラー"),"------"))</f>
        <v>Off</v>
      </c>
    </row>
    <row r="29" spans="2:10">
      <c r="B29" s="17" t="s">
        <v>26</v>
      </c>
      <c r="C29" s="31">
        <v>1000</v>
      </c>
      <c r="D29" s="26" t="str">
        <f>IF(OR(C17=1,C17=2),IF(OR(C29&lt;=0,C29&gt;10000),"エラー","回"),"------")</f>
        <v>回</v>
      </c>
    </row>
    <row r="30" spans="2:10">
      <c r="B30" s="17" t="s">
        <v>27</v>
      </c>
      <c r="C30" s="31">
        <v>0</v>
      </c>
      <c r="D30" s="26" t="str">
        <f>IF(OR(C17=1,C17=2),IF(C30=0,"Normal",IF(C30=1,"Antithetic","エラー")),"------")</f>
        <v>Normal</v>
      </c>
    </row>
    <row r="31" spans="2:10">
      <c r="B31" s="17" t="s">
        <v>28</v>
      </c>
      <c r="C31" s="31">
        <v>1</v>
      </c>
      <c r="D31" s="26" t="str">
        <f>IF(OR(C17=1,C17=2),IF(C31=0,"不特定乱数",IF(C31&gt;=1,"特定乱数","正数を入力")),"------")</f>
        <v>特定乱数</v>
      </c>
    </row>
    <row r="32" spans="2:10">
      <c r="B32" s="1"/>
      <c r="C32" s="1"/>
      <c r="D32" s="1"/>
    </row>
  </sheetData>
  <phoneticPr fontId="9"/>
  <printOptions gridLinesSet="0"/>
  <pageMargins left="0.78700000000000003" right="0.78700000000000003" top="0.98399999999999999" bottom="0.98399999999999999" header="0.5" footer="0.5"/>
  <pageSetup paperSize="9" orientation="portrait" horizontalDpi="4294967292" verticalDpi="0" r:id="rId1"/>
  <headerFooter alignWithMargins="0">
    <oddHeader>&amp;A</oddHeader>
    <oddFooter>- &amp;P -</oddFooter>
  </headerFooter>
  <drawing r:id="rId2"/>
  <legacyDrawing r:id="rId3"/>
</worksheet>
</file>

<file path=xl/worksheets/sheet4.xml><?xml version="1.0" encoding="utf-8"?>
<worksheet xmlns="http://schemas.openxmlformats.org/spreadsheetml/2006/main" xmlns:r="http://schemas.openxmlformats.org/officeDocument/2006/relationships">
  <dimension ref="A3:H32"/>
  <sheetViews>
    <sheetView topLeftCell="A3" zoomScale="80" workbookViewId="0">
      <selection activeCell="F23" sqref="F23"/>
    </sheetView>
  </sheetViews>
  <sheetFormatPr defaultRowHeight="13.5"/>
  <cols>
    <col min="1" max="2" width="9.625" style="2" customWidth="1"/>
    <col min="3" max="5" width="10.625" style="1" customWidth="1"/>
    <col min="6" max="10" width="9.625" style="1" customWidth="1"/>
    <col min="11" max="16384" width="9" style="1"/>
  </cols>
  <sheetData>
    <row r="3" spans="1:8">
      <c r="A3" s="4" t="s">
        <v>29</v>
      </c>
      <c r="B3" s="10" t="s">
        <v>30</v>
      </c>
      <c r="C3" s="6" t="s">
        <v>31</v>
      </c>
      <c r="D3" s="6"/>
      <c r="E3" s="7"/>
    </row>
    <row r="4" spans="1:8" s="2" customFormat="1">
      <c r="A4" s="8"/>
      <c r="B4" s="9" t="s">
        <v>32</v>
      </c>
      <c r="C4" s="5" t="s">
        <v>33</v>
      </c>
      <c r="D4" s="5" t="s">
        <v>34</v>
      </c>
      <c r="E4" s="5" t="s">
        <v>35</v>
      </c>
    </row>
    <row r="5" spans="1:8" ht="12.75" customHeight="1">
      <c r="A5"/>
      <c r="B5"/>
    </row>
    <row r="8" spans="1:8">
      <c r="A8" s="3">
        <f t="shared" ref="A8:A19" si="0">A9+1</f>
        <v>12</v>
      </c>
      <c r="B8" s="2">
        <f>IF(Def!$D$18&gt;ABS($A8),1,0)</f>
        <v>0</v>
      </c>
      <c r="C8" s="87">
        <f>IF($B8=1,(1/6)+(1/2)*($A8^2*Def!$D$15^2+$A8*Def!$D$15),0)</f>
        <v>0</v>
      </c>
      <c r="D8" s="87">
        <f>IF($B8=1,(2/3)-$A8^2*Def!$D$15^2,0)</f>
        <v>0</v>
      </c>
      <c r="E8" s="87">
        <f>IF($B8=1,(1/6)+(1/2)*($A8^2*Def!$D$15^2-$A8*Def!$D$15),0)</f>
        <v>0</v>
      </c>
    </row>
    <row r="9" spans="1:8">
      <c r="A9" s="3">
        <f t="shared" si="0"/>
        <v>11</v>
      </c>
      <c r="B9" s="2">
        <f>IF(Def!$D$18&gt;ABS($A9),1,0)</f>
        <v>0</v>
      </c>
      <c r="C9" s="87">
        <f>IF($B9=1,(1/6)+(1/2)*($A9^2*Def!$D$15^2+$A9*Def!$D$15),0)</f>
        <v>0</v>
      </c>
      <c r="D9" s="87">
        <f>IF($B9=1,(2/3)-$A9^2*Def!$D$15^2,0)</f>
        <v>0</v>
      </c>
      <c r="E9" s="87">
        <f>IF($B9=1,(1/6)+(1/2)*($A9^2*Def!$D$15^2-$A9*Def!$D$15),0)</f>
        <v>0</v>
      </c>
    </row>
    <row r="10" spans="1:8">
      <c r="A10" s="3">
        <f t="shared" si="0"/>
        <v>10</v>
      </c>
      <c r="B10" s="2">
        <f>IF(Def!$D$18&gt;ABS($A10),1,0)</f>
        <v>0</v>
      </c>
      <c r="C10" s="87">
        <f>IF($B10=1,(1/6)+(1/2)*($A10^2*Def!$D$15^2+$A10*Def!$D$15),0)</f>
        <v>0</v>
      </c>
      <c r="D10" s="87">
        <f>IF($B10=1,(2/3)-$A10^2*Def!$D$15^2,0)</f>
        <v>0</v>
      </c>
      <c r="E10" s="87">
        <f>IF($B10=1,(1/6)+(1/2)*($A10^2*Def!$D$15^2-$A10*Def!$D$15),0)</f>
        <v>0</v>
      </c>
      <c r="H10"/>
    </row>
    <row r="11" spans="1:8">
      <c r="A11" s="3">
        <f t="shared" si="0"/>
        <v>9</v>
      </c>
      <c r="B11" s="2">
        <f>IF(Def!$D$18&gt;ABS($A11),1,0)</f>
        <v>0</v>
      </c>
      <c r="C11" s="87">
        <f>IF($B11=1,(1/6)+(1/2)*($A11^2*Def!$D$15^2+$A11*Def!$D$15),0)</f>
        <v>0</v>
      </c>
      <c r="D11" s="87">
        <f>IF($B11=1,(2/3)-$A11^2*Def!$D$15^2,0)</f>
        <v>0</v>
      </c>
      <c r="E11" s="87">
        <f>IF($B11=1,(1/6)+(1/2)*($A11^2*Def!$D$15^2-$A11*Def!$D$15),0)</f>
        <v>0</v>
      </c>
    </row>
    <row r="12" spans="1:8">
      <c r="A12" s="3">
        <f t="shared" si="0"/>
        <v>8</v>
      </c>
      <c r="B12" s="2">
        <f>IF(Def!$D$18&gt;ABS($A12),1,0)</f>
        <v>0</v>
      </c>
      <c r="C12" s="87">
        <f>IF($B12=1,(1/6)+(1/2)*($A12^2*Def!$D$15^2+$A12*Def!$D$15),0)</f>
        <v>0</v>
      </c>
      <c r="D12" s="87">
        <f>IF($B12=1,(2/3)-$A12^2*Def!$D$15^2,0)</f>
        <v>0</v>
      </c>
      <c r="E12" s="87">
        <f>IF($B12=1,(1/6)+(1/2)*($A12^2*Def!$D$15^2-$A12*Def!$D$15),0)</f>
        <v>0</v>
      </c>
    </row>
    <row r="13" spans="1:8">
      <c r="A13" s="3">
        <f t="shared" si="0"/>
        <v>7</v>
      </c>
      <c r="B13" s="2">
        <f>IF(Def!$D$18&gt;ABS($A13),1,0)</f>
        <v>1</v>
      </c>
      <c r="C13" s="87">
        <f>IF($B13=1,(1/6)+(1/2)*($A13^2*Def!$D$15^2+$A13*Def!$D$15),0)</f>
        <v>9.4479166666666656E-2</v>
      </c>
      <c r="D13" s="87">
        <f>IF($B13=1,(2/3)-$A13^2*Def!$D$15^2,0)</f>
        <v>0.63604166666666662</v>
      </c>
      <c r="E13" s="87">
        <f>IF($B13=1,(1/6)+(1/2)*($A13^2*Def!$D$15^2-$A13*Def!$D$15),0)</f>
        <v>0.26947916666666666</v>
      </c>
    </row>
    <row r="14" spans="1:8">
      <c r="A14" s="3">
        <f t="shared" si="0"/>
        <v>6</v>
      </c>
      <c r="B14" s="2">
        <f>IF(Def!$D$18&gt;ABS($A14),1,0)</f>
        <v>1</v>
      </c>
      <c r="C14" s="87">
        <f>IF($B14=1,(1/6)+(1/2)*($A14^2*Def!$D$15^2+$A14*Def!$D$15),0)</f>
        <v>0.10291666666666666</v>
      </c>
      <c r="D14" s="87">
        <f>IF($B14=1,(2/3)-$A14^2*Def!$D$15^2,0)</f>
        <v>0.64416666666666667</v>
      </c>
      <c r="E14" s="87">
        <f>IF($B14=1,(1/6)+(1/2)*($A14^2*Def!$D$15^2-$A14*Def!$D$15),0)</f>
        <v>0.25291666666666668</v>
      </c>
    </row>
    <row r="15" spans="1:8">
      <c r="A15" s="3">
        <f t="shared" si="0"/>
        <v>5</v>
      </c>
      <c r="B15" s="2">
        <f>IF(Def!$D$18&gt;ABS($A15),1,0)</f>
        <v>1</v>
      </c>
      <c r="C15" s="87">
        <f>IF($B15=1,(1/6)+(1/2)*($A15^2*Def!$D$15^2+$A15*Def!$D$15),0)</f>
        <v>0.11197916666666666</v>
      </c>
      <c r="D15" s="87">
        <f>IF($B15=1,(2/3)-$A15^2*Def!$D$15^2,0)</f>
        <v>0.65104166666666663</v>
      </c>
      <c r="E15" s="87">
        <f>IF($B15=1,(1/6)+(1/2)*($A15^2*Def!$D$15^2-$A15*Def!$D$15),0)</f>
        <v>0.23697916666666666</v>
      </c>
    </row>
    <row r="16" spans="1:8">
      <c r="A16" s="3">
        <f t="shared" si="0"/>
        <v>4</v>
      </c>
      <c r="B16" s="2">
        <f>IF(Def!$D$18&gt;ABS($A16),1,0)</f>
        <v>1</v>
      </c>
      <c r="C16" s="87">
        <f>IF($B16=1,(1/6)+(1/2)*($A16^2*Def!$D$15^2+$A16*Def!$D$15),0)</f>
        <v>0.12166666666666666</v>
      </c>
      <c r="D16" s="87">
        <f>IF($B16=1,(2/3)-$A16^2*Def!$D$15^2,0)</f>
        <v>0.65666666666666662</v>
      </c>
      <c r="E16" s="87">
        <f>IF($B16=1,(1/6)+(1/2)*($A16^2*Def!$D$15^2-$A16*Def!$D$15),0)</f>
        <v>0.22166666666666668</v>
      </c>
    </row>
    <row r="17" spans="1:5">
      <c r="A17" s="3">
        <f t="shared" si="0"/>
        <v>3</v>
      </c>
      <c r="B17" s="2">
        <f>IF(Def!$D$18&gt;ABS($A17),1,0)</f>
        <v>1</v>
      </c>
      <c r="C17" s="87">
        <f>IF($B17=1,(1/6)+(1/2)*($A17^2*Def!$D$15^2+$A17*Def!$D$15),0)</f>
        <v>0.13197916666666665</v>
      </c>
      <c r="D17" s="87">
        <f>IF($B17=1,(2/3)-$A17^2*Def!$D$15^2,0)</f>
        <v>0.66104166666666664</v>
      </c>
      <c r="E17" s="87">
        <f>IF($B17=1,(1/6)+(1/2)*($A17^2*Def!$D$15^2-$A17*Def!$D$15),0)</f>
        <v>0.20697916666666666</v>
      </c>
    </row>
    <row r="18" spans="1:5">
      <c r="A18" s="3">
        <f t="shared" si="0"/>
        <v>2</v>
      </c>
      <c r="B18" s="2">
        <f>IF(Def!$D$18&gt;ABS($A18),1,0)</f>
        <v>1</v>
      </c>
      <c r="C18" s="87">
        <f>IF($B18=1,(1/6)+(1/2)*($A18^2*Def!$D$15^2+$A18*Def!$D$15),0)</f>
        <v>0.14291666666666666</v>
      </c>
      <c r="D18" s="87">
        <f>IF($B18=1,(2/3)-$A18^2*Def!$D$15^2,0)</f>
        <v>0.66416666666666668</v>
      </c>
      <c r="E18" s="87">
        <f>IF($B18=1,(1/6)+(1/2)*($A18^2*Def!$D$15^2-$A18*Def!$D$15),0)</f>
        <v>0.19291666666666665</v>
      </c>
    </row>
    <row r="19" spans="1:5">
      <c r="A19" s="3">
        <f t="shared" si="0"/>
        <v>1</v>
      </c>
      <c r="B19" s="2">
        <f>IF(Def!$D$18&gt;ABS($A19),1,0)</f>
        <v>1</v>
      </c>
      <c r="C19" s="87">
        <f>IF($B19=1,(1/6)+(1/2)*($A19^2*Def!$D$15^2+$A19*Def!$D$15),0)</f>
        <v>0.15447916666666667</v>
      </c>
      <c r="D19" s="87">
        <f>IF($B19=1,(2/3)-$A19^2*Def!$D$15^2,0)</f>
        <v>0.66604166666666664</v>
      </c>
      <c r="E19" s="87">
        <f>IF($B19=1,(1/6)+(1/2)*($A19^2*Def!$D$15^2-$A19*Def!$D$15),0)</f>
        <v>0.17947916666666666</v>
      </c>
    </row>
    <row r="20" spans="1:5">
      <c r="A20" s="3">
        <v>0</v>
      </c>
      <c r="B20" s="2">
        <f>IF(Def!$D$18&gt;ABS($A20),1,0)</f>
        <v>1</v>
      </c>
      <c r="C20" s="87">
        <f>IF($B20=1,(1/6)+(1/2)*($A20^2*Def!$D$15^2+$A20*Def!$D$15),0)</f>
        <v>0.16666666666666666</v>
      </c>
      <c r="D20" s="87">
        <f>IF($B20=1,(2/3)-$A20^2*Def!$D$15^2,0)</f>
        <v>0.66666666666666663</v>
      </c>
      <c r="E20" s="87">
        <f>IF($B20=1,(1/6)+(1/2)*($A20^2*Def!$D$15^2-$A20*Def!$D$15),0)</f>
        <v>0.16666666666666666</v>
      </c>
    </row>
    <row r="21" spans="1:5">
      <c r="A21" s="3">
        <f t="shared" ref="A21:A32" si="1">A20-1</f>
        <v>-1</v>
      </c>
      <c r="B21" s="2">
        <f>IF(Def!$D$18&gt;ABS($A21),1,0)</f>
        <v>1</v>
      </c>
      <c r="C21" s="87">
        <f>IF($B21=1,(1/6)+(1/2)*($A21^2*Def!$D$15^2+$A21*Def!$D$15),0)</f>
        <v>0.17947916666666666</v>
      </c>
      <c r="D21" s="87">
        <f>IF($B21=1,(2/3)-$A21^2*Def!$D$15^2,0)</f>
        <v>0.66604166666666664</v>
      </c>
      <c r="E21" s="87">
        <f>IF($B21=1,(1/6)+(1/2)*($A21^2*Def!$D$15^2-$A21*Def!$D$15),0)</f>
        <v>0.15447916666666667</v>
      </c>
    </row>
    <row r="22" spans="1:5">
      <c r="A22" s="3">
        <f t="shared" si="1"/>
        <v>-2</v>
      </c>
      <c r="B22" s="2">
        <f>IF(Def!$D$18&gt;ABS($A22),1,0)</f>
        <v>1</v>
      </c>
      <c r="C22" s="87">
        <f>IF($B22=1,(1/6)+(1/2)*($A22^2*Def!$D$15^2+$A22*Def!$D$15),0)</f>
        <v>0.19291666666666665</v>
      </c>
      <c r="D22" s="87">
        <f>IF($B22=1,(2/3)-$A22^2*Def!$D$15^2,0)</f>
        <v>0.66416666666666668</v>
      </c>
      <c r="E22" s="87">
        <f>IF($B22=1,(1/6)+(1/2)*($A22^2*Def!$D$15^2-$A22*Def!$D$15),0)</f>
        <v>0.14291666666666666</v>
      </c>
    </row>
    <row r="23" spans="1:5">
      <c r="A23" s="3">
        <f t="shared" si="1"/>
        <v>-3</v>
      </c>
      <c r="B23" s="2">
        <f>IF(Def!$D$18&gt;ABS($A23),1,0)</f>
        <v>1</v>
      </c>
      <c r="C23" s="87">
        <f>IF($B23=1,(1/6)+(1/2)*($A23^2*Def!$D$15^2+$A23*Def!$D$15),0)</f>
        <v>0.20697916666666666</v>
      </c>
      <c r="D23" s="87">
        <f>IF($B23=1,(2/3)-$A23^2*Def!$D$15^2,0)</f>
        <v>0.66104166666666664</v>
      </c>
      <c r="E23" s="87">
        <f>IF($B23=1,(1/6)+(1/2)*($A23^2*Def!$D$15^2-$A23*Def!$D$15),0)</f>
        <v>0.13197916666666665</v>
      </c>
    </row>
    <row r="24" spans="1:5">
      <c r="A24" s="3">
        <f t="shared" si="1"/>
        <v>-4</v>
      </c>
      <c r="B24" s="2">
        <f>IF(Def!$D$18&gt;ABS($A24),1,0)</f>
        <v>1</v>
      </c>
      <c r="C24" s="87">
        <f>IF($B24=1,(1/6)+(1/2)*($A24^2*Def!$D$15^2+$A24*Def!$D$15),0)</f>
        <v>0.22166666666666668</v>
      </c>
      <c r="D24" s="87">
        <f>IF($B24=1,(2/3)-$A24^2*Def!$D$15^2,0)</f>
        <v>0.65666666666666662</v>
      </c>
      <c r="E24" s="87">
        <f>IF($B24=1,(1/6)+(1/2)*($A24^2*Def!$D$15^2-$A24*Def!$D$15),0)</f>
        <v>0.12166666666666666</v>
      </c>
    </row>
    <row r="25" spans="1:5">
      <c r="A25" s="3">
        <f t="shared" si="1"/>
        <v>-5</v>
      </c>
      <c r="B25" s="2">
        <f>IF(Def!$D$18&gt;ABS($A25),1,0)</f>
        <v>1</v>
      </c>
      <c r="C25" s="87">
        <f>IF($B25=1,(1/6)+(1/2)*($A25^2*Def!$D$15^2+$A25*Def!$D$15),0)</f>
        <v>0.23697916666666666</v>
      </c>
      <c r="D25" s="87">
        <f>IF($B25=1,(2/3)-$A25^2*Def!$D$15^2,0)</f>
        <v>0.65104166666666663</v>
      </c>
      <c r="E25" s="87">
        <f>IF($B25=1,(1/6)+(1/2)*($A25^2*Def!$D$15^2-$A25*Def!$D$15),0)</f>
        <v>0.11197916666666666</v>
      </c>
    </row>
    <row r="26" spans="1:5">
      <c r="A26" s="3">
        <f t="shared" si="1"/>
        <v>-6</v>
      </c>
      <c r="B26" s="2">
        <f>IF(Def!$D$18&gt;ABS($A26),1,0)</f>
        <v>1</v>
      </c>
      <c r="C26" s="87">
        <f>IF($B26=1,(1/6)+(1/2)*($A26^2*Def!$D$15^2+$A26*Def!$D$15),0)</f>
        <v>0.25291666666666668</v>
      </c>
      <c r="D26" s="87">
        <f>IF($B26=1,(2/3)-$A26^2*Def!$D$15^2,0)</f>
        <v>0.64416666666666667</v>
      </c>
      <c r="E26" s="87">
        <f>IF($B26=1,(1/6)+(1/2)*($A26^2*Def!$D$15^2-$A26*Def!$D$15),0)</f>
        <v>0.10291666666666666</v>
      </c>
    </row>
    <row r="27" spans="1:5">
      <c r="A27" s="3">
        <f t="shared" si="1"/>
        <v>-7</v>
      </c>
      <c r="B27" s="2">
        <f>IF(Def!$D$18&gt;ABS($A27),1,0)</f>
        <v>1</v>
      </c>
      <c r="C27" s="87">
        <f>IF($B27=1,(1/6)+(1/2)*($A27^2*Def!$D$15^2+$A27*Def!$D$15),0)</f>
        <v>0.26947916666666666</v>
      </c>
      <c r="D27" s="87">
        <f>IF($B27=1,(2/3)-$A27^2*Def!$D$15^2,0)</f>
        <v>0.63604166666666662</v>
      </c>
      <c r="E27" s="87">
        <f>IF($B27=1,(1/6)+(1/2)*($A27^2*Def!$D$15^2-$A27*Def!$D$15),0)</f>
        <v>9.4479166666666656E-2</v>
      </c>
    </row>
    <row r="28" spans="1:5">
      <c r="A28" s="3">
        <f t="shared" si="1"/>
        <v>-8</v>
      </c>
      <c r="B28" s="2">
        <f>IF(Def!$D$18&gt;ABS($A28),1,0)</f>
        <v>0</v>
      </c>
      <c r="C28" s="87">
        <f>IF($B28=1,(1/6)+(1/2)*($A28^2*Def!$D$15^2+$A28*Def!$D$15),0)</f>
        <v>0</v>
      </c>
      <c r="D28" s="87">
        <f>IF($B28=1,(2/3)-$A28^2*Def!$D$15^2,0)</f>
        <v>0</v>
      </c>
      <c r="E28" s="87">
        <f>IF($B28=1,(1/6)+(1/2)*($A28^2*Def!$D$15^2-$A28*Def!$D$15),0)</f>
        <v>0</v>
      </c>
    </row>
    <row r="29" spans="1:5">
      <c r="A29" s="3">
        <f t="shared" si="1"/>
        <v>-9</v>
      </c>
      <c r="B29" s="2">
        <f>IF(Def!$D$18&gt;ABS($A29),1,0)</f>
        <v>0</v>
      </c>
      <c r="C29" s="87">
        <f>IF($B29=1,(1/6)+(1/2)*($A29^2*Def!$D$15^2+$A29*Def!$D$15),0)</f>
        <v>0</v>
      </c>
      <c r="D29" s="87">
        <f>IF($B29=1,(2/3)-$A29^2*Def!$D$15^2,0)</f>
        <v>0</v>
      </c>
      <c r="E29" s="87">
        <f>IF($B29=1,(1/6)+(1/2)*($A29^2*Def!$D$15^2-$A29*Def!$D$15),0)</f>
        <v>0</v>
      </c>
    </row>
    <row r="30" spans="1:5">
      <c r="A30" s="3">
        <f t="shared" si="1"/>
        <v>-10</v>
      </c>
      <c r="B30" s="2">
        <f>IF(Def!$D$18&gt;ABS($A30),1,0)</f>
        <v>0</v>
      </c>
      <c r="C30" s="87">
        <f>IF($B30=1,(1/6)+(1/2)*($A30^2*Def!$D$15^2+$A30*Def!$D$15),0)</f>
        <v>0</v>
      </c>
      <c r="D30" s="87">
        <f>IF($B30=1,(2/3)-$A30^2*Def!$D$15^2,0)</f>
        <v>0</v>
      </c>
      <c r="E30" s="87">
        <f>IF($B30=1,(1/6)+(1/2)*($A30^2*Def!$D$15^2-$A30*Def!$D$15),0)</f>
        <v>0</v>
      </c>
    </row>
    <row r="31" spans="1:5">
      <c r="A31" s="3">
        <f t="shared" si="1"/>
        <v>-11</v>
      </c>
      <c r="B31" s="2">
        <f>IF(Def!$D$18&gt;ABS($A31),1,0)</f>
        <v>0</v>
      </c>
      <c r="C31" s="87">
        <f>IF($B31=1,(1/6)+(1/2)*($A31^2*Def!$D$15^2+$A31*Def!$D$15),0)</f>
        <v>0</v>
      </c>
      <c r="D31" s="87">
        <f>IF($B31=1,(2/3)-$A31^2*Def!$D$15^2,0)</f>
        <v>0</v>
      </c>
      <c r="E31" s="87">
        <f>IF($B31=1,(1/6)+(1/2)*($A31^2*Def!$D$15^2-$A31*Def!$D$15),0)</f>
        <v>0</v>
      </c>
    </row>
    <row r="32" spans="1:5">
      <c r="A32" s="3">
        <f t="shared" si="1"/>
        <v>-12</v>
      </c>
      <c r="B32" s="2">
        <f>IF(Def!$D$18&gt;ABS($A32),1,0)</f>
        <v>0</v>
      </c>
      <c r="C32" s="87">
        <f>IF($B32=1,(1/6)+(1/2)*($A32^2*Def!$D$15^2+$A32*Def!$D$15),0)</f>
        <v>0</v>
      </c>
      <c r="D32" s="87">
        <f>IF($B32=1,(2/3)-$A32^2*Def!$D$15^2,0)</f>
        <v>0</v>
      </c>
      <c r="E32" s="87">
        <f>IF($B32=1,(1/6)+(1/2)*($A32^2*Def!$D$15^2-$A32*Def!$D$15),0)</f>
        <v>0</v>
      </c>
    </row>
  </sheetData>
  <phoneticPr fontId="9"/>
  <printOptions gridLinesSet="0"/>
  <pageMargins left="0.78700000000000003" right="0.78700000000000003" top="0.98399999999999999" bottom="0.98399999999999999" header="0.5" footer="0.5"/>
  <pageSetup paperSize="9" orientation="portrait" horizontalDpi="4294967292" verticalDpi="0" r:id="rId1"/>
  <headerFooter alignWithMargins="0">
    <oddHeader>&amp;A</oddHeader>
    <oddFooter>- &amp;P -</oddFooter>
  </headerFooter>
  <drawing r:id="rId2"/>
</worksheet>
</file>

<file path=xl/worksheets/sheet5.xml><?xml version="1.0" encoding="utf-8"?>
<worksheet xmlns="http://schemas.openxmlformats.org/spreadsheetml/2006/main" xmlns:r="http://schemas.openxmlformats.org/officeDocument/2006/relationships">
  <dimension ref="A3:E19"/>
  <sheetViews>
    <sheetView topLeftCell="A3" zoomScale="80" workbookViewId="0">
      <selection activeCell="F23" sqref="F23"/>
    </sheetView>
  </sheetViews>
  <sheetFormatPr defaultRowHeight="13.5"/>
  <cols>
    <col min="1" max="2" width="9.625" style="20" customWidth="1"/>
    <col min="3" max="5" width="10.625" style="20" customWidth="1"/>
    <col min="6" max="10" width="9.625" style="20" customWidth="1"/>
    <col min="11" max="16384" width="9" style="20"/>
  </cols>
  <sheetData>
    <row r="3" spans="1:5">
      <c r="A3" s="34" t="s">
        <v>29</v>
      </c>
      <c r="B3" s="35" t="s">
        <v>30</v>
      </c>
      <c r="C3" s="36" t="s">
        <v>31</v>
      </c>
      <c r="D3" s="36"/>
      <c r="E3" s="37"/>
    </row>
    <row r="4" spans="1:5">
      <c r="A4" s="38"/>
      <c r="B4" s="39" t="s">
        <v>32</v>
      </c>
      <c r="C4" s="40" t="s">
        <v>33</v>
      </c>
      <c r="D4" s="40" t="s">
        <v>34</v>
      </c>
      <c r="E4" s="40" t="s">
        <v>35</v>
      </c>
    </row>
    <row r="8" spans="1:5">
      <c r="A8" s="41">
        <f t="shared" ref="A8:A19" si="0">A9+1</f>
        <v>12</v>
      </c>
      <c r="B8" s="2">
        <f>IF(Def!$D$18=ABS($A8),1,0)</f>
        <v>0</v>
      </c>
      <c r="C8" s="87">
        <f>IF($B8=1,(7/6)+(1/2)*($A8^2*Def!$D$15^2+3*$A8*Def!$D$15),0)</f>
        <v>0</v>
      </c>
      <c r="D8" s="87">
        <f>IF($B8=1,-(1/3)-$A8^2*Def!$D$15^2-2*$A8*Def!$D$15,0)</f>
        <v>0</v>
      </c>
      <c r="E8" s="87">
        <f>IF($B8=1,(1/6)+(1/2)*($A8^2*Def!$D$15^2+$A8*Def!$D$15),0)</f>
        <v>0</v>
      </c>
    </row>
    <row r="9" spans="1:5">
      <c r="A9" s="41">
        <f t="shared" si="0"/>
        <v>11</v>
      </c>
      <c r="B9" s="2">
        <f>IF(Def!$D$18=ABS($A9),1,0)</f>
        <v>0</v>
      </c>
      <c r="C9" s="87">
        <f>IF($B9=1,(7/6)+(1/2)*($A9^2*Def!$D$15^2+3*$A9*Def!$D$15),0)</f>
        <v>0</v>
      </c>
      <c r="D9" s="87">
        <f>IF($B9=1,-(1/3)-$A9^2*Def!$D$15^2-2*$A9*Def!$D$15,0)</f>
        <v>0</v>
      </c>
      <c r="E9" s="87">
        <f>IF($B9=1,(1/6)+(1/2)*($A9^2*Def!$D$15^2+$A9*Def!$D$15),0)</f>
        <v>0</v>
      </c>
    </row>
    <row r="10" spans="1:5">
      <c r="A10" s="41">
        <f t="shared" si="0"/>
        <v>10</v>
      </c>
      <c r="B10" s="2">
        <f>IF(Def!$D$18=ABS($A10),1,0)</f>
        <v>0</v>
      </c>
      <c r="C10" s="87">
        <f>IF($B10=1,(7/6)+(1/2)*($A10^2*Def!$D$15^2+3*$A10*Def!$D$15),0)</f>
        <v>0</v>
      </c>
      <c r="D10" s="87">
        <f>IF($B10=1,-(1/3)-$A10^2*Def!$D$15^2-2*$A10*Def!$D$15,0)</f>
        <v>0</v>
      </c>
      <c r="E10" s="87">
        <f>IF($B10=1,(1/6)+(1/2)*($A10^2*Def!$D$15^2+$A10*Def!$D$15),0)</f>
        <v>0</v>
      </c>
    </row>
    <row r="11" spans="1:5">
      <c r="A11" s="41">
        <f t="shared" si="0"/>
        <v>9</v>
      </c>
      <c r="B11" s="2">
        <f>IF(Def!$D$18=ABS($A11),1,0)</f>
        <v>0</v>
      </c>
      <c r="C11" s="87">
        <f>IF($B11=1,(7/6)+(1/2)*($A11^2*Def!$D$15^2+3*$A11*Def!$D$15),0)</f>
        <v>0</v>
      </c>
      <c r="D11" s="87">
        <f>IF($B11=1,-(1/3)-$A11^2*Def!$D$15^2-2*$A11*Def!$D$15,0)</f>
        <v>0</v>
      </c>
      <c r="E11" s="87">
        <f>IF($B11=1,(1/6)+(1/2)*($A11^2*Def!$D$15^2+$A11*Def!$D$15),0)</f>
        <v>0</v>
      </c>
    </row>
    <row r="12" spans="1:5">
      <c r="A12" s="41">
        <f t="shared" si="0"/>
        <v>8</v>
      </c>
      <c r="B12" s="2">
        <f>IF(Def!$D$18=ABS($A12),1,0)</f>
        <v>1</v>
      </c>
      <c r="C12" s="87">
        <f>IF($B12=1,(7/6)+(1/2)*($A12^2*Def!$D$15^2+3*$A12*Def!$D$15),0)</f>
        <v>0.88666666666666671</v>
      </c>
      <c r="D12" s="87">
        <f>IF($B12=1,-(1/3)-$A12^2*Def!$D$15^2-2*$A12*Def!$D$15,0)</f>
        <v>2.6666666666666727E-2</v>
      </c>
      <c r="E12" s="87">
        <f>IF($B12=1,(1/6)+(1/2)*($A12^2*Def!$D$15^2+$A12*Def!$D$15),0)</f>
        <v>8.6666666666666656E-2</v>
      </c>
    </row>
    <row r="13" spans="1:5">
      <c r="A13" s="41">
        <f t="shared" si="0"/>
        <v>7</v>
      </c>
      <c r="B13" s="2">
        <f>IF(Def!$D$18=ABS($A13),1,0)</f>
        <v>0</v>
      </c>
      <c r="C13" s="87">
        <f>IF($B13=1,(7/6)+(1/2)*($A13^2*Def!$D$15^2+3*$A13*Def!$D$15),0)</f>
        <v>0</v>
      </c>
      <c r="D13" s="87">
        <f>IF($B13=1,-(1/3)-$A13^2*Def!$D$15^2-2*$A13*Def!$D$15,0)</f>
        <v>0</v>
      </c>
      <c r="E13" s="87">
        <f>IF($B13=1,(1/6)+(1/2)*($A13^2*Def!$D$15^2+$A13*Def!$D$15),0)</f>
        <v>0</v>
      </c>
    </row>
    <row r="14" spans="1:5">
      <c r="A14" s="41">
        <f t="shared" si="0"/>
        <v>6</v>
      </c>
      <c r="B14" s="2">
        <f>IF(Def!$D$18=ABS($A14),1,0)</f>
        <v>0</v>
      </c>
      <c r="C14" s="87">
        <f>IF($B14=1,(7/6)+(1/2)*($A14^2*Def!$D$15^2+3*$A14*Def!$D$15),0)</f>
        <v>0</v>
      </c>
      <c r="D14" s="87">
        <f>IF($B14=1,-(1/3)-$A14^2*Def!$D$15^2-2*$A14*Def!$D$15,0)</f>
        <v>0</v>
      </c>
      <c r="E14" s="87">
        <f>IF($B14=1,(1/6)+(1/2)*($A14^2*Def!$D$15^2+$A14*Def!$D$15),0)</f>
        <v>0</v>
      </c>
    </row>
    <row r="15" spans="1:5">
      <c r="A15" s="41">
        <f t="shared" si="0"/>
        <v>5</v>
      </c>
      <c r="B15" s="2">
        <f>IF(Def!$D$18=ABS($A15),1,0)</f>
        <v>0</v>
      </c>
      <c r="C15" s="87">
        <f>IF($B15=1,(7/6)+(1/2)*($A15^2*Def!$D$15^2+3*$A15*Def!$D$15),0)</f>
        <v>0</v>
      </c>
      <c r="D15" s="87">
        <f>IF($B15=1,-(1/3)-$A15^2*Def!$D$15^2-2*$A15*Def!$D$15,0)</f>
        <v>0</v>
      </c>
      <c r="E15" s="87">
        <f>IF($B15=1,(1/6)+(1/2)*($A15^2*Def!$D$15^2+$A15*Def!$D$15),0)</f>
        <v>0</v>
      </c>
    </row>
    <row r="16" spans="1:5">
      <c r="A16" s="41">
        <f t="shared" si="0"/>
        <v>4</v>
      </c>
      <c r="B16" s="2">
        <f>IF(Def!$D$18=ABS($A16),1,0)</f>
        <v>0</v>
      </c>
      <c r="C16" s="87">
        <f>IF($B16=1,(7/6)+(1/2)*($A16^2*Def!$D$15^2+3*$A16*Def!$D$15),0)</f>
        <v>0</v>
      </c>
      <c r="D16" s="87">
        <f>IF($B16=1,-(1/3)-$A16^2*Def!$D$15^2-2*$A16*Def!$D$15,0)</f>
        <v>0</v>
      </c>
      <c r="E16" s="87">
        <f>IF($B16=1,(1/6)+(1/2)*($A16^2*Def!$D$15^2+$A16*Def!$D$15),0)</f>
        <v>0</v>
      </c>
    </row>
    <row r="17" spans="1:5">
      <c r="A17" s="41">
        <f t="shared" si="0"/>
        <v>3</v>
      </c>
      <c r="B17" s="2">
        <f>IF(Def!$D$18=ABS($A17),1,0)</f>
        <v>0</v>
      </c>
      <c r="C17" s="87">
        <f>IF($B17=1,(7/6)+(1/2)*($A17^2*Def!$D$15^2+3*$A17*Def!$D$15),0)</f>
        <v>0</v>
      </c>
      <c r="D17" s="87">
        <f>IF($B17=1,-(1/3)-$A17^2*Def!$D$15^2-2*$A17*Def!$D$15,0)</f>
        <v>0</v>
      </c>
      <c r="E17" s="87">
        <f>IF($B17=1,(1/6)+(1/2)*($A17^2*Def!$D$15^2+$A17*Def!$D$15),0)</f>
        <v>0</v>
      </c>
    </row>
    <row r="18" spans="1:5">
      <c r="A18" s="41">
        <f t="shared" si="0"/>
        <v>2</v>
      </c>
      <c r="B18" s="2">
        <f>IF(Def!$D$18=ABS($A18),1,0)</f>
        <v>0</v>
      </c>
      <c r="C18" s="87">
        <f>IF($B18=1,(7/6)+(1/2)*($A18^2*Def!$D$15^2+3*$A18*Def!$D$15),0)</f>
        <v>0</v>
      </c>
      <c r="D18" s="87">
        <f>IF($B18=1,-(1/3)-$A18^2*Def!$D$15^2-2*$A18*Def!$D$15,0)</f>
        <v>0</v>
      </c>
      <c r="E18" s="87">
        <f>IF($B18=1,(1/6)+(1/2)*($A18^2*Def!$D$15^2+$A18*Def!$D$15),0)</f>
        <v>0</v>
      </c>
    </row>
    <row r="19" spans="1:5">
      <c r="A19" s="41">
        <f t="shared" si="0"/>
        <v>1</v>
      </c>
      <c r="B19" s="2">
        <f>IF(Def!$D$18=ABS($A19),1,0)</f>
        <v>0</v>
      </c>
      <c r="C19" s="87">
        <f>IF($B19=1,(7/6)+(1/2)*($A19^2*Def!$D$15^2+3*$A19*Def!$D$15),0)</f>
        <v>0</v>
      </c>
      <c r="D19" s="87">
        <f>IF($B19=1,-(1/3)-$A19^2*Def!$D$15^2-2*$A19*Def!$D$15,0)</f>
        <v>0</v>
      </c>
      <c r="E19" s="87">
        <f>IF($B19=1,(1/6)+(1/2)*($A19^2*Def!$D$15^2+$A19*Def!$D$15),0)</f>
        <v>0</v>
      </c>
    </row>
  </sheetData>
  <phoneticPr fontId="9"/>
  <printOptions gridLinesSet="0"/>
  <pageMargins left="0.78700000000000003" right="0.78700000000000003" top="0.98399999999999999" bottom="0.98399999999999999" header="0.5" footer="0.5"/>
  <headerFooter alignWithMargins="0">
    <oddHeader>&amp;A</oddHeader>
    <oddFooter>- &amp;P -</oddFooter>
  </headerFooter>
  <drawing r:id="rId1"/>
</worksheet>
</file>

<file path=xl/worksheets/sheet6.xml><?xml version="1.0" encoding="utf-8"?>
<worksheet xmlns="http://schemas.openxmlformats.org/spreadsheetml/2006/main" xmlns:r="http://schemas.openxmlformats.org/officeDocument/2006/relationships">
  <dimension ref="A3:E32"/>
  <sheetViews>
    <sheetView topLeftCell="A3" zoomScale="80" workbookViewId="0">
      <selection activeCell="F23" sqref="F23"/>
    </sheetView>
  </sheetViews>
  <sheetFormatPr defaultRowHeight="13.5"/>
  <cols>
    <col min="1" max="2" width="9.625" style="1" customWidth="1"/>
    <col min="3" max="5" width="10.625" style="1" customWidth="1"/>
    <col min="6" max="12" width="9.625" style="1" customWidth="1"/>
    <col min="13" max="16384" width="9" style="1"/>
  </cols>
  <sheetData>
    <row r="3" spans="1:5">
      <c r="A3" s="4" t="s">
        <v>29</v>
      </c>
      <c r="B3" s="10" t="s">
        <v>30</v>
      </c>
      <c r="C3" s="6" t="s">
        <v>31</v>
      </c>
      <c r="D3" s="6"/>
      <c r="E3" s="7"/>
    </row>
    <row r="4" spans="1:5">
      <c r="A4" s="8"/>
      <c r="B4" s="9" t="s">
        <v>32</v>
      </c>
      <c r="C4" s="5" t="s">
        <v>33</v>
      </c>
      <c r="D4" s="5" t="s">
        <v>34</v>
      </c>
      <c r="E4" s="5" t="s">
        <v>35</v>
      </c>
    </row>
    <row r="6" spans="1:5" ht="13.15" customHeight="1"/>
    <row r="7" spans="1:5" ht="13.5" hidden="1" customHeight="1"/>
    <row r="8" spans="1:5" ht="13.5" hidden="1" customHeight="1">
      <c r="B8" s="2"/>
      <c r="C8" s="2"/>
      <c r="D8" s="2"/>
      <c r="E8" s="2"/>
    </row>
    <row r="9" spans="1:5" ht="13.5" hidden="1" customHeight="1"/>
    <row r="10" spans="1:5" ht="13.5" hidden="1" customHeight="1"/>
    <row r="11" spans="1:5" ht="13.5" hidden="1" customHeight="1"/>
    <row r="12" spans="1:5" ht="13.5" hidden="1" customHeight="1"/>
    <row r="13" spans="1:5" ht="13.5" hidden="1" customHeight="1"/>
    <row r="14" spans="1:5" ht="13.5" hidden="1" customHeight="1"/>
    <row r="15" spans="1:5" ht="13.5" hidden="1" customHeight="1"/>
    <row r="16" spans="1:5" ht="13.5" hidden="1" customHeight="1">
      <c r="A16" s="11"/>
      <c r="B16" s="11"/>
      <c r="C16" s="12"/>
      <c r="D16" s="12"/>
      <c r="E16" s="12"/>
    </row>
    <row r="17" spans="1:5" ht="13.5" hidden="1" customHeight="1">
      <c r="A17" s="11"/>
      <c r="B17" s="11"/>
      <c r="C17" s="11"/>
      <c r="D17" s="11"/>
      <c r="E17" s="11"/>
    </row>
    <row r="18" spans="1:5" ht="13.5" hidden="1" customHeight="1"/>
    <row r="19" spans="1:5" ht="13.5" hidden="1" customHeight="1"/>
    <row r="20" spans="1:5" ht="13.15" customHeight="1"/>
    <row r="21" spans="1:5">
      <c r="A21" s="3">
        <f t="shared" ref="A21:A32" si="0">A20-1</f>
        <v>-1</v>
      </c>
      <c r="B21" s="2">
        <f>IF(Def!$D$18=ABS($A21),1,0)</f>
        <v>0</v>
      </c>
      <c r="C21" s="87">
        <f>IF($B21=1,(1/6)+(1/2)*($A21^2*Def!$D$15^2-$A21*Def!$D$15),0)</f>
        <v>0</v>
      </c>
      <c r="D21" s="87">
        <f>IF($B21=1,-(1/3)-$A21^2*Def!$D$15^2+2*$A21*Def!$D$15,0)</f>
        <v>0</v>
      </c>
      <c r="E21" s="87">
        <f>IF($B21=1,(7/6)+(1/2)*($A21^2*Def!$D$15^2-3*$A21*Def!$D$15),0)</f>
        <v>0</v>
      </c>
    </row>
    <row r="22" spans="1:5">
      <c r="A22" s="3">
        <f t="shared" si="0"/>
        <v>-2</v>
      </c>
      <c r="B22" s="2">
        <f>IF(Def!$D$18=ABS($A22),1,0)</f>
        <v>0</v>
      </c>
      <c r="C22" s="87">
        <f>IF($B22=1,(1/6)+(1/2)*($A22^2*Def!$D$15^2-$A22*Def!$D$15),0)</f>
        <v>0</v>
      </c>
      <c r="D22" s="87">
        <f>IF($B22=1,-(1/3)-$A22^2*Def!$D$15^2+2*$A22*Def!$D$15,0)</f>
        <v>0</v>
      </c>
      <c r="E22" s="87">
        <f>IF($B22=1,(7/6)+(1/2)*($A22^2*Def!$D$15^2-3*$A22*Def!$D$15),0)</f>
        <v>0</v>
      </c>
    </row>
    <row r="23" spans="1:5">
      <c r="A23" s="3">
        <f t="shared" si="0"/>
        <v>-3</v>
      </c>
      <c r="B23" s="2">
        <f>IF(Def!$D$18=ABS($A23),1,0)</f>
        <v>0</v>
      </c>
      <c r="C23" s="87">
        <f>IF($B23=1,(1/6)+(1/2)*($A23^2*Def!$D$15^2-$A23*Def!$D$15),0)</f>
        <v>0</v>
      </c>
      <c r="D23" s="87">
        <f>IF($B23=1,-(1/3)-$A23^2*Def!$D$15^2+2*$A23*Def!$D$15,0)</f>
        <v>0</v>
      </c>
      <c r="E23" s="87">
        <f>IF($B23=1,(7/6)+(1/2)*($A23^2*Def!$D$15^2-3*$A23*Def!$D$15),0)</f>
        <v>0</v>
      </c>
    </row>
    <row r="24" spans="1:5">
      <c r="A24" s="3">
        <f t="shared" si="0"/>
        <v>-4</v>
      </c>
      <c r="B24" s="2">
        <f>IF(Def!$D$18=ABS($A24),1,0)</f>
        <v>0</v>
      </c>
      <c r="C24" s="87">
        <f>IF($B24=1,(1/6)+(1/2)*($A24^2*Def!$D$15^2-$A24*Def!$D$15),0)</f>
        <v>0</v>
      </c>
      <c r="D24" s="87">
        <f>IF($B24=1,-(1/3)-$A24^2*Def!$D$15^2+2*$A24*Def!$D$15,0)</f>
        <v>0</v>
      </c>
      <c r="E24" s="87">
        <f>IF($B24=1,(7/6)+(1/2)*($A24^2*Def!$D$15^2-3*$A24*Def!$D$15),0)</f>
        <v>0</v>
      </c>
    </row>
    <row r="25" spans="1:5">
      <c r="A25" s="3">
        <f t="shared" si="0"/>
        <v>-5</v>
      </c>
      <c r="B25" s="2">
        <f>IF(Def!$D$18=ABS($A25),1,0)</f>
        <v>0</v>
      </c>
      <c r="C25" s="87">
        <f>IF($B25=1,(1/6)+(1/2)*($A25^2*Def!$D$15^2-$A25*Def!$D$15),0)</f>
        <v>0</v>
      </c>
      <c r="D25" s="87">
        <f>IF($B25=1,-(1/3)-$A25^2*Def!$D$15^2+2*$A25*Def!$D$15,0)</f>
        <v>0</v>
      </c>
      <c r="E25" s="87">
        <f>IF($B25=1,(7/6)+(1/2)*($A25^2*Def!$D$15^2-3*$A25*Def!$D$15),0)</f>
        <v>0</v>
      </c>
    </row>
    <row r="26" spans="1:5">
      <c r="A26" s="3">
        <f t="shared" si="0"/>
        <v>-6</v>
      </c>
      <c r="B26" s="2">
        <f>IF(Def!$D$18=ABS($A26),1,0)</f>
        <v>0</v>
      </c>
      <c r="C26" s="87">
        <f>IF($B26=1,(1/6)+(1/2)*($A26^2*Def!$D$15^2-$A26*Def!$D$15),0)</f>
        <v>0</v>
      </c>
      <c r="D26" s="87">
        <f>IF($B26=1,-(1/3)-$A26^2*Def!$D$15^2+2*$A26*Def!$D$15,0)</f>
        <v>0</v>
      </c>
      <c r="E26" s="87">
        <f>IF($B26=1,(7/6)+(1/2)*($A26^2*Def!$D$15^2-3*$A26*Def!$D$15),0)</f>
        <v>0</v>
      </c>
    </row>
    <row r="27" spans="1:5">
      <c r="A27" s="3">
        <f t="shared" si="0"/>
        <v>-7</v>
      </c>
      <c r="B27" s="2">
        <f>IF(Def!$D$18=ABS($A27),1,0)</f>
        <v>0</v>
      </c>
      <c r="C27" s="87">
        <f>IF($B27=1,(1/6)+(1/2)*($A27^2*Def!$D$15^2-$A27*Def!$D$15),0)</f>
        <v>0</v>
      </c>
      <c r="D27" s="87">
        <f>IF($B27=1,-(1/3)-$A27^2*Def!$D$15^2+2*$A27*Def!$D$15,0)</f>
        <v>0</v>
      </c>
      <c r="E27" s="87">
        <f>IF($B27=1,(7/6)+(1/2)*($A27^2*Def!$D$15^2-3*$A27*Def!$D$15),0)</f>
        <v>0</v>
      </c>
    </row>
    <row r="28" spans="1:5">
      <c r="A28" s="3">
        <f t="shared" si="0"/>
        <v>-8</v>
      </c>
      <c r="B28" s="2">
        <f>IF(Def!$D$18=ABS($A28),1,0)</f>
        <v>1</v>
      </c>
      <c r="C28" s="87">
        <f>IF($B28=1,(1/6)+(1/2)*($A28^2*Def!$D$15^2-$A28*Def!$D$15),0)</f>
        <v>8.6666666666666656E-2</v>
      </c>
      <c r="D28" s="87">
        <f>IF($B28=1,-(1/3)-$A28^2*Def!$D$15^2+2*$A28*Def!$D$15,0)</f>
        <v>2.6666666666666727E-2</v>
      </c>
      <c r="E28" s="87">
        <f>IF($B28=1,(7/6)+(1/2)*($A28^2*Def!$D$15^2-3*$A28*Def!$D$15),0)</f>
        <v>0.88666666666666671</v>
      </c>
    </row>
    <row r="29" spans="1:5">
      <c r="A29" s="3">
        <f t="shared" si="0"/>
        <v>-9</v>
      </c>
      <c r="B29" s="2">
        <f>IF(Def!$D$18=ABS($A29),1,0)</f>
        <v>0</v>
      </c>
      <c r="C29" s="87">
        <f>IF($B29=1,(1/6)+(1/2)*($A29^2*Def!$D$15^2-$A29*Def!$D$15),0)</f>
        <v>0</v>
      </c>
      <c r="D29" s="87">
        <f>IF($B29=1,-(1/3)-$A29^2*Def!$D$15^2+2*$A29*Def!$D$15,0)</f>
        <v>0</v>
      </c>
      <c r="E29" s="87">
        <f>IF($B29=1,(7/6)+(1/2)*($A29^2*Def!$D$15^2-3*$A29*Def!$D$15),0)</f>
        <v>0</v>
      </c>
    </row>
    <row r="30" spans="1:5">
      <c r="A30" s="3">
        <f t="shared" si="0"/>
        <v>-10</v>
      </c>
      <c r="B30" s="2">
        <f>IF(Def!$D$18=ABS($A30),1,0)</f>
        <v>0</v>
      </c>
      <c r="C30" s="87">
        <f>IF($B30=1,(1/6)+(1/2)*($A30^2*Def!$D$15^2-$A30*Def!$D$15),0)</f>
        <v>0</v>
      </c>
      <c r="D30" s="87">
        <f>IF($B30=1,-(1/3)-$A30^2*Def!$D$15^2+2*$A30*Def!$D$15,0)</f>
        <v>0</v>
      </c>
      <c r="E30" s="87">
        <f>IF($B30=1,(7/6)+(1/2)*($A30^2*Def!$D$15^2-3*$A30*Def!$D$15),0)</f>
        <v>0</v>
      </c>
    </row>
    <row r="31" spans="1:5">
      <c r="A31" s="3">
        <f t="shared" si="0"/>
        <v>-11</v>
      </c>
      <c r="B31" s="2">
        <f>IF(Def!$D$18=ABS($A31),1,0)</f>
        <v>0</v>
      </c>
      <c r="C31" s="87">
        <f>IF($B31=1,(1/6)+(1/2)*($A31^2*Def!$D$15^2-$A31*Def!$D$15),0)</f>
        <v>0</v>
      </c>
      <c r="D31" s="87">
        <f>IF($B31=1,-(1/3)-$A31^2*Def!$D$15^2+2*$A31*Def!$D$15,0)</f>
        <v>0</v>
      </c>
      <c r="E31" s="87">
        <f>IF($B31=1,(7/6)+(1/2)*($A31^2*Def!$D$15^2-3*$A31*Def!$D$15),0)</f>
        <v>0</v>
      </c>
    </row>
    <row r="32" spans="1:5">
      <c r="A32" s="3">
        <f t="shared" si="0"/>
        <v>-12</v>
      </c>
      <c r="B32" s="2">
        <f>IF(Def!$D$18=ABS($A32),1,0)</f>
        <v>0</v>
      </c>
      <c r="C32" s="87">
        <f>IF($B32=1,(1/6)+(1/2)*($A32^2*Def!$D$15^2-$A32*Def!$D$15),0)</f>
        <v>0</v>
      </c>
      <c r="D32" s="87">
        <f>IF($B32=1,-(1/3)-$A32^2*Def!$D$15^2+2*$A32*Def!$D$15,0)</f>
        <v>0</v>
      </c>
      <c r="E32" s="87">
        <f>IF($B32=1,(7/6)+(1/2)*($A32^2*Def!$D$15^2-3*$A32*Def!$D$15),0)</f>
        <v>0</v>
      </c>
    </row>
  </sheetData>
  <phoneticPr fontId="9"/>
  <printOptions gridLinesSet="0"/>
  <pageMargins left="0.78700000000000003" right="0.78700000000000003" top="0.98399999999999999" bottom="0.98399999999999999" header="0.5" footer="0.5"/>
  <headerFooter alignWithMargins="0">
    <oddHeader>&amp;A</oddHeader>
    <oddFooter>- &amp;P -</oddFooter>
  </headerFooter>
  <drawing r:id="rId1"/>
</worksheet>
</file>

<file path=xl/worksheets/sheet7.xml><?xml version="1.0" encoding="utf-8"?>
<worksheet xmlns="http://schemas.openxmlformats.org/spreadsheetml/2006/main" xmlns:r="http://schemas.openxmlformats.org/officeDocument/2006/relationships">
  <dimension ref="B8:F36"/>
  <sheetViews>
    <sheetView topLeftCell="A3" zoomScale="80" workbookViewId="0">
      <selection activeCell="I39" sqref="I39"/>
    </sheetView>
  </sheetViews>
  <sheetFormatPr defaultRowHeight="13.5"/>
  <cols>
    <col min="1" max="1" width="3.625" style="20" customWidth="1"/>
    <col min="2" max="2" width="6.625" style="20" customWidth="1"/>
    <col min="3" max="3" width="10.375" style="20" customWidth="1"/>
    <col min="4" max="6" width="17.375" style="20" customWidth="1"/>
    <col min="7" max="16384" width="9" style="20"/>
  </cols>
  <sheetData>
    <row r="8" spans="2:6">
      <c r="D8" s="41">
        <v>1</v>
      </c>
      <c r="E8" s="41">
        <v>2</v>
      </c>
      <c r="F8" s="41">
        <v>3</v>
      </c>
    </row>
    <row r="9" spans="2:6">
      <c r="C9" s="24"/>
      <c r="D9" s="43">
        <v>34610</v>
      </c>
      <c r="E9" s="43">
        <v>34834</v>
      </c>
      <c r="F9" s="43">
        <v>35034</v>
      </c>
    </row>
    <row r="10" spans="2:6">
      <c r="C10" s="24"/>
      <c r="D10" s="42"/>
      <c r="E10" s="42"/>
      <c r="F10" s="42"/>
    </row>
    <row r="11" spans="2:6">
      <c r="B11" s="41"/>
      <c r="C11" s="44">
        <v>3</v>
      </c>
      <c r="D11" s="88">
        <v>0.99384121299999995</v>
      </c>
      <c r="E11" s="88">
        <v>0.996260272</v>
      </c>
      <c r="F11" s="88">
        <v>0.99836023299999999</v>
      </c>
    </row>
    <row r="12" spans="2:6">
      <c r="B12" s="41"/>
      <c r="C12" s="44">
        <v>6</v>
      </c>
      <c r="D12" s="88">
        <v>0.98733109200000002</v>
      </c>
      <c r="E12" s="88">
        <v>0.99255970900000001</v>
      </c>
      <c r="F12" s="88">
        <v>0.99704745400000006</v>
      </c>
    </row>
    <row r="13" spans="2:6">
      <c r="B13" s="41"/>
      <c r="C13" s="44">
        <v>9</v>
      </c>
      <c r="D13" s="88">
        <v>0.98014671499999995</v>
      </c>
      <c r="E13" s="88">
        <v>0.98852348000000001</v>
      </c>
      <c r="F13" s="88">
        <v>0.99572819999999995</v>
      </c>
    </row>
    <row r="14" spans="2:6">
      <c r="B14" s="45">
        <v>1</v>
      </c>
      <c r="C14" s="44">
        <v>0</v>
      </c>
      <c r="D14" s="88">
        <v>0.97227850199999999</v>
      </c>
      <c r="E14" s="88">
        <v>0.98449748000000004</v>
      </c>
      <c r="F14" s="88">
        <v>0.99422746900000003</v>
      </c>
    </row>
    <row r="15" spans="2:6">
      <c r="B15" s="45">
        <v>1</v>
      </c>
      <c r="C15" s="44">
        <v>3</v>
      </c>
      <c r="D15" s="88">
        <v>0.96381232800000005</v>
      </c>
      <c r="E15" s="88">
        <v>0.97973412100000001</v>
      </c>
      <c r="F15" s="88">
        <v>0.99241630999999997</v>
      </c>
    </row>
    <row r="16" spans="2:6">
      <c r="B16" s="45">
        <v>1</v>
      </c>
      <c r="C16" s="44">
        <v>6</v>
      </c>
      <c r="D16" s="88">
        <v>0.954454998</v>
      </c>
      <c r="E16" s="88">
        <v>0.97446847299999995</v>
      </c>
      <c r="F16" s="88">
        <v>0.99009044300000004</v>
      </c>
    </row>
    <row r="17" spans="2:6">
      <c r="B17" s="45">
        <v>1</v>
      </c>
      <c r="C17" s="44">
        <v>9</v>
      </c>
      <c r="D17" s="88">
        <v>0.94534317300000004</v>
      </c>
      <c r="E17" s="88">
        <v>0.96869143999999996</v>
      </c>
      <c r="F17" s="88">
        <v>0.98798454099999999</v>
      </c>
    </row>
    <row r="18" spans="2:6">
      <c r="B18" s="45">
        <v>2</v>
      </c>
      <c r="C18" s="44">
        <v>0</v>
      </c>
      <c r="D18" s="89">
        <v>0.93494433899999996</v>
      </c>
      <c r="E18" s="89">
        <v>0.96238782</v>
      </c>
      <c r="F18" s="89">
        <v>0.985438802</v>
      </c>
    </row>
    <row r="19" spans="2:6">
      <c r="B19" s="45">
        <v>2</v>
      </c>
      <c r="C19" s="44">
        <v>3</v>
      </c>
      <c r="D19" s="88">
        <v>0.924324335</v>
      </c>
      <c r="E19" s="88">
        <v>0.95544805099999996</v>
      </c>
      <c r="F19" s="88">
        <v>0.98206945599999995</v>
      </c>
    </row>
    <row r="20" spans="2:6">
      <c r="B20" s="45">
        <v>2</v>
      </c>
      <c r="C20" s="44">
        <v>6</v>
      </c>
      <c r="D20" s="88">
        <v>0.91325504099999999</v>
      </c>
      <c r="E20" s="88">
        <v>0.94792346400000005</v>
      </c>
      <c r="F20" s="88">
        <v>0.97763988499999999</v>
      </c>
    </row>
    <row r="21" spans="2:6">
      <c r="B21" s="45">
        <v>2</v>
      </c>
      <c r="C21" s="44">
        <v>9</v>
      </c>
      <c r="D21" s="88">
        <v>0.90185744199999995</v>
      </c>
      <c r="E21" s="88">
        <v>0.93985951599999995</v>
      </c>
      <c r="F21" s="88">
        <v>0.972136997</v>
      </c>
    </row>
    <row r="22" spans="2:6">
      <c r="B22" s="45">
        <v>3</v>
      </c>
      <c r="C22" s="44">
        <v>0</v>
      </c>
      <c r="D22" s="88">
        <v>0.89028614500000003</v>
      </c>
      <c r="E22" s="88">
        <v>0.93171636999999996</v>
      </c>
      <c r="F22" s="88">
        <v>0.96600857799999995</v>
      </c>
    </row>
    <row r="23" spans="2:6">
      <c r="B23" s="45">
        <v>3</v>
      </c>
      <c r="C23" s="44">
        <v>3</v>
      </c>
      <c r="D23" s="88">
        <v>0.87868360700000003</v>
      </c>
      <c r="E23" s="88">
        <v>0.92341137100000004</v>
      </c>
      <c r="F23" s="88">
        <v>0.95949564700000001</v>
      </c>
    </row>
    <row r="24" spans="2:6">
      <c r="B24" s="45">
        <v>3</v>
      </c>
      <c r="C24" s="44">
        <v>6</v>
      </c>
      <c r="D24" s="88">
        <v>0.867132766</v>
      </c>
      <c r="E24" s="88">
        <v>0.91496196699999999</v>
      </c>
      <c r="F24" s="88">
        <v>0.95199</v>
      </c>
    </row>
    <row r="25" spans="2:6">
      <c r="B25" s="45">
        <v>3</v>
      </c>
      <c r="C25" s="44">
        <v>9</v>
      </c>
      <c r="D25" s="88">
        <v>0.85567993899999995</v>
      </c>
      <c r="E25" s="88">
        <v>0.90639694100000001</v>
      </c>
      <c r="F25" s="88">
        <v>0.94424258999999999</v>
      </c>
    </row>
    <row r="26" spans="2:6">
      <c r="B26" s="45">
        <v>4</v>
      </c>
      <c r="C26" s="44">
        <v>0</v>
      </c>
      <c r="D26" s="89">
        <v>0.84436157199999995</v>
      </c>
      <c r="E26" s="89">
        <v>0.89791161600000002</v>
      </c>
      <c r="F26" s="89">
        <v>0.93609596100000003</v>
      </c>
    </row>
    <row r="27" spans="2:6">
      <c r="B27" s="45">
        <v>4</v>
      </c>
      <c r="C27" s="44">
        <v>3</v>
      </c>
      <c r="D27" s="88">
        <v>0.83307203799999996</v>
      </c>
      <c r="E27" s="88">
        <v>0.888840301</v>
      </c>
      <c r="F27" s="88">
        <v>0.92761487200000003</v>
      </c>
    </row>
    <row r="28" spans="2:6">
      <c r="B28" s="45">
        <v>4</v>
      </c>
      <c r="C28" s="44">
        <v>6</v>
      </c>
      <c r="D28" s="88">
        <v>0.822042351</v>
      </c>
      <c r="E28" s="88">
        <v>0.87949455600000004</v>
      </c>
      <c r="F28" s="88">
        <v>0.918849472</v>
      </c>
    </row>
    <row r="29" spans="2:6">
      <c r="B29" s="45">
        <v>4</v>
      </c>
      <c r="C29" s="44">
        <v>9</v>
      </c>
      <c r="D29" s="88">
        <v>0.81123327700000003</v>
      </c>
      <c r="E29" s="88">
        <v>0.86994660099999999</v>
      </c>
      <c r="F29" s="88">
        <v>0.90973845200000003</v>
      </c>
    </row>
    <row r="30" spans="2:6">
      <c r="B30" s="45">
        <v>5</v>
      </c>
      <c r="C30" s="44">
        <v>0</v>
      </c>
      <c r="D30" s="88">
        <v>0.80023836800000003</v>
      </c>
      <c r="E30" s="88">
        <v>0.86049433500000005</v>
      </c>
      <c r="F30" s="88">
        <v>0.90052134500000003</v>
      </c>
    </row>
    <row r="31" spans="2:6">
      <c r="B31" s="45">
        <v>5</v>
      </c>
      <c r="C31" s="44">
        <v>3</v>
      </c>
      <c r="D31" s="88">
        <v>0.78924475900000002</v>
      </c>
      <c r="E31" s="88">
        <v>0.85079431000000005</v>
      </c>
      <c r="F31" s="88">
        <v>0.89123530500000003</v>
      </c>
    </row>
    <row r="32" spans="2:6">
      <c r="B32" s="45">
        <v>5</v>
      </c>
      <c r="C32" s="44">
        <v>6</v>
      </c>
      <c r="D32" s="88">
        <v>0.77838607400000004</v>
      </c>
      <c r="E32" s="88">
        <v>0.84110340900000002</v>
      </c>
      <c r="F32" s="88">
        <v>0.88161639700000005</v>
      </c>
    </row>
    <row r="33" spans="2:6">
      <c r="B33" s="45">
        <v>5</v>
      </c>
      <c r="C33" s="44">
        <v>9</v>
      </c>
      <c r="D33" s="88">
        <v>0.76757519100000005</v>
      </c>
      <c r="E33" s="88">
        <v>0.83124693999999999</v>
      </c>
      <c r="F33" s="88">
        <v>0.87191517500000004</v>
      </c>
    </row>
    <row r="34" spans="2:6">
      <c r="B34" s="45">
        <v>6</v>
      </c>
      <c r="C34" s="44">
        <v>0</v>
      </c>
      <c r="D34" s="89">
        <v>0.75672938999999995</v>
      </c>
      <c r="E34" s="89">
        <v>0.82219172799999996</v>
      </c>
      <c r="F34" s="89">
        <v>0.86228396299999999</v>
      </c>
    </row>
    <row r="35" spans="2:6">
      <c r="B35" s="45">
        <v>6</v>
      </c>
      <c r="C35" s="44">
        <v>3</v>
      </c>
      <c r="D35" s="88">
        <v>0.74600435200000004</v>
      </c>
      <c r="E35" s="88">
        <v>0.81272220399999995</v>
      </c>
      <c r="F35" s="88">
        <v>0.852768627</v>
      </c>
    </row>
    <row r="36" spans="2:6">
      <c r="B36" s="45">
        <v>6</v>
      </c>
      <c r="C36" s="44">
        <v>6</v>
      </c>
      <c r="D36" s="88">
        <v>0.73566573499999999</v>
      </c>
      <c r="E36" s="88">
        <v>0.80319008400000003</v>
      </c>
      <c r="F36" s="88">
        <v>0.84309926599999996</v>
      </c>
    </row>
  </sheetData>
  <phoneticPr fontId="9"/>
  <printOptions gridLinesSet="0"/>
  <pageMargins left="0.78700000000000003" right="0.78700000000000003" top="0.98399999999999999" bottom="0.98399999999999999" header="0.5" footer="0.5"/>
  <headerFooter alignWithMargins="0">
    <oddHeader>&amp;A</oddHeader>
    <oddFooter>- &amp;P -</oddFooter>
  </headerFooter>
  <drawing r:id="rId1"/>
</worksheet>
</file>

<file path=xl/worksheets/sheet8.xml><?xml version="1.0" encoding="utf-8"?>
<worksheet xmlns="http://schemas.openxmlformats.org/spreadsheetml/2006/main" xmlns:r="http://schemas.openxmlformats.org/officeDocument/2006/relationships">
  <dimension ref="A3:R36"/>
  <sheetViews>
    <sheetView topLeftCell="A3" zoomScale="80" workbookViewId="0">
      <selection activeCell="F13" sqref="F13"/>
    </sheetView>
  </sheetViews>
  <sheetFormatPr defaultRowHeight="13.5"/>
  <cols>
    <col min="1" max="1" width="4.625" style="20" customWidth="1"/>
    <col min="2" max="2" width="3.625" style="20" customWidth="1"/>
    <col min="3" max="16" width="8.625" style="20" customWidth="1"/>
    <col min="17" max="16384" width="9" style="20"/>
  </cols>
  <sheetData>
    <row r="3" spans="1:16">
      <c r="B3" s="17" t="s">
        <v>36</v>
      </c>
      <c r="C3" s="46">
        <v>0</v>
      </c>
      <c r="D3" s="46">
        <v>1</v>
      </c>
      <c r="E3" s="46">
        <v>2</v>
      </c>
      <c r="F3" s="46">
        <v>3</v>
      </c>
      <c r="G3" s="46">
        <v>4</v>
      </c>
      <c r="H3" s="46">
        <v>5</v>
      </c>
      <c r="I3" s="46">
        <v>6</v>
      </c>
      <c r="J3" s="46">
        <v>7</v>
      </c>
      <c r="K3" s="46">
        <v>8</v>
      </c>
      <c r="L3" s="46">
        <v>9</v>
      </c>
      <c r="M3" s="46">
        <v>10</v>
      </c>
      <c r="N3" s="46">
        <v>11</v>
      </c>
      <c r="O3" s="46">
        <v>12</v>
      </c>
      <c r="P3" s="46">
        <v>13</v>
      </c>
    </row>
    <row r="4" spans="1:16">
      <c r="B4" s="17" t="s">
        <v>37</v>
      </c>
      <c r="C4" s="46">
        <f>Def!$D$12*C$3</f>
        <v>0</v>
      </c>
      <c r="D4" s="46">
        <f>Def!$D$12*D$3</f>
        <v>0.25</v>
      </c>
      <c r="E4" s="46">
        <f>Def!$D$12*E$3</f>
        <v>0.5</v>
      </c>
      <c r="F4" s="46">
        <f>Def!$D$12*F$3</f>
        <v>0.75</v>
      </c>
      <c r="G4" s="46">
        <f>Def!$D$12*G$3</f>
        <v>1</v>
      </c>
      <c r="H4" s="46">
        <f>Def!$D$12*H$3</f>
        <v>1.25</v>
      </c>
      <c r="I4" s="46">
        <f>Def!$D$12*I$3</f>
        <v>1.5</v>
      </c>
      <c r="J4" s="46">
        <f>Def!$D$12*J$3</f>
        <v>1.75</v>
      </c>
      <c r="K4" s="46">
        <f>Def!$D$12*K$3</f>
        <v>2</v>
      </c>
      <c r="L4" s="46">
        <f>Def!$D$12*L$3</f>
        <v>2.25</v>
      </c>
      <c r="M4" s="46">
        <f>Def!$D$12*M$3</f>
        <v>2.5</v>
      </c>
      <c r="N4" s="46">
        <f>Def!$D$12*N$3</f>
        <v>2.75</v>
      </c>
      <c r="O4" s="46">
        <f>Def!$D$12*O$3</f>
        <v>3</v>
      </c>
      <c r="P4" s="46">
        <f>Def!$D$12*P$3</f>
        <v>3.25</v>
      </c>
    </row>
    <row r="5" spans="1:16">
      <c r="A5" s="17" t="s">
        <v>29</v>
      </c>
    </row>
    <row r="8" spans="1:16">
      <c r="A8" s="46">
        <f t="shared" ref="A8:A19" si="0">A9+1</f>
        <v>12</v>
      </c>
    </row>
    <row r="9" spans="1:16">
      <c r="A9" s="46">
        <f t="shared" si="0"/>
        <v>11</v>
      </c>
    </row>
    <row r="10" spans="1:16">
      <c r="A10" s="46">
        <f t="shared" si="0"/>
        <v>10</v>
      </c>
    </row>
    <row r="11" spans="1:16">
      <c r="A11" s="46">
        <f t="shared" si="0"/>
        <v>9</v>
      </c>
    </row>
    <row r="12" spans="1:16">
      <c r="A12" s="46">
        <f t="shared" si="0"/>
        <v>8</v>
      </c>
    </row>
    <row r="13" spans="1:16">
      <c r="A13" s="46">
        <f t="shared" si="0"/>
        <v>7</v>
      </c>
    </row>
    <row r="14" spans="1:16">
      <c r="A14" s="46">
        <f t="shared" si="0"/>
        <v>6</v>
      </c>
    </row>
    <row r="15" spans="1:16">
      <c r="A15" s="46">
        <f t="shared" si="0"/>
        <v>5</v>
      </c>
    </row>
    <row r="16" spans="1:16">
      <c r="A16" s="46">
        <f t="shared" si="0"/>
        <v>4</v>
      </c>
    </row>
    <row r="17" spans="1:18">
      <c r="A17" s="46">
        <f t="shared" si="0"/>
        <v>3</v>
      </c>
    </row>
    <row r="18" spans="1:18">
      <c r="A18" s="46">
        <f t="shared" si="0"/>
        <v>2</v>
      </c>
    </row>
    <row r="19" spans="1:18">
      <c r="A19" s="46">
        <f t="shared" si="0"/>
        <v>1</v>
      </c>
    </row>
    <row r="20" spans="1:18">
      <c r="A20" s="46">
        <v>0</v>
      </c>
      <c r="C20" s="47">
        <v>1</v>
      </c>
      <c r="D20" s="47">
        <v>0.99384121299999995</v>
      </c>
      <c r="E20" s="47">
        <v>0.98733109200000002</v>
      </c>
      <c r="F20" s="47">
        <v>0.98014671499999995</v>
      </c>
      <c r="G20" s="47">
        <v>0.97227850199999999</v>
      </c>
      <c r="H20" s="47">
        <v>0.96381232800000005</v>
      </c>
      <c r="I20" s="47">
        <v>0.954454998</v>
      </c>
      <c r="J20" s="47">
        <v>0.94534317300000004</v>
      </c>
      <c r="K20" s="47">
        <v>0.93494433899999996</v>
      </c>
      <c r="L20" s="47">
        <v>0.924324335</v>
      </c>
      <c r="M20" s="47">
        <v>0.91325504099999999</v>
      </c>
      <c r="N20" s="47">
        <v>0.90185744199999995</v>
      </c>
      <c r="O20" s="47">
        <v>0.89028614500000003</v>
      </c>
      <c r="P20" s="47">
        <v>0.87868360700000003</v>
      </c>
      <c r="Q20" s="42"/>
      <c r="R20" s="42"/>
    </row>
    <row r="21" spans="1:18">
      <c r="A21" s="46">
        <f t="shared" ref="A21:A32" si="1">A20-1</f>
        <v>-1</v>
      </c>
    </row>
    <row r="22" spans="1:18">
      <c r="A22" s="46">
        <f t="shared" si="1"/>
        <v>-2</v>
      </c>
    </row>
    <row r="23" spans="1:18">
      <c r="A23" s="46">
        <f t="shared" si="1"/>
        <v>-3</v>
      </c>
    </row>
    <row r="24" spans="1:18">
      <c r="A24" s="46">
        <f t="shared" si="1"/>
        <v>-4</v>
      </c>
    </row>
    <row r="25" spans="1:18">
      <c r="A25" s="46">
        <f t="shared" si="1"/>
        <v>-5</v>
      </c>
    </row>
    <row r="26" spans="1:18">
      <c r="A26" s="46">
        <f t="shared" si="1"/>
        <v>-6</v>
      </c>
    </row>
    <row r="27" spans="1:18">
      <c r="A27" s="46">
        <f t="shared" si="1"/>
        <v>-7</v>
      </c>
    </row>
    <row r="28" spans="1:18">
      <c r="A28" s="46">
        <f t="shared" si="1"/>
        <v>-8</v>
      </c>
    </row>
    <row r="29" spans="1:18">
      <c r="A29" s="46">
        <f t="shared" si="1"/>
        <v>-9</v>
      </c>
    </row>
    <row r="30" spans="1:18">
      <c r="A30" s="46">
        <f t="shared" si="1"/>
        <v>-10</v>
      </c>
    </row>
    <row r="31" spans="1:18">
      <c r="A31" s="46">
        <f t="shared" si="1"/>
        <v>-11</v>
      </c>
    </row>
    <row r="32" spans="1:18">
      <c r="A32" s="46">
        <f t="shared" si="1"/>
        <v>-12</v>
      </c>
    </row>
    <row r="34" spans="4:4">
      <c r="D34" s="99"/>
    </row>
    <row r="35" spans="4:4">
      <c r="D35" s="99"/>
    </row>
    <row r="36" spans="4:4">
      <c r="D36" s="99"/>
    </row>
  </sheetData>
  <phoneticPr fontId="9"/>
  <printOptions gridLinesSet="0"/>
  <pageMargins left="0" right="0" top="0" bottom="0" header="0" footer="0"/>
  <pageSetup paperSize="9" scale="80" pageOrder="overThenDown" orientation="landscape" horizontalDpi="4294967292" verticalDpi="0" r:id="rId1"/>
  <headerFooter alignWithMargins="0">
    <oddHeader>&amp;A</oddHeader>
    <oddFooter>- &amp;P -</oddFooter>
  </headerFooter>
  <drawing r:id="rId2"/>
</worksheet>
</file>

<file path=xl/worksheets/sheet9.xml><?xml version="1.0" encoding="utf-8"?>
<worksheet xmlns="http://schemas.openxmlformats.org/spreadsheetml/2006/main" xmlns:r="http://schemas.openxmlformats.org/officeDocument/2006/relationships">
  <dimension ref="A3:P32"/>
  <sheetViews>
    <sheetView topLeftCell="A3" zoomScale="80" workbookViewId="0">
      <selection activeCell="D27" sqref="D27"/>
    </sheetView>
  </sheetViews>
  <sheetFormatPr defaultRowHeight="13.5"/>
  <cols>
    <col min="1" max="1" width="4.625" style="29" customWidth="1"/>
    <col min="2" max="2" width="3.625" style="20" customWidth="1"/>
    <col min="3" max="15" width="8.625" style="20" customWidth="1"/>
    <col min="16" max="16384" width="9" style="20"/>
  </cols>
  <sheetData>
    <row r="3" spans="1:16">
      <c r="A3" s="20"/>
      <c r="B3" s="17" t="s">
        <v>36</v>
      </c>
      <c r="C3" s="46">
        <v>0</v>
      </c>
      <c r="D3" s="46">
        <v>1</v>
      </c>
      <c r="E3" s="46">
        <v>2</v>
      </c>
      <c r="F3" s="46">
        <v>3</v>
      </c>
      <c r="G3" s="46">
        <v>4</v>
      </c>
      <c r="H3" s="46">
        <v>5</v>
      </c>
      <c r="I3" s="46">
        <v>6</v>
      </c>
      <c r="J3" s="46">
        <v>7</v>
      </c>
      <c r="K3" s="46">
        <v>8</v>
      </c>
      <c r="L3" s="46">
        <v>9</v>
      </c>
      <c r="M3" s="46">
        <v>10</v>
      </c>
      <c r="N3" s="46">
        <v>11</v>
      </c>
      <c r="O3" s="46">
        <v>12</v>
      </c>
    </row>
    <row r="4" spans="1:16">
      <c r="A4" s="20"/>
      <c r="B4" s="17" t="s">
        <v>37</v>
      </c>
      <c r="C4" s="46">
        <f>Def!$D$12*C$3</f>
        <v>0</v>
      </c>
      <c r="D4" s="46">
        <f>Def!$D$12*D$3</f>
        <v>0.25</v>
      </c>
      <c r="E4" s="46">
        <f>Def!$D$12*E$3</f>
        <v>0.5</v>
      </c>
      <c r="F4" s="46">
        <f>Def!$D$12*F$3</f>
        <v>0.75</v>
      </c>
      <c r="G4" s="46">
        <f>Def!$D$12*G$3</f>
        <v>1</v>
      </c>
      <c r="H4" s="46">
        <f>Def!$D$12*H$3</f>
        <v>1.25</v>
      </c>
      <c r="I4" s="46">
        <f>Def!$D$12*I$3</f>
        <v>1.5</v>
      </c>
      <c r="J4" s="46">
        <f>Def!$D$12*J$3</f>
        <v>1.75</v>
      </c>
      <c r="K4" s="46">
        <f>Def!$D$12*K$3</f>
        <v>2</v>
      </c>
      <c r="L4" s="46">
        <f>Def!$D$12*L$3</f>
        <v>2.25</v>
      </c>
      <c r="M4" s="46">
        <f>Def!$D$12*M$3</f>
        <v>2.5</v>
      </c>
      <c r="N4" s="46">
        <f>Def!$D$12*N$3</f>
        <v>2.75</v>
      </c>
      <c r="O4" s="46">
        <f>Def!$D$12*O$3</f>
        <v>3</v>
      </c>
    </row>
    <row r="5" spans="1:16">
      <c r="A5" s="17" t="s">
        <v>38</v>
      </c>
    </row>
    <row r="7" spans="1:16">
      <c r="A7" s="20"/>
    </row>
    <row r="8" spans="1:16">
      <c r="A8" s="46">
        <f t="shared" ref="A8:A19" si="0">A9+1</f>
        <v>12</v>
      </c>
      <c r="B8" s="2"/>
      <c r="C8" s="60"/>
      <c r="D8" s="60"/>
      <c r="E8" s="60"/>
      <c r="F8" s="60"/>
      <c r="G8" s="60"/>
      <c r="H8" s="60"/>
      <c r="I8" s="60"/>
      <c r="J8" s="60"/>
      <c r="K8" s="60"/>
      <c r="L8" s="60"/>
      <c r="M8" s="60"/>
      <c r="N8" s="60"/>
      <c r="O8" s="61">
        <f>(N6)*(Pjmax!$E6)*EXP(-(Alpha!N$5+$A6*Def!$D$19)*Def!$D$12)+(N7)*(Pjmax!$D7+Pnorm!$E7)*EXP(-(Alpha!N$5+$A7*Def!$D$19)*Def!$D$12)+(N8)*(Pjmax!$C8+Pnorm!$D8+Pjmin!$E8)*EXP(-(Alpha!N$5+$A8*Def!$D$19)*Def!$D$12)+(N9)*(Pnorm!$C9+Pjmin!$D9)*EXP(-(Alpha!N$5+$A9*Def!$D$19)*Def!$D$12)+(N10)*(Pjmin!$C10)*EXP(-(Alpha!N$5+$A10*Def!$D$19)*Def!$D$12)</f>
        <v>0</v>
      </c>
      <c r="P8" s="58"/>
    </row>
    <row r="9" spans="1:16">
      <c r="A9" s="46">
        <f t="shared" si="0"/>
        <v>11</v>
      </c>
      <c r="B9" s="2"/>
      <c r="C9" s="60"/>
      <c r="D9" s="60"/>
      <c r="E9" s="60"/>
      <c r="F9" s="60"/>
      <c r="G9" s="60"/>
      <c r="H9" s="60"/>
      <c r="I9" s="60"/>
      <c r="J9" s="60"/>
      <c r="K9" s="60"/>
      <c r="L9" s="60"/>
      <c r="M9" s="60"/>
      <c r="N9" s="62">
        <f>(M7)*(Pjmax!$E7)*EXP(-(Alpha!M$5+$A7*Def!$D$19)*Def!$D$12)+(M8)*(Pjmax!$D8+Pnorm!$E8)*EXP(-(Alpha!M$5+$A8*Def!$D$19)*Def!$D$12)+(M9)*(Pjmax!$C9+Pnorm!$D9+Pjmin!$E9)*EXP(-(Alpha!M$5+$A9*Def!$D$19)*Def!$D$12)+(M10)*(Pnorm!$C10+Pjmin!$D10)*EXP(-(Alpha!M$5+$A10*Def!$D$19)*Def!$D$12)+(M11)*(Pjmin!$C11)*EXP(-(Alpha!M$5+$A11*Def!$D$19)*Def!$D$12)</f>
        <v>0</v>
      </c>
      <c r="O9" s="61">
        <f>(N7)*(Pjmax!$E7)*EXP(-(Alpha!N$5+$A7*Def!$D$19)*Def!$D$12)+(N8)*(Pjmax!$D8+Pnorm!$E8)*EXP(-(Alpha!N$5+$A8*Def!$D$19)*Def!$D$12)+(N9)*(Pjmax!$C9+Pnorm!$D9+Pjmin!$E9)*EXP(-(Alpha!N$5+$A9*Def!$D$19)*Def!$D$12)+(N10)*(Pnorm!$C10+Pjmin!$D10)*EXP(-(Alpha!N$5+$A10*Def!$D$19)*Def!$D$12)+(N11)*(Pjmin!$C11)*EXP(-(Alpha!N$5+$A11*Def!$D$19)*Def!$D$12)</f>
        <v>0</v>
      </c>
      <c r="P9" s="58"/>
    </row>
    <row r="10" spans="1:16">
      <c r="A10" s="46">
        <f t="shared" si="0"/>
        <v>10</v>
      </c>
      <c r="B10" s="2"/>
      <c r="C10" s="60"/>
      <c r="D10" s="60"/>
      <c r="E10" s="60"/>
      <c r="F10" s="60"/>
      <c r="G10" s="60"/>
      <c r="H10" s="60"/>
      <c r="I10" s="60"/>
      <c r="J10" s="60"/>
      <c r="K10" s="60"/>
      <c r="L10" s="60"/>
      <c r="M10" s="62">
        <f>(L8)*(Pjmax!$E8)*EXP(-(Alpha!L$5+$A8*Def!$D$19)*Def!$D$12)+(L9)*(Pjmax!$D9+Pnorm!$E9)*EXP(-(Alpha!L$5+$A9*Def!$D$19)*Def!$D$12)+(L10)*(Pjmax!$C10+Pnorm!$D10+Pjmin!$E10)*EXP(-(Alpha!L$5+$A10*Def!$D$19)*Def!$D$12)+(L11)*(Pnorm!$C11+Pjmin!$D11)*EXP(-(Alpha!L$5+$A11*Def!$D$19)*Def!$D$12)+(L12)*(Pjmin!$C12)*EXP(-(Alpha!L$5+$A12*Def!$D$19)*Def!$D$12)</f>
        <v>0</v>
      </c>
      <c r="N10" s="62">
        <f>(M8)*(Pjmax!$E8)*EXP(-(Alpha!M$5+$A8*Def!$D$19)*Def!$D$12)+(M9)*(Pjmax!$D9+Pnorm!$E9)*EXP(-(Alpha!M$5+$A9*Def!$D$19)*Def!$D$12)+(M10)*(Pjmax!$C10+Pnorm!$D10+Pjmin!$E10)*EXP(-(Alpha!M$5+$A10*Def!$D$19)*Def!$D$12)+(M11)*(Pnorm!$C11+Pjmin!$D11)*EXP(-(Alpha!M$5+$A11*Def!$D$19)*Def!$D$12)+(M12)*(Pjmin!$C12)*EXP(-(Alpha!M$5+$A12*Def!$D$19)*Def!$D$12)</f>
        <v>0</v>
      </c>
      <c r="O10" s="61">
        <f>(N8)*(Pjmax!$E8)*EXP(-(Alpha!N$5+$A8*Def!$D$19)*Def!$D$12)+(N9)*(Pjmax!$D9+Pnorm!$E9)*EXP(-(Alpha!N$5+$A9*Def!$D$19)*Def!$D$12)+(N10)*(Pjmax!$C10+Pnorm!$D10+Pjmin!$E10)*EXP(-(Alpha!N$5+$A10*Def!$D$19)*Def!$D$12)+(N11)*(Pnorm!$C11+Pjmin!$D11)*EXP(-(Alpha!N$5+$A11*Def!$D$19)*Def!$D$12)+(N12)*(Pjmin!$C12)*EXP(-(Alpha!N$5+$A12*Def!$D$19)*Def!$D$12)</f>
        <v>0</v>
      </c>
      <c r="P10" s="59"/>
    </row>
    <row r="11" spans="1:16">
      <c r="A11" s="46">
        <f t="shared" si="0"/>
        <v>9</v>
      </c>
      <c r="B11" s="2"/>
      <c r="C11" s="60"/>
      <c r="D11" s="60"/>
      <c r="E11" s="60"/>
      <c r="F11" s="60"/>
      <c r="G11" s="60"/>
      <c r="H11" s="60"/>
      <c r="I11" s="60"/>
      <c r="J11" s="60"/>
      <c r="K11" s="60"/>
      <c r="L11" s="62">
        <f>(K9)*(Pjmax!$E9)*EXP(-(Alpha!K$5+$A9*Def!$D$19)*Def!$D$12)+(K10)*(Pjmax!$D10+Pnorm!$E10)*EXP(-(Alpha!K$5+$A10*Def!$D$19)*Def!$D$12)+(K11)*(Pjmax!$C11+Pnorm!$D11+Pjmin!$E11)*EXP(-(Alpha!K$5+$A11*Def!$D$19)*Def!$D$12)+(K12)*(Pnorm!$C12+Pjmin!$D12)*EXP(-(Alpha!K$5+$A12*Def!$D$19)*Def!$D$12)+(K13)*(Pjmin!$C13)*EXP(-(Alpha!K$5+$A13*Def!$D$19)*Def!$D$12)</f>
        <v>0</v>
      </c>
      <c r="M11" s="62">
        <f>(L9)*(Pjmax!$E9)*EXP(-(Alpha!L$5+$A9*Def!$D$19)*Def!$D$12)+(L10)*(Pjmax!$D10+Pnorm!$E10)*EXP(-(Alpha!L$5+$A10*Def!$D$19)*Def!$D$12)+(L11)*(Pjmax!$C11+Pnorm!$D11+Pjmin!$E11)*EXP(-(Alpha!L$5+$A11*Def!$D$19)*Def!$D$12)+(L12)*(Pnorm!$C12+Pjmin!$D12)*EXP(-(Alpha!L$5+$A12*Def!$D$19)*Def!$D$12)+(L13)*(Pjmin!$C13)*EXP(-(Alpha!L$5+$A13*Def!$D$19)*Def!$D$12)</f>
        <v>0</v>
      </c>
      <c r="N11" s="62">
        <f>(M9)*(Pjmax!$E9)*EXP(-(Alpha!M$5+$A9*Def!$D$19)*Def!$D$12)+(M10)*(Pjmax!$D10+Pnorm!$E10)*EXP(-(Alpha!M$5+$A10*Def!$D$19)*Def!$D$12)+(M11)*(Pjmax!$C11+Pnorm!$D11+Pjmin!$E11)*EXP(-(Alpha!M$5+$A11*Def!$D$19)*Def!$D$12)+(M12)*(Pnorm!$C12+Pjmin!$D12)*EXP(-(Alpha!M$5+$A12*Def!$D$19)*Def!$D$12)+(M13)*(Pjmin!$C13)*EXP(-(Alpha!M$5+$A13*Def!$D$19)*Def!$D$12)</f>
        <v>0</v>
      </c>
      <c r="O11" s="61">
        <f>(N9)*(Pjmax!$E9)*EXP(-(Alpha!N$5+$A9*Def!$D$19)*Def!$D$12)+(N10)*(Pjmax!$D10+Pnorm!$E10)*EXP(-(Alpha!N$5+$A10*Def!$D$19)*Def!$D$12)+(N11)*(Pjmax!$C11+Pnorm!$D11+Pjmin!$E11)*EXP(-(Alpha!N$5+$A11*Def!$D$19)*Def!$D$12)+(N12)*(Pnorm!$C12+Pjmin!$D12)*EXP(-(Alpha!N$5+$A12*Def!$D$19)*Def!$D$12)+(N13)*(Pjmin!$C13)*EXP(-(Alpha!N$5+$A13*Def!$D$19)*Def!$D$12)</f>
        <v>0</v>
      </c>
      <c r="P11" s="59"/>
    </row>
    <row r="12" spans="1:16">
      <c r="A12" s="46">
        <f t="shared" si="0"/>
        <v>8</v>
      </c>
      <c r="B12" s="2"/>
      <c r="C12" s="60"/>
      <c r="D12" s="60"/>
      <c r="E12" s="60"/>
      <c r="F12" s="60"/>
      <c r="G12" s="60"/>
      <c r="H12" s="60"/>
      <c r="I12" s="60"/>
      <c r="J12" s="60"/>
      <c r="K12" s="61">
        <f>(J10)*(Pjmax!$E10)*EXP(-(Alpha!J$5+$A10*Def!$D$19)*Def!$D$12)+(J11)*(Pjmax!$D11+Pnorm!$E11)*EXP(-(Alpha!J$5+$A11*Def!$D$19)*Def!$D$12)+(J12)*(Pjmax!$C12+Pnorm!$D12+Pjmin!$E12)*EXP(-(Alpha!J$5+$A12*Def!$D$19)*Def!$D$12)+(J13)*(Pnorm!$C13+Pjmin!$D13)*EXP(-(Alpha!J$5+$A13*Def!$D$19)*Def!$D$12)+(J14)*(Pjmin!$C14)*EXP(-(Alpha!J$5+$A14*Def!$D$19)*Def!$D$12)</f>
        <v>5.6604793175770904E-8</v>
      </c>
      <c r="L12" s="62">
        <f>(K10)*(Pjmax!$E10)*EXP(-(Alpha!K$5+$A10*Def!$D$19)*Def!$D$12)+(K11)*(Pjmax!$D11+Pnorm!$E11)*EXP(-(Alpha!K$5+$A11*Def!$D$19)*Def!$D$12)+(K12)*(Pjmax!$C12+Pnorm!$D12+Pjmin!$E12)*EXP(-(Alpha!K$5+$A12*Def!$D$19)*Def!$D$12)+(K13)*(Pnorm!$C13+Pjmin!$D13)*EXP(-(Alpha!K$5+$A13*Def!$D$19)*Def!$D$12)+(K14)*(Pjmin!$C14)*EXP(-(Alpha!K$5+$A14*Def!$D$19)*Def!$D$12)</f>
        <v>3.4012904995647708E-7</v>
      </c>
      <c r="M12" s="62">
        <f>(L10)*(Pjmax!$E10)*EXP(-(Alpha!L$5+$A10*Def!$D$19)*Def!$D$12)+(L11)*(Pjmax!$D11+Pnorm!$E11)*EXP(-(Alpha!L$5+$A11*Def!$D$19)*Def!$D$12)+(L12)*(Pjmax!$C12+Pnorm!$D12+Pjmin!$E12)*EXP(-(Alpha!L$5+$A12*Def!$D$19)*Def!$D$12)+(L13)*(Pnorm!$C13+Pjmin!$D13)*EXP(-(Alpha!L$5+$A13*Def!$D$19)*Def!$D$12)+(L14)*(Pjmin!$C14)*EXP(-(Alpha!L$5+$A14*Def!$D$19)*Def!$D$12)</f>
        <v>1.1488234064817041E-6</v>
      </c>
      <c r="N12" s="62">
        <f>(M10)*(Pjmax!$E10)*EXP(-(Alpha!M$5+$A10*Def!$D$19)*Def!$D$12)+(M11)*(Pjmax!$D11+Pnorm!$E11)*EXP(-(Alpha!M$5+$A11*Def!$D$19)*Def!$D$12)+(M12)*(Pjmax!$C12+Pnorm!$D12+Pjmin!$E12)*EXP(-(Alpha!M$5+$A12*Def!$D$19)*Def!$D$12)+(M13)*(Pnorm!$C13+Pjmin!$D13)*EXP(-(Alpha!M$5+$A13*Def!$D$19)*Def!$D$12)+(M14)*(Pjmin!$C14)*EXP(-(Alpha!M$5+$A14*Def!$D$19)*Def!$D$12)</f>
        <v>2.8777795678053533E-6</v>
      </c>
      <c r="O12" s="61">
        <f>(N10)*(Pjmax!$E10)*EXP(-(Alpha!N$5+$A10*Def!$D$19)*Def!$D$12)+(N11)*(Pjmax!$D11+Pnorm!$E11)*EXP(-(Alpha!N$5+$A11*Def!$D$19)*Def!$D$12)+(N12)*(Pjmax!$C12+Pnorm!$D12+Pjmin!$E12)*EXP(-(Alpha!N$5+$A12*Def!$D$19)*Def!$D$12)+(N13)*(Pnorm!$C13+Pjmin!$D13)*EXP(-(Alpha!N$5+$A13*Def!$D$19)*Def!$D$12)+(N14)*(Pjmin!$C14)*EXP(-(Alpha!N$5+$A14*Def!$D$19)*Def!$D$12)</f>
        <v>5.9625467071521782E-6</v>
      </c>
      <c r="P12" s="59"/>
    </row>
    <row r="13" spans="1:16">
      <c r="A13" s="46">
        <f t="shared" si="0"/>
        <v>7</v>
      </c>
      <c r="B13" s="2"/>
      <c r="C13" s="60"/>
      <c r="D13" s="60"/>
      <c r="E13" s="60"/>
      <c r="F13" s="60"/>
      <c r="G13" s="60"/>
      <c r="H13" s="60"/>
      <c r="I13" s="60"/>
      <c r="J13" s="62">
        <f>(I11)*(Pjmax!$E11)*EXP(-(Alpha!I$5+$A11*Def!$D$19)*Def!$D$12)+(I12)*(Pjmax!$D12+Pnorm!$E12)*EXP(-(Alpha!I$5+$A12*Def!$D$19)*Def!$D$12)+(I13)*(Pjmax!$C13+Pnorm!$D13+Pjmin!$E13)*EXP(-(Alpha!I$5+$A13*Def!$D$19)*Def!$D$12)+(I14)*(Pnorm!$C14+Pjmin!$D14)*EXP(-(Alpha!I$5+$A14*Def!$D$19)*Def!$D$12)+(I15)*(Pjmin!$C15)*EXP(-(Alpha!I$5+$A15*Def!$D$19)*Def!$D$12)</f>
        <v>6.1505950535230102E-7</v>
      </c>
      <c r="K13" s="61">
        <f>(J11)*(Pjmax!$E11)*EXP(-(Alpha!J$5+$A11*Def!$D$19)*Def!$D$12)+(J12)*(Pjmax!$D12+Pnorm!$E12)*EXP(-(Alpha!J$5+$A12*Def!$D$19)*Def!$D$12)+(J13)*(Pjmax!$C13+Pnorm!$D13+Pjmin!$E13)*EXP(-(Alpha!J$5+$A13*Def!$D$19)*Def!$D$12)+(J14)*(Pnorm!$C14+Pjmin!$D14)*EXP(-(Alpha!J$5+$A14*Def!$D$19)*Def!$D$12)+(J15)*(Pjmin!$C15)*EXP(-(Alpha!J$5+$A15*Def!$D$19)*Def!$D$12)</f>
        <v>3.1670933404474559E-6</v>
      </c>
      <c r="L13" s="62">
        <f>(K11)*(Pjmax!$E11)*EXP(-(Alpha!K$5+$A11*Def!$D$19)*Def!$D$12)+(K12)*(Pjmax!$D12+Pnorm!$E12)*EXP(-(Alpha!K$5+$A12*Def!$D$19)*Def!$D$12)+(K13)*(Pjmax!$C13+Pnorm!$D13+Pjmin!$E13)*EXP(-(Alpha!K$5+$A13*Def!$D$19)*Def!$D$12)+(K14)*(Pnorm!$C14+Pjmin!$D14)*EXP(-(Alpha!K$5+$A14*Def!$D$19)*Def!$D$12)+(K15)*(Pjmin!$C15)*EXP(-(Alpha!K$5+$A15*Def!$D$19)*Def!$D$12)</f>
        <v>9.3103757605267122E-6</v>
      </c>
      <c r="M13" s="62">
        <f>(L11)*(Pjmax!$E11)*EXP(-(Alpha!L$5+$A11*Def!$D$19)*Def!$D$12)+(L12)*(Pjmax!$D12+Pnorm!$E12)*EXP(-(Alpha!L$5+$A12*Def!$D$19)*Def!$D$12)+(L13)*(Pjmax!$C13+Pnorm!$D13+Pjmin!$E13)*EXP(-(Alpha!L$5+$A13*Def!$D$19)*Def!$D$12)+(L14)*(Pnorm!$C14+Pjmin!$D14)*EXP(-(Alpha!L$5+$A14*Def!$D$19)*Def!$D$12)+(L15)*(Pjmin!$C15)*EXP(-(Alpha!L$5+$A15*Def!$D$19)*Def!$D$12)</f>
        <v>2.0559187459327396E-5</v>
      </c>
      <c r="N13" s="62">
        <f>(M11)*(Pjmax!$E11)*EXP(-(Alpha!M$5+$A11*Def!$D$19)*Def!$D$12)+(M12)*(Pjmax!$D12+Pnorm!$E12)*EXP(-(Alpha!M$5+$A12*Def!$D$19)*Def!$D$12)+(M13)*(Pjmax!$C13+Pnorm!$D13+Pjmin!$E13)*EXP(-(Alpha!M$5+$A13*Def!$D$19)*Def!$D$12)+(M14)*(Pnorm!$C14+Pjmin!$D14)*EXP(-(Alpha!M$5+$A14*Def!$D$19)*Def!$D$12)+(M15)*(Pjmin!$C15)*EXP(-(Alpha!M$5+$A15*Def!$D$19)*Def!$D$12)</f>
        <v>3.7962025177608432E-5</v>
      </c>
      <c r="O13" s="61">
        <f>(N11)*(Pjmax!$E11)*EXP(-(Alpha!N$5+$A11*Def!$D$19)*Def!$D$12)+(N12)*(Pjmax!$D12+Pnorm!$E12)*EXP(-(Alpha!N$5+$A12*Def!$D$19)*Def!$D$12)+(N13)*(Pjmax!$C13+Pnorm!$D13+Pjmin!$E13)*EXP(-(Alpha!N$5+$A13*Def!$D$19)*Def!$D$12)+(N14)*(Pnorm!$C14+Pjmin!$D14)*EXP(-(Alpha!N$5+$A14*Def!$D$19)*Def!$D$12)+(N15)*(Pjmin!$C15)*EXP(-(Alpha!N$5+$A15*Def!$D$19)*Def!$D$12)</f>
        <v>6.1976214682310561E-5</v>
      </c>
      <c r="P13" s="59"/>
    </row>
    <row r="14" spans="1:16">
      <c r="A14" s="46">
        <f t="shared" si="0"/>
        <v>6</v>
      </c>
      <c r="B14" s="2"/>
      <c r="C14" s="60"/>
      <c r="D14" s="60"/>
      <c r="E14" s="60"/>
      <c r="F14" s="60"/>
      <c r="G14" s="60"/>
      <c r="H14" s="60"/>
      <c r="I14" s="62">
        <f>(H12)*(Pjmax!$E12)*EXP(-(Alpha!H$5+$A12*Def!$D$19)*Def!$D$12)+(H13)*(Pjmax!$D13+Pnorm!$E13)*EXP(-(Alpha!H$5+$A13*Def!$D$19)*Def!$D$12)+(H14)*(Pjmax!$C14+Pnorm!$D14+Pjmin!$E14)*EXP(-(Alpha!H$5+$A14*Def!$D$19)*Def!$D$12)+(H15)*(Pnorm!$C15+Pjmin!$D15)*EXP(-(Alpha!H$5+$A15*Def!$D$19)*Def!$D$12)+(H16)*(Pjmin!$C16)*EXP(-(Alpha!H$5+$A16*Def!$D$19)*Def!$D$12)</f>
        <v>6.1129355996698976E-6</v>
      </c>
      <c r="J14" s="62">
        <f>(I12)*(Pjmax!$E12)*EXP(-(Alpha!I$5+$A12*Def!$D$19)*Def!$D$12)+(I13)*(Pjmax!$D13+Pnorm!$E13)*EXP(-(Alpha!I$5+$A13*Def!$D$19)*Def!$D$12)+(I14)*(Pjmax!$C14+Pnorm!$D14+Pjmin!$E14)*EXP(-(Alpha!I$5+$A14*Def!$D$19)*Def!$D$12)+(I15)*(Pnorm!$C15+Pjmin!$D15)*EXP(-(Alpha!I$5+$A15*Def!$D$19)*Def!$D$12)+(I16)*(Pjmin!$C16)*EXP(-(Alpha!I$5+$A16*Def!$D$19)*Def!$D$12)</f>
        <v>2.7730584488976445E-5</v>
      </c>
      <c r="K14" s="61">
        <f>(J12)*(Pjmax!$E12)*EXP(-(Alpha!J$5+$A12*Def!$D$19)*Def!$D$12)+(J13)*(Pjmax!$D13+Pnorm!$E13)*EXP(-(Alpha!J$5+$A13*Def!$D$19)*Def!$D$12)+(J14)*(Pjmax!$C14+Pnorm!$D14+Pjmin!$E14)*EXP(-(Alpha!J$5+$A14*Def!$D$19)*Def!$D$12)+(J15)*(Pnorm!$C15+Pjmin!$D15)*EXP(-(Alpha!J$5+$A15*Def!$D$19)*Def!$D$12)+(J16)*(Pjmin!$C16)*EXP(-(Alpha!J$5+$A16*Def!$D$19)*Def!$D$12)</f>
        <v>7.3159494592683319E-5</v>
      </c>
      <c r="L14" s="62">
        <f>(K12)*(Pjmax!$E12)*EXP(-(Alpha!K$5+$A12*Def!$D$19)*Def!$D$12)+(K13)*(Pjmax!$D13+Pnorm!$E13)*EXP(-(Alpha!K$5+$A13*Def!$D$19)*Def!$D$12)+(K14)*(Pjmax!$C14+Pnorm!$D14+Pjmin!$E14)*EXP(-(Alpha!K$5+$A14*Def!$D$19)*Def!$D$12)+(K15)*(Pnorm!$C15+Pjmin!$D15)*EXP(-(Alpha!K$5+$A15*Def!$D$19)*Def!$D$12)+(K16)*(Pjmin!$C16)*EXP(-(Alpha!K$5+$A16*Def!$D$19)*Def!$D$12)</f>
        <v>1.4733799033815281E-4</v>
      </c>
      <c r="M14" s="62">
        <f>(L12)*(Pjmax!$E12)*EXP(-(Alpha!L$5+$A12*Def!$D$19)*Def!$D$12)+(L13)*(Pjmax!$D13+Pnorm!$E13)*EXP(-(Alpha!L$5+$A13*Def!$D$19)*Def!$D$12)+(L14)*(Pjmax!$C14+Pnorm!$D14+Pjmin!$E14)*EXP(-(Alpha!L$5+$A14*Def!$D$19)*Def!$D$12)+(L15)*(Pnorm!$C15+Pjmin!$D15)*EXP(-(Alpha!L$5+$A15*Def!$D$19)*Def!$D$12)+(L16)*(Pjmin!$C16)*EXP(-(Alpha!L$5+$A16*Def!$D$19)*Def!$D$12)</f>
        <v>2.513502576139083E-4</v>
      </c>
      <c r="N14" s="62">
        <f>(M12)*(Pjmax!$E12)*EXP(-(Alpha!M$5+$A12*Def!$D$19)*Def!$D$12)+(M13)*(Pjmax!$D13+Pnorm!$E13)*EXP(-(Alpha!M$5+$A13*Def!$D$19)*Def!$D$12)+(M14)*(Pjmax!$C14+Pnorm!$D14+Pjmin!$E14)*EXP(-(Alpha!M$5+$A14*Def!$D$19)*Def!$D$12)+(M15)*(Pnorm!$C15+Pjmin!$D15)*EXP(-(Alpha!M$5+$A15*Def!$D$19)*Def!$D$12)+(M16)*(Pjmin!$C16)*EXP(-(Alpha!M$5+$A16*Def!$D$19)*Def!$D$12)</f>
        <v>3.8320026926280909E-4</v>
      </c>
      <c r="O14" s="61">
        <f>(N12)*(Pjmax!$E12)*EXP(-(Alpha!N$5+$A12*Def!$D$19)*Def!$D$12)+(N13)*(Pjmax!$D13+Pnorm!$E13)*EXP(-(Alpha!N$5+$A13*Def!$D$19)*Def!$D$12)+(N14)*(Pjmax!$C14+Pnorm!$D14+Pjmin!$E14)*EXP(-(Alpha!N$5+$A14*Def!$D$19)*Def!$D$12)+(N15)*(Pnorm!$C15+Pjmin!$D15)*EXP(-(Alpha!N$5+$A15*Def!$D$19)*Def!$D$12)+(N16)*(Pjmin!$C16)*EXP(-(Alpha!N$5+$A16*Def!$D$19)*Def!$D$12)</f>
        <v>5.3889929709991912E-4</v>
      </c>
      <c r="P14" s="59"/>
    </row>
    <row r="15" spans="1:16">
      <c r="A15" s="46">
        <f t="shared" si="0"/>
        <v>5</v>
      </c>
      <c r="B15" s="2"/>
      <c r="C15" s="60"/>
      <c r="D15" s="60"/>
      <c r="E15" s="60"/>
      <c r="F15" s="60"/>
      <c r="G15" s="60"/>
      <c r="H15" s="62">
        <f>(G13)*(Pjmax!$E13)*EXP(-(Alpha!G$5+$A13*Def!$D$19)*Def!$D$12)+(G14)*(Pjmax!$D14+Pnorm!$E14)*EXP(-(Alpha!G$5+$A14*Def!$D$19)*Def!$D$12)+(G15)*(Pjmax!$C15+Pnorm!$D15+Pjmin!$E15)*EXP(-(Alpha!G$5+$A15*Def!$D$19)*Def!$D$12)+(G16)*(Pnorm!$C16+Pjmin!$D16)*EXP(-(Alpha!G$5+$A16*Def!$D$19)*Def!$D$12)+(G17)*(Pjmin!$C17)*EXP(-(Alpha!G$5+$A17*Def!$D$19)*Def!$D$12)</f>
        <v>5.5726101375205927E-5</v>
      </c>
      <c r="I15" s="62">
        <f>(H13)*(Pjmax!$E13)*EXP(-(Alpha!H$5+$A13*Def!$D$19)*Def!$D$12)+(H14)*(Pjmax!$D14+Pnorm!$E14)*EXP(-(Alpha!H$5+$A14*Def!$D$19)*Def!$D$12)+(H15)*(Pjmax!$C15+Pnorm!$D15+Pjmin!$E15)*EXP(-(Alpha!H$5+$A15*Def!$D$19)*Def!$D$12)+(H16)*(Pnorm!$C16+Pjmin!$D16)*EXP(-(Alpha!H$5+$A16*Def!$D$19)*Def!$D$12)+(H17)*(Pjmin!$C17)*EXP(-(Alpha!H$5+$A17*Def!$D$19)*Def!$D$12)</f>
        <v>2.1766612721513658E-4</v>
      </c>
      <c r="J15" s="62">
        <f>(I13)*(Pjmax!$E13)*EXP(-(Alpha!I$5+$A13*Def!$D$19)*Def!$D$12)+(I14)*(Pjmax!$D14+Pnorm!$E14)*EXP(-(Alpha!I$5+$A14*Def!$D$19)*Def!$D$12)+(I15)*(Pjmax!$C15+Pnorm!$D15+Pjmin!$E15)*EXP(-(Alpha!I$5+$A15*Def!$D$19)*Def!$D$12)+(I16)*(Pnorm!$C16+Pjmin!$D16)*EXP(-(Alpha!I$5+$A16*Def!$D$19)*Def!$D$12)+(I17)*(Pjmin!$C17)*EXP(-(Alpha!I$5+$A17*Def!$D$19)*Def!$D$12)</f>
        <v>5.0715941511969434E-4</v>
      </c>
      <c r="K15" s="61">
        <f>(J13)*(Pjmax!$E13)*EXP(-(Alpha!J$5+$A13*Def!$D$19)*Def!$D$12)+(J14)*(Pjmax!$D14+Pnorm!$E14)*EXP(-(Alpha!J$5+$A14*Def!$D$19)*Def!$D$12)+(J15)*(Pjmax!$C15+Pnorm!$D15+Pjmin!$E15)*EXP(-(Alpha!J$5+$A15*Def!$D$19)*Def!$D$12)+(J16)*(Pnorm!$C16+Pjmin!$D16)*EXP(-(Alpha!J$5+$A16*Def!$D$19)*Def!$D$12)+(J17)*(Pjmin!$C17)*EXP(-(Alpha!J$5+$A17*Def!$D$19)*Def!$D$12)</f>
        <v>9.1784564145287002E-4</v>
      </c>
      <c r="L15" s="62">
        <f>(K13)*(Pjmax!$E13)*EXP(-(Alpha!K$5+$A13*Def!$D$19)*Def!$D$12)+(K14)*(Pjmax!$D14+Pnorm!$E14)*EXP(-(Alpha!K$5+$A14*Def!$D$19)*Def!$D$12)+(K15)*(Pjmax!$C15+Pnorm!$D15+Pjmin!$E15)*EXP(-(Alpha!K$5+$A15*Def!$D$19)*Def!$D$12)+(K16)*(Pnorm!$C16+Pjmin!$D16)*EXP(-(Alpha!K$5+$A16*Def!$D$19)*Def!$D$12)+(K17)*(Pjmin!$C17)*EXP(-(Alpha!K$5+$A17*Def!$D$19)*Def!$D$12)</f>
        <v>1.4283610189329771E-3</v>
      </c>
      <c r="M15" s="62">
        <f>(L13)*(Pjmax!$E13)*EXP(-(Alpha!L$5+$A13*Def!$D$19)*Def!$D$12)+(L14)*(Pjmax!$D14+Pnorm!$E14)*EXP(-(Alpha!L$5+$A14*Def!$D$19)*Def!$D$12)+(L15)*(Pjmax!$C15+Pnorm!$D15+Pjmin!$E15)*EXP(-(Alpha!L$5+$A15*Def!$D$19)*Def!$D$12)+(L16)*(Pnorm!$C16+Pjmin!$D16)*EXP(-(Alpha!L$5+$A16*Def!$D$19)*Def!$D$12)+(L17)*(Pjmin!$C17)*EXP(-(Alpha!L$5+$A17*Def!$D$19)*Def!$D$12)</f>
        <v>2.0103259088285891E-3</v>
      </c>
      <c r="N15" s="62">
        <f>(M13)*(Pjmax!$E13)*EXP(-(Alpha!M$5+$A13*Def!$D$19)*Def!$D$12)+(M14)*(Pjmax!$D14+Pnorm!$E14)*EXP(-(Alpha!M$5+$A14*Def!$D$19)*Def!$D$12)+(M15)*(Pjmax!$C15+Pnorm!$D15+Pjmin!$E15)*EXP(-(Alpha!M$5+$A15*Def!$D$19)*Def!$D$12)+(M16)*(Pnorm!$C16+Pjmin!$D16)*EXP(-(Alpha!M$5+$A16*Def!$D$19)*Def!$D$12)+(M17)*(Pjmin!$C17)*EXP(-(Alpha!M$5+$A17*Def!$D$19)*Def!$D$12)</f>
        <v>2.6356814548897383E-3</v>
      </c>
      <c r="O15" s="61">
        <f>(N13)*(Pjmax!$E13)*EXP(-(Alpha!N$5+$A13*Def!$D$19)*Def!$D$12)+(N14)*(Pjmax!$D14+Pnorm!$E14)*EXP(-(Alpha!N$5+$A14*Def!$D$19)*Def!$D$12)+(N15)*(Pjmax!$C15+Pnorm!$D15+Pjmin!$E15)*EXP(-(Alpha!N$5+$A15*Def!$D$19)*Def!$D$12)+(N16)*(Pnorm!$C16+Pjmin!$D16)*EXP(-(Alpha!N$5+$A16*Def!$D$19)*Def!$D$12)+(N17)*(Pjmin!$C17)*EXP(-(Alpha!N$5+$A17*Def!$D$19)*Def!$D$12)</f>
        <v>3.2800064444023398E-3</v>
      </c>
      <c r="P15" s="59"/>
    </row>
    <row r="16" spans="1:16">
      <c r="A16" s="46">
        <f t="shared" si="0"/>
        <v>4</v>
      </c>
      <c r="B16" s="2"/>
      <c r="C16" s="60"/>
      <c r="D16" s="60"/>
      <c r="E16" s="60"/>
      <c r="F16" s="60"/>
      <c r="G16" s="61">
        <f>(F14)*(Pjmax!$E14)*EXP(-(Alpha!F$5+$A14*Def!$D$19)*Def!$D$12)+(F15)*(Pjmax!$D15+Pnorm!$E15)*EXP(-(Alpha!F$5+$A15*Def!$D$19)*Def!$D$12)+(F16)*(Pjmax!$C16+Pnorm!$D16+Pjmin!$E16)*EXP(-(Alpha!F$5+$A16*Def!$D$19)*Def!$D$12)+(F17)*(Pnorm!$C17+Pjmin!$D17)*EXP(-(Alpha!F$5+$A17*Def!$D$19)*Def!$D$12)+(F18)*(Pjmin!$C18)*EXP(-(Alpha!F$5+$A18*Def!$D$19)*Def!$D$12)</f>
        <v>4.6607026202321656E-4</v>
      </c>
      <c r="H16" s="62">
        <f>(G14)*(Pjmax!$E14)*EXP(-(Alpha!G$5+$A14*Def!$D$19)*Def!$D$12)+(G15)*(Pjmax!$D15+Pnorm!$E15)*EXP(-(Alpha!G$5+$A15*Def!$D$19)*Def!$D$12)+(G16)*(Pjmax!$C16+Pnorm!$D16+Pjmin!$E16)*EXP(-(Alpha!G$5+$A16*Def!$D$19)*Def!$D$12)+(G17)*(Pnorm!$C17+Pjmin!$D17)*EXP(-(Alpha!G$5+$A17*Def!$D$19)*Def!$D$12)+(G18)*(Pjmin!$C18)*EXP(-(Alpha!G$5+$A18*Def!$D$19)*Def!$D$12)</f>
        <v>1.5247746689285146E-3</v>
      </c>
      <c r="I16" s="62">
        <f>(H14)*(Pjmax!$E14)*EXP(-(Alpha!H$5+$A14*Def!$D$19)*Def!$D$12)+(H15)*(Pjmax!$D15+Pnorm!$E15)*EXP(-(Alpha!H$5+$A15*Def!$D$19)*Def!$D$12)+(H16)*(Pjmax!$C16+Pnorm!$D16+Pjmin!$E16)*EXP(-(Alpha!H$5+$A16*Def!$D$19)*Def!$D$12)+(H17)*(Pnorm!$C17+Pjmin!$D17)*EXP(-(Alpha!H$5+$A17*Def!$D$19)*Def!$D$12)+(H18)*(Pjmin!$C18)*EXP(-(Alpha!H$5+$A18*Def!$D$19)*Def!$D$12)</f>
        <v>3.0704520417341253E-3</v>
      </c>
      <c r="J16" s="62">
        <f>(I14)*(Pjmax!$E14)*EXP(-(Alpha!I$5+$A14*Def!$D$19)*Def!$D$12)+(I15)*(Pjmax!$D15+Pnorm!$E15)*EXP(-(Alpha!I$5+$A15*Def!$D$19)*Def!$D$12)+(I16)*(Pjmax!$C16+Pnorm!$D16+Pjmin!$E16)*EXP(-(Alpha!I$5+$A16*Def!$D$19)*Def!$D$12)+(I17)*(Pnorm!$C17+Pjmin!$D17)*EXP(-(Alpha!I$5+$A17*Def!$D$19)*Def!$D$12)+(I18)*(Pjmin!$C18)*EXP(-(Alpha!I$5+$A18*Def!$D$19)*Def!$D$12)</f>
        <v>4.9290921207124014E-3</v>
      </c>
      <c r="K16" s="61">
        <f>(J14)*(Pjmax!$E14)*EXP(-(Alpha!J$5+$A14*Def!$D$19)*Def!$D$12)+(J15)*(Pjmax!$D15+Pnorm!$E15)*EXP(-(Alpha!J$5+$A15*Def!$D$19)*Def!$D$12)+(J16)*(Pjmax!$C16+Pnorm!$D16+Pjmin!$E16)*EXP(-(Alpha!J$5+$A16*Def!$D$19)*Def!$D$12)+(J17)*(Pnorm!$C17+Pjmin!$D17)*EXP(-(Alpha!J$5+$A17*Def!$D$19)*Def!$D$12)+(J18)*(Pjmin!$C18)*EXP(-(Alpha!J$5+$A18*Def!$D$19)*Def!$D$12)</f>
        <v>6.9264089886778213E-3</v>
      </c>
      <c r="L16" s="62">
        <f>(K14)*(Pjmax!$E14)*EXP(-(Alpha!K$5+$A14*Def!$D$19)*Def!$D$12)+(K15)*(Pjmax!$D15+Pnorm!$E15)*EXP(-(Alpha!K$5+$A15*Def!$D$19)*Def!$D$12)+(K16)*(Pjmax!$C16+Pnorm!$D16+Pjmin!$E16)*EXP(-(Alpha!K$5+$A16*Def!$D$19)*Def!$D$12)+(K17)*(Pnorm!$C17+Pjmin!$D17)*EXP(-(Alpha!K$5+$A17*Def!$D$19)*Def!$D$12)+(K18)*(Pjmin!$C18)*EXP(-(Alpha!K$5+$A18*Def!$D$19)*Def!$D$12)</f>
        <v>8.9382071742683845E-3</v>
      </c>
      <c r="M16" s="62">
        <f>(L14)*(Pjmax!$E14)*EXP(-(Alpha!L$5+$A14*Def!$D$19)*Def!$D$12)+(L15)*(Pjmax!$D15+Pnorm!$E15)*EXP(-(Alpha!L$5+$A15*Def!$D$19)*Def!$D$12)+(L16)*(Pjmax!$C16+Pnorm!$D16+Pjmin!$E16)*EXP(-(Alpha!L$5+$A16*Def!$D$19)*Def!$D$12)+(L17)*(Pnorm!$C17+Pjmin!$D17)*EXP(-(Alpha!L$5+$A17*Def!$D$19)*Def!$D$12)+(L18)*(Pjmin!$C18)*EXP(-(Alpha!L$5+$A18*Def!$D$19)*Def!$D$12)</f>
        <v>1.087481518664625E-2</v>
      </c>
      <c r="N16" s="62">
        <f>(M14)*(Pjmax!$E14)*EXP(-(Alpha!M$5+$A14*Def!$D$19)*Def!$D$12)+(M15)*(Pjmax!$D15+Pnorm!$E15)*EXP(-(Alpha!M$5+$A15*Def!$D$19)*Def!$D$12)+(M16)*(Pjmax!$C16+Pnorm!$D16+Pjmin!$E16)*EXP(-(Alpha!M$5+$A16*Def!$D$19)*Def!$D$12)+(M17)*(Pnorm!$C17+Pjmin!$D17)*EXP(-(Alpha!M$5+$A17*Def!$D$19)*Def!$D$12)+(M18)*(Pjmin!$C18)*EXP(-(Alpha!M$5+$A18*Def!$D$19)*Def!$D$12)</f>
        <v>1.2682674007967052E-2</v>
      </c>
      <c r="O16" s="61">
        <f>(N14)*(Pjmax!$E14)*EXP(-(Alpha!N$5+$A14*Def!$D$19)*Def!$D$12)+(N15)*(Pjmax!$D15+Pnorm!$E15)*EXP(-(Alpha!N$5+$A15*Def!$D$19)*Def!$D$12)+(N16)*(Pjmax!$C16+Pnorm!$D16+Pjmin!$E16)*EXP(-(Alpha!N$5+$A16*Def!$D$19)*Def!$D$12)+(N17)*(Pnorm!$C17+Pjmin!$D17)*EXP(-(Alpha!N$5+$A17*Def!$D$19)*Def!$D$12)+(N18)*(Pjmin!$C18)*EXP(-(Alpha!N$5+$A18*Def!$D$19)*Def!$D$12)</f>
        <v>1.4334105529691544E-2</v>
      </c>
      <c r="P16" s="59"/>
    </row>
    <row r="17" spans="1:16">
      <c r="A17" s="46">
        <f t="shared" si="0"/>
        <v>3</v>
      </c>
      <c r="B17" s="2"/>
      <c r="C17" s="60"/>
      <c r="D17" s="60"/>
      <c r="E17" s="60"/>
      <c r="F17" s="62">
        <f>(E15)*(Pjmax!$E15)*EXP(-(Alpha!E$5+$A15*Def!$D$19)*Def!$D$12)+(E16)*(Pjmax!$D16+Pnorm!$E16)*EXP(-(Alpha!E$5+$A16*Def!$D$19)*Def!$D$12)+(E17)*(Pjmax!$C17+Pnorm!$D17+Pjmin!$E17)*EXP(-(Alpha!E$5+$A17*Def!$D$19)*Def!$D$12)+(E18)*(Pnorm!$C18+Pjmin!$D18)*EXP(-(Alpha!E$5+$A18*Def!$D$19)*Def!$D$12)+(E19)*(Pjmin!$C19)*EXP(-(Alpha!E$5+$A19*Def!$D$19)*Def!$D$12)</f>
        <v>3.5831925500842653E-3</v>
      </c>
      <c r="G17" s="61">
        <f>(F15)*(Pjmax!$E15)*EXP(-(Alpha!F$5+$A15*Def!$D$19)*Def!$D$12)+(F16)*(Pjmax!$D16+Pnorm!$E16)*EXP(-(Alpha!F$5+$A16*Def!$D$19)*Def!$D$12)+(F17)*(Pjmax!$C17+Pnorm!$D17+Pjmin!$E17)*EXP(-(Alpha!F$5+$A17*Def!$D$19)*Def!$D$12)+(F18)*(Pnorm!$C18+Pjmin!$D18)*EXP(-(Alpha!F$5+$A18*Def!$D$19)*Def!$D$12)+(F19)*(Pjmin!$C19)*EXP(-(Alpha!F$5+$A19*Def!$D$19)*Def!$D$12)</f>
        <v>9.4167788771170984E-3</v>
      </c>
      <c r="H17" s="62">
        <f>(G15)*(Pjmax!$E15)*EXP(-(Alpha!G$5+$A15*Def!$D$19)*Def!$D$12)+(G16)*(Pjmax!$D16+Pnorm!$E16)*EXP(-(Alpha!G$5+$A16*Def!$D$19)*Def!$D$12)+(G17)*(Pjmax!$C17+Pnorm!$D17+Pjmin!$E17)*EXP(-(Alpha!G$5+$A17*Def!$D$19)*Def!$D$12)+(G18)*(Pnorm!$C18+Pjmin!$D18)*EXP(-(Alpha!G$5+$A18*Def!$D$19)*Def!$D$12)+(G19)*(Pjmin!$C19)*EXP(-(Alpha!G$5+$A19*Def!$D$19)*Def!$D$12)</f>
        <v>1.5976472826565925E-2</v>
      </c>
      <c r="I17" s="62">
        <f>(H15)*(Pjmax!$E15)*EXP(-(Alpha!H$5+$A15*Def!$D$19)*Def!$D$12)+(H16)*(Pjmax!$D16+Pnorm!$E16)*EXP(-(Alpha!H$5+$A16*Def!$D$19)*Def!$D$12)+(H17)*(Pjmax!$C17+Pnorm!$D17+Pjmin!$E17)*EXP(-(Alpha!H$5+$A17*Def!$D$19)*Def!$D$12)+(H18)*(Pnorm!$C18+Pjmin!$D18)*EXP(-(Alpha!H$5+$A18*Def!$D$19)*Def!$D$12)+(H19)*(Pjmin!$C19)*EXP(-(Alpha!H$5+$A19*Def!$D$19)*Def!$D$12)</f>
        <v>2.232089458571674E-2</v>
      </c>
      <c r="J17" s="62">
        <f>(I15)*(Pjmax!$E15)*EXP(-(Alpha!I$5+$A15*Def!$D$19)*Def!$D$12)+(I16)*(Pjmax!$D16+Pnorm!$E16)*EXP(-(Alpha!I$5+$A16*Def!$D$19)*Def!$D$12)+(I17)*(Pjmax!$C17+Pnorm!$D17+Pjmin!$E17)*EXP(-(Alpha!I$5+$A17*Def!$D$19)*Def!$D$12)+(I18)*(Pnorm!$C18+Pjmin!$D18)*EXP(-(Alpha!I$5+$A18*Def!$D$19)*Def!$D$12)+(I19)*(Pjmin!$C19)*EXP(-(Alpha!I$5+$A19*Def!$D$19)*Def!$D$12)</f>
        <v>2.8033813613814556E-2</v>
      </c>
      <c r="K17" s="61">
        <f>(J15)*(Pjmax!$E15)*EXP(-(Alpha!J$5+$A15*Def!$D$19)*Def!$D$12)+(J16)*(Pjmax!$D16+Pnorm!$E16)*EXP(-(Alpha!J$5+$A16*Def!$D$19)*Def!$D$12)+(J17)*(Pjmax!$C17+Pnorm!$D17+Pjmin!$E17)*EXP(-(Alpha!J$5+$A17*Def!$D$19)*Def!$D$12)+(J18)*(Pnorm!$C18+Pjmin!$D18)*EXP(-(Alpha!J$5+$A18*Def!$D$19)*Def!$D$12)+(J19)*(Pjmin!$C19)*EXP(-(Alpha!J$5+$A19*Def!$D$19)*Def!$D$12)</f>
        <v>3.2922793199210654E-2</v>
      </c>
      <c r="L17" s="62">
        <f>(K15)*(Pjmax!$E15)*EXP(-(Alpha!K$5+$A15*Def!$D$19)*Def!$D$12)+(K16)*(Pjmax!$D16+Pnorm!$E16)*EXP(-(Alpha!K$5+$A16*Def!$D$19)*Def!$D$12)+(K17)*(Pjmax!$C17+Pnorm!$D17+Pjmin!$E17)*EXP(-(Alpha!K$5+$A17*Def!$D$19)*Def!$D$12)+(K18)*(Pnorm!$C18+Pjmin!$D18)*EXP(-(Alpha!K$5+$A18*Def!$D$19)*Def!$D$12)+(K19)*(Pjmin!$C19)*EXP(-(Alpha!K$5+$A19*Def!$D$19)*Def!$D$12)</f>
        <v>3.7014670317094267E-2</v>
      </c>
      <c r="M17" s="62">
        <f>(L15)*(Pjmax!$E15)*EXP(-(Alpha!L$5+$A15*Def!$D$19)*Def!$D$12)+(L16)*(Pjmax!$D16+Pnorm!$E16)*EXP(-(Alpha!L$5+$A16*Def!$D$19)*Def!$D$12)+(L17)*(Pjmax!$C17+Pnorm!$D17+Pjmin!$E17)*EXP(-(Alpha!L$5+$A17*Def!$D$19)*Def!$D$12)+(L18)*(Pnorm!$C18+Pjmin!$D18)*EXP(-(Alpha!L$5+$A18*Def!$D$19)*Def!$D$12)+(L19)*(Pjmin!$C19)*EXP(-(Alpha!L$5+$A19*Def!$D$19)*Def!$D$12)</f>
        <v>4.0365633234016443E-2</v>
      </c>
      <c r="N17" s="62">
        <f>(M15)*(Pjmax!$E15)*EXP(-(Alpha!M$5+$A15*Def!$D$19)*Def!$D$12)+(M16)*(Pjmax!$D16+Pnorm!$E16)*EXP(-(Alpha!M$5+$A16*Def!$D$19)*Def!$D$12)+(M17)*(Pjmax!$C17+Pnorm!$D17+Pjmin!$E17)*EXP(-(Alpha!M$5+$A17*Def!$D$19)*Def!$D$12)+(M18)*(Pnorm!$C18+Pjmin!$D18)*EXP(-(Alpha!M$5+$A18*Def!$D$19)*Def!$D$12)+(M19)*(Pjmin!$C19)*EXP(-(Alpha!M$5+$A19*Def!$D$19)*Def!$D$12)</f>
        <v>4.3066864087002804E-2</v>
      </c>
      <c r="O17" s="61">
        <f>(N15)*(Pjmax!$E15)*EXP(-(Alpha!N$5+$A15*Def!$D$19)*Def!$D$12)+(N16)*(Pjmax!$D16+Pnorm!$E16)*EXP(-(Alpha!N$5+$A16*Def!$D$19)*Def!$D$12)+(N17)*(Pjmax!$C17+Pnorm!$D17+Pjmin!$E17)*EXP(-(Alpha!N$5+$A17*Def!$D$19)*Def!$D$12)+(N18)*(Pnorm!$C18+Pjmin!$D18)*EXP(-(Alpha!N$5+$A18*Def!$D$19)*Def!$D$12)+(N19)*(Pjmin!$C19)*EXP(-(Alpha!N$5+$A19*Def!$D$19)*Def!$D$12)</f>
        <v>4.521467257729507E-2</v>
      </c>
      <c r="P17" s="59"/>
    </row>
    <row r="18" spans="1:16">
      <c r="A18" s="46">
        <f t="shared" si="0"/>
        <v>2</v>
      </c>
      <c r="B18" s="2"/>
      <c r="C18" s="60"/>
      <c r="D18" s="60"/>
      <c r="E18" s="62">
        <f>(D16)*(Pjmax!$E16)*EXP(-(Alpha!D$5+$A16*Def!$D$19)*Def!$D$12)+(D17)*(Pjmax!$D17+Pnorm!$E17)*EXP(-(Alpha!D$5+$A17*Def!$D$19)*Def!$D$12)+(D18)*(Pjmax!$C18+Pnorm!$D18+Pjmin!$E18)*EXP(-(Alpha!D$5+$A18*Def!$D$19)*Def!$D$12)+(D19)*(Pnorm!$C19+Pjmin!$D19)*EXP(-(Alpha!D$5+$A19*Def!$D$19)*Def!$D$12)+(D20)*(Pjmin!$C20)*EXP(-(Alpha!D$5+$A20*Def!$D$19)*Def!$D$12)</f>
        <v>2.5365350438795609E-2</v>
      </c>
      <c r="F18" s="62">
        <f>(E16)*(Pjmax!$E16)*EXP(-(Alpha!E$5+$A16*Def!$D$19)*Def!$D$12)+(E17)*(Pjmax!$D17+Pnorm!$E17)*EXP(-(Alpha!E$5+$A17*Def!$D$19)*Def!$D$12)+(E18)*(Pjmax!$C18+Pnorm!$D18+Pjmin!$E18)*EXP(-(Alpha!E$5+$A18*Def!$D$19)*Def!$D$12)+(E19)*(Pnorm!$C19+Pjmin!$D19)*EXP(-(Alpha!E$5+$A19*Def!$D$19)*Def!$D$12)+(E20)*(Pjmin!$C20)*EXP(-(Alpha!E$5+$A20*Def!$D$19)*Def!$D$12)</f>
        <v>5.0174179441513207E-2</v>
      </c>
      <c r="G18" s="61">
        <f>(F16)*(Pjmax!$E16)*EXP(-(Alpha!F$5+$A16*Def!$D$19)*Def!$D$12)+(F17)*(Pjmax!$D17+Pnorm!$E17)*EXP(-(Alpha!F$5+$A17*Def!$D$19)*Def!$D$12)+(F18)*(Pjmax!$C18+Pnorm!$D18+Pjmin!$E18)*EXP(-(Alpha!F$5+$A18*Def!$D$19)*Def!$D$12)+(F19)*(Pnorm!$C19+Pjmin!$D19)*EXP(-(Alpha!F$5+$A19*Def!$D$19)*Def!$D$12)+(F20)*(Pjmin!$C20)*EXP(-(Alpha!F$5+$A20*Def!$D$19)*Def!$D$12)</f>
        <v>6.9079776595453099E-2</v>
      </c>
      <c r="H18" s="62">
        <f>(G16)*(Pjmax!$E16)*EXP(-(Alpha!G$5+$A16*Def!$D$19)*Def!$D$12)+(G17)*(Pjmax!$D17+Pnorm!$E17)*EXP(-(Alpha!G$5+$A17*Def!$D$19)*Def!$D$12)+(G18)*(Pjmax!$C18+Pnorm!$D18+Pjmin!$E18)*EXP(-(Alpha!G$5+$A18*Def!$D$19)*Def!$D$12)+(G19)*(Pnorm!$C19+Pjmin!$D19)*EXP(-(Alpha!G$5+$A19*Def!$D$19)*Def!$D$12)+(G20)*(Pjmin!$C20)*EXP(-(Alpha!G$5+$A20*Def!$D$19)*Def!$D$12)</f>
        <v>8.2307628817063494E-2</v>
      </c>
      <c r="I18" s="62">
        <f>(H16)*(Pjmax!$E16)*EXP(-(Alpha!H$5+$A16*Def!$D$19)*Def!$D$12)+(H17)*(Pjmax!$D17+Pnorm!$E17)*EXP(-(Alpha!H$5+$A17*Def!$D$19)*Def!$D$12)+(H18)*(Pjmax!$C18+Pnorm!$D18+Pjmin!$E18)*EXP(-(Alpha!H$5+$A18*Def!$D$19)*Def!$D$12)+(H19)*(Pnorm!$C19+Pjmin!$D19)*EXP(-(Alpha!H$5+$A19*Def!$D$19)*Def!$D$12)+(H20)*(Pjmin!$C20)*EXP(-(Alpha!H$5+$A20*Def!$D$19)*Def!$D$12)</f>
        <v>9.1149247601748279E-2</v>
      </c>
      <c r="J18" s="62">
        <f>(I16)*(Pjmax!$E16)*EXP(-(Alpha!I$5+$A16*Def!$D$19)*Def!$D$12)+(I17)*(Pjmax!$D17+Pnorm!$E17)*EXP(-(Alpha!I$5+$A17*Def!$D$19)*Def!$D$12)+(I18)*(Pjmax!$C18+Pnorm!$D18+Pjmin!$E18)*EXP(-(Alpha!I$5+$A18*Def!$D$19)*Def!$D$12)+(I19)*(Pnorm!$C19+Pjmin!$D19)*EXP(-(Alpha!I$5+$A19*Def!$D$19)*Def!$D$12)+(I20)*(Pjmin!$C20)*EXP(-(Alpha!I$5+$A20*Def!$D$19)*Def!$D$12)</f>
        <v>9.6946002387737651E-2</v>
      </c>
      <c r="K18" s="61">
        <f>(J16)*(Pjmax!$E16)*EXP(-(Alpha!J$5+$A16*Def!$D$19)*Def!$D$12)+(J17)*(Pjmax!$D17+Pnorm!$E17)*EXP(-(Alpha!J$5+$A17*Def!$D$19)*Def!$D$12)+(J18)*(Pjmax!$C18+Pnorm!$D18+Pjmin!$E18)*EXP(-(Alpha!J$5+$A18*Def!$D$19)*Def!$D$12)+(J19)*(Pnorm!$C19+Pjmin!$D19)*EXP(-(Alpha!J$5+$A19*Def!$D$19)*Def!$D$12)+(J20)*(Pjmin!$C20)*EXP(-(Alpha!J$5+$A20*Def!$D$19)*Def!$D$12)</f>
        <v>0.1004712124025344</v>
      </c>
      <c r="L18" s="62">
        <f>(K16)*(Pjmax!$E16)*EXP(-(Alpha!K$5+$A16*Def!$D$19)*Def!$D$12)+(K17)*(Pjmax!$D17+Pnorm!$E17)*EXP(-(Alpha!K$5+$A17*Def!$D$19)*Def!$D$12)+(K18)*(Pjmax!$C18+Pnorm!$D18+Pjmin!$E18)*EXP(-(Alpha!K$5+$A18*Def!$D$19)*Def!$D$12)+(K19)*(Pnorm!$C19+Pjmin!$D19)*EXP(-(Alpha!K$5+$A19*Def!$D$19)*Def!$D$12)+(K20)*(Pjmin!$C20)*EXP(-(Alpha!K$5+$A20*Def!$D$19)*Def!$D$12)</f>
        <v>0.10248104939290495</v>
      </c>
      <c r="M18" s="62">
        <f>(L16)*(Pjmax!$E16)*EXP(-(Alpha!L$5+$A16*Def!$D$19)*Def!$D$12)+(L17)*(Pjmax!$D17+Pnorm!$E17)*EXP(-(Alpha!L$5+$A17*Def!$D$19)*Def!$D$12)+(L18)*(Pjmax!$C18+Pnorm!$D18+Pjmin!$E18)*EXP(-(Alpha!L$5+$A18*Def!$D$19)*Def!$D$12)+(L19)*(Pnorm!$C19+Pjmin!$D19)*EXP(-(Alpha!L$5+$A19*Def!$D$19)*Def!$D$12)+(L20)*(Pjmin!$C20)*EXP(-(Alpha!L$5+$A20*Def!$D$19)*Def!$D$12)</f>
        <v>0.10339805007089632</v>
      </c>
      <c r="N18" s="62">
        <f>(M16)*(Pjmax!$E16)*EXP(-(Alpha!M$5+$A16*Def!$D$19)*Def!$D$12)+(M17)*(Pjmax!$D17+Pnorm!$E17)*EXP(-(Alpha!M$5+$A17*Def!$D$19)*Def!$D$12)+(M18)*(Pjmax!$C18+Pnorm!$D18+Pjmin!$E18)*EXP(-(Alpha!M$5+$A18*Def!$D$19)*Def!$D$12)+(M19)*(Pnorm!$C19+Pjmin!$D19)*EXP(-(Alpha!M$5+$A19*Def!$D$19)*Def!$D$12)+(M20)*(Pjmin!$C20)*EXP(-(Alpha!M$5+$A20*Def!$D$19)*Def!$D$12)</f>
        <v>0.1035421424206369</v>
      </c>
      <c r="O18" s="61">
        <f>(N16)*(Pjmax!$E16)*EXP(-(Alpha!N$5+$A16*Def!$D$19)*Def!$D$12)+(N17)*(Pjmax!$D17+Pnorm!$E17)*EXP(-(Alpha!N$5+$A17*Def!$D$19)*Def!$D$12)+(N18)*(Pjmax!$C18+Pnorm!$D18+Pjmin!$E18)*EXP(-(Alpha!N$5+$A18*Def!$D$19)*Def!$D$12)+(N19)*(Pnorm!$C19+Pjmin!$D19)*EXP(-(Alpha!N$5+$A19*Def!$D$19)*Def!$D$12)+(N20)*(Pjmin!$C20)*EXP(-(Alpha!N$5+$A20*Def!$D$19)*Def!$D$12)</f>
        <v>0.10314341680142818</v>
      </c>
      <c r="P18" s="59"/>
    </row>
    <row r="19" spans="1:16">
      <c r="A19" s="46">
        <f t="shared" si="0"/>
        <v>1</v>
      </c>
      <c r="B19" s="2"/>
      <c r="C19" s="60"/>
      <c r="D19" s="62">
        <f>(C17)*(Pjmax!$E17)*EXP(-(Alpha!C$5+$A17*Def!$D$19)*Def!$D$12)+(C18)*(Pjmax!$D18+Pnorm!$E18)*EXP(-(Alpha!C$5+$A18*Def!$D$19)*Def!$D$12)+(C19)*(Pjmax!$C19+Pnorm!$D19+Pjmin!$E19)*EXP(-(Alpha!C$5+$A19*Def!$D$19)*Def!$D$12)+(C20)*(Pnorm!$C20+Pjmin!$D20)*EXP(-(Alpha!C$5+$A20*Def!$D$19)*Def!$D$12)+(C21)*(Pjmin!$C21)*EXP(-(Alpha!C$5+$A21*Def!$D$19)*Def!$D$12)</f>
        <v>0.16564020216666664</v>
      </c>
      <c r="E19" s="62">
        <f>(D17)*(Pjmax!$E17)*EXP(-(Alpha!D$5+$A17*Def!$D$19)*Def!$D$12)+(D18)*(Pjmax!$D18+Pnorm!$E18)*EXP(-(Alpha!D$5+$A18*Def!$D$19)*Def!$D$12)+(D19)*(Pjmax!$C19+Pnorm!$D19+Pjmin!$E19)*EXP(-(Alpha!D$5+$A19*Def!$D$19)*Def!$D$12)+(D20)*(Pnorm!$C20+Pjmin!$D20)*EXP(-(Alpha!D$5+$A20*Def!$D$19)*Def!$D$12)+(D21)*(Pjmin!$C21)*EXP(-(Alpha!D$5+$A21*Def!$D$19)*Def!$D$12)</f>
        <v>0.2190668556133773</v>
      </c>
      <c r="F19" s="62">
        <f>(E17)*(Pjmax!$E17)*EXP(-(Alpha!E$5+$A17*Def!$D$19)*Def!$D$12)+(E18)*(Pjmax!$D18+Pnorm!$E18)*EXP(-(Alpha!E$5+$A18*Def!$D$19)*Def!$D$12)+(E19)*(Pjmax!$C19+Pnorm!$D19+Pjmin!$E19)*EXP(-(Alpha!E$5+$A19*Def!$D$19)*Def!$D$12)+(E20)*(Pnorm!$C20+Pjmin!$D20)*EXP(-(Alpha!E$5+$A20*Def!$D$19)*Def!$D$12)+(E21)*(Pjmin!$C21)*EXP(-(Alpha!E$5+$A21*Def!$D$19)*Def!$D$12)</f>
        <v>0.23174530741750421</v>
      </c>
      <c r="G19" s="61">
        <f>(F17)*(Pjmax!$E17)*EXP(-(Alpha!F$5+$A17*Def!$D$19)*Def!$D$12)+(F18)*(Pjmax!$D18+Pnorm!$E18)*EXP(-(Alpha!F$5+$A18*Def!$D$19)*Def!$D$12)+(F19)*(Pjmax!$C19+Pnorm!$D19+Pjmin!$E19)*EXP(-(Alpha!F$5+$A19*Def!$D$19)*Def!$D$12)+(F20)*(Pnorm!$C20+Pjmin!$D20)*EXP(-(Alpha!F$5+$A20*Def!$D$19)*Def!$D$12)+(F21)*(Pjmin!$C21)*EXP(-(Alpha!F$5+$A21*Def!$D$19)*Def!$D$12)</f>
        <v>0.22973735637143761</v>
      </c>
      <c r="H19" s="62">
        <f>(G17)*(Pjmax!$E17)*EXP(-(Alpha!G$5+$A17*Def!$D$19)*Def!$D$12)+(G18)*(Pjmax!$D18+Pnorm!$E18)*EXP(-(Alpha!G$5+$A18*Def!$D$19)*Def!$D$12)+(G19)*(Pjmax!$C19+Pnorm!$D19+Pjmin!$E19)*EXP(-(Alpha!G$5+$A19*Def!$D$19)*Def!$D$12)+(G20)*(Pnorm!$C20+Pjmin!$D20)*EXP(-(Alpha!G$5+$A20*Def!$D$19)*Def!$D$12)+(G21)*(Pjmin!$C21)*EXP(-(Alpha!G$5+$A21*Def!$D$19)*Def!$D$12)</f>
        <v>0.22270783140755215</v>
      </c>
      <c r="I19" s="62">
        <f>(H17)*(Pjmax!$E17)*EXP(-(Alpha!H$5+$A17*Def!$D$19)*Def!$D$12)+(H18)*(Pjmax!$D18+Pnorm!$E18)*EXP(-(Alpha!H$5+$A18*Def!$D$19)*Def!$D$12)+(H19)*(Pjmax!$C19+Pnorm!$D19+Pjmin!$E19)*EXP(-(Alpha!H$5+$A19*Def!$D$19)*Def!$D$12)+(H20)*(Pnorm!$C20+Pjmin!$D20)*EXP(-(Alpha!H$5+$A20*Def!$D$19)*Def!$D$12)+(H21)*(Pjmin!$C21)*EXP(-(Alpha!H$5+$A21*Def!$D$19)*Def!$D$12)</f>
        <v>0.2141884268483718</v>
      </c>
      <c r="J19" s="62">
        <f>(I17)*(Pjmax!$E17)*EXP(-(Alpha!I$5+$A17*Def!$D$19)*Def!$D$12)+(I18)*(Pjmax!$D18+Pnorm!$E18)*EXP(-(Alpha!I$5+$A18*Def!$D$19)*Def!$D$12)+(I19)*(Pjmax!$C19+Pnorm!$D19+Pjmin!$E19)*EXP(-(Alpha!I$5+$A19*Def!$D$19)*Def!$D$12)+(I20)*(Pnorm!$C20+Pjmin!$D20)*EXP(-(Alpha!I$5+$A20*Def!$D$19)*Def!$D$12)+(I21)*(Pjmin!$C21)*EXP(-(Alpha!I$5+$A21*Def!$D$19)*Def!$D$12)</f>
        <v>0.20576134819779984</v>
      </c>
      <c r="K19" s="61">
        <f>(J17)*(Pjmax!$E17)*EXP(-(Alpha!J$5+$A17*Def!$D$19)*Def!$D$12)+(J18)*(Pjmax!$D18+Pnorm!$E18)*EXP(-(Alpha!J$5+$A18*Def!$D$19)*Def!$D$12)+(J19)*(Pjmax!$C19+Pnorm!$D19+Pjmin!$E19)*EXP(-(Alpha!J$5+$A19*Def!$D$19)*Def!$D$12)+(J20)*(Pnorm!$C20+Pjmin!$D20)*EXP(-(Alpha!J$5+$A20*Def!$D$19)*Def!$D$12)+(J21)*(Pjmin!$C21)*EXP(-(Alpha!J$5+$A21*Def!$D$19)*Def!$D$12)</f>
        <v>0.19754985543559039</v>
      </c>
      <c r="L19" s="62">
        <f>(K17)*(Pjmax!$E17)*EXP(-(Alpha!K$5+$A17*Def!$D$19)*Def!$D$12)+(K18)*(Pjmax!$D18+Pnorm!$E18)*EXP(-(Alpha!K$5+$A18*Def!$D$19)*Def!$D$12)+(K19)*(Pjmax!$C19+Pnorm!$D19+Pjmin!$E19)*EXP(-(Alpha!K$5+$A19*Def!$D$19)*Def!$D$12)+(K20)*(Pnorm!$C20+Pjmin!$D20)*EXP(-(Alpha!K$5+$A20*Def!$D$19)*Def!$D$12)+(K21)*(Pjmin!$C21)*EXP(-(Alpha!K$5+$A21*Def!$D$19)*Def!$D$12)</f>
        <v>0.18991633527922142</v>
      </c>
      <c r="M19" s="62">
        <f>(L17)*(Pjmax!$E17)*EXP(-(Alpha!L$5+$A17*Def!$D$19)*Def!$D$12)+(L18)*(Pjmax!$D18+Pnorm!$E18)*EXP(-(Alpha!L$5+$A18*Def!$D$19)*Def!$D$12)+(L19)*(Pjmax!$C19+Pnorm!$D19+Pjmin!$E19)*EXP(-(Alpha!L$5+$A19*Def!$D$19)*Def!$D$12)+(L20)*(Pnorm!$C20+Pjmin!$D20)*EXP(-(Alpha!L$5+$A20*Def!$D$19)*Def!$D$12)+(L21)*(Pjmin!$C21)*EXP(-(Alpha!L$5+$A21*Def!$D$19)*Def!$D$12)</f>
        <v>0.18281275921486201</v>
      </c>
      <c r="N19" s="62">
        <f>(M17)*(Pjmax!$E17)*EXP(-(Alpha!M$5+$A17*Def!$D$19)*Def!$D$12)+(M18)*(Pjmax!$D18+Pnorm!$E18)*EXP(-(Alpha!M$5+$A18*Def!$D$19)*Def!$D$12)+(M19)*(Pjmax!$C19+Pnorm!$D19+Pjmin!$E19)*EXP(-(Alpha!M$5+$A19*Def!$D$19)*Def!$D$12)+(M20)*(Pnorm!$C20+Pjmin!$D20)*EXP(-(Alpha!M$5+$A20*Def!$D$19)*Def!$D$12)+(M21)*(Pjmin!$C21)*EXP(-(Alpha!M$5+$A21*Def!$D$19)*Def!$D$12)</f>
        <v>0.17621958546551475</v>
      </c>
      <c r="O19" s="61">
        <f>(N17)*(Pjmax!$E17)*EXP(-(Alpha!N$5+$A17*Def!$D$19)*Def!$D$12)+(N18)*(Pjmax!$D18+Pnorm!$E18)*EXP(-(Alpha!N$5+$A18*Def!$D$19)*Def!$D$12)+(N19)*(Pjmax!$C19+Pnorm!$D19+Pjmin!$E19)*EXP(-(Alpha!N$5+$A19*Def!$D$19)*Def!$D$12)+(N20)*(Pnorm!$C20+Pjmin!$D20)*EXP(-(Alpha!N$5+$A20*Def!$D$19)*Def!$D$12)+(N21)*(Pjmin!$C21)*EXP(-(Alpha!N$5+$A21*Def!$D$19)*Def!$D$12)</f>
        <v>0.17010909853067019</v>
      </c>
      <c r="P19" s="59"/>
    </row>
    <row r="20" spans="1:16">
      <c r="A20" s="46">
        <v>0</v>
      </c>
      <c r="B20" s="2"/>
      <c r="C20" s="63">
        <v>1</v>
      </c>
      <c r="D20" s="63">
        <f>(C18)*(Pjmax!$E18)*EXP(-(Alpha!C$5+$A18*Def!$D$19)*Def!$D$12)+(C19)*(Pjmax!$D19+Pnorm!$E19)*EXP(-(Alpha!C$5+$A19*Def!$D$19)*Def!$D$12)+(C20)*(Pjmax!$C20+Pnorm!$D20+Pjmin!$E20)*EXP(-(Alpha!C$5+$A20*Def!$D$19)*Def!$D$12)+(C21)*(Pnorm!$C21+Pjmin!$D21)*EXP(-(Alpha!C$5+$A21*Def!$D$19)*Def!$D$12)+(C22)*(Pjmin!$C22)*EXP(-(Alpha!C$5+$A22*Def!$D$19)*Def!$D$12)</f>
        <v>0.66256080866666656</v>
      </c>
      <c r="E20" s="63">
        <f>(D18)*(Pjmax!$E18)*EXP(-(Alpha!D$5+$A18*Def!$D$19)*Def!$D$12)+(D19)*(Pjmax!$D19+Pnorm!$E19)*EXP(-(Alpha!D$5+$A19*Def!$D$19)*Def!$D$12)+(D20)*(Pjmax!$C20+Pnorm!$D20+Pjmin!$E20)*EXP(-(Alpha!D$5+$A20*Def!$D$19)*Def!$D$12)+(D21)*(Pnorm!$C21+Pjmin!$D21)*EXP(-(Alpha!D$5+$A21*Def!$D$19)*Def!$D$12)+(D22)*(Pjmin!$C22)*EXP(-(Alpha!D$5+$A22*Def!$D$19)*Def!$D$12)</f>
        <v>0.49788202201001125</v>
      </c>
      <c r="F20" s="63">
        <f>(E18)*(Pjmax!$E18)*EXP(-(Alpha!E$5+$A18*Def!$D$19)*Def!$D$12)+(E19)*(Pjmax!$D19+Pnorm!$E19)*EXP(-(Alpha!E$5+$A19*Def!$D$19)*Def!$D$12)+(E20)*(Pjmax!$C20+Pnorm!$D20+Pjmin!$E20)*EXP(-(Alpha!E$5+$A20*Def!$D$19)*Def!$D$12)+(E21)*(Pnorm!$C21+Pjmin!$D21)*EXP(-(Alpha!E$5+$A21*Def!$D$19)*Def!$D$12)+(E22)*(Pjmin!$C22)*EXP(-(Alpha!E$5+$A22*Def!$D$19)*Def!$D$12)</f>
        <v>0.40765345805577091</v>
      </c>
      <c r="G20" s="63">
        <f>(F18)*(Pjmax!$E18)*EXP(-(Alpha!F$5+$A18*Def!$D$19)*Def!$D$12)+(F19)*(Pjmax!$D19+Pnorm!$E19)*EXP(-(Alpha!F$5+$A19*Def!$D$19)*Def!$D$12)+(F20)*(Pjmax!$C20+Pnorm!$D20+Pjmin!$E20)*EXP(-(Alpha!F$5+$A20*Def!$D$19)*Def!$D$12)+(F21)*(Pnorm!$C21+Pjmin!$D21)*EXP(-(Alpha!F$5+$A21*Def!$D$19)*Def!$D$12)+(F22)*(Pjmin!$C22)*EXP(-(Alpha!F$5+$A22*Def!$D$19)*Def!$D$12)</f>
        <v>0.35228358082087435</v>
      </c>
      <c r="H20" s="63">
        <f>(G18)*(Pjmax!$E18)*EXP(-(Alpha!G$5+$A18*Def!$D$19)*Def!$D$12)+(G19)*(Pjmax!$D19+Pnorm!$E19)*EXP(-(Alpha!G$5+$A19*Def!$D$19)*Def!$D$12)+(G20)*(Pjmax!$C20+Pnorm!$D20+Pjmin!$E20)*EXP(-(Alpha!G$5+$A20*Def!$D$19)*Def!$D$12)+(G21)*(Pnorm!$C21+Pjmin!$D21)*EXP(-(Alpha!G$5+$A21*Def!$D$19)*Def!$D$12)+(G22)*(Pjmin!$C22)*EXP(-(Alpha!G$5+$A22*Def!$D$19)*Def!$D$12)</f>
        <v>0.31482192435546996</v>
      </c>
      <c r="I20" s="63">
        <f>(H18)*(Pjmax!$E18)*EXP(-(Alpha!H$5+$A18*Def!$D$19)*Def!$D$12)+(H19)*(Pjmax!$D19+Pnorm!$E19)*EXP(-(Alpha!H$5+$A19*Def!$D$19)*Def!$D$12)+(H20)*(Pjmax!$C20+Pnorm!$D20+Pjmin!$E20)*EXP(-(Alpha!H$5+$A20*Def!$D$19)*Def!$D$12)+(H21)*(Pnorm!$C21+Pjmin!$D21)*EXP(-(Alpha!H$5+$A21*Def!$D$19)*Def!$D$12)+(H22)*(Pjmin!$C22)*EXP(-(Alpha!H$5+$A22*Def!$D$19)*Def!$D$12)</f>
        <v>0.28734988753391882</v>
      </c>
      <c r="J20" s="63">
        <f>(I18)*(Pjmax!$E18)*EXP(-(Alpha!I$5+$A18*Def!$D$19)*Def!$D$12)+(I19)*(Pjmax!$D19+Pnorm!$E19)*EXP(-(Alpha!I$5+$A19*Def!$D$19)*Def!$D$12)+(I20)*(Pjmax!$C20+Pnorm!$D20+Pjmin!$E20)*EXP(-(Alpha!I$5+$A20*Def!$D$19)*Def!$D$12)+(I21)*(Pnorm!$C21+Pjmin!$D21)*EXP(-(Alpha!I$5+$A21*Def!$D$19)*Def!$D$12)+(I22)*(Pjmin!$C22)*EXP(-(Alpha!I$5+$A22*Def!$D$19)*Def!$D$12)</f>
        <v>0.26629644891116672</v>
      </c>
      <c r="K20" s="63">
        <f>(J18)*(Pjmax!$E18)*EXP(-(Alpha!J$5+$A18*Def!$D$19)*Def!$D$12)+(J19)*(Pjmax!$D19+Pnorm!$E19)*EXP(-(Alpha!J$5+$A19*Def!$D$19)*Def!$D$12)+(J20)*(Pjmax!$C20+Pnorm!$D20+Pjmin!$E20)*EXP(-(Alpha!J$5+$A20*Def!$D$19)*Def!$D$12)+(J21)*(Pnorm!$C21+Pjmin!$D21)*EXP(-(Alpha!J$5+$A21*Def!$D$19)*Def!$D$12)+(J22)*(Pjmin!$C22)*EXP(-(Alpha!J$5+$A22*Def!$D$19)*Def!$D$12)</f>
        <v>0.24909450874909186</v>
      </c>
      <c r="L20" s="63">
        <f>(K18)*(Pjmax!$E18)*EXP(-(Alpha!K$5+$A18*Def!$D$19)*Def!$D$12)+(K19)*(Pjmax!$D19+Pnorm!$E19)*EXP(-(Alpha!K$5+$A19*Def!$D$19)*Def!$D$12)+(K20)*(Pjmax!$C20+Pnorm!$D20+Pjmin!$E20)*EXP(-(Alpha!K$5+$A20*Def!$D$19)*Def!$D$12)+(K21)*(Pnorm!$C21+Pjmin!$D21)*EXP(-(Alpha!K$5+$A21*Def!$D$19)*Def!$D$12)+(K22)*(Pjmin!$C22)*EXP(-(Alpha!K$5+$A22*Def!$D$19)*Def!$D$12)</f>
        <v>0.23480806243985114</v>
      </c>
      <c r="M20" s="63">
        <f>(L18)*(Pjmax!$E18)*EXP(-(Alpha!L$5+$A18*Def!$D$19)*Def!$D$12)+(L19)*(Pjmax!$D19+Pnorm!$E19)*EXP(-(Alpha!L$5+$A19*Def!$D$19)*Def!$D$12)+(L20)*(Pjmax!$C20+Pnorm!$D20+Pjmin!$E20)*EXP(-(Alpha!L$5+$A20*Def!$D$19)*Def!$D$12)+(L21)*(Pnorm!$C21+Pjmin!$D21)*EXP(-(Alpha!L$5+$A21*Def!$D$19)*Def!$D$12)+(L22)*(Pjmin!$C22)*EXP(-(Alpha!L$5+$A22*Def!$D$19)*Def!$D$12)</f>
        <v>0.22259516173523441</v>
      </c>
      <c r="N20" s="63">
        <f>(M18)*(Pjmax!$E18)*EXP(-(Alpha!M$5+$A18*Def!$D$19)*Def!$D$12)+(M19)*(Pjmax!$D19+Pnorm!$E19)*EXP(-(Alpha!M$5+$A19*Def!$D$19)*Def!$D$12)+(M20)*(Pjmax!$C20+Pnorm!$D20+Pjmin!$E20)*EXP(-(Alpha!M$5+$A20*Def!$D$19)*Def!$D$12)+(M21)*(Pnorm!$C21+Pjmin!$D21)*EXP(-(Alpha!M$5+$A21*Def!$D$19)*Def!$D$12)+(M22)*(Pjmin!$C22)*EXP(-(Alpha!M$5+$A22*Def!$D$19)*Def!$D$12)</f>
        <v>0.21197001229296611</v>
      </c>
      <c r="O20" s="63">
        <f>(N18)*(Pjmax!$E18)*EXP(-(Alpha!N$5+$A18*Def!$D$19)*Def!$D$12)+(N19)*(Pjmax!$D19+Pnorm!$E19)*EXP(-(Alpha!N$5+$A19*Def!$D$19)*Def!$D$12)+(N20)*(Pjmax!$C20+Pnorm!$D20+Pjmin!$E20)*EXP(-(Alpha!N$5+$A20*Def!$D$19)*Def!$D$12)+(N21)*(Pnorm!$C21+Pjmin!$D21)*EXP(-(Alpha!N$5+$A21*Def!$D$19)*Def!$D$12)+(N22)*(Pjmin!$C22)*EXP(-(Alpha!N$5+$A22*Def!$D$19)*Def!$D$12)</f>
        <v>0.2026092789408569</v>
      </c>
      <c r="P20" s="59"/>
    </row>
    <row r="21" spans="1:16">
      <c r="A21" s="46">
        <f t="shared" ref="A21:A32" si="1">A20-1</f>
        <v>-1</v>
      </c>
      <c r="B21" s="2"/>
      <c r="C21" s="60"/>
      <c r="D21" s="62">
        <f>(C19)*(Pjmax!$E19)*EXP(-(Alpha!C$5+$A19*Def!$D$19)*Def!$D$12)+(C20)*(Pjmax!$D20+Pnorm!$E20)*EXP(-(Alpha!C$5+$A20*Def!$D$19)*Def!$D$12)+(C21)*(Pjmax!$C21+Pnorm!$D21+Pjmin!$E21)*EXP(-(Alpha!C$5+$A21*Def!$D$19)*Def!$D$12)+(C22)*(Pnorm!$C22+Pjmin!$D22)*EXP(-(Alpha!C$5+$A22*Def!$D$19)*Def!$D$12)+(C23)*(Pjmin!$C23)*EXP(-(Alpha!C$5+$A23*Def!$D$19)*Def!$D$12)</f>
        <v>0.16564020216666664</v>
      </c>
      <c r="E21" s="62">
        <f>(D19)*(Pjmax!$E19)*EXP(-(Alpha!D$5+$A19*Def!$D$19)*Def!$D$12)+(D20)*(Pjmax!$D20+Pnorm!$E20)*EXP(-(Alpha!D$5+$A20*Def!$D$19)*Def!$D$12)+(D21)*(Pjmax!$C21+Pnorm!$D21+Pjmin!$E21)*EXP(-(Alpha!D$5+$A21*Def!$D$19)*Def!$D$12)+(D22)*(Pnorm!$C22+Pjmin!$D22)*EXP(-(Alpha!D$5+$A22*Def!$D$19)*Def!$D$12)+(D23)*(Pjmin!$C23)*EXP(-(Alpha!D$5+$A23*Def!$D$19)*Def!$D$12)</f>
        <v>0.21954144016597366</v>
      </c>
      <c r="F21" s="62">
        <f>(E19)*(Pjmax!$E19)*EXP(-(Alpha!E$5+$A19*Def!$D$19)*Def!$D$12)+(E20)*(Pjmax!$D20+Pnorm!$E20)*EXP(-(Alpha!E$5+$A20*Def!$D$19)*Def!$D$12)+(E21)*(Pjmax!$C21+Pnorm!$D21+Pjmin!$E21)*EXP(-(Alpha!E$5+$A21*Def!$D$19)*Def!$D$12)+(E22)*(Pnorm!$C22+Pjmin!$D22)*EXP(-(Alpha!E$5+$A22*Def!$D$19)*Def!$D$12)+(E23)*(Pjmin!$C23)*EXP(-(Alpha!E$5+$A23*Def!$D$19)*Def!$D$12)</f>
        <v>0.23275022111208857</v>
      </c>
      <c r="G21" s="61">
        <f>(F19)*(Pjmax!$E19)*EXP(-(Alpha!F$5+$A19*Def!$D$19)*Def!$D$12)+(F20)*(Pjmax!$D20+Pnorm!$E20)*EXP(-(Alpha!F$5+$A20*Def!$D$19)*Def!$D$12)+(F21)*(Pjmax!$C21+Pnorm!$D21+Pjmin!$E21)*EXP(-(Alpha!F$5+$A21*Def!$D$19)*Def!$D$12)+(F22)*(Pnorm!$C22+Pjmin!$D22)*EXP(-(Alpha!F$5+$A22*Def!$D$19)*Def!$D$12)+(F23)*(Pjmin!$C23)*EXP(-(Alpha!F$5+$A23*Def!$D$19)*Def!$D$12)</f>
        <v>0.23123270382429501</v>
      </c>
      <c r="H21" s="62">
        <f>(G19)*(Pjmax!$E19)*EXP(-(Alpha!G$5+$A19*Def!$D$19)*Def!$D$12)+(G20)*(Pjmax!$D20+Pnorm!$E20)*EXP(-(Alpha!G$5+$A20*Def!$D$19)*Def!$D$12)+(G21)*(Pjmax!$C21+Pnorm!$D21+Pjmin!$E21)*EXP(-(Alpha!G$5+$A21*Def!$D$19)*Def!$D$12)+(G22)*(Pnorm!$C22+Pjmin!$D22)*EXP(-(Alpha!G$5+$A22*Def!$D$19)*Def!$D$12)+(G23)*(Pjmin!$C23)*EXP(-(Alpha!G$5+$A23*Def!$D$19)*Def!$D$12)</f>
        <v>0.22464173381741862</v>
      </c>
      <c r="I21" s="62">
        <f>(H19)*(Pjmax!$E19)*EXP(-(Alpha!H$5+$A19*Def!$D$19)*Def!$D$12)+(H20)*(Pjmax!$D20+Pnorm!$E20)*EXP(-(Alpha!H$5+$A20*Def!$D$19)*Def!$D$12)+(H21)*(Pjmax!$C21+Pnorm!$D21+Pjmin!$E21)*EXP(-(Alpha!H$5+$A21*Def!$D$19)*Def!$D$12)+(H22)*(Pnorm!$C22+Pjmin!$D22)*EXP(-(Alpha!H$5+$A22*Def!$D$19)*Def!$D$12)+(H23)*(Pjmin!$C23)*EXP(-(Alpha!H$5+$A23*Def!$D$19)*Def!$D$12)</f>
        <v>0.21651439591378874</v>
      </c>
      <c r="J21" s="62">
        <f>(I19)*(Pjmax!$E19)*EXP(-(Alpha!I$5+$A19*Def!$D$19)*Def!$D$12)+(I20)*(Pjmax!$D20+Pnorm!$E20)*EXP(-(Alpha!I$5+$A20*Def!$D$19)*Def!$D$12)+(I21)*(Pjmax!$C21+Pnorm!$D21+Pjmin!$E21)*EXP(-(Alpha!I$5+$A21*Def!$D$19)*Def!$D$12)+(I22)*(Pnorm!$C22+Pjmin!$D22)*EXP(-(Alpha!I$5+$A22*Def!$D$19)*Def!$D$12)+(I23)*(Pjmin!$C23)*EXP(-(Alpha!I$5+$A23*Def!$D$19)*Def!$D$12)</f>
        <v>0.20844361570566231</v>
      </c>
      <c r="K21" s="61">
        <f>(J19)*(Pjmax!$E19)*EXP(-(Alpha!J$5+$A19*Def!$D$19)*Def!$D$12)+(J20)*(Pjmax!$D20+Pnorm!$E20)*EXP(-(Alpha!J$5+$A20*Def!$D$19)*Def!$D$12)+(J21)*(Pjmax!$C21+Pnorm!$D21+Pjmin!$E21)*EXP(-(Alpha!J$5+$A21*Def!$D$19)*Def!$D$12)+(J22)*(Pnorm!$C22+Pjmin!$D22)*EXP(-(Alpha!J$5+$A22*Def!$D$19)*Def!$D$12)+(J23)*(Pjmin!$C23)*EXP(-(Alpha!J$5+$A23*Def!$D$19)*Def!$D$12)</f>
        <v>0.20055497834116856</v>
      </c>
      <c r="L21" s="62">
        <f>(K19)*(Pjmax!$E19)*EXP(-(Alpha!K$5+$A19*Def!$D$19)*Def!$D$12)+(K20)*(Pjmax!$D20+Pnorm!$E20)*EXP(-(Alpha!K$5+$A20*Def!$D$19)*Def!$D$12)+(K21)*(Pjmax!$C21+Pnorm!$D21+Pjmin!$E21)*EXP(-(Alpha!K$5+$A21*Def!$D$19)*Def!$D$12)+(K22)*(Pnorm!$C22+Pjmin!$D22)*EXP(-(Alpha!K$5+$A22*Def!$D$19)*Def!$D$12)+(K23)*(Pjmin!$C23)*EXP(-(Alpha!K$5+$A23*Def!$D$19)*Def!$D$12)</f>
        <v>0.19321845118198192</v>
      </c>
      <c r="M21" s="62">
        <f>(L19)*(Pjmax!$E19)*EXP(-(Alpha!L$5+$A19*Def!$D$19)*Def!$D$12)+(L20)*(Pjmax!$D20+Pnorm!$E20)*EXP(-(Alpha!L$5+$A20*Def!$D$19)*Def!$D$12)+(L21)*(Pjmax!$C21+Pnorm!$D21+Pjmin!$E21)*EXP(-(Alpha!L$5+$A21*Def!$D$19)*Def!$D$12)+(L22)*(Pnorm!$C22+Pjmin!$D22)*EXP(-(Alpha!L$5+$A22*Def!$D$19)*Def!$D$12)+(L23)*(Pjmin!$C23)*EXP(-(Alpha!L$5+$A23*Def!$D$19)*Def!$D$12)</f>
        <v>0.18638873124518265</v>
      </c>
      <c r="N21" s="62">
        <f>(M19)*(Pjmax!$E19)*EXP(-(Alpha!M$5+$A19*Def!$D$19)*Def!$D$12)+(M20)*(Pjmax!$D20+Pnorm!$E20)*EXP(-(Alpha!M$5+$A20*Def!$D$19)*Def!$D$12)+(M21)*(Pjmax!$C21+Pnorm!$D21+Pjmin!$E21)*EXP(-(Alpha!M$5+$A21*Def!$D$19)*Def!$D$12)+(M22)*(Pnorm!$C22+Pjmin!$D22)*EXP(-(Alpha!M$5+$A22*Def!$D$19)*Def!$D$12)+(M23)*(Pjmin!$C23)*EXP(-(Alpha!M$5+$A23*Def!$D$19)*Def!$D$12)</f>
        <v>0.18004921949185651</v>
      </c>
      <c r="O21" s="61">
        <f>(N19)*(Pjmax!$E19)*EXP(-(Alpha!N$5+$A19*Def!$D$19)*Def!$D$12)+(N20)*(Pjmax!$D20+Pnorm!$E20)*EXP(-(Alpha!N$5+$A20*Def!$D$19)*Def!$D$12)+(N21)*(Pjmax!$C21+Pnorm!$D21+Pjmin!$E21)*EXP(-(Alpha!N$5+$A21*Def!$D$19)*Def!$D$12)+(N22)*(Pnorm!$C22+Pjmin!$D22)*EXP(-(Alpha!N$5+$A22*Def!$D$19)*Def!$D$12)+(N23)*(Pjmin!$C23)*EXP(-(Alpha!N$5+$A23*Def!$D$19)*Def!$D$12)</f>
        <v>0.17417479039909331</v>
      </c>
      <c r="P21" s="59"/>
    </row>
    <row r="22" spans="1:16">
      <c r="A22" s="46">
        <f t="shared" si="1"/>
        <v>-2</v>
      </c>
      <c r="B22" s="2"/>
      <c r="C22" s="60"/>
      <c r="D22" s="60"/>
      <c r="E22" s="62">
        <f>(D20)*(Pjmax!$E20)*EXP(-(Alpha!D$5+$A20*Def!$D$19)*Def!$D$12)+(D21)*(Pjmax!$D21+Pnorm!$E21)*EXP(-(Alpha!D$5+$A21*Def!$D$19)*Def!$D$12)+(D22)*(Pjmax!$C22+Pnorm!$D22+Pjmin!$E22)*EXP(-(Alpha!D$5+$A22*Def!$D$19)*Def!$D$12)+(D23)*(Pnorm!$C23+Pjmin!$D23)*EXP(-(Alpha!D$5+$A23*Def!$D$19)*Def!$D$12)+(D24)*(Pjmin!$C24)*EXP(-(Alpha!D$5+$A24*Def!$D$19)*Def!$D$12)</f>
        <v>2.5475423771842282E-2</v>
      </c>
      <c r="F22" s="62">
        <f>(E20)*(Pjmax!$E20)*EXP(-(Alpha!E$5+$A20*Def!$D$19)*Def!$D$12)+(E21)*(Pjmax!$D21+Pnorm!$E21)*EXP(-(Alpha!E$5+$A21*Def!$D$19)*Def!$D$12)+(E22)*(Pjmax!$C22+Pnorm!$D22+Pjmin!$E22)*EXP(-(Alpha!E$5+$A22*Def!$D$19)*Def!$D$12)+(E23)*(Pnorm!$C23+Pjmin!$D23)*EXP(-(Alpha!E$5+$A23*Def!$D$19)*Def!$D$12)+(E24)*(Pjmin!$C24)*EXP(-(Alpha!E$5+$A24*Def!$D$19)*Def!$D$12)</f>
        <v>5.0610313191059783E-2</v>
      </c>
      <c r="G22" s="61">
        <f>(F20)*(Pjmax!$E20)*EXP(-(Alpha!F$5+$A20*Def!$D$19)*Def!$D$12)+(F21)*(Pjmax!$D21+Pnorm!$E21)*EXP(-(Alpha!F$5+$A21*Def!$D$19)*Def!$D$12)+(F22)*(Pjmax!$C22+Pnorm!$D22+Pjmin!$E22)*EXP(-(Alpha!F$5+$A22*Def!$D$19)*Def!$D$12)+(F23)*(Pnorm!$C23+Pjmin!$D23)*EXP(-(Alpha!F$5+$A23*Def!$D$19)*Def!$D$12)+(F24)*(Pjmin!$C24)*EXP(-(Alpha!F$5+$A24*Def!$D$19)*Def!$D$12)</f>
        <v>6.9981974528514734E-2</v>
      </c>
      <c r="H22" s="62">
        <f>(G20)*(Pjmax!$E20)*EXP(-(Alpha!G$5+$A20*Def!$D$19)*Def!$D$12)+(G21)*(Pjmax!$D21+Pnorm!$E21)*EXP(-(Alpha!G$5+$A21*Def!$D$19)*Def!$D$12)+(G22)*(Pjmax!$C22+Pnorm!$D22+Pjmin!$E22)*EXP(-(Alpha!G$5+$A22*Def!$D$19)*Def!$D$12)+(G23)*(Pnorm!$C23+Pjmin!$D23)*EXP(-(Alpha!G$5+$A23*Def!$D$19)*Def!$D$12)+(G24)*(Pjmin!$C24)*EXP(-(Alpha!G$5+$A24*Def!$D$19)*Def!$D$12)</f>
        <v>8.3743215288978379E-2</v>
      </c>
      <c r="I22" s="62">
        <f>(H20)*(Pjmax!$E20)*EXP(-(Alpha!H$5+$A20*Def!$D$19)*Def!$D$12)+(H21)*(Pjmax!$D21+Pnorm!$E21)*EXP(-(Alpha!H$5+$A21*Def!$D$19)*Def!$D$12)+(H22)*(Pjmax!$C22+Pnorm!$D22+Pjmin!$E22)*EXP(-(Alpha!H$5+$A22*Def!$D$19)*Def!$D$12)+(H23)*(Pnorm!$C23+Pjmin!$D23)*EXP(-(Alpha!H$5+$A23*Def!$D$19)*Def!$D$12)+(H24)*(Pjmin!$C24)*EXP(-(Alpha!H$5+$A24*Def!$D$19)*Def!$D$12)</f>
        <v>9.3139527595895208E-2</v>
      </c>
      <c r="J22" s="62">
        <f>(I20)*(Pjmax!$E20)*EXP(-(Alpha!I$5+$A20*Def!$D$19)*Def!$D$12)+(I21)*(Pjmax!$D21+Pnorm!$E21)*EXP(-(Alpha!I$5+$A21*Def!$D$19)*Def!$D$12)+(I22)*(Pjmax!$C22+Pnorm!$D22+Pjmin!$E22)*EXP(-(Alpha!I$5+$A22*Def!$D$19)*Def!$D$12)+(I23)*(Pnorm!$C23+Pjmin!$D23)*EXP(-(Alpha!I$5+$A23*Def!$D$19)*Def!$D$12)+(I24)*(Pjmin!$C24)*EXP(-(Alpha!I$5+$A24*Def!$D$19)*Def!$D$12)</f>
        <v>9.9489843374384698E-2</v>
      </c>
      <c r="K22" s="61">
        <f>(J20)*(Pjmax!$E20)*EXP(-(Alpha!J$5+$A20*Def!$D$19)*Def!$D$12)+(J21)*(Pjmax!$D21+Pnorm!$E21)*EXP(-(Alpha!J$5+$A21*Def!$D$19)*Def!$D$12)+(J22)*(Pjmax!$C22+Pnorm!$D22+Pjmin!$E22)*EXP(-(Alpha!J$5+$A22*Def!$D$19)*Def!$D$12)+(J23)*(Pnorm!$C23+Pjmin!$D23)*EXP(-(Alpha!J$5+$A23*Def!$D$19)*Def!$D$12)+(J24)*(Pjmin!$C24)*EXP(-(Alpha!J$5+$A24*Def!$D$19)*Def!$D$12)</f>
        <v>0.10355099144064825</v>
      </c>
      <c r="L22" s="62">
        <f>(K20)*(Pjmax!$E20)*EXP(-(Alpha!K$5+$A20*Def!$D$19)*Def!$D$12)+(K21)*(Pjmax!$D21+Pnorm!$E21)*EXP(-(Alpha!K$5+$A21*Def!$D$19)*Def!$D$12)+(K22)*(Pjmax!$C22+Pnorm!$D22+Pjmin!$E22)*EXP(-(Alpha!K$5+$A22*Def!$D$19)*Def!$D$12)+(K23)*(Pnorm!$C23+Pjmin!$D23)*EXP(-(Alpha!K$5+$A23*Def!$D$19)*Def!$D$12)+(K24)*(Pjmin!$C24)*EXP(-(Alpha!K$5+$A24*Def!$D$19)*Def!$D$12)</f>
        <v>0.10607553545892748</v>
      </c>
      <c r="M22" s="62">
        <f>(L20)*(Pjmax!$E20)*EXP(-(Alpha!L$5+$A20*Def!$D$19)*Def!$D$12)+(L21)*(Pjmax!$D21+Pnorm!$E21)*EXP(-(Alpha!L$5+$A21*Def!$D$19)*Def!$D$12)+(L22)*(Pjmax!$C22+Pnorm!$D22+Pjmin!$E22)*EXP(-(Alpha!L$5+$A22*Def!$D$19)*Def!$D$12)+(L23)*(Pnorm!$C23+Pjmin!$D23)*EXP(-(Alpha!L$5+$A23*Def!$D$19)*Def!$D$12)+(L24)*(Pjmin!$C24)*EXP(-(Alpha!L$5+$A24*Def!$D$19)*Def!$D$12)</f>
        <v>0.10748249829913059</v>
      </c>
      <c r="N22" s="62">
        <f>(M20)*(Pjmax!$E20)*EXP(-(Alpha!M$5+$A20*Def!$D$19)*Def!$D$12)+(M21)*(Pjmax!$D21+Pnorm!$E21)*EXP(-(Alpha!M$5+$A21*Def!$D$19)*Def!$D$12)+(M22)*(Pjmax!$C22+Pnorm!$D22+Pjmin!$E22)*EXP(-(Alpha!M$5+$A22*Def!$D$19)*Def!$D$12)+(M23)*(Pnorm!$C23+Pjmin!$D23)*EXP(-(Alpha!M$5+$A23*Def!$D$19)*Def!$D$12)+(M24)*(Pjmin!$C24)*EXP(-(Alpha!M$5+$A24*Def!$D$19)*Def!$D$12)</f>
        <v>0.10809121373544067</v>
      </c>
      <c r="O22" s="61">
        <f>(N20)*(Pjmax!$E20)*EXP(-(Alpha!N$5+$A20*Def!$D$19)*Def!$D$12)+(N21)*(Pjmax!$D21+Pnorm!$E21)*EXP(-(Alpha!N$5+$A21*Def!$D$19)*Def!$D$12)+(N22)*(Pjmax!$C22+Pnorm!$D22+Pjmin!$E22)*EXP(-(Alpha!N$5+$A22*Def!$D$19)*Def!$D$12)+(N23)*(Pnorm!$C23+Pjmin!$D23)*EXP(-(Alpha!N$5+$A23*Def!$D$19)*Def!$D$12)+(N24)*(Pjmin!$C24)*EXP(-(Alpha!N$5+$A24*Def!$D$19)*Def!$D$12)</f>
        <v>0.10813247554425909</v>
      </c>
      <c r="P22" s="59"/>
    </row>
    <row r="23" spans="1:16">
      <c r="A23" s="46">
        <f t="shared" si="1"/>
        <v>-3</v>
      </c>
      <c r="B23" s="2"/>
      <c r="C23" s="60"/>
      <c r="D23" s="60"/>
      <c r="E23" s="60"/>
      <c r="F23" s="62">
        <f>(E21)*(Pjmax!$E21)*EXP(-(Alpha!E$5+$A21*Def!$D$19)*Def!$D$12)+(E22)*(Pjmax!$D22+Pnorm!$E22)*EXP(-(Alpha!E$5+$A22*Def!$D$19)*Def!$D$12)+(E23)*(Pjmax!$C23+Pnorm!$D23+Pjmin!$E23)*EXP(-(Alpha!E$5+$A23*Def!$D$19)*Def!$D$12)+(E24)*(Pnorm!$C24+Pjmin!$D24)*EXP(-(Alpha!E$5+$A24*Def!$D$19)*Def!$D$12)+(E25)*(Pjmin!$C25)*EXP(-(Alpha!E$5+$A25*Def!$D$19)*Def!$D$12)</f>
        <v>3.6300432319790574E-3</v>
      </c>
      <c r="G23" s="61">
        <f>(F21)*(Pjmax!$E21)*EXP(-(Alpha!F$5+$A21*Def!$D$19)*Def!$D$12)+(F22)*(Pjmax!$D22+Pnorm!$E22)*EXP(-(Alpha!F$5+$A22*Def!$D$19)*Def!$D$12)+(F23)*(Pjmax!$C23+Pnorm!$D23+Pjmin!$E23)*EXP(-(Alpha!F$5+$A23*Def!$D$19)*Def!$D$12)+(F24)*(Pnorm!$C24+Pjmin!$D24)*EXP(-(Alpha!F$5+$A24*Def!$D$19)*Def!$D$12)+(F25)*(Pjmin!$C25)*EXP(-(Alpha!F$5+$A25*Def!$D$19)*Def!$D$12)</f>
        <v>9.60192292780126E-3</v>
      </c>
      <c r="H23" s="62">
        <f>(G21)*(Pjmax!$E21)*EXP(-(Alpha!G$5+$A21*Def!$D$19)*Def!$D$12)+(G22)*(Pjmax!$D22+Pnorm!$E22)*EXP(-(Alpha!G$5+$A22*Def!$D$19)*Def!$D$12)+(G23)*(Pjmax!$C23+Pnorm!$D23+Pjmin!$E23)*EXP(-(Alpha!G$5+$A23*Def!$D$19)*Def!$D$12)+(G24)*(Pnorm!$C24+Pjmin!$D24)*EXP(-(Alpha!G$5+$A24*Def!$D$19)*Def!$D$12)+(G25)*(Pjmin!$C25)*EXP(-(Alpha!G$5+$A25*Def!$D$19)*Def!$D$12)</f>
        <v>1.6396360218027331E-2</v>
      </c>
      <c r="I23" s="62">
        <f>(H21)*(Pjmax!$E21)*EXP(-(Alpha!H$5+$A21*Def!$D$19)*Def!$D$12)+(H22)*(Pjmax!$D22+Pnorm!$E22)*EXP(-(Alpha!H$5+$A22*Def!$D$19)*Def!$D$12)+(H23)*(Pjmax!$C23+Pnorm!$D23+Pjmin!$E23)*EXP(-(Alpha!H$5+$A23*Def!$D$19)*Def!$D$12)+(H24)*(Pnorm!$C24+Pjmin!$D24)*EXP(-(Alpha!H$5+$A24*Def!$D$19)*Def!$D$12)+(H25)*(Pjmin!$C25)*EXP(-(Alpha!H$5+$A25*Def!$D$19)*Def!$D$12)</f>
        <v>2.3056031402558935E-2</v>
      </c>
      <c r="J23" s="62">
        <f>(I21)*(Pjmax!$E21)*EXP(-(Alpha!I$5+$A21*Def!$D$19)*Def!$D$12)+(I22)*(Pjmax!$D22+Pnorm!$E22)*EXP(-(Alpha!I$5+$A22*Def!$D$19)*Def!$D$12)+(I23)*(Pjmax!$C23+Pnorm!$D23+Pjmin!$E23)*EXP(-(Alpha!I$5+$A23*Def!$D$19)*Def!$D$12)+(I24)*(Pnorm!$C24+Pjmin!$D24)*EXP(-(Alpha!I$5+$A24*Def!$D$19)*Def!$D$12)+(I25)*(Pjmin!$C25)*EXP(-(Alpha!I$5+$A25*Def!$D$19)*Def!$D$12)</f>
        <v>2.9144484950696305E-2</v>
      </c>
      <c r="K23" s="61">
        <f>(J21)*(Pjmax!$E21)*EXP(-(Alpha!J$5+$A21*Def!$D$19)*Def!$D$12)+(J22)*(Pjmax!$D22+Pnorm!$E22)*EXP(-(Alpha!J$5+$A22*Def!$D$19)*Def!$D$12)+(J23)*(Pjmax!$C23+Pnorm!$D23+Pjmin!$E23)*EXP(-(Alpha!J$5+$A23*Def!$D$19)*Def!$D$12)+(J24)*(Pnorm!$C24+Pjmin!$D24)*EXP(-(Alpha!J$5+$A24*Def!$D$19)*Def!$D$12)+(J25)*(Pjmin!$C25)*EXP(-(Alpha!J$5+$A25*Def!$D$19)*Def!$D$12)</f>
        <v>3.4448161350154813E-2</v>
      </c>
      <c r="L23" s="62">
        <f>(K21)*(Pjmax!$E21)*EXP(-(Alpha!K$5+$A21*Def!$D$19)*Def!$D$12)+(K22)*(Pjmax!$D22+Pnorm!$E22)*EXP(-(Alpha!K$5+$A22*Def!$D$19)*Def!$D$12)+(K23)*(Pjmax!$C23+Pnorm!$D23+Pjmin!$E23)*EXP(-(Alpha!K$5+$A23*Def!$D$19)*Def!$D$12)+(K24)*(Pnorm!$C24+Pjmin!$D24)*EXP(-(Alpha!K$5+$A24*Def!$D$19)*Def!$D$12)+(K25)*(Pjmin!$C25)*EXP(-(Alpha!K$5+$A25*Def!$D$19)*Def!$D$12)</f>
        <v>3.8979067298092807E-2</v>
      </c>
      <c r="M23" s="62">
        <f>(L21)*(Pjmax!$E21)*EXP(-(Alpha!L$5+$A21*Def!$D$19)*Def!$D$12)+(L22)*(Pjmax!$D22+Pnorm!$E22)*EXP(-(Alpha!L$5+$A22*Def!$D$19)*Def!$D$12)+(L23)*(Pjmax!$C23+Pnorm!$D23+Pjmin!$E23)*EXP(-(Alpha!L$5+$A23*Def!$D$19)*Def!$D$12)+(L24)*(Pnorm!$C24+Pjmin!$D24)*EXP(-(Alpha!L$5+$A24*Def!$D$19)*Def!$D$12)+(L25)*(Pjmin!$C25)*EXP(-(Alpha!L$5+$A25*Def!$D$19)*Def!$D$12)</f>
        <v>4.2780871658029226E-2</v>
      </c>
      <c r="N23" s="62">
        <f>(M21)*(Pjmax!$E21)*EXP(-(Alpha!M$5+$A21*Def!$D$19)*Def!$D$12)+(M22)*(Pjmax!$D22+Pnorm!$E22)*EXP(-(Alpha!M$5+$A22*Def!$D$19)*Def!$D$12)+(M23)*(Pjmax!$C23+Pnorm!$D23+Pjmin!$E23)*EXP(-(Alpha!M$5+$A23*Def!$D$19)*Def!$D$12)+(M24)*(Pnorm!$C24+Pjmin!$D24)*EXP(-(Alpha!M$5+$A24*Def!$D$19)*Def!$D$12)+(M25)*(Pjmin!$C25)*EXP(-(Alpha!M$5+$A25*Def!$D$19)*Def!$D$12)</f>
        <v>4.5935943983841827E-2</v>
      </c>
      <c r="O23" s="61">
        <f>(N21)*(Pjmax!$E21)*EXP(-(Alpha!N$5+$A21*Def!$D$19)*Def!$D$12)+(N22)*(Pjmax!$D22+Pnorm!$E22)*EXP(-(Alpha!N$5+$A22*Def!$D$19)*Def!$D$12)+(N23)*(Pjmax!$C23+Pnorm!$D23+Pjmin!$E23)*EXP(-(Alpha!N$5+$A23*Def!$D$19)*Def!$D$12)+(N24)*(Pnorm!$C24+Pjmin!$D24)*EXP(-(Alpha!N$5+$A24*Def!$D$19)*Def!$D$12)+(N25)*(Pjmin!$C25)*EXP(-(Alpha!N$5+$A25*Def!$D$19)*Def!$D$12)</f>
        <v>4.8534514897813345E-2</v>
      </c>
    </row>
    <row r="24" spans="1:16">
      <c r="A24" s="46">
        <f t="shared" si="1"/>
        <v>-4</v>
      </c>
      <c r="B24" s="2"/>
      <c r="C24" s="60"/>
      <c r="D24" s="60"/>
      <c r="E24" s="60"/>
      <c r="F24" s="60"/>
      <c r="G24" s="61">
        <f>(F22)*(Pjmax!$E22)*EXP(-(Alpha!F$5+$A22*Def!$D$19)*Def!$D$12)+(F23)*(Pjmax!$D23+Pnorm!$E23)*EXP(-(Alpha!F$5+$A23*Def!$D$19)*Def!$D$12)+(F24)*(Pjmax!$C24+Pnorm!$D24+Pjmin!$E24)*EXP(-(Alpha!F$5+$A24*Def!$D$19)*Def!$D$12)+(F25)*(Pnorm!$C25+Pjmin!$D25)*EXP(-(Alpha!F$5+$A25*Def!$D$19)*Def!$D$12)+(F26)*(Pjmin!$C26)*EXP(-(Alpha!F$5+$A26*Def!$D$19)*Def!$D$12)</f>
        <v>4.7833779248351312E-4</v>
      </c>
      <c r="H24" s="62">
        <f>(G22)*(Pjmax!$E22)*EXP(-(Alpha!G$5+$A22*Def!$D$19)*Def!$D$12)+(G23)*(Pjmax!$D23+Pnorm!$E23)*EXP(-(Alpha!G$5+$A23*Def!$D$19)*Def!$D$12)+(G24)*(Pjmax!$C24+Pnorm!$D24+Pjmin!$E24)*EXP(-(Alpha!G$5+$A24*Def!$D$19)*Def!$D$12)+(G25)*(Pnorm!$C25+Pjmin!$D25)*EXP(-(Alpha!G$5+$A25*Def!$D$19)*Def!$D$12)+(G26)*(Pjmin!$C26)*EXP(-(Alpha!G$5+$A26*Def!$D$19)*Def!$D$12)</f>
        <v>1.5784683807530009E-3</v>
      </c>
      <c r="I24" s="62">
        <f>(H22)*(Pjmax!$E22)*EXP(-(Alpha!H$5+$A22*Def!$D$19)*Def!$D$12)+(H23)*(Pjmax!$D23+Pnorm!$E23)*EXP(-(Alpha!H$5+$A23*Def!$D$19)*Def!$D$12)+(H24)*(Pjmax!$C24+Pnorm!$D24+Pjmin!$E24)*EXP(-(Alpha!H$5+$A24*Def!$D$19)*Def!$D$12)+(H25)*(Pnorm!$C25+Pjmin!$D25)*EXP(-(Alpha!H$5+$A25*Def!$D$19)*Def!$D$12)+(H26)*(Pjmin!$C26)*EXP(-(Alpha!H$5+$A26*Def!$D$19)*Def!$D$12)</f>
        <v>3.206073642798539E-3</v>
      </c>
      <c r="J24" s="62">
        <f>(I22)*(Pjmax!$E22)*EXP(-(Alpha!I$5+$A22*Def!$D$19)*Def!$D$12)+(I23)*(Pjmax!$D23+Pnorm!$E23)*EXP(-(Alpha!I$5+$A23*Def!$D$19)*Def!$D$12)+(I24)*(Pjmax!$C24+Pnorm!$D24+Pjmin!$E24)*EXP(-(Alpha!I$5+$A24*Def!$D$19)*Def!$D$12)+(I25)*(Pnorm!$C25+Pjmin!$D25)*EXP(-(Alpha!I$5+$A25*Def!$D$19)*Def!$D$12)+(I26)*(Pjmin!$C26)*EXP(-(Alpha!I$5+$A26*Def!$D$19)*Def!$D$12)</f>
        <v>5.1912518192076592E-3</v>
      </c>
      <c r="K24" s="61">
        <f>(J22)*(Pjmax!$E22)*EXP(-(Alpha!J$5+$A22*Def!$D$19)*Def!$D$12)+(J23)*(Pjmax!$D23+Pnorm!$E23)*EXP(-(Alpha!J$5+$A23*Def!$D$19)*Def!$D$12)+(J24)*(Pjmax!$C24+Pnorm!$D24+Pjmin!$E24)*EXP(-(Alpha!J$5+$A24*Def!$D$19)*Def!$D$12)+(J25)*(Pnorm!$C25+Pjmin!$D25)*EXP(-(Alpha!J$5+$A25*Def!$D$19)*Def!$D$12)+(J26)*(Pjmin!$C26)*EXP(-(Alpha!J$5+$A26*Def!$D$19)*Def!$D$12)</f>
        <v>7.3576512832064789E-3</v>
      </c>
      <c r="L24" s="62">
        <f>(K22)*(Pjmax!$E22)*EXP(-(Alpha!K$5+$A22*Def!$D$19)*Def!$D$12)+(K23)*(Pjmax!$D23+Pnorm!$E23)*EXP(-(Alpha!K$5+$A23*Def!$D$19)*Def!$D$12)+(K24)*(Pjmax!$C24+Pnorm!$D24+Pjmin!$E24)*EXP(-(Alpha!K$5+$A24*Def!$D$19)*Def!$D$12)+(K25)*(Pnorm!$C25+Pjmin!$D25)*EXP(-(Alpha!K$5+$A25*Def!$D$19)*Def!$D$12)+(K26)*(Pjmin!$C26)*EXP(-(Alpha!K$5+$A26*Def!$D$19)*Def!$D$12)</f>
        <v>9.5763091254117329E-3</v>
      </c>
      <c r="M24" s="62">
        <f>(L22)*(Pjmax!$E22)*EXP(-(Alpha!L$5+$A22*Def!$D$19)*Def!$D$12)+(L23)*(Pjmax!$D23+Pnorm!$E23)*EXP(-(Alpha!L$5+$A23*Def!$D$19)*Def!$D$12)+(L24)*(Pjmax!$C24+Pnorm!$D24+Pjmin!$E24)*EXP(-(Alpha!L$5+$A24*Def!$D$19)*Def!$D$12)+(L25)*(Pnorm!$C25+Pjmin!$D25)*EXP(-(Alpha!L$5+$A25*Def!$D$19)*Def!$D$12)+(L26)*(Pjmin!$C26)*EXP(-(Alpha!L$5+$A26*Def!$D$19)*Def!$D$12)</f>
        <v>1.1751028725429047E-2</v>
      </c>
      <c r="N24" s="62">
        <f>(M22)*(Pjmax!$E22)*EXP(-(Alpha!M$5+$A22*Def!$D$19)*Def!$D$12)+(M23)*(Pjmax!$D23+Pnorm!$E23)*EXP(-(Alpha!M$5+$A23*Def!$D$19)*Def!$D$12)+(M24)*(Pjmax!$C24+Pnorm!$D24+Pjmin!$E24)*EXP(-(Alpha!M$5+$A24*Def!$D$19)*Def!$D$12)+(M25)*(Pnorm!$C25+Pjmin!$D25)*EXP(-(Alpha!M$5+$A25*Def!$D$19)*Def!$D$12)+(M26)*(Pjmin!$C26)*EXP(-(Alpha!M$5+$A26*Def!$D$19)*Def!$D$12)</f>
        <v>1.3821638084180764E-2</v>
      </c>
      <c r="O24" s="61">
        <f>(N22)*(Pjmax!$E22)*EXP(-(Alpha!N$5+$A22*Def!$D$19)*Def!$D$12)+(N23)*(Pjmax!$D23+Pnorm!$E23)*EXP(-(Alpha!N$5+$A23*Def!$D$19)*Def!$D$12)+(N24)*(Pjmax!$C24+Pnorm!$D24+Pjmin!$E24)*EXP(-(Alpha!N$5+$A24*Def!$D$19)*Def!$D$12)+(N25)*(Pnorm!$C25+Pjmin!$D25)*EXP(-(Alpha!N$5+$A25*Def!$D$19)*Def!$D$12)+(N26)*(Pjmin!$C26)*EXP(-(Alpha!N$5+$A26*Def!$D$19)*Def!$D$12)</f>
        <v>1.575437712431027E-2</v>
      </c>
    </row>
    <row r="25" spans="1:16">
      <c r="A25" s="46">
        <f t="shared" si="1"/>
        <v>-5</v>
      </c>
      <c r="B25" s="2"/>
      <c r="C25" s="60"/>
      <c r="D25" s="60"/>
      <c r="E25" s="60"/>
      <c r="F25" s="60"/>
      <c r="G25" s="60"/>
      <c r="H25" s="62">
        <f>(G23)*(Pjmax!$E23)*EXP(-(Alpha!G$5+$A23*Def!$D$19)*Def!$D$12)+(G24)*(Pjmax!$D24+Pnorm!$E24)*EXP(-(Alpha!G$5+$A24*Def!$D$19)*Def!$D$12)+(G25)*(Pjmax!$C25+Pnorm!$D25+Pjmin!$E25)*EXP(-(Alpha!G$5+$A25*Def!$D$19)*Def!$D$12)+(G26)*(Pnorm!$C26+Pjmin!$D26)*EXP(-(Alpha!G$5+$A26*Def!$D$19)*Def!$D$12)+(G27)*(Pjmin!$C27)*EXP(-(Alpha!G$5+$A27*Def!$D$19)*Def!$D$12)</f>
        <v>5.8192117867623947E-5</v>
      </c>
      <c r="I25" s="62">
        <f>(H23)*(Pjmax!$E23)*EXP(-(Alpha!H$5+$A23*Def!$D$19)*Def!$D$12)+(H24)*(Pjmax!$D24+Pnorm!$E24)*EXP(-(Alpha!H$5+$A24*Def!$D$19)*Def!$D$12)+(H25)*(Pjmax!$C25+Pnorm!$D25+Pjmin!$E25)*EXP(-(Alpha!H$5+$A25*Def!$D$19)*Def!$D$12)+(H26)*(Pnorm!$C26+Pjmin!$D26)*EXP(-(Alpha!H$5+$A26*Def!$D$19)*Def!$D$12)+(H27)*(Pjmin!$C27)*EXP(-(Alpha!H$5+$A27*Def!$D$19)*Def!$D$12)</f>
        <v>2.2975861000038532E-4</v>
      </c>
      <c r="J25" s="62">
        <f>(I23)*(Pjmax!$E23)*EXP(-(Alpha!I$5+$A23*Def!$D$19)*Def!$D$12)+(I24)*(Pjmax!$D24+Pnorm!$E24)*EXP(-(Alpha!I$5+$A24*Def!$D$19)*Def!$D$12)+(I25)*(Pjmax!$C25+Pnorm!$D25+Pjmin!$E25)*EXP(-(Alpha!I$5+$A25*Def!$D$19)*Def!$D$12)+(I26)*(Pnorm!$C26+Pjmin!$D26)*EXP(-(Alpha!I$5+$A26*Def!$D$19)*Def!$D$12)+(I27)*(Pjmin!$C27)*EXP(-(Alpha!I$5+$A27*Def!$D$19)*Def!$D$12)</f>
        <v>5.4111777304730762E-4</v>
      </c>
      <c r="K25" s="61">
        <f>(J23)*(Pjmax!$E23)*EXP(-(Alpha!J$5+$A23*Def!$D$19)*Def!$D$12)+(J24)*(Pjmax!$D24+Pnorm!$E24)*EXP(-(Alpha!J$5+$A24*Def!$D$19)*Def!$D$12)+(J25)*(Pjmax!$C25+Pnorm!$D25+Pjmin!$E25)*EXP(-(Alpha!J$5+$A25*Def!$D$19)*Def!$D$12)+(J26)*(Pnorm!$C26+Pjmin!$D26)*EXP(-(Alpha!J$5+$A26*Def!$D$19)*Def!$D$12)+(J27)*(Pjmin!$C27)*EXP(-(Alpha!J$5+$A27*Def!$D$19)*Def!$D$12)</f>
        <v>9.8985829633672917E-4</v>
      </c>
      <c r="L25" s="62">
        <f>(K23)*(Pjmax!$E23)*EXP(-(Alpha!K$5+$A23*Def!$D$19)*Def!$D$12)+(K24)*(Pjmax!$D24+Pnorm!$E24)*EXP(-(Alpha!K$5+$A24*Def!$D$19)*Def!$D$12)+(K25)*(Pjmax!$C25+Pnorm!$D25+Pjmin!$E25)*EXP(-(Alpha!K$5+$A25*Def!$D$19)*Def!$D$12)+(K26)*(Pnorm!$C26+Pjmin!$D26)*EXP(-(Alpha!K$5+$A26*Def!$D$19)*Def!$D$12)+(K27)*(Pjmin!$C27)*EXP(-(Alpha!K$5+$A27*Def!$D$19)*Def!$D$12)</f>
        <v>1.5569900181863195E-3</v>
      </c>
      <c r="M25" s="62">
        <f>(L23)*(Pjmax!$E23)*EXP(-(Alpha!L$5+$A23*Def!$D$19)*Def!$D$12)+(L24)*(Pjmax!$D24+Pnorm!$E24)*EXP(-(Alpha!L$5+$A24*Def!$D$19)*Def!$D$12)+(L25)*(Pjmax!$C25+Pnorm!$D25+Pjmin!$E25)*EXP(-(Alpha!L$5+$A25*Def!$D$19)*Def!$D$12)+(L26)*(Pnorm!$C26+Pjmin!$D26)*EXP(-(Alpha!L$5+$A26*Def!$D$19)*Def!$D$12)+(L27)*(Pjmin!$C27)*EXP(-(Alpha!L$5+$A27*Def!$D$19)*Def!$D$12)</f>
        <v>2.2148575513935851E-3</v>
      </c>
      <c r="N25" s="62">
        <f>(M23)*(Pjmax!$E23)*EXP(-(Alpha!M$5+$A23*Def!$D$19)*Def!$D$12)+(M24)*(Pjmax!$D24+Pnorm!$E24)*EXP(-(Alpha!M$5+$A24*Def!$D$19)*Def!$D$12)+(M25)*(Pjmax!$C25+Pnorm!$D25+Pjmin!$E25)*EXP(-(Alpha!M$5+$A25*Def!$D$19)*Def!$D$12)+(M26)*(Pnorm!$C26+Pjmin!$D26)*EXP(-(Alpha!M$5+$A26*Def!$D$19)*Def!$D$12)+(M27)*(Pjmin!$C27)*EXP(-(Alpha!M$5+$A27*Def!$D$19)*Def!$D$12)</f>
        <v>2.9348736676977623E-3</v>
      </c>
      <c r="O25" s="61">
        <f>(N23)*(Pjmax!$E23)*EXP(-(Alpha!N$5+$A23*Def!$D$19)*Def!$D$12)+(N24)*(Pjmax!$D24+Pnorm!$E24)*EXP(-(Alpha!N$5+$A24*Def!$D$19)*Def!$D$12)+(N25)*(Pjmax!$C25+Pnorm!$D25+Pjmin!$E25)*EXP(-(Alpha!N$5+$A25*Def!$D$19)*Def!$D$12)+(N26)*(Pnorm!$C26+Pjmin!$D26)*EXP(-(Alpha!N$5+$A26*Def!$D$19)*Def!$D$12)+(N27)*(Pjmin!$C27)*EXP(-(Alpha!N$5+$A27*Def!$D$19)*Def!$D$12)</f>
        <v>3.6912433402690068E-3</v>
      </c>
    </row>
    <row r="26" spans="1:16">
      <c r="A26" s="46">
        <f t="shared" si="1"/>
        <v>-6</v>
      </c>
      <c r="B26" s="2"/>
      <c r="C26" s="60"/>
      <c r="D26" s="60"/>
      <c r="E26" s="60"/>
      <c r="F26" s="60"/>
      <c r="G26" s="60"/>
      <c r="H26" s="60"/>
      <c r="I26" s="62">
        <f>(H24)*(Pjmax!$E24)*EXP(-(Alpha!H$5+$A24*Def!$D$19)*Def!$D$12)+(H25)*(Pjmax!$D25+Pnorm!$E25)*EXP(-(Alpha!H$5+$A25*Def!$D$19)*Def!$D$12)+(H26)*(Pjmax!$C26+Pnorm!$D26+Pjmin!$E26)*EXP(-(Alpha!H$5+$A26*Def!$D$19)*Def!$D$12)+(H27)*(Pnorm!$C27+Pjmin!$D27)*EXP(-(Alpha!H$5+$A27*Def!$D$19)*Def!$D$12)+(H28)*(Pjmin!$C28)*EXP(-(Alpha!H$5+$A28*Def!$D$19)*Def!$D$12)</f>
        <v>6.5231606535624951E-6</v>
      </c>
      <c r="J26" s="62">
        <f>(I24)*(Pjmax!$E24)*EXP(-(Alpha!I$5+$A24*Def!$D$19)*Def!$D$12)+(I25)*(Pjmax!$D25+Pnorm!$E25)*EXP(-(Alpha!I$5+$A25*Def!$D$19)*Def!$D$12)+(I26)*(Pjmax!$C26+Pnorm!$D26+Pjmin!$E26)*EXP(-(Alpha!I$5+$A26*Def!$D$19)*Def!$D$12)+(I27)*(Pnorm!$C27+Pjmin!$D27)*EXP(-(Alpha!I$5+$A27*Def!$D$19)*Def!$D$12)+(I28)*(Pjmin!$C28)*EXP(-(Alpha!I$5+$A28*Def!$D$19)*Def!$D$12)</f>
        <v>2.9975476401324037E-5</v>
      </c>
      <c r="K26" s="61">
        <f>(J24)*(Pjmax!$E24)*EXP(-(Alpha!J$5+$A24*Def!$D$19)*Def!$D$12)+(J25)*(Pjmax!$D25+Pnorm!$E25)*EXP(-(Alpha!J$5+$A25*Def!$D$19)*Def!$D$12)+(J26)*(Pjmax!$C26+Pnorm!$D26+Pjmin!$E26)*EXP(-(Alpha!J$5+$A26*Def!$D$19)*Def!$D$12)+(J27)*(Pnorm!$C27+Pjmin!$D27)*EXP(-(Alpha!J$5+$A27*Def!$D$19)*Def!$D$12)+(J28)*(Pjmin!$C28)*EXP(-(Alpha!J$5+$A28*Def!$D$19)*Def!$D$12)</f>
        <v>8.0105758209101941E-5</v>
      </c>
      <c r="L26" s="62">
        <f>(K24)*(Pjmax!$E24)*EXP(-(Alpha!K$5+$A24*Def!$D$19)*Def!$D$12)+(K25)*(Pjmax!$D25+Pnorm!$E25)*EXP(-(Alpha!K$5+$A25*Def!$D$19)*Def!$D$12)+(K26)*(Pjmax!$C26+Pnorm!$D26+Pjmin!$E26)*EXP(-(Alpha!K$5+$A26*Def!$D$19)*Def!$D$12)+(K27)*(Pnorm!$C27+Pjmin!$D27)*EXP(-(Alpha!K$5+$A27*Def!$D$19)*Def!$D$12)+(K28)*(Pjmin!$C28)*EXP(-(Alpha!K$5+$A28*Def!$D$19)*Def!$D$12)</f>
        <v>1.6341061387949803E-4</v>
      </c>
      <c r="M26" s="62">
        <f>(L24)*(Pjmax!$E24)*EXP(-(Alpha!L$5+$A24*Def!$D$19)*Def!$D$12)+(L25)*(Pjmax!$D25+Pnorm!$E25)*EXP(-(Alpha!L$5+$A25*Def!$D$19)*Def!$D$12)+(L26)*(Pjmax!$C26+Pnorm!$D26+Pjmin!$E26)*EXP(-(Alpha!L$5+$A26*Def!$D$19)*Def!$D$12)+(L27)*(Pnorm!$C27+Pjmin!$D27)*EXP(-(Alpha!L$5+$A27*Def!$D$19)*Def!$D$12)+(L28)*(Pjmin!$C28)*EXP(-(Alpha!L$5+$A28*Def!$D$19)*Def!$D$12)</f>
        <v>2.8235980355736413E-4</v>
      </c>
      <c r="N26" s="62">
        <f>(M24)*(Pjmax!$E24)*EXP(-(Alpha!M$5+$A24*Def!$D$19)*Def!$D$12)+(M25)*(Pjmax!$D25+Pnorm!$E25)*EXP(-(Alpha!M$5+$A25*Def!$D$19)*Def!$D$12)+(M26)*(Pjmax!$C26+Pnorm!$D26+Pjmin!$E26)*EXP(-(Alpha!M$5+$A26*Def!$D$19)*Def!$D$12)+(M27)*(Pnorm!$C27+Pjmin!$D27)*EXP(-(Alpha!M$5+$A27*Def!$D$19)*Def!$D$12)+(M28)*(Pjmin!$C28)*EXP(-(Alpha!M$5+$A28*Def!$D$19)*Def!$D$12)</f>
        <v>4.3600510120002476E-4</v>
      </c>
      <c r="O26" s="61">
        <f>(N24)*(Pjmax!$E24)*EXP(-(Alpha!N$5+$A24*Def!$D$19)*Def!$D$12)+(N25)*(Pjmax!$D25+Pnorm!$E25)*EXP(-(Alpha!N$5+$A25*Def!$D$19)*Def!$D$12)+(N26)*(Pjmax!$C26+Pnorm!$D26+Pjmin!$E26)*EXP(-(Alpha!N$5+$A26*Def!$D$19)*Def!$D$12)+(N27)*(Pnorm!$C27+Pjmin!$D27)*EXP(-(Alpha!N$5+$A27*Def!$D$19)*Def!$D$12)+(N28)*(Pjmin!$C28)*EXP(-(Alpha!N$5+$A28*Def!$D$19)*Def!$D$12)</f>
        <v>6.2100942703657272E-4</v>
      </c>
    </row>
    <row r="27" spans="1:16">
      <c r="A27" s="46">
        <f t="shared" si="1"/>
        <v>-7</v>
      </c>
      <c r="B27" s="2"/>
      <c r="C27" s="60"/>
      <c r="D27" s="60"/>
      <c r="E27" s="60"/>
      <c r="F27" s="60"/>
      <c r="G27" s="60"/>
      <c r="H27" s="60"/>
      <c r="I27" s="60"/>
      <c r="J27" s="62">
        <f>(I25)*(Pjmax!$E25)*EXP(-(Alpha!I$5+$A25*Def!$D$19)*Def!$D$12)+(I26)*(Pjmax!$D26+Pnorm!$E26)*EXP(-(Alpha!I$5+$A26*Def!$D$19)*Def!$D$12)+(I27)*(Pjmax!$C27+Pnorm!$D27+Pjmin!$E27)*EXP(-(Alpha!I$5+$A27*Def!$D$19)*Def!$D$12)+(I28)*(Pnorm!$C28+Pjmin!$D28)*EXP(-(Alpha!I$5+$A28*Def!$D$19)*Def!$D$12)+(I29)*(Pjmin!$C29)*EXP(-(Alpha!I$5+$A29*Def!$D$19)*Def!$D$12)</f>
        <v>6.7361025514333823E-7</v>
      </c>
      <c r="K27" s="61">
        <f>(J25)*(Pjmax!$E25)*EXP(-(Alpha!J$5+$A25*Def!$D$19)*Def!$D$12)+(J26)*(Pjmax!$D26+Pnorm!$E26)*EXP(-(Alpha!J$5+$A26*Def!$D$19)*Def!$D$12)+(J27)*(Pjmax!$C27+Pnorm!$D27+Pjmin!$E27)*EXP(-(Alpha!J$5+$A27*Def!$D$19)*Def!$D$12)+(J28)*(Pnorm!$C28+Pjmin!$D28)*EXP(-(Alpha!J$5+$A28*Def!$D$19)*Def!$D$12)+(J29)*(Pjmin!$C29)*EXP(-(Alpha!J$5+$A29*Def!$D$19)*Def!$D$12)</f>
        <v>3.5210198503326752E-6</v>
      </c>
      <c r="L27" s="62">
        <f>(K25)*(Pjmax!$E25)*EXP(-(Alpha!K$5+$A25*Def!$D$19)*Def!$D$12)+(K26)*(Pjmax!$D26+Pnorm!$E26)*EXP(-(Alpha!K$5+$A26*Def!$D$19)*Def!$D$12)+(K27)*(Pjmax!$C27+Pnorm!$D27+Pjmin!$E27)*EXP(-(Alpha!K$5+$A27*Def!$D$19)*Def!$D$12)+(K28)*(Pnorm!$C28+Pjmin!$D28)*EXP(-(Alpha!K$5+$A28*Def!$D$19)*Def!$D$12)+(K29)*(Pjmin!$C29)*EXP(-(Alpha!K$5+$A29*Def!$D$19)*Def!$D$12)</f>
        <v>1.0506301771264948E-5</v>
      </c>
      <c r="M27" s="62">
        <f>(L25)*(Pjmax!$E25)*EXP(-(Alpha!L$5+$A25*Def!$D$19)*Def!$D$12)+(L26)*(Pjmax!$D26+Pnorm!$E26)*EXP(-(Alpha!L$5+$A26*Def!$D$19)*Def!$D$12)+(L27)*(Pjmax!$C27+Pnorm!$D27+Pjmin!$E27)*EXP(-(Alpha!L$5+$A27*Def!$D$19)*Def!$D$12)+(L28)*(Pnorm!$C28+Pjmin!$D28)*EXP(-(Alpha!L$5+$A28*Def!$D$19)*Def!$D$12)+(L29)*(Pjmin!$C29)*EXP(-(Alpha!L$5+$A29*Def!$D$19)*Def!$D$12)</f>
        <v>2.3546035589925478E-5</v>
      </c>
      <c r="N27" s="62">
        <f>(M25)*(Pjmax!$E25)*EXP(-(Alpha!M$5+$A25*Def!$D$19)*Def!$D$12)+(M26)*(Pjmax!$D26+Pnorm!$E26)*EXP(-(Alpha!M$5+$A26*Def!$D$19)*Def!$D$12)+(M27)*(Pjmax!$C27+Pnorm!$D27+Pjmin!$E27)*EXP(-(Alpha!M$5+$A27*Def!$D$19)*Def!$D$12)+(M28)*(Pnorm!$C28+Pjmin!$D28)*EXP(-(Alpha!M$5+$A28*Def!$D$19)*Def!$D$12)+(M29)*(Pjmin!$C29)*EXP(-(Alpha!M$5+$A29*Def!$D$19)*Def!$D$12)</f>
        <v>4.4120529199323981E-5</v>
      </c>
      <c r="O27" s="61">
        <f>(N25)*(Pjmax!$E25)*EXP(-(Alpha!N$5+$A25*Def!$D$19)*Def!$D$12)+(N26)*(Pjmax!$D26+Pnorm!$E26)*EXP(-(Alpha!N$5+$A26*Def!$D$19)*Def!$D$12)+(N27)*(Pjmax!$C27+Pnorm!$D27+Pjmin!$E27)*EXP(-(Alpha!N$5+$A27*Def!$D$19)*Def!$D$12)+(N28)*(Pnorm!$C28+Pjmin!$D28)*EXP(-(Alpha!N$5+$A28*Def!$D$19)*Def!$D$12)+(N29)*(Pjmin!$C29)*EXP(-(Alpha!N$5+$A29*Def!$D$19)*Def!$D$12)</f>
        <v>7.3087526943421704E-5</v>
      </c>
    </row>
    <row r="28" spans="1:16">
      <c r="A28" s="46">
        <f t="shared" si="1"/>
        <v>-8</v>
      </c>
      <c r="B28" s="2"/>
      <c r="C28" s="60"/>
      <c r="D28" s="60"/>
      <c r="E28" s="60"/>
      <c r="F28" s="60"/>
      <c r="G28" s="60"/>
      <c r="H28" s="60"/>
      <c r="I28" s="60"/>
      <c r="J28" s="60"/>
      <c r="K28" s="61">
        <f>(J26)*(Pjmax!$E26)*EXP(-(Alpha!J$5+$A26*Def!$D$19)*Def!$D$12)+(J27)*(Pjmax!$D27+Pnorm!$E27)*EXP(-(Alpha!J$5+$A27*Def!$D$19)*Def!$D$12)+(J28)*(Pjmax!$C28+Pnorm!$D28+Pjmin!$E28)*EXP(-(Alpha!J$5+$A28*Def!$D$19)*Def!$D$12)+(J29)*(Pnorm!$C29+Pjmin!$D29)*EXP(-(Alpha!J$5+$A29*Def!$D$19)*Def!$D$12)+(J30)*(Pjmin!$C30)*EXP(-(Alpha!J$5+$A30*Def!$D$19)*Def!$D$12)</f>
        <v>6.3901141382675807E-8</v>
      </c>
      <c r="L28" s="62">
        <f>(K26)*(Pjmax!$E26)*EXP(-(Alpha!K$5+$A26*Def!$D$19)*Def!$D$12)+(K27)*(Pjmax!$D27+Pnorm!$E27)*EXP(-(Alpha!K$5+$A27*Def!$D$19)*Def!$D$12)+(K28)*(Pjmax!$C28+Pnorm!$D28+Pjmin!$E28)*EXP(-(Alpha!K$5+$A28*Def!$D$19)*Def!$D$12)+(K29)*(Pnorm!$C29+Pjmin!$D29)*EXP(-(Alpha!K$5+$A29*Def!$D$19)*Def!$D$12)+(K30)*(Pjmin!$C30)*EXP(-(Alpha!K$5+$A30*Def!$D$19)*Def!$D$12)</f>
        <v>3.9088432716209118E-7</v>
      </c>
      <c r="M28" s="62">
        <f>(L26)*(Pjmax!$E26)*EXP(-(Alpha!L$5+$A26*Def!$D$19)*Def!$D$12)+(L27)*(Pjmax!$D27+Pnorm!$E27)*EXP(-(Alpha!L$5+$A27*Def!$D$19)*Def!$D$12)+(L28)*(Pjmax!$C28+Pnorm!$D28+Pjmin!$E28)*EXP(-(Alpha!L$5+$A28*Def!$D$19)*Def!$D$12)+(L29)*(Pnorm!$C29+Pjmin!$D29)*EXP(-(Alpha!L$5+$A29*Def!$D$19)*Def!$D$12)+(L30)*(Pjmin!$C30)*EXP(-(Alpha!L$5+$A30*Def!$D$19)*Def!$D$12)</f>
        <v>1.3440627238256057E-6</v>
      </c>
      <c r="N28" s="62">
        <f>(M26)*(Pjmax!$E26)*EXP(-(Alpha!M$5+$A26*Def!$D$19)*Def!$D$12)+(M27)*(Pjmax!$D27+Pnorm!$E27)*EXP(-(Alpha!M$5+$A27*Def!$D$19)*Def!$D$12)+(M28)*(Pjmax!$C28+Pnorm!$D28+Pjmin!$E28)*EXP(-(Alpha!M$5+$A28*Def!$D$19)*Def!$D$12)+(M29)*(Pnorm!$C29+Pjmin!$D29)*EXP(-(Alpha!M$5+$A29*Def!$D$19)*Def!$D$12)+(M30)*(Pjmin!$C30)*EXP(-(Alpha!M$5+$A30*Def!$D$19)*Def!$D$12)</f>
        <v>3.427603597486702E-6</v>
      </c>
      <c r="O28" s="61">
        <f>(N26)*(Pjmax!$E26)*EXP(-(Alpha!N$5+$A26*Def!$D$19)*Def!$D$12)+(N27)*(Pjmax!$D27+Pnorm!$E27)*EXP(-(Alpha!N$5+$A27*Def!$D$19)*Def!$D$12)+(N28)*(Pjmax!$C28+Pnorm!$D28+Pjmin!$E28)*EXP(-(Alpha!N$5+$A28*Def!$D$19)*Def!$D$12)+(N29)*(Pnorm!$C29+Pjmin!$D29)*EXP(-(Alpha!N$5+$A29*Def!$D$19)*Def!$D$12)+(N30)*(Pjmin!$C30)*EXP(-(Alpha!N$5+$A30*Def!$D$19)*Def!$D$12)</f>
        <v>7.2298574414077194E-6</v>
      </c>
    </row>
    <row r="29" spans="1:16">
      <c r="A29" s="46">
        <f t="shared" si="1"/>
        <v>-9</v>
      </c>
      <c r="B29" s="2"/>
      <c r="C29" s="60"/>
      <c r="D29" s="60"/>
      <c r="E29" s="60"/>
      <c r="F29" s="60"/>
      <c r="G29" s="60"/>
      <c r="H29" s="60"/>
      <c r="I29" s="60"/>
      <c r="J29" s="60"/>
      <c r="K29" s="60"/>
      <c r="L29" s="62">
        <f>(K27)*(Pjmax!$E27)*EXP(-(Alpha!K$5+$A27*Def!$D$19)*Def!$D$12)+(K28)*(Pjmax!$D28+Pnorm!$E28)*EXP(-(Alpha!K$5+$A28*Def!$D$19)*Def!$D$12)+(K29)*(Pjmax!$C29+Pnorm!$D29+Pjmin!$E29)*EXP(-(Alpha!K$5+$A29*Def!$D$19)*Def!$D$12)+(K30)*(Pnorm!$C30+Pjmin!$D30)*EXP(-(Alpha!K$5+$A30*Def!$D$19)*Def!$D$12)+(K31)*(Pjmin!$C31)*EXP(-(Alpha!K$5+$A31*Def!$D$19)*Def!$D$12)</f>
        <v>0</v>
      </c>
      <c r="M29" s="62">
        <f>(L27)*(Pjmax!$E27)*EXP(-(Alpha!L$5+$A27*Def!$D$19)*Def!$D$12)+(L28)*(Pjmax!$D28+Pnorm!$E28)*EXP(-(Alpha!L$5+$A28*Def!$D$19)*Def!$D$12)+(L29)*(Pjmax!$C29+Pnorm!$D29+Pjmin!$E29)*EXP(-(Alpha!L$5+$A29*Def!$D$19)*Def!$D$12)+(L30)*(Pnorm!$C30+Pjmin!$D30)*EXP(-(Alpha!L$5+$A30*Def!$D$19)*Def!$D$12)+(L31)*(Pjmin!$C31)*EXP(-(Alpha!L$5+$A31*Def!$D$19)*Def!$D$12)</f>
        <v>0</v>
      </c>
      <c r="N29" s="62">
        <f>(M27)*(Pjmax!$E27)*EXP(-(Alpha!M$5+$A27*Def!$D$19)*Def!$D$12)+(M28)*(Pjmax!$D28+Pnorm!$E28)*EXP(-(Alpha!M$5+$A28*Def!$D$19)*Def!$D$12)+(M29)*(Pjmax!$C29+Pnorm!$D29+Pjmin!$E29)*EXP(-(Alpha!M$5+$A29*Def!$D$19)*Def!$D$12)+(M30)*(Pnorm!$C30+Pjmin!$D30)*EXP(-(Alpha!M$5+$A30*Def!$D$19)*Def!$D$12)+(M31)*(Pjmin!$C31)*EXP(-(Alpha!M$5+$A31*Def!$D$19)*Def!$D$12)</f>
        <v>0</v>
      </c>
      <c r="O29" s="61">
        <f>(N27)*(Pjmax!$E27)*EXP(-(Alpha!N$5+$A27*Def!$D$19)*Def!$D$12)+(N28)*(Pjmax!$D28+Pnorm!$E28)*EXP(-(Alpha!N$5+$A28*Def!$D$19)*Def!$D$12)+(N29)*(Pjmax!$C29+Pnorm!$D29+Pjmin!$E29)*EXP(-(Alpha!N$5+$A29*Def!$D$19)*Def!$D$12)+(N30)*(Pnorm!$C30+Pjmin!$D30)*EXP(-(Alpha!N$5+$A30*Def!$D$19)*Def!$D$12)+(N31)*(Pjmin!$C31)*EXP(-(Alpha!N$5+$A31*Def!$D$19)*Def!$D$12)</f>
        <v>0</v>
      </c>
    </row>
    <row r="30" spans="1:16">
      <c r="A30" s="46">
        <f t="shared" si="1"/>
        <v>-10</v>
      </c>
      <c r="B30" s="2"/>
      <c r="C30" s="60"/>
      <c r="D30" s="60"/>
      <c r="E30" s="60"/>
      <c r="F30" s="60"/>
      <c r="G30" s="60"/>
      <c r="H30" s="60"/>
      <c r="I30" s="60"/>
      <c r="J30" s="60"/>
      <c r="K30" s="60"/>
      <c r="L30" s="60"/>
      <c r="M30" s="62">
        <f>(L28)*(Pjmax!$E28)*EXP(-(Alpha!L$5+$A28*Def!$D$19)*Def!$D$12)+(L29)*(Pjmax!$D29+Pnorm!$E29)*EXP(-(Alpha!L$5+$A29*Def!$D$19)*Def!$D$12)+(L30)*(Pjmax!$C30+Pnorm!$D30+Pjmin!$E30)*EXP(-(Alpha!L$5+$A30*Def!$D$19)*Def!$D$12)+(L31)*(Pnorm!$C31+Pjmin!$D31)*EXP(-(Alpha!L$5+$A31*Def!$D$19)*Def!$D$12)+(L32)*(Pjmin!$C32)*EXP(-(Alpha!L$5+$A32*Def!$D$19)*Def!$D$12)</f>
        <v>0</v>
      </c>
      <c r="N30" s="62">
        <f>(M28)*(Pjmax!$E28)*EXP(-(Alpha!M$5+$A28*Def!$D$19)*Def!$D$12)+(M29)*(Pjmax!$D29+Pnorm!$E29)*EXP(-(Alpha!M$5+$A29*Def!$D$19)*Def!$D$12)+(M30)*(Pjmax!$C30+Pnorm!$D30+Pjmin!$E30)*EXP(-(Alpha!M$5+$A30*Def!$D$19)*Def!$D$12)+(M31)*(Pnorm!$C31+Pjmin!$D31)*EXP(-(Alpha!M$5+$A31*Def!$D$19)*Def!$D$12)+(M32)*(Pjmin!$C32)*EXP(-(Alpha!M$5+$A32*Def!$D$19)*Def!$D$12)</f>
        <v>0</v>
      </c>
      <c r="O30" s="61">
        <f>(N28)*(Pjmax!$E28)*EXP(-(Alpha!N$5+$A28*Def!$D$19)*Def!$D$12)+(N29)*(Pjmax!$D29+Pnorm!$E29)*EXP(-(Alpha!N$5+$A29*Def!$D$19)*Def!$D$12)+(N30)*(Pjmax!$C30+Pnorm!$D30+Pjmin!$E30)*EXP(-(Alpha!N$5+$A30*Def!$D$19)*Def!$D$12)+(N31)*(Pnorm!$C31+Pjmin!$D31)*EXP(-(Alpha!N$5+$A31*Def!$D$19)*Def!$D$12)+(N32)*(Pjmin!$C32)*EXP(-(Alpha!N$5+$A32*Def!$D$19)*Def!$D$12)</f>
        <v>0</v>
      </c>
    </row>
    <row r="31" spans="1:16">
      <c r="A31" s="46">
        <f t="shared" si="1"/>
        <v>-11</v>
      </c>
      <c r="B31" s="2"/>
      <c r="C31" s="60"/>
      <c r="D31" s="60"/>
      <c r="E31" s="60"/>
      <c r="F31" s="60"/>
      <c r="G31" s="60"/>
      <c r="H31" s="60"/>
      <c r="I31" s="60"/>
      <c r="J31" s="60"/>
      <c r="K31" s="60"/>
      <c r="L31" s="60"/>
      <c r="M31" s="60"/>
      <c r="N31" s="62">
        <f>(M29)*(Pjmax!$E29)*EXP(-(Alpha!M$5+$A29*Def!$D$19)*Def!$D$12)+(M30)*(Pjmax!$D30+Pnorm!$E30)*EXP(-(Alpha!M$5+$A30*Def!$D$19)*Def!$D$12)+(M31)*(Pjmax!$C31+Pnorm!$D31+Pjmin!$E31)*EXP(-(Alpha!M$5+$A31*Def!$D$19)*Def!$D$12)+(M32)*(Pnorm!$C32+Pjmin!$D32)*EXP(-(Alpha!M$5+$A32*Def!$D$19)*Def!$D$12)+(M33)*(Pjmin!$C33)*EXP(-(Alpha!M$5+$A33*Def!$D$19)*Def!$D$12)</f>
        <v>0</v>
      </c>
      <c r="O31" s="61">
        <f>(N29)*(Pjmax!$E29)*EXP(-(Alpha!N$5+$A29*Def!$D$19)*Def!$D$12)+(N30)*(Pjmax!$D30+Pnorm!$E30)*EXP(-(Alpha!N$5+$A30*Def!$D$19)*Def!$D$12)+(N31)*(Pjmax!$C31+Pnorm!$D31+Pjmin!$E31)*EXP(-(Alpha!N$5+$A31*Def!$D$19)*Def!$D$12)+(N32)*(Pnorm!$C32+Pjmin!$D32)*EXP(-(Alpha!N$5+$A32*Def!$D$19)*Def!$D$12)+(N33)*(Pjmin!$C33)*EXP(-(Alpha!N$5+$A33*Def!$D$19)*Def!$D$12)</f>
        <v>0</v>
      </c>
    </row>
    <row r="32" spans="1:16">
      <c r="A32" s="46">
        <f t="shared" si="1"/>
        <v>-12</v>
      </c>
      <c r="B32" s="2"/>
      <c r="C32" s="60"/>
      <c r="D32" s="60"/>
      <c r="E32" s="60"/>
      <c r="F32" s="60"/>
      <c r="G32" s="60"/>
      <c r="H32" s="60"/>
      <c r="I32" s="60"/>
      <c r="J32" s="60"/>
      <c r="K32" s="60"/>
      <c r="L32" s="60"/>
      <c r="M32" s="60"/>
      <c r="N32" s="60"/>
      <c r="O32" s="61">
        <f>(N30)*(Pjmax!$E30)*EXP(-(Alpha!N$5+$A30*Def!$D$19)*Def!$D$12)+(N31)*(Pjmax!$D31+Pnorm!$E31)*EXP(-(Alpha!N$5+$A31*Def!$D$19)*Def!$D$12)+(N32)*(Pjmax!$C32+Pnorm!$D32+Pjmin!$E32)*EXP(-(Alpha!N$5+$A32*Def!$D$19)*Def!$D$12)+(N33)*(Pnorm!$C33+Pjmin!$D33)*EXP(-(Alpha!N$5+$A33*Def!$D$19)*Def!$D$12)+(N34)*(Pjmin!$C34)*EXP(-(Alpha!N$5+$A34*Def!$D$19)*Def!$D$12)</f>
        <v>0</v>
      </c>
    </row>
  </sheetData>
  <phoneticPr fontId="9"/>
  <printOptions gridLinesSet="0"/>
  <pageMargins left="0" right="0" top="0" bottom="0" header="0" footer="0"/>
  <pageSetup paperSize="9" scale="80" pageOrder="overThenDown" orientation="landscape" horizontalDpi="4294967292" verticalDpi="0" r:id="rId1"/>
  <headerFooter alignWithMargins="0">
    <oddHeader>&amp;A</oddHeader>
    <oddFooter>- &amp;P -</oddFooter>
  </headerFooter>
  <drawing r:id="rId2"/>
</worksheet>
</file>

<file path=xl/worksheets/sheet10.xml><?xml version="1.0" encoding="utf-8"?>
<worksheet xmlns="http://schemas.openxmlformats.org/spreadsheetml/2006/main" xmlns:r="http://schemas.openxmlformats.org/officeDocument/2006/relationships">
  <dimension ref="A2:O32"/>
  <sheetViews>
    <sheetView topLeftCell="A3" zoomScale="80" workbookViewId="0">
      <selection activeCell="C23" sqref="C23"/>
    </sheetView>
  </sheetViews>
  <sheetFormatPr defaultRowHeight="13.5"/>
  <cols>
    <col min="1" max="1" width="4.625" style="29" customWidth="1"/>
    <col min="2" max="2" width="3.625" style="20" customWidth="1"/>
    <col min="3" max="15" width="8.625" style="20" customWidth="1"/>
    <col min="16" max="16384" width="9" style="20"/>
  </cols>
  <sheetData>
    <row r="2" spans="1:15">
      <c r="C2" s="48"/>
    </row>
    <row r="3" spans="1:15">
      <c r="A3" s="20"/>
      <c r="B3" s="17" t="s">
        <v>36</v>
      </c>
      <c r="C3" s="46">
        <v>0</v>
      </c>
      <c r="D3" s="46">
        <v>1</v>
      </c>
      <c r="E3" s="46">
        <v>2</v>
      </c>
      <c r="F3" s="46">
        <v>3</v>
      </c>
      <c r="G3" s="46">
        <v>4</v>
      </c>
      <c r="H3" s="46">
        <v>5</v>
      </c>
      <c r="I3" s="46">
        <v>6</v>
      </c>
      <c r="J3" s="46">
        <v>7</v>
      </c>
      <c r="K3" s="46">
        <v>8</v>
      </c>
      <c r="L3" s="46">
        <v>9</v>
      </c>
      <c r="M3" s="46">
        <v>10</v>
      </c>
      <c r="N3" s="46">
        <v>11</v>
      </c>
      <c r="O3" s="46">
        <v>12</v>
      </c>
    </row>
    <row r="4" spans="1:15">
      <c r="A4" s="20"/>
      <c r="B4" s="17" t="s">
        <v>37</v>
      </c>
      <c r="C4" s="46">
        <f>Def!$D$12*C$3</f>
        <v>0</v>
      </c>
      <c r="D4" s="46">
        <f>Def!$D$12*D$3</f>
        <v>0.25</v>
      </c>
      <c r="E4" s="46">
        <f>Def!$D$12*E$3</f>
        <v>0.5</v>
      </c>
      <c r="F4" s="46">
        <f>Def!$D$12*F$3</f>
        <v>0.75</v>
      </c>
      <c r="G4" s="46">
        <f>Def!$D$12*G$3</f>
        <v>1</v>
      </c>
      <c r="H4" s="46">
        <f>Def!$D$12*H$3</f>
        <v>1.25</v>
      </c>
      <c r="I4" s="46">
        <f>Def!$D$12*I$3</f>
        <v>1.5</v>
      </c>
      <c r="J4" s="46">
        <f>Def!$D$12*J$3</f>
        <v>1.75</v>
      </c>
      <c r="K4" s="46">
        <f>Def!$D$12*K$3</f>
        <v>2</v>
      </c>
      <c r="L4" s="46">
        <f>Def!$D$12*L$3</f>
        <v>2.25</v>
      </c>
      <c r="M4" s="46">
        <f>Def!$D$12*M$3</f>
        <v>2.5</v>
      </c>
      <c r="N4" s="46">
        <f>Def!$D$12*N$3</f>
        <v>2.75</v>
      </c>
      <c r="O4" s="46">
        <f>Def!$D$12*O$3</f>
        <v>3</v>
      </c>
    </row>
    <row r="5" spans="1:15">
      <c r="A5" s="17" t="s">
        <v>29</v>
      </c>
      <c r="C5" s="98">
        <f>(LN(SUM(C8:C32))-LN(Market_P!D$20))/Def!$D$12</f>
        <v>2.4711322236268519E-2</v>
      </c>
      <c r="D5" s="98">
        <f>(LN(SUM(D8:D32))-LN(Market_P!E$20))/Def!$D$12</f>
        <v>2.629117441516186E-2</v>
      </c>
      <c r="E5" s="98">
        <f>(LN(SUM(E8:E32))-LN(Market_P!F$20))/Def!$D$12</f>
        <v>2.9224855158283464E-2</v>
      </c>
      <c r="F5" s="98">
        <f>(LN(SUM(F8:F32))-LN(Market_P!G$20))/Def!$D$12</f>
        <v>3.226667388132759E-2</v>
      </c>
      <c r="G5" s="98">
        <f>(LN(SUM(G8:G32))-LN(Market_P!H$20))/Def!$D$12</f>
        <v>3.5029151918104823E-2</v>
      </c>
      <c r="H5" s="98">
        <f>(LN(SUM(H8:H32))-LN(Market_P!I$20))/Def!$D$12</f>
        <v>3.9095092382753077E-2</v>
      </c>
      <c r="I5" s="98">
        <f>(LN(SUM(I8:I32))-LN(Market_P!J$20))/Def!$D$12</f>
        <v>3.8469257730143092E-2</v>
      </c>
      <c r="J5" s="98">
        <f>(LN(SUM(J8:J32))-LN(Market_P!K$20))/Def!$D$12</f>
        <v>4.4375924725732263E-2</v>
      </c>
      <c r="K5" s="98">
        <f>(LN(SUM(K8:K32))-LN(Market_P!L$20))/Def!$D$12</f>
        <v>4.5863983120685903E-2</v>
      </c>
      <c r="L5" s="98">
        <f>(LN(SUM(L8:L32))-LN(Market_P!M$20))/Def!$D$12</f>
        <v>4.8398945634324897E-2</v>
      </c>
      <c r="M5" s="98">
        <f>(LN(SUM(M8:M32))-LN(Market_P!N$20))/Def!$D$12</f>
        <v>5.0485040180610563E-2</v>
      </c>
      <c r="N5" s="98">
        <f>(LN(SUM(N8:N32))-LN(Market_P!O$20))/Def!$D$12</f>
        <v>5.1949590951491598E-2</v>
      </c>
      <c r="O5" s="98">
        <f>(LN(SUM(O8:O32))-LN(Market_P!P$20))/Def!$D$12</f>
        <v>5.2815368044207889E-2</v>
      </c>
    </row>
    <row r="7" spans="1:15">
      <c r="A7" s="20"/>
    </row>
    <row r="8" spans="1:15">
      <c r="A8" s="46">
        <f t="shared" ref="A8:A19" si="0">A9+1</f>
        <v>12</v>
      </c>
      <c r="C8" s="60"/>
      <c r="D8" s="60"/>
      <c r="E8" s="60"/>
      <c r="F8" s="60"/>
      <c r="G8" s="60"/>
      <c r="H8" s="60"/>
      <c r="I8" s="60"/>
      <c r="J8" s="60"/>
      <c r="K8" s="60"/>
      <c r="L8" s="60"/>
      <c r="M8" s="60"/>
      <c r="N8" s="60"/>
      <c r="O8" s="61">
        <f>ArrowDeb!O8*EXP(-$A8*Def!$D$19*Def!$D$12)</f>
        <v>0</v>
      </c>
    </row>
    <row r="9" spans="1:15">
      <c r="A9" s="46">
        <f t="shared" si="0"/>
        <v>11</v>
      </c>
      <c r="C9" s="60"/>
      <c r="D9" s="60"/>
      <c r="E9" s="60"/>
      <c r="F9" s="60"/>
      <c r="G9" s="60"/>
      <c r="H9" s="60"/>
      <c r="I9" s="60"/>
      <c r="J9" s="60"/>
      <c r="K9" s="60"/>
      <c r="L9" s="60"/>
      <c r="M9" s="60"/>
      <c r="N9" s="62">
        <f>ArrowDeb!N9*EXP(-$A9*Def!$D$19*Def!$D$12)</f>
        <v>0</v>
      </c>
      <c r="O9" s="61">
        <f>ArrowDeb!O9*EXP(-$A9*Def!$D$19*Def!$D$12)</f>
        <v>0</v>
      </c>
    </row>
    <row r="10" spans="1:15">
      <c r="A10" s="46">
        <f t="shared" si="0"/>
        <v>10</v>
      </c>
      <c r="C10" s="60"/>
      <c r="D10" s="60"/>
      <c r="E10" s="60"/>
      <c r="F10" s="60"/>
      <c r="G10" s="60"/>
      <c r="H10" s="60"/>
      <c r="I10" s="60"/>
      <c r="J10" s="60"/>
      <c r="K10" s="60"/>
      <c r="L10" s="60"/>
      <c r="M10" s="62">
        <f>ArrowDeb!M10*EXP(-$A10*Def!$D$19*Def!$D$12)</f>
        <v>0</v>
      </c>
      <c r="N10" s="62">
        <f>ArrowDeb!N10*EXP(-$A10*Def!$D$19*Def!$D$12)</f>
        <v>0</v>
      </c>
      <c r="O10" s="61">
        <f>ArrowDeb!O10*EXP(-$A10*Def!$D$19*Def!$D$12)</f>
        <v>0</v>
      </c>
    </row>
    <row r="11" spans="1:15">
      <c r="A11" s="46">
        <f t="shared" si="0"/>
        <v>9</v>
      </c>
      <c r="C11" s="60"/>
      <c r="D11" s="60"/>
      <c r="E11" s="60"/>
      <c r="F11" s="60"/>
      <c r="G11" s="60"/>
      <c r="H11" s="60"/>
      <c r="I11" s="60"/>
      <c r="J11" s="60"/>
      <c r="K11" s="60"/>
      <c r="L11" s="62">
        <f>ArrowDeb!L11*EXP(-$A11*Def!$D$19*Def!$D$12)</f>
        <v>0</v>
      </c>
      <c r="M11" s="62">
        <f>ArrowDeb!M11*EXP(-$A11*Def!$D$19*Def!$D$12)</f>
        <v>0</v>
      </c>
      <c r="N11" s="62">
        <f>ArrowDeb!N11*EXP(-$A11*Def!$D$19*Def!$D$12)</f>
        <v>0</v>
      </c>
      <c r="O11" s="61">
        <f>ArrowDeb!O11*EXP(-$A11*Def!$D$19*Def!$D$12)</f>
        <v>0</v>
      </c>
    </row>
    <row r="12" spans="1:15">
      <c r="A12" s="46">
        <f t="shared" si="0"/>
        <v>8</v>
      </c>
      <c r="C12" s="60"/>
      <c r="D12" s="60"/>
      <c r="E12" s="60"/>
      <c r="F12" s="60"/>
      <c r="G12" s="60"/>
      <c r="H12" s="60"/>
      <c r="I12" s="60"/>
      <c r="J12" s="60"/>
      <c r="K12" s="61">
        <f>ArrowDeb!K12*EXP(-$A12*Def!$D$19*Def!$D$12)</f>
        <v>5.5632811307769549E-8</v>
      </c>
      <c r="L12" s="62">
        <f>ArrowDeb!L12*EXP(-$A12*Def!$D$19*Def!$D$12)</f>
        <v>3.3428856806810347E-7</v>
      </c>
      <c r="M12" s="62">
        <f>ArrowDeb!M12*EXP(-$A12*Def!$D$19*Def!$D$12)</f>
        <v>1.1290965342861225E-6</v>
      </c>
      <c r="N12" s="62">
        <f>ArrowDeb!N12*EXP(-$A12*Def!$D$19*Def!$D$12)</f>
        <v>2.8283641490204848E-6</v>
      </c>
      <c r="O12" s="61">
        <f>ArrowDeb!O12*EXP(-$A12*Def!$D$19*Def!$D$12)</f>
        <v>5.8601616093307479E-6</v>
      </c>
    </row>
    <row r="13" spans="1:15">
      <c r="A13" s="46">
        <f t="shared" si="0"/>
        <v>7</v>
      </c>
      <c r="C13" s="60"/>
      <c r="D13" s="60"/>
      <c r="E13" s="60"/>
      <c r="F13" s="60"/>
      <c r="G13" s="60"/>
      <c r="H13" s="60"/>
      <c r="I13" s="60"/>
      <c r="J13" s="62">
        <f>ArrowDeb!J13*EXP(-$A13*Def!$D$19*Def!$D$12)</f>
        <v>6.0580828536331411E-7</v>
      </c>
      <c r="K13" s="61">
        <f>ArrowDeb!K13*EXP(-$A13*Def!$D$19*Def!$D$12)</f>
        <v>3.1194565232563252E-6</v>
      </c>
      <c r="L13" s="62">
        <f>ArrowDeb!L13*EXP(-$A13*Def!$D$19*Def!$D$12)</f>
        <v>9.1703367340727954E-6</v>
      </c>
      <c r="M13" s="62">
        <f>ArrowDeb!M13*EXP(-$A13*Def!$D$19*Def!$D$12)</f>
        <v>2.0249953044891163E-5</v>
      </c>
      <c r="N13" s="62">
        <f>ArrowDeb!N13*EXP(-$A13*Def!$D$19*Def!$D$12)</f>
        <v>3.7391031569527613E-5</v>
      </c>
      <c r="O13" s="61">
        <f>ArrowDeb!O13*EXP(-$A13*Def!$D$19*Def!$D$12)</f>
        <v>6.1044019356295206E-5</v>
      </c>
    </row>
    <row r="14" spans="1:15">
      <c r="A14" s="46">
        <f t="shared" si="0"/>
        <v>6</v>
      </c>
      <c r="C14" s="60"/>
      <c r="D14" s="60"/>
      <c r="E14" s="60"/>
      <c r="F14" s="60"/>
      <c r="G14" s="60"/>
      <c r="H14" s="60"/>
      <c r="I14" s="62">
        <f>ArrowDeb!I14*EXP(-$A14*Def!$D$19*Def!$D$12)</f>
        <v>6.0340397896419421E-6</v>
      </c>
      <c r="J14" s="62">
        <f>ArrowDeb!J14*EXP(-$A14*Def!$D$19*Def!$D$12)</f>
        <v>2.7372683298928803E-5</v>
      </c>
      <c r="K14" s="61">
        <f>ArrowDeb!K14*EXP(-$A14*Def!$D$19*Def!$D$12)</f>
        <v>7.2215271069792412E-5</v>
      </c>
      <c r="L14" s="62">
        <f>ArrowDeb!L14*EXP(-$A14*Def!$D$19*Def!$D$12)</f>
        <v>1.454363916862306E-4</v>
      </c>
      <c r="M14" s="62">
        <f>ArrowDeb!M14*EXP(-$A14*Def!$D$19*Def!$D$12)</f>
        <v>2.4810623813229372E-4</v>
      </c>
      <c r="N14" s="62">
        <f>ArrowDeb!N14*EXP(-$A14*Def!$D$19*Def!$D$12)</f>
        <v>3.7825454471631585E-4</v>
      </c>
      <c r="O14" s="61">
        <f>ArrowDeb!O14*EXP(-$A14*Def!$D$19*Def!$D$12)</f>
        <v>5.3194406325605373E-4</v>
      </c>
    </row>
    <row r="15" spans="1:15">
      <c r="A15" s="46">
        <f t="shared" si="0"/>
        <v>5</v>
      </c>
      <c r="C15" s="60"/>
      <c r="D15" s="60"/>
      <c r="E15" s="60"/>
      <c r="F15" s="60"/>
      <c r="G15" s="60"/>
      <c r="H15" s="62">
        <f>ArrowDeb!H15*EXP(-$A15*Def!$D$19*Def!$D$12)</f>
        <v>5.5126102082936119E-5</v>
      </c>
      <c r="I15" s="62">
        <f>ArrowDeb!I15*EXP(-$A15*Def!$D$19*Def!$D$12)</f>
        <v>2.1532253024608144E-4</v>
      </c>
      <c r="J15" s="62">
        <f>ArrowDeb!J15*EXP(-$A15*Def!$D$19*Def!$D$12)</f>
        <v>5.0169886283574835E-4</v>
      </c>
      <c r="K15" s="61">
        <f>ArrowDeb!K15*EXP(-$A15*Def!$D$19*Def!$D$12)</f>
        <v>9.0796325740492238E-4</v>
      </c>
      <c r="L15" s="62">
        <f>ArrowDeb!L15*EXP(-$A15*Def!$D$19*Def!$D$12)</f>
        <v>1.4129819491736331E-3</v>
      </c>
      <c r="M15" s="62">
        <f>ArrowDeb!M15*EXP(-$A15*Def!$D$19*Def!$D$12)</f>
        <v>1.9886808611263023E-3</v>
      </c>
      <c r="N15" s="62">
        <f>ArrowDeb!N15*EXP(-$A15*Def!$D$19*Def!$D$12)</f>
        <v>2.6073032448847922E-3</v>
      </c>
      <c r="O15" s="61">
        <f>ArrowDeb!O15*EXP(-$A15*Def!$D$19*Def!$D$12)</f>
        <v>3.2446908293365883E-3</v>
      </c>
    </row>
    <row r="16" spans="1:15">
      <c r="A16" s="46">
        <f t="shared" si="0"/>
        <v>4</v>
      </c>
      <c r="C16" s="60"/>
      <c r="D16" s="60"/>
      <c r="E16" s="60"/>
      <c r="F16" s="60"/>
      <c r="G16" s="61">
        <f>ArrowDeb!G16*EXP(-$A16*Def!$D$19*Def!$D$12)</f>
        <v>4.6205140244489712E-4</v>
      </c>
      <c r="H16" s="62">
        <f>ArrowDeb!H16*EXP(-$A16*Def!$D$19*Def!$D$12)</f>
        <v>1.5116267472902597E-3</v>
      </c>
      <c r="I16" s="62">
        <f>ArrowDeb!I16*EXP(-$A16*Def!$D$19*Def!$D$12)</f>
        <v>3.0439759573254637E-3</v>
      </c>
      <c r="J16" s="62">
        <f>ArrowDeb!J16*EXP(-$A16*Def!$D$19*Def!$D$12)</f>
        <v>4.8865892392890055E-3</v>
      </c>
      <c r="K16" s="61">
        <f>ArrowDeb!K16*EXP(-$A16*Def!$D$19*Def!$D$12)</f>
        <v>6.8666835194177399E-3</v>
      </c>
      <c r="L16" s="62">
        <f>ArrowDeb!L16*EXP(-$A16*Def!$D$19*Def!$D$12)</f>
        <v>8.8611342467673319E-3</v>
      </c>
      <c r="M16" s="62">
        <f>ArrowDeb!M16*EXP(-$A16*Def!$D$19*Def!$D$12)</f>
        <v>1.0781043155395884E-2</v>
      </c>
      <c r="N16" s="62">
        <f>ArrowDeb!N16*EXP(-$A16*Def!$D$19*Def!$D$12)</f>
        <v>1.2573313059481816E-2</v>
      </c>
      <c r="O16" s="61">
        <f>ArrowDeb!O16*EXP(-$A16*Def!$D$19*Def!$D$12)</f>
        <v>1.4210504514997812E-2</v>
      </c>
    </row>
    <row r="17" spans="1:15">
      <c r="A17" s="46">
        <f t="shared" si="0"/>
        <v>3</v>
      </c>
      <c r="C17" s="60"/>
      <c r="D17" s="60"/>
      <c r="E17" s="60"/>
      <c r="F17" s="62">
        <f>ArrowDeb!F17*EXP(-$A17*Def!$D$19*Def!$D$12)</f>
        <v>3.5599944513628888E-3</v>
      </c>
      <c r="G17" s="61">
        <f>ArrowDeb!G17*EXP(-$A17*Def!$D$19*Def!$D$12)</f>
        <v>9.3558133099656479E-3</v>
      </c>
      <c r="H17" s="62">
        <f>ArrowDeb!H17*EXP(-$A17*Def!$D$19*Def!$D$12)</f>
        <v>1.5873038866858303E-2</v>
      </c>
      <c r="I17" s="62">
        <f>ArrowDeb!I17*EXP(-$A17*Def!$D$19*Def!$D$12)</f>
        <v>2.2176385936262019E-2</v>
      </c>
      <c r="J17" s="62">
        <f>ArrowDeb!J17*EXP(-$A17*Def!$D$19*Def!$D$12)</f>
        <v>2.7852318713202907E-2</v>
      </c>
      <c r="K17" s="61">
        <f>ArrowDeb!K17*EXP(-$A17*Def!$D$19*Def!$D$12)</f>
        <v>3.2709646348701382E-2</v>
      </c>
      <c r="L17" s="62">
        <f>ArrowDeb!L17*EXP(-$A17*Def!$D$19*Def!$D$12)</f>
        <v>3.6775032071548412E-2</v>
      </c>
      <c r="M17" s="62">
        <f>ArrowDeb!M17*EXP(-$A17*Def!$D$19*Def!$D$12)</f>
        <v>4.0104300377457679E-2</v>
      </c>
      <c r="N17" s="62">
        <f>ArrowDeb!N17*EXP(-$A17*Def!$D$19*Def!$D$12)</f>
        <v>4.2788043077317768E-2</v>
      </c>
      <c r="O17" s="61">
        <f>ArrowDeb!O17*EXP(-$A17*Def!$D$19*Def!$D$12)</f>
        <v>4.4921946349652589E-2</v>
      </c>
    </row>
    <row r="18" spans="1:15">
      <c r="A18" s="46">
        <f t="shared" si="0"/>
        <v>2</v>
      </c>
      <c r="C18" s="60"/>
      <c r="D18" s="60"/>
      <c r="E18" s="62">
        <f>ArrowDeb!E18*EXP(-$A18*Def!$D$19*Def!$D$12)</f>
        <v>2.5255752706812788E-2</v>
      </c>
      <c r="F18" s="62">
        <f>ArrowDeb!F18*EXP(-$A18*Def!$D$19*Def!$D$12)</f>
        <v>4.9957388576188581E-2</v>
      </c>
      <c r="G18" s="61">
        <f>ArrowDeb!G18*EXP(-$A18*Def!$D$19*Def!$D$12)</f>
        <v>6.8781299077509489E-2</v>
      </c>
      <c r="H18" s="62">
        <f>ArrowDeb!H18*EXP(-$A18*Def!$D$19*Def!$D$12)</f>
        <v>8.1951996851126321E-2</v>
      </c>
      <c r="I18" s="62">
        <f>ArrowDeb!I18*EXP(-$A18*Def!$D$19*Def!$D$12)</f>
        <v>9.0755413074084385E-2</v>
      </c>
      <c r="J18" s="62">
        <f>ArrowDeb!J18*EXP(-$A18*Def!$D$19*Def!$D$12)</f>
        <v>9.6527121441774194E-2</v>
      </c>
      <c r="K18" s="61">
        <f>ArrowDeb!K18*EXP(-$A18*Def!$D$19*Def!$D$12)</f>
        <v>0.10003709985063208</v>
      </c>
      <c r="L18" s="62">
        <f>ArrowDeb!L18*EXP(-$A18*Def!$D$19*Def!$D$12)</f>
        <v>0.1020382528066018</v>
      </c>
      <c r="M18" s="62">
        <f>ArrowDeb!M18*EXP(-$A18*Def!$D$19*Def!$D$12)</f>
        <v>0.10295129133966728</v>
      </c>
      <c r="N18" s="62">
        <f>ArrowDeb!N18*EXP(-$A18*Def!$D$19*Def!$D$12)</f>
        <v>0.1030947611001491</v>
      </c>
      <c r="O18" s="61">
        <f>ArrowDeb!O18*EXP(-$A18*Def!$D$19*Def!$D$12)</f>
        <v>0.10269775828085415</v>
      </c>
    </row>
    <row r="19" spans="1:15">
      <c r="A19" s="46">
        <f t="shared" si="0"/>
        <v>1</v>
      </c>
      <c r="C19" s="60"/>
      <c r="D19" s="62">
        <f>ArrowDeb!D19*EXP(-$A19*Def!$D$19*Def!$D$12)</f>
        <v>0.16528196854845814</v>
      </c>
      <c r="E19" s="62">
        <f>ArrowDeb!E19*EXP(-$A19*Def!$D$19*Def!$D$12)</f>
        <v>0.21859307502575778</v>
      </c>
      <c r="F19" s="62">
        <f>ArrowDeb!F19*EXP(-$A19*Def!$D$19*Def!$D$12)</f>
        <v>0.2312441068702151</v>
      </c>
      <c r="G19" s="61">
        <f>ArrowDeb!G19*EXP(-$A19*Def!$D$19*Def!$D$12)</f>
        <v>0.22924049846294639</v>
      </c>
      <c r="H19" s="62">
        <f>ArrowDeb!H19*EXP(-$A19*Def!$D$19*Def!$D$12)</f>
        <v>0.22222617640348363</v>
      </c>
      <c r="I19" s="62">
        <f>ArrowDeb!I19*EXP(-$A19*Def!$D$19*Def!$D$12)</f>
        <v>0.21372519694328468</v>
      </c>
      <c r="J19" s="62">
        <f>ArrowDeb!J19*EXP(-$A19*Def!$D$19*Def!$D$12)</f>
        <v>0.20531634371647117</v>
      </c>
      <c r="K19" s="61">
        <f>ArrowDeb!K19*EXP(-$A19*Def!$D$19*Def!$D$12)</f>
        <v>0.19712261012579507</v>
      </c>
      <c r="L19" s="62">
        <f>ArrowDeb!L19*EXP(-$A19*Def!$D$19*Def!$D$12)</f>
        <v>0.1895055991472073</v>
      </c>
      <c r="M19" s="62">
        <f>ArrowDeb!M19*EXP(-$A19*Def!$D$19*Def!$D$12)</f>
        <v>0.18241738613917399</v>
      </c>
      <c r="N19" s="62">
        <f>ArrowDeb!N19*EXP(-$A19*Def!$D$19*Def!$D$12)</f>
        <v>0.17583847158811805</v>
      </c>
      <c r="O19" s="61">
        <f>ArrowDeb!O19*EXP(-$A19*Def!$D$19*Def!$D$12)</f>
        <v>0.16974119993443743</v>
      </c>
    </row>
    <row r="20" spans="1:15">
      <c r="A20" s="46">
        <v>0</v>
      </c>
      <c r="C20" s="63">
        <f>ArrowDeb!C20*EXP(-$A20*Def!$D$19*Def!$D$12)</f>
        <v>1</v>
      </c>
      <c r="D20" s="63">
        <f>ArrowDeb!D20*EXP(-$A20*Def!$D$19*Def!$D$12)</f>
        <v>0.66256080866666656</v>
      </c>
      <c r="E20" s="63">
        <f>ArrowDeb!E20*EXP(-$A20*Def!$D$19*Def!$D$12)</f>
        <v>0.49788202201001125</v>
      </c>
      <c r="F20" s="63">
        <f>ArrowDeb!F20*EXP(-$A20*Def!$D$19*Def!$D$12)</f>
        <v>0.40765345805577091</v>
      </c>
      <c r="G20" s="63">
        <f>ArrowDeb!G20*EXP(-$A20*Def!$D$19*Def!$D$12)</f>
        <v>0.35228358082087435</v>
      </c>
      <c r="H20" s="63">
        <f>ArrowDeb!H20*EXP(-$A20*Def!$D$19*Def!$D$12)</f>
        <v>0.31482192435546996</v>
      </c>
      <c r="I20" s="63">
        <f>ArrowDeb!I20*EXP(-$A20*Def!$D$19*Def!$D$12)</f>
        <v>0.28734988753391882</v>
      </c>
      <c r="J20" s="63">
        <f>ArrowDeb!J20*EXP(-$A20*Def!$D$19*Def!$D$12)</f>
        <v>0.26629644891116672</v>
      </c>
      <c r="K20" s="63">
        <f>ArrowDeb!K20*EXP(-$A20*Def!$D$19*Def!$D$12)</f>
        <v>0.24909450874909186</v>
      </c>
      <c r="L20" s="63">
        <f>ArrowDeb!L20*EXP(-$A20*Def!$D$19*Def!$D$12)</f>
        <v>0.23480806243985114</v>
      </c>
      <c r="M20" s="63">
        <f>ArrowDeb!M20*EXP(-$A20*Def!$D$19*Def!$D$12)</f>
        <v>0.22259516173523441</v>
      </c>
      <c r="N20" s="63">
        <f>ArrowDeb!N20*EXP(-$A20*Def!$D$19*Def!$D$12)</f>
        <v>0.21197001229296611</v>
      </c>
      <c r="O20" s="63">
        <f>ArrowDeb!O20*EXP(-$A20*Def!$D$19*Def!$D$12)</f>
        <v>0.2026092789408569</v>
      </c>
    </row>
    <row r="21" spans="1:15">
      <c r="A21" s="46">
        <f t="shared" ref="A21:A32" si="1">A20-1</f>
        <v>-1</v>
      </c>
      <c r="C21" s="60"/>
      <c r="D21" s="62">
        <f>ArrowDeb!D21*EXP(-$A21*Def!$D$19*Def!$D$12)</f>
        <v>0.16599921222362607</v>
      </c>
      <c r="E21" s="62">
        <f>ArrowDeb!E21*EXP(-$A21*Def!$D$19*Def!$D$12)</f>
        <v>0.22001727624868767</v>
      </c>
      <c r="F21" s="62">
        <f>ArrowDeb!F21*EXP(-$A21*Def!$D$19*Def!$D$12)</f>
        <v>0.23325468602486799</v>
      </c>
      <c r="G21" s="61">
        <f>ArrowDeb!G21*EXP(-$A21*Def!$D$19*Def!$D$12)</f>
        <v>0.23173387965652031</v>
      </c>
      <c r="H21" s="62">
        <f>ArrowDeb!H21*EXP(-$A21*Def!$D$19*Def!$D$12)</f>
        <v>0.22512862432224975</v>
      </c>
      <c r="I21" s="62">
        <f>ArrowDeb!I21*EXP(-$A21*Def!$D$19*Def!$D$12)</f>
        <v>0.21698367115369296</v>
      </c>
      <c r="J21" s="62">
        <f>ArrowDeb!J21*EXP(-$A21*Def!$D$19*Def!$D$12)</f>
        <v>0.20889539826429518</v>
      </c>
      <c r="K21" s="61">
        <f>ArrowDeb!K21*EXP(-$A21*Def!$D$19*Def!$D$12)</f>
        <v>0.20098966299655985</v>
      </c>
      <c r="L21" s="62">
        <f>ArrowDeb!L21*EXP(-$A21*Def!$D$19*Def!$D$12)</f>
        <v>0.19363723458273302</v>
      </c>
      <c r="M21" s="62">
        <f>ArrowDeb!M21*EXP(-$A21*Def!$D$19*Def!$D$12)</f>
        <v>0.18679271184980423</v>
      </c>
      <c r="N21" s="62">
        <f>ArrowDeb!N21*EXP(-$A21*Def!$D$19*Def!$D$12)</f>
        <v>0.18043945978195369</v>
      </c>
      <c r="O21" s="61">
        <f>ArrowDeb!O21*EXP(-$A21*Def!$D$19*Def!$D$12)</f>
        <v>0.17455229839898792</v>
      </c>
    </row>
    <row r="22" spans="1:15">
      <c r="A22" s="46">
        <f t="shared" si="1"/>
        <v>-2</v>
      </c>
      <c r="C22" s="60"/>
      <c r="D22" s="60"/>
      <c r="E22" s="62">
        <f>ArrowDeb!E22*EXP(-$A22*Def!$D$19*Def!$D$12)</f>
        <v>2.5585974769831026E-2</v>
      </c>
      <c r="F22" s="62">
        <f>ArrowDeb!F22*EXP(-$A22*Def!$D$19*Def!$D$12)</f>
        <v>5.0829937432913558E-2</v>
      </c>
      <c r="G22" s="61">
        <f>ArrowDeb!G22*EXP(-$A22*Def!$D$19*Def!$D$12)</f>
        <v>7.0285662396266768E-2</v>
      </c>
      <c r="H22" s="62">
        <f>ArrowDeb!H22*EXP(-$A22*Def!$D$19*Def!$D$12)</f>
        <v>8.4106620275207322E-2</v>
      </c>
      <c r="I22" s="62">
        <f>ArrowDeb!I22*EXP(-$A22*Def!$D$19*Def!$D$12)</f>
        <v>9.3543708025635774E-2</v>
      </c>
      <c r="J22" s="62">
        <f>ArrowDeb!J22*EXP(-$A22*Def!$D$19*Def!$D$12)</f>
        <v>9.9921581098290149E-2</v>
      </c>
      <c r="K22" s="61">
        <f>ArrowDeb!K22*EXP(-$A22*Def!$D$19*Def!$D$12)</f>
        <v>0.10400035257979996</v>
      </c>
      <c r="L22" s="62">
        <f>ArrowDeb!L22*EXP(-$A22*Def!$D$19*Def!$D$12)</f>
        <v>0.10653585189614162</v>
      </c>
      <c r="M22" s="62">
        <f>ArrowDeb!M22*EXP(-$A22*Def!$D$19*Def!$D$12)</f>
        <v>0.1079489202734895</v>
      </c>
      <c r="N22" s="62">
        <f>ArrowDeb!N22*EXP(-$A22*Def!$D$19*Def!$D$12)</f>
        <v>0.10856027723991024</v>
      </c>
      <c r="O22" s="61">
        <f>ArrowDeb!O22*EXP(-$A22*Def!$D$19*Def!$D$12)</f>
        <v>0.10860171810499027</v>
      </c>
    </row>
    <row r="23" spans="1:15">
      <c r="A23" s="46">
        <f t="shared" si="1"/>
        <v>-3</v>
      </c>
      <c r="C23" s="60"/>
      <c r="D23" s="60"/>
      <c r="E23" s="60"/>
      <c r="F23" s="62">
        <f>ArrowDeb!F23*EXP(-$A23*Def!$D$19*Def!$D$12)</f>
        <v>3.6536977916725635E-3</v>
      </c>
      <c r="G23" s="61">
        <f>ArrowDeb!G23*EXP(-$A23*Def!$D$19*Def!$D$12)</f>
        <v>9.6644922264440998E-3</v>
      </c>
      <c r="H23" s="62">
        <f>ArrowDeb!H23*EXP(-$A23*Def!$D$19*Def!$D$12)</f>
        <v>1.6503204312366699E-2</v>
      </c>
      <c r="I23" s="62">
        <f>ArrowDeb!I23*EXP(-$A23*Def!$D$19*Def!$D$12)</f>
        <v>2.3206272112174353E-2</v>
      </c>
      <c r="J23" s="62">
        <f>ArrowDeb!J23*EXP(-$A23*Def!$D$19*Def!$D$12)</f>
        <v>2.9334400032954674E-2</v>
      </c>
      <c r="K23" s="61">
        <f>ArrowDeb!K23*EXP(-$A23*Def!$D$19*Def!$D$12)</f>
        <v>3.4672636938161659E-2</v>
      </c>
      <c r="L23" s="62">
        <f>ArrowDeb!L23*EXP(-$A23*Def!$D$19*Def!$D$12)</f>
        <v>3.9233067764554812E-2</v>
      </c>
      <c r="M23" s="62">
        <f>ArrowDeb!M23*EXP(-$A23*Def!$D$19*Def!$D$12)</f>
        <v>4.3059645936379447E-2</v>
      </c>
      <c r="N23" s="62">
        <f>ArrowDeb!N23*EXP(-$A23*Def!$D$19*Def!$D$12)</f>
        <v>4.6235277754710154E-2</v>
      </c>
      <c r="O23" s="61">
        <f>ArrowDeb!O23*EXP(-$A23*Def!$D$19*Def!$D$12)</f>
        <v>4.8850781814342541E-2</v>
      </c>
    </row>
    <row r="24" spans="1:15">
      <c r="A24" s="46">
        <f t="shared" si="1"/>
        <v>-4</v>
      </c>
      <c r="C24" s="60"/>
      <c r="D24" s="60"/>
      <c r="E24" s="60"/>
      <c r="F24" s="60"/>
      <c r="G24" s="61">
        <f>ArrowDeb!G24*EXP(-$A24*Def!$D$19*Def!$D$12)</f>
        <v>4.8249830884343004E-4</v>
      </c>
      <c r="H24" s="62">
        <f>ArrowDeb!H24*EXP(-$A24*Def!$D$19*Def!$D$12)</f>
        <v>1.5921976817301149E-3</v>
      </c>
      <c r="I24" s="62">
        <f>ArrowDeb!I24*EXP(-$A24*Def!$D$19*Def!$D$12)</f>
        <v>3.2339596305911962E-3</v>
      </c>
      <c r="J24" s="62">
        <f>ArrowDeb!J24*EXP(-$A24*Def!$D$19*Def!$D$12)</f>
        <v>5.2364046138679435E-3</v>
      </c>
      <c r="K24" s="61">
        <f>ArrowDeb!K24*EXP(-$A24*Def!$D$19*Def!$D$12)</f>
        <v>7.4216471225805949E-3</v>
      </c>
      <c r="L24" s="62">
        <f>ArrowDeb!L24*EXP(-$A24*Def!$D$19*Def!$D$12)</f>
        <v>9.6596025456891412E-3</v>
      </c>
      <c r="M24" s="62">
        <f>ArrowDeb!M24*EXP(-$A24*Def!$D$19*Def!$D$12)</f>
        <v>1.1853237557819573E-2</v>
      </c>
      <c r="N24" s="62">
        <f>ArrowDeb!N24*EXP(-$A24*Def!$D$19*Def!$D$12)</f>
        <v>1.3941856792118349E-2</v>
      </c>
      <c r="O24" s="61">
        <f>ArrowDeb!O24*EXP(-$A24*Def!$D$19*Def!$D$12)</f>
        <v>1.5891406530717151E-2</v>
      </c>
    </row>
    <row r="25" spans="1:15">
      <c r="A25" s="46">
        <f t="shared" si="1"/>
        <v>-5</v>
      </c>
      <c r="C25" s="60"/>
      <c r="D25" s="60"/>
      <c r="E25" s="60"/>
      <c r="F25" s="60"/>
      <c r="G25" s="60"/>
      <c r="H25" s="62">
        <f>ArrowDeb!H25*EXP(-$A25*Def!$D$19*Def!$D$12)</f>
        <v>5.8825488053742433E-5</v>
      </c>
      <c r="I25" s="62">
        <f>ArrowDeb!I25*EXP(-$A25*Def!$D$19*Def!$D$12)</f>
        <v>2.3225933104149441E-4</v>
      </c>
      <c r="J25" s="62">
        <f>ArrowDeb!J25*EXP(-$A25*Def!$D$19*Def!$D$12)</f>
        <v>5.4700736561045572E-4</v>
      </c>
      <c r="K25" s="61">
        <f>ArrowDeb!K25*EXP(-$A25*Def!$D$19*Def!$D$12)</f>
        <v>1.000632036086293E-3</v>
      </c>
      <c r="L25" s="62">
        <f>ArrowDeb!L25*EXP(-$A25*Def!$D$19*Def!$D$12)</f>
        <v>1.5739364895253863E-3</v>
      </c>
      <c r="M25" s="62">
        <f>ArrowDeb!M25*EXP(-$A25*Def!$D$19*Def!$D$12)</f>
        <v>2.2389643340809456E-3</v>
      </c>
      <c r="N25" s="62">
        <f>ArrowDeb!N25*EXP(-$A25*Def!$D$19*Def!$D$12)</f>
        <v>2.9668171945749335E-3</v>
      </c>
      <c r="O25" s="61">
        <f>ArrowDeb!O25*EXP(-$A25*Def!$D$19*Def!$D$12)</f>
        <v>3.7314192879248924E-3</v>
      </c>
    </row>
    <row r="26" spans="1:15">
      <c r="A26" s="46">
        <f t="shared" si="1"/>
        <v>-6</v>
      </c>
      <c r="C26" s="60"/>
      <c r="D26" s="60"/>
      <c r="E26" s="60"/>
      <c r="F26" s="60"/>
      <c r="G26" s="60"/>
      <c r="H26" s="60"/>
      <c r="I26" s="62">
        <f>ArrowDeb!I26*EXP(-$A26*Def!$D$19*Def!$D$12)</f>
        <v>6.6084517788528433E-6</v>
      </c>
      <c r="J26" s="62">
        <f>ArrowDeb!J26*EXP(-$A26*Def!$D$19*Def!$D$12)</f>
        <v>3.036740943029013E-5</v>
      </c>
      <c r="K26" s="61">
        <f>ArrowDeb!K26*EXP(-$A26*Def!$D$19*Def!$D$12)</f>
        <v>8.1153150818719723E-5</v>
      </c>
      <c r="L26" s="62">
        <f>ArrowDeb!L26*EXP(-$A26*Def!$D$19*Def!$D$12)</f>
        <v>1.6554722769025206E-4</v>
      </c>
      <c r="M26" s="62">
        <f>ArrowDeb!M26*EXP(-$A26*Def!$D$19*Def!$D$12)</f>
        <v>2.8605169260642762E-4</v>
      </c>
      <c r="N26" s="62">
        <f>ArrowDeb!N26*EXP(-$A26*Def!$D$19*Def!$D$12)</f>
        <v>4.4170592135280956E-4</v>
      </c>
      <c r="O26" s="61">
        <f>ArrowDeb!O26*EXP(-$A26*Def!$D$19*Def!$D$12)</f>
        <v>6.2912920143135735E-4</v>
      </c>
    </row>
    <row r="27" spans="1:15">
      <c r="A27" s="46">
        <f t="shared" si="1"/>
        <v>-7</v>
      </c>
      <c r="C27" s="60"/>
      <c r="D27" s="60"/>
      <c r="E27" s="60"/>
      <c r="F27" s="60"/>
      <c r="G27" s="60"/>
      <c r="H27" s="60"/>
      <c r="I27" s="60"/>
      <c r="J27" s="62">
        <f>ArrowDeb!J27*EXP(-$A27*Def!$D$19*Def!$D$12)</f>
        <v>6.8389687024539381E-7</v>
      </c>
      <c r="K27" s="61">
        <f>ArrowDeb!K27*EXP(-$A27*Def!$D$19*Def!$D$12)</f>
        <v>3.5747888891656164E-6</v>
      </c>
      <c r="L27" s="62">
        <f>ArrowDeb!L27*EXP(-$A27*Def!$D$19*Def!$D$12)</f>
        <v>1.0666742147048791E-5</v>
      </c>
      <c r="M27" s="62">
        <f>ArrowDeb!M27*EXP(-$A27*Def!$D$19*Def!$D$12)</f>
        <v>2.3905604054691987E-5</v>
      </c>
      <c r="N27" s="62">
        <f>ArrowDeb!N27*EXP(-$A27*Def!$D$19*Def!$D$12)</f>
        <v>4.4794288095521125E-5</v>
      </c>
      <c r="O27" s="61">
        <f>ArrowDeb!O27*EXP(-$A27*Def!$D$19*Def!$D$12)</f>
        <v>7.4203637116459546E-5</v>
      </c>
    </row>
    <row r="28" spans="1:15">
      <c r="A28" s="46">
        <f t="shared" si="1"/>
        <v>-8</v>
      </c>
      <c r="C28" s="60"/>
      <c r="D28" s="60"/>
      <c r="E28" s="60"/>
      <c r="F28" s="60"/>
      <c r="G28" s="60"/>
      <c r="H28" s="60"/>
      <c r="I28" s="60"/>
      <c r="J28" s="60"/>
      <c r="K28" s="61">
        <f>ArrowDeb!K28*EXP(-$A28*Def!$D$19*Def!$D$12)</f>
        <v>6.5017582369721119E-8</v>
      </c>
      <c r="L28" s="62">
        <f>ArrowDeb!L28*EXP(-$A28*Def!$D$19*Def!$D$12)</f>
        <v>3.9771361494310254E-7</v>
      </c>
      <c r="M28" s="62">
        <f>ArrowDeb!M28*EXP(-$A28*Def!$D$19*Def!$D$12)</f>
        <v>1.3675453515466419E-6</v>
      </c>
      <c r="N28" s="62">
        <f>ArrowDeb!N28*EXP(-$A28*Def!$D$19*Def!$D$12)</f>
        <v>3.4874885551068106E-6</v>
      </c>
      <c r="O28" s="61">
        <f>ArrowDeb!O28*EXP(-$A28*Def!$D$19*Def!$D$12)</f>
        <v>7.3561730126702766E-6</v>
      </c>
    </row>
    <row r="29" spans="1:15">
      <c r="A29" s="46">
        <f t="shared" si="1"/>
        <v>-9</v>
      </c>
      <c r="C29" s="60"/>
      <c r="D29" s="60"/>
      <c r="E29" s="60"/>
      <c r="F29" s="60"/>
      <c r="G29" s="60"/>
      <c r="H29" s="60"/>
      <c r="I29" s="60"/>
      <c r="J29" s="60"/>
      <c r="K29" s="60"/>
      <c r="L29" s="62">
        <f>ArrowDeb!L29*EXP(-$A29*Def!$D$19*Def!$D$12)</f>
        <v>0</v>
      </c>
      <c r="M29" s="62">
        <f>ArrowDeb!M29*EXP(-$A29*Def!$D$19*Def!$D$12)</f>
        <v>0</v>
      </c>
      <c r="N29" s="62">
        <f>ArrowDeb!N29*EXP(-$A29*Def!$D$19*Def!$D$12)</f>
        <v>0</v>
      </c>
      <c r="O29" s="61">
        <f>ArrowDeb!O29*EXP(-$A29*Def!$D$19*Def!$D$12)</f>
        <v>0</v>
      </c>
    </row>
    <row r="30" spans="1:15">
      <c r="A30" s="46">
        <f t="shared" si="1"/>
        <v>-10</v>
      </c>
      <c r="C30" s="60"/>
      <c r="D30" s="60"/>
      <c r="E30" s="60"/>
      <c r="F30" s="60"/>
      <c r="G30" s="60"/>
      <c r="H30" s="60"/>
      <c r="I30" s="60"/>
      <c r="J30" s="60"/>
      <c r="K30" s="60"/>
      <c r="L30" s="60"/>
      <c r="M30" s="62">
        <f>ArrowDeb!M30*EXP(-$A30*Def!$D$19*Def!$D$12)</f>
        <v>0</v>
      </c>
      <c r="N30" s="62">
        <f>ArrowDeb!N30*EXP(-$A30*Def!$D$19*Def!$D$12)</f>
        <v>0</v>
      </c>
      <c r="O30" s="61">
        <f>ArrowDeb!O30*EXP(-$A30*Def!$D$19*Def!$D$12)</f>
        <v>0</v>
      </c>
    </row>
    <row r="31" spans="1:15">
      <c r="A31" s="46">
        <f t="shared" si="1"/>
        <v>-11</v>
      </c>
      <c r="C31" s="60"/>
      <c r="D31" s="60"/>
      <c r="E31" s="60"/>
      <c r="F31" s="60"/>
      <c r="G31" s="60"/>
      <c r="H31" s="60"/>
      <c r="I31" s="60"/>
      <c r="J31" s="60"/>
      <c r="K31" s="60"/>
      <c r="L31" s="60"/>
      <c r="M31" s="60"/>
      <c r="N31" s="62">
        <f>ArrowDeb!N31*EXP(-$A31*Def!$D$19*Def!$D$12)</f>
        <v>0</v>
      </c>
      <c r="O31" s="61">
        <f>ArrowDeb!O31*EXP(-$A31*Def!$D$19*Def!$D$12)</f>
        <v>0</v>
      </c>
    </row>
    <row r="32" spans="1:15">
      <c r="A32" s="46">
        <f t="shared" si="1"/>
        <v>-12</v>
      </c>
      <c r="C32" s="60"/>
      <c r="D32" s="60"/>
      <c r="E32" s="60"/>
      <c r="F32" s="60"/>
      <c r="G32" s="60"/>
      <c r="H32" s="60"/>
      <c r="I32" s="60"/>
      <c r="J32" s="60"/>
      <c r="K32" s="60"/>
      <c r="L32" s="60"/>
      <c r="M32" s="60"/>
      <c r="N32" s="60"/>
      <c r="O32" s="61">
        <f>ArrowDeb!O32*EXP(-$A32*Def!$D$19*Def!$D$12)</f>
        <v>0</v>
      </c>
    </row>
  </sheetData>
  <phoneticPr fontId="9"/>
  <printOptions gridLinesSet="0"/>
  <pageMargins left="0" right="0" top="0" bottom="0" header="0" footer="0"/>
  <pageSetup paperSize="9" scale="80" pageOrder="overThenDown" orientation="landscape" horizontalDpi="4294967292" verticalDpi="0" r:id="rId1"/>
  <headerFooter alignWithMargins="0">
    <oddHeader>&amp;A</oddHeader>
    <oddFooter>- &amp;P -</oddFooter>
  </headerFooter>
  <drawing r:id="rId2"/>
</worksheet>
</file>

<file path=xl/worksheets/sheet11.xml><?xml version="1.0" encoding="utf-8"?>
<worksheet xmlns="http://schemas.openxmlformats.org/spreadsheetml/2006/main" xmlns:r="http://schemas.openxmlformats.org/officeDocument/2006/relationships">
  <dimension ref="A3:O32"/>
  <sheetViews>
    <sheetView topLeftCell="A3" zoomScale="80" workbookViewId="0">
      <selection activeCell="C23" sqref="C23"/>
    </sheetView>
  </sheetViews>
  <sheetFormatPr defaultRowHeight="13.5"/>
  <cols>
    <col min="1" max="1" width="4.625" style="20" customWidth="1"/>
    <col min="2" max="2" width="3.625" style="20" customWidth="1"/>
    <col min="3" max="15" width="8.625" style="20" customWidth="1"/>
    <col min="16" max="16384" width="9" style="20"/>
  </cols>
  <sheetData>
    <row r="3" spans="1:15">
      <c r="B3" s="17" t="s">
        <v>36</v>
      </c>
      <c r="C3" s="46">
        <v>0</v>
      </c>
      <c r="D3" s="46">
        <v>1</v>
      </c>
      <c r="E3" s="46">
        <v>2</v>
      </c>
      <c r="F3" s="46">
        <v>3</v>
      </c>
      <c r="G3" s="46">
        <v>4</v>
      </c>
      <c r="H3" s="46">
        <v>5</v>
      </c>
      <c r="I3" s="46">
        <v>6</v>
      </c>
      <c r="J3" s="46">
        <v>7</v>
      </c>
      <c r="K3" s="46">
        <v>8</v>
      </c>
      <c r="L3" s="46">
        <v>9</v>
      </c>
      <c r="M3" s="46">
        <v>10</v>
      </c>
      <c r="N3" s="46">
        <v>11</v>
      </c>
      <c r="O3" s="46">
        <v>12</v>
      </c>
    </row>
    <row r="4" spans="1:15">
      <c r="B4" s="17" t="s">
        <v>37</v>
      </c>
      <c r="C4" s="46">
        <f>Def!$D$12*C$3</f>
        <v>0</v>
      </c>
      <c r="D4" s="46">
        <f>Def!$D$12*D$3</f>
        <v>0.25</v>
      </c>
      <c r="E4" s="46">
        <f>Def!$D$12*E$3</f>
        <v>0.5</v>
      </c>
      <c r="F4" s="46">
        <f>Def!$D$12*F$3</f>
        <v>0.75</v>
      </c>
      <c r="G4" s="46">
        <f>Def!$D$12*G$3</f>
        <v>1</v>
      </c>
      <c r="H4" s="46">
        <f>Def!$D$12*H$3</f>
        <v>1.25</v>
      </c>
      <c r="I4" s="46">
        <f>Def!$D$12*I$3</f>
        <v>1.5</v>
      </c>
      <c r="J4" s="46">
        <f>Def!$D$12*J$3</f>
        <v>1.75</v>
      </c>
      <c r="K4" s="46">
        <f>Def!$D$12*K$3</f>
        <v>2</v>
      </c>
      <c r="L4" s="46">
        <f>Def!$D$12*L$3</f>
        <v>2.25</v>
      </c>
      <c r="M4" s="46">
        <f>Def!$D$12*M$3</f>
        <v>2.5</v>
      </c>
      <c r="N4" s="46">
        <f>Def!$D$12*N$3</f>
        <v>2.75</v>
      </c>
      <c r="O4" s="46">
        <f>Def!$D$12*O$3</f>
        <v>3</v>
      </c>
    </row>
    <row r="5" spans="1:15">
      <c r="A5" s="17" t="s">
        <v>29</v>
      </c>
    </row>
    <row r="8" spans="1:15">
      <c r="A8" s="46">
        <f t="shared" ref="A8:A19" si="0">A9+1</f>
        <v>12</v>
      </c>
      <c r="C8" s="60"/>
      <c r="D8" s="60"/>
      <c r="E8" s="60"/>
      <c r="F8" s="60"/>
      <c r="G8" s="60"/>
      <c r="H8" s="60"/>
      <c r="I8" s="60"/>
      <c r="J8" s="60"/>
      <c r="K8" s="60"/>
      <c r="L8" s="60"/>
      <c r="M8" s="60"/>
      <c r="N8" s="60"/>
      <c r="O8" s="61">
        <f>(Pjmax!$E6)*N6+(Pjmax!$D7+Pnorm!$E7)*N7+(Pjmax!$C8+Pnorm!$D8+Pjmin!$E8)*N8+(Pnorm!$C9+Pjmin!$D9)*N9+(Pjmin!$C10)*N10</f>
        <v>0</v>
      </c>
    </row>
    <row r="9" spans="1:15">
      <c r="A9" s="46">
        <f t="shared" si="0"/>
        <v>11</v>
      </c>
      <c r="C9" s="60"/>
      <c r="D9" s="60"/>
      <c r="E9" s="60"/>
      <c r="F9" s="60"/>
      <c r="G9" s="60"/>
      <c r="H9" s="60"/>
      <c r="I9" s="60"/>
      <c r="J9" s="60"/>
      <c r="K9" s="60"/>
      <c r="L9" s="60"/>
      <c r="M9" s="60"/>
      <c r="N9" s="62">
        <f>(Pjmax!$E7)*M7+(Pjmax!$D8+Pnorm!$E8)*M8+(Pjmax!$C9+Pnorm!$D9+Pjmin!$E9)*M9+(Pnorm!$C10+Pjmin!$D10)*M10+(Pjmin!$C11)*M11</f>
        <v>0</v>
      </c>
      <c r="O9" s="61">
        <f>(Pjmax!$E7)*N7+(Pjmax!$D8+Pnorm!$E8)*N8+(Pjmax!$C9+Pnorm!$D9+Pjmin!$E9)*N9+(Pnorm!$C10+Pjmin!$D10)*N10+(Pjmin!$C11)*N11</f>
        <v>0</v>
      </c>
    </row>
    <row r="10" spans="1:15">
      <c r="A10" s="46">
        <f t="shared" si="0"/>
        <v>10</v>
      </c>
      <c r="C10" s="60"/>
      <c r="D10" s="60"/>
      <c r="E10" s="60"/>
      <c r="F10" s="60"/>
      <c r="G10" s="60"/>
      <c r="H10" s="60"/>
      <c r="I10" s="60"/>
      <c r="J10" s="60"/>
      <c r="K10" s="60"/>
      <c r="L10" s="60"/>
      <c r="M10" s="62">
        <f>(Pjmax!$E8)*L8+(Pjmax!$D9+Pnorm!$E9)*L9+(Pjmax!$C10+Pnorm!$D10+Pjmin!$E10)*L10+(Pnorm!$C11+Pjmin!$D11)*L11+(Pjmin!$C12)*L12</f>
        <v>0</v>
      </c>
      <c r="N10" s="62">
        <f>(Pjmax!$E8)*M8+(Pjmax!$D9+Pnorm!$E9)*M9+(Pjmax!$C10+Pnorm!$D10+Pjmin!$E10)*M10+(Pnorm!$C11+Pjmin!$D11)*M11+(Pjmin!$C12)*M12</f>
        <v>0</v>
      </c>
      <c r="O10" s="61">
        <f>(Pjmax!$E8)*N8+(Pjmax!$D9+Pnorm!$E9)*N9+(Pjmax!$C10+Pnorm!$D10+Pjmin!$E10)*N10+(Pnorm!$C11+Pjmin!$D11)*N11+(Pjmin!$C12)*N12</f>
        <v>0</v>
      </c>
    </row>
    <row r="11" spans="1:15">
      <c r="A11" s="46">
        <f t="shared" si="0"/>
        <v>9</v>
      </c>
      <c r="C11" s="60"/>
      <c r="D11" s="60"/>
      <c r="E11" s="60"/>
      <c r="F11" s="60"/>
      <c r="G11" s="60"/>
      <c r="H11" s="60"/>
      <c r="I11" s="60"/>
      <c r="J11" s="60"/>
      <c r="K11" s="60"/>
      <c r="L11" s="62">
        <f>(Pjmax!$E9)*K9+(Pjmax!$D10+Pnorm!$E10)*K10+(Pjmax!$C11+Pnorm!$D11+Pjmin!$E11)*K11+(Pnorm!$C12+Pjmin!$D12)*K12+(Pjmin!$C13)*K13</f>
        <v>0</v>
      </c>
      <c r="M11" s="62">
        <f>(Pjmax!$E9)*L9+(Pjmax!$D10+Pnorm!$E10)*L10+(Pjmax!$C11+Pnorm!$D11+Pjmin!$E11)*L11+(Pnorm!$C12+Pjmin!$D12)*L12+(Pjmin!$C13)*L13</f>
        <v>0</v>
      </c>
      <c r="N11" s="62">
        <f>(Pjmax!$E9)*M9+(Pjmax!$D10+Pnorm!$E10)*M10+(Pjmax!$C11+Pnorm!$D11+Pjmin!$E11)*M11+(Pnorm!$C12+Pjmin!$D12)*M12+(Pjmin!$C13)*M13</f>
        <v>0</v>
      </c>
      <c r="O11" s="61">
        <f>(Pjmax!$E9)*N9+(Pjmax!$D10+Pnorm!$E10)*N10+(Pjmax!$C11+Pnorm!$D11+Pjmin!$E11)*N11+(Pnorm!$C12+Pjmin!$D12)*N12+(Pjmin!$C13)*N13</f>
        <v>0</v>
      </c>
    </row>
    <row r="12" spans="1:15">
      <c r="A12" s="46">
        <f t="shared" si="0"/>
        <v>8</v>
      </c>
      <c r="C12" s="60"/>
      <c r="D12" s="60"/>
      <c r="E12" s="60"/>
      <c r="F12" s="60"/>
      <c r="G12" s="60"/>
      <c r="H12" s="60"/>
      <c r="I12" s="60"/>
      <c r="J12" s="60"/>
      <c r="K12" s="61">
        <f>(Pjmax!$E10)*J10+(Pjmax!$D11+Pnorm!$E11)*J11+(Pjmax!$C12+Pnorm!$D12+Pjmin!$E12)*J12+(Pnorm!$C13+Pjmin!$D13)*J13+(Pjmin!$C14)*J14</f>
        <v>6.4333552571923609E-8</v>
      </c>
      <c r="L12" s="62">
        <f>(Pjmax!$E10)*K10+(Pjmax!$D11+Pnorm!$E11)*K11+(Pjmax!$C12+Pnorm!$D12+Pjmin!$E12)*K12+(Pnorm!$C13+Pjmin!$D13)*K13+(Pjmin!$C14)*K14</f>
        <v>3.9452551114732152E-7</v>
      </c>
      <c r="M12" s="62">
        <f>(Pjmax!$E10)*L10+(Pjmax!$D11+Pnorm!$E11)*L11+(Pjmax!$C12+Pnorm!$D12+Pjmin!$E12)*L12+(Pnorm!$C13+Pjmin!$D13)*L13+(Pjmin!$C14)*L14</f>
        <v>1.3608538196062175E-6</v>
      </c>
      <c r="N12" s="62">
        <f>(Pjmax!$E10)*M10+(Pjmax!$D11+Pnorm!$E11)*M11+(Pjmax!$C12+Pnorm!$D12+Pjmin!$E12)*M12+(Pnorm!$C13+Pjmin!$D13)*M13+(Pjmin!$C14)*M14</f>
        <v>3.4831305004619682E-6</v>
      </c>
      <c r="O12" s="61">
        <f>(Pjmax!$E10)*N10+(Pjmax!$D11+Pnorm!$E11)*N11+(Pjmax!$C12+Pnorm!$D12+Pjmin!$E12)*N12+(Pnorm!$C13+Pjmin!$D13)*N13+(Pjmin!$C14)*N14</f>
        <v>7.3765640764928126E-6</v>
      </c>
    </row>
    <row r="13" spans="1:15">
      <c r="A13" s="46">
        <f t="shared" si="0"/>
        <v>7</v>
      </c>
      <c r="C13" s="60"/>
      <c r="D13" s="60"/>
      <c r="E13" s="60"/>
      <c r="F13" s="60"/>
      <c r="G13" s="60"/>
      <c r="H13" s="60"/>
      <c r="I13" s="60"/>
      <c r="J13" s="62">
        <f>(Pjmax!$E11)*I11+(Pjmax!$D12+Pnorm!$E12)*I12+(Pjmax!$C13+Pnorm!$D13+Pjmin!$E13)*I13+(Pnorm!$C14+Pjmin!$D14)*I14+(Pjmin!$C15)*I15</f>
        <v>6.8092845059588396E-7</v>
      </c>
      <c r="K13" s="61">
        <f>(Pjmax!$E11)*J11+(Pjmax!$D12+Pnorm!$E12)*J12+(Pjmax!$C13+Pnorm!$D13+Pjmin!$E13)*J13+(Pnorm!$C14+Pjmin!$D14)*J14+(Pjmin!$C15)*J15</f>
        <v>3.5720371637509075E-6</v>
      </c>
      <c r="L13" s="62">
        <f>(Pjmax!$E11)*K11+(Pjmax!$D12+Pnorm!$E12)*K12+(Pjmax!$C13+Pnorm!$D13+Pjmin!$E13)*K13+(Pnorm!$C14+Pjmin!$D14)*K14+(Pjmin!$C15)*K15</f>
        <v>1.0701207847115422E-5</v>
      </c>
      <c r="M13" s="62">
        <f>(Pjmax!$E11)*L11+(Pjmax!$D12+Pnorm!$E12)*L12+(Pjmax!$C13+Pnorm!$D13+Pjmin!$E13)*L13+(Pnorm!$C14+Pjmin!$D14)*L14+(Pjmin!$C15)*L15</f>
        <v>2.4095330862124338E-5</v>
      </c>
      <c r="N13" s="62">
        <f>(Pjmax!$E11)*M11+(Pjmax!$D12+Pnorm!$E12)*M12+(Pjmax!$C13+Pnorm!$D13+Pjmin!$E13)*M13+(Pnorm!$C14+Pjmin!$D14)*M14+(Pjmin!$C15)*M15</f>
        <v>4.5387660765599474E-5</v>
      </c>
      <c r="O13" s="61">
        <f>(Pjmax!$E11)*N11+(Pjmax!$D12+Pnorm!$E12)*N12+(Pjmax!$C13+Pnorm!$D13+Pjmin!$E13)*N13+(Pnorm!$C14+Pjmin!$D14)*N14+(Pjmin!$C15)*N15</f>
        <v>7.5614664461472157E-5</v>
      </c>
    </row>
    <row r="14" spans="1:15">
      <c r="A14" s="46">
        <f t="shared" si="0"/>
        <v>6</v>
      </c>
      <c r="C14" s="60"/>
      <c r="D14" s="60"/>
      <c r="E14" s="60"/>
      <c r="F14" s="60"/>
      <c r="G14" s="60"/>
      <c r="H14" s="60"/>
      <c r="I14" s="62">
        <f>(Pjmax!$E12)*H12+(Pjmax!$D13+Pnorm!$E13)*H13+(Pjmax!$C14+Pnorm!$D14+Pjmin!$E14)*H14+(Pnorm!$C15+Pjmin!$D15)*H15+(Pjmin!$C16)*H16</f>
        <v>6.6163088317008978E-6</v>
      </c>
      <c r="J14" s="62">
        <f>(Pjmax!$E12)*I12+(Pjmax!$D13+Pnorm!$E13)*I13+(Pjmax!$C14+Pnorm!$D14+Pjmin!$E14)*I14+(Pnorm!$C15+Pjmin!$D15)*I15+(Pjmin!$C16)*I16</f>
        <v>3.0499805316467863E-5</v>
      </c>
      <c r="K14" s="61">
        <f>(Pjmax!$E12)*J12+(Pjmax!$D13+Pnorm!$E13)*J13+(Pjmax!$C14+Pnorm!$D14+Pjmin!$E14)*J14+(Pnorm!$C15+Pjmin!$D15)*J15+(Pjmin!$C16)*J16</f>
        <v>8.1886909940269857E-5</v>
      </c>
      <c r="L14" s="62">
        <f>(Pjmax!$E12)*K12+(Pjmax!$D13+Pnorm!$E13)*K13+(Pjmax!$C14+Pnorm!$D14+Pjmin!$E14)*K14+(Pnorm!$C15+Pjmin!$D15)*K15+(Pjmin!$C16)*K16</f>
        <v>1.6788724962657204E-4</v>
      </c>
      <c r="M14" s="62">
        <f>(Pjmax!$E12)*L12+(Pjmax!$D13+Pnorm!$E13)*L13+(Pjmax!$C14+Pnorm!$D14+Pjmin!$E14)*L14+(Pnorm!$C15+Pjmin!$D15)*L15+(Pjmin!$C16)*L16</f>
        <v>2.9174805114150259E-4</v>
      </c>
      <c r="N14" s="62">
        <f>(Pjmax!$E12)*M12+(Pjmax!$D13+Pnorm!$E13)*M13+(Pjmax!$C14+Pnorm!$D14+Pjmin!$E14)*M14+(Pnorm!$C15+Pjmin!$D15)*M15+(Pjmin!$C16)*M16</f>
        <v>4.5331178217334429E-4</v>
      </c>
      <c r="O14" s="61">
        <f>(Pjmax!$E12)*N12+(Pjmax!$D13+Pnorm!$E13)*N13+(Pjmax!$C14+Pnorm!$D14+Pjmin!$E14)*N14+(Pnorm!$C15+Pjmin!$D15)*N15+(Pjmin!$C16)*N16</f>
        <v>6.4993488870558028E-4</v>
      </c>
    </row>
    <row r="15" spans="1:15">
      <c r="A15" s="46">
        <f t="shared" si="0"/>
        <v>5</v>
      </c>
      <c r="C15" s="60"/>
      <c r="D15" s="60"/>
      <c r="E15" s="60"/>
      <c r="F15" s="60"/>
      <c r="G15" s="60"/>
      <c r="H15" s="62">
        <f>(Pjmax!$E13)*G13+(Pjmax!$D14+Pnorm!$E14)*G14+(Pjmax!$C15+Pnorm!$D15+Pjmin!$E15)*G15+(Pnorm!$C16+Pjmin!$D16)*G16+(Pjmin!$C17)*G17</f>
        <v>5.9085176543561509E-5</v>
      </c>
      <c r="I15" s="62">
        <f>(Pjmax!$E13)*H13+(Pjmax!$D14+Pnorm!$E14)*H14+(Pjmax!$C15+Pnorm!$D15+Pjmin!$E15)*H15+(Pnorm!$C16+Pjmin!$D16)*H16+(Pjmin!$C17)*H17</f>
        <v>2.343096532305611E-4</v>
      </c>
      <c r="J15" s="62">
        <f>(Pjmax!$E13)*I13+(Pjmax!$D14+Pnorm!$E14)*I14+(Pjmax!$C15+Pnorm!$D15+Pjmin!$E15)*I15+(Pnorm!$C16+Pjmin!$D16)*I16+(Pjmin!$C17)*I17</f>
        <v>5.5417858367242962E-4</v>
      </c>
      <c r="K15" s="61">
        <f>(Pjmax!$E13)*J13+(Pjmax!$D14+Pnorm!$E14)*J14+(Pjmax!$C15+Pnorm!$D15+Pjmin!$E15)*J15+(Pnorm!$C16+Pjmin!$D16)*J16+(Pjmin!$C17)*J17</f>
        <v>1.0195670322661391E-3</v>
      </c>
      <c r="L15" s="62">
        <f>(Pjmax!$E13)*K13+(Pjmax!$D14+Pnorm!$E14)*K14+(Pjmax!$C15+Pnorm!$D15+Pjmin!$E15)*K15+(Pnorm!$C16+Pjmin!$D16)*K16+(Pjmin!$C17)*K17</f>
        <v>1.6135388552018059E-3</v>
      </c>
      <c r="M15" s="62">
        <f>(Pjmax!$E13)*L13+(Pjmax!$D14+Pnorm!$E14)*L14+(Pjmax!$C15+Pnorm!$D15+Pjmin!$E15)*L15+(Pnorm!$C16+Pjmin!$D16)*L16+(Pjmin!$C17)*L17</f>
        <v>2.310843078406349E-3</v>
      </c>
      <c r="N15" s="62">
        <f>(Pjmax!$E13)*M13+(Pjmax!$D14+Pnorm!$E14)*M14+(Pjmax!$C15+Pnorm!$D15+Pjmin!$E15)*M15+(Pnorm!$C16+Pjmin!$D16)*M16+(Pjmin!$C17)*M17</f>
        <v>3.0844456071038324E-3</v>
      </c>
      <c r="O15" s="61">
        <f>(Pjmax!$E13)*N13+(Pjmax!$D14+Pnorm!$E14)*N14+(Pjmax!$C15+Pnorm!$D15+Pjmin!$E15)*N15+(Pnorm!$C16+Pjmin!$D16)*N16+(Pjmin!$C17)*N17</f>
        <v>3.9092050084074854E-3</v>
      </c>
    </row>
    <row r="16" spans="1:15">
      <c r="A16" s="46">
        <f t="shared" si="0"/>
        <v>4</v>
      </c>
      <c r="C16" s="60"/>
      <c r="D16" s="60"/>
      <c r="E16" s="60"/>
      <c r="F16" s="60"/>
      <c r="G16" s="61">
        <f>(Pjmax!$E14)*F14+(Pjmax!$D15+Pnorm!$E15)*F15+(Pjmax!$C16+Pnorm!$D16+Pjmin!$E16)*F16+(Pnorm!$C17+Pjmin!$D17)*F17+(Pjmin!$C18)*F18</f>
        <v>4.8563158802927272E-4</v>
      </c>
      <c r="H16" s="62">
        <f>(Pjmax!$E14)*G14+(Pjmax!$D15+Pnorm!$E15)*G15+(Pjmax!$C16+Pnorm!$D16+Pjmin!$E16)*G16+(Pnorm!$C17+Pjmin!$D17)*G17+(Pjmin!$C18)*G18</f>
        <v>1.6096663678220268E-3</v>
      </c>
      <c r="I16" s="62">
        <f>(Pjmax!$E14)*H14+(Pjmax!$D15+Pnorm!$E15)*H15+(Pjmax!$C16+Pnorm!$D16+Pjmin!$E16)*H16+(Pnorm!$C17+Pjmin!$D17)*H17+(Pjmin!$C18)*H18</f>
        <v>3.2873413293843731E-3</v>
      </c>
      <c r="J16" s="62">
        <f>(Pjmax!$E14)*I14+(Pjmax!$D15+Pnorm!$E15)*I15+(Pjmax!$C16+Pnorm!$D16+Pjmin!$E16)*I16+(Pnorm!$C17+Pjmin!$D17)*I17+(Pjmin!$C18)*I18</f>
        <v>5.3511762281625574E-3</v>
      </c>
      <c r="K16" s="61">
        <f>(Pjmax!$E14)*J14+(Pjmax!$D15+Pnorm!$E15)*J15+(Pjmax!$C16+Pnorm!$D16+Pjmin!$E16)*J16+(Pnorm!$C17+Pjmin!$D17)*J17+(Pjmin!$C18)*J18</f>
        <v>7.636008254228591E-3</v>
      </c>
      <c r="L16" s="62">
        <f>(Pjmax!$E14)*K14+(Pjmax!$D15+Pnorm!$E15)*K15+(Pjmax!$C16+Pnorm!$D16+Pjmin!$E16)*K16+(Pnorm!$C17+Pjmin!$D17)*K17+(Pjmin!$C18)*K18</f>
        <v>1.0010141665750297E-2</v>
      </c>
      <c r="M16" s="62">
        <f>(Pjmax!$E14)*L14+(Pjmax!$D15+Pnorm!$E15)*L15+(Pjmax!$C16+Pnorm!$D16+Pjmin!$E16)*L16+(Pnorm!$C17+Pjmin!$D17)*L17+(Pjmin!$C18)*L18</f>
        <v>1.2379746849302688E-2</v>
      </c>
      <c r="N16" s="62">
        <f>(Pjmax!$E14)*M14+(Pjmax!$D15+Pnorm!$E15)*M15+(Pjmax!$C16+Pnorm!$D16+Pjmin!$E16)*M16+(Pnorm!$C17+Pjmin!$D17)*M17+(Pjmin!$C18)*M18</f>
        <v>1.4683169545544546E-2</v>
      </c>
      <c r="O16" s="61">
        <f>(Pjmax!$E14)*N14+(Pjmax!$D15+Pnorm!$E15)*N15+(Pjmax!$C16+Pnorm!$D16+Pjmin!$E16)*N16+(Pnorm!$C17+Pjmin!$D17)*N17+(Pjmin!$C18)*N18</f>
        <v>1.688299502714713E-2</v>
      </c>
    </row>
    <row r="17" spans="1:15">
      <c r="A17" s="46">
        <f t="shared" si="0"/>
        <v>3</v>
      </c>
      <c r="C17" s="60"/>
      <c r="D17" s="60"/>
      <c r="E17" s="60"/>
      <c r="F17" s="62">
        <f>(Pjmax!$E15)*E15+(Pjmax!$D16+Pnorm!$E16)*E16+(Pjmax!$C17+Pnorm!$D17+Pjmin!$E17)*E17+(Pnorm!$C18+Pjmin!$D18)*E18+(Pjmin!$C19)*E19</f>
        <v>3.6796079282407409E-3</v>
      </c>
      <c r="G17" s="61">
        <f>(Pjmax!$E15)*F15+(Pjmax!$D16+Pnorm!$E16)*F16+(Pjmax!$C17+Pnorm!$D17+Pjmin!$E17)*F17+(Pnorm!$C18+Pjmin!$D18)*F18+(Pjmin!$C19)*F19</f>
        <v>9.780091239269869E-3</v>
      </c>
      <c r="H17" s="62">
        <f>(Pjmax!$E15)*G15+(Pjmax!$D16+Pnorm!$E16)*G16+(Pjmax!$C17+Pnorm!$D17+Pjmin!$E17)*G17+(Pnorm!$C18+Pjmin!$D18)*G18+(Pjmin!$C19)*G19</f>
        <v>1.6792992267327014E-2</v>
      </c>
      <c r="I17" s="62">
        <f>(Pjmax!$E15)*H15+(Pjmax!$D16+Pnorm!$E16)*H16+(Pjmax!$C17+Pnorm!$D17+Pjmin!$E17)*H17+(Pnorm!$C18+Pjmin!$D18)*H18+(Pjmin!$C19)*H19</f>
        <v>2.376861688146957E-2</v>
      </c>
      <c r="J17" s="62">
        <f>(Pjmax!$E15)*I15+(Pjmax!$D16+Pnorm!$E16)*I16+(Pjmax!$C17+Pnorm!$D17+Pjmin!$E17)*I17+(Pnorm!$C18+Pjmin!$D18)*I18+(Pjmin!$C19)*I19</f>
        <v>3.0237654317602954E-2</v>
      </c>
      <c r="K17" s="61">
        <f>(Pjmax!$E15)*J15+(Pjmax!$D16+Pnorm!$E16)*J16+(Pjmax!$C17+Pnorm!$D17+Pjmin!$E17)*J17+(Pnorm!$C18+Pjmin!$D18)*J18+(Pjmin!$C19)*J19</f>
        <v>3.6022453794901627E-2</v>
      </c>
      <c r="L17" s="62">
        <f>(Pjmax!$E15)*K15+(Pjmax!$D16+Pnorm!$E16)*K16+(Pjmax!$C17+Pnorm!$D17+Pjmin!$E17)*K17+(Pnorm!$C18+Pjmin!$D18)*K18+(Pjmin!$C19)*K19</f>
        <v>4.1097739381872007E-2</v>
      </c>
      <c r="M17" s="62">
        <f>(Pjmax!$E15)*L15+(Pjmax!$D16+Pnorm!$E16)*L16+(Pjmax!$C17+Pnorm!$D17+Pjmin!$E17)*L17+(Pnorm!$C18+Pjmin!$D18)*L18+(Pjmin!$C19)*L19</f>
        <v>4.5508552088278656E-2</v>
      </c>
      <c r="N17" s="62">
        <f>(Pjmax!$E15)*M15+(Pjmax!$D16+Pnorm!$E16)*M16+(Pjmax!$C17+Pnorm!$D17+Pjmin!$E17)*M17+(Pnorm!$C18+Pjmin!$D18)*M18+(Pjmin!$C19)*M19</f>
        <v>4.9326706937125819E-2</v>
      </c>
      <c r="O17" s="61">
        <f>(Pjmax!$E15)*N15+(Pjmax!$D16+Pnorm!$E16)*N16+(Pjmax!$C17+Pnorm!$D17+Pjmin!$E17)*N17+(Pnorm!$C18+Pjmin!$D18)*N18+(Pjmin!$C19)*N19</f>
        <v>5.2629377259290108E-2</v>
      </c>
    </row>
    <row r="18" spans="1:15">
      <c r="A18" s="46">
        <f t="shared" si="0"/>
        <v>2</v>
      </c>
      <c r="C18" s="60"/>
      <c r="D18" s="60"/>
      <c r="E18" s="62">
        <f>(Pjmax!$E16)*D16+(Pjmax!$D17+Pnorm!$E17)*D17+(Pjmax!$C18+Pnorm!$D18+Pjmin!$E18)*D18+(Pnorm!$C19+Pjmin!$D19)*D19+(Pjmin!$C20)*D20</f>
        <v>2.5746527777777778E-2</v>
      </c>
      <c r="F18" s="62">
        <f>(Pjmax!$E16)*E16+(Pjmax!$D17+Pnorm!$E17)*E17+(Pjmax!$C18+Pnorm!$D18+Pjmin!$E18)*E18+(Pnorm!$C19+Pjmin!$D19)*E19+(Pjmin!$C20)*E20</f>
        <v>5.1412597656249996E-2</v>
      </c>
      <c r="G18" s="61">
        <f>(Pjmax!$E16)*F16+(Pjmax!$D17+Pnorm!$E17)*F17+(Pjmax!$C18+Pnorm!$D18+Pjmin!$E18)*F18+(Pnorm!$C19+Pjmin!$D19)*F19+(Pjmin!$C20)*F20</f>
        <v>7.1512276051462431E-2</v>
      </c>
      <c r="H18" s="62">
        <f>(Pjmax!$E16)*G16+(Pjmax!$D17+Pnorm!$E17)*G17+(Pjmax!$C18+Pnorm!$D18+Pjmin!$E18)*G18+(Pnorm!$C19+Pjmin!$D19)*G19+(Pjmin!$C20)*G20</f>
        <v>8.6140687392802756E-2</v>
      </c>
      <c r="I18" s="62">
        <f>(Pjmax!$E16)*H16+(Pjmax!$D17+Pnorm!$E17)*H17+(Pjmax!$C18+Pnorm!$D18+Pjmin!$E18)*H18+(Pnorm!$C19+Pjmin!$D19)*H19+(Pjmin!$C20)*H20</f>
        <v>9.6538175196977064E-2</v>
      </c>
      <c r="J18" s="62">
        <f>(Pjmax!$E16)*I16+(Pjmax!$D17+Pnorm!$E17)*I17+(Pjmax!$C18+Pnorm!$D18+Pjmin!$E18)*I18+(Pnorm!$C19+Pjmin!$D19)*I19+(Pjmin!$C20)*I20</f>
        <v>0.10389220052333624</v>
      </c>
      <c r="K18" s="61">
        <f>(Pjmax!$E16)*J16+(Pjmax!$D17+Pnorm!$E17)*J17+(Pjmax!$C18+Pnorm!$D18+Pjmin!$E18)*J18+(Pnorm!$C19+Pjmin!$D19)*J19+(Pjmin!$C20)*J20</f>
        <v>0.10910377603391189</v>
      </c>
      <c r="L18" s="62">
        <f>(Pjmax!$E16)*K16+(Pjmax!$D17+Pnorm!$E17)*K17+(Pjmax!$C18+Pnorm!$D18+Pjmin!$E18)*K18+(Pnorm!$C19+Pjmin!$D19)*K19+(Pjmin!$C20)*K20</f>
        <v>0.11280923065991162</v>
      </c>
      <c r="M18" s="62">
        <f>(Pjmax!$E16)*L16+(Pjmax!$D17+Pnorm!$E17)*L17+(Pjmax!$C18+Pnorm!$D18+Pjmin!$E18)*L18+(Pnorm!$C19+Pjmin!$D19)*L19+(Pjmin!$C20)*L20</f>
        <v>0.1154482607499092</v>
      </c>
      <c r="N18" s="62">
        <f>(Pjmax!$E16)*M16+(Pjmax!$D17+Pnorm!$E17)*M17+(Pjmax!$C18+Pnorm!$D18+Pjmin!$E18)*M18+(Pnorm!$C19+Pjmin!$D19)*M19+(Pjmin!$C20)*M20</f>
        <v>0.11732431098634537</v>
      </c>
      <c r="O18" s="61">
        <f>(Pjmax!$E16)*N16+(Pjmax!$D17+Pnorm!$E17)*N17+(Pjmax!$C18+Pnorm!$D18+Pjmin!$E18)*N18+(Pnorm!$C19+Pjmin!$D19)*N19+(Pjmin!$C20)*N20</f>
        <v>0.11864846316980908</v>
      </c>
    </row>
    <row r="19" spans="1:15">
      <c r="A19" s="46">
        <f t="shared" si="0"/>
        <v>1</v>
      </c>
      <c r="C19" s="60"/>
      <c r="D19" s="62">
        <f>(Pjmax!$E17)*C17+(Pjmax!$D18+Pnorm!$E18)*C18+(Pjmax!$C19+Pnorm!$D19+Pjmin!$E19)*C19+(Pnorm!$C20+Pjmin!$D20)*C20+(Pjmin!$C21)*C21</f>
        <v>0.16666666666666666</v>
      </c>
      <c r="E19" s="62">
        <f>(Pjmax!$E17)*D17+(Pjmax!$D18+Pnorm!$E18)*D18+(Pjmax!$C19+Pnorm!$D19+Pjmin!$E19)*D19+(Pnorm!$C20+Pjmin!$D20)*D20+(Pjmin!$C21)*D21</f>
        <v>0.22211805555555553</v>
      </c>
      <c r="F19" s="62">
        <f>(Pjmax!$E17)*E17+(Pjmax!$D18+Pnorm!$E18)*E18+(Pjmax!$C19+Pnorm!$D19+Pjmin!$E19)*E19+(Pnorm!$C20+Pjmin!$D20)*E20+(Pjmin!$C21)*E21</f>
        <v>0.236951953125</v>
      </c>
      <c r="G19" s="61">
        <f>(Pjmax!$E17)*F17+(Pjmax!$D18+Pnorm!$E18)*F18+(Pjmax!$C19+Pnorm!$D19+Pjmin!$E19)*F19+(Pnorm!$C20+Pjmin!$D20)*F20+(Pjmin!$C21)*F21</f>
        <v>0.23705683450731818</v>
      </c>
      <c r="H19" s="62">
        <f>(Pjmax!$E17)*G17+(Pjmax!$D18+Pnorm!$E18)*G18+(Pjmax!$C19+Pnorm!$D19+Pjmin!$E19)*G19+(Pnorm!$C20+Pjmin!$D20)*G20+(Pjmin!$C21)*G21</f>
        <v>0.23207402794287973</v>
      </c>
      <c r="I19" s="62">
        <f>(Pjmax!$E17)*H17+(Pjmax!$D18+Pnorm!$E18)*H18+(Pjmax!$C19+Pnorm!$D19+Pjmin!$E19)*H19+(Pnorm!$C20+Pjmin!$D20)*H20+(Pjmin!$C21)*H21</f>
        <v>0.22563012692152531</v>
      </c>
      <c r="J19" s="62">
        <f>(Pjmax!$E17)*I17+(Pjmax!$D18+Pnorm!$E18)*I18+(Pjmax!$C19+Pnorm!$D19+Pjmin!$E19)*I19+(Pnorm!$C20+Pjmin!$D20)*I20+(Pjmin!$C21)*I21</f>
        <v>0.21908115998630151</v>
      </c>
      <c r="K19" s="61">
        <f>(Pjmax!$E17)*J17+(Pjmax!$D18+Pnorm!$E18)*J18+(Pjmax!$C19+Pnorm!$D19+Pjmin!$E19)*J19+(Pnorm!$C20+Pjmin!$D20)*J20+(Pjmin!$C21)*J21</f>
        <v>0.21291053449255554</v>
      </c>
      <c r="L19" s="62">
        <f>(Pjmax!$E17)*K17+(Pjmax!$D18+Pnorm!$E18)*K18+(Pjmax!$C19+Pnorm!$D19+Pjmin!$E19)*K19+(Pnorm!$C20+Pjmin!$D20)*K20+(Pjmin!$C21)*K21</f>
        <v>0.20726260307468117</v>
      </c>
      <c r="M19" s="62">
        <f>(Pjmax!$E17)*L17+(Pjmax!$D18+Pnorm!$E18)*L18+(Pjmax!$C19+Pnorm!$D19+Pjmin!$E19)*L19+(Pnorm!$C20+Pjmin!$D20)*L20+(Pjmin!$C21)*L21</f>
        <v>0.20215089813087306</v>
      </c>
      <c r="N19" s="62">
        <f>(Pjmax!$E17)*M17+(Pjmax!$D18+Pnorm!$E18)*M18+(Pjmax!$C19+Pnorm!$D19+Pjmin!$E19)*M19+(Pnorm!$C20+Pjmin!$D20)*M20+(Pjmin!$C21)*M21</f>
        <v>0.19754097970138909</v>
      </c>
      <c r="O19" s="61">
        <f>(Pjmax!$E17)*N17+(Pjmax!$D18+Pnorm!$E18)*N18+(Pjmax!$C19+Pnorm!$D19+Pjmin!$E19)*N19+(Pnorm!$C20+Pjmin!$D20)*N20+(Pjmin!$C21)*N21</f>
        <v>0.1933837398994124</v>
      </c>
    </row>
    <row r="20" spans="1:15">
      <c r="A20" s="46">
        <v>0</v>
      </c>
      <c r="C20" s="63">
        <v>1</v>
      </c>
      <c r="D20" s="63">
        <f>(Pjmax!$E18)*C18+(Pjmax!$D19+Pnorm!$E19)*C19+(Pjmax!$C20+Pnorm!$D20+Pjmin!$E20)*C20+(Pnorm!$C21+Pjmin!$D21)*C21+(Pjmin!$C22)*C22</f>
        <v>0.66666666666666663</v>
      </c>
      <c r="E20" s="63">
        <f>(Pjmax!$E18)*D18+(Pjmax!$D19+Pnorm!$E19)*D19+(Pjmax!$C20+Pnorm!$D20+Pjmin!$E20)*D20+(Pnorm!$C21+Pjmin!$D21)*D21+(Pjmin!$C22)*D22</f>
        <v>0.50427083333333333</v>
      </c>
      <c r="F20" s="63">
        <f>(Pjmax!$E18)*E18+(Pjmax!$D19+Pnorm!$E19)*E19+(Pjmax!$C20+Pnorm!$D20+Pjmin!$E20)*E20+(Pnorm!$C21+Pjmin!$D21)*E21+(Pjmin!$C22)*E22</f>
        <v>0.41591168258101846</v>
      </c>
      <c r="G20" s="63">
        <f>(Pjmax!$E18)*F18+(Pjmax!$D19+Pnorm!$E19)*F19+(Pjmax!$C20+Pnorm!$D20+Pjmin!$E20)*F20+(Pnorm!$C21+Pjmin!$D21)*F21+(Pjmin!$C22)*F22</f>
        <v>0.36233033322784036</v>
      </c>
      <c r="H20" s="63">
        <f>(Pjmax!$E18)*G18+(Pjmax!$D19+Pnorm!$E19)*G19+(Pjmax!$C20+Pnorm!$D20+Pjmin!$E20)*G20+(Pnorm!$C21+Pjmin!$D21)*G21+(Pjmin!$C22)*G22</f>
        <v>0.32664708170524964</v>
      </c>
      <c r="I20" s="63">
        <f>(Pjmax!$E18)*H18+(Pjmax!$D19+Pnorm!$E19)*H19+(Pjmax!$C20+Pnorm!$D20+Pjmin!$E20)*H20+(Pnorm!$C21+Pjmin!$D21)*H21+(Pjmin!$C22)*H22</f>
        <v>0.30106962741716259</v>
      </c>
      <c r="J20" s="63">
        <f>(Pjmax!$E18)*I18+(Pjmax!$D19+Pnorm!$E19)*I19+(Pjmax!$C20+Pnorm!$D20+Pjmin!$E20)*I20+(Pnorm!$C21+Pjmin!$D21)*I21+(Pjmin!$C22)*I22</f>
        <v>0.28170489925431424</v>
      </c>
      <c r="K20" s="63">
        <f>(Pjmax!$E18)*J18+(Pjmax!$D19+Pnorm!$E19)*J19+(Pjmax!$C20+Pnorm!$D20+Pjmin!$E20)*J20+(Pnorm!$C21+Pjmin!$D21)*J21+(Pjmin!$C22)*J22</f>
        <v>0.26644427422295897</v>
      </c>
      <c r="L20" s="63">
        <f>(Pjmax!$E18)*K18+(Pjmax!$D19+Pnorm!$E19)*K19+(Pjmax!$C20+Pnorm!$D20+Pjmin!$E20)*K20+(Pnorm!$C21+Pjmin!$D21)*K21+(Pjmin!$C22)*K22</f>
        <v>0.25405552675919624</v>
      </c>
      <c r="M20" s="63">
        <f>(Pjmax!$E18)*L18+(Pjmax!$D19+Pnorm!$E19)*L19+(Pjmax!$C20+Pnorm!$D20+Pjmin!$E20)*L20+(Pnorm!$C21+Pjmin!$D21)*L21+(Pjmin!$C22)*L22</f>
        <v>0.24376898973481326</v>
      </c>
      <c r="N20" s="63">
        <f>(Pjmax!$E18)*M18+(Pjmax!$D19+Pnorm!$E19)*M19+(Pjmax!$C20+Pnorm!$D20+Pjmin!$E20)*M20+(Pnorm!$C21+Pjmin!$D21)*M21+(Pjmin!$C22)*M22</f>
        <v>0.23507640929810347</v>
      </c>
      <c r="O20" s="63">
        <f>(Pjmax!$E18)*N18+(Pjmax!$D19+Pnorm!$E19)*N19+(Pjmax!$C20+Pnorm!$D20+Pjmin!$E20)*N20+(Pnorm!$C21+Pjmin!$D21)*N21+(Pjmin!$C22)*N22</f>
        <v>0.22762658703738009</v>
      </c>
    </row>
    <row r="21" spans="1:15">
      <c r="A21" s="46">
        <f t="shared" ref="A21:A32" si="1">A20-1</f>
        <v>-1</v>
      </c>
      <c r="C21" s="60"/>
      <c r="D21" s="62">
        <f>(Pjmax!$E19)*C19+(Pjmax!$D20+Pnorm!$E20)*C20+(Pjmax!$C21+Pnorm!$D21+Pjmin!$E21)*C21+(Pnorm!$C22+Pjmin!$D22)*C22+(Pjmin!$C23)*C23</f>
        <v>0.16666666666666666</v>
      </c>
      <c r="E21" s="62">
        <f>(Pjmax!$E19)*D19+(Pjmax!$D20+Pnorm!$E20)*D20+(Pjmax!$C21+Pnorm!$D21+Pjmin!$E21)*D21+(Pnorm!$C22+Pjmin!$D22)*D22+(Pjmin!$C23)*D23</f>
        <v>0.22211805555555553</v>
      </c>
      <c r="F21" s="62">
        <f>(Pjmax!$E19)*E19+(Pjmax!$D20+Pnorm!$E20)*E20+(Pjmax!$C21+Pnorm!$D21+Pjmin!$E21)*E21+(Pnorm!$C22+Pjmin!$D22)*E22+(Pjmin!$C23)*E23</f>
        <v>0.236951953125</v>
      </c>
      <c r="G21" s="61">
        <f>(Pjmax!$E19)*F19+(Pjmax!$D20+Pnorm!$E20)*F20+(Pjmax!$C21+Pnorm!$D21+Pjmin!$E21)*F21+(Pnorm!$C22+Pjmin!$D22)*F22+(Pjmin!$C23)*F23</f>
        <v>0.23705683450731818</v>
      </c>
      <c r="H21" s="62">
        <f>(Pjmax!$E19)*G19+(Pjmax!$D20+Pnorm!$E20)*G20+(Pjmax!$C21+Pnorm!$D21+Pjmin!$E21)*G21+(Pnorm!$C22+Pjmin!$D22)*G22+(Pjmin!$C23)*G23</f>
        <v>0.23207402794287973</v>
      </c>
      <c r="I21" s="62">
        <f>(Pjmax!$E19)*H19+(Pjmax!$D20+Pnorm!$E20)*H20+(Pjmax!$C21+Pnorm!$D21+Pjmin!$E21)*H21+(Pnorm!$C22+Pjmin!$D22)*H22+(Pjmin!$C23)*H23</f>
        <v>0.22563012692152534</v>
      </c>
      <c r="J21" s="62">
        <f>(Pjmax!$E19)*I19+(Pjmax!$D20+Pnorm!$E20)*I20+(Pjmax!$C21+Pnorm!$D21+Pjmin!$E21)*I21+(Pnorm!$C22+Pjmin!$D22)*I22+(Pjmin!$C23)*I23</f>
        <v>0.21908115998630151</v>
      </c>
      <c r="K21" s="61">
        <f>(Pjmax!$E19)*J19+(Pjmax!$D20+Pnorm!$E20)*J20+(Pjmax!$C21+Pnorm!$D21+Pjmin!$E21)*J21+(Pnorm!$C22+Pjmin!$D22)*J22+(Pjmin!$C23)*J23</f>
        <v>0.21291053449255554</v>
      </c>
      <c r="L21" s="62">
        <f>(Pjmax!$E19)*K19+(Pjmax!$D20+Pnorm!$E20)*K20+(Pjmax!$C21+Pnorm!$D21+Pjmin!$E21)*K21+(Pnorm!$C22+Pjmin!$D22)*K22+(Pjmin!$C23)*K23</f>
        <v>0.2072626030746812</v>
      </c>
      <c r="M21" s="62">
        <f>(Pjmax!$E19)*L19+(Pjmax!$D20+Pnorm!$E20)*L20+(Pjmax!$C21+Pnorm!$D21+Pjmin!$E21)*L21+(Pnorm!$C22+Pjmin!$D22)*L22+(Pjmin!$C23)*L23</f>
        <v>0.20215089813087309</v>
      </c>
      <c r="N21" s="62">
        <f>(Pjmax!$E19)*M19+(Pjmax!$D20+Pnorm!$E20)*M20+(Pjmax!$C21+Pnorm!$D21+Pjmin!$E21)*M21+(Pnorm!$C22+Pjmin!$D22)*M22+(Pjmin!$C23)*M23</f>
        <v>0.19754097970138912</v>
      </c>
      <c r="O21" s="61">
        <f>(Pjmax!$E19)*N19+(Pjmax!$D20+Pnorm!$E20)*N20+(Pjmax!$C21+Pnorm!$D21+Pjmin!$E21)*N21+(Pnorm!$C22+Pjmin!$D22)*N22+(Pjmin!$C23)*N23</f>
        <v>0.19338373989941243</v>
      </c>
    </row>
    <row r="22" spans="1:15">
      <c r="A22" s="46">
        <f t="shared" si="1"/>
        <v>-2</v>
      </c>
      <c r="C22" s="60"/>
      <c r="D22" s="60"/>
      <c r="E22" s="62">
        <f>(Pjmax!$E20)*D20+(Pjmax!$D21+Pnorm!$E21)*D21+(Pjmax!$C22+Pnorm!$D22+Pjmin!$E22)*D22+(Pnorm!$C23+Pjmin!$D23)*D23+(Pjmin!$C24)*D24</f>
        <v>2.5746527777777778E-2</v>
      </c>
      <c r="F22" s="62">
        <f>(Pjmax!$E20)*E20+(Pjmax!$D21+Pnorm!$E21)*E21+(Pjmax!$C22+Pnorm!$D22+Pjmin!$E22)*E22+(Pnorm!$C23+Pjmin!$D23)*E23+(Pjmin!$C24)*E24</f>
        <v>5.1412597656249996E-2</v>
      </c>
      <c r="G22" s="61">
        <f>(Pjmax!$E20)*F20+(Pjmax!$D21+Pnorm!$E21)*F21+(Pjmax!$C22+Pnorm!$D22+Pjmin!$E22)*F22+(Pnorm!$C23+Pjmin!$D23)*F23+(Pjmin!$C24)*F24</f>
        <v>7.1512276051462431E-2</v>
      </c>
      <c r="H22" s="62">
        <f>(Pjmax!$E20)*G20+(Pjmax!$D21+Pnorm!$E21)*G21+(Pjmax!$C22+Pnorm!$D22+Pjmin!$E22)*G22+(Pnorm!$C23+Pjmin!$D23)*G23+(Pjmin!$C24)*G24</f>
        <v>8.614068739280277E-2</v>
      </c>
      <c r="I22" s="62">
        <f>(Pjmax!$E20)*H20+(Pjmax!$D21+Pnorm!$E21)*H21+(Pjmax!$C22+Pnorm!$D22+Pjmin!$E22)*H22+(Pnorm!$C23+Pjmin!$D23)*H23+(Pjmin!$C24)*H24</f>
        <v>9.6538175196977091E-2</v>
      </c>
      <c r="J22" s="62">
        <f>(Pjmax!$E20)*I20+(Pjmax!$D21+Pnorm!$E21)*I21+(Pjmax!$C22+Pnorm!$D22+Pjmin!$E22)*I22+(Pnorm!$C23+Pjmin!$D23)*I23+(Pjmin!$C24)*I24</f>
        <v>0.10389220052333627</v>
      </c>
      <c r="K22" s="61">
        <f>(Pjmax!$E20)*J20+(Pjmax!$D21+Pnorm!$E21)*J21+(Pjmax!$C22+Pnorm!$D22+Pjmin!$E22)*J22+(Pnorm!$C23+Pjmin!$D23)*J23+(Pjmin!$C24)*J24</f>
        <v>0.10910377603391191</v>
      </c>
      <c r="L22" s="62">
        <f>(Pjmax!$E20)*K20+(Pjmax!$D21+Pnorm!$E21)*K21+(Pjmax!$C22+Pnorm!$D22+Pjmin!$E22)*K22+(Pnorm!$C23+Pjmin!$D23)*K23+(Pjmin!$C24)*K24</f>
        <v>0.11280923065991164</v>
      </c>
      <c r="M22" s="62">
        <f>(Pjmax!$E20)*L20+(Pjmax!$D21+Pnorm!$E21)*L21+(Pjmax!$C22+Pnorm!$D22+Pjmin!$E22)*L22+(Pnorm!$C23+Pjmin!$D23)*L23+(Pjmin!$C24)*L24</f>
        <v>0.11544826074990922</v>
      </c>
      <c r="N22" s="62">
        <f>(Pjmax!$E20)*M20+(Pjmax!$D21+Pnorm!$E21)*M21+(Pjmax!$C22+Pnorm!$D22+Pjmin!$E22)*M22+(Pnorm!$C23+Pjmin!$D23)*M23+(Pjmin!$C24)*M24</f>
        <v>0.11732431098634538</v>
      </c>
      <c r="O22" s="61">
        <f>(Pjmax!$E20)*N20+(Pjmax!$D21+Pnorm!$E21)*N21+(Pjmax!$C22+Pnorm!$D22+Pjmin!$E22)*N22+(Pnorm!$C23+Pjmin!$D23)*N23+(Pjmin!$C24)*N24</f>
        <v>0.11864846316980908</v>
      </c>
    </row>
    <row r="23" spans="1:15">
      <c r="A23" s="46">
        <f t="shared" si="1"/>
        <v>-3</v>
      </c>
      <c r="C23" s="60"/>
      <c r="D23" s="60"/>
      <c r="E23" s="60"/>
      <c r="F23" s="62">
        <f>(Pjmax!$E21)*E21+(Pjmax!$D22+Pnorm!$E22)*E22+(Pjmax!$C23+Pnorm!$D23+Pjmin!$E23)*E23+(Pnorm!$C24+Pjmin!$D24)*E24+(Pjmin!$C25)*E25</f>
        <v>3.6796079282407409E-3</v>
      </c>
      <c r="G23" s="61">
        <f>(Pjmax!$E21)*F21+(Pjmax!$D22+Pnorm!$E22)*F22+(Pjmax!$C23+Pnorm!$D23+Pjmin!$E23)*F23+(Pnorm!$C24+Pjmin!$D24)*F24+(Pjmin!$C25)*F25</f>
        <v>9.780091239269869E-3</v>
      </c>
      <c r="H23" s="62">
        <f>(Pjmax!$E21)*G21+(Pjmax!$D22+Pnorm!$E22)*G22+(Pjmax!$C23+Pnorm!$D23+Pjmin!$E23)*G23+(Pnorm!$C24+Pjmin!$D24)*G24+(Pjmin!$C25)*G25</f>
        <v>1.6792992267327014E-2</v>
      </c>
      <c r="I23" s="62">
        <f>(Pjmax!$E21)*H21+(Pjmax!$D22+Pnorm!$E22)*H22+(Pjmax!$C23+Pnorm!$D23+Pjmin!$E23)*H23+(Pnorm!$C24+Pjmin!$D24)*H24+(Pjmin!$C25)*H25</f>
        <v>2.3768616881469574E-2</v>
      </c>
      <c r="J23" s="62">
        <f>(Pjmax!$E21)*I21+(Pjmax!$D22+Pnorm!$E22)*I22+(Pjmax!$C23+Pnorm!$D23+Pjmin!$E23)*I23+(Pnorm!$C24+Pjmin!$D24)*I24+(Pjmin!$C25)*I25</f>
        <v>3.0237654317602961E-2</v>
      </c>
      <c r="K23" s="61">
        <f>(Pjmax!$E21)*J21+(Pjmax!$D22+Pnorm!$E22)*J22+(Pjmax!$C23+Pnorm!$D23+Pjmin!$E23)*J23+(Pnorm!$C24+Pjmin!$D24)*J24+(Pjmin!$C25)*J25</f>
        <v>3.6022453794901634E-2</v>
      </c>
      <c r="L23" s="62">
        <f>(Pjmax!$E21)*K21+(Pjmax!$D22+Pnorm!$E22)*K22+(Pjmax!$C23+Pnorm!$D23+Pjmin!$E23)*K23+(Pnorm!$C24+Pjmin!$D24)*K24+(Pjmin!$C25)*K25</f>
        <v>4.1097739381872014E-2</v>
      </c>
      <c r="M23" s="62">
        <f>(Pjmax!$E21)*L21+(Pjmax!$D22+Pnorm!$E22)*L22+(Pjmax!$C23+Pnorm!$D23+Pjmin!$E23)*L23+(Pnorm!$C24+Pjmin!$D24)*L24+(Pjmin!$C25)*L25</f>
        <v>4.5508552088278663E-2</v>
      </c>
      <c r="N23" s="62">
        <f>(Pjmax!$E21)*M21+(Pjmax!$D22+Pnorm!$E22)*M22+(Pjmax!$C23+Pnorm!$D23+Pjmin!$E23)*M23+(Pnorm!$C24+Pjmin!$D24)*M24+(Pjmin!$C25)*M25</f>
        <v>4.9326706937125826E-2</v>
      </c>
      <c r="O23" s="61">
        <f>(Pjmax!$E21)*N21+(Pjmax!$D22+Pnorm!$E22)*N22+(Pjmax!$C23+Pnorm!$D23+Pjmin!$E23)*N23+(Pnorm!$C24+Pjmin!$D24)*N24+(Pjmin!$C25)*N25</f>
        <v>5.2629377259290115E-2</v>
      </c>
    </row>
    <row r="24" spans="1:15">
      <c r="A24" s="46">
        <f t="shared" si="1"/>
        <v>-4</v>
      </c>
      <c r="C24" s="60"/>
      <c r="D24" s="60"/>
      <c r="E24" s="60"/>
      <c r="F24" s="60"/>
      <c r="G24" s="61">
        <f>(Pjmax!$E22)*F22+(Pjmax!$D23+Pnorm!$E23)*F23+(Pjmax!$C24+Pnorm!$D24+Pjmin!$E24)*F24+(Pnorm!$C25+Pjmin!$D25)*F25+(Pjmin!$C26)*F26</f>
        <v>4.8563158802927272E-4</v>
      </c>
      <c r="H24" s="62">
        <f>(Pjmax!$E22)*G22+(Pjmax!$D23+Pnorm!$E23)*G23+(Pjmax!$C24+Pnorm!$D24+Pjmin!$E24)*G24+(Pnorm!$C25+Pjmin!$D25)*G25+(Pjmin!$C26)*G26</f>
        <v>1.6096663678220268E-3</v>
      </c>
      <c r="I24" s="62">
        <f>(Pjmax!$E22)*H22+(Pjmax!$D23+Pnorm!$E23)*H23+(Pjmax!$C24+Pnorm!$D24+Pjmin!$E24)*H24+(Pnorm!$C25+Pjmin!$D25)*H25+(Pjmin!$C26)*H26</f>
        <v>3.2873413293843727E-3</v>
      </c>
      <c r="J24" s="62">
        <f>(Pjmax!$E22)*I22+(Pjmax!$D23+Pnorm!$E23)*I23+(Pjmax!$C24+Pnorm!$D24+Pjmin!$E24)*I24+(Pnorm!$C25+Pjmin!$D25)*I25+(Pjmin!$C26)*I26</f>
        <v>5.3511762281625574E-3</v>
      </c>
      <c r="K24" s="61">
        <f>(Pjmax!$E22)*J22+(Pjmax!$D23+Pnorm!$E23)*J23+(Pjmax!$C24+Pnorm!$D24+Pjmin!$E24)*J24+(Pnorm!$C25+Pjmin!$D25)*J25+(Pjmin!$C26)*J26</f>
        <v>7.6360082542285919E-3</v>
      </c>
      <c r="L24" s="62">
        <f>(Pjmax!$E22)*K22+(Pjmax!$D23+Pnorm!$E23)*K23+(Pjmax!$C24+Pnorm!$D24+Pjmin!$E24)*K24+(Pnorm!$C25+Pjmin!$D25)*K25+(Pjmin!$C26)*K26</f>
        <v>1.0010141665750299E-2</v>
      </c>
      <c r="M24" s="62">
        <f>(Pjmax!$E22)*L22+(Pjmax!$D23+Pnorm!$E23)*L23+(Pjmax!$C24+Pnorm!$D24+Pjmin!$E24)*L24+(Pnorm!$C25+Pjmin!$D25)*L25+(Pjmin!$C26)*L26</f>
        <v>1.2379746849302691E-2</v>
      </c>
      <c r="N24" s="62">
        <f>(Pjmax!$E22)*M22+(Pjmax!$D23+Pnorm!$E23)*M23+(Pjmax!$C24+Pnorm!$D24+Pjmin!$E24)*M24+(Pnorm!$C25+Pjmin!$D25)*M25+(Pjmin!$C26)*M26</f>
        <v>1.4683169545544548E-2</v>
      </c>
      <c r="O24" s="61">
        <f>(Pjmax!$E22)*N22+(Pjmax!$D23+Pnorm!$E23)*N23+(Pjmax!$C24+Pnorm!$D24+Pjmin!$E24)*N24+(Pnorm!$C25+Pjmin!$D25)*N25+(Pjmin!$C26)*N26</f>
        <v>1.688299502714713E-2</v>
      </c>
    </row>
    <row r="25" spans="1:15">
      <c r="A25" s="46">
        <f t="shared" si="1"/>
        <v>-5</v>
      </c>
      <c r="C25" s="60"/>
      <c r="D25" s="60"/>
      <c r="E25" s="60"/>
      <c r="F25" s="60"/>
      <c r="G25" s="60"/>
      <c r="H25" s="62">
        <f>(Pjmax!$E23)*G23+(Pjmax!$D24+Pnorm!$E24)*G24+(Pjmax!$C25+Pnorm!$D25+Pjmin!$E25)*G25+(Pnorm!$C26+Pjmin!$D26)*G26+(Pjmin!$C27)*G27</f>
        <v>5.9085176543561509E-5</v>
      </c>
      <c r="I25" s="62">
        <f>(Pjmax!$E23)*H23+(Pjmax!$D24+Pnorm!$E24)*H24+(Pjmax!$C25+Pnorm!$D25+Pjmin!$E25)*H25+(Pnorm!$C26+Pjmin!$D26)*H26+(Pjmin!$C27)*H27</f>
        <v>2.343096532305611E-4</v>
      </c>
      <c r="J25" s="62">
        <f>(Pjmax!$E23)*I23+(Pjmax!$D24+Pnorm!$E24)*I24+(Pjmax!$C25+Pnorm!$D25+Pjmin!$E25)*I25+(Pnorm!$C26+Pjmin!$D26)*I26+(Pjmin!$C27)*I27</f>
        <v>5.5417858367242951E-4</v>
      </c>
      <c r="K25" s="61">
        <f>(Pjmax!$E23)*J23+(Pjmax!$D24+Pnorm!$E24)*J24+(Pjmax!$C25+Pnorm!$D25+Pjmin!$E25)*J25+(Pnorm!$C26+Pjmin!$D26)*J26+(Pjmin!$C27)*J27</f>
        <v>1.0195670322661391E-3</v>
      </c>
      <c r="L25" s="62">
        <f>(Pjmax!$E23)*K23+(Pjmax!$D24+Pnorm!$E24)*K24+(Pjmax!$C25+Pnorm!$D25+Pjmin!$E25)*K25+(Pnorm!$C26+Pjmin!$D26)*K26+(Pjmin!$C27)*K27</f>
        <v>1.6135388552018062E-3</v>
      </c>
      <c r="M25" s="62">
        <f>(Pjmax!$E23)*L23+(Pjmax!$D24+Pnorm!$E24)*L24+(Pjmax!$C25+Pnorm!$D25+Pjmin!$E25)*L25+(Pnorm!$C26+Pjmin!$D26)*L26+(Pjmin!$C27)*L27</f>
        <v>2.310843078406349E-3</v>
      </c>
      <c r="N25" s="62">
        <f>(Pjmax!$E23)*M23+(Pjmax!$D24+Pnorm!$E24)*M24+(Pjmax!$C25+Pnorm!$D25+Pjmin!$E25)*M25+(Pnorm!$C26+Pjmin!$D26)*M26+(Pjmin!$C27)*M27</f>
        <v>3.0844456071038324E-3</v>
      </c>
      <c r="O25" s="61">
        <f>(Pjmax!$E23)*N23+(Pjmax!$D24+Pnorm!$E24)*N24+(Pjmax!$C25+Pnorm!$D25+Pjmin!$E25)*N25+(Pnorm!$C26+Pjmin!$D26)*N26+(Pjmin!$C27)*N27</f>
        <v>3.9092050084074854E-3</v>
      </c>
    </row>
    <row r="26" spans="1:15">
      <c r="A26" s="46">
        <f t="shared" si="1"/>
        <v>-6</v>
      </c>
      <c r="C26" s="60"/>
      <c r="D26" s="60"/>
      <c r="E26" s="60"/>
      <c r="F26" s="60"/>
      <c r="G26" s="60"/>
      <c r="H26" s="60"/>
      <c r="I26" s="62">
        <f>(Pjmax!$E24)*H24+(Pjmax!$D25+Pnorm!$E25)*H25+(Pjmax!$C26+Pnorm!$D26+Pjmin!$E26)*H26+(Pnorm!$C27+Pjmin!$D27)*H27+(Pjmin!$C28)*H28</f>
        <v>6.6163088317008978E-6</v>
      </c>
      <c r="J26" s="62">
        <f>(Pjmax!$E24)*I24+(Pjmax!$D25+Pnorm!$E25)*I25+(Pjmax!$C26+Pnorm!$D26+Pjmin!$E26)*I26+(Pnorm!$C27+Pjmin!$D27)*I27+(Pjmin!$C28)*I28</f>
        <v>3.0499805316467863E-5</v>
      </c>
      <c r="K26" s="61">
        <f>(Pjmax!$E24)*J24+(Pjmax!$D25+Pnorm!$E25)*J25+(Pjmax!$C26+Pnorm!$D26+Pjmin!$E26)*J26+(Pnorm!$C27+Pjmin!$D27)*J27+(Pjmin!$C28)*J28</f>
        <v>8.1886909940269843E-5</v>
      </c>
      <c r="L26" s="62">
        <f>(Pjmax!$E24)*K24+(Pjmax!$D25+Pnorm!$E25)*K25+(Pjmax!$C26+Pnorm!$D26+Pjmin!$E26)*K26+(Pnorm!$C27+Pjmin!$D27)*K27+(Pjmin!$C28)*K28</f>
        <v>1.6788724962657202E-4</v>
      </c>
      <c r="M26" s="62">
        <f>(Pjmax!$E24)*L24+(Pjmax!$D25+Pnorm!$E25)*L25+(Pjmax!$C26+Pnorm!$D26+Pjmin!$E26)*L26+(Pnorm!$C27+Pjmin!$D27)*L27+(Pjmin!$C28)*L28</f>
        <v>2.9174805114150259E-4</v>
      </c>
      <c r="N26" s="62">
        <f>(Pjmax!$E24)*M24+(Pjmax!$D25+Pnorm!$E25)*M25+(Pjmax!$C26+Pnorm!$D26+Pjmin!$E26)*M26+(Pnorm!$C27+Pjmin!$D27)*M27+(Pjmin!$C28)*M28</f>
        <v>4.5331178217334429E-4</v>
      </c>
      <c r="O26" s="61">
        <f>(Pjmax!$E24)*N24+(Pjmax!$D25+Pnorm!$E25)*N25+(Pjmax!$C26+Pnorm!$D26+Pjmin!$E26)*N26+(Pnorm!$C27+Pjmin!$D27)*N27+(Pjmin!$C28)*N28</f>
        <v>6.4993488870558028E-4</v>
      </c>
    </row>
    <row r="27" spans="1:15">
      <c r="A27" s="46">
        <f t="shared" si="1"/>
        <v>-7</v>
      </c>
      <c r="C27" s="60"/>
      <c r="D27" s="60"/>
      <c r="E27" s="60"/>
      <c r="F27" s="60"/>
      <c r="G27" s="60"/>
      <c r="H27" s="60"/>
      <c r="I27" s="60"/>
      <c r="J27" s="62">
        <f>(Pjmax!$E25)*I25+(Pjmax!$D26+Pnorm!$E26)*I26+(Pjmax!$C27+Pnorm!$D27+Pjmin!$E27)*I27+(Pnorm!$C28+Pjmin!$D28)*I28+(Pjmin!$C29)*I29</f>
        <v>6.8092845059588396E-7</v>
      </c>
      <c r="K27" s="61">
        <f>(Pjmax!$E25)*J25+(Pjmax!$D26+Pnorm!$E26)*J26+(Pjmax!$C27+Pnorm!$D27+Pjmin!$E27)*J27+(Pnorm!$C28+Pjmin!$D28)*J28+(Pjmin!$C29)*J29</f>
        <v>3.5720371637509075E-6</v>
      </c>
      <c r="L27" s="62">
        <f>(Pjmax!$E25)*K25+(Pjmax!$D26+Pnorm!$E26)*K26+(Pjmax!$C27+Pnorm!$D27+Pjmin!$E27)*K27+(Pnorm!$C28+Pjmin!$D28)*K28+(Pjmin!$C29)*K29</f>
        <v>1.070120784711542E-5</v>
      </c>
      <c r="M27" s="62">
        <f>(Pjmax!$E25)*L25+(Pjmax!$D26+Pnorm!$E26)*L26+(Pjmax!$C27+Pnorm!$D27+Pjmin!$E27)*L27+(Pnorm!$C28+Pjmin!$D28)*L28+(Pjmin!$C29)*L29</f>
        <v>2.4095330862124335E-5</v>
      </c>
      <c r="N27" s="62">
        <f>(Pjmax!$E25)*M25+(Pjmax!$D26+Pnorm!$E26)*M26+(Pjmax!$C27+Pnorm!$D27+Pjmin!$E27)*M27+(Pnorm!$C28+Pjmin!$D28)*M28+(Pjmin!$C29)*M29</f>
        <v>4.5387660765599467E-5</v>
      </c>
      <c r="O27" s="61">
        <f>(Pjmax!$E25)*N25+(Pjmax!$D26+Pnorm!$E26)*N26+(Pjmax!$C27+Pnorm!$D27+Pjmin!$E27)*N27+(Pnorm!$C28+Pjmin!$D28)*N28+(Pjmin!$C29)*N29</f>
        <v>7.5614664461472157E-5</v>
      </c>
    </row>
    <row r="28" spans="1:15">
      <c r="A28" s="46">
        <f t="shared" si="1"/>
        <v>-8</v>
      </c>
      <c r="C28" s="60"/>
      <c r="D28" s="60"/>
      <c r="E28" s="60"/>
      <c r="F28" s="60"/>
      <c r="G28" s="60"/>
      <c r="H28" s="60"/>
      <c r="I28" s="60"/>
      <c r="J28" s="60"/>
      <c r="K28" s="61">
        <f>(Pjmax!$E26)*J26+(Pjmax!$D27+Pnorm!$E27)*J27+(Pjmax!$C28+Pnorm!$D28+Pjmin!$E28)*J28+(Pnorm!$C29+Pjmin!$D29)*J29+(Pjmin!$C30)*J30</f>
        <v>6.4333552571923609E-8</v>
      </c>
      <c r="L28" s="62">
        <f>(Pjmax!$E26)*K26+(Pjmax!$D27+Pnorm!$E27)*K27+(Pjmax!$C28+Pnorm!$D28+Pjmin!$E28)*K28+(Pnorm!$C29+Pjmin!$D29)*K29+(Pjmin!$C30)*K30</f>
        <v>3.9452551114732152E-7</v>
      </c>
      <c r="M28" s="62">
        <f>(Pjmax!$E26)*L26+(Pjmax!$D27+Pnorm!$E27)*L27+(Pjmax!$C28+Pnorm!$D28+Pjmin!$E28)*L28+(Pnorm!$C29+Pjmin!$D29)*L29+(Pjmin!$C30)*L30</f>
        <v>1.3608538196062173E-6</v>
      </c>
      <c r="N28" s="62">
        <f>(Pjmax!$E26)*M26+(Pjmax!$D27+Pnorm!$E27)*M27+(Pjmax!$C28+Pnorm!$D28+Pjmin!$E28)*M28+(Pnorm!$C29+Pjmin!$D29)*M29+(Pjmin!$C30)*M30</f>
        <v>3.4831305004619682E-6</v>
      </c>
      <c r="O28" s="61">
        <f>(Pjmax!$E26)*N26+(Pjmax!$D27+Pnorm!$E27)*N27+(Pjmax!$C28+Pnorm!$D28+Pjmin!$E28)*N28+(Pnorm!$C29+Pjmin!$D29)*N29+(Pjmin!$C30)*N30</f>
        <v>7.3765640764928109E-6</v>
      </c>
    </row>
    <row r="29" spans="1:15">
      <c r="A29" s="46">
        <f t="shared" si="1"/>
        <v>-9</v>
      </c>
      <c r="C29" s="60"/>
      <c r="D29" s="60"/>
      <c r="E29" s="60"/>
      <c r="F29" s="60"/>
      <c r="G29" s="60"/>
      <c r="H29" s="60"/>
      <c r="I29" s="60"/>
      <c r="J29" s="60"/>
      <c r="K29" s="60"/>
      <c r="L29" s="62">
        <f>(Pjmax!$E27)*K27+(Pjmax!$D28+Pnorm!$E28)*K28+(Pjmax!$C29+Pnorm!$D29+Pjmin!$E29)*K29+(Pnorm!$C30+Pjmin!$D30)*K30+(Pjmin!$C31)*K31</f>
        <v>0</v>
      </c>
      <c r="M29" s="62">
        <f>(Pjmax!$E27)*L27+(Pjmax!$D28+Pnorm!$E28)*L28+(Pjmax!$C29+Pnorm!$D29+Pjmin!$E29)*L29+(Pnorm!$C30+Pjmin!$D30)*L30+(Pjmin!$C31)*L31</f>
        <v>0</v>
      </c>
      <c r="N29" s="62">
        <f>(Pjmax!$E27)*M27+(Pjmax!$D28+Pnorm!$E28)*M28+(Pjmax!$C29+Pnorm!$D29+Pjmin!$E29)*M29+(Pnorm!$C30+Pjmin!$D30)*M30+(Pjmin!$C31)*M31</f>
        <v>0</v>
      </c>
      <c r="O29" s="61">
        <f>(Pjmax!$E27)*N27+(Pjmax!$D28+Pnorm!$E28)*N28+(Pjmax!$C29+Pnorm!$D29+Pjmin!$E29)*N29+(Pnorm!$C30+Pjmin!$D30)*N30+(Pjmin!$C31)*N31</f>
        <v>0</v>
      </c>
    </row>
    <row r="30" spans="1:15">
      <c r="A30" s="46">
        <f t="shared" si="1"/>
        <v>-10</v>
      </c>
      <c r="C30" s="60"/>
      <c r="D30" s="60"/>
      <c r="E30" s="60"/>
      <c r="F30" s="60"/>
      <c r="G30" s="60"/>
      <c r="H30" s="60"/>
      <c r="I30" s="60"/>
      <c r="J30" s="60"/>
      <c r="K30" s="60"/>
      <c r="L30" s="60"/>
      <c r="M30" s="62">
        <f>(Pjmax!$E28)*L28+(Pjmax!$D29+Pnorm!$E29)*L29+(Pjmax!$C30+Pnorm!$D30+Pjmin!$E30)*L30+(Pnorm!$C31+Pjmin!$D31)*L31+(Pjmin!$C32)*L32</f>
        <v>0</v>
      </c>
      <c r="N30" s="62">
        <f>(Pjmax!$E28)*M28+(Pjmax!$D29+Pnorm!$E29)*M29+(Pjmax!$C30+Pnorm!$D30+Pjmin!$E30)*M30+(Pnorm!$C31+Pjmin!$D31)*M31+(Pjmin!$C32)*M32</f>
        <v>0</v>
      </c>
      <c r="O30" s="61">
        <f>(Pjmax!$E28)*N28+(Pjmax!$D29+Pnorm!$E29)*N29+(Pjmax!$C30+Pnorm!$D30+Pjmin!$E30)*N30+(Pnorm!$C31+Pjmin!$D31)*N31+(Pjmin!$C32)*N32</f>
        <v>0</v>
      </c>
    </row>
    <row r="31" spans="1:15">
      <c r="A31" s="46">
        <f t="shared" si="1"/>
        <v>-11</v>
      </c>
      <c r="C31" s="60"/>
      <c r="D31" s="60"/>
      <c r="E31" s="60"/>
      <c r="F31" s="60"/>
      <c r="G31" s="60"/>
      <c r="H31" s="60"/>
      <c r="I31" s="60"/>
      <c r="J31" s="60"/>
      <c r="K31" s="60"/>
      <c r="L31" s="60"/>
      <c r="M31" s="60"/>
      <c r="N31" s="62">
        <f>(Pjmax!$E29)*M29+(Pjmax!$D30+Pnorm!$E30)*M30+(Pjmax!$C31+Pnorm!$D31+Pjmin!$E31)*M31+(Pnorm!$C32+Pjmin!$D32)*M32+(Pjmin!$C33)*M33</f>
        <v>0</v>
      </c>
      <c r="O31" s="61">
        <f>(Pjmax!$E29)*N29+(Pjmax!$D30+Pnorm!$E30)*N30+(Pjmax!$C31+Pnorm!$D31+Pjmin!$E31)*N31+(Pnorm!$C32+Pjmin!$D32)*N32+(Pjmin!$C33)*N33</f>
        <v>0</v>
      </c>
    </row>
    <row r="32" spans="1:15">
      <c r="A32" s="46">
        <f t="shared" si="1"/>
        <v>-12</v>
      </c>
      <c r="C32" s="60"/>
      <c r="D32" s="60"/>
      <c r="E32" s="60"/>
      <c r="F32" s="60"/>
      <c r="G32" s="60"/>
      <c r="H32" s="60"/>
      <c r="I32" s="60"/>
      <c r="J32" s="60"/>
      <c r="K32" s="60"/>
      <c r="L32" s="60"/>
      <c r="M32" s="60"/>
      <c r="N32" s="60"/>
      <c r="O32" s="61">
        <f>(Pjmax!$E30)*N30+(Pjmax!$D31+Pnorm!$E31)*N31+(Pjmax!$C32+Pnorm!$D32+Pjmin!$E32)*N32+(Pnorm!$C33+Pjmin!$D33)*N33+(Pjmin!$C34)*N34</f>
        <v>0</v>
      </c>
    </row>
  </sheetData>
  <phoneticPr fontId="9"/>
  <printOptions gridLinesSet="0"/>
  <pageMargins left="0" right="0" top="0" bottom="0" header="0" footer="0"/>
  <pageSetup paperSize="9" scale="80" pageOrder="overThenDown" orientation="landscape" horizontalDpi="4294967292" verticalDpi="0" r:id="rId1"/>
  <headerFooter alignWithMargins="0">
    <oddHeader>&amp;A</oddHeader>
    <oddFooter>- &amp;P -</oddFooter>
  </headerFooter>
  <drawing r:id="rId2"/>
</worksheet>
</file>

<file path=xl/worksheets/sheet12.xml><?xml version="1.0" encoding="utf-8"?>
<worksheet xmlns="http://schemas.openxmlformats.org/spreadsheetml/2006/main" xmlns:r="http://schemas.openxmlformats.org/officeDocument/2006/relationships">
  <dimension ref="A3:O32"/>
  <sheetViews>
    <sheetView topLeftCell="A3" zoomScale="80" workbookViewId="0">
      <selection activeCell="H35" sqref="H35"/>
    </sheetView>
  </sheetViews>
  <sheetFormatPr defaultRowHeight="13.5"/>
  <cols>
    <col min="1" max="1" width="4.625" style="29" customWidth="1"/>
    <col min="2" max="2" width="3.625" style="29" customWidth="1"/>
    <col min="3" max="15" width="8.625" style="20" customWidth="1"/>
    <col min="16" max="16384" width="9" style="20"/>
  </cols>
  <sheetData>
    <row r="3" spans="1:15">
      <c r="A3" s="20"/>
      <c r="B3" s="17" t="s">
        <v>36</v>
      </c>
      <c r="C3" s="46">
        <v>0</v>
      </c>
      <c r="D3" s="46">
        <v>1</v>
      </c>
      <c r="E3" s="46">
        <v>2</v>
      </c>
      <c r="F3" s="46">
        <v>3</v>
      </c>
      <c r="G3" s="46">
        <v>4</v>
      </c>
      <c r="H3" s="46">
        <v>5</v>
      </c>
      <c r="I3" s="46">
        <v>6</v>
      </c>
      <c r="J3" s="46">
        <v>7</v>
      </c>
      <c r="K3" s="46">
        <v>8</v>
      </c>
      <c r="L3" s="46">
        <v>9</v>
      </c>
      <c r="M3" s="46">
        <v>10</v>
      </c>
      <c r="N3" s="46">
        <v>11</v>
      </c>
      <c r="O3" s="46">
        <v>12</v>
      </c>
    </row>
    <row r="4" spans="1:15">
      <c r="A4" s="19"/>
      <c r="B4" s="17" t="s">
        <v>37</v>
      </c>
      <c r="C4" s="46">
        <f>Def!$D$12*C$3</f>
        <v>0</v>
      </c>
      <c r="D4" s="46">
        <f>Def!$D$12*D$3</f>
        <v>0.25</v>
      </c>
      <c r="E4" s="46">
        <f>Def!$D$12*E$3</f>
        <v>0.5</v>
      </c>
      <c r="F4" s="46">
        <f>Def!$D$12*F$3</f>
        <v>0.75</v>
      </c>
      <c r="G4" s="46">
        <f>Def!$D$12*G$3</f>
        <v>1</v>
      </c>
      <c r="H4" s="46">
        <f>Def!$D$12*H$3</f>
        <v>1.25</v>
      </c>
      <c r="I4" s="46">
        <f>Def!$D$12*I$3</f>
        <v>1.5</v>
      </c>
      <c r="J4" s="46">
        <f>Def!$D$12*J$3</f>
        <v>1.75</v>
      </c>
      <c r="K4" s="46">
        <f>Def!$D$12*K$3</f>
        <v>2</v>
      </c>
      <c r="L4" s="46">
        <f>Def!$D$12*L$3</f>
        <v>2.25</v>
      </c>
      <c r="M4" s="46">
        <f>Def!$D$12*M$3</f>
        <v>2.5</v>
      </c>
      <c r="N4" s="46">
        <f>Def!$D$12*N$3</f>
        <v>2.75</v>
      </c>
      <c r="O4" s="46">
        <f>Def!$D$12*O$3</f>
        <v>3</v>
      </c>
    </row>
    <row r="5" spans="1:15">
      <c r="A5" s="17" t="s">
        <v>29</v>
      </c>
    </row>
    <row r="7" spans="1:15">
      <c r="A7" s="20"/>
    </row>
    <row r="8" spans="1:15">
      <c r="A8" s="46">
        <f t="shared" ref="A8:A19" si="0">A9+1</f>
        <v>12</v>
      </c>
      <c r="B8" s="92">
        <f>IF(Def!$D$18&gt;=ABS($A8),1,0)</f>
        <v>0</v>
      </c>
      <c r="C8" s="64"/>
      <c r="D8" s="64"/>
      <c r="E8" s="64"/>
      <c r="F8" s="64"/>
      <c r="G8" s="64"/>
      <c r="H8" s="64"/>
      <c r="I8" s="64"/>
      <c r="J8" s="64"/>
      <c r="K8" s="64"/>
      <c r="L8" s="64"/>
      <c r="M8" s="64"/>
      <c r="N8" s="64"/>
      <c r="O8" s="65">
        <f>$B8*(O$20+Def!$D$19*$A8)</f>
        <v>0</v>
      </c>
    </row>
    <row r="9" spans="1:15">
      <c r="A9" s="46">
        <f t="shared" si="0"/>
        <v>11</v>
      </c>
      <c r="B9" s="92">
        <f>IF(Def!$D$18&gt;=ABS($A9),1,0)</f>
        <v>0</v>
      </c>
      <c r="C9" s="64"/>
      <c r="D9" s="64"/>
      <c r="E9" s="64"/>
      <c r="F9" s="64"/>
      <c r="G9" s="64"/>
      <c r="H9" s="64"/>
      <c r="I9" s="64"/>
      <c r="J9" s="64"/>
      <c r="K9" s="64"/>
      <c r="L9" s="64"/>
      <c r="M9" s="64"/>
      <c r="N9" s="66">
        <f>$B9*(N$20+Def!$D$19*$A9)</f>
        <v>0</v>
      </c>
      <c r="O9" s="65">
        <f>$B9*(O$20+Def!$D$19*$A9)</f>
        <v>0</v>
      </c>
    </row>
    <row r="10" spans="1:15">
      <c r="A10" s="46">
        <f t="shared" si="0"/>
        <v>10</v>
      </c>
      <c r="B10" s="92">
        <f>IF(Def!$D$18&gt;=ABS($A10),1,0)</f>
        <v>0</v>
      </c>
      <c r="C10" s="64"/>
      <c r="D10" s="64"/>
      <c r="E10" s="64"/>
      <c r="F10" s="64"/>
      <c r="G10" s="64"/>
      <c r="H10" s="64"/>
      <c r="I10" s="64"/>
      <c r="J10" s="64"/>
      <c r="K10" s="64"/>
      <c r="L10" s="64"/>
      <c r="M10" s="66">
        <f>$B10*(M$20+Def!$D$19*$A10)</f>
        <v>0</v>
      </c>
      <c r="N10" s="66">
        <f>$B10*(N$20+Def!$D$19*$A10)</f>
        <v>0</v>
      </c>
      <c r="O10" s="65">
        <f>$B10*(O$20+Def!$D$19*$A10)</f>
        <v>0</v>
      </c>
    </row>
    <row r="11" spans="1:15">
      <c r="A11" s="46">
        <f t="shared" si="0"/>
        <v>9</v>
      </c>
      <c r="B11" s="92">
        <f>IF(Def!$D$18&gt;=ABS($A11),1,0)</f>
        <v>0</v>
      </c>
      <c r="C11" s="64"/>
      <c r="D11" s="64"/>
      <c r="E11" s="64"/>
      <c r="F11" s="64"/>
      <c r="G11" s="64"/>
      <c r="H11" s="64"/>
      <c r="I11" s="64"/>
      <c r="J11" s="64"/>
      <c r="K11" s="64"/>
      <c r="L11" s="66">
        <f>$B11*(L$20+Def!$D$19*$A11)</f>
        <v>0</v>
      </c>
      <c r="M11" s="66">
        <f>$B11*(M$20+Def!$D$19*$A11)</f>
        <v>0</v>
      </c>
      <c r="N11" s="66">
        <f>$B11*(N$20+Def!$D$19*$A11)</f>
        <v>0</v>
      </c>
      <c r="O11" s="65">
        <f>$B11*(O$20+Def!$D$19*$A11)</f>
        <v>0</v>
      </c>
    </row>
    <row r="12" spans="1:15">
      <c r="A12" s="46">
        <f t="shared" si="0"/>
        <v>8</v>
      </c>
      <c r="B12" s="92">
        <f>IF(Def!$D$18&gt;=ABS($A12),1,0)</f>
        <v>1</v>
      </c>
      <c r="C12" s="64"/>
      <c r="D12" s="64"/>
      <c r="E12" s="64"/>
      <c r="F12" s="64"/>
      <c r="G12" s="64"/>
      <c r="H12" s="64"/>
      <c r="I12" s="64"/>
      <c r="J12" s="64"/>
      <c r="K12" s="120">
        <f>$B12*(K$20+Def!$D$19*$A12)</f>
        <v>0.11514601542344099</v>
      </c>
      <c r="L12" s="66">
        <f>$B12*(L$20+Def!$D$19*$A12)</f>
        <v>0.11768097793707999</v>
      </c>
      <c r="M12" s="125">
        <f>$B12*(M$20+Def!$D$19*$A12)</f>
        <v>0.11976707248336566</v>
      </c>
      <c r="N12" s="66">
        <f>$B12*(N$20+Def!$D$19*$A12)</f>
        <v>0.12123162325424669</v>
      </c>
      <c r="O12" s="65">
        <f>$B12*(O$20+Def!$D$19*$A12)</f>
        <v>0.12209740034696298</v>
      </c>
    </row>
    <row r="13" spans="1:15">
      <c r="A13" s="46">
        <f t="shared" si="0"/>
        <v>7</v>
      </c>
      <c r="B13" s="92">
        <f>IF(Def!$D$18&gt;=ABS($A13),1,0)</f>
        <v>1</v>
      </c>
      <c r="C13" s="64"/>
      <c r="D13" s="64"/>
      <c r="E13" s="64"/>
      <c r="F13" s="64"/>
      <c r="G13" s="64"/>
      <c r="H13" s="64"/>
      <c r="I13" s="64"/>
      <c r="J13" s="66">
        <f>$B13*(J$20+Def!$D$19*$A13)</f>
        <v>0.10499770299064297</v>
      </c>
      <c r="K13" s="120">
        <f>$B13*(K$20+Def!$D$19*$A13)</f>
        <v>0.10648576138559661</v>
      </c>
      <c r="L13" s="66">
        <f>$B13*(L$20+Def!$D$19*$A13)</f>
        <v>0.1090207238992356</v>
      </c>
      <c r="M13" s="125">
        <f>$B13*(M$20+Def!$D$19*$A13)</f>
        <v>0.11110681844552127</v>
      </c>
      <c r="N13" s="66">
        <f>$B13*(N$20+Def!$D$19*$A13)</f>
        <v>0.1125713692164023</v>
      </c>
      <c r="O13" s="65">
        <f>$B13*(O$20+Def!$D$19*$A13)</f>
        <v>0.11343714630911859</v>
      </c>
    </row>
    <row r="14" spans="1:15">
      <c r="A14" s="46">
        <f t="shared" si="0"/>
        <v>6</v>
      </c>
      <c r="B14" s="92">
        <f>IF(Def!$D$18&gt;=ABS($A14),1,0)</f>
        <v>1</v>
      </c>
      <c r="C14" s="64"/>
      <c r="D14" s="64"/>
      <c r="E14" s="64"/>
      <c r="F14" s="64"/>
      <c r="G14" s="64"/>
      <c r="H14" s="64"/>
      <c r="I14" s="125">
        <f>$B14*(I$20+Def!$D$19*$A14)</f>
        <v>9.0430781957209411E-2</v>
      </c>
      <c r="J14" s="66">
        <f>$B14*(J$20+Def!$D$19*$A14)</f>
        <v>9.6337448952798582E-2</v>
      </c>
      <c r="K14" s="120">
        <f>$B14*(K$20+Def!$D$19*$A14)</f>
        <v>9.7825507347752222E-2</v>
      </c>
      <c r="L14" s="66">
        <f>$B14*(L$20+Def!$D$19*$A14)</f>
        <v>0.10036046986139122</v>
      </c>
      <c r="M14" s="125">
        <f>$B14*(M$20+Def!$D$19*$A14)</f>
        <v>0.10244656440767688</v>
      </c>
      <c r="N14" s="66">
        <f>$B14*(N$20+Def!$D$19*$A14)</f>
        <v>0.10391111517855792</v>
      </c>
      <c r="O14" s="65">
        <f>$B14*(O$20+Def!$D$19*$A14)</f>
        <v>0.10477689227127421</v>
      </c>
    </row>
    <row r="15" spans="1:15">
      <c r="A15" s="46">
        <f t="shared" si="0"/>
        <v>5</v>
      </c>
      <c r="B15" s="92">
        <f>IF(Def!$D$18&gt;=ABS($A15),1,0)</f>
        <v>1</v>
      </c>
      <c r="C15" s="64"/>
      <c r="D15" s="64"/>
      <c r="E15" s="64"/>
      <c r="F15" s="64"/>
      <c r="G15" s="64"/>
      <c r="H15" s="66">
        <f>$B15*(H$20+Def!$D$19*$A15)</f>
        <v>8.239636257197501E-2</v>
      </c>
      <c r="I15" s="125">
        <f>$B15*(I$20+Def!$D$19*$A15)</f>
        <v>8.1770527919365024E-2</v>
      </c>
      <c r="J15" s="66">
        <f>$B15*(J$20+Def!$D$19*$A15)</f>
        <v>8.7677194914954196E-2</v>
      </c>
      <c r="K15" s="120">
        <f>$B15*(K$20+Def!$D$19*$A15)</f>
        <v>8.9165253309907835E-2</v>
      </c>
      <c r="L15" s="66">
        <f>$B15*(L$20+Def!$D$19*$A15)</f>
        <v>9.170021582354683E-2</v>
      </c>
      <c r="M15" s="125">
        <f>$B15*(M$20+Def!$D$19*$A15)</f>
        <v>9.3786310369832496E-2</v>
      </c>
      <c r="N15" s="66">
        <f>$B15*(N$20+Def!$D$19*$A15)</f>
        <v>9.525086114071353E-2</v>
      </c>
      <c r="O15" s="65">
        <f>$B15*(O$20+Def!$D$19*$A15)</f>
        <v>9.6116638233429821E-2</v>
      </c>
    </row>
    <row r="16" spans="1:15">
      <c r="A16" s="46">
        <f t="shared" si="0"/>
        <v>4</v>
      </c>
      <c r="B16" s="92">
        <f>IF(Def!$D$18&gt;=ABS($A16),1,0)</f>
        <v>1</v>
      </c>
      <c r="C16" s="64"/>
      <c r="D16" s="64"/>
      <c r="E16" s="64"/>
      <c r="F16" s="64"/>
      <c r="G16" s="120">
        <f>$B16*(G$20+Def!$D$19*$A16)</f>
        <v>6.9670168069482369E-2</v>
      </c>
      <c r="H16" s="66">
        <f>$B16*(H$20+Def!$D$19*$A16)</f>
        <v>7.3736108534130623E-2</v>
      </c>
      <c r="I16" s="125">
        <f>$B16*(I$20+Def!$D$19*$A16)</f>
        <v>7.3110273881520638E-2</v>
      </c>
      <c r="J16" s="66">
        <f>$B16*(J$20+Def!$D$19*$A16)</f>
        <v>7.9016940877109809E-2</v>
      </c>
      <c r="K16" s="120">
        <f>$B16*(K$20+Def!$D$19*$A16)</f>
        <v>8.0504999272063449E-2</v>
      </c>
      <c r="L16" s="66">
        <f>$B16*(L$20+Def!$D$19*$A16)</f>
        <v>8.3039961785702443E-2</v>
      </c>
      <c r="M16" s="125">
        <f>$B16*(M$20+Def!$D$19*$A16)</f>
        <v>8.5126056331988109E-2</v>
      </c>
      <c r="N16" s="66">
        <f>$B16*(N$20+Def!$D$19*$A16)</f>
        <v>8.6590607102869144E-2</v>
      </c>
      <c r="O16" s="65">
        <f>$B16*(O$20+Def!$D$19*$A16)</f>
        <v>8.7456384195585435E-2</v>
      </c>
    </row>
    <row r="17" spans="1:15">
      <c r="A17" s="46">
        <f t="shared" si="0"/>
        <v>3</v>
      </c>
      <c r="B17" s="92">
        <f>IF(Def!$D$18&gt;=ABS($A17),1,0)</f>
        <v>1</v>
      </c>
      <c r="C17" s="64"/>
      <c r="D17" s="64"/>
      <c r="E17" s="64"/>
      <c r="F17" s="66">
        <f>$B17*(F$20+Def!$D$19*$A17)</f>
        <v>5.824743599486075E-2</v>
      </c>
      <c r="G17" s="120">
        <f>$B17*(G$20+Def!$D$19*$A17)</f>
        <v>6.1009914031637982E-2</v>
      </c>
      <c r="H17" s="66">
        <f>$B17*(H$20+Def!$D$19*$A17)</f>
        <v>6.5075854496286237E-2</v>
      </c>
      <c r="I17" s="125">
        <f>$B17*(I$20+Def!$D$19*$A17)</f>
        <v>6.4450019843676251E-2</v>
      </c>
      <c r="J17" s="66">
        <f>$B17*(J$20+Def!$D$19*$A17)</f>
        <v>7.0356686839265423E-2</v>
      </c>
      <c r="K17" s="120">
        <f>$B17*(K$20+Def!$D$19*$A17)</f>
        <v>7.1844745234219062E-2</v>
      </c>
      <c r="L17" s="66">
        <f>$B17*(L$20+Def!$D$19*$A17)</f>
        <v>7.4379707747858056E-2</v>
      </c>
      <c r="M17" s="125">
        <f>$B17*(M$20+Def!$D$19*$A17)</f>
        <v>7.6465802294143723E-2</v>
      </c>
      <c r="N17" s="66">
        <f>$B17*(N$20+Def!$D$19*$A17)</f>
        <v>7.7930353065024757E-2</v>
      </c>
      <c r="O17" s="65">
        <f>$B17*(O$20+Def!$D$19*$A17)</f>
        <v>7.8796130157741048E-2</v>
      </c>
    </row>
    <row r="18" spans="1:15">
      <c r="A18" s="46">
        <f t="shared" si="0"/>
        <v>2</v>
      </c>
      <c r="B18" s="92">
        <f>IF(Def!$D$18&gt;=ABS($A18),1,0)</f>
        <v>1</v>
      </c>
      <c r="C18" s="64"/>
      <c r="D18" s="64"/>
      <c r="E18" s="66">
        <f>$B18*(E$20+Def!$D$19*$A18)</f>
        <v>4.6545363233972237E-2</v>
      </c>
      <c r="F18" s="66">
        <f>$B18*(F$20+Def!$D$19*$A18)</f>
        <v>4.9587181957016363E-2</v>
      </c>
      <c r="G18" s="120">
        <f>$B18*(G$20+Def!$D$19*$A18)</f>
        <v>5.2349659993793596E-2</v>
      </c>
      <c r="H18" s="66">
        <f>$B18*(H$20+Def!$D$19*$A18)</f>
        <v>5.641560045844185E-2</v>
      </c>
      <c r="I18" s="125">
        <f>$B18*(I$20+Def!$D$19*$A18)</f>
        <v>5.5789765805831865E-2</v>
      </c>
      <c r="J18" s="66">
        <f>$B18*(J$20+Def!$D$19*$A18)</f>
        <v>6.1696432801421036E-2</v>
      </c>
      <c r="K18" s="120">
        <f>$B18*(K$20+Def!$D$19*$A18)</f>
        <v>6.3184491196374676E-2</v>
      </c>
      <c r="L18" s="66">
        <f>$B18*(L$20+Def!$D$19*$A18)</f>
        <v>6.571945371001367E-2</v>
      </c>
      <c r="M18" s="125">
        <f>$B18*(M$20+Def!$D$19*$A18)</f>
        <v>6.7805548256299336E-2</v>
      </c>
      <c r="N18" s="66">
        <f>$B18*(N$20+Def!$D$19*$A18)</f>
        <v>6.9270099027180371E-2</v>
      </c>
      <c r="O18" s="65">
        <f>$B18*(O$20+Def!$D$19*$A18)</f>
        <v>7.0135876119896662E-2</v>
      </c>
    </row>
    <row r="19" spans="1:15">
      <c r="A19" s="46">
        <f t="shared" si="0"/>
        <v>1</v>
      </c>
      <c r="B19" s="92">
        <f>IF(Def!$D$18&gt;=ABS($A19),1,0)</f>
        <v>1</v>
      </c>
      <c r="C19" s="64"/>
      <c r="D19" s="66">
        <f>$B19*(D$20+Def!$D$19*$A19)</f>
        <v>3.495142845300625E-2</v>
      </c>
      <c r="E19" s="66">
        <f>$B19*(E$20+Def!$D$19*$A19)</f>
        <v>3.788510919612785E-2</v>
      </c>
      <c r="F19" s="66">
        <f>$B19*(F$20+Def!$D$19*$A19)</f>
        <v>4.0926927919171976E-2</v>
      </c>
      <c r="G19" s="120">
        <f>$B19*(G$20+Def!$D$19*$A19)</f>
        <v>4.3689405955949209E-2</v>
      </c>
      <c r="H19" s="66">
        <f>$B19*(H$20+Def!$D$19*$A19)</f>
        <v>4.7755346420597464E-2</v>
      </c>
      <c r="I19" s="125">
        <f>$B19*(I$20+Def!$D$19*$A19)</f>
        <v>4.7129511767987478E-2</v>
      </c>
      <c r="J19" s="66">
        <f>$B19*(J$20+Def!$D$19*$A19)</f>
        <v>5.303617876357665E-2</v>
      </c>
      <c r="K19" s="120">
        <f>$B19*(K$20+Def!$D$19*$A19)</f>
        <v>5.4524237158530289E-2</v>
      </c>
      <c r="L19" s="66">
        <f>$B19*(L$20+Def!$D$19*$A19)</f>
        <v>5.7059199672169283E-2</v>
      </c>
      <c r="M19" s="125">
        <f>$B19*(M$20+Def!$D$19*$A19)</f>
        <v>5.914529421845495E-2</v>
      </c>
      <c r="N19" s="66">
        <f>$B19*(N$20+Def!$D$19*$A19)</f>
        <v>6.0609844989335984E-2</v>
      </c>
      <c r="O19" s="65">
        <f>$B19*(O$20+Def!$D$19*$A19)</f>
        <v>6.1475622082052275E-2</v>
      </c>
    </row>
    <row r="20" spans="1:15">
      <c r="A20" s="46">
        <v>0</v>
      </c>
      <c r="B20" s="92">
        <f>IF(Def!$D$18&gt;=ABS($A20),1,0)</f>
        <v>1</v>
      </c>
      <c r="C20" s="67">
        <f>Alpha!C5</f>
        <v>2.4711322236268519E-2</v>
      </c>
      <c r="D20" s="67">
        <f>Alpha!D5</f>
        <v>2.629117441516186E-2</v>
      </c>
      <c r="E20" s="67">
        <f>Alpha!E5</f>
        <v>2.9224855158283464E-2</v>
      </c>
      <c r="F20" s="67">
        <f>Alpha!F5</f>
        <v>3.226667388132759E-2</v>
      </c>
      <c r="G20" s="116">
        <f>Alpha!G5</f>
        <v>3.5029151918104823E-2</v>
      </c>
      <c r="H20" s="67">
        <f>Alpha!H5</f>
        <v>3.9095092382753077E-2</v>
      </c>
      <c r="I20" s="116">
        <f>Alpha!I5</f>
        <v>3.8469257730143092E-2</v>
      </c>
      <c r="J20" s="67">
        <f>Alpha!J5</f>
        <v>4.4375924725732263E-2</v>
      </c>
      <c r="K20" s="116">
        <f>Alpha!K5</f>
        <v>4.5863983120685903E-2</v>
      </c>
      <c r="L20" s="67">
        <f>Alpha!L5</f>
        <v>4.8398945634324897E-2</v>
      </c>
      <c r="M20" s="116">
        <f>Alpha!M5</f>
        <v>5.0485040180610563E-2</v>
      </c>
      <c r="N20" s="67">
        <f>Alpha!N5</f>
        <v>5.1949590951491598E-2</v>
      </c>
      <c r="O20" s="67">
        <f>Alpha!O5</f>
        <v>5.2815368044207889E-2</v>
      </c>
    </row>
    <row r="21" spans="1:15">
      <c r="A21" s="46">
        <f t="shared" ref="A21:A32" si="1">A20-1</f>
        <v>-1</v>
      </c>
      <c r="B21" s="92">
        <f>IF(Def!$D$18&gt;=ABS($A21),1,0)</f>
        <v>1</v>
      </c>
      <c r="C21" s="64"/>
      <c r="D21" s="66">
        <f>$B21*(D$20+Def!$D$19*$A21)</f>
        <v>1.7630920377317474E-2</v>
      </c>
      <c r="E21" s="66">
        <f>$B21*(E$20+Def!$D$19*$A21)</f>
        <v>2.0564601120439077E-2</v>
      </c>
      <c r="F21" s="66">
        <f>$B21*(F$20+Def!$D$19*$A21)</f>
        <v>2.3606419843483203E-2</v>
      </c>
      <c r="G21" s="120">
        <f>$B21*(G$20+Def!$D$19*$A21)</f>
        <v>2.6368897880260436E-2</v>
      </c>
      <c r="H21" s="66">
        <f>$B21*(H$20+Def!$D$19*$A21)</f>
        <v>3.0434838344908691E-2</v>
      </c>
      <c r="I21" s="125">
        <f>$B21*(I$20+Def!$D$19*$A21)</f>
        <v>2.9809003692298705E-2</v>
      </c>
      <c r="J21" s="66">
        <f>$B21*(J$20+Def!$D$19*$A21)</f>
        <v>3.5715670687887877E-2</v>
      </c>
      <c r="K21" s="120">
        <f>$B21*(K$20+Def!$D$19*$A21)</f>
        <v>3.7203729082841516E-2</v>
      </c>
      <c r="L21" s="66">
        <f>$B21*(L$20+Def!$D$19*$A21)</f>
        <v>3.973869159648051E-2</v>
      </c>
      <c r="M21" s="125">
        <f>$B21*(M$20+Def!$D$19*$A21)</f>
        <v>4.1824786142766177E-2</v>
      </c>
      <c r="N21" s="66">
        <f>$B21*(N$20+Def!$D$19*$A21)</f>
        <v>4.3289336913647211E-2</v>
      </c>
      <c r="O21" s="65">
        <f>$B21*(O$20+Def!$D$19*$A21)</f>
        <v>4.4155114006363502E-2</v>
      </c>
    </row>
    <row r="22" spans="1:15">
      <c r="A22" s="46">
        <f t="shared" si="1"/>
        <v>-2</v>
      </c>
      <c r="B22" s="92">
        <f>IF(Def!$D$18&gt;=ABS($A22),1,0)</f>
        <v>1</v>
      </c>
      <c r="C22" s="64"/>
      <c r="D22" s="64"/>
      <c r="E22" s="66">
        <f>$B22*(E$20+Def!$D$19*$A22)</f>
        <v>1.1904347082594691E-2</v>
      </c>
      <c r="F22" s="66">
        <f>$B22*(F$20+Def!$D$19*$A22)</f>
        <v>1.4946165805638817E-2</v>
      </c>
      <c r="G22" s="120">
        <f>$B22*(G$20+Def!$D$19*$A22)</f>
        <v>1.770864384241605E-2</v>
      </c>
      <c r="H22" s="66">
        <f>$B22*(H$20+Def!$D$19*$A22)</f>
        <v>2.1774584307064304E-2</v>
      </c>
      <c r="I22" s="125">
        <f>$B22*(I$20+Def!$D$19*$A22)</f>
        <v>2.1148749654454319E-2</v>
      </c>
      <c r="J22" s="66">
        <f>$B22*(J$20+Def!$D$19*$A22)</f>
        <v>2.705541665004349E-2</v>
      </c>
      <c r="K22" s="120">
        <f>$B22*(K$20+Def!$D$19*$A22)</f>
        <v>2.854347504499713E-2</v>
      </c>
      <c r="L22" s="66">
        <f>$B22*(L$20+Def!$D$19*$A22)</f>
        <v>3.1078437558636124E-2</v>
      </c>
      <c r="M22" s="125">
        <f>$B22*(M$20+Def!$D$19*$A22)</f>
        <v>3.316453210492179E-2</v>
      </c>
      <c r="N22" s="66">
        <f>$B22*(N$20+Def!$D$19*$A22)</f>
        <v>3.4629082875802825E-2</v>
      </c>
      <c r="O22" s="65">
        <f>$B22*(O$20+Def!$D$19*$A22)</f>
        <v>3.5494859968519116E-2</v>
      </c>
    </row>
    <row r="23" spans="1:15">
      <c r="A23" s="46">
        <f t="shared" si="1"/>
        <v>-3</v>
      </c>
      <c r="B23" s="92">
        <f>IF(Def!$D$18&gt;=ABS($A23),1,0)</f>
        <v>1</v>
      </c>
      <c r="C23" s="64"/>
      <c r="D23" s="64"/>
      <c r="E23" s="64"/>
      <c r="F23" s="66">
        <f>$B23*(F$20+Def!$D$19*$A23)</f>
        <v>6.2859117677944304E-3</v>
      </c>
      <c r="G23" s="120">
        <f>$B23*(G$20+Def!$D$19*$A23)</f>
        <v>9.0483898045716632E-3</v>
      </c>
      <c r="H23" s="66">
        <f>$B23*(H$20+Def!$D$19*$A23)</f>
        <v>1.3114330269219918E-2</v>
      </c>
      <c r="I23" s="125">
        <f>$B23*(I$20+Def!$D$19*$A23)</f>
        <v>1.2488495616609932E-2</v>
      </c>
      <c r="J23" s="66">
        <f>$B23*(J$20+Def!$D$19*$A23)</f>
        <v>1.8395162612199104E-2</v>
      </c>
      <c r="K23" s="120">
        <f>$B23*(K$20+Def!$D$19*$A23)</f>
        <v>1.9883221007152743E-2</v>
      </c>
      <c r="L23" s="66">
        <f>$B23*(L$20+Def!$D$19*$A23)</f>
        <v>2.2418183520791737E-2</v>
      </c>
      <c r="M23" s="125">
        <f>$B23*(M$20+Def!$D$19*$A23)</f>
        <v>2.4504278067077404E-2</v>
      </c>
      <c r="N23" s="66">
        <f>$B23*(N$20+Def!$D$19*$A23)</f>
        <v>2.5968828837958438E-2</v>
      </c>
      <c r="O23" s="65">
        <f>$B23*(O$20+Def!$D$19*$A23)</f>
        <v>2.6834605930674729E-2</v>
      </c>
    </row>
    <row r="24" spans="1:15">
      <c r="A24" s="46">
        <f t="shared" si="1"/>
        <v>-4</v>
      </c>
      <c r="B24" s="92">
        <f>IF(Def!$D$18&gt;=ABS($A24),1,0)</f>
        <v>1</v>
      </c>
      <c r="C24" s="64"/>
      <c r="D24" s="64"/>
      <c r="E24" s="64"/>
      <c r="F24" s="64"/>
      <c r="G24" s="120">
        <f>$B24*(G$20+Def!$D$19*$A24)</f>
        <v>3.8813576672727668E-4</v>
      </c>
      <c r="H24" s="66">
        <f>$B24*(H$20+Def!$D$19*$A24)</f>
        <v>4.4540762313755311E-3</v>
      </c>
      <c r="I24" s="125">
        <f>$B24*(I$20+Def!$D$19*$A24)</f>
        <v>3.8282415787655455E-3</v>
      </c>
      <c r="J24" s="66">
        <f>$B24*(J$20+Def!$D$19*$A24)</f>
        <v>9.734908574354717E-3</v>
      </c>
      <c r="K24" s="120">
        <f>$B24*(K$20+Def!$D$19*$A24)</f>
        <v>1.1222966969308357E-2</v>
      </c>
      <c r="L24" s="66">
        <f>$B24*(L$20+Def!$D$19*$A24)</f>
        <v>1.3757929482947351E-2</v>
      </c>
      <c r="M24" s="125">
        <f>$B24*(M$20+Def!$D$19*$A24)</f>
        <v>1.5844024029233017E-2</v>
      </c>
      <c r="N24" s="66">
        <f>$B24*(N$20+Def!$D$19*$A24)</f>
        <v>1.7308574800114052E-2</v>
      </c>
      <c r="O24" s="65">
        <f>$B24*(O$20+Def!$D$19*$A24)</f>
        <v>1.8174351892830343E-2</v>
      </c>
    </row>
    <row r="25" spans="1:15">
      <c r="A25" s="46">
        <f t="shared" si="1"/>
        <v>-5</v>
      </c>
      <c r="B25" s="92">
        <f>IF(Def!$D$18&gt;=ABS($A25),1,0)</f>
        <v>1</v>
      </c>
      <c r="C25" s="64"/>
      <c r="D25" s="64"/>
      <c r="E25" s="64"/>
      <c r="F25" s="64"/>
      <c r="G25" s="64"/>
      <c r="H25" s="66">
        <f>$B25*(H$20+Def!$D$19*$A25)</f>
        <v>-4.2061778064688554E-3</v>
      </c>
      <c r="I25" s="125">
        <f>$B25*(I$20+Def!$D$19*$A25)</f>
        <v>-4.832012459078841E-3</v>
      </c>
      <c r="J25" s="66">
        <f>$B25*(J$20+Def!$D$19*$A25)</f>
        <v>1.0746545365103305E-3</v>
      </c>
      <c r="K25" s="120">
        <f>$B25*(K$20+Def!$D$19*$A25)</f>
        <v>2.5627129314639702E-3</v>
      </c>
      <c r="L25" s="66">
        <f>$B25*(L$20+Def!$D$19*$A25)</f>
        <v>5.0976754451029643E-3</v>
      </c>
      <c r="M25" s="125">
        <f>$B25*(M$20+Def!$D$19*$A25)</f>
        <v>7.1837699913886305E-3</v>
      </c>
      <c r="N25" s="66">
        <f>$B25*(N$20+Def!$D$19*$A25)</f>
        <v>8.6483207622696651E-3</v>
      </c>
      <c r="O25" s="65">
        <f>$B25*(O$20+Def!$D$19*$A25)</f>
        <v>9.5140978549859562E-3</v>
      </c>
    </row>
    <row r="26" spans="1:15">
      <c r="A26" s="46">
        <f t="shared" si="1"/>
        <v>-6</v>
      </c>
      <c r="B26" s="92">
        <f>IF(Def!$D$18&gt;=ABS($A26),1,0)</f>
        <v>1</v>
      </c>
      <c r="C26" s="64"/>
      <c r="D26" s="64"/>
      <c r="E26" s="64"/>
      <c r="F26" s="64"/>
      <c r="G26" s="64"/>
      <c r="H26" s="64"/>
      <c r="I26" s="125">
        <f>$B26*(I$20+Def!$D$19*$A26)</f>
        <v>-1.3492266496923228E-2</v>
      </c>
      <c r="J26" s="66">
        <f>$B26*(J$20+Def!$D$19*$A26)</f>
        <v>-7.585599501334056E-3</v>
      </c>
      <c r="K26" s="120">
        <f>$B26*(K$20+Def!$D$19*$A26)</f>
        <v>-6.0975411063804164E-3</v>
      </c>
      <c r="L26" s="66">
        <f>$B26*(L$20+Def!$D$19*$A26)</f>
        <v>-3.5625785927414222E-3</v>
      </c>
      <c r="M26" s="125">
        <f>$B26*(M$20+Def!$D$19*$A26)</f>
        <v>-1.476484046455756E-3</v>
      </c>
      <c r="N26" s="66">
        <f>$B26*(N$20+Def!$D$19*$A26)</f>
        <v>-1.1933275574721458E-5</v>
      </c>
      <c r="O26" s="65">
        <f>$B26*(O$20+Def!$D$19*$A26)</f>
        <v>8.5384381714156965E-4</v>
      </c>
    </row>
    <row r="27" spans="1:15">
      <c r="A27" s="46">
        <f t="shared" si="1"/>
        <v>-7</v>
      </c>
      <c r="B27" s="92">
        <f>IF(Def!$D$18&gt;=ABS($A27),1,0)</f>
        <v>1</v>
      </c>
      <c r="C27" s="64"/>
      <c r="D27" s="64"/>
      <c r="E27" s="64"/>
      <c r="F27" s="64"/>
      <c r="G27" s="64"/>
      <c r="H27" s="64"/>
      <c r="I27" s="64"/>
      <c r="J27" s="66">
        <f>$B27*(J$20+Def!$D$19*$A27)</f>
        <v>-1.6245853539178443E-2</v>
      </c>
      <c r="K27" s="120">
        <f>$B27*(K$20+Def!$D$19*$A27)</f>
        <v>-1.4757795144224803E-2</v>
      </c>
      <c r="L27" s="66">
        <f>$B27*(L$20+Def!$D$19*$A27)</f>
        <v>-1.2222832630585809E-2</v>
      </c>
      <c r="M27" s="125">
        <f>$B27*(M$20+Def!$D$19*$A27)</f>
        <v>-1.0136738084300143E-2</v>
      </c>
      <c r="N27" s="66">
        <f>$B27*(N$20+Def!$D$19*$A27)</f>
        <v>-8.672187313419108E-3</v>
      </c>
      <c r="O27" s="65">
        <f>$B27*(O$20+Def!$D$19*$A27)</f>
        <v>-7.8064102207028169E-3</v>
      </c>
    </row>
    <row r="28" spans="1:15">
      <c r="A28" s="46">
        <f t="shared" si="1"/>
        <v>-8</v>
      </c>
      <c r="B28" s="92">
        <f>IF(Def!$D$18&gt;=ABS($A28),1,0)</f>
        <v>1</v>
      </c>
      <c r="C28" s="64"/>
      <c r="D28" s="64"/>
      <c r="E28" s="64"/>
      <c r="F28" s="64"/>
      <c r="G28" s="64"/>
      <c r="H28" s="64"/>
      <c r="I28" s="64"/>
      <c r="J28" s="64"/>
      <c r="K28" s="120">
        <f>$B28*(K$20+Def!$D$19*$A28)</f>
        <v>-2.3418049182069189E-2</v>
      </c>
      <c r="L28" s="66">
        <f>$B28*(L$20+Def!$D$19*$A28)</f>
        <v>-2.0883086668430195E-2</v>
      </c>
      <c r="M28" s="125">
        <f>$B28*(M$20+Def!$D$19*$A28)</f>
        <v>-1.8796992122144529E-2</v>
      </c>
      <c r="N28" s="66">
        <f>$B28*(N$20+Def!$D$19*$A28)</f>
        <v>-1.7332441351263495E-2</v>
      </c>
      <c r="O28" s="65">
        <f>$B28*(O$20+Def!$D$19*$A28)</f>
        <v>-1.6466664258547203E-2</v>
      </c>
    </row>
    <row r="29" spans="1:15">
      <c r="A29" s="46">
        <f t="shared" si="1"/>
        <v>-9</v>
      </c>
      <c r="B29" s="92">
        <f>IF(Def!$D$18&gt;=ABS($A29),1,0)</f>
        <v>0</v>
      </c>
      <c r="C29" s="64"/>
      <c r="D29" s="64"/>
      <c r="E29" s="64"/>
      <c r="F29" s="64"/>
      <c r="G29" s="64"/>
      <c r="H29" s="64"/>
      <c r="I29" s="64"/>
      <c r="J29" s="64"/>
      <c r="K29" s="64"/>
      <c r="L29" s="66">
        <f>$B29*(L$20+Def!$D$19*$A29)</f>
        <v>0</v>
      </c>
      <c r="M29" s="66">
        <f>$B29*(M$20+Def!$D$19*$A29)</f>
        <v>0</v>
      </c>
      <c r="N29" s="66">
        <f>$B29*(N$20+Def!$D$19*$A29)</f>
        <v>0</v>
      </c>
      <c r="O29" s="65">
        <f>$B29*(O$20+Def!$D$19*$A29)</f>
        <v>0</v>
      </c>
    </row>
    <row r="30" spans="1:15">
      <c r="A30" s="46">
        <f t="shared" si="1"/>
        <v>-10</v>
      </c>
      <c r="B30" s="92">
        <f>IF(Def!$D$18&gt;=ABS($A30),1,0)</f>
        <v>0</v>
      </c>
      <c r="C30" s="64"/>
      <c r="D30" s="64"/>
      <c r="E30" s="64"/>
      <c r="F30" s="64"/>
      <c r="G30" s="64"/>
      <c r="H30" s="64"/>
      <c r="I30" s="64"/>
      <c r="J30" s="64"/>
      <c r="K30" s="64"/>
      <c r="L30" s="64"/>
      <c r="M30" s="66">
        <f>$B30*(M$20+Def!$D$19*$A30)</f>
        <v>0</v>
      </c>
      <c r="N30" s="66">
        <f>$B30*(N$20+Def!$D$19*$A30)</f>
        <v>0</v>
      </c>
      <c r="O30" s="65">
        <f>$B30*(O$20+Def!$D$19*$A30)</f>
        <v>0</v>
      </c>
    </row>
    <row r="31" spans="1:15">
      <c r="A31" s="46">
        <f t="shared" si="1"/>
        <v>-11</v>
      </c>
      <c r="B31" s="92">
        <f>IF(Def!$D$18&gt;=ABS($A31),1,0)</f>
        <v>0</v>
      </c>
      <c r="C31" s="64"/>
      <c r="D31" s="64"/>
      <c r="E31" s="64"/>
      <c r="F31" s="64"/>
      <c r="G31" s="64"/>
      <c r="H31" s="64"/>
      <c r="I31" s="64"/>
      <c r="J31" s="64"/>
      <c r="K31" s="64"/>
      <c r="L31" s="64"/>
      <c r="M31" s="64"/>
      <c r="N31" s="66">
        <f>$B31*(N$20+Def!$D$19*$A31)</f>
        <v>0</v>
      </c>
      <c r="O31" s="65">
        <f>$B31*(O$20+Def!$D$19*$A31)</f>
        <v>0</v>
      </c>
    </row>
    <row r="32" spans="1:15">
      <c r="A32" s="46">
        <f t="shared" si="1"/>
        <v>-12</v>
      </c>
      <c r="B32" s="92">
        <f>IF(Def!$D$18&gt;=ABS($A32),1,0)</f>
        <v>0</v>
      </c>
      <c r="C32" s="64"/>
      <c r="D32" s="64"/>
      <c r="E32" s="64"/>
      <c r="F32" s="64"/>
      <c r="G32" s="64"/>
      <c r="H32" s="64"/>
      <c r="I32" s="64"/>
      <c r="J32" s="64"/>
      <c r="K32" s="64"/>
      <c r="L32" s="64"/>
      <c r="M32" s="64"/>
      <c r="N32" s="64"/>
      <c r="O32" s="65">
        <f>$B32*(O$20+Def!$D$19*$A32)</f>
        <v>0</v>
      </c>
    </row>
  </sheetData>
  <phoneticPr fontId="9"/>
  <printOptions gridLinesSet="0"/>
  <pageMargins left="0" right="0" top="0" bottom="0" header="0" footer="0"/>
  <pageSetup paperSize="9" scale="80" pageOrder="overThenDown" orientation="landscape" horizontalDpi="4294967292" verticalDpi="0" r:id="rId1"/>
  <headerFooter alignWithMargins="0">
    <oddHeader>&amp;A</oddHeader>
    <oddFooter>- &amp;P -</oddFooter>
  </headerFooter>
  <drawing r:id="rId2"/>
</worksheet>
</file>

<file path=xl/worksheets/sheet13.xml><?xml version="1.0" encoding="utf-8"?>
<worksheet xmlns="http://schemas.openxmlformats.org/spreadsheetml/2006/main" xmlns:r="http://schemas.openxmlformats.org/officeDocument/2006/relationships">
  <dimension ref="A1"/>
  <sheetViews>
    <sheetView workbookViewId="0">
      <selection activeCell="K23" sqref="K23"/>
    </sheetView>
  </sheetViews>
  <sheetFormatPr defaultColWidth="9.125" defaultRowHeight="13.5"/>
  <cols>
    <col min="1" max="16384" width="9.125" style="1"/>
  </cols>
  <sheetData/>
  <phoneticPr fontId="9"/>
  <printOptions gridLinesSet="0"/>
  <pageMargins left="0.78700000000000003" right="0.78700000000000003" top="0.98399999999999999" bottom="0.98399999999999999" header="0.5" footer="0.5"/>
  <pageSetup paperSize="9" orientation="portrait" horizontalDpi="4294967292" verticalDpi="0" r:id="rId1"/>
  <headerFooter alignWithMargins="0">
    <oddHeader>&amp;A</oddHeader>
    <oddFooter>- &amp;P -</oddFooter>
  </headerFooter>
  <drawing r:id="rId2"/>
</worksheet>
</file>

<file path=xl/worksheets/sheet14.xml><?xml version="1.0" encoding="utf-8"?>
<worksheet xmlns="http://schemas.openxmlformats.org/spreadsheetml/2006/main" xmlns:r="http://schemas.openxmlformats.org/officeDocument/2006/relationships">
  <dimension ref="A2:O32"/>
  <sheetViews>
    <sheetView topLeftCell="A3" zoomScale="80" workbookViewId="0">
      <selection activeCell="C23" sqref="C23"/>
    </sheetView>
  </sheetViews>
  <sheetFormatPr defaultRowHeight="13.5"/>
  <cols>
    <col min="1" max="1" width="4.625" style="29" customWidth="1"/>
    <col min="2" max="2" width="3.625" style="20" customWidth="1"/>
    <col min="3" max="15" width="8.625" style="20" customWidth="1"/>
    <col min="16" max="16384" width="9" style="20"/>
  </cols>
  <sheetData>
    <row r="2" spans="1:15">
      <c r="B2" s="29"/>
    </row>
    <row r="3" spans="1:15">
      <c r="B3" s="17" t="s">
        <v>36</v>
      </c>
      <c r="C3" s="46">
        <v>0</v>
      </c>
      <c r="D3" s="46">
        <v>1</v>
      </c>
      <c r="E3" s="46">
        <v>2</v>
      </c>
      <c r="F3" s="46">
        <v>3</v>
      </c>
      <c r="G3" s="46">
        <v>4</v>
      </c>
      <c r="H3" s="46">
        <v>5</v>
      </c>
      <c r="I3" s="46">
        <v>6</v>
      </c>
      <c r="J3" s="46">
        <v>7</v>
      </c>
      <c r="K3" s="46">
        <v>8</v>
      </c>
      <c r="L3" s="46">
        <v>9</v>
      </c>
      <c r="M3" s="46">
        <v>10</v>
      </c>
      <c r="N3" s="46">
        <v>11</v>
      </c>
      <c r="O3" s="46">
        <v>12</v>
      </c>
    </row>
    <row r="4" spans="1:15">
      <c r="A4" s="20"/>
      <c r="B4" s="17" t="s">
        <v>37</v>
      </c>
      <c r="C4" s="46">
        <f>Def!$D$12*C$3</f>
        <v>0</v>
      </c>
      <c r="D4" s="46">
        <f>Def!$D$12*D$3</f>
        <v>0.25</v>
      </c>
      <c r="E4" s="46">
        <f>Def!$D$12*E$3</f>
        <v>0.5</v>
      </c>
      <c r="F4" s="46">
        <f>Def!$D$12*F$3</f>
        <v>0.75</v>
      </c>
      <c r="G4" s="46">
        <f>Def!$D$12*G$3</f>
        <v>1</v>
      </c>
      <c r="H4" s="46">
        <f>Def!$D$12*H$3</f>
        <v>1.25</v>
      </c>
      <c r="I4" s="46">
        <f>Def!$D$12*I$3</f>
        <v>1.5</v>
      </c>
      <c r="J4" s="46">
        <f>Def!$D$12*J$3</f>
        <v>1.75</v>
      </c>
      <c r="K4" s="46">
        <f>Def!$D$12*K$3</f>
        <v>2</v>
      </c>
      <c r="L4" s="46">
        <f>Def!$D$12*L$3</f>
        <v>2.25</v>
      </c>
      <c r="M4" s="46">
        <f>Def!$D$12*M$3</f>
        <v>2.5</v>
      </c>
      <c r="N4" s="46">
        <f>Def!$D$12*N$3</f>
        <v>2.75</v>
      </c>
      <c r="O4" s="46">
        <f>Def!$D$12*O$3</f>
        <v>3</v>
      </c>
    </row>
    <row r="5" spans="1:15">
      <c r="A5" s="17" t="s">
        <v>29</v>
      </c>
      <c r="B5" s="28"/>
    </row>
    <row r="7" spans="1:15">
      <c r="A7" s="20"/>
      <c r="O7" s="49"/>
    </row>
    <row r="8" spans="1:15">
      <c r="A8" s="46">
        <f t="shared" ref="A8:A18" si="0">A9+1</f>
        <v>12</v>
      </c>
      <c r="C8" s="68"/>
      <c r="D8" s="68"/>
      <c r="E8" s="68"/>
      <c r="F8" s="68"/>
      <c r="G8" s="68"/>
      <c r="H8" s="68"/>
      <c r="I8" s="68"/>
      <c r="J8" s="68"/>
      <c r="K8" s="68"/>
      <c r="L8" s="68"/>
      <c r="M8" s="68"/>
      <c r="N8" s="68"/>
      <c r="O8" s="85"/>
    </row>
    <row r="9" spans="1:15">
      <c r="A9" s="46">
        <f t="shared" si="0"/>
        <v>11</v>
      </c>
      <c r="C9" s="68"/>
      <c r="D9" s="68"/>
      <c r="E9" s="68"/>
      <c r="F9" s="68"/>
      <c r="G9" s="68"/>
      <c r="H9" s="68"/>
      <c r="I9" s="68"/>
      <c r="J9" s="68"/>
      <c r="K9" s="68"/>
      <c r="L9" s="68"/>
      <c r="M9" s="68"/>
      <c r="N9" s="84"/>
      <c r="O9" s="85"/>
    </row>
    <row r="10" spans="1:15">
      <c r="A10" s="46">
        <f t="shared" si="0"/>
        <v>10</v>
      </c>
      <c r="C10" s="68"/>
      <c r="D10" s="68"/>
      <c r="E10" s="68"/>
      <c r="F10" s="68"/>
      <c r="G10" s="68"/>
      <c r="H10" s="68"/>
      <c r="I10" s="68"/>
      <c r="J10" s="68"/>
      <c r="K10" s="68"/>
      <c r="L10" s="68"/>
      <c r="M10" s="84"/>
      <c r="N10" s="84"/>
      <c r="O10" s="85"/>
    </row>
    <row r="11" spans="1:15">
      <c r="A11" s="46">
        <f t="shared" si="0"/>
        <v>9</v>
      </c>
      <c r="C11" s="68"/>
      <c r="D11" s="68"/>
      <c r="E11" s="68"/>
      <c r="F11" s="68"/>
      <c r="G11" s="68"/>
      <c r="H11" s="68"/>
      <c r="I11" s="68"/>
      <c r="J11" s="68"/>
      <c r="K11" s="68"/>
      <c r="L11" s="84"/>
      <c r="M11" s="84"/>
      <c r="N11" s="84"/>
      <c r="O11" s="85"/>
    </row>
    <row r="12" spans="1:15">
      <c r="A12" s="46">
        <f t="shared" si="0"/>
        <v>8</v>
      </c>
      <c r="C12" s="68"/>
      <c r="D12" s="68"/>
      <c r="E12" s="68"/>
      <c r="F12" s="68"/>
      <c r="G12" s="68"/>
      <c r="H12" s="68"/>
      <c r="I12" s="68"/>
      <c r="J12" s="68"/>
      <c r="K12" s="121">
        <v>0.11894883692924661</v>
      </c>
      <c r="L12" s="84">
        <v>0.12139819735674441</v>
      </c>
      <c r="M12" s="126">
        <v>0.12328211651795866</v>
      </c>
      <c r="N12" s="84"/>
      <c r="O12" s="85"/>
    </row>
    <row r="13" spans="1:15">
      <c r="A13" s="46">
        <f t="shared" si="0"/>
        <v>7</v>
      </c>
      <c r="C13" s="68"/>
      <c r="D13" s="68"/>
      <c r="E13" s="68"/>
      <c r="F13" s="68"/>
      <c r="G13" s="68"/>
      <c r="H13" s="68"/>
      <c r="I13" s="68"/>
      <c r="J13" s="84">
        <v>0.1077865728956667</v>
      </c>
      <c r="K13" s="121">
        <v>0.10990755667554189</v>
      </c>
      <c r="L13" s="84">
        <v>0.11234646599932185</v>
      </c>
      <c r="M13" s="126">
        <v>0.11422234672146925</v>
      </c>
      <c r="N13" s="84"/>
      <c r="O13" s="85"/>
    </row>
    <row r="14" spans="1:15">
      <c r="A14" s="46">
        <f t="shared" si="0"/>
        <v>6</v>
      </c>
      <c r="C14" s="68"/>
      <c r="D14" s="68"/>
      <c r="E14" s="68"/>
      <c r="F14" s="68"/>
      <c r="G14" s="68"/>
      <c r="H14" s="68"/>
      <c r="I14" s="126">
        <v>9.4916503642782646E-2</v>
      </c>
      <c r="J14" s="84">
        <v>9.8792918732046736E-2</v>
      </c>
      <c r="K14" s="121">
        <v>0.10090485254697376</v>
      </c>
      <c r="L14" s="84">
        <v>0.10333335535840732</v>
      </c>
      <c r="M14" s="126">
        <v>0.105201231938824</v>
      </c>
      <c r="N14" s="84"/>
      <c r="O14" s="85"/>
    </row>
    <row r="15" spans="1:15">
      <c r="A15" s="46">
        <f t="shared" si="0"/>
        <v>5</v>
      </c>
      <c r="C15" s="68"/>
      <c r="D15" s="68"/>
      <c r="E15" s="68"/>
      <c r="F15" s="68"/>
      <c r="G15" s="68"/>
      <c r="H15" s="84">
        <v>8.3225656776910573E-2</v>
      </c>
      <c r="I15" s="126">
        <v>8.5977764411062196E-2</v>
      </c>
      <c r="J15" s="84">
        <v>8.9837639335801148E-2</v>
      </c>
      <c r="K15" s="121">
        <v>9.1940561800818429E-2</v>
      </c>
      <c r="L15" s="84">
        <v>9.4358702503157185E-2</v>
      </c>
      <c r="M15" s="126">
        <v>9.6218609094488289E-2</v>
      </c>
      <c r="N15" s="84"/>
      <c r="O15" s="85"/>
    </row>
    <row r="16" spans="1:15">
      <c r="A16" s="46">
        <f t="shared" si="0"/>
        <v>4</v>
      </c>
      <c r="C16" s="68"/>
      <c r="D16" s="68"/>
      <c r="E16" s="68"/>
      <c r="F16" s="68"/>
      <c r="G16" s="121">
        <v>7.2553583282361098E-2</v>
      </c>
      <c r="H16" s="84">
        <v>7.433680088650696E-2</v>
      </c>
      <c r="I16" s="126">
        <v>7.7077165631415964E-2</v>
      </c>
      <c r="J16" s="84">
        <v>8.092057096638644E-2</v>
      </c>
      <c r="K16" s="121">
        <v>8.30145205317665E-2</v>
      </c>
      <c r="L16" s="84">
        <v>8.5422343338799223E-2</v>
      </c>
      <c r="M16" s="126">
        <v>8.7274313947964324E-2</v>
      </c>
      <c r="N16" s="84"/>
      <c r="O16" s="85"/>
    </row>
    <row r="17" spans="1:15">
      <c r="A17" s="46">
        <f t="shared" si="0"/>
        <v>3</v>
      </c>
      <c r="C17" s="68"/>
      <c r="D17" s="68"/>
      <c r="E17" s="68"/>
      <c r="F17" s="84">
        <v>6.0190299749597567E-2</v>
      </c>
      <c r="G17" s="121">
        <v>6.3710263758009172E-2</v>
      </c>
      <c r="H17" s="84">
        <v>6.5485872602033021E-2</v>
      </c>
      <c r="I17" s="126">
        <v>6.8214544563099E-2</v>
      </c>
      <c r="J17" s="84">
        <v>7.2041550581925407E-2</v>
      </c>
      <c r="K17" s="121">
        <v>7.4126565533877448E-2</v>
      </c>
      <c r="L17" s="84">
        <v>7.6524114470737564E-2</v>
      </c>
      <c r="M17" s="126">
        <v>7.8368182959553112E-2</v>
      </c>
      <c r="N17" s="84"/>
      <c r="O17" s="85"/>
    </row>
    <row r="18" spans="1:15">
      <c r="A18" s="46">
        <f t="shared" si="0"/>
        <v>2</v>
      </c>
      <c r="C18" s="68"/>
      <c r="D18" s="68"/>
      <c r="E18" s="84">
        <v>4.8425158247231093E-2</v>
      </c>
      <c r="F18" s="84">
        <v>5.1399732766631769E-2</v>
      </c>
      <c r="G18" s="121">
        <v>5.4904677541433147E-2</v>
      </c>
      <c r="H18" s="84">
        <v>5.6672710090936385E-2</v>
      </c>
      <c r="I18" s="126">
        <v>5.9389739159765295E-2</v>
      </c>
      <c r="J18" s="84">
        <v>6.3200415836221199E-2</v>
      </c>
      <c r="K18" s="121">
        <v>6.5276534297592989E-2</v>
      </c>
      <c r="L18" s="84">
        <v>6.7663853201564012E-2</v>
      </c>
      <c r="M18" s="126">
        <v>6.9500053287361377E-2</v>
      </c>
      <c r="N18" s="84"/>
      <c r="O18" s="85"/>
    </row>
    <row r="19" spans="1:15">
      <c r="A19" s="46">
        <f>A20+1</f>
        <v>1</v>
      </c>
      <c r="C19" s="68"/>
      <c r="D19" s="84">
        <v>3.6640032575103725E-2</v>
      </c>
      <c r="E19" s="84">
        <v>3.9684791610219101E-2</v>
      </c>
      <c r="F19" s="84">
        <v>4.2646674002800353E-2</v>
      </c>
      <c r="G19" s="121">
        <v>4.613666362913045E-2</v>
      </c>
      <c r="H19" s="84">
        <v>4.7897152211188093E-2</v>
      </c>
      <c r="I19" s="126">
        <v>5.0602588066503529E-2</v>
      </c>
      <c r="J19" s="84">
        <v>5.4397005075793696E-2</v>
      </c>
      <c r="K19" s="121">
        <v>5.646426500676674E-2</v>
      </c>
      <c r="L19" s="84">
        <v>5.8841397528083421E-2</v>
      </c>
      <c r="M19" s="126">
        <v>6.066976278432705E-2</v>
      </c>
      <c r="N19" s="84"/>
      <c r="O19" s="85"/>
    </row>
    <row r="20" spans="1:15">
      <c r="A20" s="46">
        <v>0</v>
      </c>
      <c r="C20" s="83">
        <v>2.5662937392839147E-2</v>
      </c>
      <c r="D20" s="83">
        <v>2.7949951553598064E-2</v>
      </c>
      <c r="E20" s="83">
        <v>3.0981718993594431E-2</v>
      </c>
      <c r="F20" s="83">
        <v>3.3930963415029283E-2</v>
      </c>
      <c r="G20" s="117">
        <v>3.7406061704583056E-2</v>
      </c>
      <c r="H20" s="83">
        <v>3.9159038508334028E-2</v>
      </c>
      <c r="I20" s="117">
        <v>4.1852930616887808E-2</v>
      </c>
      <c r="J20" s="83">
        <v>4.5631157336920691E-2</v>
      </c>
      <c r="K20" s="117">
        <v>4.7689596535704461E-2</v>
      </c>
      <c r="L20" s="83">
        <v>5.0056586138352129E-2</v>
      </c>
      <c r="M20" s="117">
        <v>5.1877149995251663E-2</v>
      </c>
      <c r="N20" s="83"/>
      <c r="O20" s="83"/>
    </row>
    <row r="21" spans="1:15">
      <c r="A21" s="46">
        <f>A20-1</f>
        <v>-1</v>
      </c>
      <c r="C21" s="68"/>
      <c r="D21" s="84">
        <v>1.9296949989903937E-2</v>
      </c>
      <c r="E21" s="84">
        <v>2.2315781268246623E-2</v>
      </c>
      <c r="F21" s="84">
        <v>2.5252441643131708E-2</v>
      </c>
      <c r="G21" s="121">
        <v>2.8712712135327619E-2</v>
      </c>
      <c r="H21" s="84">
        <v>3.0458209212563446E-2</v>
      </c>
      <c r="I21" s="126">
        <v>3.3140606830038027E-2</v>
      </c>
      <c r="J21" s="84">
        <v>3.6902712342695106E-2</v>
      </c>
      <c r="K21" s="121">
        <v>3.8952368446219625E-2</v>
      </c>
      <c r="L21" s="84">
        <v>4.1309258408726929E-2</v>
      </c>
      <c r="M21" s="126">
        <v>4.3122054153850446E-2</v>
      </c>
      <c r="N21" s="84"/>
      <c r="O21" s="85"/>
    </row>
    <row r="22" spans="1:15">
      <c r="A22" s="46">
        <f t="shared" ref="A22:A32" si="1">A21-1</f>
        <v>-2</v>
      </c>
      <c r="C22" s="68"/>
      <c r="D22" s="68"/>
      <c r="E22" s="84">
        <v>1.3686819984051723E-2</v>
      </c>
      <c r="F22" s="84">
        <v>1.6610950006894894E-2</v>
      </c>
      <c r="G22" s="121">
        <v>2.0056455970036115E-2</v>
      </c>
      <c r="H22" s="84">
        <v>2.179450523578744E-2</v>
      </c>
      <c r="I22" s="126">
        <v>2.4465457407696622E-2</v>
      </c>
      <c r="J22" s="84">
        <v>2.8211510500095818E-2</v>
      </c>
      <c r="K22" s="121">
        <v>3.0252420984698051E-2</v>
      </c>
      <c r="L22" s="84">
        <v>3.2599254400929985E-2</v>
      </c>
      <c r="M22" s="126">
        <v>3.4404315179810435E-2</v>
      </c>
      <c r="N22" s="84"/>
      <c r="O22" s="85"/>
    </row>
    <row r="23" spans="1:15">
      <c r="A23" s="46">
        <f t="shared" si="1"/>
        <v>-3</v>
      </c>
      <c r="C23" s="68"/>
      <c r="D23" s="68"/>
      <c r="E23" s="68"/>
      <c r="F23" s="84">
        <v>8.0063305031775906E-3</v>
      </c>
      <c r="G23" s="121">
        <v>1.1437134935609487E-2</v>
      </c>
      <c r="H23" s="84">
        <v>1.3167768168729149E-2</v>
      </c>
      <c r="I23" s="126">
        <v>1.5827323731316175E-2</v>
      </c>
      <c r="J23" s="84">
        <v>1.9557392897067982E-2</v>
      </c>
      <c r="K23" s="121">
        <v>2.1589595079178632E-2</v>
      </c>
      <c r="L23" s="84">
        <v>2.3926414859123907E-2</v>
      </c>
      <c r="M23" s="126">
        <v>2.5723773675866375E-2</v>
      </c>
      <c r="N23" s="84"/>
      <c r="O23" s="85"/>
    </row>
    <row r="24" spans="1:15">
      <c r="A24" s="46">
        <f t="shared" si="1"/>
        <v>-4</v>
      </c>
      <c r="C24" s="68"/>
      <c r="D24" s="68"/>
      <c r="E24" s="68"/>
      <c r="F24" s="68"/>
      <c r="G24" s="121">
        <v>2.8545914342830679E-3</v>
      </c>
      <c r="H24" s="84">
        <v>4.5778402780273942E-3</v>
      </c>
      <c r="I24" s="126">
        <v>7.2260478591569524E-3</v>
      </c>
      <c r="J24" s="84">
        <v>1.0940201299618745E-2</v>
      </c>
      <c r="K24" s="121">
        <v>1.2963732336442749E-2</v>
      </c>
      <c r="L24" s="84">
        <v>1.5290581206997939E-2</v>
      </c>
      <c r="M24" s="126">
        <v>1.7080270924884032E-2</v>
      </c>
      <c r="N24" s="84"/>
      <c r="O24" s="85"/>
    </row>
    <row r="25" spans="1:15">
      <c r="A25" s="46">
        <f t="shared" si="1"/>
        <v>-5</v>
      </c>
      <c r="C25" s="68"/>
      <c r="D25" s="68"/>
      <c r="E25" s="68"/>
      <c r="F25" s="68"/>
      <c r="G25" s="68"/>
      <c r="H25" s="84">
        <v>-3.9754354966465713E-3</v>
      </c>
      <c r="I25" s="126">
        <v>-1.3385274765987307E-3</v>
      </c>
      <c r="J25" s="84">
        <v>2.3597781489229468E-3</v>
      </c>
      <c r="K25" s="121">
        <v>4.374675039120755E-3</v>
      </c>
      <c r="L25" s="84">
        <v>6.6915955448722869E-3</v>
      </c>
      <c r="M25" s="126">
        <v>8.4736488869582641E-3</v>
      </c>
      <c r="N25" s="84"/>
      <c r="O25" s="85"/>
    </row>
    <row r="26" spans="1:15">
      <c r="A26" s="46">
        <f t="shared" si="1"/>
        <v>-6</v>
      </c>
      <c r="C26" s="68"/>
      <c r="D26" s="68"/>
      <c r="E26" s="68"/>
      <c r="F26" s="68"/>
      <c r="G26" s="68"/>
      <c r="H26" s="68"/>
      <c r="I26" s="126">
        <v>-9.8665588727239965E-3</v>
      </c>
      <c r="J26" s="84">
        <v>-6.1840334415580005E-3</v>
      </c>
      <c r="K26" s="121">
        <v>-4.1777338571949759E-3</v>
      </c>
      <c r="L26" s="84">
        <v>-1.8706993531932355E-3</v>
      </c>
      <c r="M26" s="126">
        <v>-9.6249803475114139E-5</v>
      </c>
      <c r="N26" s="84"/>
      <c r="O26" s="85"/>
    </row>
    <row r="27" spans="1:15">
      <c r="A27" s="46">
        <f t="shared" si="1"/>
        <v>-7</v>
      </c>
      <c r="C27" s="68"/>
      <c r="D27" s="68"/>
      <c r="E27" s="68"/>
      <c r="F27" s="68"/>
      <c r="G27" s="68"/>
      <c r="H27" s="68"/>
      <c r="I27" s="68"/>
      <c r="J27" s="84">
        <v>-1.4691389688942583E-2</v>
      </c>
      <c r="K27" s="121">
        <v>-1.2693650726818237E-2</v>
      </c>
      <c r="L27" s="84">
        <v>-1.0396460042271542E-2</v>
      </c>
      <c r="M27" s="126">
        <v>-8.6295818405190145E-3</v>
      </c>
      <c r="N27" s="84"/>
      <c r="O27" s="85"/>
    </row>
    <row r="28" spans="1:15">
      <c r="A28" s="46">
        <f t="shared" si="1"/>
        <v>-8</v>
      </c>
      <c r="C28" s="68"/>
      <c r="D28" s="68"/>
      <c r="E28" s="68"/>
      <c r="F28" s="68"/>
      <c r="G28" s="68"/>
      <c r="H28" s="68"/>
      <c r="I28" s="68"/>
      <c r="J28" s="68"/>
      <c r="K28" s="121">
        <v>-2.1173229537470861E-2</v>
      </c>
      <c r="L28" s="84">
        <v>-1.8885840668059317E-2</v>
      </c>
      <c r="M28" s="126">
        <v>-1.7126501506760147E-2</v>
      </c>
      <c r="N28" s="84"/>
      <c r="O28" s="85"/>
    </row>
    <row r="29" spans="1:15">
      <c r="A29" s="46">
        <f t="shared" si="1"/>
        <v>-9</v>
      </c>
      <c r="C29" s="68"/>
      <c r="D29" s="68"/>
      <c r="E29" s="68"/>
      <c r="F29" s="68"/>
      <c r="G29" s="68"/>
      <c r="H29" s="68"/>
      <c r="I29" s="68"/>
      <c r="J29" s="68"/>
      <c r="K29" s="68"/>
      <c r="L29" s="84"/>
      <c r="M29" s="84"/>
      <c r="N29" s="84"/>
      <c r="O29" s="85"/>
    </row>
    <row r="30" spans="1:15">
      <c r="A30" s="46">
        <f t="shared" si="1"/>
        <v>-10</v>
      </c>
      <c r="C30" s="68"/>
      <c r="D30" s="68"/>
      <c r="E30" s="68"/>
      <c r="F30" s="68"/>
      <c r="G30" s="68"/>
      <c r="H30" s="68"/>
      <c r="I30" s="68"/>
      <c r="J30" s="68"/>
      <c r="K30" s="68"/>
      <c r="L30" s="68"/>
      <c r="M30" s="84"/>
      <c r="N30" s="84"/>
      <c r="O30" s="85"/>
    </row>
    <row r="31" spans="1:15">
      <c r="A31" s="46">
        <f t="shared" si="1"/>
        <v>-11</v>
      </c>
      <c r="C31" s="68"/>
      <c r="D31" s="68"/>
      <c r="E31" s="68"/>
      <c r="F31" s="68"/>
      <c r="G31" s="68"/>
      <c r="H31" s="69"/>
      <c r="I31" s="68"/>
      <c r="J31" s="68"/>
      <c r="K31" s="68"/>
      <c r="L31" s="68"/>
      <c r="M31" s="68"/>
      <c r="N31" s="84"/>
      <c r="O31" s="85"/>
    </row>
    <row r="32" spans="1:15">
      <c r="A32" s="46">
        <f t="shared" si="1"/>
        <v>-12</v>
      </c>
      <c r="C32" s="68"/>
      <c r="D32" s="68"/>
      <c r="E32" s="68"/>
      <c r="F32" s="68"/>
      <c r="G32" s="68"/>
      <c r="H32" s="68"/>
      <c r="I32" s="68"/>
      <c r="J32" s="68"/>
      <c r="K32" s="68"/>
      <c r="L32" s="68"/>
      <c r="M32" s="68"/>
      <c r="N32" s="68"/>
      <c r="O32" s="85"/>
    </row>
  </sheetData>
  <phoneticPr fontId="9"/>
  <printOptions gridLinesSet="0"/>
  <pageMargins left="0" right="0" top="0" bottom="0" header="0" footer="0"/>
  <pageSetup paperSize="9" scale="80" pageOrder="overThenDown" orientation="landscape" horizontalDpi="4294967292" verticalDpi="0" r:id="rId1"/>
  <headerFooter alignWithMargins="0">
    <oddHeader>&amp;A</oddHeader>
    <oddFooter>- &amp;P -</oddFooter>
  </headerFooter>
  <drawing r:id="rId2"/>
  <legacyDrawing r:id="rId3"/>
</worksheet>
</file>

<file path=xl/worksheets/sheet15.xml><?xml version="1.0" encoding="utf-8"?>
<worksheet xmlns="http://schemas.openxmlformats.org/spreadsheetml/2006/main" xmlns:r="http://schemas.openxmlformats.org/officeDocument/2006/relationships">
  <dimension ref="A3:O32"/>
  <sheetViews>
    <sheetView topLeftCell="A3" zoomScale="80" workbookViewId="0">
      <selection activeCell="D13" sqref="D13"/>
    </sheetView>
  </sheetViews>
  <sheetFormatPr defaultRowHeight="13.5"/>
  <cols>
    <col min="1" max="1" width="4.625" style="29" customWidth="1"/>
    <col min="2" max="2" width="3.625" style="20" customWidth="1"/>
    <col min="3" max="15" width="8.625" style="20" customWidth="1"/>
    <col min="16" max="16384" width="9" style="20"/>
  </cols>
  <sheetData>
    <row r="3" spans="1:15">
      <c r="B3" s="17" t="s">
        <v>36</v>
      </c>
      <c r="C3" s="46">
        <v>0</v>
      </c>
      <c r="D3" s="46">
        <v>1</v>
      </c>
      <c r="E3" s="46">
        <v>2</v>
      </c>
      <c r="F3" s="46">
        <v>3</v>
      </c>
      <c r="G3" s="46">
        <v>4</v>
      </c>
      <c r="H3" s="46">
        <v>5</v>
      </c>
      <c r="I3" s="46">
        <v>6</v>
      </c>
      <c r="J3" s="46">
        <v>7</v>
      </c>
      <c r="K3" s="46">
        <v>8</v>
      </c>
      <c r="L3" s="46">
        <v>9</v>
      </c>
      <c r="M3" s="46">
        <v>10</v>
      </c>
      <c r="N3" s="46">
        <v>11</v>
      </c>
      <c r="O3" s="46">
        <v>12</v>
      </c>
    </row>
    <row r="4" spans="1:15">
      <c r="A4" s="20"/>
      <c r="B4" s="17" t="s">
        <v>37</v>
      </c>
      <c r="C4" s="46">
        <f>Def!$D$12*C$3</f>
        <v>0</v>
      </c>
      <c r="D4" s="46">
        <f>Def!$D$12*D$3</f>
        <v>0.25</v>
      </c>
      <c r="E4" s="46">
        <f>Def!$D$12*E$3</f>
        <v>0.5</v>
      </c>
      <c r="F4" s="46">
        <f>Def!$D$12*F$3</f>
        <v>0.75</v>
      </c>
      <c r="G4" s="46">
        <f>Def!$D$12*G$3</f>
        <v>1</v>
      </c>
      <c r="H4" s="46">
        <f>Def!$D$12*H$3</f>
        <v>1.25</v>
      </c>
      <c r="I4" s="46">
        <f>Def!$D$12*I$3</f>
        <v>1.5</v>
      </c>
      <c r="J4" s="46">
        <f>Def!$D$12*J$3</f>
        <v>1.75</v>
      </c>
      <c r="K4" s="46">
        <f>Def!$D$12*K$3</f>
        <v>2</v>
      </c>
      <c r="L4" s="46">
        <f>Def!$D$12*L$3</f>
        <v>2.25</v>
      </c>
      <c r="M4" s="46">
        <f>Def!$D$12*M$3</f>
        <v>2.5</v>
      </c>
      <c r="N4" s="46">
        <f>Def!$D$12*N$3</f>
        <v>2.75</v>
      </c>
      <c r="O4" s="46">
        <f>Def!$D$12*O$3</f>
        <v>3</v>
      </c>
    </row>
    <row r="5" spans="1:15">
      <c r="A5" s="17" t="s">
        <v>29</v>
      </c>
    </row>
    <row r="7" spans="1:15">
      <c r="A7" s="20"/>
    </row>
    <row r="8" spans="1:15">
      <c r="A8" s="46">
        <f t="shared" ref="A8:A19" si="0">A9+1</f>
        <v>12</v>
      </c>
      <c r="C8" s="74"/>
      <c r="D8" s="74"/>
      <c r="E8" s="74"/>
      <c r="F8" s="74"/>
      <c r="G8" s="74"/>
      <c r="H8" s="74"/>
      <c r="I8" s="74"/>
      <c r="J8" s="74"/>
      <c r="K8" s="74"/>
      <c r="L8" s="74"/>
      <c r="M8" s="74"/>
      <c r="N8" s="74"/>
      <c r="O8" s="75"/>
    </row>
    <row r="9" spans="1:15">
      <c r="A9" s="46">
        <f t="shared" si="0"/>
        <v>11</v>
      </c>
      <c r="C9" s="74"/>
      <c r="D9" s="74"/>
      <c r="E9" s="74"/>
      <c r="F9" s="74"/>
      <c r="G9" s="74"/>
      <c r="H9" s="74"/>
      <c r="I9" s="74"/>
      <c r="J9" s="74"/>
      <c r="K9" s="74"/>
      <c r="L9" s="74"/>
      <c r="M9" s="74"/>
      <c r="N9" s="76"/>
      <c r="O9" s="75"/>
    </row>
    <row r="10" spans="1:15">
      <c r="A10" s="46">
        <f t="shared" si="0"/>
        <v>10</v>
      </c>
      <c r="C10" s="74"/>
      <c r="D10" s="74"/>
      <c r="E10" s="74"/>
      <c r="F10" s="74"/>
      <c r="G10" s="74"/>
      <c r="H10" s="74"/>
      <c r="I10" s="74"/>
      <c r="J10" s="74"/>
      <c r="K10" s="74"/>
      <c r="L10" s="74"/>
      <c r="M10" s="76"/>
      <c r="N10" s="76"/>
      <c r="O10" s="75"/>
    </row>
    <row r="11" spans="1:15">
      <c r="A11" s="46">
        <f t="shared" si="0"/>
        <v>9</v>
      </c>
      <c r="C11" s="74"/>
      <c r="D11" s="74"/>
      <c r="E11" s="74"/>
      <c r="F11" s="74"/>
      <c r="G11" s="74"/>
      <c r="H11" s="74"/>
      <c r="I11" s="74"/>
      <c r="J11" s="74"/>
      <c r="K11" s="74"/>
      <c r="L11" s="76"/>
      <c r="M11" s="76"/>
      <c r="N11" s="76"/>
      <c r="O11" s="75"/>
    </row>
    <row r="12" spans="1:15">
      <c r="A12" s="46">
        <f t="shared" si="0"/>
        <v>8</v>
      </c>
      <c r="C12" s="74"/>
      <c r="D12" s="74"/>
      <c r="E12" s="74"/>
      <c r="F12" s="74"/>
      <c r="G12" s="74"/>
      <c r="H12" s="74"/>
      <c r="I12" s="74"/>
      <c r="J12" s="74"/>
      <c r="K12" s="75">
        <v>0.94386422415860416</v>
      </c>
      <c r="L12" s="76">
        <v>0.94277444116431974</v>
      </c>
      <c r="M12" s="76">
        <v>0.94193794806686681</v>
      </c>
      <c r="N12" s="76"/>
      <c r="O12" s="75"/>
    </row>
    <row r="13" spans="1:15">
      <c r="A13" s="46">
        <f t="shared" si="0"/>
        <v>7</v>
      </c>
      <c r="C13" s="74"/>
      <c r="D13" s="74"/>
      <c r="E13" s="74"/>
      <c r="F13" s="74"/>
      <c r="G13" s="74"/>
      <c r="H13" s="74"/>
      <c r="I13" s="74"/>
      <c r="J13" s="76">
        <v>0.94886267220708687</v>
      </c>
      <c r="K13" s="75">
        <v>0.94790882836179002</v>
      </c>
      <c r="L13" s="76">
        <v>0.94681437547880087</v>
      </c>
      <c r="M13" s="76">
        <v>0.94597429787903142</v>
      </c>
      <c r="N13" s="76"/>
      <c r="O13" s="75"/>
    </row>
    <row r="14" spans="1:15">
      <c r="A14" s="46">
        <f t="shared" si="0"/>
        <v>6</v>
      </c>
      <c r="C14" s="74"/>
      <c r="D14" s="74"/>
      <c r="E14" s="74"/>
      <c r="F14" s="74"/>
      <c r="G14" s="74"/>
      <c r="H14" s="74"/>
      <c r="I14" s="76">
        <v>0.95469198725689763</v>
      </c>
      <c r="J14" s="76">
        <v>0.95292869637099265</v>
      </c>
      <c r="K14" s="75">
        <v>0.95197076515643031</v>
      </c>
      <c r="L14" s="76">
        <v>0.95087162237257472</v>
      </c>
      <c r="M14" s="76">
        <v>0.95002794490960041</v>
      </c>
      <c r="N14" s="76"/>
      <c r="O14" s="75"/>
    </row>
    <row r="15" spans="1:15">
      <c r="A15" s="46">
        <f t="shared" si="0"/>
        <v>5</v>
      </c>
      <c r="C15" s="74"/>
      <c r="D15" s="74"/>
      <c r="E15" s="74"/>
      <c r="F15" s="74"/>
      <c r="G15" s="74"/>
      <c r="H15" s="76">
        <v>0.96004961992179272</v>
      </c>
      <c r="I15" s="76">
        <v>0.9587829909417388</v>
      </c>
      <c r="J15" s="76">
        <v>0.95701214408007618</v>
      </c>
      <c r="K15" s="75">
        <v>0.95605010798123602</v>
      </c>
      <c r="L15" s="76">
        <v>0.95494625519956033</v>
      </c>
      <c r="M15" s="76">
        <v>0.95409896244740799</v>
      </c>
      <c r="N15" s="76"/>
      <c r="O15" s="75"/>
    </row>
    <row r="16" spans="1:15">
      <c r="A16" s="46">
        <f t="shared" si="0"/>
        <v>4</v>
      </c>
      <c r="C16" s="74"/>
      <c r="D16" s="74"/>
      <c r="E16" s="74"/>
      <c r="F16" s="74"/>
      <c r="G16" s="75">
        <v>0.96499314475264086</v>
      </c>
      <c r="H16" s="76">
        <v>0.96416358189531337</v>
      </c>
      <c r="I16" s="76">
        <v>0.96289152521303412</v>
      </c>
      <c r="J16" s="76">
        <v>0.961113089997084</v>
      </c>
      <c r="K16" s="75">
        <v>0.96014693142389906</v>
      </c>
      <c r="L16" s="76">
        <v>0.95903834846133063</v>
      </c>
      <c r="M16" s="76">
        <v>0.95818742492792441</v>
      </c>
      <c r="N16" s="76"/>
      <c r="O16" s="75"/>
    </row>
    <row r="17" spans="1:15">
      <c r="A17" s="46">
        <f t="shared" si="0"/>
        <v>3</v>
      </c>
      <c r="C17" s="74"/>
      <c r="D17" s="74"/>
      <c r="E17" s="74"/>
      <c r="F17" s="76">
        <v>0.97078410680949556</v>
      </c>
      <c r="G17" s="75">
        <v>0.96912829049849614</v>
      </c>
      <c r="H17" s="76">
        <v>0.96829517283527289</v>
      </c>
      <c r="I17" s="76">
        <v>0.96701766519222065</v>
      </c>
      <c r="J17" s="76">
        <v>0.96523160910470507</v>
      </c>
      <c r="K17" s="75">
        <v>0.96426131039173235</v>
      </c>
      <c r="L17" s="76">
        <v>0.96314797697871091</v>
      </c>
      <c r="M17" s="76">
        <v>0.96229340710558875</v>
      </c>
      <c r="N17" s="76"/>
      <c r="O17" s="75"/>
    </row>
    <row r="18" spans="1:15">
      <c r="A18" s="46">
        <f t="shared" si="0"/>
        <v>2</v>
      </c>
      <c r="C18" s="74"/>
      <c r="D18" s="74"/>
      <c r="E18" s="76">
        <v>0.97635981082722745</v>
      </c>
      <c r="F18" s="76">
        <v>0.97494406772817932</v>
      </c>
      <c r="G18" s="75">
        <v>0.97328115598669851</v>
      </c>
      <c r="H18" s="76">
        <v>0.97244446828468367</v>
      </c>
      <c r="I18" s="76">
        <v>0.9711614863226441</v>
      </c>
      <c r="J18" s="76">
        <v>0.96936777670694396</v>
      </c>
      <c r="K18" s="75">
        <v>0.96839332011304058</v>
      </c>
      <c r="L18" s="76">
        <v>0.96727521589314747</v>
      </c>
      <c r="M18" s="76">
        <v>0.96641698405517706</v>
      </c>
      <c r="N18" s="76"/>
      <c r="O18" s="75"/>
    </row>
    <row r="19" spans="1:15">
      <c r="A19" s="46">
        <f t="shared" si="0"/>
        <v>1</v>
      </c>
      <c r="C19" s="74"/>
      <c r="D19" s="76">
        <v>0.98200956870676037</v>
      </c>
      <c r="E19" s="76">
        <v>0.98054366450470509</v>
      </c>
      <c r="F19" s="76">
        <v>0.97912185472623647</v>
      </c>
      <c r="G19" s="75">
        <v>0.97745181714925133</v>
      </c>
      <c r="H19" s="76">
        <v>0.9766115441102734</v>
      </c>
      <c r="I19" s="76">
        <v>0.97532306437093874</v>
      </c>
      <c r="J19" s="76">
        <v>0.97352166843049559</v>
      </c>
      <c r="K19" s="75">
        <v>0.97254303613849524</v>
      </c>
      <c r="L19" s="76">
        <v>0.97142014066808136</v>
      </c>
      <c r="M19" s="76">
        <v>0.97055823117317375</v>
      </c>
      <c r="N19" s="76"/>
      <c r="O19" s="75"/>
    </row>
    <row r="20" spans="1:15">
      <c r="A20" s="46">
        <v>0</v>
      </c>
      <c r="C20" s="77">
        <v>0.98733109200000024</v>
      </c>
      <c r="D20" s="77">
        <v>0.98621763247550276</v>
      </c>
      <c r="E20" s="77">
        <v>0.98474544664589758</v>
      </c>
      <c r="F20" s="77">
        <v>0.98331754419134354</v>
      </c>
      <c r="G20" s="77">
        <v>0.98164035024354079</v>
      </c>
      <c r="H20" s="77">
        <v>0.98079647650387325</v>
      </c>
      <c r="I20" s="77">
        <v>0.9795024754284124</v>
      </c>
      <c r="J20" s="77">
        <v>0.9776933602261294</v>
      </c>
      <c r="K20" s="77">
        <v>0.97671053434251653</v>
      </c>
      <c r="L20" s="77">
        <v>0.97558282709032795</v>
      </c>
      <c r="M20" s="77">
        <v>0.97471722417915141</v>
      </c>
      <c r="N20" s="77"/>
      <c r="O20" s="77"/>
    </row>
    <row r="21" spans="1:15">
      <c r="A21" s="46">
        <f t="shared" ref="A21:A32" si="1">A20-1</f>
        <v>-1</v>
      </c>
      <c r="C21" s="74"/>
      <c r="D21" s="76">
        <v>0.9904437284521227</v>
      </c>
      <c r="E21" s="76">
        <v>0.98896523407721626</v>
      </c>
      <c r="F21" s="76">
        <v>0.9875312128385122</v>
      </c>
      <c r="G21" s="75">
        <v>0.98584683185372957</v>
      </c>
      <c r="H21" s="76">
        <v>0.9849993419838099</v>
      </c>
      <c r="I21" s="76">
        <v>0.98369979591243861</v>
      </c>
      <c r="J21" s="76">
        <v>0.98188292837007796</v>
      </c>
      <c r="K21" s="75">
        <v>0.9808958909246599</v>
      </c>
      <c r="L21" s="76">
        <v>0.97976335127146341</v>
      </c>
      <c r="M21" s="76">
        <v>0.97889403911715434</v>
      </c>
      <c r="N21" s="76"/>
      <c r="O21" s="75"/>
    </row>
    <row r="22" spans="1:15">
      <c r="A22" s="46">
        <f t="shared" si="1"/>
        <v>-2</v>
      </c>
      <c r="C22" s="74"/>
      <c r="D22" s="74"/>
      <c r="E22" s="76">
        <v>0.99320310395428812</v>
      </c>
      <c r="F22" s="76">
        <v>0.9917629377114916</v>
      </c>
      <c r="G22" s="75">
        <v>0.99007133889215737</v>
      </c>
      <c r="H22" s="76">
        <v>0.98922021739630472</v>
      </c>
      <c r="I22" s="76">
        <v>0.98791510256785298</v>
      </c>
      <c r="J22" s="76">
        <v>0.9860904494654309</v>
      </c>
      <c r="K22" s="75">
        <v>0.98509918241101013</v>
      </c>
      <c r="L22" s="76">
        <v>0.98396178964921543</v>
      </c>
      <c r="M22" s="76">
        <v>0.98308875235709003</v>
      </c>
      <c r="N22" s="76"/>
      <c r="O22" s="75"/>
    </row>
    <row r="23" spans="1:15">
      <c r="A23" s="46">
        <f t="shared" si="1"/>
        <v>-3</v>
      </c>
      <c r="C23" s="74"/>
      <c r="D23" s="74"/>
      <c r="E23" s="74"/>
      <c r="F23" s="76">
        <v>0.99601279618417771</v>
      </c>
      <c r="G23" s="75">
        <v>0.99431394860074729</v>
      </c>
      <c r="H23" s="76">
        <v>0.99345917991687938</v>
      </c>
      <c r="I23" s="76">
        <v>0.99214847246835625</v>
      </c>
      <c r="J23" s="76">
        <v>0.9903160004435364</v>
      </c>
      <c r="K23" s="75">
        <v>0.98932048565557984</v>
      </c>
      <c r="L23" s="76">
        <v>0.98817821898886116</v>
      </c>
      <c r="M23" s="76">
        <v>0.98730144059612424</v>
      </c>
      <c r="N23" s="76"/>
      <c r="O23" s="75"/>
    </row>
    <row r="24" spans="1:15">
      <c r="A24" s="46">
        <f t="shared" si="1"/>
        <v>-4</v>
      </c>
      <c r="C24" s="74"/>
      <c r="D24" s="74"/>
      <c r="E24" s="74"/>
      <c r="F24" s="74"/>
      <c r="G24" s="75">
        <v>0.99857473855241841</v>
      </c>
      <c r="H24" s="76">
        <v>0.99771630705176684</v>
      </c>
      <c r="I24" s="76">
        <v>0.99639998301792465</v>
      </c>
      <c r="J24" s="76">
        <v>0.99455965856540718</v>
      </c>
      <c r="K24" s="75">
        <v>0.99355987784171562</v>
      </c>
      <c r="L24" s="76">
        <v>0.99241271638463169</v>
      </c>
      <c r="M24" s="76">
        <v>0.99153218086008432</v>
      </c>
      <c r="N24" s="76"/>
      <c r="O24" s="75"/>
    </row>
    <row r="25" spans="1:15">
      <c r="A25" s="46">
        <f t="shared" si="1"/>
        <v>-5</v>
      </c>
      <c r="C25" s="74"/>
      <c r="D25" s="74"/>
      <c r="E25" s="74"/>
      <c r="F25" s="74"/>
      <c r="G25" s="74"/>
      <c r="H25" s="76">
        <v>1.0019916766393282</v>
      </c>
      <c r="I25" s="76">
        <v>1.0006697119522241</v>
      </c>
      <c r="J25" s="76">
        <v>0.99882150142313364</v>
      </c>
      <c r="K25" s="75">
        <v>0.99781743648350807</v>
      </c>
      <c r="L25" s="76">
        <v>0.99666535926111988</v>
      </c>
      <c r="M25" s="76">
        <v>0.99578105050486765</v>
      </c>
      <c r="N25" s="76"/>
      <c r="O25" s="75"/>
    </row>
    <row r="26" spans="1:15">
      <c r="A26" s="46">
        <f t="shared" si="1"/>
        <v>-6</v>
      </c>
      <c r="C26" s="74"/>
      <c r="D26" s="74"/>
      <c r="E26" s="74"/>
      <c r="F26" s="74"/>
      <c r="G26" s="74"/>
      <c r="H26" s="74"/>
      <c r="I26" s="76">
        <v>1.0049577373400325</v>
      </c>
      <c r="J26" s="76">
        <v>1.0031016069413028</v>
      </c>
      <c r="K26" s="75">
        <v>1.0020932394272106</v>
      </c>
      <c r="L26" s="76">
        <v>1.0009362253746981</v>
      </c>
      <c r="M26" s="76">
        <v>1.0000481272178552</v>
      </c>
      <c r="N26" s="76"/>
      <c r="O26" s="75"/>
    </row>
    <row r="27" spans="1:15">
      <c r="A27" s="46">
        <f t="shared" si="1"/>
        <v>-7</v>
      </c>
      <c r="C27" s="74"/>
      <c r="D27" s="74"/>
      <c r="E27" s="74"/>
      <c r="F27" s="74"/>
      <c r="G27" s="74"/>
      <c r="H27" s="74"/>
      <c r="I27" s="74"/>
      <c r="J27" s="76">
        <v>1.007400053378422</v>
      </c>
      <c r="K27" s="75">
        <v>1.0063873648526613</v>
      </c>
      <c r="L27" s="76">
        <v>1.0052253928149386</v>
      </c>
      <c r="M27" s="76">
        <v>1.0043334890193332</v>
      </c>
      <c r="N27" s="76"/>
      <c r="O27" s="75"/>
    </row>
    <row r="28" spans="1:15">
      <c r="A28" s="46">
        <f t="shared" si="1"/>
        <v>-8</v>
      </c>
      <c r="C28" s="74"/>
      <c r="D28" s="74"/>
      <c r="E28" s="74"/>
      <c r="F28" s="74"/>
      <c r="G28" s="74"/>
      <c r="H28" s="74"/>
      <c r="I28" s="74"/>
      <c r="J28" s="74"/>
      <c r="K28" s="75">
        <v>1.0106998903863231</v>
      </c>
      <c r="L28" s="76">
        <v>1.0095329391186765</v>
      </c>
      <c r="M28" s="76">
        <v>1.0086372133773407</v>
      </c>
      <c r="N28" s="76"/>
      <c r="O28" s="75"/>
    </row>
    <row r="29" spans="1:15">
      <c r="A29" s="46">
        <f t="shared" si="1"/>
        <v>-9</v>
      </c>
      <c r="C29" s="74"/>
      <c r="D29" s="74"/>
      <c r="E29" s="74"/>
      <c r="F29" s="74"/>
      <c r="G29" s="74"/>
      <c r="H29" s="74"/>
      <c r="I29" s="74"/>
      <c r="J29" s="74"/>
      <c r="K29" s="74"/>
      <c r="L29" s="76"/>
      <c r="M29" s="76"/>
      <c r="N29" s="76"/>
      <c r="O29" s="75"/>
    </row>
    <row r="30" spans="1:15">
      <c r="A30" s="46">
        <f t="shared" si="1"/>
        <v>-10</v>
      </c>
      <c r="C30" s="74"/>
      <c r="D30" s="74"/>
      <c r="E30" s="74"/>
      <c r="F30" s="74"/>
      <c r="G30" s="74"/>
      <c r="H30" s="74"/>
      <c r="I30" s="74"/>
      <c r="J30" s="74"/>
      <c r="K30" s="74"/>
      <c r="L30" s="74"/>
      <c r="M30" s="76"/>
      <c r="N30" s="76"/>
      <c r="O30" s="75"/>
    </row>
    <row r="31" spans="1:15">
      <c r="A31" s="46">
        <f t="shared" si="1"/>
        <v>-11</v>
      </c>
      <c r="C31" s="74"/>
      <c r="D31" s="74"/>
      <c r="E31" s="74"/>
      <c r="F31" s="74"/>
      <c r="G31" s="74"/>
      <c r="H31" s="74"/>
      <c r="I31" s="74"/>
      <c r="J31" s="74"/>
      <c r="K31" s="74"/>
      <c r="L31" s="74"/>
      <c r="M31" s="74"/>
      <c r="N31" s="76"/>
      <c r="O31" s="75"/>
    </row>
    <row r="32" spans="1:15">
      <c r="A32" s="46">
        <f t="shared" si="1"/>
        <v>-12</v>
      </c>
      <c r="C32" s="74"/>
      <c r="D32" s="74"/>
      <c r="E32" s="74"/>
      <c r="F32" s="74"/>
      <c r="G32" s="74"/>
      <c r="H32" s="74"/>
      <c r="I32" s="74"/>
      <c r="J32" s="74"/>
      <c r="K32" s="74"/>
      <c r="L32" s="74"/>
      <c r="M32" s="74"/>
      <c r="N32" s="74"/>
      <c r="O32" s="75"/>
    </row>
  </sheetData>
  <phoneticPr fontId="9"/>
  <printOptions gridLinesSet="0"/>
  <pageMargins left="0" right="0" top="0" bottom="0" header="0" footer="0"/>
  <pageSetup paperSize="9" scale="80" pageOrder="overThenDown" orientation="landscape" horizontalDpi="4294967292" verticalDpi="0" r:id="rId1"/>
  <headerFooter alignWithMargins="0">
    <oddHeader>&amp;A</oddHeader>
    <oddFooter>- &amp;P -</oddFooter>
  </headerFooter>
  <drawing r:id="rId2"/>
</worksheet>
</file>

<file path=xl/worksheets/sheet16.xml><?xml version="1.0" encoding="utf-8"?>
<worksheet xmlns="http://schemas.openxmlformats.org/spreadsheetml/2006/main" xmlns:r="http://schemas.openxmlformats.org/officeDocument/2006/relationships">
  <dimension ref="A3:O41"/>
  <sheetViews>
    <sheetView topLeftCell="A3" zoomScale="80" workbookViewId="0">
      <selection activeCell="E26" sqref="E26"/>
    </sheetView>
  </sheetViews>
  <sheetFormatPr defaultRowHeight="13.5"/>
  <cols>
    <col min="1" max="1" width="4.625" style="29" customWidth="1"/>
    <col min="2" max="2" width="3.625" style="20" customWidth="1"/>
    <col min="3" max="15" width="8.625" style="20" customWidth="1"/>
    <col min="16" max="16384" width="9" style="20"/>
  </cols>
  <sheetData>
    <row r="3" spans="1:15">
      <c r="A3" s="20"/>
      <c r="B3" s="17" t="s">
        <v>36</v>
      </c>
      <c r="C3" s="46">
        <v>0</v>
      </c>
      <c r="D3" s="46">
        <v>1</v>
      </c>
      <c r="E3" s="46">
        <v>2</v>
      </c>
      <c r="F3" s="46">
        <v>3</v>
      </c>
      <c r="G3" s="46">
        <v>4</v>
      </c>
      <c r="H3" s="46">
        <v>5</v>
      </c>
      <c r="I3" s="46">
        <v>6</v>
      </c>
      <c r="J3" s="46">
        <v>7</v>
      </c>
      <c r="K3" s="46">
        <v>8</v>
      </c>
      <c r="L3" s="46">
        <v>9</v>
      </c>
      <c r="M3" s="46">
        <v>10</v>
      </c>
      <c r="N3" s="46">
        <v>11</v>
      </c>
      <c r="O3" s="46">
        <v>12</v>
      </c>
    </row>
    <row r="4" spans="1:15">
      <c r="A4" s="20"/>
      <c r="B4" s="17" t="s">
        <v>37</v>
      </c>
      <c r="C4" s="46">
        <f>Def!$D$12*C$3</f>
        <v>0</v>
      </c>
      <c r="D4" s="46">
        <f>Def!$D$12*D$3</f>
        <v>0.25</v>
      </c>
      <c r="E4" s="46">
        <f>Def!$D$12*E$3</f>
        <v>0.5</v>
      </c>
      <c r="F4" s="46">
        <f>Def!$D$12*F$3</f>
        <v>0.75</v>
      </c>
      <c r="G4" s="46">
        <f>Def!$D$12*G$3</f>
        <v>1</v>
      </c>
      <c r="H4" s="46">
        <f>Def!$D$12*H$3</f>
        <v>1.25</v>
      </c>
      <c r="I4" s="46">
        <f>Def!$D$12*I$3</f>
        <v>1.5</v>
      </c>
      <c r="J4" s="46">
        <f>Def!$D$12*J$3</f>
        <v>1.75</v>
      </c>
      <c r="K4" s="46">
        <f>Def!$D$12*K$3</f>
        <v>2</v>
      </c>
      <c r="L4" s="46">
        <f>Def!$D$12*L$3</f>
        <v>2.25</v>
      </c>
      <c r="M4" s="46">
        <f>Def!$D$12*M$3</f>
        <v>2.5</v>
      </c>
      <c r="N4" s="46">
        <f>Def!$D$12*N$3</f>
        <v>2.75</v>
      </c>
      <c r="O4" s="46">
        <f>Def!$D$12*O$3</f>
        <v>3</v>
      </c>
    </row>
    <row r="5" spans="1:15">
      <c r="A5" s="17" t="s">
        <v>29</v>
      </c>
    </row>
    <row r="7" spans="1:15">
      <c r="A7" s="20"/>
      <c r="J7" s="49"/>
    </row>
    <row r="8" spans="1:15">
      <c r="A8" s="46">
        <f t="shared" ref="A8:A19" si="0">A9+1</f>
        <v>12</v>
      </c>
      <c r="C8" s="71"/>
      <c r="D8" s="71"/>
      <c r="E8" s="71"/>
      <c r="F8" s="71"/>
      <c r="G8" s="71"/>
      <c r="H8" s="71"/>
      <c r="I8" s="71"/>
      <c r="J8" s="71"/>
      <c r="K8" s="71"/>
      <c r="L8" s="71"/>
      <c r="M8" s="71"/>
      <c r="N8" s="71"/>
      <c r="O8" s="86"/>
    </row>
    <row r="9" spans="1:15">
      <c r="A9" s="46">
        <f t="shared" si="0"/>
        <v>11</v>
      </c>
      <c r="C9" s="71"/>
      <c r="D9" s="71"/>
      <c r="E9" s="71"/>
      <c r="F9" s="71"/>
      <c r="G9" s="71"/>
      <c r="H9" s="71"/>
      <c r="I9" s="71"/>
      <c r="J9" s="71"/>
      <c r="K9" s="71"/>
      <c r="L9" s="71"/>
      <c r="M9" s="71"/>
      <c r="N9" s="72"/>
      <c r="O9" s="86"/>
    </row>
    <row r="10" spans="1:15">
      <c r="A10" s="46">
        <f t="shared" si="0"/>
        <v>10</v>
      </c>
      <c r="C10" s="71"/>
      <c r="D10" s="71"/>
      <c r="E10" s="71"/>
      <c r="F10" s="71"/>
      <c r="G10" s="71"/>
      <c r="H10" s="71"/>
      <c r="I10" s="71"/>
      <c r="J10" s="71"/>
      <c r="K10" s="71"/>
      <c r="L10" s="71"/>
      <c r="M10" s="72"/>
      <c r="N10" s="72"/>
      <c r="O10" s="86"/>
    </row>
    <row r="11" spans="1:15">
      <c r="A11" s="46">
        <f t="shared" si="0"/>
        <v>9</v>
      </c>
      <c r="C11" s="71"/>
      <c r="D11" s="71"/>
      <c r="E11" s="71"/>
      <c r="F11" s="71"/>
      <c r="G11" s="71"/>
      <c r="H11" s="71"/>
      <c r="I11" s="71"/>
      <c r="J11" s="71"/>
      <c r="K11" s="71"/>
      <c r="L11" s="72"/>
      <c r="M11" s="72"/>
      <c r="N11" s="72"/>
      <c r="O11" s="86"/>
    </row>
    <row r="12" spans="1:15">
      <c r="A12" s="46">
        <f t="shared" si="0"/>
        <v>8</v>
      </c>
      <c r="C12" s="71"/>
      <c r="D12" s="71"/>
      <c r="E12" s="71"/>
      <c r="F12" s="71"/>
      <c r="G12" s="71"/>
      <c r="H12" s="71"/>
      <c r="I12" s="71"/>
      <c r="J12" s="71"/>
      <c r="K12" s="119">
        <v>727.38827469847342</v>
      </c>
      <c r="L12" s="72">
        <v>372.85115819098183</v>
      </c>
      <c r="M12" s="124">
        <v>392.23292971795848</v>
      </c>
      <c r="N12" s="72">
        <v>0</v>
      </c>
      <c r="O12" s="86"/>
    </row>
    <row r="13" spans="1:15">
      <c r="A13" s="46">
        <f t="shared" si="0"/>
        <v>7</v>
      </c>
      <c r="C13" s="71"/>
      <c r="D13" s="71"/>
      <c r="E13" s="71"/>
      <c r="F13" s="71"/>
      <c r="G13" s="71"/>
      <c r="H13" s="71"/>
      <c r="I13" s="71"/>
      <c r="J13" s="72">
        <v>620.36676887676254</v>
      </c>
      <c r="K13" s="119">
        <v>650.49559702165141</v>
      </c>
      <c r="L13" s="72">
        <v>334.56568245268295</v>
      </c>
      <c r="M13" s="124">
        <v>351.06216163387944</v>
      </c>
      <c r="N13" s="72">
        <v>0</v>
      </c>
      <c r="O13" s="86"/>
    </row>
    <row r="14" spans="1:15">
      <c r="A14" s="46">
        <f t="shared" si="0"/>
        <v>6</v>
      </c>
      <c r="C14" s="71"/>
      <c r="D14" s="71"/>
      <c r="E14" s="71"/>
      <c r="F14" s="71"/>
      <c r="G14" s="71"/>
      <c r="H14" s="71"/>
      <c r="I14" s="124">
        <v>786.84360816381229</v>
      </c>
      <c r="J14" s="72">
        <v>547.81456151078737</v>
      </c>
      <c r="K14" s="119">
        <v>572.96194464923065</v>
      </c>
      <c r="L14" s="72">
        <v>295.94874569191279</v>
      </c>
      <c r="M14" s="124">
        <v>309.71496192207582</v>
      </c>
      <c r="N14" s="72">
        <v>0</v>
      </c>
      <c r="O14" s="86"/>
    </row>
    <row r="15" spans="1:15">
      <c r="A15" s="46">
        <f t="shared" si="0"/>
        <v>5</v>
      </c>
      <c r="C15" s="71"/>
      <c r="D15" s="71"/>
      <c r="E15" s="71"/>
      <c r="F15" s="71"/>
      <c r="G15" s="71"/>
      <c r="H15" s="72">
        <v>648.27025937705457</v>
      </c>
      <c r="I15" s="124">
        <v>675.94465627318914</v>
      </c>
      <c r="J15" s="72">
        <v>474.34329222289267</v>
      </c>
      <c r="K15" s="119">
        <v>494.78220592950186</v>
      </c>
      <c r="L15" s="72">
        <v>256.9981194588276</v>
      </c>
      <c r="M15" s="124">
        <v>268.19058303643845</v>
      </c>
      <c r="N15" s="72">
        <v>0</v>
      </c>
      <c r="O15" s="86"/>
    </row>
    <row r="16" spans="1:15">
      <c r="A16" s="46">
        <f t="shared" si="0"/>
        <v>4</v>
      </c>
      <c r="C16" s="71"/>
      <c r="D16" s="71"/>
      <c r="E16" s="71"/>
      <c r="F16" s="71"/>
      <c r="G16" s="119">
        <v>678.97835856672964</v>
      </c>
      <c r="H16" s="72">
        <v>542.08333929982052</v>
      </c>
      <c r="I16" s="124">
        <v>563.69637493753123</v>
      </c>
      <c r="J16" s="72">
        <v>399.9431298674819</v>
      </c>
      <c r="K16" s="119">
        <v>415.95099039935297</v>
      </c>
      <c r="L16" s="72">
        <v>217.71149277549441</v>
      </c>
      <c r="M16" s="124">
        <v>226.48826573517096</v>
      </c>
      <c r="N16" s="72">
        <v>0</v>
      </c>
      <c r="O16" s="86"/>
    </row>
    <row r="17" spans="1:15">
      <c r="A17" s="46">
        <f t="shared" si="0"/>
        <v>3</v>
      </c>
      <c r="C17" s="71"/>
      <c r="D17" s="71"/>
      <c r="E17" s="71"/>
      <c r="F17" s="72">
        <v>515.24708902807652</v>
      </c>
      <c r="G17" s="119">
        <v>534.14135979368211</v>
      </c>
      <c r="H17" s="72">
        <v>434.15406146371072</v>
      </c>
      <c r="I17" s="124">
        <v>450.08227536907532</v>
      </c>
      <c r="J17" s="72">
        <v>324.60411518368369</v>
      </c>
      <c r="K17" s="119">
        <v>336.4628557829152</v>
      </c>
      <c r="L17" s="72">
        <v>178.08653878195113</v>
      </c>
      <c r="M17" s="124">
        <v>184.60724752299478</v>
      </c>
      <c r="N17" s="72">
        <v>0</v>
      </c>
      <c r="O17" s="86"/>
    </row>
    <row r="18" spans="1:15">
      <c r="A18" s="46">
        <f t="shared" si="0"/>
        <v>2</v>
      </c>
      <c r="C18" s="71"/>
      <c r="D18" s="71"/>
      <c r="E18" s="72">
        <v>362.71800737374127</v>
      </c>
      <c r="F18" s="72">
        <v>374.53924799036412</v>
      </c>
      <c r="G18" s="119">
        <v>387.01598686526143</v>
      </c>
      <c r="H18" s="72">
        <v>324.4573271426151</v>
      </c>
      <c r="I18" s="124">
        <v>335.08566380263085</v>
      </c>
      <c r="J18" s="72">
        <v>248.3161844760113</v>
      </c>
      <c r="K18" s="119">
        <v>256.31231420248037</v>
      </c>
      <c r="L18" s="72">
        <v>138.12091541676375</v>
      </c>
      <c r="M18" s="124">
        <v>142.54676263719395</v>
      </c>
      <c r="N18" s="72">
        <v>0</v>
      </c>
      <c r="O18" s="86"/>
    </row>
    <row r="19" spans="1:15">
      <c r="A19" s="46">
        <f t="shared" si="0"/>
        <v>1</v>
      </c>
      <c r="C19" s="71"/>
      <c r="D19" s="72">
        <v>218.83142256541569</v>
      </c>
      <c r="E19" s="72">
        <v>224.79098765168712</v>
      </c>
      <c r="F19" s="72">
        <v>231.02975231787246</v>
      </c>
      <c r="G19" s="119">
        <v>237.5658548337467</v>
      </c>
      <c r="H19" s="72">
        <v>212.96768163957478</v>
      </c>
      <c r="I19" s="124">
        <v>218.68964192339558</v>
      </c>
      <c r="J19" s="72">
        <v>171.06916924769394</v>
      </c>
      <c r="K19" s="119">
        <v>175.49383187553144</v>
      </c>
      <c r="L19" s="72">
        <v>97.812265319532685</v>
      </c>
      <c r="M19" s="124">
        <v>100.30604203362778</v>
      </c>
      <c r="N19" s="72">
        <v>0</v>
      </c>
      <c r="O19" s="86"/>
    </row>
    <row r="20" spans="1:15">
      <c r="A20" s="46">
        <v>0</v>
      </c>
      <c r="C20" s="91">
        <v>81.335465399996551</v>
      </c>
      <c r="D20" s="73">
        <v>82.468054009403147</v>
      </c>
      <c r="E20" s="73">
        <v>83.571699465801586</v>
      </c>
      <c r="F20" s="73">
        <v>84.668364971991522</v>
      </c>
      <c r="G20" s="115">
        <v>85.753998557019955</v>
      </c>
      <c r="H20" s="73">
        <v>99.65930962455468</v>
      </c>
      <c r="I20" s="115">
        <v>100.87710444260769</v>
      </c>
      <c r="J20" s="73">
        <v>92.852795123927436</v>
      </c>
      <c r="K20" s="115">
        <v>94.001828730491539</v>
      </c>
      <c r="L20" s="73">
        <v>57.158215732767992</v>
      </c>
      <c r="M20" s="115">
        <v>57.884313372655605</v>
      </c>
      <c r="N20" s="73">
        <v>0</v>
      </c>
      <c r="O20" s="73"/>
    </row>
    <row r="21" spans="1:15">
      <c r="A21" s="46">
        <f t="shared" ref="A21:A32" si="1">A20-1</f>
        <v>-1</v>
      </c>
      <c r="C21" s="71"/>
      <c r="D21" s="72">
        <v>-57.666654005792275</v>
      </c>
      <c r="E21" s="72">
        <v>-61.00647675569828</v>
      </c>
      <c r="F21" s="72">
        <v>-64.596043176694863</v>
      </c>
      <c r="G21" s="119">
        <v>-68.457136514991475</v>
      </c>
      <c r="H21" s="72">
        <v>-15.493969955932256</v>
      </c>
      <c r="I21" s="124">
        <v>-18.369263439216681</v>
      </c>
      <c r="J21" s="72">
        <v>13.656680755344452</v>
      </c>
      <c r="K21" s="119">
        <v>11.83067801926958</v>
      </c>
      <c r="L21" s="72">
        <v>16.156378403146931</v>
      </c>
      <c r="M21" s="124">
        <v>15.28080100502576</v>
      </c>
      <c r="N21" s="72">
        <v>0</v>
      </c>
      <c r="O21" s="86"/>
    </row>
    <row r="22" spans="1:15">
      <c r="A22" s="46">
        <f t="shared" si="1"/>
        <v>-2</v>
      </c>
      <c r="C22" s="71"/>
      <c r="D22" s="71"/>
      <c r="E22" s="72">
        <v>-209.01146912084877</v>
      </c>
      <c r="F22" s="72">
        <v>-216.81550918319894</v>
      </c>
      <c r="G22" s="119">
        <v>-225.10570375064151</v>
      </c>
      <c r="H22" s="72">
        <v>-132.51870905171296</v>
      </c>
      <c r="I22" s="124">
        <v>-139.06698860118709</v>
      </c>
      <c r="J22" s="72">
        <v>-66.529663289868679</v>
      </c>
      <c r="K22" s="119">
        <v>-71.025294073456223</v>
      </c>
      <c r="L22" s="72">
        <v>-25.195650517864436</v>
      </c>
      <c r="M22" s="124">
        <v>-27.505274042318337</v>
      </c>
      <c r="N22" s="72">
        <v>0</v>
      </c>
      <c r="O22" s="86"/>
    </row>
    <row r="23" spans="1:15">
      <c r="A23" s="46">
        <f t="shared" si="1"/>
        <v>-3</v>
      </c>
      <c r="C23" s="71"/>
      <c r="D23" s="71"/>
      <c r="E23" s="71"/>
      <c r="F23" s="72">
        <v>-372.0429941425852</v>
      </c>
      <c r="G23" s="119">
        <v>-384.23046489699061</v>
      </c>
      <c r="H23" s="72">
        <v>-251.44183575501495</v>
      </c>
      <c r="I23" s="124">
        <v>-261.2338126024672</v>
      </c>
      <c r="J23" s="72">
        <v>-147.71683564531295</v>
      </c>
      <c r="K23" s="119">
        <v>-154.57180882420624</v>
      </c>
      <c r="L23" s="72">
        <v>-66.90029057401415</v>
      </c>
      <c r="M23" s="124">
        <v>-70.474694080467202</v>
      </c>
      <c r="N23" s="72">
        <v>0</v>
      </c>
      <c r="O23" s="86"/>
    </row>
    <row r="24" spans="1:15">
      <c r="A24" s="46">
        <f t="shared" si="1"/>
        <v>-4</v>
      </c>
      <c r="C24" s="71"/>
      <c r="D24" s="71"/>
      <c r="E24" s="71"/>
      <c r="F24" s="71"/>
      <c r="G24" s="119">
        <v>-545.87079973207437</v>
      </c>
      <c r="H24" s="72">
        <v>-372.29065960820668</v>
      </c>
      <c r="I24" s="124">
        <v>-384.88769431342189</v>
      </c>
      <c r="J24" s="72">
        <v>-229.91554527730878</v>
      </c>
      <c r="K24" s="119">
        <v>-238.81463536798896</v>
      </c>
      <c r="L24" s="72">
        <v>-108.95997710491436</v>
      </c>
      <c r="M24" s="124">
        <v>-113.6282447728601</v>
      </c>
      <c r="N24" s="72">
        <v>0</v>
      </c>
      <c r="O24" s="86"/>
    </row>
    <row r="25" spans="1:15">
      <c r="A25" s="46">
        <f t="shared" si="1"/>
        <v>-5</v>
      </c>
      <c r="C25" s="71"/>
      <c r="D25" s="71"/>
      <c r="E25" s="71"/>
      <c r="F25" s="71"/>
      <c r="G25" s="71"/>
      <c r="H25" s="72">
        <v>-495.09287654706037</v>
      </c>
      <c r="I25" s="124">
        <v>-510.04681248159523</v>
      </c>
      <c r="J25" s="72">
        <v>-313.13661261763451</v>
      </c>
      <c r="K25" s="119">
        <v>-323.75959109889254</v>
      </c>
      <c r="L25" s="72">
        <v>-151.37716134732935</v>
      </c>
      <c r="M25" s="124">
        <v>-156.96671514965004</v>
      </c>
      <c r="N25" s="72">
        <v>0</v>
      </c>
      <c r="O25" s="86"/>
    </row>
    <row r="26" spans="1:15">
      <c r="A26" s="46">
        <f t="shared" si="1"/>
        <v>-6</v>
      </c>
      <c r="C26" s="71"/>
      <c r="D26" s="71"/>
      <c r="E26" s="71"/>
      <c r="F26" s="71"/>
      <c r="G26" s="71"/>
      <c r="H26" s="71"/>
      <c r="I26" s="124">
        <v>-636.72956492654032</v>
      </c>
      <c r="J26" s="72">
        <v>-397.39096989146066</v>
      </c>
      <c r="K26" s="119">
        <v>-409.41254198572477</v>
      </c>
      <c r="L26" s="72">
        <v>-194.15431053710495</v>
      </c>
      <c r="M26" s="124">
        <v>-200.4908976221229</v>
      </c>
      <c r="N26" s="72">
        <v>0</v>
      </c>
      <c r="O26" s="86"/>
    </row>
    <row r="27" spans="1:15">
      <c r="A27" s="46">
        <f t="shared" si="1"/>
        <v>-7</v>
      </c>
      <c r="C27" s="71"/>
      <c r="D27" s="71"/>
      <c r="E27" s="71"/>
      <c r="F27" s="71"/>
      <c r="G27" s="71"/>
      <c r="H27" s="71"/>
      <c r="I27" s="71"/>
      <c r="J27" s="72">
        <v>-482.68963320300577</v>
      </c>
      <c r="K27" s="119">
        <v>-495.77939547856374</v>
      </c>
      <c r="L27" s="72">
        <v>-237.29390715475708</v>
      </c>
      <c r="M27" s="124">
        <v>-244.20158799719832</v>
      </c>
      <c r="N27" s="72">
        <v>0</v>
      </c>
      <c r="O27" s="86"/>
    </row>
    <row r="28" spans="1:15">
      <c r="A28" s="46">
        <f t="shared" si="1"/>
        <v>-8</v>
      </c>
      <c r="C28" s="71"/>
      <c r="D28" s="71"/>
      <c r="E28" s="71"/>
      <c r="F28" s="71"/>
      <c r="G28" s="71"/>
      <c r="H28" s="71"/>
      <c r="I28" s="71"/>
      <c r="J28" s="71"/>
      <c r="K28" s="119">
        <v>-582.86584178900239</v>
      </c>
      <c r="L28" s="72">
        <v>-280.79837532710229</v>
      </c>
      <c r="M28" s="124">
        <v>-288.09957644887504</v>
      </c>
      <c r="N28" s="72">
        <v>0</v>
      </c>
      <c r="O28" s="86"/>
    </row>
    <row r="29" spans="1:15">
      <c r="A29" s="46">
        <f t="shared" si="1"/>
        <v>-9</v>
      </c>
      <c r="C29" s="71"/>
      <c r="D29" s="71"/>
      <c r="E29" s="71"/>
      <c r="F29" s="71"/>
      <c r="G29" s="71"/>
      <c r="H29" s="71"/>
      <c r="I29" s="71"/>
      <c r="J29" s="71"/>
      <c r="K29" s="71"/>
      <c r="L29" s="72"/>
      <c r="M29" s="72"/>
      <c r="N29" s="72"/>
      <c r="O29" s="86"/>
    </row>
    <row r="30" spans="1:15">
      <c r="A30" s="46">
        <f t="shared" si="1"/>
        <v>-10</v>
      </c>
      <c r="C30" s="71"/>
      <c r="D30" s="71"/>
      <c r="E30" s="71"/>
      <c r="F30" s="71"/>
      <c r="G30" s="71"/>
      <c r="H30" s="71"/>
      <c r="I30" s="71"/>
      <c r="J30" s="71"/>
      <c r="K30" s="71"/>
      <c r="L30" s="71"/>
      <c r="M30" s="72"/>
      <c r="N30" s="72"/>
      <c r="O30" s="86"/>
    </row>
    <row r="31" spans="1:15">
      <c r="A31" s="46">
        <f t="shared" si="1"/>
        <v>-11</v>
      </c>
      <c r="C31" s="71"/>
      <c r="D31" s="71"/>
      <c r="E31" s="71"/>
      <c r="F31" s="71"/>
      <c r="G31" s="71"/>
      <c r="H31" s="71"/>
      <c r="I31" s="71"/>
      <c r="J31" s="71"/>
      <c r="K31" s="71"/>
      <c r="L31" s="71"/>
      <c r="M31" s="71"/>
      <c r="N31" s="72"/>
      <c r="O31" s="86"/>
    </row>
    <row r="32" spans="1:15">
      <c r="A32" s="46">
        <f t="shared" si="1"/>
        <v>-12</v>
      </c>
      <c r="C32" s="71"/>
      <c r="D32" s="71"/>
      <c r="E32" s="71"/>
      <c r="F32" s="71"/>
      <c r="G32" s="71"/>
      <c r="H32" s="71"/>
      <c r="I32" s="71"/>
      <c r="J32" s="71"/>
      <c r="K32" s="71"/>
      <c r="L32" s="71"/>
      <c r="M32" s="71"/>
      <c r="N32" s="71"/>
      <c r="O32" s="86"/>
    </row>
    <row r="35" spans="3:13">
      <c r="C35" s="110"/>
      <c r="D35" s="110"/>
      <c r="E35" s="110"/>
      <c r="F35" s="110"/>
      <c r="G35" s="110"/>
    </row>
    <row r="36" spans="3:13">
      <c r="C36" s="42"/>
      <c r="D36" s="42"/>
      <c r="E36" s="42"/>
      <c r="F36" s="42"/>
      <c r="G36" s="42"/>
      <c r="L36" s="71"/>
      <c r="M36" s="71"/>
    </row>
    <row r="37" spans="3:13">
      <c r="C37" s="110"/>
      <c r="D37" s="110"/>
      <c r="E37" s="110"/>
      <c r="F37" s="110"/>
      <c r="G37" s="110"/>
    </row>
    <row r="38" spans="3:13">
      <c r="C38" s="42"/>
      <c r="D38" s="42"/>
      <c r="E38" s="42"/>
      <c r="F38" s="42"/>
      <c r="G38" s="42"/>
    </row>
    <row r="41" spans="3:13">
      <c r="D41" s="100"/>
    </row>
  </sheetData>
  <phoneticPr fontId="9"/>
  <printOptions gridLinesSet="0"/>
  <pageMargins left="0" right="0" top="0" bottom="0" header="0" footer="0"/>
  <pageSetup paperSize="9" scale="80" pageOrder="overThenDown" orientation="landscape" horizontalDpi="4294967292" verticalDpi="0" r:id="rId1"/>
  <headerFooter alignWithMargins="0">
    <oddHeader>&amp;A</oddHeader>
    <oddFooter>- &amp;P -</oddFooter>
  </headerFooter>
  <drawing r:id="rId2"/>
  <legacyDrawing r:id="rId3"/>
</worksheet>
</file>

<file path=xl/worksheets/sheet17.xml><?xml version="1.0" encoding="utf-8"?>
<worksheet xmlns="http://schemas.openxmlformats.org/spreadsheetml/2006/main" xmlns:r="http://schemas.openxmlformats.org/officeDocument/2006/relationships">
  <dimension ref="A3:AD32"/>
  <sheetViews>
    <sheetView tabSelected="1" topLeftCell="A3" zoomScale="80" workbookViewId="0">
      <selection activeCell="I32" sqref="I32"/>
    </sheetView>
  </sheetViews>
  <sheetFormatPr defaultRowHeight="13.5"/>
  <cols>
    <col min="1" max="1" width="4.625" style="29" customWidth="1"/>
    <col min="2" max="2" width="3.625" style="20" customWidth="1"/>
    <col min="3" max="15" width="5.375" style="20" customWidth="1"/>
    <col min="16" max="17" width="1.625" style="20" customWidth="1"/>
    <col min="18" max="30" width="4.625" style="20" customWidth="1"/>
    <col min="31" max="16384" width="9" style="20"/>
  </cols>
  <sheetData>
    <row r="3" spans="1:30">
      <c r="A3" s="20"/>
      <c r="B3" s="17" t="s">
        <v>36</v>
      </c>
      <c r="C3" s="46">
        <v>0</v>
      </c>
      <c r="D3" s="46">
        <v>1</v>
      </c>
      <c r="E3" s="46">
        <v>2</v>
      </c>
      <c r="F3" s="46">
        <v>3</v>
      </c>
      <c r="G3" s="46">
        <v>4</v>
      </c>
      <c r="H3" s="46">
        <v>5</v>
      </c>
      <c r="I3" s="46">
        <v>6</v>
      </c>
      <c r="J3" s="46">
        <v>7</v>
      </c>
      <c r="K3" s="46">
        <v>8</v>
      </c>
      <c r="L3" s="46">
        <v>9</v>
      </c>
      <c r="M3" s="46">
        <v>10</v>
      </c>
      <c r="N3" s="46">
        <v>11</v>
      </c>
      <c r="O3" s="46">
        <v>12</v>
      </c>
      <c r="Q3" s="19"/>
      <c r="R3" s="46">
        <v>0</v>
      </c>
      <c r="S3" s="46">
        <v>1</v>
      </c>
      <c r="T3" s="46">
        <v>2</v>
      </c>
      <c r="U3" s="46">
        <v>3</v>
      </c>
      <c r="V3" s="46">
        <v>4</v>
      </c>
      <c r="W3" s="46">
        <v>5</v>
      </c>
      <c r="X3" s="46">
        <v>6</v>
      </c>
      <c r="Y3" s="46">
        <v>7</v>
      </c>
      <c r="Z3" s="46">
        <v>8</v>
      </c>
      <c r="AA3" s="46">
        <v>9</v>
      </c>
      <c r="AB3" s="46">
        <v>10</v>
      </c>
      <c r="AC3" s="46">
        <v>11</v>
      </c>
      <c r="AD3" s="46">
        <v>12</v>
      </c>
    </row>
    <row r="4" spans="1:30">
      <c r="A4" s="20"/>
      <c r="B4" s="17" t="s">
        <v>37</v>
      </c>
      <c r="C4" s="46">
        <f>Def!$D$12*C$3</f>
        <v>0</v>
      </c>
      <c r="D4" s="46">
        <f>Def!$D$12*D$3</f>
        <v>0.25</v>
      </c>
      <c r="E4" s="46">
        <f>Def!$D$12*E$3</f>
        <v>0.5</v>
      </c>
      <c r="F4" s="46">
        <f>Def!$D$12*F$3</f>
        <v>0.75</v>
      </c>
      <c r="G4" s="46">
        <f>Def!$D$12*G$3</f>
        <v>1</v>
      </c>
      <c r="H4" s="46">
        <f>Def!$D$12*H$3</f>
        <v>1.25</v>
      </c>
      <c r="I4" s="46">
        <f>Def!$D$12*I$3</f>
        <v>1.5</v>
      </c>
      <c r="J4" s="46">
        <f>Def!$D$12*J$3</f>
        <v>1.75</v>
      </c>
      <c r="K4" s="46">
        <f>Def!$D$12*K$3</f>
        <v>2</v>
      </c>
      <c r="L4" s="46">
        <f>Def!$D$12*L$3</f>
        <v>2.25</v>
      </c>
      <c r="M4" s="46">
        <f>Def!$D$12*M$3</f>
        <v>2.5</v>
      </c>
      <c r="N4" s="46">
        <f>Def!$D$12*N$3</f>
        <v>2.75</v>
      </c>
      <c r="O4" s="46">
        <f>Def!$D$12*O$3</f>
        <v>3</v>
      </c>
      <c r="Q4" s="19"/>
      <c r="R4" s="24"/>
      <c r="S4" s="24"/>
      <c r="T4" s="24"/>
      <c r="U4" s="24"/>
      <c r="V4" s="24"/>
      <c r="W4" s="24"/>
      <c r="X4" s="24"/>
      <c r="Y4" s="24"/>
      <c r="Z4" s="24"/>
      <c r="AA4" s="24"/>
      <c r="AB4" s="24"/>
      <c r="AC4" s="24"/>
      <c r="AD4" s="24"/>
    </row>
    <row r="5" spans="1:30">
      <c r="A5" s="17" t="s">
        <v>29</v>
      </c>
      <c r="Q5" s="42"/>
    </row>
    <row r="7" spans="1:30">
      <c r="A7" s="20"/>
    </row>
    <row r="8" spans="1:30">
      <c r="A8" s="46">
        <f t="shared" ref="A8:A19" si="0">A9+1</f>
        <v>12</v>
      </c>
      <c r="O8" s="15"/>
      <c r="AD8" s="15"/>
    </row>
    <row r="9" spans="1:30">
      <c r="A9" s="46">
        <f t="shared" si="0"/>
        <v>11</v>
      </c>
      <c r="N9" s="31"/>
      <c r="O9" s="15"/>
      <c r="AC9" s="31"/>
      <c r="AD9" s="15"/>
    </row>
    <row r="10" spans="1:30">
      <c r="A10" s="46">
        <f t="shared" si="0"/>
        <v>10</v>
      </c>
      <c r="C10" s="52"/>
      <c r="D10" s="52"/>
      <c r="E10" s="52"/>
      <c r="F10" s="52"/>
      <c r="M10" s="31"/>
      <c r="N10" s="31"/>
      <c r="O10" s="15"/>
      <c r="AB10" s="31"/>
      <c r="AC10" s="31"/>
      <c r="AD10" s="15"/>
    </row>
    <row r="11" spans="1:30">
      <c r="A11" s="46">
        <f t="shared" si="0"/>
        <v>9</v>
      </c>
      <c r="C11" s="16"/>
      <c r="D11" s="16"/>
      <c r="E11" s="16"/>
      <c r="F11" s="16"/>
      <c r="L11" s="31"/>
      <c r="M11" s="31"/>
      <c r="N11" s="31"/>
      <c r="O11" s="15"/>
      <c r="AA11" s="31"/>
      <c r="AB11" s="31"/>
      <c r="AC11" s="31"/>
      <c r="AD11" s="15"/>
    </row>
    <row r="12" spans="1:30">
      <c r="A12" s="46">
        <f t="shared" si="0"/>
        <v>8</v>
      </c>
      <c r="C12" s="53"/>
      <c r="D12" s="53"/>
      <c r="E12" s="53"/>
      <c r="F12" s="53"/>
      <c r="K12" s="15">
        <v>0</v>
      </c>
      <c r="L12" s="31">
        <v>0</v>
      </c>
      <c r="M12" s="31">
        <v>0</v>
      </c>
      <c r="N12" s="31">
        <v>0</v>
      </c>
      <c r="O12" s="15">
        <v>0</v>
      </c>
      <c r="Z12" s="15"/>
      <c r="AA12" s="31"/>
      <c r="AB12" s="31"/>
      <c r="AC12" s="31"/>
      <c r="AD12" s="15"/>
    </row>
    <row r="13" spans="1:30">
      <c r="A13" s="46">
        <f t="shared" si="0"/>
        <v>7</v>
      </c>
      <c r="C13" s="127" t="s">
        <v>39</v>
      </c>
      <c r="D13" s="128"/>
      <c r="E13" s="122">
        <v>283.14734887345401</v>
      </c>
      <c r="F13" s="123"/>
      <c r="J13" s="31">
        <v>0</v>
      </c>
      <c r="K13" s="15">
        <v>0</v>
      </c>
      <c r="L13" s="31">
        <v>0</v>
      </c>
      <c r="M13" s="31">
        <v>0</v>
      </c>
      <c r="N13" s="31">
        <v>0</v>
      </c>
      <c r="O13" s="15">
        <v>0</v>
      </c>
      <c r="Y13" s="31"/>
      <c r="Z13" s="15"/>
      <c r="AA13" s="31"/>
      <c r="AB13" s="31"/>
      <c r="AC13" s="31"/>
      <c r="AD13" s="15"/>
    </row>
    <row r="14" spans="1:30">
      <c r="A14" s="46">
        <f t="shared" si="0"/>
        <v>6</v>
      </c>
      <c r="C14" s="127" t="s">
        <v>40</v>
      </c>
      <c r="D14" s="128"/>
      <c r="E14" s="122">
        <v>84.895832823240681</v>
      </c>
      <c r="F14" s="123"/>
      <c r="I14" s="31">
        <v>0</v>
      </c>
      <c r="J14" s="31">
        <v>0</v>
      </c>
      <c r="K14" s="15">
        <v>0</v>
      </c>
      <c r="L14" s="31">
        <v>0</v>
      </c>
      <c r="M14" s="31">
        <v>0</v>
      </c>
      <c r="N14" s="31">
        <v>0</v>
      </c>
      <c r="O14" s="15">
        <v>0</v>
      </c>
      <c r="X14" s="31"/>
      <c r="Y14" s="31"/>
      <c r="Z14" s="15"/>
      <c r="AA14" s="31"/>
      <c r="AB14" s="31"/>
      <c r="AC14" s="31"/>
      <c r="AD14" s="15"/>
    </row>
    <row r="15" spans="1:30">
      <c r="A15" s="46">
        <f t="shared" si="0"/>
        <v>5</v>
      </c>
      <c r="E15" s="54"/>
      <c r="F15" s="54"/>
      <c r="H15" s="31">
        <v>0</v>
      </c>
      <c r="I15" s="31">
        <v>0</v>
      </c>
      <c r="J15" s="31">
        <v>1</v>
      </c>
      <c r="K15" s="15">
        <v>2</v>
      </c>
      <c r="L15" s="31">
        <v>2</v>
      </c>
      <c r="M15" s="31">
        <v>4</v>
      </c>
      <c r="N15" s="31">
        <v>4</v>
      </c>
      <c r="O15" s="15">
        <v>0</v>
      </c>
      <c r="W15" s="31"/>
      <c r="X15" s="31"/>
      <c r="Y15" s="31"/>
      <c r="Z15" s="15"/>
      <c r="AA15" s="31"/>
      <c r="AB15" s="31"/>
      <c r="AC15" s="31"/>
      <c r="AD15" s="15"/>
    </row>
    <row r="16" spans="1:30">
      <c r="A16" s="46">
        <f t="shared" si="0"/>
        <v>4</v>
      </c>
      <c r="G16" s="15">
        <v>2</v>
      </c>
      <c r="H16" s="31">
        <v>5</v>
      </c>
      <c r="I16" s="31">
        <v>7</v>
      </c>
      <c r="J16" s="31">
        <v>8</v>
      </c>
      <c r="K16" s="15">
        <v>5</v>
      </c>
      <c r="L16" s="31">
        <v>5</v>
      </c>
      <c r="M16" s="31">
        <v>8</v>
      </c>
      <c r="N16" s="31">
        <v>12</v>
      </c>
      <c r="O16" s="15">
        <v>0</v>
      </c>
      <c r="V16" s="15"/>
      <c r="W16" s="31"/>
      <c r="X16" s="31"/>
      <c r="Y16" s="31"/>
      <c r="Z16" s="15"/>
      <c r="AA16" s="31"/>
      <c r="AB16" s="31"/>
      <c r="AC16" s="31"/>
      <c r="AD16" s="15"/>
    </row>
    <row r="17" spans="1:30">
      <c r="A17" s="46">
        <f t="shared" si="0"/>
        <v>3</v>
      </c>
      <c r="F17" s="31">
        <v>3</v>
      </c>
      <c r="G17" s="15">
        <v>14</v>
      </c>
      <c r="H17" s="31">
        <v>20</v>
      </c>
      <c r="I17" s="31">
        <v>23</v>
      </c>
      <c r="J17" s="31">
        <v>28</v>
      </c>
      <c r="K17" s="15">
        <v>37</v>
      </c>
      <c r="L17" s="31">
        <v>43</v>
      </c>
      <c r="M17" s="31">
        <v>44</v>
      </c>
      <c r="N17" s="31">
        <v>46</v>
      </c>
      <c r="O17" s="15">
        <v>0</v>
      </c>
      <c r="U17" s="31"/>
      <c r="V17" s="15"/>
      <c r="W17" s="31"/>
      <c r="X17" s="31"/>
      <c r="Y17" s="31"/>
      <c r="Z17" s="15"/>
      <c r="AA17" s="31"/>
      <c r="AB17" s="31"/>
      <c r="AC17" s="31"/>
      <c r="AD17" s="15"/>
    </row>
    <row r="18" spans="1:30">
      <c r="A18" s="46">
        <f t="shared" si="0"/>
        <v>2</v>
      </c>
      <c r="E18" s="31">
        <v>28</v>
      </c>
      <c r="F18" s="31">
        <v>60</v>
      </c>
      <c r="G18" s="15">
        <v>78</v>
      </c>
      <c r="H18" s="31">
        <v>84</v>
      </c>
      <c r="I18" s="31">
        <v>98</v>
      </c>
      <c r="J18" s="31">
        <v>103</v>
      </c>
      <c r="K18" s="15">
        <v>119</v>
      </c>
      <c r="L18" s="31">
        <v>118</v>
      </c>
      <c r="M18" s="31">
        <v>118</v>
      </c>
      <c r="N18" s="31">
        <v>111</v>
      </c>
      <c r="O18" s="15">
        <v>0</v>
      </c>
      <c r="T18" s="31"/>
      <c r="U18" s="31"/>
      <c r="V18" s="15"/>
      <c r="W18" s="31"/>
      <c r="X18" s="31"/>
      <c r="Y18" s="31"/>
      <c r="Z18" s="15"/>
      <c r="AA18" s="31"/>
      <c r="AB18" s="31"/>
      <c r="AC18" s="31"/>
      <c r="AD18" s="15"/>
    </row>
    <row r="19" spans="1:30">
      <c r="A19" s="46">
        <f t="shared" si="0"/>
        <v>1</v>
      </c>
      <c r="D19" s="31">
        <v>179</v>
      </c>
      <c r="E19" s="31">
        <v>225</v>
      </c>
      <c r="F19" s="31">
        <v>235</v>
      </c>
      <c r="G19" s="15">
        <v>230</v>
      </c>
      <c r="H19" s="31">
        <v>230</v>
      </c>
      <c r="I19" s="31">
        <v>219</v>
      </c>
      <c r="J19" s="31">
        <v>216</v>
      </c>
      <c r="K19" s="15">
        <v>204</v>
      </c>
      <c r="L19" s="31">
        <v>216</v>
      </c>
      <c r="M19" s="31">
        <v>187</v>
      </c>
      <c r="N19" s="31">
        <v>193</v>
      </c>
      <c r="O19" s="15">
        <v>0</v>
      </c>
      <c r="S19" s="31"/>
      <c r="T19" s="31"/>
      <c r="U19" s="31"/>
      <c r="V19" s="15"/>
      <c r="W19" s="31"/>
      <c r="X19" s="31"/>
      <c r="Y19" s="31"/>
      <c r="Z19" s="15"/>
      <c r="AA19" s="31"/>
      <c r="AB19" s="31"/>
      <c r="AC19" s="31"/>
      <c r="AD19" s="15"/>
    </row>
    <row r="20" spans="1:30">
      <c r="A20" s="46">
        <v>0</v>
      </c>
      <c r="C20" s="51">
        <v>1000</v>
      </c>
      <c r="D20" s="47">
        <v>655</v>
      </c>
      <c r="E20" s="47">
        <v>517</v>
      </c>
      <c r="F20" s="47">
        <v>428</v>
      </c>
      <c r="G20" s="47">
        <v>385</v>
      </c>
      <c r="H20" s="47">
        <v>336</v>
      </c>
      <c r="I20" s="47">
        <v>315</v>
      </c>
      <c r="J20" s="47">
        <v>283</v>
      </c>
      <c r="K20" s="47">
        <v>254</v>
      </c>
      <c r="L20" s="47">
        <v>236</v>
      </c>
      <c r="M20" s="47">
        <v>255</v>
      </c>
      <c r="N20" s="47">
        <v>257</v>
      </c>
      <c r="O20" s="47">
        <v>0</v>
      </c>
      <c r="R20" s="47"/>
      <c r="S20" s="47"/>
      <c r="T20" s="47"/>
      <c r="U20" s="47"/>
      <c r="V20" s="47"/>
      <c r="W20" s="47"/>
      <c r="X20" s="47"/>
      <c r="Y20" s="47"/>
      <c r="Z20" s="47"/>
      <c r="AA20" s="47"/>
      <c r="AB20" s="47"/>
      <c r="AC20" s="47"/>
      <c r="AD20" s="47"/>
    </row>
    <row r="21" spans="1:30">
      <c r="A21" s="46">
        <f t="shared" ref="A21:A32" si="1">A20-1</f>
        <v>-1</v>
      </c>
      <c r="D21" s="31">
        <v>166</v>
      </c>
      <c r="E21" s="31">
        <v>216</v>
      </c>
      <c r="F21" s="31">
        <v>231</v>
      </c>
      <c r="G21" s="15">
        <v>225</v>
      </c>
      <c r="H21" s="31">
        <v>236</v>
      </c>
      <c r="I21" s="31">
        <v>220</v>
      </c>
      <c r="J21" s="31">
        <v>226</v>
      </c>
      <c r="K21" s="15">
        <v>229</v>
      </c>
      <c r="L21" s="31">
        <v>209</v>
      </c>
      <c r="M21" s="31">
        <v>201</v>
      </c>
      <c r="N21" s="31">
        <v>186</v>
      </c>
      <c r="O21" s="15">
        <v>0</v>
      </c>
      <c r="S21" s="31"/>
      <c r="T21" s="31"/>
      <c r="U21" s="31"/>
      <c r="V21" s="15"/>
      <c r="W21" s="31"/>
      <c r="X21" s="31"/>
      <c r="Y21" s="31"/>
      <c r="Z21" s="15"/>
      <c r="AA21" s="31"/>
      <c r="AB21" s="31"/>
      <c r="AC21" s="31"/>
      <c r="AD21" s="15"/>
    </row>
    <row r="22" spans="1:30">
      <c r="A22" s="46">
        <f t="shared" si="1"/>
        <v>-2</v>
      </c>
      <c r="E22" s="31">
        <v>14</v>
      </c>
      <c r="F22" s="31">
        <v>43</v>
      </c>
      <c r="G22" s="15">
        <v>59</v>
      </c>
      <c r="H22" s="31">
        <v>79</v>
      </c>
      <c r="I22" s="31">
        <v>97</v>
      </c>
      <c r="J22" s="31">
        <v>106</v>
      </c>
      <c r="K22" s="15">
        <v>118</v>
      </c>
      <c r="L22" s="31">
        <v>124</v>
      </c>
      <c r="M22" s="31">
        <v>128</v>
      </c>
      <c r="N22" s="31">
        <v>124</v>
      </c>
      <c r="O22" s="15">
        <v>0</v>
      </c>
      <c r="T22" s="31"/>
      <c r="U22" s="31"/>
      <c r="V22" s="15"/>
      <c r="W22" s="31"/>
      <c r="X22" s="31"/>
      <c r="Y22" s="31"/>
      <c r="Z22" s="15"/>
      <c r="AA22" s="31"/>
      <c r="AB22" s="31"/>
      <c r="AC22" s="31"/>
      <c r="AD22" s="15"/>
    </row>
    <row r="23" spans="1:30">
      <c r="A23" s="46">
        <f t="shared" si="1"/>
        <v>-3</v>
      </c>
      <c r="F23" s="31">
        <v>0</v>
      </c>
      <c r="G23" s="15">
        <v>7</v>
      </c>
      <c r="H23" s="31">
        <v>8</v>
      </c>
      <c r="I23" s="31">
        <v>18</v>
      </c>
      <c r="J23" s="31">
        <v>25</v>
      </c>
      <c r="K23" s="15">
        <v>27</v>
      </c>
      <c r="L23" s="31">
        <v>37</v>
      </c>
      <c r="M23" s="31">
        <v>37</v>
      </c>
      <c r="N23" s="31">
        <v>46</v>
      </c>
      <c r="O23" s="15">
        <v>0</v>
      </c>
      <c r="U23" s="31"/>
      <c r="V23" s="15"/>
      <c r="W23" s="31"/>
      <c r="X23" s="31"/>
      <c r="Y23" s="31"/>
      <c r="Z23" s="15"/>
      <c r="AA23" s="31"/>
      <c r="AB23" s="31"/>
      <c r="AC23" s="31"/>
      <c r="AD23" s="15"/>
    </row>
    <row r="24" spans="1:30">
      <c r="A24" s="46">
        <f t="shared" si="1"/>
        <v>-4</v>
      </c>
      <c r="G24" s="15">
        <v>0</v>
      </c>
      <c r="H24" s="31">
        <v>2</v>
      </c>
      <c r="I24" s="31">
        <v>3</v>
      </c>
      <c r="J24" s="31">
        <v>4</v>
      </c>
      <c r="K24" s="15">
        <v>5</v>
      </c>
      <c r="L24" s="31">
        <v>9</v>
      </c>
      <c r="M24" s="31">
        <v>15</v>
      </c>
      <c r="N24" s="31">
        <v>15</v>
      </c>
      <c r="O24" s="15">
        <v>0</v>
      </c>
      <c r="V24" s="15"/>
      <c r="W24" s="31"/>
      <c r="X24" s="31"/>
      <c r="Y24" s="31"/>
      <c r="Z24" s="15"/>
      <c r="AA24" s="31"/>
      <c r="AB24" s="31"/>
      <c r="AC24" s="31"/>
      <c r="AD24" s="15"/>
    </row>
    <row r="25" spans="1:30">
      <c r="A25" s="46">
        <f t="shared" si="1"/>
        <v>-5</v>
      </c>
      <c r="H25" s="31">
        <v>0</v>
      </c>
      <c r="I25" s="31">
        <v>0</v>
      </c>
      <c r="J25" s="31">
        <v>0</v>
      </c>
      <c r="K25" s="15">
        <v>0</v>
      </c>
      <c r="L25" s="31">
        <v>1</v>
      </c>
      <c r="M25" s="31">
        <v>2</v>
      </c>
      <c r="N25" s="31">
        <v>5</v>
      </c>
      <c r="O25" s="15">
        <v>0</v>
      </c>
      <c r="W25" s="31"/>
      <c r="X25" s="31"/>
      <c r="Y25" s="31"/>
      <c r="Z25" s="15"/>
      <c r="AA25" s="31"/>
      <c r="AB25" s="31"/>
      <c r="AC25" s="31"/>
      <c r="AD25" s="15"/>
    </row>
    <row r="26" spans="1:30">
      <c r="A26" s="46">
        <f t="shared" si="1"/>
        <v>-6</v>
      </c>
      <c r="I26" s="31">
        <v>0</v>
      </c>
      <c r="J26" s="31">
        <v>0</v>
      </c>
      <c r="K26" s="15">
        <v>0</v>
      </c>
      <c r="L26" s="31">
        <v>0</v>
      </c>
      <c r="M26" s="31">
        <v>1</v>
      </c>
      <c r="N26" s="31">
        <v>1</v>
      </c>
      <c r="O26" s="15">
        <v>0</v>
      </c>
      <c r="X26" s="31"/>
      <c r="Y26" s="31"/>
      <c r="Z26" s="15"/>
      <c r="AA26" s="31"/>
      <c r="AB26" s="31"/>
      <c r="AC26" s="31"/>
      <c r="AD26" s="15"/>
    </row>
    <row r="27" spans="1:30">
      <c r="A27" s="46">
        <f t="shared" si="1"/>
        <v>-7</v>
      </c>
      <c r="J27" s="31">
        <v>0</v>
      </c>
      <c r="K27" s="15">
        <v>0</v>
      </c>
      <c r="L27" s="31">
        <v>0</v>
      </c>
      <c r="M27" s="31">
        <v>0</v>
      </c>
      <c r="N27" s="31">
        <v>0</v>
      </c>
      <c r="O27" s="15">
        <v>0</v>
      </c>
      <c r="Y27" s="31"/>
      <c r="Z27" s="15"/>
      <c r="AA27" s="31"/>
      <c r="AB27" s="31"/>
      <c r="AC27" s="31"/>
      <c r="AD27" s="15"/>
    </row>
    <row r="28" spans="1:30">
      <c r="A28" s="46">
        <f t="shared" si="1"/>
        <v>-8</v>
      </c>
      <c r="C28" s="50"/>
      <c r="D28" s="50"/>
      <c r="E28" s="50"/>
      <c r="F28" s="50"/>
      <c r="G28" s="29"/>
      <c r="H28" s="29"/>
      <c r="K28" s="15">
        <v>0</v>
      </c>
      <c r="L28" s="31">
        <v>0</v>
      </c>
      <c r="M28" s="31">
        <v>0</v>
      </c>
      <c r="N28" s="31">
        <v>0</v>
      </c>
      <c r="O28" s="15">
        <v>0</v>
      </c>
      <c r="Z28" s="15"/>
      <c r="AA28" s="31"/>
      <c r="AB28" s="31"/>
      <c r="AC28" s="31"/>
      <c r="AD28" s="15"/>
    </row>
    <row r="29" spans="1:30">
      <c r="A29" s="46">
        <f t="shared" si="1"/>
        <v>-9</v>
      </c>
      <c r="C29" s="50"/>
      <c r="D29" s="50"/>
      <c r="E29" s="50"/>
      <c r="F29" s="50"/>
      <c r="G29" s="29"/>
      <c r="H29" s="29"/>
      <c r="L29" s="31"/>
      <c r="M29" s="31"/>
      <c r="N29" s="31"/>
      <c r="O29" s="15"/>
      <c r="AA29" s="31"/>
      <c r="AB29" s="31"/>
      <c r="AC29" s="31"/>
      <c r="AD29" s="15"/>
    </row>
    <row r="30" spans="1:30">
      <c r="A30" s="46">
        <f t="shared" si="1"/>
        <v>-10</v>
      </c>
      <c r="M30" s="31"/>
      <c r="N30" s="31"/>
      <c r="O30" s="15"/>
      <c r="AB30" s="31"/>
      <c r="AC30" s="31"/>
      <c r="AD30" s="15"/>
    </row>
    <row r="31" spans="1:30">
      <c r="A31" s="46">
        <f t="shared" si="1"/>
        <v>-11</v>
      </c>
      <c r="N31" s="31"/>
      <c r="O31" s="15"/>
      <c r="AC31" s="31"/>
      <c r="AD31" s="15"/>
    </row>
    <row r="32" spans="1:30">
      <c r="A32" s="46">
        <f t="shared" si="1"/>
        <v>-12</v>
      </c>
      <c r="O32" s="15"/>
      <c r="AD32" s="15"/>
    </row>
  </sheetData>
  <phoneticPr fontId="9"/>
  <printOptions gridLinesSet="0"/>
  <pageMargins left="0" right="0" top="0" bottom="0" header="0" footer="0"/>
  <pageSetup paperSize="9" scale="80" pageOrder="overThenDown" orientation="landscape" horizontalDpi="4294967292" verticalDpi="0" r:id="rId1"/>
  <headerFooter alignWithMargins="0">
    <oddHeader>&amp;A</oddHeader>
    <oddFooter>- &amp;P -</oddFooter>
  </headerFooter>
  <drawing r:id="rId2"/>
  <legacyDrawing r:id="rId3"/>
</worksheet>
</file>

<file path=xl/worksheets/sheet18.xml><?xml version="1.0" encoding="utf-8"?>
<worksheet xmlns="http://schemas.openxmlformats.org/spreadsheetml/2006/main" xmlns:r="http://schemas.openxmlformats.org/officeDocument/2006/relationships">
  <dimension ref="A1:C10002"/>
  <sheetViews>
    <sheetView zoomScale="80" workbookViewId="0">
      <selection activeCell="N10" sqref="N10"/>
    </sheetView>
  </sheetViews>
  <sheetFormatPr defaultRowHeight="13.5"/>
  <cols>
    <col min="1" max="1" width="6.25" customWidth="1"/>
    <col min="2" max="2" width="11.875" style="90" customWidth="1"/>
    <col min="3" max="3" width="10.625" style="90" customWidth="1"/>
  </cols>
  <sheetData>
    <row r="1" spans="1:3">
      <c r="A1" s="93" t="s">
        <v>41</v>
      </c>
      <c r="B1" s="94" t="s">
        <v>39</v>
      </c>
      <c r="C1" s="94" t="s">
        <v>40</v>
      </c>
    </row>
    <row r="3" spans="1:3">
      <c r="A3">
        <f>A2+1</f>
        <v>1</v>
      </c>
      <c r="B3" s="90">
        <v>-75.670484213803448</v>
      </c>
      <c r="C3" s="90">
        <v>-75.670484213803448</v>
      </c>
    </row>
    <row r="4" spans="1:3">
      <c r="A4">
        <f t="shared" ref="A4:A19" si="0">A3+1</f>
        <v>2</v>
      </c>
      <c r="B4" s="90">
        <v>165.49509392722399</v>
      </c>
      <c r="C4" s="90">
        <v>44.912304856710271</v>
      </c>
    </row>
    <row r="5" spans="1:3">
      <c r="A5">
        <f t="shared" si="0"/>
        <v>3</v>
      </c>
      <c r="B5" s="90">
        <v>-112.26962825918243</v>
      </c>
      <c r="C5" s="90">
        <v>-7.4816728485872943</v>
      </c>
    </row>
    <row r="6" spans="1:3">
      <c r="A6">
        <f t="shared" si="0"/>
        <v>4</v>
      </c>
      <c r="B6" s="90">
        <v>-38.017098509814531</v>
      </c>
      <c r="C6" s="90">
        <v>-15.115529263894103</v>
      </c>
    </row>
    <row r="7" spans="1:3">
      <c r="A7">
        <f t="shared" si="0"/>
        <v>5</v>
      </c>
      <c r="B7" s="90">
        <v>164.61143104500587</v>
      </c>
      <c r="C7" s="90">
        <v>20.829862797885891</v>
      </c>
    </row>
    <row r="8" spans="1:3">
      <c r="A8">
        <f t="shared" si="0"/>
        <v>6</v>
      </c>
      <c r="B8" s="90">
        <v>-242.87907946965046</v>
      </c>
      <c r="C8" s="90">
        <v>-23.121627580036833</v>
      </c>
    </row>
    <row r="9" spans="1:3">
      <c r="A9">
        <f t="shared" si="0"/>
        <v>7</v>
      </c>
      <c r="B9" s="90">
        <v>-115.25291680647246</v>
      </c>
      <c r="C9" s="90">
        <v>-36.283240326670494</v>
      </c>
    </row>
    <row r="10" spans="1:3">
      <c r="A10">
        <f t="shared" si="0"/>
        <v>8</v>
      </c>
      <c r="B10" s="90">
        <v>-121.64488356190441</v>
      </c>
      <c r="C10" s="90">
        <v>-46.953445731074737</v>
      </c>
    </row>
    <row r="11" spans="1:3">
      <c r="A11">
        <f t="shared" si="0"/>
        <v>9</v>
      </c>
      <c r="B11" s="90">
        <v>511.94304341920144</v>
      </c>
      <c r="C11" s="90">
        <v>15.146164174511505</v>
      </c>
    </row>
    <row r="12" spans="1:3">
      <c r="A12">
        <f t="shared" si="0"/>
        <v>10</v>
      </c>
      <c r="B12" s="90">
        <v>45.474408262037144</v>
      </c>
      <c r="C12" s="90">
        <v>18.178988583264069</v>
      </c>
    </row>
    <row r="13" spans="1:3">
      <c r="A13">
        <f t="shared" si="0"/>
        <v>11</v>
      </c>
      <c r="B13" s="90">
        <v>-199.21459858774764</v>
      </c>
      <c r="C13" s="90">
        <v>-1.5840647959188139</v>
      </c>
    </row>
    <row r="14" spans="1:3">
      <c r="A14">
        <f t="shared" si="0"/>
        <v>12</v>
      </c>
      <c r="B14" s="90">
        <v>395.66421773117804</v>
      </c>
      <c r="C14" s="90">
        <v>31.519958748005923</v>
      </c>
    </row>
    <row r="15" spans="1:3">
      <c r="A15">
        <f t="shared" si="0"/>
        <v>13</v>
      </c>
      <c r="B15" s="90">
        <v>82.380633664837205</v>
      </c>
      <c r="C15" s="90">
        <v>35.432318356992944</v>
      </c>
    </row>
    <row r="16" spans="1:3">
      <c r="A16">
        <f t="shared" si="0"/>
        <v>14</v>
      </c>
      <c r="B16" s="90">
        <v>320.75888586270764</v>
      </c>
      <c r="C16" s="90">
        <v>55.812787464543995</v>
      </c>
    </row>
    <row r="17" spans="1:3">
      <c r="A17">
        <f t="shared" si="0"/>
        <v>15</v>
      </c>
      <c r="B17" s="90">
        <v>-363.3891198750722</v>
      </c>
      <c r="C17" s="90">
        <v>27.865993641902914</v>
      </c>
    </row>
    <row r="18" spans="1:3">
      <c r="A18">
        <f t="shared" si="0"/>
        <v>16</v>
      </c>
      <c r="B18" s="90">
        <v>83.66161764458063</v>
      </c>
      <c r="C18" s="90">
        <v>31.353220142070274</v>
      </c>
    </row>
    <row r="19" spans="1:3">
      <c r="A19">
        <f t="shared" si="0"/>
        <v>17</v>
      </c>
      <c r="B19" s="90">
        <v>434.56257075923185</v>
      </c>
      <c r="C19" s="90">
        <v>55.071417237197423</v>
      </c>
    </row>
    <row r="20" spans="1:3">
      <c r="A20">
        <f t="shared" ref="A20:A35" si="1">A19+1</f>
        <v>18</v>
      </c>
      <c r="B20" s="90">
        <v>548.69228417426029</v>
      </c>
      <c r="C20" s="90">
        <v>82.494798733700918</v>
      </c>
    </row>
    <row r="21" spans="1:3">
      <c r="A21">
        <f t="shared" si="1"/>
        <v>19</v>
      </c>
      <c r="B21" s="90">
        <v>-116.69188741142979</v>
      </c>
      <c r="C21" s="90">
        <v>72.01128893658877</v>
      </c>
    </row>
    <row r="22" spans="1:3">
      <c r="A22">
        <f t="shared" si="1"/>
        <v>20</v>
      </c>
      <c r="B22" s="90">
        <v>200.44186612427336</v>
      </c>
      <c r="C22" s="90">
        <v>78.432817795973008</v>
      </c>
    </row>
    <row r="23" spans="1:3">
      <c r="A23">
        <f t="shared" si="1"/>
        <v>21</v>
      </c>
      <c r="B23" s="90">
        <v>3.733953551918102</v>
      </c>
      <c r="C23" s="90">
        <v>74.875729022446578</v>
      </c>
    </row>
    <row r="24" spans="1:3">
      <c r="A24">
        <f t="shared" si="1"/>
        <v>22</v>
      </c>
      <c r="B24" s="90">
        <v>2.3045807371893834</v>
      </c>
      <c r="C24" s="90">
        <v>71.577040464025799</v>
      </c>
    </row>
    <row r="25" spans="1:3">
      <c r="A25">
        <f t="shared" si="1"/>
        <v>23</v>
      </c>
      <c r="B25" s="90">
        <v>-408.48636809302889</v>
      </c>
      <c r="C25" s="90">
        <v>50.704718352849511</v>
      </c>
    </row>
    <row r="26" spans="1:3">
      <c r="A26">
        <f t="shared" si="1"/>
        <v>24</v>
      </c>
      <c r="B26" s="90">
        <v>-33.744269640419361</v>
      </c>
      <c r="C26" s="90">
        <v>47.186010519796639</v>
      </c>
    </row>
    <row r="27" spans="1:3">
      <c r="A27">
        <f t="shared" si="1"/>
        <v>25</v>
      </c>
      <c r="B27" s="90">
        <v>122.97616804968551</v>
      </c>
      <c r="C27" s="90">
        <v>50.217616820992198</v>
      </c>
    </row>
    <row r="28" spans="1:3">
      <c r="A28">
        <f t="shared" si="1"/>
        <v>26</v>
      </c>
      <c r="B28" s="90">
        <v>205.05243630554494</v>
      </c>
      <c r="C28" s="90">
        <v>56.172802185782686</v>
      </c>
    </row>
    <row r="29" spans="1:3">
      <c r="A29">
        <f t="shared" si="1"/>
        <v>27</v>
      </c>
      <c r="B29" s="90">
        <v>508.51977835571182</v>
      </c>
      <c r="C29" s="90">
        <v>72.926393895780066</v>
      </c>
    </row>
    <row r="30" spans="1:3">
      <c r="A30">
        <f t="shared" si="1"/>
        <v>28</v>
      </c>
      <c r="B30" s="90">
        <v>-37.297605377236977</v>
      </c>
      <c r="C30" s="90">
        <v>68.989822493172312</v>
      </c>
    </row>
    <row r="31" spans="1:3">
      <c r="A31">
        <f t="shared" si="1"/>
        <v>29</v>
      </c>
      <c r="B31" s="90">
        <v>-367.4290409658081</v>
      </c>
      <c r="C31" s="90">
        <v>53.940896167000574</v>
      </c>
    </row>
    <row r="32" spans="1:3">
      <c r="A32">
        <f t="shared" si="1"/>
        <v>30</v>
      </c>
      <c r="B32" s="90">
        <v>-117.28889854269711</v>
      </c>
      <c r="C32" s="90">
        <v>48.233236343343982</v>
      </c>
    </row>
    <row r="33" spans="1:3">
      <c r="A33">
        <f t="shared" si="1"/>
        <v>31</v>
      </c>
      <c r="B33" s="90">
        <v>3.805098376908949</v>
      </c>
      <c r="C33" s="90">
        <v>46.800070602491239</v>
      </c>
    </row>
    <row r="34" spans="1:3">
      <c r="A34">
        <f t="shared" si="1"/>
        <v>32</v>
      </c>
      <c r="B34" s="90">
        <v>395.43639903922212</v>
      </c>
      <c r="C34" s="90">
        <v>57.694955866139082</v>
      </c>
    </row>
    <row r="35" spans="1:3">
      <c r="A35">
        <f t="shared" si="1"/>
        <v>33</v>
      </c>
      <c r="B35" s="90">
        <v>-119.39790249955064</v>
      </c>
      <c r="C35" s="90">
        <v>52.328505612633336</v>
      </c>
    </row>
    <row r="36" spans="1:3">
      <c r="A36">
        <f t="shared" ref="A36:A51" si="2">A35+1</f>
        <v>34</v>
      </c>
      <c r="B36" s="90">
        <v>-115.22614555023277</v>
      </c>
      <c r="C36" s="90">
        <v>47.400427637254921</v>
      </c>
    </row>
    <row r="37" spans="1:3">
      <c r="A37">
        <f t="shared" si="2"/>
        <v>35</v>
      </c>
      <c r="B37" s="90">
        <v>283.04369674010411</v>
      </c>
      <c r="C37" s="90">
        <v>54.133092468764893</v>
      </c>
    </row>
    <row r="38" spans="1:3">
      <c r="A38">
        <f t="shared" si="2"/>
        <v>36</v>
      </c>
      <c r="B38" s="90">
        <v>5.4923793011260775</v>
      </c>
      <c r="C38" s="90">
        <v>52.78196154744159</v>
      </c>
    </row>
    <row r="39" spans="1:3">
      <c r="A39">
        <f t="shared" si="2"/>
        <v>37</v>
      </c>
      <c r="B39" s="90">
        <v>5.5123406755599653</v>
      </c>
      <c r="C39" s="90">
        <v>51.504404226579922</v>
      </c>
    </row>
    <row r="40" spans="1:3">
      <c r="A40">
        <f t="shared" si="2"/>
        <v>38</v>
      </c>
      <c r="B40" s="90">
        <v>-121.89787601505178</v>
      </c>
      <c r="C40" s="90">
        <v>46.941186325484352</v>
      </c>
    </row>
    <row r="41" spans="1:3">
      <c r="A41">
        <f t="shared" si="2"/>
        <v>39</v>
      </c>
      <c r="B41" s="90">
        <v>40.885251446236872</v>
      </c>
      <c r="C41" s="90">
        <v>46.78590594396519</v>
      </c>
    </row>
    <row r="42" spans="1:3">
      <c r="A42">
        <f t="shared" si="2"/>
        <v>40</v>
      </c>
      <c r="B42" s="90">
        <v>4.7811548922104263</v>
      </c>
      <c r="C42" s="90">
        <v>45.735787167671319</v>
      </c>
    </row>
    <row r="43" spans="1:3">
      <c r="A43">
        <f t="shared" si="2"/>
        <v>41</v>
      </c>
      <c r="B43" s="90">
        <v>122.5125550818025</v>
      </c>
      <c r="C43" s="90">
        <v>47.608391263137932</v>
      </c>
    </row>
    <row r="44" spans="1:3">
      <c r="A44">
        <f t="shared" si="2"/>
        <v>42</v>
      </c>
      <c r="B44" s="90">
        <v>124.54846911236753</v>
      </c>
      <c r="C44" s="90">
        <v>49.440297878595779</v>
      </c>
    </row>
    <row r="45" spans="1:3">
      <c r="A45">
        <f t="shared" si="2"/>
        <v>43</v>
      </c>
      <c r="B45" s="90">
        <v>84.424315205612089</v>
      </c>
      <c r="C45" s="90">
        <v>50.253879676898485</v>
      </c>
    </row>
    <row r="46" spans="1:3">
      <c r="A46">
        <f t="shared" si="2"/>
        <v>44</v>
      </c>
      <c r="B46" s="90">
        <v>243.92864437079211</v>
      </c>
      <c r="C46" s="90">
        <v>54.65557887448697</v>
      </c>
    </row>
    <row r="47" spans="1:3">
      <c r="A47">
        <f t="shared" si="2"/>
        <v>45</v>
      </c>
      <c r="B47" s="90">
        <v>-324.34428983714292</v>
      </c>
      <c r="C47" s="90">
        <v>46.233359569784078</v>
      </c>
    </row>
    <row r="48" spans="1:3">
      <c r="A48">
        <f t="shared" si="2"/>
        <v>46</v>
      </c>
      <c r="B48" s="90">
        <v>-77.479410457204423</v>
      </c>
      <c r="C48" s="90">
        <v>43.543951525719109</v>
      </c>
    </row>
    <row r="49" spans="1:3">
      <c r="A49">
        <f t="shared" si="2"/>
        <v>47</v>
      </c>
      <c r="B49" s="90">
        <v>433.8145691549193</v>
      </c>
      <c r="C49" s="90">
        <v>51.847581688042517</v>
      </c>
    </row>
    <row r="50" spans="1:3">
      <c r="A50">
        <f t="shared" si="2"/>
        <v>48</v>
      </c>
      <c r="B50" s="90">
        <v>-74.870865464777609</v>
      </c>
      <c r="C50" s="90">
        <v>49.20761403902543</v>
      </c>
    </row>
    <row r="51" spans="1:3">
      <c r="A51">
        <f t="shared" si="2"/>
        <v>49</v>
      </c>
      <c r="B51" s="90">
        <v>-115.10006783255682</v>
      </c>
      <c r="C51" s="90">
        <v>45.854396041646204</v>
      </c>
    </row>
    <row r="52" spans="1:3">
      <c r="A52">
        <f t="shared" ref="A52:A67" si="3">A51+1</f>
        <v>50</v>
      </c>
      <c r="B52" s="90">
        <v>161.26074108994118</v>
      </c>
      <c r="C52" s="90">
        <v>48.162522942612107</v>
      </c>
    </row>
    <row r="53" spans="1:3">
      <c r="A53">
        <f t="shared" si="3"/>
        <v>51</v>
      </c>
      <c r="B53" s="90">
        <v>-117.36541251176402</v>
      </c>
      <c r="C53" s="90">
        <v>44.916877149389038</v>
      </c>
    </row>
    <row r="54" spans="1:3">
      <c r="A54">
        <f t="shared" si="3"/>
        <v>52</v>
      </c>
      <c r="B54" s="90">
        <v>159.93064390894281</v>
      </c>
      <c r="C54" s="90">
        <v>47.128680356303533</v>
      </c>
    </row>
    <row r="55" spans="1:3">
      <c r="A55">
        <f t="shared" si="3"/>
        <v>53</v>
      </c>
      <c r="B55" s="90">
        <v>44.666250883568154</v>
      </c>
      <c r="C55" s="90">
        <v>47.082219422855694</v>
      </c>
    </row>
    <row r="56" spans="1:3">
      <c r="A56">
        <f t="shared" si="3"/>
        <v>54</v>
      </c>
      <c r="B56" s="90">
        <v>-200.3947371886191</v>
      </c>
      <c r="C56" s="90">
        <v>42.499312818939494</v>
      </c>
    </row>
    <row r="57" spans="1:3">
      <c r="A57">
        <f t="shared" si="3"/>
        <v>55</v>
      </c>
      <c r="B57" s="90">
        <v>-76.483624989245044</v>
      </c>
      <c r="C57" s="90">
        <v>40.335986676972496</v>
      </c>
    </row>
    <row r="58" spans="1:3">
      <c r="A58">
        <f t="shared" si="3"/>
        <v>56</v>
      </c>
      <c r="B58" s="90">
        <v>43.224604131906538</v>
      </c>
      <c r="C58" s="90">
        <v>40.387569131524899</v>
      </c>
    </row>
    <row r="59" spans="1:3">
      <c r="A59">
        <f t="shared" si="3"/>
        <v>57</v>
      </c>
      <c r="B59" s="90">
        <v>278.81565710312765</v>
      </c>
      <c r="C59" s="90">
        <v>44.570518043307402</v>
      </c>
    </row>
    <row r="60" spans="1:3">
      <c r="A60">
        <f t="shared" si="3"/>
        <v>58</v>
      </c>
      <c r="B60" s="90">
        <v>162.96212301239686</v>
      </c>
      <c r="C60" s="90">
        <v>46.611752611739973</v>
      </c>
    </row>
    <row r="61" spans="1:3">
      <c r="A61">
        <f t="shared" si="3"/>
        <v>59</v>
      </c>
      <c r="B61" s="90">
        <v>6.246747423322069</v>
      </c>
      <c r="C61" s="90">
        <v>45.927599981427811</v>
      </c>
    </row>
    <row r="62" spans="1:3">
      <c r="A62">
        <f t="shared" si="3"/>
        <v>60</v>
      </c>
      <c r="B62" s="90">
        <v>120.7602813995409</v>
      </c>
      <c r="C62" s="90">
        <v>47.17481133839636</v>
      </c>
    </row>
    <row r="63" spans="1:3">
      <c r="A63">
        <f t="shared" si="3"/>
        <v>61</v>
      </c>
      <c r="B63" s="90">
        <v>-162.33559889026424</v>
      </c>
      <c r="C63" s="90">
        <v>43.740214449401925</v>
      </c>
    </row>
    <row r="64" spans="1:3">
      <c r="A64">
        <f t="shared" si="3"/>
        <v>62</v>
      </c>
      <c r="B64" s="90">
        <v>161.26074108994118</v>
      </c>
      <c r="C64" s="90">
        <v>45.635706814571918</v>
      </c>
    </row>
    <row r="65" spans="1:3">
      <c r="A65">
        <f t="shared" si="3"/>
        <v>63</v>
      </c>
      <c r="B65" s="90">
        <v>84.214899647715043</v>
      </c>
      <c r="C65" s="90">
        <v>46.248074954780535</v>
      </c>
    </row>
    <row r="66" spans="1:3">
      <c r="A66">
        <f t="shared" si="3"/>
        <v>64</v>
      </c>
      <c r="B66" s="90">
        <v>160.22419712114493</v>
      </c>
      <c r="C66" s="90">
        <v>48.028951863629985</v>
      </c>
    </row>
    <row r="67" spans="1:3">
      <c r="A67">
        <f t="shared" si="3"/>
        <v>65</v>
      </c>
      <c r="B67" s="90">
        <v>-74.763847528580698</v>
      </c>
      <c r="C67" s="90">
        <v>46.139831872980587</v>
      </c>
    </row>
    <row r="68" spans="1:3">
      <c r="A68">
        <f t="shared" ref="A68:A83" si="4">A67+1</f>
        <v>66</v>
      </c>
      <c r="B68" s="90">
        <v>318.70833054345854</v>
      </c>
      <c r="C68" s="90">
        <v>50.269657610412075</v>
      </c>
    </row>
    <row r="69" spans="1:3">
      <c r="A69">
        <f t="shared" si="4"/>
        <v>67</v>
      </c>
      <c r="B69" s="90">
        <v>82.834996556423917</v>
      </c>
      <c r="C69" s="90">
        <v>50.755707445427177</v>
      </c>
    </row>
    <row r="70" spans="1:3">
      <c r="A70">
        <f t="shared" si="4"/>
        <v>68</v>
      </c>
      <c r="B70" s="90">
        <v>470.71906929310001</v>
      </c>
      <c r="C70" s="90">
        <v>56.931639237304715</v>
      </c>
    </row>
    <row r="71" spans="1:3">
      <c r="A71">
        <f t="shared" si="4"/>
        <v>69</v>
      </c>
      <c r="B71" s="90">
        <v>202.81902484939116</v>
      </c>
      <c r="C71" s="90">
        <v>59.045949173711762</v>
      </c>
    </row>
    <row r="72" spans="1:3">
      <c r="A72">
        <f t="shared" si="4"/>
        <v>70</v>
      </c>
      <c r="B72" s="90">
        <v>242.37441202956146</v>
      </c>
      <c r="C72" s="90">
        <v>61.664927214509618</v>
      </c>
    </row>
    <row r="73" spans="1:3">
      <c r="A73">
        <f t="shared" si="4"/>
        <v>71</v>
      </c>
      <c r="B73" s="90">
        <v>7.007461087886143</v>
      </c>
      <c r="C73" s="90">
        <v>60.895103747937455</v>
      </c>
    </row>
    <row r="74" spans="1:3">
      <c r="A74">
        <f t="shared" si="4"/>
        <v>72</v>
      </c>
      <c r="B74" s="90">
        <v>5.3609410826323334</v>
      </c>
      <c r="C74" s="90">
        <v>60.123795933141551</v>
      </c>
    </row>
    <row r="75" spans="1:3">
      <c r="A75">
        <f t="shared" si="4"/>
        <v>73</v>
      </c>
      <c r="B75" s="90">
        <v>394.51623264254357</v>
      </c>
      <c r="C75" s="90">
        <v>64.704514244229244</v>
      </c>
    </row>
    <row r="76" spans="1:3">
      <c r="A76">
        <f t="shared" si="4"/>
        <v>74</v>
      </c>
      <c r="B76" s="90">
        <v>240.81768819872801</v>
      </c>
      <c r="C76" s="90">
        <v>67.08442200037112</v>
      </c>
    </row>
    <row r="77" spans="1:3">
      <c r="A77">
        <f t="shared" si="4"/>
        <v>75</v>
      </c>
      <c r="B77" s="90">
        <v>164.08723909043542</v>
      </c>
      <c r="C77" s="90">
        <v>68.377792894905312</v>
      </c>
    </row>
    <row r="78" spans="1:3">
      <c r="A78">
        <f t="shared" si="4"/>
        <v>76</v>
      </c>
      <c r="B78" s="90">
        <v>123.20049666434674</v>
      </c>
      <c r="C78" s="90">
        <v>69.099144260292704</v>
      </c>
    </row>
    <row r="79" spans="1:3">
      <c r="A79">
        <f t="shared" si="4"/>
        <v>77</v>
      </c>
      <c r="B79" s="90">
        <v>-236.06260034868527</v>
      </c>
      <c r="C79" s="90">
        <v>65.136004719916372</v>
      </c>
    </row>
    <row r="80" spans="1:3">
      <c r="A80">
        <f t="shared" si="4"/>
        <v>78</v>
      </c>
      <c r="B80" s="90">
        <v>122.77808989039873</v>
      </c>
      <c r="C80" s="90">
        <v>65.875005811845625</v>
      </c>
    </row>
    <row r="81" spans="1:3">
      <c r="A81">
        <f t="shared" si="4"/>
        <v>79</v>
      </c>
      <c r="B81" s="90">
        <v>730.43885158810815</v>
      </c>
      <c r="C81" s="90">
        <v>74.287206391291988</v>
      </c>
    </row>
    <row r="82" spans="1:3">
      <c r="A82">
        <f t="shared" si="4"/>
        <v>80</v>
      </c>
      <c r="B82" s="90">
        <v>282.57309517142573</v>
      </c>
      <c r="C82" s="90">
        <v>76.890780001043666</v>
      </c>
    </row>
    <row r="83" spans="1:3">
      <c r="A83">
        <f t="shared" si="4"/>
        <v>81</v>
      </c>
      <c r="B83" s="90">
        <v>43.224604131906538</v>
      </c>
      <c r="C83" s="90">
        <v>76.475148200190119</v>
      </c>
    </row>
    <row r="84" spans="1:3">
      <c r="A84">
        <f t="shared" ref="A84:A99" si="5">A83+1</f>
        <v>82</v>
      </c>
      <c r="B84" s="90">
        <v>431.39777361435171</v>
      </c>
      <c r="C84" s="90">
        <v>80.80347290036282</v>
      </c>
    </row>
    <row r="85" spans="1:3">
      <c r="A85">
        <f t="shared" si="5"/>
        <v>83</v>
      </c>
      <c r="B85" s="90">
        <v>-157.41559396432066</v>
      </c>
      <c r="C85" s="90">
        <v>77.93336366102929</v>
      </c>
    </row>
    <row r="86" spans="1:3">
      <c r="A86">
        <f t="shared" si="5"/>
        <v>84</v>
      </c>
      <c r="B86" s="90">
        <v>-74.95272064148773</v>
      </c>
      <c r="C86" s="90">
        <v>76.113291228856468</v>
      </c>
    </row>
    <row r="87" spans="1:3">
      <c r="A87">
        <f t="shared" si="5"/>
        <v>85</v>
      </c>
      <c r="B87" s="90">
        <v>358.16345003240235</v>
      </c>
      <c r="C87" s="90">
        <v>79.431528391251121</v>
      </c>
    </row>
    <row r="88" spans="1:3">
      <c r="A88">
        <f t="shared" si="5"/>
        <v>86</v>
      </c>
      <c r="B88" s="90">
        <v>44.78187374060861</v>
      </c>
      <c r="C88" s="90">
        <v>79.028625430197138</v>
      </c>
    </row>
    <row r="89" spans="1:3">
      <c r="A89">
        <f t="shared" si="5"/>
        <v>87</v>
      </c>
      <c r="B89" s="90">
        <v>41.262907697672205</v>
      </c>
      <c r="C89" s="90">
        <v>78.594536720627886</v>
      </c>
    </row>
    <row r="90" spans="1:3">
      <c r="A90">
        <f t="shared" si="5"/>
        <v>88</v>
      </c>
      <c r="B90" s="90">
        <v>-160.93257280044548</v>
      </c>
      <c r="C90" s="90">
        <v>75.872637748797516</v>
      </c>
    </row>
    <row r="91" spans="1:3">
      <c r="A91">
        <f t="shared" si="5"/>
        <v>89</v>
      </c>
      <c r="B91" s="90">
        <v>-74.92589136098762</v>
      </c>
      <c r="C91" s="90">
        <v>74.178272253181945</v>
      </c>
    </row>
    <row r="92" spans="1:3">
      <c r="A92">
        <f t="shared" si="5"/>
        <v>90</v>
      </c>
      <c r="B92" s="90">
        <v>82.870814318499725</v>
      </c>
      <c r="C92" s="90">
        <v>74.274856053907698</v>
      </c>
    </row>
    <row r="93" spans="1:3">
      <c r="A93">
        <f t="shared" si="5"/>
        <v>91</v>
      </c>
      <c r="B93" s="90">
        <v>-115.76438973292498</v>
      </c>
      <c r="C93" s="90">
        <v>72.186512693612826</v>
      </c>
    </row>
    <row r="94" spans="1:3">
      <c r="A94">
        <f t="shared" si="5"/>
        <v>92</v>
      </c>
      <c r="B94" s="90">
        <v>43.357084765069629</v>
      </c>
      <c r="C94" s="90">
        <v>71.873149346563451</v>
      </c>
    </row>
    <row r="95" spans="1:3">
      <c r="A95">
        <f t="shared" si="5"/>
        <v>93</v>
      </c>
      <c r="B95" s="90">
        <v>-35.302023647702001</v>
      </c>
      <c r="C95" s="90">
        <v>70.720728131571349</v>
      </c>
    </row>
    <row r="96" spans="1:3">
      <c r="A96">
        <f t="shared" si="5"/>
        <v>94</v>
      </c>
      <c r="B96" s="90">
        <v>-37.992057462306036</v>
      </c>
      <c r="C96" s="90">
        <v>69.564209135891801</v>
      </c>
    </row>
    <row r="97" spans="1:3">
      <c r="A97">
        <f t="shared" si="5"/>
        <v>95</v>
      </c>
      <c r="B97" s="90">
        <v>240.00540813724706</v>
      </c>
      <c r="C97" s="90">
        <v>71.358327020116604</v>
      </c>
    </row>
    <row r="98" spans="1:3">
      <c r="A98">
        <f t="shared" si="5"/>
        <v>96</v>
      </c>
      <c r="B98" s="90">
        <v>5.5391119317996713</v>
      </c>
      <c r="C98" s="90">
        <v>70.672710196279965</v>
      </c>
    </row>
    <row r="99" spans="1:3">
      <c r="A99">
        <f t="shared" si="5"/>
        <v>97</v>
      </c>
      <c r="B99" s="90">
        <v>-200.82907453590192</v>
      </c>
      <c r="C99" s="90">
        <v>67.873722724814172</v>
      </c>
    </row>
    <row r="100" spans="1:3">
      <c r="A100">
        <f t="shared" ref="A100:A115" si="6">A99+1</f>
        <v>98</v>
      </c>
      <c r="B100" s="90">
        <v>81.707817782656548</v>
      </c>
      <c r="C100" s="90">
        <v>68.014886960098295</v>
      </c>
    </row>
    <row r="101" spans="1:3">
      <c r="A101">
        <f t="shared" si="6"/>
        <v>99</v>
      </c>
      <c r="B101" s="90">
        <v>42.922789537178588</v>
      </c>
      <c r="C101" s="90">
        <v>67.76143143057385</v>
      </c>
    </row>
    <row r="102" spans="1:3">
      <c r="A102">
        <f t="shared" si="6"/>
        <v>100</v>
      </c>
      <c r="B102" s="90">
        <v>4.6168033141949119</v>
      </c>
      <c r="C102" s="90">
        <v>67.129985149410061</v>
      </c>
    </row>
    <row r="103" spans="1:3">
      <c r="A103">
        <f t="shared" si="6"/>
        <v>101</v>
      </c>
      <c r="B103" s="90">
        <v>-0.81089292662556589</v>
      </c>
      <c r="C103" s="90">
        <v>66.457303188261193</v>
      </c>
    </row>
    <row r="104" spans="1:3">
      <c r="A104">
        <f t="shared" si="6"/>
        <v>102</v>
      </c>
      <c r="B104" s="90">
        <v>-35.328794903941699</v>
      </c>
      <c r="C104" s="90">
        <v>65.459400265788616</v>
      </c>
    </row>
    <row r="105" spans="1:3">
      <c r="A105">
        <f t="shared" si="6"/>
        <v>103</v>
      </c>
      <c r="B105" s="90">
        <v>164.42365512700187</v>
      </c>
      <c r="C105" s="90">
        <v>66.420218274149903</v>
      </c>
    </row>
    <row r="106" spans="1:3">
      <c r="A106">
        <f t="shared" si="6"/>
        <v>104</v>
      </c>
      <c r="B106" s="90">
        <v>-77.459188085352537</v>
      </c>
      <c r="C106" s="90">
        <v>65.036762443770073</v>
      </c>
    </row>
    <row r="107" spans="1:3">
      <c r="A107">
        <f t="shared" si="6"/>
        <v>105</v>
      </c>
      <c r="B107" s="90">
        <v>4.5964376015948014</v>
      </c>
      <c r="C107" s="90">
        <v>64.461140302416027</v>
      </c>
    </row>
    <row r="108" spans="1:3">
      <c r="A108">
        <f t="shared" si="6"/>
        <v>106</v>
      </c>
      <c r="B108" s="90">
        <v>-155.87810723893503</v>
      </c>
      <c r="C108" s="90">
        <v>62.382468155799508</v>
      </c>
    </row>
    <row r="109" spans="1:3">
      <c r="A109">
        <f t="shared" si="6"/>
        <v>107</v>
      </c>
      <c r="B109" s="90">
        <v>-37.186370917255559</v>
      </c>
      <c r="C109" s="90">
        <v>61.451918257920489</v>
      </c>
    </row>
    <row r="110" spans="1:3">
      <c r="A110">
        <f t="shared" si="6"/>
        <v>108</v>
      </c>
      <c r="B110" s="90">
        <v>43.340405058482631</v>
      </c>
      <c r="C110" s="90">
        <v>61.284219061629393</v>
      </c>
    </row>
    <row r="111" spans="1:3">
      <c r="A111">
        <f t="shared" si="6"/>
        <v>109</v>
      </c>
      <c r="B111" s="90">
        <v>-35.328794903941699</v>
      </c>
      <c r="C111" s="90">
        <v>60.397861135339753</v>
      </c>
    </row>
    <row r="112" spans="1:3">
      <c r="A112">
        <f t="shared" si="6"/>
        <v>110</v>
      </c>
      <c r="B112" s="90">
        <v>163.15373548506653</v>
      </c>
      <c r="C112" s="90">
        <v>61.332005447609994</v>
      </c>
    </row>
    <row r="113" spans="1:3">
      <c r="A113">
        <f t="shared" si="6"/>
        <v>111</v>
      </c>
      <c r="B113" s="90">
        <v>317.24882570998074</v>
      </c>
      <c r="C113" s="90">
        <v>63.637562386910631</v>
      </c>
    </row>
    <row r="114" spans="1:3">
      <c r="A114">
        <f t="shared" si="6"/>
        <v>112</v>
      </c>
      <c r="B114" s="90">
        <v>-159.94990531786397</v>
      </c>
      <c r="C114" s="90">
        <v>61.641245710975134</v>
      </c>
    </row>
    <row r="115" spans="1:3">
      <c r="A115">
        <f t="shared" si="6"/>
        <v>113</v>
      </c>
      <c r="B115" s="90">
        <v>3.9452816410216331</v>
      </c>
      <c r="C115" s="90">
        <v>61.130661958143683</v>
      </c>
    </row>
    <row r="116" spans="1:3">
      <c r="A116">
        <f t="shared" ref="A116:A131" si="7">A115+1</f>
        <v>114</v>
      </c>
      <c r="B116" s="90">
        <v>123.75254974897597</v>
      </c>
      <c r="C116" s="90">
        <v>61.67997676332643</v>
      </c>
    </row>
    <row r="117" spans="1:3">
      <c r="A117">
        <f t="shared" si="7"/>
        <v>115</v>
      </c>
      <c r="B117" s="90">
        <v>1.3131399793541083</v>
      </c>
      <c r="C117" s="90">
        <v>61.155047747813619</v>
      </c>
    </row>
    <row r="118" spans="1:3">
      <c r="A118">
        <f t="shared" si="7"/>
        <v>116</v>
      </c>
      <c r="B118" s="90">
        <v>-159.15408400739253</v>
      </c>
      <c r="C118" s="90">
        <v>59.2558310947515</v>
      </c>
    </row>
    <row r="119" spans="1:3">
      <c r="A119">
        <f t="shared" si="7"/>
        <v>117</v>
      </c>
      <c r="B119" s="90">
        <v>281.43492148666678</v>
      </c>
      <c r="C119" s="90">
        <v>61.154797679297786</v>
      </c>
    </row>
    <row r="120" spans="1:3">
      <c r="A120">
        <f t="shared" si="7"/>
        <v>118</v>
      </c>
      <c r="B120" s="90">
        <v>543.27260598815303</v>
      </c>
      <c r="C120" s="90">
        <v>65.240541817508429</v>
      </c>
    </row>
    <row r="121" spans="1:3">
      <c r="A121">
        <f t="shared" si="7"/>
        <v>119</v>
      </c>
      <c r="B121" s="90">
        <v>202.81902484939118</v>
      </c>
      <c r="C121" s="90">
        <v>66.396663523658702</v>
      </c>
    </row>
    <row r="122" spans="1:3">
      <c r="A122">
        <f t="shared" si="7"/>
        <v>120</v>
      </c>
      <c r="B122" s="90">
        <v>282.1129981624066</v>
      </c>
      <c r="C122" s="90">
        <v>68.194299645648272</v>
      </c>
    </row>
    <row r="123" spans="1:3">
      <c r="A123">
        <f t="shared" si="7"/>
        <v>121</v>
      </c>
      <c r="B123" s="90">
        <v>-75.018344480778723</v>
      </c>
      <c r="C123" s="90">
        <v>67.01072407435548</v>
      </c>
    </row>
    <row r="124" spans="1:3">
      <c r="A124">
        <f t="shared" si="7"/>
        <v>122</v>
      </c>
      <c r="B124" s="90">
        <v>-76.002014443589019</v>
      </c>
      <c r="C124" s="90">
        <v>65.83848851273298</v>
      </c>
    </row>
    <row r="125" spans="1:3">
      <c r="A125">
        <f t="shared" si="7"/>
        <v>123</v>
      </c>
      <c r="B125" s="90">
        <v>-33.809350130141304</v>
      </c>
      <c r="C125" s="90">
        <v>65.028343483116117</v>
      </c>
    </row>
    <row r="126" spans="1:3">
      <c r="A126">
        <f t="shared" si="7"/>
        <v>124</v>
      </c>
      <c r="B126" s="90">
        <v>161.26383978561006</v>
      </c>
      <c r="C126" s="90">
        <v>65.804436195233009</v>
      </c>
    </row>
    <row r="127" spans="1:3">
      <c r="A127">
        <f t="shared" si="7"/>
        <v>125</v>
      </c>
      <c r="B127" s="90">
        <v>360.70745336963665</v>
      </c>
      <c r="C127" s="90">
        <v>68.16366033262824</v>
      </c>
    </row>
    <row r="128" spans="1:3">
      <c r="A128">
        <f t="shared" si="7"/>
        <v>126</v>
      </c>
      <c r="B128" s="90">
        <v>-282.795765125652</v>
      </c>
      <c r="C128" s="90">
        <v>65.378268067086339</v>
      </c>
    </row>
    <row r="129" spans="1:3">
      <c r="A129">
        <f t="shared" si="7"/>
        <v>127</v>
      </c>
      <c r="B129" s="90">
        <v>278.84248638362772</v>
      </c>
      <c r="C129" s="90">
        <v>67.059088683752023</v>
      </c>
    </row>
    <row r="130" spans="1:3">
      <c r="A130">
        <f t="shared" si="7"/>
        <v>128</v>
      </c>
      <c r="B130" s="90">
        <v>200.71408523686031</v>
      </c>
      <c r="C130" s="90">
        <v>68.103268344323183</v>
      </c>
    </row>
    <row r="131" spans="1:3">
      <c r="A131">
        <f t="shared" si="7"/>
        <v>129</v>
      </c>
      <c r="B131" s="90">
        <v>161.96857430297666</v>
      </c>
      <c r="C131" s="90">
        <v>68.830906375010414</v>
      </c>
    </row>
    <row r="132" spans="1:3">
      <c r="A132">
        <f t="shared" ref="A132:A147" si="8">A131+1</f>
        <v>130</v>
      </c>
      <c r="B132" s="90">
        <v>316.78212548187042</v>
      </c>
      <c r="C132" s="90">
        <v>70.738223445063184</v>
      </c>
    </row>
    <row r="133" spans="1:3">
      <c r="A133">
        <f t="shared" si="8"/>
        <v>131</v>
      </c>
      <c r="B133" s="90">
        <v>620.62482816281579</v>
      </c>
      <c r="C133" s="90">
        <v>74.935831114664353</v>
      </c>
    </row>
    <row r="134" spans="1:3">
      <c r="A134">
        <f t="shared" si="8"/>
        <v>132</v>
      </c>
      <c r="B134" s="90">
        <v>121.00082951532202</v>
      </c>
      <c r="C134" s="90">
        <v>75.284808375275389</v>
      </c>
    </row>
    <row r="135" spans="1:3">
      <c r="A135">
        <f t="shared" si="8"/>
        <v>133</v>
      </c>
      <c r="B135" s="90">
        <v>44.446808116515811</v>
      </c>
      <c r="C135" s="90">
        <v>75.052943711675695</v>
      </c>
    </row>
    <row r="136" spans="1:3">
      <c r="A136">
        <f t="shared" si="8"/>
        <v>134</v>
      </c>
      <c r="B136" s="90">
        <v>-118.34595579763952</v>
      </c>
      <c r="C136" s="90">
        <v>73.609668342203193</v>
      </c>
    </row>
    <row r="137" spans="1:3">
      <c r="A137">
        <f t="shared" si="8"/>
        <v>135</v>
      </c>
      <c r="B137" s="90">
        <v>278.42618785613871</v>
      </c>
      <c r="C137" s="90">
        <v>75.126827746010122</v>
      </c>
    </row>
    <row r="138" spans="1:3">
      <c r="A138">
        <f t="shared" si="8"/>
        <v>136</v>
      </c>
      <c r="B138" s="90">
        <v>280.97111284070269</v>
      </c>
      <c r="C138" s="90">
        <v>76.640388665824048</v>
      </c>
    </row>
    <row r="139" spans="1:3">
      <c r="A139">
        <f t="shared" si="8"/>
        <v>137</v>
      </c>
      <c r="B139" s="90">
        <v>-116.69659222416222</v>
      </c>
      <c r="C139" s="90">
        <v>75.22916982721101</v>
      </c>
    </row>
    <row r="140" spans="1:3">
      <c r="A140">
        <f t="shared" si="8"/>
        <v>138</v>
      </c>
      <c r="B140" s="90">
        <v>122.24759455103256</v>
      </c>
      <c r="C140" s="90">
        <v>75.569883049847405</v>
      </c>
    </row>
    <row r="141" spans="1:3">
      <c r="A141">
        <f t="shared" si="8"/>
        <v>139</v>
      </c>
      <c r="B141" s="90">
        <v>84.032766277837169</v>
      </c>
      <c r="C141" s="90">
        <v>75.630767101847326</v>
      </c>
    </row>
    <row r="142" spans="1:3">
      <c r="A142">
        <f t="shared" si="8"/>
        <v>140</v>
      </c>
      <c r="B142" s="90">
        <v>43.035641752522125</v>
      </c>
      <c r="C142" s="90">
        <v>75.39794477792357</v>
      </c>
    </row>
    <row r="143" spans="1:3">
      <c r="A143">
        <f t="shared" si="8"/>
        <v>141</v>
      </c>
      <c r="B143" s="90">
        <v>84.451144486112199</v>
      </c>
      <c r="C143" s="90">
        <v>75.462151868052572</v>
      </c>
    </row>
    <row r="144" spans="1:3">
      <c r="A144">
        <f t="shared" si="8"/>
        <v>142</v>
      </c>
      <c r="B144" s="90">
        <v>-115.04504193634682</v>
      </c>
      <c r="C144" s="90">
        <v>74.120551911683563</v>
      </c>
    </row>
    <row r="145" spans="1:3">
      <c r="A145">
        <f t="shared" si="8"/>
        <v>143</v>
      </c>
      <c r="B145" s="90">
        <v>204.78010512838082</v>
      </c>
      <c r="C145" s="90">
        <v>75.034255081031091</v>
      </c>
    </row>
    <row r="146" spans="1:3">
      <c r="A146">
        <f t="shared" si="8"/>
        <v>144</v>
      </c>
      <c r="B146" s="90">
        <v>83.8777401691747</v>
      </c>
      <c r="C146" s="90">
        <v>75.095668171920977</v>
      </c>
    </row>
    <row r="147" spans="1:3">
      <c r="A147">
        <f t="shared" si="8"/>
        <v>145</v>
      </c>
      <c r="B147" s="90">
        <v>-35.378537569773847</v>
      </c>
      <c r="C147" s="90">
        <v>74.333777097840326</v>
      </c>
    </row>
    <row r="148" spans="1:3">
      <c r="A148">
        <f t="shared" ref="A148:A163" si="9">A147+1</f>
        <v>146</v>
      </c>
      <c r="B148" s="90">
        <v>281.72254050981348</v>
      </c>
      <c r="C148" s="90">
        <v>75.754248080114124</v>
      </c>
    </row>
    <row r="149" spans="1:3">
      <c r="A149">
        <f t="shared" si="9"/>
        <v>147</v>
      </c>
      <c r="B149" s="90">
        <v>357.45177028267409</v>
      </c>
      <c r="C149" s="90">
        <v>77.670557754961479</v>
      </c>
    </row>
    <row r="150" spans="1:3">
      <c r="A150">
        <f t="shared" si="9"/>
        <v>148</v>
      </c>
      <c r="B150" s="90">
        <v>-282.01546701220661</v>
      </c>
      <c r="C150" s="90">
        <v>75.240246776804938</v>
      </c>
    </row>
    <row r="151" spans="1:3">
      <c r="A151">
        <f t="shared" si="9"/>
        <v>149</v>
      </c>
      <c r="B151" s="90">
        <v>-36.165134589865445</v>
      </c>
      <c r="C151" s="90">
        <v>74.492559653538677</v>
      </c>
    </row>
    <row r="152" spans="1:3">
      <c r="A152">
        <f t="shared" si="9"/>
        <v>150</v>
      </c>
      <c r="B152" s="90">
        <v>44.446808116515811</v>
      </c>
      <c r="C152" s="90">
        <v>74.292254643291869</v>
      </c>
    </row>
    <row r="153" spans="1:3">
      <c r="A153">
        <f t="shared" si="9"/>
        <v>151</v>
      </c>
      <c r="B153" s="90">
        <v>-199.64637809206252</v>
      </c>
      <c r="C153" s="90">
        <v>72.478091512594162</v>
      </c>
    </row>
    <row r="154" spans="1:3">
      <c r="A154">
        <f t="shared" si="9"/>
        <v>152</v>
      </c>
      <c r="B154" s="90">
        <v>-117.83461067051198</v>
      </c>
      <c r="C154" s="90">
        <v>71.226034261389515</v>
      </c>
    </row>
    <row r="155" spans="1:3">
      <c r="A155">
        <f t="shared" si="9"/>
        <v>153</v>
      </c>
      <c r="B155" s="90">
        <v>-77.311844074275143</v>
      </c>
      <c r="C155" s="90">
        <v>70.255198455274055</v>
      </c>
    </row>
    <row r="156" spans="1:3">
      <c r="A156">
        <f t="shared" si="9"/>
        <v>154</v>
      </c>
      <c r="B156" s="90">
        <v>282.1129981624066</v>
      </c>
      <c r="C156" s="90">
        <v>71.630898453372325</v>
      </c>
    </row>
    <row r="157" spans="1:3">
      <c r="A157">
        <f t="shared" si="9"/>
        <v>155</v>
      </c>
      <c r="B157" s="90">
        <v>-77.144640090756496</v>
      </c>
      <c r="C157" s="90">
        <v>70.671056269216649</v>
      </c>
    </row>
    <row r="158" spans="1:3">
      <c r="A158">
        <f t="shared" si="9"/>
        <v>156</v>
      </c>
      <c r="B158" s="90">
        <v>44.685023021698527</v>
      </c>
      <c r="C158" s="90">
        <v>70.504479133014613</v>
      </c>
    </row>
    <row r="159" spans="1:3">
      <c r="A159">
        <f t="shared" si="9"/>
        <v>157</v>
      </c>
      <c r="B159" s="90">
        <v>-77.261885549370362</v>
      </c>
      <c r="C159" s="90">
        <v>69.563292096821073</v>
      </c>
    </row>
    <row r="160" spans="1:3">
      <c r="A160">
        <f t="shared" si="9"/>
        <v>158</v>
      </c>
      <c r="B160" s="90">
        <v>3.9099778395505895</v>
      </c>
      <c r="C160" s="90">
        <v>69.147764791395304</v>
      </c>
    </row>
    <row r="161" spans="1:3">
      <c r="A161">
        <f t="shared" si="9"/>
        <v>159</v>
      </c>
      <c r="B161" s="90">
        <v>2.1023215741421359</v>
      </c>
      <c r="C161" s="90">
        <v>68.726095337198757</v>
      </c>
    </row>
    <row r="162" spans="1:3">
      <c r="A162">
        <f t="shared" si="9"/>
        <v>160</v>
      </c>
      <c r="B162" s="90">
        <v>122.24759455103256</v>
      </c>
      <c r="C162" s="90">
        <v>69.060604707285208</v>
      </c>
    </row>
    <row r="163" spans="1:3">
      <c r="A163">
        <f t="shared" si="9"/>
        <v>161</v>
      </c>
      <c r="B163" s="90">
        <v>164.78002842901722</v>
      </c>
      <c r="C163" s="90">
        <v>69.655135289407767</v>
      </c>
    </row>
    <row r="164" spans="1:3">
      <c r="A164">
        <f t="shared" ref="A164:A179" si="10">A163+1</f>
        <v>162</v>
      </c>
      <c r="B164" s="90">
        <v>-118.54424926498532</v>
      </c>
      <c r="C164" s="90">
        <v>68.493410693393002</v>
      </c>
    </row>
    <row r="165" spans="1:3">
      <c r="A165">
        <f t="shared" si="10"/>
        <v>163</v>
      </c>
      <c r="B165" s="90">
        <v>243.26462101125992</v>
      </c>
      <c r="C165" s="90">
        <v>69.565626707613035</v>
      </c>
    </row>
    <row r="166" spans="1:3">
      <c r="A166">
        <f t="shared" si="10"/>
        <v>164</v>
      </c>
      <c r="B166" s="90">
        <v>282.81212091890029</v>
      </c>
      <c r="C166" s="90">
        <v>70.865910208901369</v>
      </c>
    </row>
    <row r="167" spans="1:3">
      <c r="A167">
        <f t="shared" si="10"/>
        <v>165</v>
      </c>
      <c r="B167" s="90">
        <v>242.01918649322417</v>
      </c>
      <c r="C167" s="90">
        <v>71.903202792442713</v>
      </c>
    </row>
    <row r="168" spans="1:3">
      <c r="A168">
        <f t="shared" si="10"/>
        <v>166</v>
      </c>
      <c r="B168" s="90">
        <v>201.61160406201404</v>
      </c>
      <c r="C168" s="90">
        <v>72.684578703705199</v>
      </c>
    </row>
    <row r="169" spans="1:3">
      <c r="A169">
        <f t="shared" si="10"/>
        <v>167</v>
      </c>
      <c r="B169" s="90">
        <v>279.33989503162439</v>
      </c>
      <c r="C169" s="90">
        <v>73.922035687704707</v>
      </c>
    </row>
    <row r="170" spans="1:3">
      <c r="A170">
        <f t="shared" si="10"/>
        <v>168</v>
      </c>
      <c r="B170" s="90">
        <v>-77.093802306683841</v>
      </c>
      <c r="C170" s="90">
        <v>73.02313189011906</v>
      </c>
    </row>
    <row r="171" spans="1:3">
      <c r="A171">
        <f t="shared" si="10"/>
        <v>169</v>
      </c>
      <c r="B171" s="90">
        <v>-199.64637809206252</v>
      </c>
      <c r="C171" s="90">
        <v>71.409702836970055</v>
      </c>
    </row>
    <row r="172" spans="1:3">
      <c r="A172">
        <f t="shared" si="10"/>
        <v>170</v>
      </c>
      <c r="B172" s="90">
        <v>-115.32270746943355</v>
      </c>
      <c r="C172" s="90">
        <v>70.31127689399122</v>
      </c>
    </row>
    <row r="173" spans="1:3">
      <c r="A173">
        <f t="shared" si="10"/>
        <v>171</v>
      </c>
      <c r="B173" s="90">
        <v>5.4805008145999858</v>
      </c>
      <c r="C173" s="90">
        <v>69.932149548497705</v>
      </c>
    </row>
    <row r="174" spans="1:3">
      <c r="A174">
        <f t="shared" si="10"/>
        <v>172</v>
      </c>
      <c r="B174" s="90">
        <v>-38.005123557353912</v>
      </c>
      <c r="C174" s="90">
        <v>69.304607262998559</v>
      </c>
    </row>
    <row r="175" spans="1:3">
      <c r="A175">
        <f t="shared" si="10"/>
        <v>173</v>
      </c>
      <c r="B175" s="90">
        <v>243.95096495147055</v>
      </c>
      <c r="C175" s="90">
        <v>70.314123781429046</v>
      </c>
    </row>
    <row r="176" spans="1:3">
      <c r="A176">
        <f t="shared" si="10"/>
        <v>174</v>
      </c>
      <c r="B176" s="90">
        <v>84.214899647715029</v>
      </c>
      <c r="C176" s="90">
        <v>70.394013297901949</v>
      </c>
    </row>
    <row r="177" spans="1:3">
      <c r="A177">
        <f t="shared" si="10"/>
        <v>175</v>
      </c>
      <c r="B177" s="90">
        <v>-38.941203203605511</v>
      </c>
      <c r="C177" s="90">
        <v>69.769240632179049</v>
      </c>
    </row>
    <row r="178" spans="1:3">
      <c r="A178">
        <f t="shared" si="10"/>
        <v>176</v>
      </c>
      <c r="B178" s="90">
        <v>320.00224571371018</v>
      </c>
      <c r="C178" s="90">
        <v>71.191019070142289</v>
      </c>
    </row>
    <row r="179" spans="1:3">
      <c r="A179">
        <f t="shared" si="10"/>
        <v>177</v>
      </c>
      <c r="B179" s="90">
        <v>-37.186370917255559</v>
      </c>
      <c r="C179" s="90">
        <v>70.578717431795411</v>
      </c>
    </row>
    <row r="180" spans="1:3">
      <c r="A180">
        <f t="shared" ref="A180:A195" si="11">A179+1</f>
        <v>178</v>
      </c>
      <c r="B180" s="90">
        <v>395.04824667484394</v>
      </c>
      <c r="C180" s="90">
        <v>72.401579955632755</v>
      </c>
    </row>
    <row r="181" spans="1:3">
      <c r="A181">
        <f t="shared" si="11"/>
        <v>179</v>
      </c>
      <c r="B181" s="90">
        <v>-199.52887851459207</v>
      </c>
      <c r="C181" s="90">
        <v>70.882415383173409</v>
      </c>
    </row>
    <row r="182" spans="1:3">
      <c r="A182">
        <f t="shared" si="11"/>
        <v>180</v>
      </c>
      <c r="B182" s="90">
        <v>468.5299468597056</v>
      </c>
      <c r="C182" s="90">
        <v>73.09156833582081</v>
      </c>
    </row>
    <row r="183" spans="1:3">
      <c r="A183">
        <f t="shared" si="11"/>
        <v>181</v>
      </c>
      <c r="B183" s="90">
        <v>-283.88160770475946</v>
      </c>
      <c r="C183" s="90">
        <v>71.119340843883904</v>
      </c>
    </row>
    <row r="184" spans="1:3">
      <c r="A184">
        <f t="shared" si="11"/>
        <v>182</v>
      </c>
      <c r="B184" s="90">
        <v>124.28957586484857</v>
      </c>
      <c r="C184" s="90">
        <v>71.411484992350736</v>
      </c>
    </row>
    <row r="185" spans="1:3">
      <c r="A185">
        <f t="shared" si="11"/>
        <v>183</v>
      </c>
      <c r="B185" s="90">
        <v>122.44481686103526</v>
      </c>
      <c r="C185" s="90">
        <v>71.690355658299836</v>
      </c>
    </row>
    <row r="186" spans="1:3">
      <c r="A186">
        <f t="shared" si="11"/>
        <v>184</v>
      </c>
      <c r="B186" s="90">
        <v>3.9452816410216336</v>
      </c>
      <c r="C186" s="90">
        <v>71.322175908205935</v>
      </c>
    </row>
    <row r="187" spans="1:3">
      <c r="A187">
        <f t="shared" si="11"/>
        <v>185</v>
      </c>
      <c r="B187" s="90">
        <v>-74.801074801816526</v>
      </c>
      <c r="C187" s="90">
        <v>70.532320498962562</v>
      </c>
    </row>
    <row r="188" spans="1:3">
      <c r="A188">
        <f t="shared" si="11"/>
        <v>186</v>
      </c>
      <c r="B188" s="90">
        <v>201.82474429830461</v>
      </c>
      <c r="C188" s="90">
        <v>71.238193745195588</v>
      </c>
    </row>
    <row r="189" spans="1:3">
      <c r="A189">
        <f t="shared" si="11"/>
        <v>187</v>
      </c>
      <c r="B189" s="90">
        <v>203.89349502285441</v>
      </c>
      <c r="C189" s="90">
        <v>71.947580383044027</v>
      </c>
    </row>
    <row r="190" spans="1:3">
      <c r="A190">
        <f t="shared" si="11"/>
        <v>188</v>
      </c>
      <c r="B190" s="90">
        <v>238.96643474616334</v>
      </c>
      <c r="C190" s="90">
        <v>72.835978544549988</v>
      </c>
    </row>
    <row r="191" spans="1:3">
      <c r="A191">
        <f t="shared" si="11"/>
        <v>189</v>
      </c>
      <c r="B191" s="90">
        <v>2.1114446313362452</v>
      </c>
      <c r="C191" s="90">
        <v>72.461774661411297</v>
      </c>
    </row>
    <row r="192" spans="1:3">
      <c r="A192">
        <f t="shared" si="11"/>
        <v>190</v>
      </c>
      <c r="B192" s="90">
        <v>45.297953336937546</v>
      </c>
      <c r="C192" s="90">
        <v>72.318807180756167</v>
      </c>
    </row>
    <row r="193" spans="1:3">
      <c r="A193">
        <f t="shared" si="11"/>
        <v>191</v>
      </c>
      <c r="B193" s="90">
        <v>163.51812122207286</v>
      </c>
      <c r="C193" s="90">
        <v>72.796290500344213</v>
      </c>
    </row>
    <row r="194" spans="1:3">
      <c r="A194">
        <f t="shared" si="11"/>
        <v>192</v>
      </c>
      <c r="B194" s="90">
        <v>201.78813287254604</v>
      </c>
      <c r="C194" s="90">
        <v>73.468123012699422</v>
      </c>
    </row>
    <row r="195" spans="1:3">
      <c r="A195">
        <f t="shared" si="11"/>
        <v>193</v>
      </c>
      <c r="B195" s="90">
        <v>244.11978646413939</v>
      </c>
      <c r="C195" s="90">
        <v>74.352328522810524</v>
      </c>
    </row>
    <row r="196" spans="1:3">
      <c r="A196">
        <f t="shared" ref="A196:A211" si="12">A195+1</f>
        <v>194</v>
      </c>
      <c r="B196" s="90">
        <v>320.39716230832772</v>
      </c>
      <c r="C196" s="90">
        <v>75.620600861911115</v>
      </c>
    </row>
    <row r="197" spans="1:3">
      <c r="A197">
        <f t="shared" si="12"/>
        <v>195</v>
      </c>
      <c r="B197" s="90">
        <v>-117.48316675887048</v>
      </c>
      <c r="C197" s="90">
        <v>74.630325130522493</v>
      </c>
    </row>
    <row r="198" spans="1:3">
      <c r="A198">
        <f t="shared" si="12"/>
        <v>196</v>
      </c>
      <c r="B198" s="90">
        <v>201.33857415276631</v>
      </c>
      <c r="C198" s="90">
        <v>75.276795788799248</v>
      </c>
    </row>
    <row r="199" spans="1:3">
      <c r="A199">
        <f t="shared" si="12"/>
        <v>197</v>
      </c>
      <c r="B199" s="90">
        <v>-322.00276191599085</v>
      </c>
      <c r="C199" s="90">
        <v>73.260148287759705</v>
      </c>
    </row>
    <row r="200" spans="1:3">
      <c r="A200">
        <f t="shared" si="12"/>
        <v>198</v>
      </c>
      <c r="B200" s="90">
        <v>7.7205833310921328</v>
      </c>
      <c r="C200" s="90">
        <v>72.929140383938162</v>
      </c>
    </row>
    <row r="201" spans="1:3">
      <c r="A201">
        <f t="shared" si="12"/>
        <v>199</v>
      </c>
      <c r="B201" s="90">
        <v>45.371547691597058</v>
      </c>
      <c r="C201" s="90">
        <v>72.790660018650016</v>
      </c>
    </row>
    <row r="202" spans="1:3">
      <c r="A202">
        <f t="shared" si="12"/>
        <v>200</v>
      </c>
      <c r="B202" s="90">
        <v>-37.899344262708063</v>
      </c>
      <c r="C202" s="90">
        <v>72.237209997243212</v>
      </c>
    </row>
    <row r="203" spans="1:3">
      <c r="A203">
        <f t="shared" si="12"/>
        <v>201</v>
      </c>
      <c r="B203" s="90">
        <v>-197.42212341578374</v>
      </c>
      <c r="C203" s="90">
        <v>70.895621273795328</v>
      </c>
    </row>
    <row r="204" spans="1:3">
      <c r="A204">
        <f t="shared" si="12"/>
        <v>202</v>
      </c>
      <c r="B204" s="90">
        <v>-157.75677793183701</v>
      </c>
      <c r="C204" s="90">
        <v>69.763678703470404</v>
      </c>
    </row>
    <row r="205" spans="1:3">
      <c r="A205">
        <f t="shared" si="12"/>
        <v>203</v>
      </c>
      <c r="B205" s="90">
        <v>163.62067706087868</v>
      </c>
      <c r="C205" s="90">
        <v>70.226028449073411</v>
      </c>
    </row>
    <row r="206" spans="1:3">
      <c r="A206">
        <f t="shared" si="12"/>
        <v>204</v>
      </c>
      <c r="B206" s="90">
        <v>202.30285540148589</v>
      </c>
      <c r="C206" s="90">
        <v>70.873463875310719</v>
      </c>
    </row>
    <row r="207" spans="1:3">
      <c r="A207">
        <f t="shared" si="12"/>
        <v>205</v>
      </c>
      <c r="B207" s="90">
        <v>319.6444157455806</v>
      </c>
      <c r="C207" s="90">
        <v>72.086980713702275</v>
      </c>
    </row>
    <row r="208" spans="1:3">
      <c r="A208">
        <f t="shared" si="12"/>
        <v>206</v>
      </c>
      <c r="B208" s="90">
        <v>242.3235976441027</v>
      </c>
      <c r="C208" s="90">
        <v>72.913372058024606</v>
      </c>
    </row>
    <row r="209" spans="1:3">
      <c r="A209">
        <f t="shared" si="12"/>
        <v>207</v>
      </c>
      <c r="B209" s="90">
        <v>-240.98046553924922</v>
      </c>
      <c r="C209" s="90">
        <v>71.396976707313144</v>
      </c>
    </row>
    <row r="210" spans="1:3">
      <c r="A210">
        <f t="shared" si="12"/>
        <v>208</v>
      </c>
      <c r="B210" s="90">
        <v>-75.130274066175872</v>
      </c>
      <c r="C210" s="90">
        <v>70.69251877090214</v>
      </c>
    </row>
    <row r="211" spans="1:3">
      <c r="A211">
        <f t="shared" si="12"/>
        <v>209</v>
      </c>
      <c r="B211" s="90">
        <v>283.42509044146686</v>
      </c>
      <c r="C211" s="90">
        <v>71.710377965498154</v>
      </c>
    </row>
    <row r="212" spans="1:3">
      <c r="A212">
        <f t="shared" ref="A212:A227" si="13">A211+1</f>
        <v>210</v>
      </c>
      <c r="B212" s="90">
        <v>165.68409345507996</v>
      </c>
      <c r="C212" s="90">
        <v>72.157871848781866</v>
      </c>
    </row>
    <row r="213" spans="1:3">
      <c r="A213">
        <f t="shared" si="13"/>
        <v>211</v>
      </c>
      <c r="B213" s="90">
        <v>-242.87907946965046</v>
      </c>
      <c r="C213" s="90">
        <v>70.664805728789304</v>
      </c>
    </row>
    <row r="214" spans="1:3">
      <c r="A214">
        <f t="shared" si="13"/>
        <v>212</v>
      </c>
      <c r="B214" s="90">
        <v>163.86652199175478</v>
      </c>
      <c r="C214" s="90">
        <v>71.104436465878763</v>
      </c>
    </row>
    <row r="215" spans="1:3">
      <c r="A215">
        <f t="shared" si="13"/>
        <v>213</v>
      </c>
      <c r="B215" s="90">
        <v>84.424315205612075</v>
      </c>
      <c r="C215" s="90">
        <v>71.166971107849335</v>
      </c>
    </row>
    <row r="216" spans="1:3">
      <c r="A216">
        <f t="shared" si="13"/>
        <v>214</v>
      </c>
      <c r="B216" s="90">
        <v>45.273421672184661</v>
      </c>
      <c r="C216" s="90">
        <v>71.045973213290154</v>
      </c>
    </row>
    <row r="217" spans="1:3">
      <c r="A217">
        <f t="shared" si="13"/>
        <v>215</v>
      </c>
      <c r="B217" s="90">
        <v>472.76512054782023</v>
      </c>
      <c r="C217" s="90">
        <v>72.914434363683313</v>
      </c>
    </row>
    <row r="218" spans="1:3">
      <c r="A218">
        <f t="shared" si="13"/>
        <v>216</v>
      </c>
      <c r="B218" s="90">
        <v>434.06668986482134</v>
      </c>
      <c r="C218" s="90">
        <v>74.586435546558945</v>
      </c>
    </row>
    <row r="219" spans="1:3">
      <c r="A219">
        <f t="shared" si="13"/>
        <v>217</v>
      </c>
      <c r="B219" s="90">
        <v>84.607297222141071</v>
      </c>
      <c r="C219" s="90">
        <v>74.632614632621539</v>
      </c>
    </row>
    <row r="220" spans="1:3">
      <c r="A220">
        <f t="shared" si="13"/>
        <v>218</v>
      </c>
      <c r="B220" s="90">
        <v>398.14719885576898</v>
      </c>
      <c r="C220" s="90">
        <v>76.116626486856163</v>
      </c>
    </row>
    <row r="221" spans="1:3">
      <c r="A221">
        <f t="shared" si="13"/>
        <v>219</v>
      </c>
      <c r="B221" s="90">
        <v>-366.66496363020264</v>
      </c>
      <c r="C221" s="90">
        <v>74.094792742029398</v>
      </c>
    </row>
    <row r="222" spans="1:3">
      <c r="A222">
        <f t="shared" si="13"/>
        <v>220</v>
      </c>
      <c r="B222" s="90">
        <v>544.28925524378838</v>
      </c>
      <c r="C222" s="90">
        <v>76.23204029885558</v>
      </c>
    </row>
    <row r="223" spans="1:3">
      <c r="A223">
        <f t="shared" si="13"/>
        <v>221</v>
      </c>
      <c r="B223" s="90">
        <v>-35.298290889816613</v>
      </c>
      <c r="C223" s="90">
        <v>75.727378166780142</v>
      </c>
    </row>
    <row r="224" spans="1:3">
      <c r="A224">
        <f t="shared" si="13"/>
        <v>222</v>
      </c>
      <c r="B224" s="90">
        <v>203.45253018765266</v>
      </c>
      <c r="C224" s="90">
        <v>76.302716689396689</v>
      </c>
    </row>
    <row r="225" spans="1:3">
      <c r="A225">
        <f t="shared" si="13"/>
        <v>223</v>
      </c>
      <c r="B225" s="90">
        <v>-282.08517535501181</v>
      </c>
      <c r="C225" s="90">
        <v>74.695596097269288</v>
      </c>
    </row>
    <row r="226" spans="1:3">
      <c r="A226">
        <f t="shared" si="13"/>
        <v>224</v>
      </c>
      <c r="B226" s="90">
        <v>201.98365456177504</v>
      </c>
      <c r="C226" s="90">
        <v>75.26384635827155</v>
      </c>
    </row>
    <row r="227" spans="1:3">
      <c r="A227">
        <f t="shared" si="13"/>
        <v>225</v>
      </c>
      <c r="B227" s="90">
        <v>281.65961248355001</v>
      </c>
      <c r="C227" s="90">
        <v>76.181160874383906</v>
      </c>
    </row>
    <row r="228" spans="1:3">
      <c r="A228">
        <f t="shared" ref="A228:A243" si="14">A227+1</f>
        <v>226</v>
      </c>
      <c r="B228" s="90">
        <v>241.32716902327201</v>
      </c>
      <c r="C228" s="90">
        <v>76.911895423715265</v>
      </c>
    </row>
    <row r="229" spans="1:3">
      <c r="A229">
        <f t="shared" si="14"/>
        <v>227</v>
      </c>
      <c r="B229" s="90">
        <v>43.573202162594399</v>
      </c>
      <c r="C229" s="90">
        <v>76.765028933578165</v>
      </c>
    </row>
    <row r="230" spans="1:3">
      <c r="A230">
        <f t="shared" si="14"/>
        <v>228</v>
      </c>
      <c r="B230" s="90">
        <v>202.4616013570473</v>
      </c>
      <c r="C230" s="90">
        <v>77.316329689821458</v>
      </c>
    </row>
    <row r="231" spans="1:3">
      <c r="A231">
        <f t="shared" si="14"/>
        <v>229</v>
      </c>
      <c r="B231" s="90">
        <v>123.47686773812632</v>
      </c>
      <c r="C231" s="90">
        <v>77.517904091779116</v>
      </c>
    </row>
    <row r="232" spans="1:3">
      <c r="A232">
        <f t="shared" si="14"/>
        <v>230</v>
      </c>
      <c r="B232" s="90">
        <v>278.49346838644942</v>
      </c>
      <c r="C232" s="90">
        <v>78.391710893060292</v>
      </c>
    </row>
    <row r="233" spans="1:3">
      <c r="A233">
        <f t="shared" si="14"/>
        <v>231</v>
      </c>
      <c r="B233" s="90">
        <v>-243.61535642715802</v>
      </c>
      <c r="C233" s="90">
        <v>76.997740904661072</v>
      </c>
    </row>
    <row r="234" spans="1:3">
      <c r="A234">
        <f t="shared" si="14"/>
        <v>232</v>
      </c>
      <c r="B234" s="90">
        <v>3.8214485178667723</v>
      </c>
      <c r="C234" s="90">
        <v>76.682325851269709</v>
      </c>
    </row>
    <row r="235" spans="1:3">
      <c r="A235">
        <f t="shared" si="14"/>
        <v>233</v>
      </c>
      <c r="B235" s="90">
        <v>44.85198866805338</v>
      </c>
      <c r="C235" s="90">
        <v>76.545714962071372</v>
      </c>
    </row>
    <row r="236" spans="1:3">
      <c r="A236">
        <f t="shared" si="14"/>
        <v>234</v>
      </c>
      <c r="B236" s="90">
        <v>-36.400798542141096</v>
      </c>
      <c r="C236" s="90">
        <v>76.063037553933711</v>
      </c>
    </row>
    <row r="237" spans="1:3">
      <c r="A237">
        <f t="shared" si="14"/>
        <v>235</v>
      </c>
      <c r="B237" s="90">
        <v>281.74921949558706</v>
      </c>
      <c r="C237" s="90">
        <v>76.938297902621599</v>
      </c>
    </row>
    <row r="238" spans="1:3">
      <c r="A238">
        <f t="shared" si="14"/>
        <v>236</v>
      </c>
      <c r="B238" s="90">
        <v>-158.28685332419835</v>
      </c>
      <c r="C238" s="90">
        <v>75.941581160135073</v>
      </c>
    </row>
    <row r="239" spans="1:3">
      <c r="A239">
        <f t="shared" si="14"/>
        <v>237</v>
      </c>
      <c r="B239" s="90">
        <v>395.82112343513916</v>
      </c>
      <c r="C239" s="90">
        <v>77.291283870156192</v>
      </c>
    </row>
    <row r="240" spans="1:3">
      <c r="A240">
        <f t="shared" si="14"/>
        <v>238</v>
      </c>
      <c r="B240" s="90">
        <v>-368.22540995836073</v>
      </c>
      <c r="C240" s="90">
        <v>75.419364988523753</v>
      </c>
    </row>
    <row r="241" spans="1:3">
      <c r="A241">
        <f t="shared" si="14"/>
        <v>239</v>
      </c>
      <c r="B241" s="90">
        <v>122.44481686103526</v>
      </c>
      <c r="C241" s="90">
        <v>75.616124201379449</v>
      </c>
    </row>
    <row r="242" spans="1:3">
      <c r="A242">
        <f t="shared" si="14"/>
        <v>240</v>
      </c>
      <c r="B242" s="90">
        <v>241.52184590912464</v>
      </c>
      <c r="C242" s="90">
        <v>76.307398041828392</v>
      </c>
    </row>
    <row r="243" spans="1:3">
      <c r="A243">
        <f t="shared" si="14"/>
        <v>241</v>
      </c>
      <c r="B243" s="90">
        <v>-284.87636361667217</v>
      </c>
      <c r="C243" s="90">
        <v>74.808710234116759</v>
      </c>
    </row>
    <row r="244" spans="1:3">
      <c r="A244">
        <f t="shared" ref="A244:A259" si="15">A243+1</f>
        <v>242</v>
      </c>
      <c r="B244" s="90">
        <v>281.3094498099797</v>
      </c>
      <c r="C244" s="90">
        <v>75.66201907533933</v>
      </c>
    </row>
    <row r="245" spans="1:3">
      <c r="A245">
        <f t="shared" si="15"/>
        <v>243</v>
      </c>
      <c r="B245" s="90">
        <v>361.48925393306291</v>
      </c>
      <c r="C245" s="90">
        <v>76.838262840185919</v>
      </c>
    </row>
    <row r="246" spans="1:3">
      <c r="A246">
        <f t="shared" si="15"/>
        <v>244</v>
      </c>
      <c r="B246" s="90">
        <v>394.58118025690845</v>
      </c>
      <c r="C246" s="90">
        <v>78.140487911565927</v>
      </c>
    </row>
    <row r="247" spans="1:3">
      <c r="A247">
        <f t="shared" si="15"/>
        <v>245</v>
      </c>
      <c r="B247" s="90">
        <v>164.92541264078173</v>
      </c>
      <c r="C247" s="90">
        <v>78.494712094134158</v>
      </c>
    </row>
    <row r="248" spans="1:3">
      <c r="A248">
        <f t="shared" si="15"/>
        <v>246</v>
      </c>
      <c r="B248" s="90">
        <v>83.8777401691747</v>
      </c>
      <c r="C248" s="90">
        <v>78.516594322081474</v>
      </c>
    </row>
    <row r="249" spans="1:3">
      <c r="A249">
        <f t="shared" si="15"/>
        <v>247</v>
      </c>
      <c r="B249" s="90">
        <v>161.94180304673694</v>
      </c>
      <c r="C249" s="90">
        <v>78.854348203557819</v>
      </c>
    </row>
    <row r="250" spans="1:3">
      <c r="A250">
        <f t="shared" si="15"/>
        <v>248</v>
      </c>
      <c r="B250" s="90">
        <v>162.9621230123968</v>
      </c>
      <c r="C250" s="90">
        <v>79.193492456819257</v>
      </c>
    </row>
    <row r="251" spans="1:3">
      <c r="A251">
        <f t="shared" si="15"/>
        <v>249</v>
      </c>
      <c r="B251" s="90">
        <v>201.14911474196163</v>
      </c>
      <c r="C251" s="90">
        <v>79.68327407242225</v>
      </c>
    </row>
    <row r="252" spans="1:3">
      <c r="A252">
        <f t="shared" si="15"/>
        <v>250</v>
      </c>
      <c r="B252" s="90">
        <v>280.5790405606844</v>
      </c>
      <c r="C252" s="90">
        <v>80.486857138375299</v>
      </c>
    </row>
    <row r="253" spans="1:3">
      <c r="A253">
        <f t="shared" si="15"/>
        <v>251</v>
      </c>
      <c r="B253" s="90">
        <v>356.34222960378895</v>
      </c>
      <c r="C253" s="90">
        <v>81.585882526683719</v>
      </c>
    </row>
    <row r="254" spans="1:3">
      <c r="A254">
        <f t="shared" si="15"/>
        <v>252</v>
      </c>
      <c r="B254" s="90">
        <v>204.77829401815529</v>
      </c>
      <c r="C254" s="90">
        <v>82.074741302443542</v>
      </c>
    </row>
    <row r="255" spans="1:3">
      <c r="A255">
        <f t="shared" si="15"/>
        <v>253</v>
      </c>
      <c r="B255" s="90">
        <v>-36.400798542141089</v>
      </c>
      <c r="C255" s="90">
        <v>81.60645853625941</v>
      </c>
    </row>
    <row r="256" spans="1:3">
      <c r="A256">
        <f t="shared" si="15"/>
        <v>254</v>
      </c>
      <c r="B256" s="90">
        <v>278.21265650091431</v>
      </c>
      <c r="C256" s="90">
        <v>82.38049868572655</v>
      </c>
    </row>
    <row r="257" spans="1:3">
      <c r="A257">
        <f t="shared" si="15"/>
        <v>255</v>
      </c>
      <c r="B257" s="90">
        <v>-77.362549198798035</v>
      </c>
      <c r="C257" s="90">
        <v>81.754055360689193</v>
      </c>
    </row>
    <row r="258" spans="1:3">
      <c r="A258">
        <f t="shared" si="15"/>
        <v>256</v>
      </c>
      <c r="B258" s="90">
        <v>44.551199668677704</v>
      </c>
      <c r="C258" s="90">
        <v>81.608731705642271</v>
      </c>
    </row>
    <row r="259" spans="1:3">
      <c r="A259">
        <f t="shared" si="15"/>
        <v>257</v>
      </c>
      <c r="B259" s="90">
        <v>280.08619204929784</v>
      </c>
      <c r="C259" s="90">
        <v>82.38101754355533</v>
      </c>
    </row>
    <row r="260" spans="1:3">
      <c r="A260">
        <f t="shared" ref="A260:A275" si="16">A259+1</f>
        <v>258</v>
      </c>
      <c r="B260" s="90">
        <v>164.96821133422688</v>
      </c>
      <c r="C260" s="90">
        <v>82.701122945844759</v>
      </c>
    </row>
    <row r="261" spans="1:3">
      <c r="A261">
        <f t="shared" si="16"/>
        <v>259</v>
      </c>
      <c r="B261" s="90">
        <v>277.1005021750608</v>
      </c>
      <c r="C261" s="90">
        <v>83.451699699625507</v>
      </c>
    </row>
    <row r="262" spans="1:3">
      <c r="A262">
        <f t="shared" si="16"/>
        <v>260</v>
      </c>
      <c r="B262" s="90">
        <v>3.7946772616270641</v>
      </c>
      <c r="C262" s="90">
        <v>83.145326536402436</v>
      </c>
    </row>
    <row r="263" spans="1:3">
      <c r="A263">
        <f t="shared" si="16"/>
        <v>261</v>
      </c>
      <c r="B263" s="90">
        <v>-201.26435326983935</v>
      </c>
      <c r="C263" s="90">
        <v>82.055634276608416</v>
      </c>
    </row>
    <row r="264" spans="1:3">
      <c r="A264">
        <f t="shared" si="16"/>
        <v>262</v>
      </c>
      <c r="B264" s="90">
        <v>-117.03081422282953</v>
      </c>
      <c r="C264" s="90">
        <v>81.295762335770874</v>
      </c>
    </row>
    <row r="265" spans="1:3">
      <c r="A265">
        <f t="shared" si="16"/>
        <v>263</v>
      </c>
      <c r="B265" s="90">
        <v>202.24410054668044</v>
      </c>
      <c r="C265" s="90">
        <v>81.755641948740106</v>
      </c>
    </row>
    <row r="266" spans="1:3">
      <c r="A266">
        <f t="shared" si="16"/>
        <v>264</v>
      </c>
      <c r="B266" s="90">
        <v>-39.49735982558132</v>
      </c>
      <c r="C266" s="90">
        <v>81.296350275352523</v>
      </c>
    </row>
    <row r="267" spans="1:3">
      <c r="A267">
        <f t="shared" si="16"/>
        <v>265</v>
      </c>
      <c r="B267" s="90">
        <v>508.67130771345245</v>
      </c>
      <c r="C267" s="90">
        <v>82.909085963798177</v>
      </c>
    </row>
    <row r="268" spans="1:3">
      <c r="A268">
        <f t="shared" si="16"/>
        <v>266</v>
      </c>
      <c r="B268" s="90">
        <v>-34.619845627350522</v>
      </c>
      <c r="C268" s="90">
        <v>82.467247875109635</v>
      </c>
    </row>
    <row r="269" spans="1:3">
      <c r="A269">
        <f t="shared" si="16"/>
        <v>267</v>
      </c>
      <c r="B269" s="90">
        <v>396.77890915959091</v>
      </c>
      <c r="C269" s="90">
        <v>83.644445108384858</v>
      </c>
    </row>
    <row r="270" spans="1:3">
      <c r="A270">
        <f t="shared" si="16"/>
        <v>268</v>
      </c>
      <c r="B270" s="90">
        <v>-118.59530766041328</v>
      </c>
      <c r="C270" s="90">
        <v>82.889819165217702</v>
      </c>
    </row>
    <row r="271" spans="1:3">
      <c r="A271">
        <f t="shared" si="16"/>
        <v>269</v>
      </c>
      <c r="B271" s="90">
        <v>204.39848002621838</v>
      </c>
      <c r="C271" s="90">
        <v>83.341524224180532</v>
      </c>
    </row>
    <row r="272" spans="1:3">
      <c r="A272">
        <f t="shared" si="16"/>
        <v>270</v>
      </c>
      <c r="B272" s="90">
        <v>164.42365512700187</v>
      </c>
      <c r="C272" s="90">
        <v>83.641828412709486</v>
      </c>
    </row>
    <row r="273" spans="1:3">
      <c r="A273">
        <f t="shared" si="16"/>
        <v>271</v>
      </c>
      <c r="B273" s="90">
        <v>360.70745336963665</v>
      </c>
      <c r="C273" s="90">
        <v>84.664210792624345</v>
      </c>
    </row>
    <row r="274" spans="1:3">
      <c r="A274">
        <f t="shared" si="16"/>
        <v>272</v>
      </c>
      <c r="B274" s="90">
        <v>-118.27815840017455</v>
      </c>
      <c r="C274" s="90">
        <v>83.918099141180235</v>
      </c>
    </row>
    <row r="275" spans="1:3">
      <c r="A275">
        <f t="shared" si="16"/>
        <v>273</v>
      </c>
      <c r="B275" s="90">
        <v>-325.62378013342737</v>
      </c>
      <c r="C275" s="90">
        <v>82.41794573724394</v>
      </c>
    </row>
    <row r="276" spans="1:3">
      <c r="A276">
        <f t="shared" ref="A276:A291" si="17">A275+1</f>
        <v>274</v>
      </c>
      <c r="B276" s="90">
        <v>43.598003385824363</v>
      </c>
      <c r="C276" s="90">
        <v>82.276267115523424</v>
      </c>
    </row>
    <row r="277" spans="1:3">
      <c r="A277">
        <f t="shared" si="17"/>
        <v>275</v>
      </c>
      <c r="B277" s="90">
        <v>203.3401866274977</v>
      </c>
      <c r="C277" s="90">
        <v>82.716499550112431</v>
      </c>
    </row>
    <row r="278" spans="1:3">
      <c r="A278">
        <f t="shared" si="17"/>
        <v>276</v>
      </c>
      <c r="B278" s="90">
        <v>282.1129981624066</v>
      </c>
      <c r="C278" s="90">
        <v>83.438950632041028</v>
      </c>
    </row>
    <row r="279" spans="1:3">
      <c r="A279">
        <f t="shared" si="17"/>
        <v>277</v>
      </c>
      <c r="B279" s="90">
        <v>356.8167502112309</v>
      </c>
      <c r="C279" s="90">
        <v>84.425874096225826</v>
      </c>
    </row>
    <row r="280" spans="1:3">
      <c r="A280">
        <f t="shared" si="17"/>
        <v>278</v>
      </c>
      <c r="B280" s="90">
        <v>45.235206375771355</v>
      </c>
      <c r="C280" s="90">
        <v>84.284900471332108</v>
      </c>
    </row>
    <row r="281" spans="1:3">
      <c r="A281">
        <f t="shared" si="17"/>
        <v>279</v>
      </c>
      <c r="B281" s="90">
        <v>-77.311844074275143</v>
      </c>
      <c r="C281" s="90">
        <v>83.705700670093364</v>
      </c>
    </row>
    <row r="282" spans="1:3">
      <c r="A282">
        <f t="shared" si="17"/>
        <v>280</v>
      </c>
      <c r="B282" s="90">
        <v>82.671445416556921</v>
      </c>
      <c r="C282" s="90">
        <v>83.702006901330734</v>
      </c>
    </row>
    <row r="283" spans="1:3">
      <c r="A283">
        <f t="shared" si="17"/>
        <v>281</v>
      </c>
      <c r="B283" s="90">
        <v>-36.146321764834845</v>
      </c>
      <c r="C283" s="90">
        <v>83.275500393621968</v>
      </c>
    </row>
    <row r="284" spans="1:3">
      <c r="A284">
        <f t="shared" si="17"/>
        <v>282</v>
      </c>
      <c r="B284" s="90">
        <v>-35.6090757962723</v>
      </c>
      <c r="C284" s="90">
        <v>82.853923882310269</v>
      </c>
    </row>
    <row r="285" spans="1:3">
      <c r="A285">
        <f t="shared" si="17"/>
        <v>283</v>
      </c>
      <c r="B285" s="90">
        <v>-35.328794903941699</v>
      </c>
      <c r="C285" s="90">
        <v>82.436317102146845</v>
      </c>
    </row>
    <row r="286" spans="1:3">
      <c r="A286">
        <f t="shared" si="17"/>
        <v>284</v>
      </c>
      <c r="B286" s="90">
        <v>319.11717177893621</v>
      </c>
      <c r="C286" s="90">
        <v>83.269700393262298</v>
      </c>
    </row>
    <row r="287" spans="1:3">
      <c r="A287">
        <f t="shared" si="17"/>
        <v>285</v>
      </c>
      <c r="B287" s="90">
        <v>-115.32270746943355</v>
      </c>
      <c r="C287" s="90">
        <v>82.572884927077411</v>
      </c>
    </row>
    <row r="288" spans="1:3">
      <c r="A288">
        <f t="shared" si="17"/>
        <v>286</v>
      </c>
      <c r="B288" s="90">
        <v>7.6872245007178481</v>
      </c>
      <c r="C288" s="90">
        <v>82.311046953558673</v>
      </c>
    </row>
    <row r="289" spans="1:3">
      <c r="A289">
        <f t="shared" si="17"/>
        <v>287</v>
      </c>
      <c r="B289" s="90">
        <v>581.51413212673629</v>
      </c>
      <c r="C289" s="90">
        <v>84.050430525590642</v>
      </c>
    </row>
    <row r="290" spans="1:3">
      <c r="A290">
        <f t="shared" si="17"/>
        <v>288</v>
      </c>
      <c r="B290" s="90">
        <v>-39.761438556903435</v>
      </c>
      <c r="C290" s="90">
        <v>83.620528202387547</v>
      </c>
    </row>
    <row r="291" spans="1:3">
      <c r="A291">
        <f t="shared" si="17"/>
        <v>289</v>
      </c>
      <c r="B291" s="90">
        <v>-242.87907946965046</v>
      </c>
      <c r="C291" s="90">
        <v>82.490771774456618</v>
      </c>
    </row>
    <row r="292" spans="1:3">
      <c r="A292">
        <f t="shared" ref="A292:A307" si="18">A291+1</f>
        <v>290</v>
      </c>
      <c r="B292" s="90">
        <v>-77.194598615661263</v>
      </c>
      <c r="C292" s="90">
        <v>81.940132566214828</v>
      </c>
    </row>
    <row r="293" spans="1:3">
      <c r="A293">
        <f t="shared" si="18"/>
        <v>291</v>
      </c>
      <c r="B293" s="90">
        <v>-79.36872206684896</v>
      </c>
      <c r="C293" s="90">
        <v>81.385806605276457</v>
      </c>
    </row>
    <row r="294" spans="1:3">
      <c r="A294">
        <f t="shared" si="18"/>
        <v>292</v>
      </c>
      <c r="B294" s="90">
        <v>434.83818200488668</v>
      </c>
      <c r="C294" s="90">
        <v>82.596259945686086</v>
      </c>
    </row>
    <row r="295" spans="1:3">
      <c r="A295">
        <f t="shared" si="18"/>
        <v>293</v>
      </c>
      <c r="B295" s="90">
        <v>511.55490355992606</v>
      </c>
      <c r="C295" s="90">
        <v>84.060282620137414</v>
      </c>
    </row>
    <row r="296" spans="1:3">
      <c r="A296">
        <f t="shared" si="18"/>
        <v>294</v>
      </c>
      <c r="B296" s="90">
        <v>83.790583287115737</v>
      </c>
      <c r="C296" s="90">
        <v>84.059365275467258</v>
      </c>
    </row>
    <row r="297" spans="1:3">
      <c r="A297">
        <f t="shared" si="18"/>
        <v>295</v>
      </c>
      <c r="B297" s="90">
        <v>122.97616804968551</v>
      </c>
      <c r="C297" s="90">
        <v>84.191286640803597</v>
      </c>
    </row>
    <row r="298" spans="1:3">
      <c r="A298">
        <f t="shared" si="18"/>
        <v>296</v>
      </c>
      <c r="B298" s="90">
        <v>-195.7157653024432</v>
      </c>
      <c r="C298" s="90">
        <v>83.245654708562896</v>
      </c>
    </row>
    <row r="299" spans="1:3">
      <c r="A299">
        <f t="shared" si="18"/>
        <v>297</v>
      </c>
      <c r="B299" s="90">
        <v>162.53920528516639</v>
      </c>
      <c r="C299" s="90">
        <v>83.512636360335975</v>
      </c>
    </row>
    <row r="300" spans="1:3">
      <c r="A300">
        <f t="shared" si="18"/>
        <v>298</v>
      </c>
      <c r="B300" s="90">
        <v>-33.72584160015078</v>
      </c>
      <c r="C300" s="90">
        <v>83.119218649059178</v>
      </c>
    </row>
    <row r="301" spans="1:3">
      <c r="A301">
        <f t="shared" si="18"/>
        <v>299</v>
      </c>
      <c r="B301" s="90">
        <v>430.52075192203768</v>
      </c>
      <c r="C301" s="90">
        <v>84.281096686761444</v>
      </c>
    </row>
    <row r="302" spans="1:3">
      <c r="A302">
        <f t="shared" si="18"/>
        <v>300</v>
      </c>
      <c r="B302" s="90">
        <v>82.380633664837205</v>
      </c>
      <c r="C302" s="90">
        <v>84.274761810021701</v>
      </c>
    </row>
    <row r="303" spans="1:3">
      <c r="A303">
        <f t="shared" si="18"/>
        <v>301</v>
      </c>
      <c r="B303" s="90">
        <v>3.9518781002584626</v>
      </c>
      <c r="C303" s="90">
        <v>84.00790837577</v>
      </c>
    </row>
    <row r="304" spans="1:3">
      <c r="A304">
        <f t="shared" si="18"/>
        <v>302</v>
      </c>
      <c r="B304" s="90">
        <v>-155.29797862345492</v>
      </c>
      <c r="C304" s="90">
        <v>83.215504776434813</v>
      </c>
    </row>
    <row r="305" spans="1:3">
      <c r="A305">
        <f t="shared" si="18"/>
        <v>303</v>
      </c>
      <c r="B305" s="90">
        <v>-198.60982389114901</v>
      </c>
      <c r="C305" s="90">
        <v>82.285388180172177</v>
      </c>
    </row>
    <row r="306" spans="1:3">
      <c r="A306">
        <f t="shared" si="18"/>
        <v>304</v>
      </c>
      <c r="B306" s="90">
        <v>43.037840752069037</v>
      </c>
      <c r="C306" s="90">
        <v>82.156284405737622</v>
      </c>
    </row>
    <row r="307" spans="1:3">
      <c r="A307">
        <f t="shared" si="18"/>
        <v>305</v>
      </c>
      <c r="B307" s="90">
        <v>-327.90711328353757</v>
      </c>
      <c r="C307" s="90">
        <v>80.811814249379339</v>
      </c>
    </row>
    <row r="308" spans="1:3">
      <c r="A308">
        <f t="shared" ref="A308:A323" si="19">A307+1</f>
        <v>306</v>
      </c>
      <c r="B308" s="90">
        <v>283.31347420951505</v>
      </c>
      <c r="C308" s="90">
        <v>81.473584379968017</v>
      </c>
    </row>
    <row r="309" spans="1:3">
      <c r="A309">
        <f t="shared" si="19"/>
        <v>307</v>
      </c>
      <c r="B309" s="90">
        <v>-114.10897125365616</v>
      </c>
      <c r="C309" s="90">
        <v>80.836507651519725</v>
      </c>
    </row>
    <row r="310" spans="1:3">
      <c r="A310">
        <f t="shared" si="19"/>
        <v>308</v>
      </c>
      <c r="B310" s="90">
        <v>164.498599968223</v>
      </c>
      <c r="C310" s="90">
        <v>81.108137821379145</v>
      </c>
    </row>
    <row r="311" spans="1:3">
      <c r="A311">
        <f t="shared" si="19"/>
        <v>309</v>
      </c>
      <c r="B311" s="90">
        <v>318.95311391127439</v>
      </c>
      <c r="C311" s="90">
        <v>81.877862663094021</v>
      </c>
    </row>
    <row r="312" spans="1:3">
      <c r="A312">
        <f t="shared" si="19"/>
        <v>310</v>
      </c>
      <c r="B312" s="90">
        <v>84.816381473524558</v>
      </c>
      <c r="C312" s="90">
        <v>81.887341756030892</v>
      </c>
    </row>
    <row r="313" spans="1:3">
      <c r="A313">
        <f t="shared" si="19"/>
        <v>311</v>
      </c>
      <c r="B313" s="90">
        <v>-158.0987013845388</v>
      </c>
      <c r="C313" s="90">
        <v>81.115682453328091</v>
      </c>
    </row>
    <row r="314" spans="1:3">
      <c r="A314">
        <f t="shared" si="19"/>
        <v>312</v>
      </c>
      <c r="B314" s="90">
        <v>-77.194598615661263</v>
      </c>
      <c r="C314" s="90">
        <v>80.608277706312094</v>
      </c>
    </row>
    <row r="315" spans="1:3">
      <c r="A315">
        <f t="shared" si="19"/>
        <v>313</v>
      </c>
      <c r="B315" s="90">
        <v>-36.204574176866387</v>
      </c>
      <c r="C315" s="90">
        <v>80.235073706685327</v>
      </c>
    </row>
    <row r="316" spans="1:3">
      <c r="A316">
        <f t="shared" si="19"/>
        <v>314</v>
      </c>
      <c r="B316" s="90">
        <v>204.41305302426861</v>
      </c>
      <c r="C316" s="90">
        <v>80.630544978397381</v>
      </c>
    </row>
    <row r="317" spans="1:3">
      <c r="A317">
        <f t="shared" si="19"/>
        <v>315</v>
      </c>
      <c r="B317" s="90">
        <v>85.179126016241682</v>
      </c>
      <c r="C317" s="90">
        <v>80.644984918200066</v>
      </c>
    </row>
    <row r="318" spans="1:3">
      <c r="A318">
        <f t="shared" si="19"/>
        <v>316</v>
      </c>
      <c r="B318" s="90">
        <v>123.7444926066062</v>
      </c>
      <c r="C318" s="90">
        <v>80.781375765315261</v>
      </c>
    </row>
    <row r="319" spans="1:3">
      <c r="A319">
        <f t="shared" si="19"/>
        <v>317</v>
      </c>
      <c r="B319" s="90">
        <v>-119.86563849861689</v>
      </c>
      <c r="C319" s="90">
        <v>80.148419884356485</v>
      </c>
    </row>
    <row r="320" spans="1:3">
      <c r="A320">
        <f t="shared" si="19"/>
        <v>318</v>
      </c>
      <c r="B320" s="90">
        <v>3.7804636282711712</v>
      </c>
      <c r="C320" s="90">
        <v>79.908269078519737</v>
      </c>
    </row>
    <row r="321" spans="1:3">
      <c r="A321">
        <f t="shared" si="19"/>
        <v>319</v>
      </c>
      <c r="B321" s="90">
        <v>-77.194598615661263</v>
      </c>
      <c r="C321" s="90">
        <v>79.415783599854606</v>
      </c>
    </row>
    <row r="322" spans="1:3">
      <c r="A322">
        <f t="shared" si="19"/>
        <v>320</v>
      </c>
      <c r="B322" s="90">
        <v>124.55089498070217</v>
      </c>
      <c r="C322" s="90">
        <v>79.55683082291975</v>
      </c>
    </row>
    <row r="323" spans="1:3">
      <c r="A323">
        <f t="shared" si="19"/>
        <v>321</v>
      </c>
      <c r="B323" s="90">
        <v>83.09314350203509</v>
      </c>
      <c r="C323" s="90">
        <v>79.567847373321968</v>
      </c>
    </row>
    <row r="324" spans="1:3">
      <c r="A324">
        <f t="shared" ref="A324:A339" si="20">A323+1</f>
        <v>322</v>
      </c>
      <c r="B324" s="90">
        <v>358.93973670022189</v>
      </c>
      <c r="C324" s="90">
        <v>80.435461936448988</v>
      </c>
    </row>
    <row r="325" spans="1:3">
      <c r="A325">
        <f t="shared" si="20"/>
        <v>323</v>
      </c>
      <c r="B325" s="90">
        <v>44.465236156784378</v>
      </c>
      <c r="C325" s="90">
        <v>80.324099008338578</v>
      </c>
    </row>
    <row r="326" spans="1:3">
      <c r="A326">
        <f t="shared" si="20"/>
        <v>324</v>
      </c>
      <c r="B326" s="90">
        <v>395.43639903922212</v>
      </c>
      <c r="C326" s="90">
        <v>81.296667835594391</v>
      </c>
    </row>
    <row r="327" spans="1:3">
      <c r="A327">
        <f t="shared" si="20"/>
        <v>325</v>
      </c>
      <c r="B327" s="90">
        <v>-161.53817476964034</v>
      </c>
      <c r="C327" s="90">
        <v>80.549483704501355</v>
      </c>
    </row>
    <row r="328" spans="1:3">
      <c r="A328">
        <f t="shared" si="20"/>
        <v>326</v>
      </c>
      <c r="B328" s="90">
        <v>240.99750894788497</v>
      </c>
      <c r="C328" s="90">
        <v>81.041655561076155</v>
      </c>
    </row>
    <row r="329" spans="1:3">
      <c r="A329">
        <f t="shared" si="20"/>
        <v>327</v>
      </c>
      <c r="B329" s="90">
        <v>-35.308746906812758</v>
      </c>
      <c r="C329" s="90">
        <v>80.685843932733988</v>
      </c>
    </row>
    <row r="330" spans="1:3">
      <c r="A330">
        <f t="shared" si="20"/>
        <v>328</v>
      </c>
      <c r="B330" s="90">
        <v>163.62067706087868</v>
      </c>
      <c r="C330" s="90">
        <v>80.938694033734436</v>
      </c>
    </row>
    <row r="331" spans="1:3">
      <c r="A331">
        <f t="shared" si="20"/>
        <v>329</v>
      </c>
      <c r="B331" s="90">
        <v>356.67870167174266</v>
      </c>
      <c r="C331" s="90">
        <v>81.776809558470021</v>
      </c>
    </row>
    <row r="332" spans="1:3">
      <c r="A332">
        <f t="shared" si="20"/>
        <v>330</v>
      </c>
      <c r="B332" s="90">
        <v>5.5123406755599653</v>
      </c>
      <c r="C332" s="90">
        <v>81.545705107309686</v>
      </c>
    </row>
    <row r="333" spans="1:3">
      <c r="A333">
        <f t="shared" si="20"/>
        <v>331</v>
      </c>
      <c r="B333" s="90">
        <v>239.06547037265341</v>
      </c>
      <c r="C333" s="90">
        <v>82.021595636812236</v>
      </c>
    </row>
    <row r="334" spans="1:3">
      <c r="A334">
        <f t="shared" si="20"/>
        <v>332</v>
      </c>
      <c r="B334" s="90">
        <v>-112.75682405851576</v>
      </c>
      <c r="C334" s="90">
        <v>81.43491364977811</v>
      </c>
    </row>
    <row r="335" spans="1:3">
      <c r="A335">
        <f t="shared" si="20"/>
        <v>333</v>
      </c>
      <c r="B335" s="90">
        <v>126.86704026610992</v>
      </c>
      <c r="C335" s="90">
        <v>81.571346462439763</v>
      </c>
    </row>
    <row r="336" spans="1:3">
      <c r="A336">
        <f t="shared" si="20"/>
        <v>334</v>
      </c>
      <c r="B336" s="90">
        <v>-201.72048804803151</v>
      </c>
      <c r="C336" s="90">
        <v>80.723167317198829</v>
      </c>
    </row>
    <row r="337" spans="1:3">
      <c r="A337">
        <f t="shared" si="20"/>
        <v>335</v>
      </c>
      <c r="B337" s="90">
        <v>319.3101699928564</v>
      </c>
      <c r="C337" s="90">
        <v>81.435367325185865</v>
      </c>
    </row>
    <row r="338" spans="1:3">
      <c r="A338">
        <f t="shared" si="20"/>
        <v>336</v>
      </c>
      <c r="B338" s="90">
        <v>509.69521202343145</v>
      </c>
      <c r="C338" s="90">
        <v>82.709950196311596</v>
      </c>
    </row>
    <row r="339" spans="1:3">
      <c r="A339">
        <f t="shared" si="20"/>
        <v>337</v>
      </c>
      <c r="B339" s="90">
        <v>-157.19213977203486</v>
      </c>
      <c r="C339" s="90">
        <v>81.998074558423326</v>
      </c>
    </row>
    <row r="340" spans="1:3">
      <c r="A340">
        <f t="shared" ref="A340:A355" si="21">A339+1</f>
        <v>338</v>
      </c>
      <c r="B340" s="90">
        <v>204.60052503676201</v>
      </c>
      <c r="C340" s="90">
        <v>82.360803701850358</v>
      </c>
    </row>
    <row r="341" spans="1:3">
      <c r="A341">
        <f t="shared" si="21"/>
        <v>339</v>
      </c>
      <c r="B341" s="90">
        <v>85.633804061210185</v>
      </c>
      <c r="C341" s="90">
        <v>82.37045857016706</v>
      </c>
    </row>
    <row r="342" spans="1:3">
      <c r="A342">
        <f t="shared" si="21"/>
        <v>340</v>
      </c>
      <c r="B342" s="90">
        <v>-158.8615856409034</v>
      </c>
      <c r="C342" s="90">
        <v>81.660952557781556</v>
      </c>
    </row>
    <row r="343" spans="1:3">
      <c r="A343">
        <f t="shared" si="21"/>
        <v>341</v>
      </c>
      <c r="B343" s="90">
        <v>-198.28964905327447</v>
      </c>
      <c r="C343" s="90">
        <v>80.839983051590778</v>
      </c>
    </row>
    <row r="344" spans="1:3">
      <c r="A344">
        <f t="shared" si="21"/>
        <v>342</v>
      </c>
      <c r="B344" s="90">
        <v>86.784904577404703</v>
      </c>
      <c r="C344" s="90">
        <v>80.857365863069774</v>
      </c>
    </row>
    <row r="345" spans="1:3">
      <c r="A345">
        <f t="shared" si="21"/>
        <v>343</v>
      </c>
      <c r="B345" s="90">
        <v>163.02401498631889</v>
      </c>
      <c r="C345" s="90">
        <v>81.096918775965548</v>
      </c>
    </row>
    <row r="346" spans="1:3">
      <c r="A346">
        <f t="shared" si="21"/>
        <v>344</v>
      </c>
      <c r="B346" s="90">
        <v>82.72670158968107</v>
      </c>
      <c r="C346" s="90">
        <v>81.101656516703088</v>
      </c>
    </row>
    <row r="347" spans="1:3">
      <c r="A347">
        <f t="shared" si="21"/>
        <v>345</v>
      </c>
      <c r="B347" s="90">
        <v>283.18471513604248</v>
      </c>
      <c r="C347" s="90">
        <v>81.687404512701164</v>
      </c>
    </row>
    <row r="348" spans="1:3">
      <c r="A348">
        <f t="shared" si="21"/>
        <v>346</v>
      </c>
      <c r="B348" s="90">
        <v>-326.32954002941824</v>
      </c>
      <c r="C348" s="90">
        <v>80.508164788590989</v>
      </c>
    </row>
    <row r="349" spans="1:3">
      <c r="A349">
        <f t="shared" si="21"/>
        <v>347</v>
      </c>
      <c r="B349" s="90">
        <v>123.05225736388584</v>
      </c>
      <c r="C349" s="90">
        <v>80.63077024269846</v>
      </c>
    </row>
    <row r="350" spans="1:3">
      <c r="A350">
        <f t="shared" si="21"/>
        <v>348</v>
      </c>
      <c r="B350" s="90">
        <v>82.920929511895991</v>
      </c>
      <c r="C350" s="90">
        <v>80.637351160138692</v>
      </c>
    </row>
    <row r="351" spans="1:3">
      <c r="A351">
        <f t="shared" si="21"/>
        <v>349</v>
      </c>
      <c r="B351" s="90">
        <v>87.036770590556941</v>
      </c>
      <c r="C351" s="90">
        <v>80.655687605498045</v>
      </c>
    </row>
    <row r="352" spans="1:3">
      <c r="A352">
        <f t="shared" si="21"/>
        <v>350</v>
      </c>
      <c r="B352" s="90">
        <v>125.4135044440292</v>
      </c>
      <c r="C352" s="90">
        <v>80.783567082179573</v>
      </c>
    </row>
    <row r="353" spans="1:3">
      <c r="A353">
        <f t="shared" si="21"/>
        <v>351</v>
      </c>
      <c r="B353" s="90">
        <v>46.991983719820034</v>
      </c>
      <c r="C353" s="90">
        <v>80.68729476490789</v>
      </c>
    </row>
    <row r="354" spans="1:3">
      <c r="A354">
        <f t="shared" si="21"/>
        <v>352</v>
      </c>
      <c r="B354" s="90">
        <v>45.371547691597058</v>
      </c>
      <c r="C354" s="90">
        <v>80.586965937995075</v>
      </c>
    </row>
    <row r="355" spans="1:3">
      <c r="A355">
        <f t="shared" si="21"/>
        <v>353</v>
      </c>
      <c r="B355" s="90">
        <v>2.2896605533852941</v>
      </c>
      <c r="C355" s="90">
        <v>80.36516054030497</v>
      </c>
    </row>
    <row r="356" spans="1:3">
      <c r="A356">
        <f t="shared" ref="A356:A371" si="22">A355+1</f>
        <v>354</v>
      </c>
      <c r="B356" s="90">
        <v>84.241728928215167</v>
      </c>
      <c r="C356" s="90">
        <v>80.376111298462902</v>
      </c>
    </row>
    <row r="357" spans="1:3">
      <c r="A357">
        <f t="shared" si="22"/>
        <v>355</v>
      </c>
      <c r="B357" s="90">
        <v>164.95652496833384</v>
      </c>
      <c r="C357" s="90">
        <v>80.614365984856903</v>
      </c>
    </row>
    <row r="358" spans="1:3">
      <c r="A358">
        <f t="shared" si="22"/>
        <v>356</v>
      </c>
      <c r="B358" s="90">
        <v>121.98320705608593</v>
      </c>
      <c r="C358" s="90">
        <v>80.730570594607542</v>
      </c>
    </row>
    <row r="359" spans="1:3">
      <c r="A359">
        <f t="shared" si="22"/>
        <v>357</v>
      </c>
      <c r="B359" s="90">
        <v>84.059537534076895</v>
      </c>
      <c r="C359" s="90">
        <v>80.739895431973011</v>
      </c>
    </row>
    <row r="360" spans="1:3">
      <c r="A360">
        <f t="shared" si="22"/>
        <v>358</v>
      </c>
      <c r="B360" s="90">
        <v>-33.882628818269026</v>
      </c>
      <c r="C360" s="90">
        <v>80.419720783229323</v>
      </c>
    </row>
    <row r="361" spans="1:3">
      <c r="A361">
        <f t="shared" si="22"/>
        <v>359</v>
      </c>
      <c r="B361" s="90">
        <v>82.396088189051085</v>
      </c>
      <c r="C361" s="90">
        <v>80.42522598491685</v>
      </c>
    </row>
    <row r="362" spans="1:3">
      <c r="A362">
        <f t="shared" si="22"/>
        <v>360</v>
      </c>
      <c r="B362" s="90">
        <v>242.37441202956148</v>
      </c>
      <c r="C362" s="90">
        <v>80.875084835040866</v>
      </c>
    </row>
    <row r="363" spans="1:3">
      <c r="A363">
        <f t="shared" si="22"/>
        <v>361</v>
      </c>
      <c r="B363" s="90">
        <v>281.30592179346758</v>
      </c>
      <c r="C363" s="90">
        <v>81.430294909717958</v>
      </c>
    </row>
    <row r="364" spans="1:3">
      <c r="A364">
        <f t="shared" si="22"/>
        <v>362</v>
      </c>
      <c r="B364" s="90">
        <v>123.21784399703672</v>
      </c>
      <c r="C364" s="90">
        <v>81.545730128191209</v>
      </c>
    </row>
    <row r="365" spans="1:3">
      <c r="A365">
        <f t="shared" si="22"/>
        <v>363</v>
      </c>
      <c r="B365" s="90">
        <v>240.61140984568351</v>
      </c>
      <c r="C365" s="90">
        <v>81.983927592977679</v>
      </c>
    </row>
    <row r="366" spans="1:3">
      <c r="A366">
        <f t="shared" si="22"/>
        <v>364</v>
      </c>
      <c r="B366" s="90">
        <v>280.10736370238232</v>
      </c>
      <c r="C366" s="90">
        <v>82.528222747124403</v>
      </c>
    </row>
    <row r="367" spans="1:3">
      <c r="A367">
        <f t="shared" si="22"/>
        <v>365</v>
      </c>
      <c r="B367" s="90">
        <v>356.61590974127125</v>
      </c>
      <c r="C367" s="90">
        <v>83.279147916971382</v>
      </c>
    </row>
    <row r="368" spans="1:3">
      <c r="A368">
        <f t="shared" si="22"/>
        <v>366</v>
      </c>
      <c r="B368" s="90">
        <v>201.24778506498592</v>
      </c>
      <c r="C368" s="90">
        <v>83.601466597703663</v>
      </c>
    </row>
    <row r="369" spans="1:3">
      <c r="A369">
        <f t="shared" si="22"/>
        <v>367</v>
      </c>
      <c r="B369" s="90">
        <v>-35.405366850273978</v>
      </c>
      <c r="C369" s="90">
        <v>83.277197296755489</v>
      </c>
    </row>
    <row r="370" spans="1:3">
      <c r="A370">
        <f t="shared" si="22"/>
        <v>368</v>
      </c>
      <c r="B370" s="90">
        <v>3.9367490957902977</v>
      </c>
      <c r="C370" s="90">
        <v>83.06159825273113</v>
      </c>
    </row>
    <row r="371" spans="1:3">
      <c r="A371">
        <f t="shared" si="22"/>
        <v>369</v>
      </c>
      <c r="B371" s="90">
        <v>-77.311844074275143</v>
      </c>
      <c r="C371" s="90">
        <v>82.626981877861198</v>
      </c>
    </row>
    <row r="372" spans="1:3">
      <c r="A372">
        <f t="shared" ref="A372:A387" si="23">A371+1</f>
        <v>370</v>
      </c>
      <c r="B372" s="90">
        <v>-158.62618385216038</v>
      </c>
      <c r="C372" s="90">
        <v>81.974946294807083</v>
      </c>
    </row>
    <row r="373" spans="1:3">
      <c r="A373">
        <f t="shared" si="23"/>
        <v>371</v>
      </c>
      <c r="B373" s="90">
        <v>318.1997937911226</v>
      </c>
      <c r="C373" s="90">
        <v>82.611670951131373</v>
      </c>
    </row>
    <row r="374" spans="1:3">
      <c r="A374">
        <f t="shared" si="23"/>
        <v>372</v>
      </c>
      <c r="B374" s="90">
        <v>322.96640410623712</v>
      </c>
      <c r="C374" s="90">
        <v>83.257785825204252</v>
      </c>
    </row>
    <row r="375" spans="1:3">
      <c r="A375">
        <f t="shared" si="23"/>
        <v>373</v>
      </c>
      <c r="B375" s="90">
        <v>45.371547691597058</v>
      </c>
      <c r="C375" s="90">
        <v>83.156214141199939</v>
      </c>
    </row>
    <row r="376" spans="1:3">
      <c r="A376">
        <f t="shared" si="23"/>
        <v>374</v>
      </c>
      <c r="B376" s="90">
        <v>2.9179430895657261</v>
      </c>
      <c r="C376" s="90">
        <v>82.941673309511089</v>
      </c>
    </row>
    <row r="377" spans="1:3">
      <c r="A377">
        <f t="shared" si="23"/>
        <v>375</v>
      </c>
      <c r="B377" s="90">
        <v>243.6726300877757</v>
      </c>
      <c r="C377" s="90">
        <v>83.370289194253118</v>
      </c>
    </row>
    <row r="378" spans="1:3">
      <c r="A378">
        <f t="shared" si="23"/>
        <v>376</v>
      </c>
      <c r="B378" s="90">
        <v>44.047458267627043</v>
      </c>
      <c r="C378" s="90">
        <v>83.265707197107844</v>
      </c>
    </row>
    <row r="379" spans="1:3">
      <c r="A379">
        <f t="shared" si="23"/>
        <v>377</v>
      </c>
      <c r="B379" s="90">
        <v>83.374776731352327</v>
      </c>
      <c r="C379" s="90">
        <v>83.265996506217235</v>
      </c>
    </row>
    <row r="380" spans="1:3">
      <c r="A380">
        <f t="shared" si="23"/>
        <v>378</v>
      </c>
      <c r="B380" s="90">
        <v>46.991983719820034</v>
      </c>
      <c r="C380" s="90">
        <v>83.170033509427824</v>
      </c>
    </row>
    <row r="381" spans="1:3">
      <c r="A381">
        <f t="shared" si="23"/>
        <v>379</v>
      </c>
      <c r="B381" s="90">
        <v>204.3374563231215</v>
      </c>
      <c r="C381" s="90">
        <v>83.489736471996949</v>
      </c>
    </row>
    <row r="382" spans="1:3">
      <c r="A382">
        <f t="shared" si="23"/>
        <v>380</v>
      </c>
      <c r="B382" s="90">
        <v>2.0977748381789376</v>
      </c>
      <c r="C382" s="90">
        <v>83.275547099276366</v>
      </c>
    </row>
    <row r="383" spans="1:3">
      <c r="A383">
        <f t="shared" si="23"/>
        <v>381</v>
      </c>
      <c r="B383" s="90">
        <v>-33.809350130141304</v>
      </c>
      <c r="C383" s="90">
        <v>82.968237657729347</v>
      </c>
    </row>
    <row r="384" spans="1:3">
      <c r="A384">
        <f t="shared" si="23"/>
        <v>382</v>
      </c>
      <c r="B384" s="90">
        <v>122.77808989039873</v>
      </c>
      <c r="C384" s="90">
        <v>83.072451930589736</v>
      </c>
    </row>
    <row r="385" spans="1:3">
      <c r="A385">
        <f t="shared" si="23"/>
        <v>383</v>
      </c>
      <c r="B385" s="90">
        <v>4.6232668820949341</v>
      </c>
      <c r="C385" s="90">
        <v>82.867623771194189</v>
      </c>
    </row>
    <row r="386" spans="1:3">
      <c r="A386">
        <f t="shared" si="23"/>
        <v>384</v>
      </c>
      <c r="B386" s="90">
        <v>202.28901033629825</v>
      </c>
      <c r="C386" s="90">
        <v>83.178616965374147</v>
      </c>
    </row>
    <row r="387" spans="1:3">
      <c r="A387">
        <f t="shared" si="23"/>
        <v>385</v>
      </c>
      <c r="B387" s="90">
        <v>42.827516432098925</v>
      </c>
      <c r="C387" s="90">
        <v>83.07380891204096</v>
      </c>
    </row>
    <row r="388" spans="1:3">
      <c r="A388">
        <f t="shared" ref="A388:A403" si="24">A387+1</f>
        <v>386</v>
      </c>
      <c r="B388" s="90">
        <v>280.76032737286363</v>
      </c>
      <c r="C388" s="90">
        <v>83.585950151576768</v>
      </c>
    </row>
    <row r="389" spans="1:3">
      <c r="A389">
        <f t="shared" si="24"/>
        <v>387</v>
      </c>
      <c r="B389" s="90">
        <v>84.032766277837169</v>
      </c>
      <c r="C389" s="90">
        <v>83.587104715210515</v>
      </c>
    </row>
    <row r="390" spans="1:3">
      <c r="A390">
        <f t="shared" si="24"/>
        <v>388</v>
      </c>
      <c r="B390" s="90">
        <v>395.95052077204377</v>
      </c>
      <c r="C390" s="90">
        <v>84.392165065872462</v>
      </c>
    </row>
    <row r="391" spans="1:3">
      <c r="A391">
        <f t="shared" si="24"/>
        <v>389</v>
      </c>
      <c r="B391" s="90">
        <v>4.653639095527085</v>
      </c>
      <c r="C391" s="90">
        <v>84.187181708622205</v>
      </c>
    </row>
    <row r="392" spans="1:3">
      <c r="A392">
        <f t="shared" si="24"/>
        <v>390</v>
      </c>
      <c r="B392" s="90">
        <v>353.04928770235233</v>
      </c>
      <c r="C392" s="90">
        <v>84.87657172399075</v>
      </c>
    </row>
    <row r="393" spans="1:3">
      <c r="A393">
        <f t="shared" si="24"/>
        <v>391</v>
      </c>
      <c r="B393" s="90">
        <v>241.5846378395959</v>
      </c>
      <c r="C393" s="90">
        <v>85.277359616869532</v>
      </c>
    </row>
    <row r="394" spans="1:3">
      <c r="A394">
        <f t="shared" si="24"/>
        <v>392</v>
      </c>
      <c r="B394" s="90">
        <v>164.6114310450059</v>
      </c>
      <c r="C394" s="90">
        <v>85.479742452145388</v>
      </c>
    </row>
    <row r="395" spans="1:3">
      <c r="A395">
        <f t="shared" si="24"/>
        <v>393</v>
      </c>
      <c r="B395" s="90">
        <v>-77.479410457204423</v>
      </c>
      <c r="C395" s="90">
        <v>85.065088119042713</v>
      </c>
    </row>
    <row r="396" spans="1:3">
      <c r="A396">
        <f t="shared" si="24"/>
        <v>394</v>
      </c>
      <c r="B396" s="90">
        <v>545.57814213748998</v>
      </c>
      <c r="C396" s="90">
        <v>86.233902976957566</v>
      </c>
    </row>
    <row r="397" spans="1:3">
      <c r="A397">
        <f t="shared" si="24"/>
        <v>395</v>
      </c>
      <c r="B397" s="90">
        <v>163.88857294022955</v>
      </c>
      <c r="C397" s="90">
        <v>86.430497078130415</v>
      </c>
    </row>
    <row r="398" spans="1:3">
      <c r="A398">
        <f t="shared" si="24"/>
        <v>396</v>
      </c>
      <c r="B398" s="90">
        <v>729.83825794587517</v>
      </c>
      <c r="C398" s="90">
        <v>88.055264151028766</v>
      </c>
    </row>
    <row r="399" spans="1:3">
      <c r="A399">
        <f t="shared" si="24"/>
        <v>397</v>
      </c>
      <c r="B399" s="90">
        <v>547.45406499296439</v>
      </c>
      <c r="C399" s="90">
        <v>89.212439971789294</v>
      </c>
    </row>
    <row r="400" spans="1:3">
      <c r="A400">
        <f t="shared" si="24"/>
        <v>398</v>
      </c>
      <c r="B400" s="90">
        <v>-36.165134589865445</v>
      </c>
      <c r="C400" s="90">
        <v>88.897420940227349</v>
      </c>
    </row>
    <row r="401" spans="1:3">
      <c r="A401">
        <f t="shared" si="24"/>
        <v>399</v>
      </c>
      <c r="B401" s="90">
        <v>358.93973670022189</v>
      </c>
      <c r="C401" s="90">
        <v>89.57421872408699</v>
      </c>
    </row>
    <row r="402" spans="1:3">
      <c r="A402">
        <f t="shared" si="24"/>
        <v>400</v>
      </c>
      <c r="B402" s="90">
        <v>5.5242881720857255</v>
      </c>
      <c r="C402" s="90">
        <v>89.364093897706994</v>
      </c>
    </row>
    <row r="403" spans="1:3">
      <c r="A403">
        <f t="shared" si="24"/>
        <v>401</v>
      </c>
      <c r="B403" s="90">
        <v>-72.131163595572119</v>
      </c>
      <c r="C403" s="90">
        <v>88.96136258226241</v>
      </c>
    </row>
    <row r="404" spans="1:3">
      <c r="A404">
        <f t="shared" ref="A404:A419" si="25">A403+1</f>
        <v>402</v>
      </c>
      <c r="B404" s="90">
        <v>125.29944529989424</v>
      </c>
      <c r="C404" s="90">
        <v>89.051755822853536</v>
      </c>
    </row>
    <row r="405" spans="1:3">
      <c r="A405">
        <f t="shared" si="25"/>
        <v>403</v>
      </c>
      <c r="B405" s="90">
        <v>-36.126273767705904</v>
      </c>
      <c r="C405" s="90">
        <v>88.741140364812452</v>
      </c>
    </row>
    <row r="406" spans="1:3">
      <c r="A406">
        <f t="shared" si="25"/>
        <v>404</v>
      </c>
      <c r="B406" s="90">
        <v>163.1064532377043</v>
      </c>
      <c r="C406" s="90">
        <v>88.925212921428525</v>
      </c>
    </row>
    <row r="407" spans="1:3">
      <c r="A407">
        <f t="shared" si="25"/>
        <v>405</v>
      </c>
      <c r="B407" s="90">
        <v>317.74358967311917</v>
      </c>
      <c r="C407" s="90">
        <v>89.490196567729001</v>
      </c>
    </row>
    <row r="408" spans="1:3">
      <c r="A408">
        <f t="shared" si="25"/>
        <v>406</v>
      </c>
      <c r="B408" s="90">
        <v>3.7886574389811654</v>
      </c>
      <c r="C408" s="90">
        <v>89.279109032929114</v>
      </c>
    </row>
    <row r="409" spans="1:3">
      <c r="A409">
        <f t="shared" si="25"/>
        <v>407</v>
      </c>
      <c r="B409" s="90">
        <v>164.59976995346707</v>
      </c>
      <c r="C409" s="90">
        <v>89.464172081873912</v>
      </c>
    </row>
    <row r="410" spans="1:3">
      <c r="A410">
        <f t="shared" si="25"/>
        <v>408</v>
      </c>
      <c r="B410" s="90">
        <v>163.50735635188181</v>
      </c>
      <c r="C410" s="90">
        <v>89.645650474692559</v>
      </c>
    </row>
    <row r="411" spans="1:3">
      <c r="A411">
        <f t="shared" si="25"/>
        <v>409</v>
      </c>
      <c r="B411" s="90">
        <v>320.50198571300319</v>
      </c>
      <c r="C411" s="90">
        <v>90.210091392145642</v>
      </c>
    </row>
    <row r="412" spans="1:3">
      <c r="A412">
        <f t="shared" si="25"/>
        <v>410</v>
      </c>
      <c r="B412" s="90">
        <v>6.2197566923436991</v>
      </c>
      <c r="C412" s="90">
        <v>90.005236917268078</v>
      </c>
    </row>
    <row r="413" spans="1:3">
      <c r="A413">
        <f t="shared" si="25"/>
        <v>411</v>
      </c>
      <c r="B413" s="90">
        <v>548.8119914497139</v>
      </c>
      <c r="C413" s="90">
        <v>91.121555054816611</v>
      </c>
    </row>
    <row r="414" spans="1:3">
      <c r="A414">
        <f t="shared" si="25"/>
        <v>412</v>
      </c>
      <c r="B414" s="90">
        <v>433.50579762273293</v>
      </c>
      <c r="C414" s="90">
        <v>91.952584769787279</v>
      </c>
    </row>
    <row r="415" spans="1:3">
      <c r="A415">
        <f t="shared" si="25"/>
        <v>413</v>
      </c>
      <c r="B415" s="90">
        <v>81.648351991119043</v>
      </c>
      <c r="C415" s="90">
        <v>91.927635053616171</v>
      </c>
    </row>
    <row r="416" spans="1:3">
      <c r="A416">
        <f t="shared" si="25"/>
        <v>414</v>
      </c>
      <c r="B416" s="90">
        <v>126.3816694613535</v>
      </c>
      <c r="C416" s="90">
        <v>92.010857358948883</v>
      </c>
    </row>
    <row r="417" spans="1:3">
      <c r="A417">
        <f t="shared" si="25"/>
        <v>415</v>
      </c>
      <c r="B417" s="90">
        <v>201.6839713158723</v>
      </c>
      <c r="C417" s="90">
        <v>92.275129922700486</v>
      </c>
    </row>
    <row r="418" spans="1:3">
      <c r="A418">
        <f t="shared" si="25"/>
        <v>416</v>
      </c>
      <c r="B418" s="90">
        <v>321.85470650227836</v>
      </c>
      <c r="C418" s="90">
        <v>92.827003904862949</v>
      </c>
    </row>
    <row r="419" spans="1:3">
      <c r="A419">
        <f t="shared" si="25"/>
        <v>417</v>
      </c>
      <c r="B419" s="90">
        <v>124.98176025988933</v>
      </c>
      <c r="C419" s="90">
        <v>92.904113632333036</v>
      </c>
    </row>
    <row r="420" spans="1:3">
      <c r="A420">
        <f t="shared" ref="A420:A435" si="26">A419+1</f>
        <v>418</v>
      </c>
      <c r="B420" s="90">
        <v>-35.687229518094824</v>
      </c>
      <c r="C420" s="90">
        <v>92.596478840107139</v>
      </c>
    </row>
    <row r="421" spans="1:3">
      <c r="A421">
        <f t="shared" si="26"/>
        <v>419</v>
      </c>
      <c r="B421" s="90">
        <v>396.29347143038024</v>
      </c>
      <c r="C421" s="90">
        <v>93.321292664904917</v>
      </c>
    </row>
    <row r="422" spans="1:3">
      <c r="A422">
        <f t="shared" si="26"/>
        <v>420</v>
      </c>
      <c r="B422" s="90">
        <v>5.5123406755599653</v>
      </c>
      <c r="C422" s="90">
        <v>93.112223731596941</v>
      </c>
    </row>
    <row r="423" spans="1:3">
      <c r="A423">
        <f t="shared" si="26"/>
        <v>421</v>
      </c>
      <c r="B423" s="90">
        <v>-201.34008901118088</v>
      </c>
      <c r="C423" s="90">
        <v>92.412812062374201</v>
      </c>
    </row>
    <row r="424" spans="1:3">
      <c r="A424">
        <f t="shared" si="26"/>
        <v>422</v>
      </c>
      <c r="B424" s="90">
        <v>121.24423419627672</v>
      </c>
      <c r="C424" s="90">
        <v>92.48113296790477</v>
      </c>
    </row>
    <row r="425" spans="1:3">
      <c r="A425">
        <f t="shared" si="26"/>
        <v>423</v>
      </c>
      <c r="B425" s="90">
        <v>204.78732823456585</v>
      </c>
      <c r="C425" s="90">
        <v>92.746632247494986</v>
      </c>
    </row>
    <row r="426" spans="1:3">
      <c r="A426">
        <f t="shared" si="26"/>
        <v>424</v>
      </c>
      <c r="B426" s="90">
        <v>353.56347712709356</v>
      </c>
      <c r="C426" s="90">
        <v>93.361766315607241</v>
      </c>
    </row>
    <row r="427" spans="1:3">
      <c r="A427">
        <f t="shared" si="26"/>
        <v>425</v>
      </c>
      <c r="B427" s="90">
        <v>-202.52239441734082</v>
      </c>
      <c r="C427" s="90">
        <v>92.665568290353249</v>
      </c>
    </row>
    <row r="428" spans="1:3">
      <c r="A428">
        <f t="shared" si="26"/>
        <v>426</v>
      </c>
      <c r="B428" s="90">
        <v>122.77808989039873</v>
      </c>
      <c r="C428" s="90">
        <v>92.736254960775895</v>
      </c>
    </row>
    <row r="429" spans="1:3">
      <c r="A429">
        <f t="shared" si="26"/>
        <v>427</v>
      </c>
      <c r="B429" s="90">
        <v>201.85151555454428</v>
      </c>
      <c r="C429" s="90">
        <v>92.991794212751941</v>
      </c>
    </row>
    <row r="430" spans="1:3">
      <c r="A430">
        <f t="shared" si="26"/>
        <v>428</v>
      </c>
      <c r="B430" s="90">
        <v>44.551199668677704</v>
      </c>
      <c r="C430" s="90">
        <v>92.878615253536807</v>
      </c>
    </row>
    <row r="431" spans="1:3">
      <c r="A431">
        <f t="shared" si="26"/>
        <v>429</v>
      </c>
      <c r="B431" s="90">
        <v>3.8297311595933654</v>
      </c>
      <c r="C431" s="90">
        <v>92.671042097140685</v>
      </c>
    </row>
    <row r="432" spans="1:3">
      <c r="A432">
        <f t="shared" si="26"/>
        <v>430</v>
      </c>
      <c r="B432" s="90">
        <v>317.05639879613256</v>
      </c>
      <c r="C432" s="90">
        <v>93.192868508068571</v>
      </c>
    </row>
    <row r="433" spans="1:3">
      <c r="A433">
        <f t="shared" si="26"/>
        <v>431</v>
      </c>
      <c r="B433" s="90">
        <v>3.805098376908949</v>
      </c>
      <c r="C433" s="90">
        <v>92.985472289666802</v>
      </c>
    </row>
    <row r="434" spans="1:3">
      <c r="A434">
        <f t="shared" si="26"/>
        <v>432</v>
      </c>
      <c r="B434" s="90">
        <v>242.8997364998896</v>
      </c>
      <c r="C434" s="90">
        <v>93.332496049412683</v>
      </c>
    </row>
    <row r="435" spans="1:3">
      <c r="A435">
        <f t="shared" si="26"/>
        <v>433</v>
      </c>
      <c r="B435" s="90">
        <v>84.059537534076895</v>
      </c>
      <c r="C435" s="90">
        <v>93.311080440832242</v>
      </c>
    </row>
    <row r="436" spans="1:3">
      <c r="A436">
        <f t="shared" ref="A436:A451" si="27">A435+1</f>
        <v>434</v>
      </c>
      <c r="B436" s="90">
        <v>201.82474429830461</v>
      </c>
      <c r="C436" s="90">
        <v>93.561111924374799</v>
      </c>
    </row>
    <row r="437" spans="1:3">
      <c r="A437">
        <f t="shared" si="27"/>
        <v>435</v>
      </c>
      <c r="B437" s="90">
        <v>-239.42032369608444</v>
      </c>
      <c r="C437" s="90">
        <v>92.79563735973008</v>
      </c>
    </row>
    <row r="438" spans="1:3">
      <c r="A438">
        <f t="shared" si="27"/>
        <v>436</v>
      </c>
      <c r="B438" s="90">
        <v>-199.09735312913378</v>
      </c>
      <c r="C438" s="90">
        <v>92.126158023746441</v>
      </c>
    </row>
    <row r="439" spans="1:3">
      <c r="A439">
        <f t="shared" si="27"/>
        <v>437</v>
      </c>
      <c r="B439" s="90">
        <v>-77.311844074275143</v>
      </c>
      <c r="C439" s="90">
        <v>91.738428041828769</v>
      </c>
    </row>
    <row r="440" spans="1:3">
      <c r="A440">
        <f t="shared" si="27"/>
        <v>438</v>
      </c>
      <c r="B440" s="90">
        <v>-37.735590082183286</v>
      </c>
      <c r="C440" s="90">
        <v>91.442825260723723</v>
      </c>
    </row>
    <row r="441" spans="1:3">
      <c r="A441">
        <f t="shared" si="27"/>
        <v>439</v>
      </c>
      <c r="B441" s="90">
        <v>85.657818405907804</v>
      </c>
      <c r="C441" s="90">
        <v>91.429647568571525</v>
      </c>
    </row>
    <row r="442" spans="1:3">
      <c r="A442">
        <f t="shared" si="27"/>
        <v>440</v>
      </c>
      <c r="B442" s="90">
        <v>-76.742522517419545</v>
      </c>
      <c r="C442" s="90">
        <v>91.047438091103359</v>
      </c>
    </row>
    <row r="443" spans="1:3">
      <c r="A443">
        <f t="shared" si="27"/>
        <v>441</v>
      </c>
      <c r="B443" s="90">
        <v>244.69762664268578</v>
      </c>
      <c r="C443" s="90">
        <v>91.395851217070657</v>
      </c>
    </row>
    <row r="444" spans="1:3">
      <c r="A444">
        <f t="shared" si="27"/>
        <v>442</v>
      </c>
      <c r="B444" s="90">
        <v>42.827516432098918</v>
      </c>
      <c r="C444" s="90">
        <v>91.285968106697425</v>
      </c>
    </row>
    <row r="445" spans="1:3">
      <c r="A445">
        <f t="shared" si="27"/>
        <v>443</v>
      </c>
      <c r="B445" s="90">
        <v>320.50727973455059</v>
      </c>
      <c r="C445" s="90">
        <v>91.803397704051505</v>
      </c>
    </row>
    <row r="446" spans="1:3">
      <c r="A446">
        <f t="shared" si="27"/>
        <v>444</v>
      </c>
      <c r="B446" s="90">
        <v>-282.09731300179351</v>
      </c>
      <c r="C446" s="90">
        <v>90.961278986245532</v>
      </c>
    </row>
    <row r="447" spans="1:3">
      <c r="A447">
        <f t="shared" si="27"/>
        <v>445</v>
      </c>
      <c r="B447" s="90">
        <v>472.15494592905469</v>
      </c>
      <c r="C447" s="90">
        <v>91.817893968139487</v>
      </c>
    </row>
    <row r="448" spans="1:3">
      <c r="A448">
        <f t="shared" si="27"/>
        <v>446</v>
      </c>
      <c r="B448" s="90">
        <v>281.8440318123599</v>
      </c>
      <c r="C448" s="90">
        <v>92.243961541781246</v>
      </c>
    </row>
    <row r="449" spans="1:3">
      <c r="A449">
        <f t="shared" si="27"/>
        <v>447</v>
      </c>
      <c r="B449" s="90">
        <v>5.5391119317996704</v>
      </c>
      <c r="C449" s="90">
        <v>92.049990960998286</v>
      </c>
    </row>
    <row r="450" spans="1:3">
      <c r="A450">
        <f t="shared" si="27"/>
        <v>448</v>
      </c>
      <c r="B450" s="90">
        <v>-157.94452295126084</v>
      </c>
      <c r="C450" s="90">
        <v>91.491967492444132</v>
      </c>
    </row>
    <row r="451" spans="1:3">
      <c r="A451">
        <f t="shared" si="27"/>
        <v>449</v>
      </c>
      <c r="B451" s="90">
        <v>-161.24006969942224</v>
      </c>
      <c r="C451" s="90">
        <v>90.929089904043536</v>
      </c>
    </row>
    <row r="452" spans="1:3">
      <c r="A452">
        <f t="shared" ref="A452:A467" si="28">A451+1</f>
        <v>450</v>
      </c>
      <c r="B452" s="90">
        <v>41.519219992171365</v>
      </c>
      <c r="C452" s="90">
        <v>90.819290193128268</v>
      </c>
    </row>
    <row r="453" spans="1:3">
      <c r="A453">
        <f t="shared" si="28"/>
        <v>451</v>
      </c>
      <c r="B453" s="90">
        <v>-242.67012755329185</v>
      </c>
      <c r="C453" s="90">
        <v>90.079845807881227</v>
      </c>
    </row>
    <row r="454" spans="1:3">
      <c r="A454">
        <f t="shared" si="28"/>
        <v>452</v>
      </c>
      <c r="B454" s="90">
        <v>163.02401498631889</v>
      </c>
      <c r="C454" s="90">
        <v>90.241226713143249</v>
      </c>
    </row>
    <row r="455" spans="1:3">
      <c r="A455">
        <f t="shared" si="28"/>
        <v>453</v>
      </c>
      <c r="B455" s="90">
        <v>509.41041836016348</v>
      </c>
      <c r="C455" s="90">
        <v>91.166545016999805</v>
      </c>
    </row>
    <row r="456" spans="1:3">
      <c r="A456">
        <f t="shared" si="28"/>
        <v>454</v>
      </c>
      <c r="B456" s="90">
        <v>165.68409345507996</v>
      </c>
      <c r="C456" s="90">
        <v>91.330680586246686</v>
      </c>
    </row>
    <row r="457" spans="1:3">
      <c r="A457">
        <f t="shared" si="28"/>
        <v>455</v>
      </c>
      <c r="B457" s="90">
        <v>-77.144640090756496</v>
      </c>
      <c r="C457" s="90">
        <v>90.960405156187321</v>
      </c>
    </row>
    <row r="458" spans="1:3">
      <c r="A458">
        <f t="shared" si="28"/>
        <v>456</v>
      </c>
      <c r="B458" s="90">
        <v>124.27910546665335</v>
      </c>
      <c r="C458" s="90">
        <v>91.03347248142957</v>
      </c>
    </row>
    <row r="459" spans="1:3">
      <c r="A459">
        <f t="shared" si="28"/>
        <v>457</v>
      </c>
      <c r="B459" s="90">
        <v>84.241728928215167</v>
      </c>
      <c r="C459" s="90">
        <v>91.018610898162152</v>
      </c>
    </row>
    <row r="460" spans="1:3">
      <c r="A460">
        <f t="shared" si="28"/>
        <v>458</v>
      </c>
      <c r="B460" s="90">
        <v>206.26703664836984</v>
      </c>
      <c r="C460" s="90">
        <v>91.270245015520686</v>
      </c>
    </row>
    <row r="461" spans="1:3">
      <c r="A461">
        <f t="shared" si="28"/>
        <v>459</v>
      </c>
      <c r="B461" s="90">
        <v>85.369050755838785</v>
      </c>
      <c r="C461" s="90">
        <v>91.257388383146662</v>
      </c>
    </row>
    <row r="462" spans="1:3">
      <c r="A462">
        <f t="shared" si="28"/>
        <v>460</v>
      </c>
      <c r="B462" s="90">
        <v>-77.311844074275143</v>
      </c>
      <c r="C462" s="90">
        <v>90.890933529978355</v>
      </c>
    </row>
    <row r="463" spans="1:3">
      <c r="A463">
        <f t="shared" si="28"/>
        <v>461</v>
      </c>
      <c r="B463" s="90">
        <v>44.551199668677704</v>
      </c>
      <c r="C463" s="90">
        <v>90.790413499910443</v>
      </c>
    </row>
    <row r="464" spans="1:3">
      <c r="A464">
        <f t="shared" si="28"/>
        <v>462</v>
      </c>
      <c r="B464" s="90">
        <v>44.551199668677704</v>
      </c>
      <c r="C464" s="90">
        <v>90.690328621487865</v>
      </c>
    </row>
    <row r="465" spans="1:3">
      <c r="A465">
        <f t="shared" si="28"/>
        <v>463</v>
      </c>
      <c r="B465" s="90">
        <v>-156.75457886280924</v>
      </c>
      <c r="C465" s="90">
        <v>90.155890376381379</v>
      </c>
    </row>
    <row r="466" spans="1:3">
      <c r="A466">
        <f t="shared" si="28"/>
        <v>464</v>
      </c>
      <c r="B466" s="90">
        <v>162.67143945224257</v>
      </c>
      <c r="C466" s="90">
        <v>90.312173887320739</v>
      </c>
    </row>
    <row r="467" spans="1:3">
      <c r="A467">
        <f t="shared" si="28"/>
        <v>465</v>
      </c>
      <c r="B467" s="90">
        <v>163.63630537538918</v>
      </c>
      <c r="C467" s="90">
        <v>90.469860191596155</v>
      </c>
    </row>
    <row r="468" spans="1:3">
      <c r="A468">
        <f t="shared" ref="A468:A483" si="29">A467+1</f>
        <v>466</v>
      </c>
      <c r="B468" s="90">
        <v>-242.72356001355544</v>
      </c>
      <c r="C468" s="90">
        <v>89.754852852100129</v>
      </c>
    </row>
    <row r="469" spans="1:3">
      <c r="A469">
        <f t="shared" si="29"/>
        <v>467</v>
      </c>
      <c r="B469" s="90">
        <v>45.538066015591184</v>
      </c>
      <c r="C469" s="90">
        <v>89.660170225041227</v>
      </c>
    </row>
    <row r="470" spans="1:3">
      <c r="A470">
        <f t="shared" si="29"/>
        <v>468</v>
      </c>
      <c r="B470" s="90">
        <v>-199.21459858774764</v>
      </c>
      <c r="C470" s="90">
        <v>89.042916445526714</v>
      </c>
    </row>
    <row r="471" spans="1:3">
      <c r="A471">
        <f t="shared" si="29"/>
        <v>469</v>
      </c>
      <c r="B471" s="90">
        <v>164.6114310450059</v>
      </c>
      <c r="C471" s="90">
        <v>89.20404334232731</v>
      </c>
    </row>
    <row r="472" spans="1:3">
      <c r="A472">
        <f t="shared" si="29"/>
        <v>470</v>
      </c>
      <c r="B472" s="90">
        <v>-157.43481779770548</v>
      </c>
      <c r="C472" s="90">
        <v>88.679279807986802</v>
      </c>
    </row>
    <row r="473" spans="1:3">
      <c r="A473">
        <f t="shared" si="29"/>
        <v>471</v>
      </c>
      <c r="B473" s="90">
        <v>-121.22549995780305</v>
      </c>
      <c r="C473" s="90">
        <v>88.233622101477707</v>
      </c>
    </row>
    <row r="474" spans="1:3">
      <c r="A474">
        <f t="shared" si="29"/>
        <v>472</v>
      </c>
      <c r="B474" s="90">
        <v>168.00355101849308</v>
      </c>
      <c r="C474" s="90">
        <v>88.402626188166295</v>
      </c>
    </row>
    <row r="475" spans="1:3">
      <c r="A475">
        <f t="shared" si="29"/>
        <v>473</v>
      </c>
      <c r="B475" s="90">
        <v>46.973292691697118</v>
      </c>
      <c r="C475" s="90">
        <v>88.31503774525622</v>
      </c>
    </row>
    <row r="476" spans="1:3">
      <c r="A476">
        <f t="shared" si="29"/>
        <v>474</v>
      </c>
      <c r="B476" s="90">
        <v>-33.636612271388294</v>
      </c>
      <c r="C476" s="90">
        <v>88.057755783195788</v>
      </c>
    </row>
    <row r="477" spans="1:3">
      <c r="A477">
        <f t="shared" si="29"/>
        <v>475</v>
      </c>
      <c r="B477" s="90">
        <v>241.85022368973355</v>
      </c>
      <c r="C477" s="90">
        <v>88.381529399841128</v>
      </c>
    </row>
    <row r="478" spans="1:3">
      <c r="A478">
        <f t="shared" si="29"/>
        <v>476</v>
      </c>
      <c r="B478" s="90">
        <v>-240.70225065349544</v>
      </c>
      <c r="C478" s="90">
        <v>87.690176920737485</v>
      </c>
    </row>
    <row r="479" spans="1:3">
      <c r="A479">
        <f t="shared" si="29"/>
        <v>477</v>
      </c>
      <c r="B479" s="90">
        <v>241.32716902327201</v>
      </c>
      <c r="C479" s="90">
        <v>88.01226705093147</v>
      </c>
    </row>
    <row r="480" spans="1:3">
      <c r="A480">
        <f t="shared" si="29"/>
        <v>478</v>
      </c>
      <c r="B480" s="90">
        <v>470.56313985687984</v>
      </c>
      <c r="C480" s="90">
        <v>88.812582684416725</v>
      </c>
    </row>
    <row r="481" spans="1:3">
      <c r="A481">
        <f t="shared" si="29"/>
        <v>479</v>
      </c>
      <c r="B481" s="90">
        <v>164.72450667287461</v>
      </c>
      <c r="C481" s="90">
        <v>88.971062692743359</v>
      </c>
    </row>
    <row r="482" spans="1:3">
      <c r="A482">
        <f t="shared" si="29"/>
        <v>480</v>
      </c>
      <c r="B482" s="90">
        <v>-77.301342683230473</v>
      </c>
      <c r="C482" s="90">
        <v>88.624661848210067</v>
      </c>
    </row>
    <row r="483" spans="1:3">
      <c r="A483">
        <f t="shared" si="29"/>
        <v>481</v>
      </c>
      <c r="B483" s="90">
        <v>280.52392435424673</v>
      </c>
      <c r="C483" s="90">
        <v>89.023620813919081</v>
      </c>
    </row>
    <row r="484" spans="1:3">
      <c r="A484">
        <f t="shared" ref="A484:A499" si="30">A483+1</f>
        <v>482</v>
      </c>
      <c r="B484" s="90">
        <v>-77.311844074275143</v>
      </c>
      <c r="C484" s="90">
        <v>88.678526488424893</v>
      </c>
    </row>
    <row r="485" spans="1:3">
      <c r="A485">
        <f t="shared" si="30"/>
        <v>483</v>
      </c>
      <c r="B485" s="90">
        <v>46.770332107525526</v>
      </c>
      <c r="C485" s="90">
        <v>88.591760040431311</v>
      </c>
    </row>
    <row r="486" spans="1:3">
      <c r="A486">
        <f t="shared" si="30"/>
        <v>484</v>
      </c>
      <c r="B486" s="90">
        <v>-35.347967440975474</v>
      </c>
      <c r="C486" s="90">
        <v>88.335686223320977</v>
      </c>
    </row>
    <row r="487" spans="1:3">
      <c r="A487">
        <f t="shared" si="30"/>
        <v>485</v>
      </c>
      <c r="B487" s="90">
        <v>164.96821133422688</v>
      </c>
      <c r="C487" s="90">
        <v>88.493691429735208</v>
      </c>
    </row>
    <row r="488" spans="1:3">
      <c r="A488">
        <f t="shared" si="30"/>
        <v>486</v>
      </c>
      <c r="B488" s="90">
        <v>279.15206585329463</v>
      </c>
      <c r="C488" s="90">
        <v>88.885992611676699</v>
      </c>
    </row>
    <row r="489" spans="1:3">
      <c r="A489">
        <f t="shared" si="30"/>
        <v>487</v>
      </c>
      <c r="B489" s="90">
        <v>125.83560389957115</v>
      </c>
      <c r="C489" s="90">
        <v>88.961864503438292</v>
      </c>
    </row>
    <row r="490" spans="1:3">
      <c r="A490">
        <f t="shared" si="30"/>
        <v>488</v>
      </c>
      <c r="B490" s="90">
        <v>-75.088286408647448</v>
      </c>
      <c r="C490" s="90">
        <v>88.62569616140533</v>
      </c>
    </row>
    <row r="491" spans="1:3">
      <c r="A491">
        <f t="shared" si="30"/>
        <v>489</v>
      </c>
      <c r="B491" s="90">
        <v>-38.121175471894901</v>
      </c>
      <c r="C491" s="90">
        <v>88.366500104895508</v>
      </c>
    </row>
    <row r="492" spans="1:3">
      <c r="A492">
        <f t="shared" si="30"/>
        <v>490</v>
      </c>
      <c r="B492" s="90">
        <v>-159.08865820510999</v>
      </c>
      <c r="C492" s="90">
        <v>87.861489577732229</v>
      </c>
    </row>
    <row r="493" spans="1:3">
      <c r="A493">
        <f t="shared" si="30"/>
        <v>491</v>
      </c>
      <c r="B493" s="90">
        <v>161.96053458596151</v>
      </c>
      <c r="C493" s="90">
        <v>88.012404129683816</v>
      </c>
    </row>
    <row r="494" spans="1:3">
      <c r="A494">
        <f t="shared" si="30"/>
        <v>492</v>
      </c>
      <c r="B494" s="90">
        <v>281.23842933588884</v>
      </c>
      <c r="C494" s="90">
        <v>88.405139953273675</v>
      </c>
    </row>
    <row r="495" spans="1:3">
      <c r="A495">
        <f t="shared" si="30"/>
        <v>493</v>
      </c>
      <c r="B495" s="90">
        <v>277.01056484304473</v>
      </c>
      <c r="C495" s="90">
        <v>88.787706738039944</v>
      </c>
    </row>
    <row r="496" spans="1:3">
      <c r="A496">
        <f t="shared" si="30"/>
        <v>494</v>
      </c>
      <c r="B496" s="90">
        <v>84.241728928215167</v>
      </c>
      <c r="C496" s="90">
        <v>88.778504353809538</v>
      </c>
    </row>
    <row r="497" spans="1:3">
      <c r="A497">
        <f t="shared" si="30"/>
        <v>495</v>
      </c>
      <c r="B497" s="90">
        <v>121.52591449840953</v>
      </c>
      <c r="C497" s="90">
        <v>88.844660737940032</v>
      </c>
    </row>
    <row r="498" spans="1:3">
      <c r="A498">
        <f t="shared" si="30"/>
        <v>496</v>
      </c>
      <c r="B498" s="90">
        <v>-496.59257516567317</v>
      </c>
      <c r="C498" s="90">
        <v>87.664343730069845</v>
      </c>
    </row>
    <row r="499" spans="1:3">
      <c r="A499">
        <f t="shared" si="30"/>
        <v>497</v>
      </c>
      <c r="B499" s="90">
        <v>161.26074108994118</v>
      </c>
      <c r="C499" s="90">
        <v>87.81242501248407</v>
      </c>
    </row>
    <row r="500" spans="1:3">
      <c r="A500">
        <f t="shared" ref="A500:A515" si="31">A499+1</f>
        <v>498</v>
      </c>
      <c r="B500" s="90">
        <v>431.94980768803396</v>
      </c>
      <c r="C500" s="90">
        <v>88.503463933519313</v>
      </c>
    </row>
    <row r="501" spans="1:3">
      <c r="A501">
        <f t="shared" si="31"/>
        <v>499</v>
      </c>
      <c r="B501" s="90">
        <v>84.241728928215167</v>
      </c>
      <c r="C501" s="90">
        <v>88.494923382406483</v>
      </c>
    </row>
    <row r="502" spans="1:3">
      <c r="A502">
        <f t="shared" si="31"/>
        <v>500</v>
      </c>
      <c r="B502" s="90">
        <v>43.762288751605901</v>
      </c>
      <c r="C502" s="90">
        <v>88.405458113144874</v>
      </c>
    </row>
    <row r="503" spans="1:3">
      <c r="A503">
        <f t="shared" si="31"/>
        <v>501</v>
      </c>
      <c r="B503" s="90">
        <v>-535.77845153214923</v>
      </c>
      <c r="C503" s="90">
        <v>87.159582045988614</v>
      </c>
    </row>
    <row r="504" spans="1:3">
      <c r="A504">
        <f t="shared" si="31"/>
        <v>502</v>
      </c>
      <c r="B504" s="90">
        <v>3.8380317531917814</v>
      </c>
      <c r="C504" s="90">
        <v>86.993602862138417</v>
      </c>
    </row>
    <row r="505" spans="1:3">
      <c r="A505">
        <f t="shared" si="31"/>
        <v>503</v>
      </c>
      <c r="B505" s="90">
        <v>549.79401760490111</v>
      </c>
      <c r="C505" s="90">
        <v>87.913683209539528</v>
      </c>
    </row>
    <row r="506" spans="1:3">
      <c r="A506">
        <f t="shared" si="31"/>
        <v>504</v>
      </c>
      <c r="B506" s="90">
        <v>-118.30906125802414</v>
      </c>
      <c r="C506" s="90">
        <v>87.504511097500711</v>
      </c>
    </row>
    <row r="507" spans="1:3">
      <c r="A507">
        <f t="shared" si="31"/>
        <v>505</v>
      </c>
      <c r="B507" s="90">
        <v>281.65961248355001</v>
      </c>
      <c r="C507" s="90">
        <v>87.888976644799811</v>
      </c>
    </row>
    <row r="508" spans="1:3">
      <c r="A508">
        <f t="shared" si="31"/>
        <v>506</v>
      </c>
      <c r="B508" s="90">
        <v>-74.086409209998479</v>
      </c>
      <c r="C508" s="90">
        <v>87.568867186588747</v>
      </c>
    </row>
    <row r="509" spans="1:3">
      <c r="A509">
        <f t="shared" si="31"/>
        <v>507</v>
      </c>
      <c r="B509" s="90">
        <v>123.48490745514145</v>
      </c>
      <c r="C509" s="90">
        <v>87.63970750270029</v>
      </c>
    </row>
    <row r="510" spans="1:3">
      <c r="A510">
        <f t="shared" si="31"/>
        <v>508</v>
      </c>
      <c r="B510" s="90">
        <v>-117.79787554355185</v>
      </c>
      <c r="C510" s="90">
        <v>87.235302811664354</v>
      </c>
    </row>
    <row r="511" spans="1:3">
      <c r="A511">
        <f t="shared" si="31"/>
        <v>509</v>
      </c>
      <c r="B511" s="90">
        <v>5.5362615637224089</v>
      </c>
      <c r="C511" s="90">
        <v>87.074793889762688</v>
      </c>
    </row>
    <row r="512" spans="1:3">
      <c r="A512">
        <f t="shared" si="31"/>
        <v>510</v>
      </c>
      <c r="B512" s="90">
        <v>125.09138552813428</v>
      </c>
      <c r="C512" s="90">
        <v>87.14933622630852</v>
      </c>
    </row>
    <row r="513" spans="1:3">
      <c r="A513">
        <f t="shared" si="31"/>
        <v>511</v>
      </c>
      <c r="B513" s="90">
        <v>397.76430094358716</v>
      </c>
      <c r="C513" s="90">
        <v>87.757193300119226</v>
      </c>
    </row>
    <row r="514" spans="1:3">
      <c r="A514">
        <f t="shared" si="31"/>
        <v>512</v>
      </c>
      <c r="B514" s="90">
        <v>395.43639903922212</v>
      </c>
      <c r="C514" s="90">
        <v>88.358129248828419</v>
      </c>
    </row>
    <row r="515" spans="1:3">
      <c r="A515">
        <f t="shared" si="31"/>
        <v>513</v>
      </c>
      <c r="B515" s="90">
        <v>-322.70067358468248</v>
      </c>
      <c r="C515" s="90">
        <v>87.556845032778696</v>
      </c>
    </row>
    <row r="516" spans="1:3">
      <c r="A516">
        <f t="shared" ref="A516:A531" si="32">A515+1</f>
        <v>514</v>
      </c>
      <c r="B516" s="90">
        <v>202.30702857294392</v>
      </c>
      <c r="C516" s="90">
        <v>87.78009441709807</v>
      </c>
    </row>
    <row r="517" spans="1:3">
      <c r="A517">
        <f t="shared" si="32"/>
        <v>515</v>
      </c>
      <c r="B517" s="90">
        <v>5.5042835331901996</v>
      </c>
      <c r="C517" s="90">
        <v>87.620335561012823</v>
      </c>
    </row>
    <row r="518" spans="1:3">
      <c r="A518">
        <f t="shared" si="32"/>
        <v>516</v>
      </c>
      <c r="B518" s="90">
        <v>318.26330717027366</v>
      </c>
      <c r="C518" s="90">
        <v>88.067318064131541</v>
      </c>
    </row>
    <row r="519" spans="1:3">
      <c r="A519">
        <f t="shared" si="32"/>
        <v>517</v>
      </c>
      <c r="B519" s="90">
        <v>2.1160209953315028</v>
      </c>
      <c r="C519" s="90">
        <v>87.901067973089368</v>
      </c>
    </row>
    <row r="520" spans="1:3">
      <c r="A520">
        <f t="shared" si="32"/>
        <v>518</v>
      </c>
      <c r="B520" s="90">
        <v>282.27008404901659</v>
      </c>
      <c r="C520" s="90">
        <v>88.27629773385371</v>
      </c>
    </row>
    <row r="521" spans="1:3">
      <c r="A521">
        <f t="shared" si="32"/>
        <v>519</v>
      </c>
      <c r="B521" s="90">
        <v>242.8997364998896</v>
      </c>
      <c r="C521" s="90">
        <v>88.574223434751644</v>
      </c>
    </row>
    <row r="522" spans="1:3">
      <c r="A522">
        <f t="shared" si="32"/>
        <v>520</v>
      </c>
      <c r="B522" s="90">
        <v>-202.52906375917135</v>
      </c>
      <c r="C522" s="90">
        <v>88.01440942091719</v>
      </c>
    </row>
    <row r="523" spans="1:3">
      <c r="A523">
        <f t="shared" si="32"/>
        <v>521</v>
      </c>
      <c r="B523" s="90">
        <v>5.5123406755599653</v>
      </c>
      <c r="C523" s="90">
        <v>87.856056121981766</v>
      </c>
    </row>
    <row r="524" spans="1:3">
      <c r="A524">
        <f t="shared" si="32"/>
        <v>522</v>
      </c>
      <c r="B524" s="90">
        <v>281.32289396710439</v>
      </c>
      <c r="C524" s="90">
        <v>88.226682248121847</v>
      </c>
    </row>
    <row r="525" spans="1:3">
      <c r="A525">
        <f t="shared" si="32"/>
        <v>523</v>
      </c>
      <c r="B525" s="90">
        <v>125.29944529989424</v>
      </c>
      <c r="C525" s="90">
        <v>88.297567072312617</v>
      </c>
    </row>
    <row r="526" spans="1:3">
      <c r="A526">
        <f t="shared" si="32"/>
        <v>524</v>
      </c>
      <c r="B526" s="90">
        <v>3.8297311595933654</v>
      </c>
      <c r="C526" s="90">
        <v>88.13636891217385</v>
      </c>
    </row>
    <row r="527" spans="1:3">
      <c r="A527">
        <f t="shared" si="32"/>
        <v>525</v>
      </c>
      <c r="B527" s="90">
        <v>46.808774517752113</v>
      </c>
      <c r="C527" s="90">
        <v>88.057649684755901</v>
      </c>
    </row>
    <row r="528" spans="1:3">
      <c r="A528">
        <f t="shared" si="32"/>
        <v>526</v>
      </c>
      <c r="B528" s="90">
        <v>84.858337588922865</v>
      </c>
      <c r="C528" s="90">
        <v>88.051567342368386</v>
      </c>
    </row>
    <row r="529" spans="1:3">
      <c r="A529">
        <f t="shared" si="32"/>
        <v>527</v>
      </c>
      <c r="B529" s="90">
        <v>42.022021602859638</v>
      </c>
      <c r="C529" s="90">
        <v>87.964224750832315</v>
      </c>
    </row>
    <row r="530" spans="1:3">
      <c r="A530">
        <f t="shared" si="32"/>
        <v>528</v>
      </c>
      <c r="B530" s="90">
        <v>243.791874928504</v>
      </c>
      <c r="C530" s="90">
        <v>88.259352876168805</v>
      </c>
    </row>
    <row r="531" spans="1:3">
      <c r="A531">
        <f t="shared" si="32"/>
        <v>529</v>
      </c>
      <c r="B531" s="90">
        <v>125.35356391454732</v>
      </c>
      <c r="C531" s="90">
        <v>88.32947425809391</v>
      </c>
    </row>
    <row r="532" spans="1:3">
      <c r="A532">
        <f t="shared" ref="A532:A547" si="33">A531+1</f>
        <v>530</v>
      </c>
      <c r="B532" s="90">
        <v>-74.467466056763811</v>
      </c>
      <c r="C532" s="90">
        <v>88.022310219763995</v>
      </c>
    </row>
    <row r="533" spans="1:3">
      <c r="A533">
        <f t="shared" si="33"/>
        <v>531</v>
      </c>
      <c r="B533" s="90">
        <v>-33.95606633128137</v>
      </c>
      <c r="C533" s="90">
        <v>87.792595762982373</v>
      </c>
    </row>
    <row r="534" spans="1:3">
      <c r="A534">
        <f t="shared" si="33"/>
        <v>532</v>
      </c>
      <c r="B534" s="90">
        <v>-200.84890111538195</v>
      </c>
      <c r="C534" s="90">
        <v>87.250036558323799</v>
      </c>
    </row>
    <row r="535" spans="1:3">
      <c r="A535">
        <f t="shared" si="33"/>
        <v>533</v>
      </c>
      <c r="B535" s="90">
        <v>316.20363718714219</v>
      </c>
      <c r="C535" s="90">
        <v>87.679593032299067</v>
      </c>
    </row>
    <row r="536" spans="1:3">
      <c r="A536">
        <f t="shared" si="33"/>
        <v>534</v>
      </c>
      <c r="B536" s="90">
        <v>-33.964158437745859</v>
      </c>
      <c r="C536" s="90">
        <v>87.451795744901986</v>
      </c>
    </row>
    <row r="537" spans="1:3">
      <c r="A537">
        <f t="shared" si="33"/>
        <v>535</v>
      </c>
      <c r="B537" s="90">
        <v>127.03551810808179</v>
      </c>
      <c r="C537" s="90">
        <v>87.525784011001377</v>
      </c>
    </row>
    <row r="538" spans="1:3">
      <c r="A538">
        <f t="shared" si="33"/>
        <v>536</v>
      </c>
      <c r="B538" s="90">
        <v>125.09138552813428</v>
      </c>
      <c r="C538" s="90">
        <v>87.595869088458713</v>
      </c>
    </row>
    <row r="539" spans="1:3">
      <c r="A539">
        <f t="shared" si="33"/>
        <v>537</v>
      </c>
      <c r="B539" s="90">
        <v>-78.791987445667075</v>
      </c>
      <c r="C539" s="90">
        <v>87.286022055806711</v>
      </c>
    </row>
    <row r="540" spans="1:3">
      <c r="A540">
        <f t="shared" si="33"/>
        <v>538</v>
      </c>
      <c r="B540" s="90">
        <v>4.7604966429302049</v>
      </c>
      <c r="C540" s="90">
        <v>87.132628885894306</v>
      </c>
    </row>
    <row r="541" spans="1:3">
      <c r="A541">
        <f t="shared" si="33"/>
        <v>539</v>
      </c>
      <c r="B541" s="90">
        <v>83.696335981333164</v>
      </c>
      <c r="C541" s="90">
        <v>87.126253574383057</v>
      </c>
    </row>
    <row r="542" spans="1:3">
      <c r="A542">
        <f t="shared" si="33"/>
        <v>540</v>
      </c>
      <c r="B542" s="90">
        <v>41.290912980718858</v>
      </c>
      <c r="C542" s="90">
        <v>87.041373314024412</v>
      </c>
    </row>
    <row r="543" spans="1:3">
      <c r="A543">
        <f t="shared" si="33"/>
        <v>541</v>
      </c>
      <c r="B543" s="90">
        <v>-116.91875212895083</v>
      </c>
      <c r="C543" s="90">
        <v>86.664367536865498</v>
      </c>
    </row>
    <row r="544" spans="1:3">
      <c r="A544">
        <f t="shared" si="33"/>
        <v>542</v>
      </c>
      <c r="B544" s="90">
        <v>-540.85894730513598</v>
      </c>
      <c r="C544" s="90">
        <v>85.506575443061067</v>
      </c>
    </row>
    <row r="545" spans="1:3">
      <c r="A545">
        <f t="shared" si="33"/>
        <v>543</v>
      </c>
      <c r="B545" s="90">
        <v>163.80861846163981</v>
      </c>
      <c r="C545" s="90">
        <v>85.65077810055385</v>
      </c>
    </row>
    <row r="546" spans="1:3">
      <c r="A546">
        <f t="shared" si="33"/>
        <v>544</v>
      </c>
      <c r="B546" s="90">
        <v>1.9805293795650747</v>
      </c>
      <c r="C546" s="90">
        <v>85.496972496287327</v>
      </c>
    </row>
    <row r="547" spans="1:3">
      <c r="A547">
        <f t="shared" si="33"/>
        <v>545</v>
      </c>
      <c r="B547" s="90">
        <v>-242.35379967472477</v>
      </c>
      <c r="C547" s="90">
        <v>84.895411446432263</v>
      </c>
    </row>
    <row r="548" spans="1:3">
      <c r="A548">
        <f t="shared" ref="A548:A563" si="34">A547+1</f>
        <v>546</v>
      </c>
      <c r="B548" s="90">
        <v>162.81159775939597</v>
      </c>
      <c r="C548" s="90">
        <v>85.038115084368087</v>
      </c>
    </row>
    <row r="549" spans="1:3">
      <c r="A549">
        <f t="shared" si="34"/>
        <v>547</v>
      </c>
      <c r="B549" s="90">
        <v>-79.36872206684896</v>
      </c>
      <c r="C549" s="90">
        <v>84.737554138936247</v>
      </c>
    </row>
    <row r="550" spans="1:3">
      <c r="A550">
        <f t="shared" si="34"/>
        <v>548</v>
      </c>
      <c r="B550" s="90">
        <v>-33.95606633128137</v>
      </c>
      <c r="C550" s="90">
        <v>84.520959940997898</v>
      </c>
    </row>
    <row r="551" spans="1:3">
      <c r="A551">
        <f t="shared" si="34"/>
        <v>549</v>
      </c>
      <c r="B551" s="90">
        <v>123.35296841812097</v>
      </c>
      <c r="C551" s="90">
        <v>84.591692196876082</v>
      </c>
    </row>
    <row r="552" spans="1:3">
      <c r="A552">
        <f t="shared" si="34"/>
        <v>550</v>
      </c>
      <c r="B552" s="90">
        <v>-79.595145752925731</v>
      </c>
      <c r="C552" s="90">
        <v>84.293170673330991</v>
      </c>
    </row>
    <row r="553" spans="1:3">
      <c r="A553">
        <f t="shared" si="34"/>
        <v>551</v>
      </c>
      <c r="B553" s="90">
        <v>-73.926180943646401</v>
      </c>
      <c r="C553" s="90">
        <v>84.006021214860979</v>
      </c>
    </row>
    <row r="554" spans="1:3">
      <c r="A554">
        <f t="shared" si="34"/>
        <v>552</v>
      </c>
      <c r="B554" s="90">
        <v>5.4655500206259466</v>
      </c>
      <c r="C554" s="90">
        <v>83.863737752552595</v>
      </c>
    </row>
    <row r="555" spans="1:3">
      <c r="A555">
        <f t="shared" si="34"/>
        <v>553</v>
      </c>
      <c r="B555" s="90">
        <v>83.991799313309656</v>
      </c>
      <c r="C555" s="90">
        <v>83.86396932861183</v>
      </c>
    </row>
    <row r="556" spans="1:3">
      <c r="A556">
        <f t="shared" si="34"/>
        <v>554</v>
      </c>
      <c r="B556" s="90">
        <v>-199.80122558505155</v>
      </c>
      <c r="C556" s="90">
        <v>83.35193829086154</v>
      </c>
    </row>
    <row r="557" spans="1:3">
      <c r="A557">
        <f t="shared" si="34"/>
        <v>555</v>
      </c>
      <c r="B557" s="90">
        <v>43.69249808864484</v>
      </c>
      <c r="C557" s="90">
        <v>83.280479840046738</v>
      </c>
    </row>
    <row r="558" spans="1:3">
      <c r="A558">
        <f t="shared" si="34"/>
        <v>556</v>
      </c>
      <c r="B558" s="90">
        <v>46.85187040236174</v>
      </c>
      <c r="C558" s="90">
        <v>83.214960758324281</v>
      </c>
    </row>
    <row r="559" spans="1:3">
      <c r="A559">
        <f t="shared" si="34"/>
        <v>557</v>
      </c>
      <c r="B559" s="90">
        <v>203.60719228746237</v>
      </c>
      <c r="C559" s="90">
        <v>83.431104800566899</v>
      </c>
    </row>
    <row r="560" spans="1:3">
      <c r="A560">
        <f t="shared" si="34"/>
        <v>558</v>
      </c>
      <c r="B560" s="90">
        <v>-33.62518192059138</v>
      </c>
      <c r="C560" s="90">
        <v>83.221326508951918</v>
      </c>
    </row>
    <row r="561" spans="1:3">
      <c r="A561">
        <f t="shared" si="34"/>
        <v>559</v>
      </c>
      <c r="B561" s="90">
        <v>-35.378537569773847</v>
      </c>
      <c r="C561" s="90">
        <v>83.009162172496232</v>
      </c>
    </row>
    <row r="562" spans="1:3">
      <c r="A562">
        <f t="shared" si="34"/>
        <v>560</v>
      </c>
      <c r="B562" s="90">
        <v>-33.798939291143043</v>
      </c>
      <c r="C562" s="90">
        <v>82.800576277025442</v>
      </c>
    </row>
    <row r="563" spans="1:3">
      <c r="A563">
        <f t="shared" si="34"/>
        <v>561</v>
      </c>
      <c r="B563" s="90">
        <v>122.77808989039873</v>
      </c>
      <c r="C563" s="90">
        <v>82.871837442111683</v>
      </c>
    </row>
    <row r="564" spans="1:3">
      <c r="A564">
        <f t="shared" ref="A564:A579" si="35">A563+1</f>
        <v>562</v>
      </c>
      <c r="B564" s="90">
        <v>201.33857415276631</v>
      </c>
      <c r="C564" s="90">
        <v>83.082632347290783</v>
      </c>
    </row>
    <row r="565" spans="1:3">
      <c r="A565">
        <f t="shared" si="35"/>
        <v>563</v>
      </c>
      <c r="B565" s="90">
        <v>317.74358967311917</v>
      </c>
      <c r="C565" s="90">
        <v>83.499436889610195</v>
      </c>
    </row>
    <row r="566" spans="1:3">
      <c r="A566">
        <f t="shared" si="35"/>
        <v>564</v>
      </c>
      <c r="B566" s="90">
        <v>280.21316915592234</v>
      </c>
      <c r="C566" s="90">
        <v>83.84822010284833</v>
      </c>
    </row>
    <row r="567" spans="1:3">
      <c r="A567">
        <f t="shared" si="35"/>
        <v>565</v>
      </c>
      <c r="B567" s="90">
        <v>3.7946772616270641</v>
      </c>
      <c r="C567" s="90">
        <v>83.706532416403689</v>
      </c>
    </row>
    <row r="568" spans="1:3">
      <c r="A568">
        <f t="shared" si="35"/>
        <v>566</v>
      </c>
      <c r="B568" s="90">
        <v>84.416240600119806</v>
      </c>
      <c r="C568" s="90">
        <v>83.707786317788347</v>
      </c>
    </row>
    <row r="569" spans="1:3">
      <c r="A569">
        <f t="shared" si="35"/>
        <v>567</v>
      </c>
      <c r="B569" s="90">
        <v>-117.76710620970542</v>
      </c>
      <c r="C569" s="90">
        <v>83.352451410332449</v>
      </c>
    </row>
    <row r="570" spans="1:3">
      <c r="A570">
        <f t="shared" si="35"/>
        <v>568</v>
      </c>
      <c r="B570" s="90">
        <v>398.01583752264474</v>
      </c>
      <c r="C570" s="90">
        <v>83.906436245037227</v>
      </c>
    </row>
    <row r="571" spans="1:3">
      <c r="A571">
        <f t="shared" si="35"/>
        <v>569</v>
      </c>
      <c r="B571" s="90">
        <v>4.6930575450560204</v>
      </c>
      <c r="C571" s="90">
        <v>83.767221168235849</v>
      </c>
    </row>
    <row r="572" spans="1:3">
      <c r="A572">
        <f t="shared" si="35"/>
        <v>570</v>
      </c>
      <c r="B572" s="90">
        <v>123.75254974897597</v>
      </c>
      <c r="C572" s="90">
        <v>83.837370867500297</v>
      </c>
    </row>
    <row r="573" spans="1:3">
      <c r="A573">
        <f t="shared" si="35"/>
        <v>571</v>
      </c>
      <c r="B573" s="90">
        <v>283.76878441413015</v>
      </c>
      <c r="C573" s="90">
        <v>84.187513448142397</v>
      </c>
    </row>
    <row r="574" spans="1:3">
      <c r="A574">
        <f t="shared" si="35"/>
        <v>572</v>
      </c>
      <c r="B574" s="90">
        <v>127.03551810808179</v>
      </c>
      <c r="C574" s="90">
        <v>84.262422547198227</v>
      </c>
    </row>
    <row r="575" spans="1:3">
      <c r="A575">
        <f t="shared" si="35"/>
        <v>573</v>
      </c>
      <c r="B575" s="90">
        <v>84.067559863423583</v>
      </c>
      <c r="C575" s="90">
        <v>84.262082472706481</v>
      </c>
    </row>
    <row r="576" spans="1:3">
      <c r="A576">
        <f t="shared" si="35"/>
        <v>574</v>
      </c>
      <c r="B576" s="90">
        <v>160.91197902614275</v>
      </c>
      <c r="C576" s="90">
        <v>84.395618877851831</v>
      </c>
    </row>
    <row r="577" spans="1:3">
      <c r="A577">
        <f t="shared" si="35"/>
        <v>575</v>
      </c>
      <c r="B577" s="90">
        <v>394.85308855021594</v>
      </c>
      <c r="C577" s="90">
        <v>84.935544912064643</v>
      </c>
    </row>
    <row r="578" spans="1:3">
      <c r="A578">
        <f t="shared" si="35"/>
        <v>576</v>
      </c>
      <c r="B578" s="90">
        <v>201.62879883361606</v>
      </c>
      <c r="C578" s="90">
        <v>85.138137366789564</v>
      </c>
    </row>
    <row r="579" spans="1:3">
      <c r="A579">
        <f t="shared" si="35"/>
        <v>577</v>
      </c>
      <c r="B579" s="90">
        <v>127.17205822266993</v>
      </c>
      <c r="C579" s="90">
        <v>85.210986449728694</v>
      </c>
    </row>
    <row r="580" spans="1:3">
      <c r="A580">
        <f t="shared" ref="A580:A595" si="36">A579+1</f>
        <v>578</v>
      </c>
      <c r="B580" s="90">
        <v>-320.97977073881515</v>
      </c>
      <c r="C580" s="90">
        <v>84.508234274662016</v>
      </c>
    </row>
    <row r="581" spans="1:3">
      <c r="A581">
        <f t="shared" si="36"/>
        <v>579</v>
      </c>
      <c r="B581" s="90">
        <v>3.8111443226689197</v>
      </c>
      <c r="C581" s="90">
        <v>84.368861062309691</v>
      </c>
    </row>
    <row r="582" spans="1:3">
      <c r="A582">
        <f t="shared" si="36"/>
        <v>580</v>
      </c>
      <c r="B582" s="90">
        <v>122.97616804968551</v>
      </c>
      <c r="C582" s="90">
        <v>84.43542538470173</v>
      </c>
    </row>
    <row r="583" spans="1:3">
      <c r="A583">
        <f t="shared" si="36"/>
        <v>581</v>
      </c>
      <c r="B583" s="90">
        <v>242.34941559812901</v>
      </c>
      <c r="C583" s="90">
        <v>84.707222269750659</v>
      </c>
    </row>
    <row r="584" spans="1:3">
      <c r="A584">
        <f t="shared" si="36"/>
        <v>582</v>
      </c>
      <c r="B584" s="90">
        <v>165.02409850984881</v>
      </c>
      <c r="C584" s="90">
        <v>84.845223775317834</v>
      </c>
    </row>
    <row r="585" spans="1:3">
      <c r="A585">
        <f t="shared" si="36"/>
        <v>583</v>
      </c>
      <c r="B585" s="90">
        <v>5.4736477619015069</v>
      </c>
      <c r="C585" s="90">
        <v>84.709080420234798</v>
      </c>
    </row>
    <row r="586" spans="1:3">
      <c r="A586">
        <f t="shared" si="36"/>
        <v>584</v>
      </c>
      <c r="B586" s="90">
        <v>-113.88895659012796</v>
      </c>
      <c r="C586" s="90">
        <v>84.369015288367734</v>
      </c>
    </row>
    <row r="587" spans="1:3">
      <c r="A587">
        <f t="shared" si="36"/>
        <v>585</v>
      </c>
      <c r="B587" s="90">
        <v>122.97616804968551</v>
      </c>
      <c r="C587" s="90">
        <v>84.435010421293072</v>
      </c>
    </row>
    <row r="588" spans="1:3">
      <c r="A588">
        <f t="shared" si="36"/>
        <v>586</v>
      </c>
      <c r="B588" s="90">
        <v>432.33451840529193</v>
      </c>
      <c r="C588" s="90">
        <v>85.02869558850125</v>
      </c>
    </row>
    <row r="589" spans="1:3">
      <c r="A589">
        <f t="shared" si="36"/>
        <v>587</v>
      </c>
      <c r="B589" s="90">
        <v>280.69325336923026</v>
      </c>
      <c r="C589" s="90">
        <v>85.362025329183922</v>
      </c>
    </row>
    <row r="590" spans="1:3">
      <c r="A590">
        <f t="shared" si="36"/>
        <v>588</v>
      </c>
      <c r="B590" s="90">
        <v>280.71447090994519</v>
      </c>
      <c r="C590" s="90">
        <v>85.694257379491347</v>
      </c>
    </row>
    <row r="591" spans="1:3">
      <c r="A591">
        <f t="shared" si="36"/>
        <v>589</v>
      </c>
      <c r="B591" s="90">
        <v>161.61025906375869</v>
      </c>
      <c r="C591" s="90">
        <v>85.823147025814379</v>
      </c>
    </row>
    <row r="592" spans="1:3">
      <c r="A592">
        <f t="shared" si="36"/>
        <v>590</v>
      </c>
      <c r="B592" s="90">
        <v>393.00180245632964</v>
      </c>
      <c r="C592" s="90">
        <v>86.343788814679669</v>
      </c>
    </row>
    <row r="593" spans="1:3">
      <c r="A593">
        <f t="shared" si="36"/>
        <v>591</v>
      </c>
      <c r="B593" s="90">
        <v>359.96386144518726</v>
      </c>
      <c r="C593" s="90">
        <v>86.806766940958028</v>
      </c>
    </row>
    <row r="594" spans="1:3">
      <c r="A594">
        <f t="shared" si="36"/>
        <v>592</v>
      </c>
      <c r="B594" s="90">
        <v>360.5144551557164</v>
      </c>
      <c r="C594" s="90">
        <v>87.269111008888359</v>
      </c>
    </row>
    <row r="595" spans="1:3">
      <c r="A595">
        <f t="shared" si="36"/>
        <v>593</v>
      </c>
      <c r="B595" s="90">
        <v>163.18044884253609</v>
      </c>
      <c r="C595" s="90">
        <v>87.397123382975451</v>
      </c>
    </row>
    <row r="596" spans="1:3">
      <c r="A596">
        <f t="shared" ref="A596:A611" si="37">A595+1</f>
        <v>594</v>
      </c>
      <c r="B596" s="90">
        <v>393.60021199336234</v>
      </c>
      <c r="C596" s="90">
        <v>87.912616798144455</v>
      </c>
    </row>
    <row r="597" spans="1:3">
      <c r="A597">
        <f t="shared" si="37"/>
        <v>595</v>
      </c>
      <c r="B597" s="90">
        <v>395.30824623978543</v>
      </c>
      <c r="C597" s="90">
        <v>88.429248108130409</v>
      </c>
    </row>
    <row r="598" spans="1:3">
      <c r="A598">
        <f t="shared" si="37"/>
        <v>596</v>
      </c>
      <c r="B598" s="90">
        <v>45.371547691597058</v>
      </c>
      <c r="C598" s="90">
        <v>88.357003644344275</v>
      </c>
    </row>
    <row r="599" spans="1:3">
      <c r="A599">
        <f t="shared" si="37"/>
        <v>597</v>
      </c>
      <c r="B599" s="90">
        <v>3.7946772616270641</v>
      </c>
      <c r="C599" s="90">
        <v>88.21535820651728</v>
      </c>
    </row>
    <row r="600" spans="1:3">
      <c r="A600">
        <f t="shared" si="37"/>
        <v>598</v>
      </c>
      <c r="B600" s="90">
        <v>45.145397553993888</v>
      </c>
      <c r="C600" s="90">
        <v>88.143334860944492</v>
      </c>
    </row>
    <row r="601" spans="1:3">
      <c r="A601">
        <f t="shared" si="37"/>
        <v>599</v>
      </c>
      <c r="B601" s="90">
        <v>396.42246051073181</v>
      </c>
      <c r="C601" s="90">
        <v>88.657991164199558</v>
      </c>
    </row>
    <row r="602" spans="1:3">
      <c r="A602">
        <f t="shared" si="37"/>
        <v>600</v>
      </c>
      <c r="B602" s="90">
        <v>43.883968808498963</v>
      </c>
      <c r="C602" s="90">
        <v>88.583367793606726</v>
      </c>
    </row>
    <row r="603" spans="1:3">
      <c r="A603">
        <f t="shared" si="37"/>
        <v>601</v>
      </c>
      <c r="B603" s="90">
        <v>-368.87786239095504</v>
      </c>
      <c r="C603" s="90">
        <v>87.822201021253051</v>
      </c>
    </row>
    <row r="604" spans="1:3">
      <c r="A604">
        <f t="shared" si="37"/>
        <v>602</v>
      </c>
      <c r="B604" s="90">
        <v>322.09481881917253</v>
      </c>
      <c r="C604" s="90">
        <v>88.211358193674855</v>
      </c>
    </row>
    <row r="605" spans="1:3">
      <c r="A605">
        <f t="shared" si="37"/>
        <v>603</v>
      </c>
      <c r="B605" s="90">
        <v>43.200024282346817</v>
      </c>
      <c r="C605" s="90">
        <v>88.13671253213036</v>
      </c>
    </row>
    <row r="606" spans="1:3">
      <c r="A606">
        <f t="shared" si="37"/>
        <v>604</v>
      </c>
      <c r="B606" s="90">
        <v>-33.855799537768895</v>
      </c>
      <c r="C606" s="90">
        <v>87.934738174398731</v>
      </c>
    </row>
    <row r="607" spans="1:3">
      <c r="A607">
        <f t="shared" si="37"/>
        <v>605</v>
      </c>
      <c r="B607" s="90">
        <v>240.52559800733204</v>
      </c>
      <c r="C607" s="90">
        <v>88.186954471643261</v>
      </c>
    </row>
    <row r="608" spans="1:3">
      <c r="A608">
        <f t="shared" si="37"/>
        <v>606</v>
      </c>
      <c r="B608" s="90">
        <v>122.77808989039873</v>
      </c>
      <c r="C608" s="90">
        <v>88.244035553192361</v>
      </c>
    </row>
    <row r="609" spans="1:3">
      <c r="A609">
        <f t="shared" si="37"/>
        <v>607</v>
      </c>
      <c r="B609" s="90">
        <v>44.736438186625122</v>
      </c>
      <c r="C609" s="90">
        <v>88.172359116015159</v>
      </c>
    </row>
    <row r="610" spans="1:3">
      <c r="A610">
        <f t="shared" si="37"/>
        <v>608</v>
      </c>
      <c r="B610" s="90">
        <v>-158.44136592519277</v>
      </c>
      <c r="C610" s="90">
        <v>87.766744436671061</v>
      </c>
    </row>
    <row r="611" spans="1:3">
      <c r="A611">
        <f t="shared" si="37"/>
        <v>609</v>
      </c>
      <c r="B611" s="90">
        <v>121.14558821892231</v>
      </c>
      <c r="C611" s="90">
        <v>87.821553703965407</v>
      </c>
    </row>
    <row r="612" spans="1:3">
      <c r="A612">
        <f t="shared" ref="A612:A627" si="38">A611+1</f>
        <v>610</v>
      </c>
      <c r="B612" s="90">
        <v>-243.08848427026314</v>
      </c>
      <c r="C612" s="90">
        <v>87.279078231876511</v>
      </c>
    </row>
    <row r="613" spans="1:3">
      <c r="A613">
        <f t="shared" si="38"/>
        <v>611</v>
      </c>
      <c r="B613" s="90">
        <v>-77.479410457204423</v>
      </c>
      <c r="C613" s="90">
        <v>87.009424404234792</v>
      </c>
    </row>
    <row r="614" spans="1:3">
      <c r="A614">
        <f t="shared" si="38"/>
        <v>612</v>
      </c>
      <c r="B614" s="90">
        <v>85.59489037964434</v>
      </c>
      <c r="C614" s="90">
        <v>87.007113074129265</v>
      </c>
    </row>
    <row r="615" spans="1:3">
      <c r="A615">
        <f t="shared" si="38"/>
        <v>613</v>
      </c>
      <c r="B615" s="90">
        <v>84.607297222141071</v>
      </c>
      <c r="C615" s="90">
        <v>87.003198203245105</v>
      </c>
    </row>
    <row r="616" spans="1:3">
      <c r="A616">
        <f t="shared" si="38"/>
        <v>614</v>
      </c>
      <c r="B616" s="90">
        <v>164.96821133422688</v>
      </c>
      <c r="C616" s="90">
        <v>87.130177051992632</v>
      </c>
    </row>
    <row r="617" spans="1:3">
      <c r="A617">
        <f t="shared" si="38"/>
        <v>615</v>
      </c>
      <c r="B617" s="90">
        <v>82.870814318499725</v>
      </c>
      <c r="C617" s="90">
        <v>87.12325125893004</v>
      </c>
    </row>
    <row r="618" spans="1:3">
      <c r="A618">
        <f t="shared" si="38"/>
        <v>616</v>
      </c>
      <c r="B618" s="90">
        <v>-35.501360495884846</v>
      </c>
      <c r="C618" s="90">
        <v>86.924185330756643</v>
      </c>
    </row>
    <row r="619" spans="1:3">
      <c r="A619">
        <f t="shared" si="38"/>
        <v>617</v>
      </c>
      <c r="B619" s="90">
        <v>42.920341174598619</v>
      </c>
      <c r="C619" s="90">
        <v>86.852866296467894</v>
      </c>
    </row>
    <row r="620" spans="1:3">
      <c r="A620">
        <f t="shared" si="38"/>
        <v>618</v>
      </c>
      <c r="B620" s="90">
        <v>122.77808989039873</v>
      </c>
      <c r="C620" s="90">
        <v>86.910997726231543</v>
      </c>
    </row>
    <row r="621" spans="1:3">
      <c r="A621">
        <f t="shared" si="38"/>
        <v>619</v>
      </c>
      <c r="B621" s="90">
        <v>125.02845750187083</v>
      </c>
      <c r="C621" s="90">
        <v>86.972576821184106</v>
      </c>
    </row>
    <row r="622" spans="1:3">
      <c r="A622">
        <f t="shared" si="38"/>
        <v>620</v>
      </c>
      <c r="B622" s="90">
        <v>1.9827236232884964</v>
      </c>
      <c r="C622" s="90">
        <v>86.83549641280041</v>
      </c>
    </row>
    <row r="623" spans="1:3">
      <c r="A623">
        <f t="shared" si="38"/>
        <v>621</v>
      </c>
      <c r="B623" s="90">
        <v>352.77216222725502</v>
      </c>
      <c r="C623" s="90">
        <v>87.263735810247198</v>
      </c>
    </row>
    <row r="624" spans="1:3">
      <c r="A624">
        <f t="shared" si="38"/>
        <v>622</v>
      </c>
      <c r="B624" s="90">
        <v>-78.479953102260893</v>
      </c>
      <c r="C624" s="90">
        <v>86.997266857011667</v>
      </c>
    </row>
    <row r="625" spans="1:3">
      <c r="A625">
        <f t="shared" si="38"/>
        <v>623</v>
      </c>
      <c r="B625" s="90">
        <v>319.6673221527372</v>
      </c>
      <c r="C625" s="90">
        <v>87.370734040471902</v>
      </c>
    </row>
    <row r="626" spans="1:3">
      <c r="A626">
        <f t="shared" si="38"/>
        <v>624</v>
      </c>
      <c r="B626" s="90">
        <v>84.173843891021889</v>
      </c>
      <c r="C626" s="90">
        <v>87.365610819078555</v>
      </c>
    </row>
    <row r="627" spans="1:3">
      <c r="A627">
        <f t="shared" si="38"/>
        <v>625</v>
      </c>
      <c r="B627" s="90">
        <v>199.1441769453487</v>
      </c>
      <c r="C627" s="90">
        <v>87.544456524880587</v>
      </c>
    </row>
    <row r="628" spans="1:3">
      <c r="A628">
        <f t="shared" ref="A628:A643" si="39">A627+1</f>
        <v>626</v>
      </c>
      <c r="B628" s="90">
        <v>279.48044363390352</v>
      </c>
      <c r="C628" s="90">
        <v>87.851063533041966</v>
      </c>
    </row>
    <row r="629" spans="1:3">
      <c r="A629">
        <f t="shared" si="39"/>
        <v>627</v>
      </c>
      <c r="B629" s="90">
        <v>-37.851391008759386</v>
      </c>
      <c r="C629" s="90">
        <v>87.65058114940274</v>
      </c>
    </row>
    <row r="630" spans="1:3">
      <c r="A630">
        <f t="shared" si="39"/>
        <v>628</v>
      </c>
      <c r="B630" s="90">
        <v>394.87143426675607</v>
      </c>
      <c r="C630" s="90">
        <v>88.139786329525919</v>
      </c>
    </row>
    <row r="631" spans="1:3">
      <c r="A631">
        <f t="shared" si="39"/>
        <v>629</v>
      </c>
      <c r="B631" s="90">
        <v>-408.06317755455672</v>
      </c>
      <c r="C631" s="90">
        <v>87.350910393303209</v>
      </c>
    </row>
    <row r="632" spans="1:3">
      <c r="A632">
        <f t="shared" si="39"/>
        <v>630</v>
      </c>
      <c r="B632" s="90">
        <v>6.2152511394301699</v>
      </c>
      <c r="C632" s="90">
        <v>87.222123632582779</v>
      </c>
    </row>
    <row r="633" spans="1:3">
      <c r="A633">
        <f t="shared" si="39"/>
        <v>631</v>
      </c>
      <c r="B633" s="90">
        <v>46.85187040236174</v>
      </c>
      <c r="C633" s="90">
        <v>87.158145418271801</v>
      </c>
    </row>
    <row r="634" spans="1:3">
      <c r="A634">
        <f t="shared" si="39"/>
        <v>632</v>
      </c>
      <c r="B634" s="90">
        <v>-118.090006460515</v>
      </c>
      <c r="C634" s="90">
        <v>86.833385684286384</v>
      </c>
    </row>
    <row r="635" spans="1:3">
      <c r="A635">
        <f t="shared" si="39"/>
        <v>633</v>
      </c>
      <c r="B635" s="90">
        <v>-201.7764753224665</v>
      </c>
      <c r="C635" s="90">
        <v>86.377445935460543</v>
      </c>
    </row>
    <row r="636" spans="1:3">
      <c r="A636">
        <f t="shared" si="39"/>
        <v>634</v>
      </c>
      <c r="B636" s="90">
        <v>-37.186370917255559</v>
      </c>
      <c r="C636" s="90">
        <v>86.182550325282762</v>
      </c>
    </row>
    <row r="637" spans="1:3">
      <c r="A637">
        <f t="shared" si="39"/>
        <v>635</v>
      </c>
      <c r="B637" s="90">
        <v>-157.07514788268927</v>
      </c>
      <c r="C637" s="90">
        <v>85.799467335978875</v>
      </c>
    </row>
    <row r="638" spans="1:3">
      <c r="A638">
        <f t="shared" si="39"/>
        <v>636</v>
      </c>
      <c r="B638" s="90">
        <v>658.39809838325152</v>
      </c>
      <c r="C638" s="90">
        <v>86.69977964894629</v>
      </c>
    </row>
    <row r="639" spans="1:3">
      <c r="A639">
        <f t="shared" si="39"/>
        <v>637</v>
      </c>
      <c r="B639" s="90">
        <v>317.57499228910797</v>
      </c>
      <c r="C639" s="90">
        <v>87.062221113059564</v>
      </c>
    </row>
    <row r="640" spans="1:3">
      <c r="A640">
        <f t="shared" si="39"/>
        <v>638</v>
      </c>
      <c r="B640" s="90">
        <v>-200.3947371886191</v>
      </c>
      <c r="C640" s="90">
        <v>86.611661617288902</v>
      </c>
    </row>
    <row r="641" spans="1:3">
      <c r="A641">
        <f t="shared" si="39"/>
        <v>639</v>
      </c>
      <c r="B641" s="90">
        <v>2.3045807371893834</v>
      </c>
      <c r="C641" s="90">
        <v>86.479725653470283</v>
      </c>
    </row>
    <row r="642" spans="1:3">
      <c r="A642">
        <f t="shared" si="39"/>
        <v>640</v>
      </c>
      <c r="B642" s="90">
        <v>394.01743734587438</v>
      </c>
      <c r="C642" s="90">
        <v>86.960253327989662</v>
      </c>
    </row>
    <row r="643" spans="1:3">
      <c r="A643">
        <f t="shared" si="39"/>
        <v>641</v>
      </c>
      <c r="B643" s="90">
        <v>3.8923486098903313</v>
      </c>
      <c r="C643" s="90">
        <v>86.830662212984834</v>
      </c>
    </row>
    <row r="644" spans="1:3">
      <c r="A644">
        <f t="shared" ref="A644:A659" si="40">A643+1</f>
        <v>642</v>
      </c>
      <c r="B644" s="90">
        <v>279.36672431212463</v>
      </c>
      <c r="C644" s="90">
        <v>87.130562621238951</v>
      </c>
    </row>
    <row r="645" spans="1:3">
      <c r="A645">
        <f t="shared" si="40"/>
        <v>643</v>
      </c>
      <c r="B645" s="90">
        <v>5.4923793011260775</v>
      </c>
      <c r="C645" s="90">
        <v>87.003598105966603</v>
      </c>
    </row>
    <row r="646" spans="1:3">
      <c r="A646">
        <f t="shared" si="40"/>
        <v>644</v>
      </c>
      <c r="B646" s="90">
        <v>319.11717177893621</v>
      </c>
      <c r="C646" s="90">
        <v>87.364022909806621</v>
      </c>
    </row>
    <row r="647" spans="1:3">
      <c r="A647">
        <f t="shared" si="40"/>
        <v>645</v>
      </c>
      <c r="B647" s="90">
        <v>-35.328794903941699</v>
      </c>
      <c r="C647" s="90">
        <v>87.173801486839565</v>
      </c>
    </row>
    <row r="648" spans="1:3">
      <c r="A648">
        <f t="shared" si="40"/>
        <v>646</v>
      </c>
      <c r="B648" s="90">
        <v>42.944761890712776</v>
      </c>
      <c r="C648" s="90">
        <v>87.105335481272803</v>
      </c>
    </row>
    <row r="649" spans="1:3">
      <c r="A649">
        <f t="shared" si="40"/>
        <v>647</v>
      </c>
      <c r="B649" s="90">
        <v>163.15373548506653</v>
      </c>
      <c r="C649" s="90">
        <v>87.222875512190569</v>
      </c>
    </row>
    <row r="650" spans="1:3">
      <c r="A650">
        <f t="shared" si="40"/>
        <v>648</v>
      </c>
      <c r="B650" s="90">
        <v>5.4352434938312788</v>
      </c>
      <c r="C650" s="90">
        <v>87.096660030680752</v>
      </c>
    </row>
    <row r="651" spans="1:3">
      <c r="A651">
        <f t="shared" si="40"/>
        <v>649</v>
      </c>
      <c r="B651" s="90">
        <v>-154.98888361018373</v>
      </c>
      <c r="C651" s="90">
        <v>86.723646866365101</v>
      </c>
    </row>
    <row r="652" spans="1:3">
      <c r="A652">
        <f t="shared" si="40"/>
        <v>650</v>
      </c>
      <c r="B652" s="90">
        <v>163.62067706087868</v>
      </c>
      <c r="C652" s="90">
        <v>86.841949989741266</v>
      </c>
    </row>
    <row r="653" spans="1:3">
      <c r="A653">
        <f t="shared" si="40"/>
        <v>651</v>
      </c>
      <c r="B653" s="90">
        <v>124.04760141361417</v>
      </c>
      <c r="C653" s="90">
        <v>86.89910152802679</v>
      </c>
    </row>
    <row r="654" spans="1:3">
      <c r="A654">
        <f t="shared" si="40"/>
        <v>652</v>
      </c>
      <c r="B654" s="90">
        <v>-197.9777956652992</v>
      </c>
      <c r="C654" s="90">
        <v>86.462173771595317</v>
      </c>
    </row>
    <row r="655" spans="1:3">
      <c r="A655">
        <f t="shared" si="40"/>
        <v>653</v>
      </c>
      <c r="B655" s="90">
        <v>200.81254216346053</v>
      </c>
      <c r="C655" s="90">
        <v>86.637289190265861</v>
      </c>
    </row>
    <row r="656" spans="1:3">
      <c r="A656">
        <f t="shared" si="40"/>
        <v>654</v>
      </c>
      <c r="B656" s="90">
        <v>-76.977797722879558</v>
      </c>
      <c r="C656" s="90">
        <v>86.387113216392549</v>
      </c>
    </row>
    <row r="657" spans="1:3">
      <c r="A657">
        <f t="shared" si="40"/>
        <v>655</v>
      </c>
      <c r="B657" s="90">
        <v>-369.83656072368319</v>
      </c>
      <c r="C657" s="90">
        <v>85.690588523354265</v>
      </c>
    </row>
    <row r="658" spans="1:3">
      <c r="A658">
        <f t="shared" si="40"/>
        <v>656</v>
      </c>
      <c r="B658" s="90">
        <v>-33.855799537768895</v>
      </c>
      <c r="C658" s="90">
        <v>85.508353175700108</v>
      </c>
    </row>
    <row r="659" spans="1:3">
      <c r="A659">
        <f t="shared" si="40"/>
        <v>657</v>
      </c>
      <c r="B659" s="90">
        <v>84.059537534076895</v>
      </c>
      <c r="C659" s="90">
        <v>85.506147976854407</v>
      </c>
    </row>
    <row r="660" spans="1:3">
      <c r="A660">
        <f t="shared" ref="A660:A675" si="41">A659+1</f>
        <v>658</v>
      </c>
      <c r="B660" s="90">
        <v>2.2946231841653599</v>
      </c>
      <c r="C660" s="90">
        <v>85.379686692974943</v>
      </c>
    </row>
    <row r="661" spans="1:3">
      <c r="A661">
        <f t="shared" si="41"/>
        <v>659</v>
      </c>
      <c r="B661" s="90">
        <v>80.859329905631853</v>
      </c>
      <c r="C661" s="90">
        <v>85.372827274481239</v>
      </c>
    </row>
    <row r="662" spans="1:3">
      <c r="A662">
        <f t="shared" si="41"/>
        <v>660</v>
      </c>
      <c r="B662" s="90">
        <v>-39.754737657200351</v>
      </c>
      <c r="C662" s="90">
        <v>85.18324005488779</v>
      </c>
    </row>
    <row r="663" spans="1:3">
      <c r="A663">
        <f t="shared" si="41"/>
        <v>661</v>
      </c>
      <c r="B663" s="90">
        <v>-240.0567450263845</v>
      </c>
      <c r="C663" s="90">
        <v>84.691197717397202</v>
      </c>
    </row>
    <row r="664" spans="1:3">
      <c r="A664">
        <f t="shared" si="41"/>
        <v>662</v>
      </c>
      <c r="B664" s="90">
        <v>123.48490745514144</v>
      </c>
      <c r="C664" s="90">
        <v>84.74979848739379</v>
      </c>
    </row>
    <row r="665" spans="1:3">
      <c r="A665">
        <f t="shared" si="41"/>
        <v>663</v>
      </c>
      <c r="B665" s="90">
        <v>166.76434275218332</v>
      </c>
      <c r="C665" s="90">
        <v>84.873500665772056</v>
      </c>
    </row>
    <row r="666" spans="1:3">
      <c r="A666">
        <f t="shared" si="41"/>
        <v>664</v>
      </c>
      <c r="B666" s="90">
        <v>84.607297222141071</v>
      </c>
      <c r="C666" s="90">
        <v>84.873099756971413</v>
      </c>
    </row>
    <row r="667" spans="1:3">
      <c r="A667">
        <f t="shared" si="41"/>
        <v>665</v>
      </c>
      <c r="B667" s="90">
        <v>281.30163043930185</v>
      </c>
      <c r="C667" s="90">
        <v>85.168481006117773</v>
      </c>
    </row>
    <row r="668" spans="1:3">
      <c r="A668">
        <f t="shared" si="41"/>
        <v>666</v>
      </c>
      <c r="B668" s="90">
        <v>202.28901033629825</v>
      </c>
      <c r="C668" s="90">
        <v>85.344337656763685</v>
      </c>
    </row>
    <row r="669" spans="1:3">
      <c r="A669">
        <f t="shared" si="41"/>
        <v>667</v>
      </c>
      <c r="B669" s="90">
        <v>-35.328794903941699</v>
      </c>
      <c r="C669" s="90">
        <v>85.163418417542232</v>
      </c>
    </row>
    <row r="670" spans="1:3">
      <c r="A670">
        <f t="shared" si="41"/>
        <v>668</v>
      </c>
      <c r="B670" s="90">
        <v>163.62067706087868</v>
      </c>
      <c r="C670" s="90">
        <v>85.280869403535249</v>
      </c>
    </row>
    <row r="671" spans="1:3">
      <c r="A671">
        <f t="shared" si="41"/>
        <v>669</v>
      </c>
      <c r="B671" s="90">
        <v>241.66748842961562</v>
      </c>
      <c r="C671" s="90">
        <v>85.514631165906081</v>
      </c>
    </row>
    <row r="672" spans="1:3">
      <c r="A672">
        <f t="shared" si="41"/>
        <v>670</v>
      </c>
      <c r="B672" s="90">
        <v>-74.246984756529386</v>
      </c>
      <c r="C672" s="90">
        <v>85.276180992887518</v>
      </c>
    </row>
    <row r="673" spans="1:3">
      <c r="A673">
        <f t="shared" si="41"/>
        <v>671</v>
      </c>
      <c r="B673" s="90">
        <v>84.147072634782148</v>
      </c>
      <c r="C673" s="90">
        <v>85.27449826806172</v>
      </c>
    </row>
    <row r="674" spans="1:3">
      <c r="A674">
        <f t="shared" si="41"/>
        <v>672</v>
      </c>
      <c r="B674" s="90">
        <v>84.173843891021889</v>
      </c>
      <c r="C674" s="90">
        <v>85.272860389524467</v>
      </c>
    </row>
    <row r="675" spans="1:3">
      <c r="A675">
        <f t="shared" si="41"/>
        <v>673</v>
      </c>
      <c r="B675" s="90">
        <v>123.75254974897597</v>
      </c>
      <c r="C675" s="90">
        <v>85.330036748156644</v>
      </c>
    </row>
    <row r="676" spans="1:3">
      <c r="A676">
        <f t="shared" ref="A676:A691" si="42">A675+1</f>
        <v>674</v>
      </c>
      <c r="B676" s="90">
        <v>-115.00365685111981</v>
      </c>
      <c r="C676" s="90">
        <v>85.032805748751187</v>
      </c>
    </row>
    <row r="677" spans="1:3">
      <c r="A677">
        <f t="shared" si="42"/>
        <v>675</v>
      </c>
      <c r="B677" s="90">
        <v>280.2626570482181</v>
      </c>
      <c r="C677" s="90">
        <v>85.322035158083736</v>
      </c>
    </row>
    <row r="678" spans="1:3">
      <c r="A678">
        <f t="shared" si="42"/>
        <v>676</v>
      </c>
      <c r="B678" s="90">
        <v>-242.29781240028979</v>
      </c>
      <c r="C678" s="90">
        <v>84.837390413174887</v>
      </c>
    </row>
    <row r="679" spans="1:3">
      <c r="A679">
        <f t="shared" si="42"/>
        <v>677</v>
      </c>
      <c r="B679" s="90">
        <v>84.607297222141071</v>
      </c>
      <c r="C679" s="90">
        <v>84.837050541400842</v>
      </c>
    </row>
    <row r="680" spans="1:3">
      <c r="A680">
        <f t="shared" si="42"/>
        <v>678</v>
      </c>
      <c r="B680" s="90">
        <v>-119.25010435546696</v>
      </c>
      <c r="C680" s="90">
        <v>84.536037038603098</v>
      </c>
    </row>
    <row r="681" spans="1:3">
      <c r="A681">
        <f t="shared" si="42"/>
        <v>679</v>
      </c>
      <c r="B681" s="90">
        <v>546.27007434371342</v>
      </c>
      <c r="C681" s="90">
        <v>85.216057712101062</v>
      </c>
    </row>
    <row r="682" spans="1:3">
      <c r="A682">
        <f t="shared" si="42"/>
        <v>680</v>
      </c>
      <c r="B682" s="90">
        <v>-77.678109358858521</v>
      </c>
      <c r="C682" s="90">
        <v>84.976507466408478</v>
      </c>
    </row>
    <row r="683" spans="1:3">
      <c r="A683">
        <f t="shared" si="42"/>
        <v>681</v>
      </c>
      <c r="B683" s="90">
        <v>281.72254050981348</v>
      </c>
      <c r="C683" s="90">
        <v>85.265415003917141</v>
      </c>
    </row>
    <row r="684" spans="1:3">
      <c r="A684">
        <f t="shared" si="42"/>
        <v>682</v>
      </c>
      <c r="B684" s="90">
        <v>123.20982166769005</v>
      </c>
      <c r="C684" s="90">
        <v>85.321051963834705</v>
      </c>
    </row>
    <row r="685" spans="1:3">
      <c r="A685">
        <f t="shared" si="42"/>
        <v>683</v>
      </c>
      <c r="B685" s="90">
        <v>43.598003385824363</v>
      </c>
      <c r="C685" s="90">
        <v>85.259964044979625</v>
      </c>
    </row>
    <row r="686" spans="1:3">
      <c r="A686">
        <f t="shared" si="42"/>
        <v>684</v>
      </c>
      <c r="B686" s="90">
        <v>7.8742153589119628</v>
      </c>
      <c r="C686" s="90">
        <v>85.146826985497071</v>
      </c>
    </row>
    <row r="687" spans="1:3">
      <c r="A687">
        <f t="shared" si="42"/>
        <v>685</v>
      </c>
      <c r="B687" s="90">
        <v>319.05937850922692</v>
      </c>
      <c r="C687" s="90">
        <v>85.488305162903984</v>
      </c>
    </row>
    <row r="688" spans="1:3">
      <c r="A688">
        <f t="shared" si="42"/>
        <v>686</v>
      </c>
      <c r="B688" s="90">
        <v>86.274468729931726</v>
      </c>
      <c r="C688" s="90">
        <v>85.48945117393464</v>
      </c>
    </row>
    <row r="689" spans="1:3">
      <c r="A689">
        <f t="shared" si="42"/>
        <v>687</v>
      </c>
      <c r="B689" s="90">
        <v>122.63911069567402</v>
      </c>
      <c r="C689" s="90">
        <v>85.543526369745024</v>
      </c>
    </row>
    <row r="690" spans="1:3">
      <c r="A690">
        <f t="shared" si="42"/>
        <v>688</v>
      </c>
      <c r="B690" s="90">
        <v>-242.92480941428406</v>
      </c>
      <c r="C690" s="90">
        <v>85.066101463082205</v>
      </c>
    </row>
    <row r="691" spans="1:3">
      <c r="A691">
        <f t="shared" si="42"/>
        <v>689</v>
      </c>
      <c r="B691" s="90">
        <v>201.86949482276307</v>
      </c>
      <c r="C691" s="90">
        <v>85.235627433125273</v>
      </c>
    </row>
    <row r="692" spans="1:3">
      <c r="A692">
        <f t="shared" ref="A692:A707" si="43">A691+1</f>
        <v>690</v>
      </c>
      <c r="B692" s="90">
        <v>-33.798939291143043</v>
      </c>
      <c r="C692" s="90">
        <v>85.0631135683075</v>
      </c>
    </row>
    <row r="693" spans="1:3">
      <c r="A693">
        <f t="shared" si="43"/>
        <v>691</v>
      </c>
      <c r="B693" s="90">
        <v>-157.75677793183701</v>
      </c>
      <c r="C693" s="90">
        <v>84.711709962663306</v>
      </c>
    </row>
    <row r="694" spans="1:3">
      <c r="A694">
        <f t="shared" si="43"/>
        <v>692</v>
      </c>
      <c r="B694" s="90">
        <v>84.241728928215167</v>
      </c>
      <c r="C694" s="90">
        <v>84.711030799318721</v>
      </c>
    </row>
    <row r="695" spans="1:3">
      <c r="A695">
        <f t="shared" si="43"/>
        <v>693</v>
      </c>
      <c r="B695" s="90">
        <v>357.38955082275771</v>
      </c>
      <c r="C695" s="90">
        <v>85.104506297188053</v>
      </c>
    </row>
    <row r="696" spans="1:3">
      <c r="A696">
        <f t="shared" si="43"/>
        <v>694</v>
      </c>
      <c r="B696" s="90">
        <v>125.00864769041222</v>
      </c>
      <c r="C696" s="90">
        <v>85.162005060002485</v>
      </c>
    </row>
    <row r="697" spans="1:3">
      <c r="A697">
        <f t="shared" si="43"/>
        <v>695</v>
      </c>
      <c r="B697" s="90">
        <v>45.360078847508341</v>
      </c>
      <c r="C697" s="90">
        <v>85.104736101423356</v>
      </c>
    </row>
    <row r="698" spans="1:3">
      <c r="A698">
        <f t="shared" si="43"/>
        <v>696</v>
      </c>
      <c r="B698" s="90">
        <v>-38.564998375502469</v>
      </c>
      <c r="C698" s="90">
        <v>84.927049701312839</v>
      </c>
    </row>
    <row r="699" spans="1:3">
      <c r="A699">
        <f t="shared" si="43"/>
        <v>697</v>
      </c>
      <c r="B699" s="90">
        <v>-161.90873653033941</v>
      </c>
      <c r="C699" s="90">
        <v>84.572909405428106</v>
      </c>
    </row>
    <row r="700" spans="1:3">
      <c r="A700">
        <f t="shared" si="43"/>
        <v>698</v>
      </c>
      <c r="B700" s="90">
        <v>-35.646568870102698</v>
      </c>
      <c r="C700" s="90">
        <v>84.400675195864324</v>
      </c>
    </row>
    <row r="701" spans="1:3">
      <c r="A701">
        <f t="shared" si="43"/>
        <v>699</v>
      </c>
      <c r="B701" s="90">
        <v>118.96212806442355</v>
      </c>
      <c r="C701" s="90">
        <v>84.450119334445944</v>
      </c>
    </row>
    <row r="702" spans="1:3">
      <c r="A702">
        <f t="shared" si="43"/>
        <v>700</v>
      </c>
      <c r="B702" s="90">
        <v>-113.74796787662029</v>
      </c>
      <c r="C702" s="90">
        <v>84.16697920985871</v>
      </c>
    </row>
    <row r="703" spans="1:3">
      <c r="A703">
        <f t="shared" si="43"/>
        <v>701</v>
      </c>
      <c r="B703" s="90">
        <v>-77.647340025012099</v>
      </c>
      <c r="C703" s="90">
        <v>83.936145658881728</v>
      </c>
    </row>
    <row r="704" spans="1:3">
      <c r="A704">
        <f t="shared" si="43"/>
        <v>702</v>
      </c>
      <c r="B704" s="90">
        <v>6.3008593899437617</v>
      </c>
      <c r="C704" s="90">
        <v>83.825554083000043</v>
      </c>
    </row>
    <row r="705" spans="1:3">
      <c r="A705">
        <f t="shared" si="43"/>
        <v>703</v>
      </c>
      <c r="B705" s="90">
        <v>165.13717413771752</v>
      </c>
      <c r="C705" s="90">
        <v>83.941217838412157</v>
      </c>
    </row>
    <row r="706" spans="1:3">
      <c r="A706">
        <f t="shared" si="43"/>
        <v>704</v>
      </c>
      <c r="B706" s="90">
        <v>204.643511532687</v>
      </c>
      <c r="C706" s="90">
        <v>84.112669960136984</v>
      </c>
    </row>
    <row r="707" spans="1:3">
      <c r="A707">
        <f t="shared" si="43"/>
        <v>705</v>
      </c>
      <c r="B707" s="90">
        <v>316.03599607084828</v>
      </c>
      <c r="C707" s="90">
        <v>84.441639217031607</v>
      </c>
    </row>
    <row r="708" spans="1:3">
      <c r="A708">
        <f t="shared" ref="A708:A723" si="44">A707+1</f>
        <v>706</v>
      </c>
      <c r="B708" s="90">
        <v>241.32716902327201</v>
      </c>
      <c r="C708" s="90">
        <v>84.663856681346388</v>
      </c>
    </row>
    <row r="709" spans="1:3">
      <c r="A709">
        <f t="shared" si="44"/>
        <v>707</v>
      </c>
      <c r="B709" s="90">
        <v>-202.52239441734082</v>
      </c>
      <c r="C709" s="90">
        <v>84.257652648674977</v>
      </c>
    </row>
    <row r="710" spans="1:3">
      <c r="A710">
        <f t="shared" si="44"/>
        <v>708</v>
      </c>
      <c r="B710" s="90">
        <v>163.18044884253609</v>
      </c>
      <c r="C710" s="90">
        <v>84.369125524655004</v>
      </c>
    </row>
    <row r="711" spans="1:3">
      <c r="A711">
        <f t="shared" si="44"/>
        <v>709</v>
      </c>
      <c r="B711" s="90">
        <v>-77.144640090756496</v>
      </c>
      <c r="C711" s="90">
        <v>84.141320495578256</v>
      </c>
    </row>
    <row r="712" spans="1:3">
      <c r="A712">
        <f t="shared" si="44"/>
        <v>710</v>
      </c>
      <c r="B712" s="90">
        <v>44.67458961815462</v>
      </c>
      <c r="C712" s="90">
        <v>84.085733550680473</v>
      </c>
    </row>
    <row r="713" spans="1:3">
      <c r="A713">
        <f t="shared" si="44"/>
        <v>711</v>
      </c>
      <c r="B713" s="90">
        <v>122.84900600526838</v>
      </c>
      <c r="C713" s="90">
        <v>84.140252921221389</v>
      </c>
    </row>
    <row r="714" spans="1:3">
      <c r="A714">
        <f t="shared" si="44"/>
        <v>712</v>
      </c>
      <c r="B714" s="90">
        <v>87.255460064068217</v>
      </c>
      <c r="C714" s="90">
        <v>84.144628212152355</v>
      </c>
    </row>
    <row r="715" spans="1:3">
      <c r="A715">
        <f t="shared" si="44"/>
        <v>713</v>
      </c>
      <c r="B715" s="90">
        <v>45.371547691597058</v>
      </c>
      <c r="C715" s="90">
        <v>84.090248015068823</v>
      </c>
    </row>
    <row r="716" spans="1:3">
      <c r="A716">
        <f t="shared" si="44"/>
        <v>714</v>
      </c>
      <c r="B716" s="90">
        <v>162.31156929846674</v>
      </c>
      <c r="C716" s="90">
        <v>84.199801686334084</v>
      </c>
    </row>
    <row r="717" spans="1:3">
      <c r="A717">
        <f t="shared" si="44"/>
        <v>715</v>
      </c>
      <c r="B717" s="90">
        <v>-113.88895659012796</v>
      </c>
      <c r="C717" s="90">
        <v>83.922754471961412</v>
      </c>
    </row>
    <row r="718" spans="1:3">
      <c r="A718">
        <f t="shared" si="44"/>
        <v>716</v>
      </c>
      <c r="B718" s="90">
        <v>124.64473506597407</v>
      </c>
      <c r="C718" s="90">
        <v>83.979628746534061</v>
      </c>
    </row>
    <row r="719" spans="1:3">
      <c r="A719">
        <f t="shared" si="44"/>
        <v>717</v>
      </c>
      <c r="B719" s="90">
        <v>317.14394649781605</v>
      </c>
      <c r="C719" s="90">
        <v>84.304823053021195</v>
      </c>
    </row>
    <row r="720" spans="1:3">
      <c r="A720">
        <f t="shared" si="44"/>
        <v>718</v>
      </c>
      <c r="B720" s="90">
        <v>466.76567672475329</v>
      </c>
      <c r="C720" s="90">
        <v>84.837498336686565</v>
      </c>
    </row>
    <row r="721" spans="1:3">
      <c r="A721">
        <f t="shared" si="44"/>
        <v>719</v>
      </c>
      <c r="B721" s="90">
        <v>45.077805832129705</v>
      </c>
      <c r="C721" s="90">
        <v>84.782199737931961</v>
      </c>
    </row>
    <row r="722" spans="1:3">
      <c r="A722">
        <f t="shared" si="44"/>
        <v>720</v>
      </c>
      <c r="B722" s="90">
        <v>-77.479410457204423</v>
      </c>
      <c r="C722" s="90">
        <v>84.556836390438718</v>
      </c>
    </row>
    <row r="723" spans="1:3">
      <c r="A723">
        <f t="shared" si="44"/>
        <v>721</v>
      </c>
      <c r="B723" s="90">
        <v>43.762288751605901</v>
      </c>
      <c r="C723" s="90">
        <v>84.500255880537424</v>
      </c>
    </row>
    <row r="724" spans="1:3">
      <c r="A724">
        <f t="shared" ref="A724:A739" si="45">A723+1</f>
        <v>722</v>
      </c>
      <c r="B724" s="90">
        <v>199.57580381716545</v>
      </c>
      <c r="C724" s="90">
        <v>84.659640295962106</v>
      </c>
    </row>
    <row r="725" spans="1:3">
      <c r="A725">
        <f t="shared" si="45"/>
        <v>723</v>
      </c>
      <c r="B725" s="90">
        <v>-197.84987710202012</v>
      </c>
      <c r="C725" s="90">
        <v>84.268894075494643</v>
      </c>
    </row>
    <row r="726" spans="1:3">
      <c r="A726">
        <f t="shared" si="45"/>
        <v>724</v>
      </c>
      <c r="B726" s="90">
        <v>-199.09735312913378</v>
      </c>
      <c r="C726" s="90">
        <v>83.877504231289365</v>
      </c>
    </row>
    <row r="727" spans="1:3">
      <c r="A727">
        <f t="shared" si="45"/>
        <v>725</v>
      </c>
      <c r="B727" s="90">
        <v>-202.04413415433709</v>
      </c>
      <c r="C727" s="90">
        <v>83.483129557654024</v>
      </c>
    </row>
    <row r="728" spans="1:3">
      <c r="A728">
        <f t="shared" si="45"/>
        <v>726</v>
      </c>
      <c r="B728" s="90">
        <v>84.241728928215167</v>
      </c>
      <c r="C728" s="90">
        <v>83.484174460368294</v>
      </c>
    </row>
    <row r="729" spans="1:3">
      <c r="A729">
        <f t="shared" si="45"/>
        <v>727</v>
      </c>
      <c r="B729" s="90">
        <v>45.636765627522529</v>
      </c>
      <c r="C729" s="90">
        <v>83.432114750832056</v>
      </c>
    </row>
    <row r="730" spans="1:3">
      <c r="A730">
        <f t="shared" si="45"/>
        <v>728</v>
      </c>
      <c r="B730" s="90">
        <v>-75.756917581029128</v>
      </c>
      <c r="C730" s="90">
        <v>83.21344849762896</v>
      </c>
    </row>
    <row r="731" spans="1:3">
      <c r="A731">
        <f t="shared" si="45"/>
        <v>729</v>
      </c>
      <c r="B731" s="90">
        <v>280.15312099054478</v>
      </c>
      <c r="C731" s="90">
        <v>83.483598940006061</v>
      </c>
    </row>
    <row r="732" spans="1:3">
      <c r="A732">
        <f t="shared" si="45"/>
        <v>730</v>
      </c>
      <c r="B732" s="90">
        <v>-38.223432052873747</v>
      </c>
      <c r="C732" s="90">
        <v>83.316876979741849</v>
      </c>
    </row>
    <row r="733" spans="1:3">
      <c r="A733">
        <f t="shared" si="45"/>
        <v>731</v>
      </c>
      <c r="B733" s="90">
        <v>-117.40222210432282</v>
      </c>
      <c r="C733" s="90">
        <v>83.042295448847099</v>
      </c>
    </row>
    <row r="734" spans="1:3">
      <c r="A734">
        <f t="shared" si="45"/>
        <v>732</v>
      </c>
      <c r="B734" s="90">
        <v>243.36299845976433</v>
      </c>
      <c r="C734" s="90">
        <v>83.261312802687144</v>
      </c>
    </row>
    <row r="735" spans="1:3">
      <c r="A735">
        <f t="shared" si="45"/>
        <v>733</v>
      </c>
      <c r="B735" s="90">
        <v>124.54846911236753</v>
      </c>
      <c r="C735" s="90">
        <v>83.317639073232428</v>
      </c>
    </row>
    <row r="736" spans="1:3">
      <c r="A736">
        <f t="shared" si="45"/>
        <v>734</v>
      </c>
      <c r="B736" s="90">
        <v>-115.47588772958355</v>
      </c>
      <c r="C736" s="90">
        <v>83.04680320565366</v>
      </c>
    </row>
    <row r="737" spans="1:3">
      <c r="A737">
        <f t="shared" si="45"/>
        <v>735</v>
      </c>
      <c r="B737" s="90">
        <v>84.260501066345554</v>
      </c>
      <c r="C737" s="90">
        <v>83.048454495260046</v>
      </c>
    </row>
    <row r="738" spans="1:3">
      <c r="A738">
        <f t="shared" si="45"/>
        <v>736</v>
      </c>
      <c r="B738" s="90">
        <v>124.44174337753812</v>
      </c>
      <c r="C738" s="90">
        <v>83.104695376893574</v>
      </c>
    </row>
    <row r="739" spans="1:3">
      <c r="A739">
        <f t="shared" si="45"/>
        <v>737</v>
      </c>
      <c r="B739" s="90">
        <v>278.73576064879825</v>
      </c>
      <c r="C739" s="90">
        <v>83.370137799243508</v>
      </c>
    </row>
    <row r="740" spans="1:3">
      <c r="A740">
        <f t="shared" ref="A740:A755" si="46">A739+1</f>
        <v>738</v>
      </c>
      <c r="B740" s="90">
        <v>318.73235685669829</v>
      </c>
      <c r="C740" s="90">
        <v>83.68905679525632</v>
      </c>
    </row>
    <row r="741" spans="1:3">
      <c r="A741">
        <f t="shared" si="46"/>
        <v>739</v>
      </c>
      <c r="B741" s="90">
        <v>-197.31493391096924</v>
      </c>
      <c r="C741" s="90">
        <v>83.308807822717455</v>
      </c>
    </row>
    <row r="742" spans="1:3">
      <c r="A742">
        <f t="shared" si="46"/>
        <v>740</v>
      </c>
      <c r="B742" s="90">
        <v>511.43788050144252</v>
      </c>
      <c r="C742" s="90">
        <v>83.887360623634649</v>
      </c>
    </row>
    <row r="743" spans="1:3">
      <c r="A743">
        <f t="shared" si="46"/>
        <v>741</v>
      </c>
      <c r="B743" s="90">
        <v>43.224604131906538</v>
      </c>
      <c r="C743" s="90">
        <v>83.832485108801009</v>
      </c>
    </row>
    <row r="744" spans="1:3">
      <c r="A744">
        <f t="shared" si="46"/>
        <v>742</v>
      </c>
      <c r="B744" s="90">
        <v>43.128917587704414</v>
      </c>
      <c r="C744" s="90">
        <v>83.777628548799541</v>
      </c>
    </row>
    <row r="745" spans="1:3">
      <c r="A745">
        <f t="shared" si="46"/>
        <v>743</v>
      </c>
      <c r="B745" s="90">
        <v>-284.40302002198445</v>
      </c>
      <c r="C745" s="90">
        <v>83.282096047358365</v>
      </c>
    </row>
    <row r="746" spans="1:3">
      <c r="A746">
        <f t="shared" si="46"/>
        <v>744</v>
      </c>
      <c r="B746" s="90">
        <v>83.00325373416166</v>
      </c>
      <c r="C746" s="90">
        <v>83.281721259302998</v>
      </c>
    </row>
    <row r="747" spans="1:3">
      <c r="A747">
        <f t="shared" si="46"/>
        <v>745</v>
      </c>
      <c r="B747" s="90">
        <v>-35.328794903941699</v>
      </c>
      <c r="C747" s="90">
        <v>83.122512512775145</v>
      </c>
    </row>
    <row r="748" spans="1:3">
      <c r="A748">
        <f t="shared" si="46"/>
        <v>746</v>
      </c>
      <c r="B748" s="90">
        <v>163.15373548506651</v>
      </c>
      <c r="C748" s="90">
        <v>83.229792972523526</v>
      </c>
    </row>
    <row r="749" spans="1:3">
      <c r="A749">
        <f t="shared" si="46"/>
        <v>747</v>
      </c>
      <c r="B749" s="90">
        <v>126.7907558865583</v>
      </c>
      <c r="C749" s="90">
        <v>83.288107514577121</v>
      </c>
    </row>
    <row r="750" spans="1:3">
      <c r="A750">
        <f t="shared" si="46"/>
        <v>748</v>
      </c>
      <c r="B750" s="90">
        <v>84.241728928215167</v>
      </c>
      <c r="C750" s="90">
        <v>83.289382409515142</v>
      </c>
    </row>
    <row r="751" spans="1:3">
      <c r="A751">
        <f t="shared" si="46"/>
        <v>749</v>
      </c>
      <c r="B751" s="90">
        <v>244.58528308253079</v>
      </c>
      <c r="C751" s="90">
        <v>83.50473074152184</v>
      </c>
    </row>
    <row r="752" spans="1:3">
      <c r="A752">
        <f t="shared" si="46"/>
        <v>750</v>
      </c>
      <c r="B752" s="90">
        <v>120.9820166902914</v>
      </c>
      <c r="C752" s="90">
        <v>83.554700456120202</v>
      </c>
    </row>
    <row r="753" spans="1:3">
      <c r="A753">
        <f t="shared" si="46"/>
        <v>751</v>
      </c>
      <c r="B753" s="90">
        <v>43.246671834810883</v>
      </c>
      <c r="C753" s="90">
        <v>83.501027981258261</v>
      </c>
    </row>
    <row r="754" spans="1:3">
      <c r="A754">
        <f t="shared" si="46"/>
        <v>752</v>
      </c>
      <c r="B754" s="90">
        <v>-73.766299206402877</v>
      </c>
      <c r="C754" s="90">
        <v>83.291895897232124</v>
      </c>
    </row>
    <row r="755" spans="1:3">
      <c r="A755">
        <f t="shared" si="46"/>
        <v>753</v>
      </c>
      <c r="B755" s="90">
        <v>281.05046119803262</v>
      </c>
      <c r="C755" s="90">
        <v>83.554523473992816</v>
      </c>
    </row>
    <row r="756" spans="1:3">
      <c r="A756">
        <f t="shared" ref="A756:A771" si="47">A755+1</f>
        <v>754</v>
      </c>
      <c r="B756" s="90">
        <v>45.439579863427667</v>
      </c>
      <c r="C756" s="90">
        <v>83.503973150901885</v>
      </c>
    </row>
    <row r="757" spans="1:3">
      <c r="A757">
        <f t="shared" si="47"/>
        <v>755</v>
      </c>
      <c r="B757" s="90">
        <v>-77.311844074275143</v>
      </c>
      <c r="C757" s="90">
        <v>83.290972068484436</v>
      </c>
    </row>
    <row r="758" spans="1:3">
      <c r="A758">
        <f t="shared" si="47"/>
        <v>756</v>
      </c>
      <c r="B758" s="90">
        <v>396.16504087141891</v>
      </c>
      <c r="C758" s="90">
        <v>83.704826656848098</v>
      </c>
    </row>
    <row r="759" spans="1:3">
      <c r="A759">
        <f t="shared" si="47"/>
        <v>757</v>
      </c>
      <c r="B759" s="90">
        <v>202.28901033629825</v>
      </c>
      <c r="C759" s="90">
        <v>83.861476833439184</v>
      </c>
    </row>
    <row r="760" spans="1:3">
      <c r="A760">
        <f t="shared" si="47"/>
        <v>758</v>
      </c>
      <c r="B760" s="90">
        <v>202.70772566985465</v>
      </c>
      <c r="C760" s="90">
        <v>84.018266079925212</v>
      </c>
    </row>
    <row r="761" spans="1:3">
      <c r="A761">
        <f t="shared" si="47"/>
        <v>759</v>
      </c>
      <c r="B761" s="90">
        <v>5.5281694572579196</v>
      </c>
      <c r="C761" s="90">
        <v>83.914853567905894</v>
      </c>
    </row>
    <row r="762" spans="1:3">
      <c r="A762">
        <f t="shared" si="47"/>
        <v>760</v>
      </c>
      <c r="B762" s="90">
        <v>-74.735711894296443</v>
      </c>
      <c r="C762" s="90">
        <v>83.706102823876677</v>
      </c>
    </row>
    <row r="763" spans="1:3">
      <c r="A763">
        <f t="shared" si="47"/>
        <v>761</v>
      </c>
      <c r="B763" s="90">
        <v>279.05170781863507</v>
      </c>
      <c r="C763" s="90">
        <v>83.962798756852706</v>
      </c>
    </row>
    <row r="764" spans="1:3">
      <c r="A764">
        <f t="shared" si="47"/>
        <v>762</v>
      </c>
      <c r="B764" s="90">
        <v>279.33989503162439</v>
      </c>
      <c r="C764" s="90">
        <v>84.219199145664746</v>
      </c>
    </row>
    <row r="765" spans="1:3">
      <c r="A765">
        <f t="shared" si="47"/>
        <v>763</v>
      </c>
      <c r="B765" s="90">
        <v>279.75710253974773</v>
      </c>
      <c r="C765" s="90">
        <v>84.475474248409284</v>
      </c>
    </row>
    <row r="766" spans="1:3">
      <c r="A766">
        <f t="shared" si="47"/>
        <v>764</v>
      </c>
      <c r="B766" s="90">
        <v>317.05639879613256</v>
      </c>
      <c r="C766" s="90">
        <v>84.779899542319924</v>
      </c>
    </row>
    <row r="767" spans="1:3">
      <c r="A767">
        <f t="shared" si="47"/>
        <v>765</v>
      </c>
      <c r="B767" s="90">
        <v>203.78090796826149</v>
      </c>
      <c r="C767" s="90">
        <v>84.935456416079333</v>
      </c>
    </row>
    <row r="768" spans="1:3">
      <c r="A768">
        <f t="shared" si="47"/>
        <v>766</v>
      </c>
      <c r="B768" s="90">
        <v>359.71770589871448</v>
      </c>
      <c r="C768" s="90">
        <v>85.294179979372586</v>
      </c>
    </row>
    <row r="769" spans="1:3">
      <c r="A769">
        <f t="shared" si="47"/>
        <v>767</v>
      </c>
      <c r="B769" s="90">
        <v>-157.29099730867949</v>
      </c>
      <c r="C769" s="90">
        <v>84.977902042882292</v>
      </c>
    </row>
    <row r="770" spans="1:3">
      <c r="A770">
        <f t="shared" si="47"/>
        <v>768</v>
      </c>
      <c r="B770" s="90">
        <v>-240.31583993680013</v>
      </c>
      <c r="C770" s="90">
        <v>84.554342483012917</v>
      </c>
    </row>
    <row r="771" spans="1:3">
      <c r="A771">
        <f t="shared" si="47"/>
        <v>769</v>
      </c>
      <c r="B771" s="90">
        <v>-37.933430452471093</v>
      </c>
      <c r="C771" s="90">
        <v>84.395060593629978</v>
      </c>
    </row>
    <row r="772" spans="1:3">
      <c r="A772">
        <f t="shared" ref="A772:A787" si="48">A771+1</f>
        <v>770</v>
      </c>
      <c r="B772" s="90">
        <v>-156.84063187684828</v>
      </c>
      <c r="C772" s="90">
        <v>84.081767486525465</v>
      </c>
    </row>
    <row r="773" spans="1:3">
      <c r="A773">
        <f t="shared" si="48"/>
        <v>771</v>
      </c>
      <c r="B773" s="90">
        <v>-538.28464324876882</v>
      </c>
      <c r="C773" s="90">
        <v>83.2745477579453</v>
      </c>
    </row>
    <row r="774" spans="1:3">
      <c r="A774">
        <f t="shared" si="48"/>
        <v>772</v>
      </c>
      <c r="B774" s="90">
        <v>-154.98888361018373</v>
      </c>
      <c r="C774" s="90">
        <v>82.965916370162759</v>
      </c>
    </row>
    <row r="775" spans="1:3">
      <c r="A775">
        <f t="shared" si="48"/>
        <v>773</v>
      </c>
      <c r="B775" s="90">
        <v>243.42290726061591</v>
      </c>
      <c r="C775" s="90">
        <v>83.173493331211219</v>
      </c>
    </row>
    <row r="776" spans="1:3">
      <c r="A776">
        <f t="shared" si="48"/>
        <v>774</v>
      </c>
      <c r="B776" s="90">
        <v>84.241728928215167</v>
      </c>
      <c r="C776" s="90">
        <v>83.174873480561345</v>
      </c>
    </row>
    <row r="777" spans="1:3">
      <c r="A777">
        <f t="shared" si="48"/>
        <v>775</v>
      </c>
      <c r="B777" s="90">
        <v>396.29347143038024</v>
      </c>
      <c r="C777" s="90">
        <v>83.578897477915945</v>
      </c>
    </row>
    <row r="778" spans="1:3">
      <c r="A778">
        <f t="shared" si="48"/>
        <v>776</v>
      </c>
      <c r="B778" s="90">
        <v>164.8429564552807</v>
      </c>
      <c r="C778" s="90">
        <v>83.683619203402245</v>
      </c>
    </row>
    <row r="779" spans="1:3">
      <c r="A779">
        <f t="shared" si="48"/>
        <v>777</v>
      </c>
      <c r="B779" s="90">
        <v>239.40673427891798</v>
      </c>
      <c r="C779" s="90">
        <v>83.884035052920282</v>
      </c>
    </row>
    <row r="780" spans="1:3">
      <c r="A780">
        <f t="shared" si="48"/>
        <v>778</v>
      </c>
      <c r="B780" s="90">
        <v>203.16684664532767</v>
      </c>
      <c r="C780" s="90">
        <v>84.037354862165017</v>
      </c>
    </row>
    <row r="781" spans="1:3">
      <c r="A781">
        <f t="shared" si="48"/>
        <v>779</v>
      </c>
      <c r="B781" s="90">
        <v>44.754986310085748</v>
      </c>
      <c r="C781" s="90">
        <v>83.986928201636033</v>
      </c>
    </row>
    <row r="782" spans="1:3">
      <c r="A782">
        <f t="shared" si="48"/>
        <v>780</v>
      </c>
      <c r="B782" s="90">
        <v>42.827516432098918</v>
      </c>
      <c r="C782" s="90">
        <v>83.934159725008428</v>
      </c>
    </row>
    <row r="783" spans="1:3">
      <c r="A783">
        <f t="shared" si="48"/>
        <v>781</v>
      </c>
      <c r="B783" s="90">
        <v>45.273421672184661</v>
      </c>
      <c r="C783" s="90">
        <v>83.884658139793544</v>
      </c>
    </row>
    <row r="784" spans="1:3">
      <c r="A784">
        <f t="shared" si="48"/>
        <v>782</v>
      </c>
      <c r="B784" s="90">
        <v>42.827516432098925</v>
      </c>
      <c r="C784" s="90">
        <v>83.832155401036914</v>
      </c>
    </row>
    <row r="785" spans="1:3">
      <c r="A785">
        <f t="shared" si="48"/>
        <v>783</v>
      </c>
      <c r="B785" s="90">
        <v>84.241728928215167</v>
      </c>
      <c r="C785" s="90">
        <v>83.832678483447097</v>
      </c>
    </row>
    <row r="786" spans="1:3">
      <c r="A786">
        <f t="shared" si="48"/>
        <v>784</v>
      </c>
      <c r="B786" s="90">
        <v>-121.64488356190441</v>
      </c>
      <c r="C786" s="90">
        <v>83.57058975634844</v>
      </c>
    </row>
    <row r="787" spans="1:3">
      <c r="A787">
        <f t="shared" si="48"/>
        <v>785</v>
      </c>
      <c r="B787" s="90">
        <v>202.28901033629825</v>
      </c>
      <c r="C787" s="90">
        <v>83.721823413138182</v>
      </c>
    </row>
    <row r="788" spans="1:3">
      <c r="A788">
        <f t="shared" ref="A788:A803" si="49">A787+1</f>
        <v>786</v>
      </c>
      <c r="B788" s="90">
        <v>200.27999657940106</v>
      </c>
      <c r="C788" s="90">
        <v>83.870116254316628</v>
      </c>
    </row>
    <row r="789" spans="1:3">
      <c r="A789">
        <f t="shared" si="49"/>
        <v>787</v>
      </c>
      <c r="B789" s="90">
        <v>84.241728928215167</v>
      </c>
      <c r="C789" s="90">
        <v>83.870588443228826</v>
      </c>
    </row>
    <row r="790" spans="1:3">
      <c r="A790">
        <f t="shared" si="49"/>
        <v>788</v>
      </c>
      <c r="B790" s="90">
        <v>43.977212825673682</v>
      </c>
      <c r="C790" s="90">
        <v>83.81996233203904</v>
      </c>
    </row>
    <row r="791" spans="1:3">
      <c r="A791">
        <f t="shared" si="49"/>
        <v>789</v>
      </c>
      <c r="B791" s="90">
        <v>161.96053458596151</v>
      </c>
      <c r="C791" s="90">
        <v>83.918999812715739</v>
      </c>
    </row>
    <row r="792" spans="1:3">
      <c r="A792">
        <f t="shared" si="49"/>
        <v>790</v>
      </c>
      <c r="B792" s="90">
        <v>396.1578679896524</v>
      </c>
      <c r="C792" s="90">
        <v>84.31423888635743</v>
      </c>
    </row>
    <row r="793" spans="1:3">
      <c r="A793">
        <f t="shared" si="49"/>
        <v>791</v>
      </c>
      <c r="B793" s="90">
        <v>-116.58711750722891</v>
      </c>
      <c r="C793" s="90">
        <v>84.060254870689192</v>
      </c>
    </row>
    <row r="794" spans="1:3">
      <c r="A794">
        <f t="shared" si="49"/>
        <v>792</v>
      </c>
      <c r="B794" s="90">
        <v>203.89553132329269</v>
      </c>
      <c r="C794" s="90">
        <v>84.211562037927322</v>
      </c>
    </row>
    <row r="795" spans="1:3">
      <c r="A795">
        <f t="shared" si="49"/>
        <v>793</v>
      </c>
      <c r="B795" s="90">
        <v>243.36804583927085</v>
      </c>
      <c r="C795" s="90">
        <v>84.412263782947932</v>
      </c>
    </row>
    <row r="796" spans="1:3">
      <c r="A796">
        <f t="shared" si="49"/>
        <v>794</v>
      </c>
      <c r="B796" s="90">
        <v>242.8997364998896</v>
      </c>
      <c r="C796" s="90">
        <v>84.611870171760202</v>
      </c>
    </row>
    <row r="797" spans="1:3">
      <c r="A797">
        <f t="shared" si="49"/>
        <v>795</v>
      </c>
      <c r="B797" s="90">
        <v>505.25392356212637</v>
      </c>
      <c r="C797" s="90">
        <v>85.140979672880164</v>
      </c>
    </row>
    <row r="798" spans="1:3">
      <c r="A798">
        <f t="shared" si="49"/>
        <v>796</v>
      </c>
      <c r="B798" s="90">
        <v>240.24653276035826</v>
      </c>
      <c r="C798" s="90">
        <v>85.335835895351863</v>
      </c>
    </row>
    <row r="799" spans="1:3">
      <c r="A799">
        <f t="shared" si="49"/>
        <v>797</v>
      </c>
      <c r="B799" s="90">
        <v>83.453727491626097</v>
      </c>
      <c r="C799" s="90">
        <v>85.333474404255597</v>
      </c>
    </row>
    <row r="800" spans="1:3">
      <c r="A800">
        <f t="shared" si="49"/>
        <v>798</v>
      </c>
      <c r="B800" s="90">
        <v>84.241728928215167</v>
      </c>
      <c r="C800" s="90">
        <v>85.332106302155296</v>
      </c>
    </row>
    <row r="801" spans="1:3">
      <c r="A801">
        <f t="shared" si="49"/>
        <v>799</v>
      </c>
      <c r="B801" s="90">
        <v>46.649434455433202</v>
      </c>
      <c r="C801" s="90">
        <v>85.28369244502548</v>
      </c>
    </row>
    <row r="802" spans="1:3">
      <c r="A802">
        <f t="shared" si="49"/>
        <v>800</v>
      </c>
      <c r="B802" s="90">
        <v>-77.479410457204423</v>
      </c>
      <c r="C802" s="90">
        <v>85.080238566397696</v>
      </c>
    </row>
    <row r="803" spans="1:3">
      <c r="A803">
        <f t="shared" si="49"/>
        <v>801</v>
      </c>
      <c r="B803" s="90">
        <v>-158.06227719836727</v>
      </c>
      <c r="C803" s="90">
        <v>84.776689857577765</v>
      </c>
    </row>
    <row r="804" spans="1:3">
      <c r="A804">
        <f t="shared" ref="A804:A819" si="50">A803+1</f>
        <v>802</v>
      </c>
      <c r="B804" s="90">
        <v>203.78090796826149</v>
      </c>
      <c r="C804" s="90">
        <v>84.925074169436485</v>
      </c>
    </row>
    <row r="805" spans="1:3">
      <c r="A805">
        <f t="shared" si="50"/>
        <v>803</v>
      </c>
      <c r="B805" s="90">
        <v>4.7096211263068266</v>
      </c>
      <c r="C805" s="90">
        <v>84.825179458299331</v>
      </c>
    </row>
    <row r="806" spans="1:3">
      <c r="A806">
        <f t="shared" si="50"/>
        <v>804</v>
      </c>
      <c r="B806" s="90">
        <v>121.36147965489059</v>
      </c>
      <c r="C806" s="90">
        <v>84.870622617747841</v>
      </c>
    </row>
    <row r="807" spans="1:3">
      <c r="A807">
        <f t="shared" si="50"/>
        <v>805</v>
      </c>
      <c r="B807" s="90">
        <v>279.36672431212463</v>
      </c>
      <c r="C807" s="90">
        <v>85.112232681964457</v>
      </c>
    </row>
    <row r="808" spans="1:3">
      <c r="A808">
        <f t="shared" si="50"/>
        <v>806</v>
      </c>
      <c r="B808" s="90">
        <v>122.77808989039873</v>
      </c>
      <c r="C808" s="90">
        <v>85.158964514729277</v>
      </c>
    </row>
    <row r="809" spans="1:3">
      <c r="A809">
        <f t="shared" si="50"/>
        <v>807</v>
      </c>
      <c r="B809" s="90">
        <v>161.03803058620738</v>
      </c>
      <c r="C809" s="90">
        <v>85.252990618907063</v>
      </c>
    </row>
    <row r="810" spans="1:3">
      <c r="A810">
        <f t="shared" si="50"/>
        <v>808</v>
      </c>
      <c r="B810" s="90">
        <v>-76.11135742694195</v>
      </c>
      <c r="C810" s="90">
        <v>85.053282267365176</v>
      </c>
    </row>
    <row r="811" spans="1:3">
      <c r="A811">
        <f t="shared" si="50"/>
        <v>809</v>
      </c>
      <c r="B811" s="90">
        <v>318.11625063384179</v>
      </c>
      <c r="C811" s="90">
        <v>85.341369990933131</v>
      </c>
    </row>
    <row r="812" spans="1:3">
      <c r="A812">
        <f t="shared" si="50"/>
        <v>810</v>
      </c>
      <c r="B812" s="90">
        <v>319.1224429262578</v>
      </c>
      <c r="C812" s="90">
        <v>85.629988599495249</v>
      </c>
    </row>
    <row r="813" spans="1:3">
      <c r="A813">
        <f t="shared" si="50"/>
        <v>811</v>
      </c>
      <c r="B813" s="90">
        <v>165.57818100977497</v>
      </c>
      <c r="C813" s="90">
        <v>85.728568368188562</v>
      </c>
    </row>
    <row r="814" spans="1:3">
      <c r="A814">
        <f t="shared" si="50"/>
        <v>812</v>
      </c>
      <c r="B814" s="90">
        <v>358.95675672267379</v>
      </c>
      <c r="C814" s="90">
        <v>86.06505628488128</v>
      </c>
    </row>
    <row r="815" spans="1:3">
      <c r="A815">
        <f t="shared" si="50"/>
        <v>813</v>
      </c>
      <c r="B815" s="90">
        <v>84.790675835530735</v>
      </c>
      <c r="C815" s="90">
        <v>86.06348878125354</v>
      </c>
    </row>
    <row r="816" spans="1:3">
      <c r="A816">
        <f t="shared" si="50"/>
        <v>814</v>
      </c>
      <c r="B816" s="90">
        <v>277.19640232310888</v>
      </c>
      <c r="C816" s="90">
        <v>86.298295800346722</v>
      </c>
    </row>
    <row r="817" spans="1:3">
      <c r="A817">
        <f t="shared" si="50"/>
        <v>815</v>
      </c>
      <c r="B817" s="90">
        <v>84.241728928215167</v>
      </c>
      <c r="C817" s="90">
        <v>86.295772405411597</v>
      </c>
    </row>
    <row r="818" spans="1:3">
      <c r="A818">
        <f t="shared" si="50"/>
        <v>816</v>
      </c>
      <c r="B818" s="90">
        <v>-35.328794903941699</v>
      </c>
      <c r="C818" s="90">
        <v>86.146722690571707</v>
      </c>
    </row>
    <row r="819" spans="1:3">
      <c r="A819">
        <f t="shared" si="50"/>
        <v>817</v>
      </c>
      <c r="B819" s="90">
        <v>-157.41559396432066</v>
      </c>
      <c r="C819" s="90">
        <v>85.848604799929248</v>
      </c>
    </row>
    <row r="820" spans="1:3">
      <c r="A820">
        <f t="shared" ref="A820:A835" si="51">A819+1</f>
        <v>818</v>
      </c>
      <c r="B820" s="90">
        <v>84.059537534076895</v>
      </c>
      <c r="C820" s="90">
        <v>85.846417676132361</v>
      </c>
    </row>
    <row r="821" spans="1:3">
      <c r="A821">
        <f t="shared" si="51"/>
        <v>819</v>
      </c>
      <c r="B821" s="90">
        <v>-37.02919602663011</v>
      </c>
      <c r="C821" s="90">
        <v>85.696386401770013</v>
      </c>
    </row>
    <row r="822" spans="1:3">
      <c r="A822">
        <f t="shared" si="51"/>
        <v>820</v>
      </c>
      <c r="B822" s="90">
        <v>280.27596108639352</v>
      </c>
      <c r="C822" s="90">
        <v>85.933678566019537</v>
      </c>
    </row>
    <row r="823" spans="1:3">
      <c r="A823">
        <f t="shared" si="51"/>
        <v>821</v>
      </c>
      <c r="B823" s="90">
        <v>431.94980768803396</v>
      </c>
      <c r="C823" s="90">
        <v>86.355135483342337</v>
      </c>
    </row>
    <row r="824" spans="1:3">
      <c r="A824">
        <f t="shared" si="51"/>
        <v>822</v>
      </c>
      <c r="B824" s="90">
        <v>-115.93118984341166</v>
      </c>
      <c r="C824" s="90">
        <v>86.109045063236806</v>
      </c>
    </row>
    <row r="825" spans="1:3">
      <c r="A825">
        <f t="shared" si="51"/>
        <v>823</v>
      </c>
      <c r="B825" s="90">
        <v>43.807922846362011</v>
      </c>
      <c r="C825" s="90">
        <v>86.057646372815327</v>
      </c>
    </row>
    <row r="826" spans="1:3">
      <c r="A826">
        <f t="shared" si="51"/>
        <v>824</v>
      </c>
      <c r="B826" s="90">
        <v>-76.928055057047402</v>
      </c>
      <c r="C826" s="90">
        <v>85.859848191468416</v>
      </c>
    </row>
    <row r="827" spans="1:3">
      <c r="A827">
        <f t="shared" si="51"/>
        <v>825</v>
      </c>
      <c r="B827" s="90">
        <v>-242.35379967472477</v>
      </c>
      <c r="C827" s="90">
        <v>85.462013466782125</v>
      </c>
    </row>
    <row r="828" spans="1:3">
      <c r="A828">
        <f t="shared" si="51"/>
        <v>826</v>
      </c>
      <c r="B828" s="90">
        <v>3.8214485178667719</v>
      </c>
      <c r="C828" s="90">
        <v>85.363175010427511</v>
      </c>
    </row>
    <row r="829" spans="1:3">
      <c r="A829">
        <f t="shared" si="51"/>
        <v>827</v>
      </c>
      <c r="B829" s="90">
        <v>359.14892103656285</v>
      </c>
      <c r="C829" s="90">
        <v>85.69423395362719</v>
      </c>
    </row>
    <row r="830" spans="1:3">
      <c r="A830">
        <f t="shared" si="51"/>
        <v>828</v>
      </c>
      <c r="B830" s="90">
        <v>239.49991289228245</v>
      </c>
      <c r="C830" s="90">
        <v>85.879989604519281</v>
      </c>
    </row>
    <row r="831" spans="1:3">
      <c r="A831">
        <f t="shared" si="51"/>
        <v>829</v>
      </c>
      <c r="B831" s="90">
        <v>-35.328794903941699</v>
      </c>
      <c r="C831" s="90">
        <v>85.733778766752749</v>
      </c>
    </row>
    <row r="832" spans="1:3">
      <c r="A832">
        <f t="shared" si="51"/>
        <v>830</v>
      </c>
      <c r="B832" s="90">
        <v>278.73576064879825</v>
      </c>
      <c r="C832" s="90">
        <v>85.966311275044362</v>
      </c>
    </row>
    <row r="833" spans="1:3">
      <c r="A833">
        <f t="shared" si="51"/>
        <v>831</v>
      </c>
      <c r="B833" s="90">
        <v>-284.82360603550904</v>
      </c>
      <c r="C833" s="90">
        <v>85.520114021963067</v>
      </c>
    </row>
    <row r="834" spans="1:3">
      <c r="A834">
        <f t="shared" si="51"/>
        <v>832</v>
      </c>
      <c r="B834" s="90">
        <v>240.80524557835716</v>
      </c>
      <c r="C834" s="90">
        <v>85.706754805083747</v>
      </c>
    </row>
    <row r="835" spans="1:3">
      <c r="A835">
        <f t="shared" si="51"/>
        <v>833</v>
      </c>
      <c r="B835" s="90">
        <v>-242.87907946965046</v>
      </c>
      <c r="C835" s="90">
        <v>85.312294019639879</v>
      </c>
    </row>
    <row r="836" spans="1:3">
      <c r="A836">
        <f t="shared" ref="A836:A851" si="52">A835+1</f>
        <v>834</v>
      </c>
      <c r="B836" s="90">
        <v>-197.75167740898235</v>
      </c>
      <c r="C836" s="90">
        <v>84.972888778118744</v>
      </c>
    </row>
    <row r="837" spans="1:3">
      <c r="A837">
        <f t="shared" si="52"/>
        <v>835</v>
      </c>
      <c r="B837" s="90">
        <v>240.76724524610987</v>
      </c>
      <c r="C837" s="90">
        <v>85.159468845745081</v>
      </c>
    </row>
    <row r="838" spans="1:3">
      <c r="A838">
        <f t="shared" si="52"/>
        <v>836</v>
      </c>
      <c r="B838" s="90">
        <v>-77.311844074275143</v>
      </c>
      <c r="C838" s="90">
        <v>84.965125170003432</v>
      </c>
    </row>
    <row r="839" spans="1:3">
      <c r="A839">
        <f t="shared" si="52"/>
        <v>837</v>
      </c>
      <c r="B839" s="90">
        <v>-284.83005602673472</v>
      </c>
      <c r="C839" s="90">
        <v>84.523314917677581</v>
      </c>
    </row>
    <row r="840" spans="1:3">
      <c r="A840">
        <f t="shared" si="52"/>
        <v>838</v>
      </c>
      <c r="B840" s="90">
        <v>238.74115049249258</v>
      </c>
      <c r="C840" s="90">
        <v>84.707345747719131</v>
      </c>
    </row>
    <row r="841" spans="1:3">
      <c r="A841">
        <f t="shared" si="52"/>
        <v>839</v>
      </c>
      <c r="B841" s="90">
        <v>203.3401866274977</v>
      </c>
      <c r="C841" s="90">
        <v>84.848743651032336</v>
      </c>
    </row>
    <row r="842" spans="1:3">
      <c r="A842">
        <f t="shared" si="52"/>
        <v>840</v>
      </c>
      <c r="B842" s="90">
        <v>-118.99219959686245</v>
      </c>
      <c r="C842" s="90">
        <v>84.606075861451501</v>
      </c>
    </row>
    <row r="843" spans="1:3">
      <c r="A843">
        <f t="shared" si="52"/>
        <v>841</v>
      </c>
      <c r="B843" s="90">
        <v>-77.42934365174554</v>
      </c>
      <c r="C843" s="90">
        <v>84.413405921483374</v>
      </c>
    </row>
    <row r="844" spans="1:3">
      <c r="A844">
        <f t="shared" si="52"/>
        <v>842</v>
      </c>
      <c r="B844" s="90">
        <v>509.77380645933113</v>
      </c>
      <c r="C844" s="90">
        <v>84.918584544449942</v>
      </c>
    </row>
    <row r="845" spans="1:3">
      <c r="A845">
        <f t="shared" si="52"/>
        <v>843</v>
      </c>
      <c r="B845" s="90">
        <v>122.94335314351842</v>
      </c>
      <c r="C845" s="90">
        <v>84.96369103151882</v>
      </c>
    </row>
    <row r="846" spans="1:3">
      <c r="A846">
        <f t="shared" si="52"/>
        <v>844</v>
      </c>
      <c r="B846" s="90">
        <v>393.59308554985353</v>
      </c>
      <c r="C846" s="90">
        <v>85.329365669573733</v>
      </c>
    </row>
    <row r="847" spans="1:3">
      <c r="A847">
        <f t="shared" si="52"/>
        <v>845</v>
      </c>
      <c r="B847" s="90">
        <v>358.1634500324023</v>
      </c>
      <c r="C847" s="90">
        <v>85.652246242784173</v>
      </c>
    </row>
    <row r="848" spans="1:3">
      <c r="A848">
        <f t="shared" si="52"/>
        <v>846</v>
      </c>
      <c r="B848" s="90">
        <v>2.410424110741467</v>
      </c>
      <c r="C848" s="90">
        <v>85.553851653975613</v>
      </c>
    </row>
    <row r="849" spans="1:3">
      <c r="A849">
        <f t="shared" si="52"/>
        <v>847</v>
      </c>
      <c r="B849" s="90">
        <v>358.93973670022189</v>
      </c>
      <c r="C849" s="90">
        <v>85.876621293935756</v>
      </c>
    </row>
    <row r="850" spans="1:3">
      <c r="A850">
        <f t="shared" si="52"/>
        <v>848</v>
      </c>
      <c r="B850" s="90">
        <v>242.37441202956146</v>
      </c>
      <c r="C850" s="90">
        <v>86.06117057546362</v>
      </c>
    </row>
    <row r="851" spans="1:3">
      <c r="A851">
        <f t="shared" si="52"/>
        <v>849</v>
      </c>
      <c r="B851" s="90">
        <v>87.44457832930739</v>
      </c>
      <c r="C851" s="90">
        <v>86.062800031004073</v>
      </c>
    </row>
    <row r="852" spans="1:3">
      <c r="A852">
        <f t="shared" ref="A852:A867" si="53">A851+1</f>
        <v>850</v>
      </c>
      <c r="B852" s="90">
        <v>241.02002791107526</v>
      </c>
      <c r="C852" s="90">
        <v>86.245102652039449</v>
      </c>
    </row>
    <row r="853" spans="1:3">
      <c r="A853">
        <f t="shared" si="53"/>
        <v>851</v>
      </c>
      <c r="B853" s="90">
        <v>5.5004190181412138</v>
      </c>
      <c r="C853" s="90">
        <v>86.150220532610646</v>
      </c>
    </row>
    <row r="854" spans="1:3">
      <c r="A854">
        <f t="shared" si="53"/>
        <v>852</v>
      </c>
      <c r="B854" s="90">
        <v>-74.628867509315555</v>
      </c>
      <c r="C854" s="90">
        <v>85.961512682796183</v>
      </c>
    </row>
    <row r="855" spans="1:3">
      <c r="A855">
        <f t="shared" si="53"/>
        <v>853</v>
      </c>
      <c r="B855" s="90">
        <v>202.78080908387207</v>
      </c>
      <c r="C855" s="90">
        <v>86.098463792293344</v>
      </c>
    </row>
    <row r="856" spans="1:3">
      <c r="A856">
        <f t="shared" si="53"/>
        <v>854</v>
      </c>
      <c r="B856" s="90">
        <v>161.76373881287904</v>
      </c>
      <c r="C856" s="90">
        <v>86.187064816907608</v>
      </c>
    </row>
    <row r="857" spans="1:3">
      <c r="A857">
        <f t="shared" si="53"/>
        <v>855</v>
      </c>
      <c r="B857" s="90">
        <v>46.232410632800217</v>
      </c>
      <c r="C857" s="90">
        <v>86.140334227218602</v>
      </c>
    </row>
    <row r="858" spans="1:3">
      <c r="A858">
        <f t="shared" si="53"/>
        <v>856</v>
      </c>
      <c r="B858" s="90">
        <v>-408.486368093029</v>
      </c>
      <c r="C858" s="90">
        <v>85.56249929460148</v>
      </c>
    </row>
    <row r="859" spans="1:3">
      <c r="A859">
        <f t="shared" si="53"/>
        <v>857</v>
      </c>
      <c r="B859" s="90">
        <v>201.82474429830461</v>
      </c>
      <c r="C859" s="90">
        <v>85.698161190755158</v>
      </c>
    </row>
    <row r="860" spans="1:3">
      <c r="A860">
        <f t="shared" si="53"/>
        <v>858</v>
      </c>
      <c r="B860" s="90">
        <v>240.21970347985814</v>
      </c>
      <c r="C860" s="90">
        <v>85.878256228388139</v>
      </c>
    </row>
    <row r="861" spans="1:3">
      <c r="A861">
        <f t="shared" si="53"/>
        <v>859</v>
      </c>
      <c r="B861" s="90">
        <v>-159.46443822401918</v>
      </c>
      <c r="C861" s="90">
        <v>85.592641915870786</v>
      </c>
    </row>
    <row r="862" spans="1:3">
      <c r="A862">
        <f t="shared" si="53"/>
        <v>860</v>
      </c>
      <c r="B862" s="90">
        <v>-283.55277369122439</v>
      </c>
      <c r="C862" s="90">
        <v>85.163403060513701</v>
      </c>
    </row>
    <row r="863" spans="1:3">
      <c r="A863">
        <f t="shared" si="53"/>
        <v>861</v>
      </c>
      <c r="B863" s="90">
        <v>-37.899344262708063</v>
      </c>
      <c r="C863" s="90">
        <v>85.02047304039381</v>
      </c>
    </row>
    <row r="864" spans="1:3">
      <c r="A864">
        <f t="shared" si="53"/>
        <v>862</v>
      </c>
      <c r="B864" s="90">
        <v>-158.8615856409034</v>
      </c>
      <c r="C864" s="90">
        <v>84.737547218257745</v>
      </c>
    </row>
    <row r="865" spans="1:3">
      <c r="A865">
        <f t="shared" si="53"/>
        <v>863</v>
      </c>
      <c r="B865" s="90">
        <v>-37.266968990467788</v>
      </c>
      <c r="C865" s="90">
        <v>84.596174661816576</v>
      </c>
    </row>
    <row r="866" spans="1:3">
      <c r="A866">
        <f t="shared" si="53"/>
        <v>864</v>
      </c>
      <c r="B866" s="90">
        <v>202.48580610938069</v>
      </c>
      <c r="C866" s="90">
        <v>84.732620994510512</v>
      </c>
    </row>
    <row r="867" spans="1:3">
      <c r="A867">
        <f t="shared" si="53"/>
        <v>865</v>
      </c>
      <c r="B867" s="90">
        <v>199.84684673479251</v>
      </c>
      <c r="C867" s="90">
        <v>84.865701024268077</v>
      </c>
    </row>
    <row r="868" spans="1:3">
      <c r="A868">
        <f t="shared" ref="A868:A883" si="54">A867+1</f>
        <v>866</v>
      </c>
      <c r="B868" s="90">
        <v>356.38165670513433</v>
      </c>
      <c r="C868" s="90">
        <v>85.17922984145153</v>
      </c>
    </row>
    <row r="869" spans="1:3">
      <c r="A869">
        <f t="shared" si="54"/>
        <v>867</v>
      </c>
      <c r="B869" s="90">
        <v>-157.75677793183701</v>
      </c>
      <c r="C869" s="90">
        <v>84.899026833639212</v>
      </c>
    </row>
    <row r="870" spans="1:3">
      <c r="A870">
        <f t="shared" si="54"/>
        <v>868</v>
      </c>
      <c r="B870" s="90">
        <v>-112.51296245649033</v>
      </c>
      <c r="C870" s="90">
        <v>84.671593666254267</v>
      </c>
    </row>
    <row r="871" spans="1:3">
      <c r="A871">
        <f t="shared" si="54"/>
        <v>869</v>
      </c>
      <c r="B871" s="90">
        <v>-74.086409209998479</v>
      </c>
      <c r="C871" s="90">
        <v>84.488903214152714</v>
      </c>
    </row>
    <row r="872" spans="1:3">
      <c r="A872">
        <f t="shared" si="54"/>
        <v>870</v>
      </c>
      <c r="B872" s="90">
        <v>-241.82887302403191</v>
      </c>
      <c r="C872" s="90">
        <v>84.11382531043067</v>
      </c>
    </row>
    <row r="873" spans="1:3">
      <c r="A873">
        <f t="shared" si="54"/>
        <v>871</v>
      </c>
      <c r="B873" s="90">
        <v>3.8755306841628787</v>
      </c>
      <c r="C873" s="90">
        <v>84.02170327297226</v>
      </c>
    </row>
    <row r="874" spans="1:3">
      <c r="A874">
        <f t="shared" si="54"/>
        <v>872</v>
      </c>
      <c r="B874" s="90">
        <v>84.173843891021875</v>
      </c>
      <c r="C874" s="90">
        <v>84.021877746158097</v>
      </c>
    </row>
    <row r="875" spans="1:3">
      <c r="A875">
        <f t="shared" si="54"/>
        <v>873</v>
      </c>
      <c r="B875" s="90">
        <v>-77.647340025012099</v>
      </c>
      <c r="C875" s="90">
        <v>83.83668963874554</v>
      </c>
    </row>
    <row r="876" spans="1:3">
      <c r="A876">
        <f t="shared" si="54"/>
        <v>874</v>
      </c>
      <c r="B876" s="90">
        <v>242.15315886699898</v>
      </c>
      <c r="C876" s="90">
        <v>84.01782976372067</v>
      </c>
    </row>
    <row r="877" spans="1:3">
      <c r="A877">
        <f t="shared" si="54"/>
        <v>875</v>
      </c>
      <c r="B877" s="90">
        <v>-33.864138272355348</v>
      </c>
      <c r="C877" s="90">
        <v>83.883107514536576</v>
      </c>
    </row>
    <row r="878" spans="1:3">
      <c r="A878">
        <f t="shared" si="54"/>
        <v>876</v>
      </c>
      <c r="B878" s="90">
        <v>163.88857294022955</v>
      </c>
      <c r="C878" s="90">
        <v>83.974437954520241</v>
      </c>
    </row>
    <row r="879" spans="1:3">
      <c r="A879">
        <f t="shared" si="54"/>
        <v>877</v>
      </c>
      <c r="B879" s="90">
        <v>-35.332461690141422</v>
      </c>
      <c r="C879" s="90">
        <v>83.83839816017057</v>
      </c>
    </row>
    <row r="880" spans="1:3">
      <c r="A880">
        <f t="shared" si="54"/>
        <v>878</v>
      </c>
      <c r="B880" s="90">
        <v>203.12174196897877</v>
      </c>
      <c r="C880" s="90">
        <v>83.97425618273185</v>
      </c>
    </row>
    <row r="881" spans="1:3">
      <c r="A881">
        <f t="shared" si="54"/>
        <v>879</v>
      </c>
      <c r="B881" s="90">
        <v>40.973866506219387</v>
      </c>
      <c r="C881" s="90">
        <v>83.925336513020227</v>
      </c>
    </row>
    <row r="882" spans="1:3">
      <c r="A882">
        <f t="shared" si="54"/>
        <v>880</v>
      </c>
      <c r="B882" s="90">
        <v>-118.57508528856138</v>
      </c>
      <c r="C882" s="90">
        <v>83.695222397336607</v>
      </c>
    </row>
    <row r="883" spans="1:3">
      <c r="A883">
        <f t="shared" si="54"/>
        <v>881</v>
      </c>
      <c r="B883" s="90">
        <v>-77.311844074275143</v>
      </c>
      <c r="C883" s="90">
        <v>83.512467497822868</v>
      </c>
    </row>
    <row r="884" spans="1:3">
      <c r="A884">
        <f t="shared" ref="A884:A899" si="55">A883+1</f>
        <v>882</v>
      </c>
      <c r="B884" s="90">
        <v>-159.99597599714562</v>
      </c>
      <c r="C884" s="90">
        <v>83.236380827193656</v>
      </c>
    </row>
    <row r="885" spans="1:3">
      <c r="A885">
        <f t="shared" si="55"/>
        <v>883</v>
      </c>
      <c r="B885" s="90">
        <v>201.82474429830461</v>
      </c>
      <c r="C885" s="90">
        <v>83.370682484578836</v>
      </c>
    </row>
    <row r="886" spans="1:3">
      <c r="A886">
        <f t="shared" si="55"/>
        <v>884</v>
      </c>
      <c r="B886" s="90">
        <v>318.04859214917428</v>
      </c>
      <c r="C886" s="90">
        <v>83.636155233068195</v>
      </c>
    </row>
    <row r="887" spans="1:3">
      <c r="A887">
        <f t="shared" si="55"/>
        <v>885</v>
      </c>
      <c r="B887" s="90">
        <v>240.13980702552882</v>
      </c>
      <c r="C887" s="90">
        <v>83.812995517579438</v>
      </c>
    </row>
    <row r="888" spans="1:3">
      <c r="A888">
        <f t="shared" si="55"/>
        <v>886</v>
      </c>
      <c r="B888" s="90">
        <v>-77.311844074275143</v>
      </c>
      <c r="C888" s="90">
        <v>83.631139039484808</v>
      </c>
    </row>
    <row r="889" spans="1:3">
      <c r="A889">
        <f t="shared" si="55"/>
        <v>887</v>
      </c>
      <c r="B889" s="90">
        <v>-119.34772717884942</v>
      </c>
      <c r="C889" s="90">
        <v>83.402301535292779</v>
      </c>
    </row>
    <row r="890" spans="1:3">
      <c r="A890">
        <f t="shared" si="55"/>
        <v>888</v>
      </c>
      <c r="B890" s="90">
        <v>-74.790618784820396</v>
      </c>
      <c r="C890" s="90">
        <v>83.224156354752097</v>
      </c>
    </row>
    <row r="891" spans="1:3">
      <c r="A891">
        <f t="shared" si="55"/>
        <v>889</v>
      </c>
      <c r="B891" s="90">
        <v>242.37441202956146</v>
      </c>
      <c r="C891" s="90">
        <v>83.403178014678772</v>
      </c>
    </row>
    <row r="892" spans="1:3">
      <c r="A892">
        <f t="shared" si="55"/>
        <v>890</v>
      </c>
      <c r="B892" s="90">
        <v>-158.0987013845388</v>
      </c>
      <c r="C892" s="90">
        <v>83.131827588387509</v>
      </c>
    </row>
    <row r="893" spans="1:3">
      <c r="A893">
        <f t="shared" si="55"/>
        <v>891</v>
      </c>
      <c r="B893" s="90">
        <v>43.979083315336453</v>
      </c>
      <c r="C893" s="90">
        <v>83.087885114455915</v>
      </c>
    </row>
    <row r="894" spans="1:3">
      <c r="A894">
        <f t="shared" si="55"/>
        <v>892</v>
      </c>
      <c r="B894" s="90">
        <v>126.42953993614853</v>
      </c>
      <c r="C894" s="90">
        <v>83.136474413583372</v>
      </c>
    </row>
    <row r="895" spans="1:3">
      <c r="A895">
        <f t="shared" si="55"/>
        <v>893</v>
      </c>
      <c r="B895" s="90">
        <v>-198.78375290222843</v>
      </c>
      <c r="C895" s="90">
        <v>82.820774271012482</v>
      </c>
    </row>
    <row r="896" spans="1:3">
      <c r="A896">
        <f t="shared" si="55"/>
        <v>894</v>
      </c>
      <c r="B896" s="90">
        <v>243.03638543214186</v>
      </c>
      <c r="C896" s="90">
        <v>82.999986364033887</v>
      </c>
    </row>
    <row r="897" spans="1:3">
      <c r="A897">
        <f t="shared" si="55"/>
        <v>895</v>
      </c>
      <c r="B897" s="90">
        <v>-38.015647709207506</v>
      </c>
      <c r="C897" s="90">
        <v>82.864773365069368</v>
      </c>
    </row>
    <row r="898" spans="1:3">
      <c r="A898">
        <f t="shared" si="55"/>
        <v>896</v>
      </c>
      <c r="B898" s="90">
        <v>548.6406218341474</v>
      </c>
      <c r="C898" s="90">
        <v>83.38461248166432</v>
      </c>
    </row>
    <row r="899" spans="1:3">
      <c r="A899">
        <f t="shared" si="55"/>
        <v>897</v>
      </c>
      <c r="B899" s="90">
        <v>44.254763879823727</v>
      </c>
      <c r="C899" s="90">
        <v>83.340989462041307</v>
      </c>
    </row>
    <row r="900" spans="1:3">
      <c r="A900">
        <f t="shared" ref="A900:A915" si="56">A899+1</f>
        <v>898</v>
      </c>
      <c r="B900" s="90">
        <v>238.79925977064229</v>
      </c>
      <c r="C900" s="90">
        <v>83.514105575970717</v>
      </c>
    </row>
    <row r="901" spans="1:3">
      <c r="A901">
        <f t="shared" si="56"/>
        <v>899</v>
      </c>
      <c r="B901" s="90">
        <v>162.31962644083657</v>
      </c>
      <c r="C901" s="90">
        <v>83.601764664808158</v>
      </c>
    </row>
    <row r="902" spans="1:3">
      <c r="A902">
        <f t="shared" si="56"/>
        <v>900</v>
      </c>
      <c r="B902" s="90">
        <v>84.241728928215167</v>
      </c>
      <c r="C902" s="90">
        <v>83.602475736211943</v>
      </c>
    </row>
    <row r="903" spans="1:3">
      <c r="A903">
        <f t="shared" si="56"/>
        <v>901</v>
      </c>
      <c r="B903" s="90">
        <v>280.74285240075926</v>
      </c>
      <c r="C903" s="90">
        <v>83.821277486117097</v>
      </c>
    </row>
    <row r="904" spans="1:3">
      <c r="A904">
        <f t="shared" si="56"/>
        <v>902</v>
      </c>
      <c r="B904" s="90">
        <v>84.059537534076895</v>
      </c>
      <c r="C904" s="90">
        <v>83.821541632511739</v>
      </c>
    </row>
    <row r="905" spans="1:3">
      <c r="A905">
        <f t="shared" si="56"/>
        <v>903</v>
      </c>
      <c r="B905" s="90">
        <v>-33.798939291143043</v>
      </c>
      <c r="C905" s="90">
        <v>83.691286393393625</v>
      </c>
    </row>
    <row r="906" spans="1:3">
      <c r="A906">
        <f t="shared" si="56"/>
        <v>904</v>
      </c>
      <c r="B906" s="90">
        <v>-159.1195610629596</v>
      </c>
      <c r="C906" s="90">
        <v>83.422690323198537</v>
      </c>
    </row>
    <row r="907" spans="1:3">
      <c r="A907">
        <f t="shared" si="56"/>
        <v>905</v>
      </c>
      <c r="B907" s="90">
        <v>509.01193414305715</v>
      </c>
      <c r="C907" s="90">
        <v>83.892954681010536</v>
      </c>
    </row>
    <row r="908" spans="1:3">
      <c r="A908">
        <f t="shared" si="56"/>
        <v>906</v>
      </c>
      <c r="B908" s="90">
        <v>-77.311844074275143</v>
      </c>
      <c r="C908" s="90">
        <v>83.715024439558789</v>
      </c>
    </row>
    <row r="909" spans="1:3">
      <c r="A909">
        <f t="shared" si="56"/>
        <v>907</v>
      </c>
      <c r="B909" s="90">
        <v>-157.94452295126084</v>
      </c>
      <c r="C909" s="90">
        <v>83.448586129315316</v>
      </c>
    </row>
    <row r="910" spans="1:3">
      <c r="A910">
        <f t="shared" si="56"/>
        <v>908</v>
      </c>
      <c r="B910" s="90">
        <v>161.96053458596151</v>
      </c>
      <c r="C910" s="90">
        <v>83.535053032901942</v>
      </c>
    </row>
    <row r="911" spans="1:3">
      <c r="A911">
        <f t="shared" si="56"/>
        <v>909</v>
      </c>
      <c r="B911" s="90">
        <v>278.87600528360042</v>
      </c>
      <c r="C911" s="90">
        <v>83.749949570031418</v>
      </c>
    </row>
    <row r="912" spans="1:3">
      <c r="A912">
        <f t="shared" si="56"/>
        <v>910</v>
      </c>
      <c r="B912" s="90">
        <v>123.47686773812632</v>
      </c>
      <c r="C912" s="90">
        <v>83.793605524062286</v>
      </c>
    </row>
    <row r="913" spans="1:3">
      <c r="A913">
        <f t="shared" si="56"/>
        <v>911</v>
      </c>
      <c r="B913" s="90">
        <v>-115.72617120236947</v>
      </c>
      <c r="C913" s="90">
        <v>83.574593694505268</v>
      </c>
    </row>
    <row r="914" spans="1:3">
      <c r="A914">
        <f t="shared" si="56"/>
        <v>912</v>
      </c>
      <c r="B914" s="90">
        <v>5.5123406755599653</v>
      </c>
      <c r="C914" s="90">
        <v>83.488999118826598</v>
      </c>
    </row>
    <row r="915" spans="1:3">
      <c r="A915">
        <f t="shared" si="56"/>
        <v>913</v>
      </c>
      <c r="B915" s="90">
        <v>-38.146308897539221</v>
      </c>
      <c r="C915" s="90">
        <v>83.355773151667378</v>
      </c>
    </row>
    <row r="916" spans="1:3">
      <c r="A916">
        <f t="shared" ref="A916:A931" si="57">A915+1</f>
        <v>914</v>
      </c>
      <c r="B916" s="90">
        <v>357.45177028267403</v>
      </c>
      <c r="C916" s="90">
        <v>83.655659362970454</v>
      </c>
    </row>
    <row r="917" spans="1:3">
      <c r="A917">
        <f t="shared" si="57"/>
        <v>915</v>
      </c>
      <c r="B917" s="90">
        <v>-35.176147464494697</v>
      </c>
      <c r="C917" s="90">
        <v>83.525788535836611</v>
      </c>
    </row>
    <row r="918" spans="1:3">
      <c r="A918">
        <f t="shared" si="57"/>
        <v>916</v>
      </c>
      <c r="B918" s="90">
        <v>44.789890196078154</v>
      </c>
      <c r="C918" s="90">
        <v>83.483500437212413</v>
      </c>
    </row>
    <row r="919" spans="1:3">
      <c r="A919">
        <f t="shared" si="57"/>
        <v>917</v>
      </c>
      <c r="B919" s="90">
        <v>-162.27034384009093</v>
      </c>
      <c r="C919" s="90">
        <v>83.215502788055048</v>
      </c>
    </row>
    <row r="920" spans="1:3">
      <c r="A920">
        <f t="shared" si="57"/>
        <v>918</v>
      </c>
      <c r="B920" s="90">
        <v>85.633804061210185</v>
      </c>
      <c r="C920" s="90">
        <v>83.218137103167422</v>
      </c>
    </row>
    <row r="921" spans="1:3">
      <c r="A921">
        <f t="shared" si="57"/>
        <v>919</v>
      </c>
      <c r="B921" s="90">
        <v>122.97616804968551</v>
      </c>
      <c r="C921" s="90">
        <v>83.26139937840847</v>
      </c>
    </row>
    <row r="922" spans="1:3">
      <c r="A922">
        <f t="shared" si="57"/>
        <v>920</v>
      </c>
      <c r="B922" s="90">
        <v>125.29944529989424</v>
      </c>
      <c r="C922" s="90">
        <v>83.307092906584003</v>
      </c>
    </row>
    <row r="923" spans="1:3">
      <c r="A923">
        <f t="shared" si="57"/>
        <v>921</v>
      </c>
      <c r="B923" s="90">
        <v>45.371547691597058</v>
      </c>
      <c r="C923" s="90">
        <v>83.265903389521043</v>
      </c>
    </row>
    <row r="924" spans="1:3">
      <c r="A924">
        <f t="shared" si="57"/>
        <v>922</v>
      </c>
      <c r="B924" s="90">
        <v>124.82084770544216</v>
      </c>
      <c r="C924" s="90">
        <v>83.310973828041568</v>
      </c>
    </row>
    <row r="925" spans="1:3">
      <c r="A925">
        <f t="shared" si="57"/>
        <v>923</v>
      </c>
      <c r="B925" s="90">
        <v>124.25233421041364</v>
      </c>
      <c r="C925" s="90">
        <v>83.355330664858869</v>
      </c>
    </row>
    <row r="926" spans="1:3">
      <c r="A926">
        <f t="shared" si="57"/>
        <v>924</v>
      </c>
      <c r="B926" s="90">
        <v>126.97245369105087</v>
      </c>
      <c r="C926" s="90">
        <v>83.402535343458638</v>
      </c>
    </row>
    <row r="927" spans="1:3">
      <c r="A927">
        <f t="shared" si="57"/>
        <v>925</v>
      </c>
      <c r="B927" s="90">
        <v>-156.92196762253926</v>
      </c>
      <c r="C927" s="90">
        <v>83.142725069981893</v>
      </c>
    </row>
    <row r="928" spans="1:3">
      <c r="A928">
        <f t="shared" si="57"/>
        <v>926</v>
      </c>
      <c r="B928" s="90">
        <v>-75.425732931107703</v>
      </c>
      <c r="C928" s="90">
        <v>82.971484834559547</v>
      </c>
    </row>
    <row r="929" spans="1:3">
      <c r="A929">
        <f t="shared" si="57"/>
        <v>927</v>
      </c>
      <c r="B929" s="90">
        <v>85.736172018597017</v>
      </c>
      <c r="C929" s="90">
        <v>82.974467237131336</v>
      </c>
    </row>
    <row r="930" spans="1:3">
      <c r="A930">
        <f t="shared" si="57"/>
        <v>928</v>
      </c>
      <c r="B930" s="90">
        <v>-75.088286408647448</v>
      </c>
      <c r="C930" s="90">
        <v>82.804140993978564</v>
      </c>
    </row>
    <row r="931" spans="1:3">
      <c r="A931">
        <f t="shared" si="57"/>
        <v>929</v>
      </c>
      <c r="B931" s="90">
        <v>393.80920336504869</v>
      </c>
      <c r="C931" s="90">
        <v>83.138915011600801</v>
      </c>
    </row>
    <row r="932" spans="1:3">
      <c r="A932">
        <f t="shared" ref="A932:A947" si="58">A931+1</f>
        <v>930</v>
      </c>
      <c r="B932" s="90">
        <v>46.669180907052862</v>
      </c>
      <c r="C932" s="90">
        <v>83.099700243746454</v>
      </c>
    </row>
    <row r="933" spans="1:3">
      <c r="A933">
        <f t="shared" si="58"/>
        <v>931</v>
      </c>
      <c r="B933" s="90">
        <v>472.26071702865607</v>
      </c>
      <c r="C933" s="90">
        <v>83.517703484116907</v>
      </c>
    </row>
    <row r="934" spans="1:3">
      <c r="A934">
        <f t="shared" si="58"/>
        <v>932</v>
      </c>
      <c r="B934" s="90">
        <v>240.28726264389516</v>
      </c>
      <c r="C934" s="90">
        <v>83.685911165618819</v>
      </c>
    </row>
    <row r="935" spans="1:3">
      <c r="A935">
        <f t="shared" si="58"/>
        <v>933</v>
      </c>
      <c r="B935" s="90">
        <v>204.71522960112441</v>
      </c>
      <c r="C935" s="90">
        <v>83.815631764156336</v>
      </c>
    </row>
    <row r="936" spans="1:3">
      <c r="A936">
        <f t="shared" si="58"/>
        <v>934</v>
      </c>
      <c r="B936" s="90">
        <v>41.262907697672205</v>
      </c>
      <c r="C936" s="90">
        <v>83.770072102414915</v>
      </c>
    </row>
    <row r="937" spans="1:3">
      <c r="A937">
        <f t="shared" si="58"/>
        <v>935</v>
      </c>
      <c r="B937" s="90">
        <v>-281.75221899010256</v>
      </c>
      <c r="C937" s="90">
        <v>83.379139170765157</v>
      </c>
    </row>
    <row r="938" spans="1:3">
      <c r="A938">
        <f t="shared" si="58"/>
        <v>936</v>
      </c>
      <c r="B938" s="90">
        <v>242.04532252001127</v>
      </c>
      <c r="C938" s="90">
        <v>83.548654323916068</v>
      </c>
    </row>
    <row r="939" spans="1:3">
      <c r="A939">
        <f t="shared" si="58"/>
        <v>937</v>
      </c>
      <c r="B939" s="90">
        <v>203.25861661945177</v>
      </c>
      <c r="C939" s="90">
        <v>83.676413088372357</v>
      </c>
    </row>
    <row r="940" spans="1:3">
      <c r="A940">
        <f t="shared" si="58"/>
        <v>938</v>
      </c>
      <c r="B940" s="90">
        <v>241.02002791107526</v>
      </c>
      <c r="C940" s="90">
        <v>83.844156814196126</v>
      </c>
    </row>
    <row r="941" spans="1:3">
      <c r="A941">
        <f t="shared" si="58"/>
        <v>939</v>
      </c>
      <c r="B941" s="90">
        <v>510.61487132961855</v>
      </c>
      <c r="C941" s="90">
        <v>84.298651717833422</v>
      </c>
    </row>
    <row r="942" spans="1:3">
      <c r="A942">
        <f t="shared" si="58"/>
        <v>940</v>
      </c>
      <c r="B942" s="90">
        <v>279.71262613850877</v>
      </c>
      <c r="C942" s="90">
        <v>84.506538924663928</v>
      </c>
    </row>
    <row r="943" spans="1:3">
      <c r="A943">
        <f t="shared" si="58"/>
        <v>941</v>
      </c>
      <c r="B943" s="90">
        <v>162.12240413083381</v>
      </c>
      <c r="C943" s="90">
        <v>84.58902124688089</v>
      </c>
    </row>
    <row r="944" spans="1:3">
      <c r="A944">
        <f t="shared" si="58"/>
        <v>942</v>
      </c>
      <c r="B944" s="90">
        <v>161.26874606922408</v>
      </c>
      <c r="C944" s="90">
        <v>84.670422228645592</v>
      </c>
    </row>
    <row r="945" spans="1:3">
      <c r="A945">
        <f t="shared" si="58"/>
        <v>943</v>
      </c>
      <c r="B945" s="90">
        <v>317.57499228910797</v>
      </c>
      <c r="C945" s="90">
        <v>84.917404805592</v>
      </c>
    </row>
    <row r="946" spans="1:3">
      <c r="A946">
        <f t="shared" si="58"/>
        <v>944</v>
      </c>
      <c r="B946" s="90">
        <v>202.28901033629825</v>
      </c>
      <c r="C946" s="90">
        <v>85.041739133484711</v>
      </c>
    </row>
    <row r="947" spans="1:3">
      <c r="A947">
        <f t="shared" si="58"/>
        <v>945</v>
      </c>
      <c r="B947" s="90">
        <v>45.371547691597058</v>
      </c>
      <c r="C947" s="90">
        <v>84.999760094921868</v>
      </c>
    </row>
    <row r="948" spans="1:3">
      <c r="A948">
        <f t="shared" ref="A948:A963" si="59">A947+1</f>
        <v>946</v>
      </c>
      <c r="B948" s="90">
        <v>164.07103933745881</v>
      </c>
      <c r="C948" s="90">
        <v>85.083344956700444</v>
      </c>
    </row>
    <row r="949" spans="1:3">
      <c r="A949">
        <f t="shared" si="59"/>
        <v>947</v>
      </c>
      <c r="B949" s="90">
        <v>-77.311844074275143</v>
      </c>
      <c r="C949" s="90">
        <v>84.911861124566371</v>
      </c>
    </row>
    <row r="950" spans="1:3">
      <c r="A950">
        <f t="shared" si="59"/>
        <v>948</v>
      </c>
      <c r="B950" s="90">
        <v>86.367376974596155</v>
      </c>
      <c r="C950" s="90">
        <v>84.91339647883855</v>
      </c>
    </row>
    <row r="951" spans="1:3">
      <c r="A951">
        <f t="shared" si="59"/>
        <v>949</v>
      </c>
      <c r="B951" s="90">
        <v>204.77829401815529</v>
      </c>
      <c r="C951" s="90">
        <v>85.039703009438455</v>
      </c>
    </row>
    <row r="952" spans="1:3">
      <c r="A952">
        <f t="shared" si="59"/>
        <v>950</v>
      </c>
      <c r="B952" s="90">
        <v>-202.6797464518327</v>
      </c>
      <c r="C952" s="90">
        <v>84.73684043105817</v>
      </c>
    </row>
    <row r="953" spans="1:3">
      <c r="A953">
        <f t="shared" si="59"/>
        <v>951</v>
      </c>
      <c r="B953" s="90">
        <v>356.67870167174266</v>
      </c>
      <c r="C953" s="90">
        <v>85.022794018062044</v>
      </c>
    </row>
    <row r="954" spans="1:3">
      <c r="A954">
        <f t="shared" si="59"/>
        <v>952</v>
      </c>
      <c r="B954" s="90">
        <v>318.43226997376422</v>
      </c>
      <c r="C954" s="90">
        <v>85.267972039023917</v>
      </c>
    </row>
    <row r="955" spans="1:3">
      <c r="A955">
        <f t="shared" si="59"/>
        <v>953</v>
      </c>
      <c r="B955" s="90">
        <v>-35.149491880576306</v>
      </c>
      <c r="C955" s="90">
        <v>85.141615833441975</v>
      </c>
    </row>
    <row r="956" spans="1:3">
      <c r="A956">
        <f t="shared" si="59"/>
        <v>954</v>
      </c>
      <c r="B956" s="90">
        <v>84.127422571270188</v>
      </c>
      <c r="C956" s="90">
        <v>85.140552737779331</v>
      </c>
    </row>
    <row r="957" spans="1:3">
      <c r="A957">
        <f t="shared" si="59"/>
        <v>955</v>
      </c>
      <c r="B957" s="90">
        <v>355.90730499287838</v>
      </c>
      <c r="C957" s="90">
        <v>85.424078132810848</v>
      </c>
    </row>
    <row r="958" spans="1:3">
      <c r="A958">
        <f t="shared" si="59"/>
        <v>956</v>
      </c>
      <c r="B958" s="90">
        <v>281.65961248355001</v>
      </c>
      <c r="C958" s="90">
        <v>85.62934542815681</v>
      </c>
    </row>
    <row r="959" spans="1:3">
      <c r="A959">
        <f t="shared" si="59"/>
        <v>957</v>
      </c>
      <c r="B959" s="90">
        <v>-116.69188741142979</v>
      </c>
      <c r="C959" s="90">
        <v>85.417933481615961</v>
      </c>
    </row>
    <row r="960" spans="1:3">
      <c r="A960">
        <f t="shared" si="59"/>
        <v>958</v>
      </c>
      <c r="B960" s="90">
        <v>279.44685208476699</v>
      </c>
      <c r="C960" s="90">
        <v>85.620468887255996</v>
      </c>
    </row>
    <row r="961" spans="1:3">
      <c r="A961">
        <f t="shared" si="59"/>
        <v>959</v>
      </c>
      <c r="B961" s="90">
        <v>-158.123697808184</v>
      </c>
      <c r="C961" s="90">
        <v>85.366303958480771</v>
      </c>
    </row>
    <row r="962" spans="1:3">
      <c r="A962">
        <f t="shared" si="59"/>
        <v>960</v>
      </c>
      <c r="B962" s="90">
        <v>-37.899344262708063</v>
      </c>
      <c r="C962" s="90">
        <v>85.237902241583697</v>
      </c>
    </row>
    <row r="963" spans="1:3">
      <c r="A963">
        <f t="shared" si="59"/>
        <v>961</v>
      </c>
      <c r="B963" s="90">
        <v>-119.62645525590901</v>
      </c>
      <c r="C963" s="90">
        <v>85.024723929931767</v>
      </c>
    </row>
    <row r="964" spans="1:3">
      <c r="A964">
        <f t="shared" ref="A964:A979" si="60">A963+1</f>
        <v>962</v>
      </c>
      <c r="B964" s="90">
        <v>82.217888401728374</v>
      </c>
      <c r="C964" s="90">
        <v>85.021806221482507</v>
      </c>
    </row>
    <row r="965" spans="1:3">
      <c r="A965">
        <f t="shared" si="60"/>
        <v>963</v>
      </c>
      <c r="B965" s="90">
        <v>122.77808989039873</v>
      </c>
      <c r="C965" s="90">
        <v>85.061013161948665</v>
      </c>
    </row>
    <row r="966" spans="1:3">
      <c r="A966">
        <f t="shared" si="60"/>
        <v>964</v>
      </c>
      <c r="B966" s="90">
        <v>-321.02969238359407</v>
      </c>
      <c r="C966" s="90">
        <v>84.639757243332951</v>
      </c>
    </row>
    <row r="967" spans="1:3">
      <c r="A967">
        <f t="shared" si="60"/>
        <v>965</v>
      </c>
      <c r="B967" s="90">
        <v>283.7056253985765</v>
      </c>
      <c r="C967" s="90">
        <v>84.846043117068959</v>
      </c>
    </row>
    <row r="968" spans="1:3">
      <c r="A968">
        <f t="shared" si="60"/>
        <v>966</v>
      </c>
      <c r="B968" s="90">
        <v>84.817621542111198</v>
      </c>
      <c r="C968" s="90">
        <v>84.846013695148713</v>
      </c>
    </row>
    <row r="969" spans="1:3">
      <c r="A969">
        <f t="shared" si="60"/>
        <v>967</v>
      </c>
      <c r="B969" s="90">
        <v>358.1634500324023</v>
      </c>
      <c r="C969" s="90">
        <v>85.128658406976285</v>
      </c>
    </row>
    <row r="970" spans="1:3">
      <c r="A970">
        <f t="shared" si="60"/>
        <v>968</v>
      </c>
      <c r="B970" s="90">
        <v>239.70017517442915</v>
      </c>
      <c r="C970" s="90">
        <v>85.28833972595092</v>
      </c>
    </row>
    <row r="971" spans="1:3">
      <c r="A971">
        <f t="shared" si="60"/>
        <v>969</v>
      </c>
      <c r="B971" s="90">
        <v>82.202467301345521</v>
      </c>
      <c r="C971" s="90">
        <v>85.285155131085489</v>
      </c>
    </row>
    <row r="972" spans="1:3">
      <c r="A972">
        <f t="shared" si="60"/>
        <v>970</v>
      </c>
      <c r="B972" s="90">
        <v>-119.08964371681959</v>
      </c>
      <c r="C972" s="90">
        <v>85.074459462170111</v>
      </c>
    </row>
    <row r="973" spans="1:3">
      <c r="A973">
        <f t="shared" si="60"/>
        <v>971</v>
      </c>
      <c r="B973" s="90">
        <v>-32.414698038426366</v>
      </c>
      <c r="C973" s="90">
        <v>84.953461359697826</v>
      </c>
    </row>
    <row r="974" spans="1:3">
      <c r="A974">
        <f t="shared" si="60"/>
        <v>972</v>
      </c>
      <c r="B974" s="90">
        <v>-35.42902360934221</v>
      </c>
      <c r="C974" s="90">
        <v>84.829611066519803</v>
      </c>
    </row>
    <row r="975" spans="1:3">
      <c r="A975">
        <f t="shared" si="60"/>
        <v>973</v>
      </c>
      <c r="B975" s="90">
        <v>-409.08974152599876</v>
      </c>
      <c r="C975" s="90">
        <v>84.321985832611773</v>
      </c>
    </row>
    <row r="976" spans="1:3">
      <c r="A976">
        <f t="shared" si="60"/>
        <v>974</v>
      </c>
      <c r="B976" s="90">
        <v>203.48005720819668</v>
      </c>
      <c r="C976" s="90">
        <v>84.444324714927575</v>
      </c>
    </row>
    <row r="977" spans="1:3">
      <c r="A977">
        <f t="shared" si="60"/>
        <v>975</v>
      </c>
      <c r="B977" s="90">
        <v>282.33314846604753</v>
      </c>
      <c r="C977" s="90">
        <v>84.647287611082561</v>
      </c>
    </row>
    <row r="978" spans="1:3">
      <c r="A978">
        <f t="shared" si="60"/>
        <v>976</v>
      </c>
      <c r="B978" s="90">
        <v>316.43335025061219</v>
      </c>
      <c r="C978" s="90">
        <v>84.884773331000105</v>
      </c>
    </row>
    <row r="979" spans="1:3">
      <c r="A979">
        <f t="shared" si="60"/>
        <v>977</v>
      </c>
      <c r="B979" s="90">
        <v>-75.987325419663236</v>
      </c>
      <c r="C979" s="90">
        <v>84.720114069228714</v>
      </c>
    </row>
    <row r="980" spans="1:3">
      <c r="A980">
        <f t="shared" ref="A980:A995" si="61">A979+1</f>
        <v>978</v>
      </c>
      <c r="B980" s="90">
        <v>161.26074108994118</v>
      </c>
      <c r="C980" s="90">
        <v>84.79837646904538</v>
      </c>
    </row>
    <row r="981" spans="1:3">
      <c r="A981">
        <f t="shared" si="61"/>
        <v>979</v>
      </c>
      <c r="B981" s="90">
        <v>125.36250971692516</v>
      </c>
      <c r="C981" s="90">
        <v>84.839810721596848</v>
      </c>
    </row>
    <row r="982" spans="1:3">
      <c r="A982">
        <f t="shared" si="61"/>
        <v>980</v>
      </c>
      <c r="B982" s="90">
        <v>279.37463818036343</v>
      </c>
      <c r="C982" s="90">
        <v>85.038315647575175</v>
      </c>
    </row>
    <row r="983" spans="1:3">
      <c r="A983">
        <f t="shared" si="61"/>
        <v>981</v>
      </c>
      <c r="B983" s="90">
        <v>125.36250971692516</v>
      </c>
      <c r="C983" s="90">
        <v>85.079420840306426</v>
      </c>
    </row>
    <row r="984" spans="1:3">
      <c r="A984">
        <f t="shared" si="61"/>
        <v>982</v>
      </c>
      <c r="B984" s="90">
        <v>-121.64488356190441</v>
      </c>
      <c r="C984" s="90">
        <v>84.868907292035331</v>
      </c>
    </row>
    <row r="985" spans="1:3">
      <c r="A985">
        <f t="shared" si="61"/>
        <v>983</v>
      </c>
      <c r="B985" s="90">
        <v>395.64062816101335</v>
      </c>
      <c r="C985" s="90">
        <v>85.185053498412728</v>
      </c>
    </row>
    <row r="986" spans="1:3">
      <c r="A986">
        <f t="shared" si="61"/>
        <v>984</v>
      </c>
      <c r="B986" s="90">
        <v>120.94751005963552</v>
      </c>
      <c r="C986" s="90">
        <v>85.22139745833266</v>
      </c>
    </row>
    <row r="987" spans="1:3">
      <c r="A987">
        <f t="shared" si="61"/>
        <v>985</v>
      </c>
      <c r="B987" s="90">
        <v>84.241728928215167</v>
      </c>
      <c r="C987" s="90">
        <v>85.220402870992444</v>
      </c>
    </row>
    <row r="988" spans="1:3">
      <c r="A988">
        <f t="shared" si="61"/>
        <v>986</v>
      </c>
      <c r="B988" s="90">
        <v>434.01776535552864</v>
      </c>
      <c r="C988" s="90">
        <v>85.574152731524421</v>
      </c>
    </row>
    <row r="989" spans="1:3">
      <c r="A989">
        <f t="shared" si="61"/>
        <v>987</v>
      </c>
      <c r="B989" s="90">
        <v>319.1224429262578</v>
      </c>
      <c r="C989" s="90">
        <v>85.810777139016551</v>
      </c>
    </row>
    <row r="990" spans="1:3">
      <c r="A990">
        <f t="shared" si="61"/>
        <v>988</v>
      </c>
      <c r="B990" s="90">
        <v>-412.73628918206941</v>
      </c>
      <c r="C990" s="90">
        <v>85.306174845169295</v>
      </c>
    </row>
    <row r="991" spans="1:3">
      <c r="A991">
        <f t="shared" si="61"/>
        <v>989</v>
      </c>
      <c r="B991" s="90">
        <v>-370.02664159101352</v>
      </c>
      <c r="C991" s="90">
        <v>84.845777659692871</v>
      </c>
    </row>
    <row r="992" spans="1:3">
      <c r="A992">
        <f t="shared" si="61"/>
        <v>990</v>
      </c>
      <c r="B992" s="90">
        <v>355.90730499287827</v>
      </c>
      <c r="C992" s="90">
        <v>85.11957718225166</v>
      </c>
    </row>
    <row r="993" spans="1:3">
      <c r="A993">
        <f t="shared" si="61"/>
        <v>991</v>
      </c>
      <c r="B993" s="90">
        <v>-282.32760863904105</v>
      </c>
      <c r="C993" s="90">
        <v>84.748792938234203</v>
      </c>
    </row>
    <row r="994" spans="1:3">
      <c r="A994">
        <f t="shared" si="61"/>
        <v>992</v>
      </c>
      <c r="B994" s="90">
        <v>398.87585047576317</v>
      </c>
      <c r="C994" s="90">
        <v>85.065453278493806</v>
      </c>
    </row>
    <row r="995" spans="1:3">
      <c r="A995">
        <f t="shared" si="61"/>
        <v>993</v>
      </c>
      <c r="B995" s="90">
        <v>281.09395862345275</v>
      </c>
      <c r="C995" s="90">
        <v>85.262863656484711</v>
      </c>
    </row>
    <row r="996" spans="1:3">
      <c r="A996">
        <f t="shared" ref="A996:A1059" si="62">A995+1</f>
        <v>994</v>
      </c>
      <c r="B996" s="90">
        <v>-279.86010022517883</v>
      </c>
      <c r="C996" s="90">
        <v>84.895536731050441</v>
      </c>
    </row>
    <row r="997" spans="1:3">
      <c r="A997">
        <f t="shared" si="62"/>
        <v>995</v>
      </c>
      <c r="B997" s="90">
        <v>84.858337588922865</v>
      </c>
      <c r="C997" s="90">
        <v>84.895499344977949</v>
      </c>
    </row>
    <row r="998" spans="1:3">
      <c r="A998">
        <f t="shared" si="62"/>
        <v>996</v>
      </c>
      <c r="B998" s="90">
        <v>-115.32270746943355</v>
      </c>
      <c r="C998" s="90">
        <v>84.69447704897955</v>
      </c>
    </row>
    <row r="999" spans="1:3">
      <c r="A999">
        <f t="shared" si="62"/>
        <v>997</v>
      </c>
      <c r="B999" s="90">
        <v>5.5123406755599653</v>
      </c>
      <c r="C999" s="90">
        <v>84.615056651413425</v>
      </c>
    </row>
    <row r="1000" spans="1:3">
      <c r="A1000">
        <f t="shared" si="62"/>
        <v>998</v>
      </c>
      <c r="B1000" s="90">
        <v>46.808774517752113</v>
      </c>
      <c r="C1000" s="90">
        <v>84.577174605187309</v>
      </c>
    </row>
    <row r="1001" spans="1:3">
      <c r="A1001">
        <f t="shared" si="62"/>
        <v>999</v>
      </c>
      <c r="B1001" s="90">
        <v>204.6652183902865</v>
      </c>
      <c r="C1001" s="90">
        <v>84.697382857224454</v>
      </c>
    </row>
    <row r="1002" spans="1:3">
      <c r="A1002">
        <f t="shared" si="62"/>
        <v>1000</v>
      </c>
      <c r="B1002" s="90">
        <v>283.14734887345401</v>
      </c>
      <c r="C1002" s="90">
        <v>84.895832823240681</v>
      </c>
    </row>
    <row r="1003" spans="1:3">
      <c r="A1003">
        <f t="shared" si="62"/>
        <v>1001</v>
      </c>
    </row>
    <row r="1004" spans="1:3">
      <c r="A1004">
        <f t="shared" si="62"/>
        <v>1002</v>
      </c>
    </row>
    <row r="1005" spans="1:3">
      <c r="A1005">
        <f t="shared" si="62"/>
        <v>1003</v>
      </c>
    </row>
    <row r="1006" spans="1:3">
      <c r="A1006">
        <f t="shared" si="62"/>
        <v>1004</v>
      </c>
    </row>
    <row r="1007" spans="1:3">
      <c r="A1007">
        <f t="shared" si="62"/>
        <v>1005</v>
      </c>
    </row>
    <row r="1008" spans="1:3">
      <c r="A1008">
        <f t="shared" si="62"/>
        <v>1006</v>
      </c>
    </row>
    <row r="1009" spans="1:1">
      <c r="A1009">
        <f t="shared" si="62"/>
        <v>1007</v>
      </c>
    </row>
    <row r="1010" spans="1:1">
      <c r="A1010">
        <f t="shared" si="62"/>
        <v>1008</v>
      </c>
    </row>
    <row r="1011" spans="1:1">
      <c r="A1011">
        <f t="shared" si="62"/>
        <v>1009</v>
      </c>
    </row>
    <row r="1012" spans="1:1">
      <c r="A1012">
        <f t="shared" si="62"/>
        <v>1010</v>
      </c>
    </row>
    <row r="1013" spans="1:1">
      <c r="A1013">
        <f t="shared" si="62"/>
        <v>1011</v>
      </c>
    </row>
    <row r="1014" spans="1:1">
      <c r="A1014">
        <f t="shared" si="62"/>
        <v>1012</v>
      </c>
    </row>
    <row r="1015" spans="1:1">
      <c r="A1015">
        <f t="shared" si="62"/>
        <v>1013</v>
      </c>
    </row>
    <row r="1016" spans="1:1">
      <c r="A1016">
        <f t="shared" si="62"/>
        <v>1014</v>
      </c>
    </row>
    <row r="1017" spans="1:1">
      <c r="A1017">
        <f t="shared" si="62"/>
        <v>1015</v>
      </c>
    </row>
    <row r="1018" spans="1:1">
      <c r="A1018">
        <f t="shared" si="62"/>
        <v>1016</v>
      </c>
    </row>
    <row r="1019" spans="1:1">
      <c r="A1019">
        <f t="shared" si="62"/>
        <v>1017</v>
      </c>
    </row>
    <row r="1020" spans="1:1">
      <c r="A1020">
        <f t="shared" si="62"/>
        <v>1018</v>
      </c>
    </row>
    <row r="1021" spans="1:1">
      <c r="A1021">
        <f t="shared" si="62"/>
        <v>1019</v>
      </c>
    </row>
    <row r="1022" spans="1:1">
      <c r="A1022">
        <f t="shared" si="62"/>
        <v>1020</v>
      </c>
    </row>
    <row r="1023" spans="1:1">
      <c r="A1023">
        <f t="shared" si="62"/>
        <v>1021</v>
      </c>
    </row>
    <row r="1024" spans="1:1">
      <c r="A1024">
        <f t="shared" si="62"/>
        <v>1022</v>
      </c>
    </row>
    <row r="1025" spans="1:1">
      <c r="A1025">
        <f t="shared" si="62"/>
        <v>1023</v>
      </c>
    </row>
    <row r="1026" spans="1:1">
      <c r="A1026">
        <f t="shared" si="62"/>
        <v>1024</v>
      </c>
    </row>
    <row r="1027" spans="1:1">
      <c r="A1027">
        <f t="shared" si="62"/>
        <v>1025</v>
      </c>
    </row>
    <row r="1028" spans="1:1">
      <c r="A1028">
        <f t="shared" si="62"/>
        <v>1026</v>
      </c>
    </row>
    <row r="1029" spans="1:1">
      <c r="A1029">
        <f t="shared" si="62"/>
        <v>1027</v>
      </c>
    </row>
    <row r="1030" spans="1:1">
      <c r="A1030">
        <f t="shared" si="62"/>
        <v>1028</v>
      </c>
    </row>
    <row r="1031" spans="1:1">
      <c r="A1031">
        <f t="shared" si="62"/>
        <v>1029</v>
      </c>
    </row>
    <row r="1032" spans="1:1">
      <c r="A1032">
        <f t="shared" si="62"/>
        <v>1030</v>
      </c>
    </row>
    <row r="1033" spans="1:1">
      <c r="A1033">
        <f t="shared" si="62"/>
        <v>1031</v>
      </c>
    </row>
    <row r="1034" spans="1:1">
      <c r="A1034">
        <f t="shared" si="62"/>
        <v>1032</v>
      </c>
    </row>
    <row r="1035" spans="1:1">
      <c r="A1035">
        <f t="shared" si="62"/>
        <v>1033</v>
      </c>
    </row>
    <row r="1036" spans="1:1">
      <c r="A1036">
        <f t="shared" si="62"/>
        <v>1034</v>
      </c>
    </row>
    <row r="1037" spans="1:1">
      <c r="A1037">
        <f t="shared" si="62"/>
        <v>1035</v>
      </c>
    </row>
    <row r="1038" spans="1:1">
      <c r="A1038">
        <f t="shared" si="62"/>
        <v>1036</v>
      </c>
    </row>
    <row r="1039" spans="1:1">
      <c r="A1039">
        <f t="shared" si="62"/>
        <v>1037</v>
      </c>
    </row>
    <row r="1040" spans="1:1">
      <c r="A1040">
        <f t="shared" si="62"/>
        <v>1038</v>
      </c>
    </row>
    <row r="1041" spans="1:1">
      <c r="A1041">
        <f t="shared" si="62"/>
        <v>1039</v>
      </c>
    </row>
    <row r="1042" spans="1:1">
      <c r="A1042">
        <f t="shared" si="62"/>
        <v>1040</v>
      </c>
    </row>
    <row r="1043" spans="1:1">
      <c r="A1043">
        <f t="shared" si="62"/>
        <v>1041</v>
      </c>
    </row>
    <row r="1044" spans="1:1">
      <c r="A1044">
        <f t="shared" si="62"/>
        <v>1042</v>
      </c>
    </row>
    <row r="1045" spans="1:1">
      <c r="A1045">
        <f t="shared" si="62"/>
        <v>1043</v>
      </c>
    </row>
    <row r="1046" spans="1:1">
      <c r="A1046">
        <f t="shared" si="62"/>
        <v>1044</v>
      </c>
    </row>
    <row r="1047" spans="1:1">
      <c r="A1047">
        <f t="shared" si="62"/>
        <v>1045</v>
      </c>
    </row>
    <row r="1048" spans="1:1">
      <c r="A1048">
        <f t="shared" si="62"/>
        <v>1046</v>
      </c>
    </row>
    <row r="1049" spans="1:1">
      <c r="A1049">
        <f t="shared" si="62"/>
        <v>1047</v>
      </c>
    </row>
    <row r="1050" spans="1:1">
      <c r="A1050">
        <f t="shared" si="62"/>
        <v>1048</v>
      </c>
    </row>
    <row r="1051" spans="1:1">
      <c r="A1051">
        <f t="shared" si="62"/>
        <v>1049</v>
      </c>
    </row>
    <row r="1052" spans="1:1">
      <c r="A1052">
        <f t="shared" si="62"/>
        <v>1050</v>
      </c>
    </row>
    <row r="1053" spans="1:1">
      <c r="A1053">
        <f t="shared" si="62"/>
        <v>1051</v>
      </c>
    </row>
    <row r="1054" spans="1:1">
      <c r="A1054">
        <f t="shared" si="62"/>
        <v>1052</v>
      </c>
    </row>
    <row r="1055" spans="1:1">
      <c r="A1055">
        <f t="shared" si="62"/>
        <v>1053</v>
      </c>
    </row>
    <row r="1056" spans="1:1">
      <c r="A1056">
        <f t="shared" si="62"/>
        <v>1054</v>
      </c>
    </row>
    <row r="1057" spans="1:1">
      <c r="A1057">
        <f t="shared" si="62"/>
        <v>1055</v>
      </c>
    </row>
    <row r="1058" spans="1:1">
      <c r="A1058">
        <f t="shared" si="62"/>
        <v>1056</v>
      </c>
    </row>
    <row r="1059" spans="1:1">
      <c r="A1059">
        <f t="shared" si="62"/>
        <v>1057</v>
      </c>
    </row>
    <row r="1060" spans="1:1">
      <c r="A1060">
        <f t="shared" ref="A1060:A1123" si="63">A1059+1</f>
        <v>1058</v>
      </c>
    </row>
    <row r="1061" spans="1:1">
      <c r="A1061">
        <f t="shared" si="63"/>
        <v>1059</v>
      </c>
    </row>
    <row r="1062" spans="1:1">
      <c r="A1062">
        <f t="shared" si="63"/>
        <v>1060</v>
      </c>
    </row>
    <row r="1063" spans="1:1">
      <c r="A1063">
        <f t="shared" si="63"/>
        <v>1061</v>
      </c>
    </row>
    <row r="1064" spans="1:1">
      <c r="A1064">
        <f t="shared" si="63"/>
        <v>1062</v>
      </c>
    </row>
    <row r="1065" spans="1:1">
      <c r="A1065">
        <f t="shared" si="63"/>
        <v>1063</v>
      </c>
    </row>
    <row r="1066" spans="1:1">
      <c r="A1066">
        <f t="shared" si="63"/>
        <v>1064</v>
      </c>
    </row>
    <row r="1067" spans="1:1">
      <c r="A1067">
        <f t="shared" si="63"/>
        <v>1065</v>
      </c>
    </row>
    <row r="1068" spans="1:1">
      <c r="A1068">
        <f t="shared" si="63"/>
        <v>1066</v>
      </c>
    </row>
    <row r="1069" spans="1:1">
      <c r="A1069">
        <f t="shared" si="63"/>
        <v>1067</v>
      </c>
    </row>
    <row r="1070" spans="1:1">
      <c r="A1070">
        <f t="shared" si="63"/>
        <v>1068</v>
      </c>
    </row>
    <row r="1071" spans="1:1">
      <c r="A1071">
        <f t="shared" si="63"/>
        <v>1069</v>
      </c>
    </row>
    <row r="1072" spans="1:1">
      <c r="A1072">
        <f t="shared" si="63"/>
        <v>1070</v>
      </c>
    </row>
    <row r="1073" spans="1:1">
      <c r="A1073">
        <f t="shared" si="63"/>
        <v>1071</v>
      </c>
    </row>
    <row r="1074" spans="1:1">
      <c r="A1074">
        <f t="shared" si="63"/>
        <v>1072</v>
      </c>
    </row>
    <row r="1075" spans="1:1">
      <c r="A1075">
        <f t="shared" si="63"/>
        <v>1073</v>
      </c>
    </row>
    <row r="1076" spans="1:1">
      <c r="A1076">
        <f t="shared" si="63"/>
        <v>1074</v>
      </c>
    </row>
    <row r="1077" spans="1:1">
      <c r="A1077">
        <f t="shared" si="63"/>
        <v>1075</v>
      </c>
    </row>
    <row r="1078" spans="1:1">
      <c r="A1078">
        <f t="shared" si="63"/>
        <v>1076</v>
      </c>
    </row>
    <row r="1079" spans="1:1">
      <c r="A1079">
        <f t="shared" si="63"/>
        <v>1077</v>
      </c>
    </row>
    <row r="1080" spans="1:1">
      <c r="A1080">
        <f t="shared" si="63"/>
        <v>1078</v>
      </c>
    </row>
    <row r="1081" spans="1:1">
      <c r="A1081">
        <f t="shared" si="63"/>
        <v>1079</v>
      </c>
    </row>
    <row r="1082" spans="1:1">
      <c r="A1082">
        <f t="shared" si="63"/>
        <v>1080</v>
      </c>
    </row>
    <row r="1083" spans="1:1">
      <c r="A1083">
        <f t="shared" si="63"/>
        <v>1081</v>
      </c>
    </row>
    <row r="1084" spans="1:1">
      <c r="A1084">
        <f t="shared" si="63"/>
        <v>1082</v>
      </c>
    </row>
    <row r="1085" spans="1:1">
      <c r="A1085">
        <f t="shared" si="63"/>
        <v>1083</v>
      </c>
    </row>
    <row r="1086" spans="1:1">
      <c r="A1086">
        <f t="shared" si="63"/>
        <v>1084</v>
      </c>
    </row>
    <row r="1087" spans="1:1">
      <c r="A1087">
        <f t="shared" si="63"/>
        <v>1085</v>
      </c>
    </row>
    <row r="1088" spans="1:1">
      <c r="A1088">
        <f t="shared" si="63"/>
        <v>1086</v>
      </c>
    </row>
    <row r="1089" spans="1:1">
      <c r="A1089">
        <f t="shared" si="63"/>
        <v>1087</v>
      </c>
    </row>
    <row r="1090" spans="1:1">
      <c r="A1090">
        <f t="shared" si="63"/>
        <v>1088</v>
      </c>
    </row>
    <row r="1091" spans="1:1">
      <c r="A1091">
        <f t="shared" si="63"/>
        <v>1089</v>
      </c>
    </row>
    <row r="1092" spans="1:1">
      <c r="A1092">
        <f t="shared" si="63"/>
        <v>1090</v>
      </c>
    </row>
    <row r="1093" spans="1:1">
      <c r="A1093">
        <f t="shared" si="63"/>
        <v>1091</v>
      </c>
    </row>
    <row r="1094" spans="1:1">
      <c r="A1094">
        <f t="shared" si="63"/>
        <v>1092</v>
      </c>
    </row>
    <row r="1095" spans="1:1">
      <c r="A1095">
        <f t="shared" si="63"/>
        <v>1093</v>
      </c>
    </row>
    <row r="1096" spans="1:1">
      <c r="A1096">
        <f t="shared" si="63"/>
        <v>1094</v>
      </c>
    </row>
    <row r="1097" spans="1:1">
      <c r="A1097">
        <f t="shared" si="63"/>
        <v>1095</v>
      </c>
    </row>
    <row r="1098" spans="1:1">
      <c r="A1098">
        <f t="shared" si="63"/>
        <v>1096</v>
      </c>
    </row>
    <row r="1099" spans="1:1">
      <c r="A1099">
        <f t="shared" si="63"/>
        <v>1097</v>
      </c>
    </row>
    <row r="1100" spans="1:1">
      <c r="A1100">
        <f t="shared" si="63"/>
        <v>1098</v>
      </c>
    </row>
    <row r="1101" spans="1:1">
      <c r="A1101">
        <f t="shared" si="63"/>
        <v>1099</v>
      </c>
    </row>
    <row r="1102" spans="1:1">
      <c r="A1102">
        <f t="shared" si="63"/>
        <v>1100</v>
      </c>
    </row>
    <row r="1103" spans="1:1">
      <c r="A1103">
        <f t="shared" si="63"/>
        <v>1101</v>
      </c>
    </row>
    <row r="1104" spans="1:1">
      <c r="A1104">
        <f t="shared" si="63"/>
        <v>1102</v>
      </c>
    </row>
    <row r="1105" spans="1:1">
      <c r="A1105">
        <f t="shared" si="63"/>
        <v>1103</v>
      </c>
    </row>
    <row r="1106" spans="1:1">
      <c r="A1106">
        <f t="shared" si="63"/>
        <v>1104</v>
      </c>
    </row>
    <row r="1107" spans="1:1">
      <c r="A1107">
        <f t="shared" si="63"/>
        <v>1105</v>
      </c>
    </row>
    <row r="1108" spans="1:1">
      <c r="A1108">
        <f t="shared" si="63"/>
        <v>1106</v>
      </c>
    </row>
    <row r="1109" spans="1:1">
      <c r="A1109">
        <f t="shared" si="63"/>
        <v>1107</v>
      </c>
    </row>
    <row r="1110" spans="1:1">
      <c r="A1110">
        <f t="shared" si="63"/>
        <v>1108</v>
      </c>
    </row>
    <row r="1111" spans="1:1">
      <c r="A1111">
        <f t="shared" si="63"/>
        <v>1109</v>
      </c>
    </row>
    <row r="1112" spans="1:1">
      <c r="A1112">
        <f t="shared" si="63"/>
        <v>1110</v>
      </c>
    </row>
    <row r="1113" spans="1:1">
      <c r="A1113">
        <f t="shared" si="63"/>
        <v>1111</v>
      </c>
    </row>
    <row r="1114" spans="1:1">
      <c r="A1114">
        <f t="shared" si="63"/>
        <v>1112</v>
      </c>
    </row>
    <row r="1115" spans="1:1">
      <c r="A1115">
        <f t="shared" si="63"/>
        <v>1113</v>
      </c>
    </row>
    <row r="1116" spans="1:1">
      <c r="A1116">
        <f t="shared" si="63"/>
        <v>1114</v>
      </c>
    </row>
    <row r="1117" spans="1:1">
      <c r="A1117">
        <f t="shared" si="63"/>
        <v>1115</v>
      </c>
    </row>
    <row r="1118" spans="1:1">
      <c r="A1118">
        <f t="shared" si="63"/>
        <v>1116</v>
      </c>
    </row>
    <row r="1119" spans="1:1">
      <c r="A1119">
        <f t="shared" si="63"/>
        <v>1117</v>
      </c>
    </row>
    <row r="1120" spans="1:1">
      <c r="A1120">
        <f t="shared" si="63"/>
        <v>1118</v>
      </c>
    </row>
    <row r="1121" spans="1:1">
      <c r="A1121">
        <f t="shared" si="63"/>
        <v>1119</v>
      </c>
    </row>
    <row r="1122" spans="1:1">
      <c r="A1122">
        <f t="shared" si="63"/>
        <v>1120</v>
      </c>
    </row>
    <row r="1123" spans="1:1">
      <c r="A1123">
        <f t="shared" si="63"/>
        <v>1121</v>
      </c>
    </row>
    <row r="1124" spans="1:1">
      <c r="A1124">
        <f t="shared" ref="A1124:A1187" si="64">A1123+1</f>
        <v>1122</v>
      </c>
    </row>
    <row r="1125" spans="1:1">
      <c r="A1125">
        <f t="shared" si="64"/>
        <v>1123</v>
      </c>
    </row>
    <row r="1126" spans="1:1">
      <c r="A1126">
        <f t="shared" si="64"/>
        <v>1124</v>
      </c>
    </row>
    <row r="1127" spans="1:1">
      <c r="A1127">
        <f t="shared" si="64"/>
        <v>1125</v>
      </c>
    </row>
    <row r="1128" spans="1:1">
      <c r="A1128">
        <f t="shared" si="64"/>
        <v>1126</v>
      </c>
    </row>
    <row r="1129" spans="1:1">
      <c r="A1129">
        <f t="shared" si="64"/>
        <v>1127</v>
      </c>
    </row>
    <row r="1130" spans="1:1">
      <c r="A1130">
        <f t="shared" si="64"/>
        <v>1128</v>
      </c>
    </row>
    <row r="1131" spans="1:1">
      <c r="A1131">
        <f t="shared" si="64"/>
        <v>1129</v>
      </c>
    </row>
    <row r="1132" spans="1:1">
      <c r="A1132">
        <f t="shared" si="64"/>
        <v>1130</v>
      </c>
    </row>
    <row r="1133" spans="1:1">
      <c r="A1133">
        <f t="shared" si="64"/>
        <v>1131</v>
      </c>
    </row>
    <row r="1134" spans="1:1">
      <c r="A1134">
        <f t="shared" si="64"/>
        <v>1132</v>
      </c>
    </row>
    <row r="1135" spans="1:1">
      <c r="A1135">
        <f t="shared" si="64"/>
        <v>1133</v>
      </c>
    </row>
    <row r="1136" spans="1:1">
      <c r="A1136">
        <f t="shared" si="64"/>
        <v>1134</v>
      </c>
    </row>
    <row r="1137" spans="1:1">
      <c r="A1137">
        <f t="shared" si="64"/>
        <v>1135</v>
      </c>
    </row>
    <row r="1138" spans="1:1">
      <c r="A1138">
        <f t="shared" si="64"/>
        <v>1136</v>
      </c>
    </row>
    <row r="1139" spans="1:1">
      <c r="A1139">
        <f t="shared" si="64"/>
        <v>1137</v>
      </c>
    </row>
    <row r="1140" spans="1:1">
      <c r="A1140">
        <f t="shared" si="64"/>
        <v>1138</v>
      </c>
    </row>
    <row r="1141" spans="1:1">
      <c r="A1141">
        <f t="shared" si="64"/>
        <v>1139</v>
      </c>
    </row>
    <row r="1142" spans="1:1">
      <c r="A1142">
        <f t="shared" si="64"/>
        <v>1140</v>
      </c>
    </row>
    <row r="1143" spans="1:1">
      <c r="A1143">
        <f t="shared" si="64"/>
        <v>1141</v>
      </c>
    </row>
    <row r="1144" spans="1:1">
      <c r="A1144">
        <f t="shared" si="64"/>
        <v>1142</v>
      </c>
    </row>
    <row r="1145" spans="1:1">
      <c r="A1145">
        <f t="shared" si="64"/>
        <v>1143</v>
      </c>
    </row>
    <row r="1146" spans="1:1">
      <c r="A1146">
        <f t="shared" si="64"/>
        <v>1144</v>
      </c>
    </row>
    <row r="1147" spans="1:1">
      <c r="A1147">
        <f t="shared" si="64"/>
        <v>1145</v>
      </c>
    </row>
    <row r="1148" spans="1:1">
      <c r="A1148">
        <f t="shared" si="64"/>
        <v>1146</v>
      </c>
    </row>
    <row r="1149" spans="1:1">
      <c r="A1149">
        <f t="shared" si="64"/>
        <v>1147</v>
      </c>
    </row>
    <row r="1150" spans="1:1">
      <c r="A1150">
        <f t="shared" si="64"/>
        <v>1148</v>
      </c>
    </row>
    <row r="1151" spans="1:1">
      <c r="A1151">
        <f t="shared" si="64"/>
        <v>1149</v>
      </c>
    </row>
    <row r="1152" spans="1:1">
      <c r="A1152">
        <f t="shared" si="64"/>
        <v>1150</v>
      </c>
    </row>
    <row r="1153" spans="1:1">
      <c r="A1153">
        <f t="shared" si="64"/>
        <v>1151</v>
      </c>
    </row>
    <row r="1154" spans="1:1">
      <c r="A1154">
        <f t="shared" si="64"/>
        <v>1152</v>
      </c>
    </row>
    <row r="1155" spans="1:1">
      <c r="A1155">
        <f t="shared" si="64"/>
        <v>1153</v>
      </c>
    </row>
    <row r="1156" spans="1:1">
      <c r="A1156">
        <f t="shared" si="64"/>
        <v>1154</v>
      </c>
    </row>
    <row r="1157" spans="1:1">
      <c r="A1157">
        <f t="shared" si="64"/>
        <v>1155</v>
      </c>
    </row>
    <row r="1158" spans="1:1">
      <c r="A1158">
        <f t="shared" si="64"/>
        <v>1156</v>
      </c>
    </row>
    <row r="1159" spans="1:1">
      <c r="A1159">
        <f t="shared" si="64"/>
        <v>1157</v>
      </c>
    </row>
    <row r="1160" spans="1:1">
      <c r="A1160">
        <f t="shared" si="64"/>
        <v>1158</v>
      </c>
    </row>
    <row r="1161" spans="1:1">
      <c r="A1161">
        <f t="shared" si="64"/>
        <v>1159</v>
      </c>
    </row>
    <row r="1162" spans="1:1">
      <c r="A1162">
        <f t="shared" si="64"/>
        <v>1160</v>
      </c>
    </row>
    <row r="1163" spans="1:1">
      <c r="A1163">
        <f t="shared" si="64"/>
        <v>1161</v>
      </c>
    </row>
    <row r="1164" spans="1:1">
      <c r="A1164">
        <f t="shared" si="64"/>
        <v>1162</v>
      </c>
    </row>
    <row r="1165" spans="1:1">
      <c r="A1165">
        <f t="shared" si="64"/>
        <v>1163</v>
      </c>
    </row>
    <row r="1166" spans="1:1">
      <c r="A1166">
        <f t="shared" si="64"/>
        <v>1164</v>
      </c>
    </row>
    <row r="1167" spans="1:1">
      <c r="A1167">
        <f t="shared" si="64"/>
        <v>1165</v>
      </c>
    </row>
    <row r="1168" spans="1:1">
      <c r="A1168">
        <f t="shared" si="64"/>
        <v>1166</v>
      </c>
    </row>
    <row r="1169" spans="1:1">
      <c r="A1169">
        <f t="shared" si="64"/>
        <v>1167</v>
      </c>
    </row>
    <row r="1170" spans="1:1">
      <c r="A1170">
        <f t="shared" si="64"/>
        <v>1168</v>
      </c>
    </row>
    <row r="1171" spans="1:1">
      <c r="A1171">
        <f t="shared" si="64"/>
        <v>1169</v>
      </c>
    </row>
    <row r="1172" spans="1:1">
      <c r="A1172">
        <f t="shared" si="64"/>
        <v>1170</v>
      </c>
    </row>
    <row r="1173" spans="1:1">
      <c r="A1173">
        <f t="shared" si="64"/>
        <v>1171</v>
      </c>
    </row>
    <row r="1174" spans="1:1">
      <c r="A1174">
        <f t="shared" si="64"/>
        <v>1172</v>
      </c>
    </row>
    <row r="1175" spans="1:1">
      <c r="A1175">
        <f t="shared" si="64"/>
        <v>1173</v>
      </c>
    </row>
    <row r="1176" spans="1:1">
      <c r="A1176">
        <f t="shared" si="64"/>
        <v>1174</v>
      </c>
    </row>
    <row r="1177" spans="1:1">
      <c r="A1177">
        <f t="shared" si="64"/>
        <v>1175</v>
      </c>
    </row>
    <row r="1178" spans="1:1">
      <c r="A1178">
        <f t="shared" si="64"/>
        <v>1176</v>
      </c>
    </row>
    <row r="1179" spans="1:1">
      <c r="A1179">
        <f t="shared" si="64"/>
        <v>1177</v>
      </c>
    </row>
    <row r="1180" spans="1:1">
      <c r="A1180">
        <f t="shared" si="64"/>
        <v>1178</v>
      </c>
    </row>
    <row r="1181" spans="1:1">
      <c r="A1181">
        <f t="shared" si="64"/>
        <v>1179</v>
      </c>
    </row>
    <row r="1182" spans="1:1">
      <c r="A1182">
        <f t="shared" si="64"/>
        <v>1180</v>
      </c>
    </row>
    <row r="1183" spans="1:1">
      <c r="A1183">
        <f t="shared" si="64"/>
        <v>1181</v>
      </c>
    </row>
    <row r="1184" spans="1:1">
      <c r="A1184">
        <f t="shared" si="64"/>
        <v>1182</v>
      </c>
    </row>
    <row r="1185" spans="1:1">
      <c r="A1185">
        <f t="shared" si="64"/>
        <v>1183</v>
      </c>
    </row>
    <row r="1186" spans="1:1">
      <c r="A1186">
        <f t="shared" si="64"/>
        <v>1184</v>
      </c>
    </row>
    <row r="1187" spans="1:1">
      <c r="A1187">
        <f t="shared" si="64"/>
        <v>1185</v>
      </c>
    </row>
    <row r="1188" spans="1:1">
      <c r="A1188">
        <f t="shared" ref="A1188:A1251" si="65">A1187+1</f>
        <v>1186</v>
      </c>
    </row>
    <row r="1189" spans="1:1">
      <c r="A1189">
        <f t="shared" si="65"/>
        <v>1187</v>
      </c>
    </row>
    <row r="1190" spans="1:1">
      <c r="A1190">
        <f t="shared" si="65"/>
        <v>1188</v>
      </c>
    </row>
    <row r="1191" spans="1:1">
      <c r="A1191">
        <f t="shared" si="65"/>
        <v>1189</v>
      </c>
    </row>
    <row r="1192" spans="1:1">
      <c r="A1192">
        <f t="shared" si="65"/>
        <v>1190</v>
      </c>
    </row>
    <row r="1193" spans="1:1">
      <c r="A1193">
        <f t="shared" si="65"/>
        <v>1191</v>
      </c>
    </row>
    <row r="1194" spans="1:1">
      <c r="A1194">
        <f t="shared" si="65"/>
        <v>1192</v>
      </c>
    </row>
    <row r="1195" spans="1:1">
      <c r="A1195">
        <f t="shared" si="65"/>
        <v>1193</v>
      </c>
    </row>
    <row r="1196" spans="1:1">
      <c r="A1196">
        <f t="shared" si="65"/>
        <v>1194</v>
      </c>
    </row>
    <row r="1197" spans="1:1">
      <c r="A1197">
        <f t="shared" si="65"/>
        <v>1195</v>
      </c>
    </row>
    <row r="1198" spans="1:1">
      <c r="A1198">
        <f t="shared" si="65"/>
        <v>1196</v>
      </c>
    </row>
    <row r="1199" spans="1:1">
      <c r="A1199">
        <f t="shared" si="65"/>
        <v>1197</v>
      </c>
    </row>
    <row r="1200" spans="1:1">
      <c r="A1200">
        <f t="shared" si="65"/>
        <v>1198</v>
      </c>
    </row>
    <row r="1201" spans="1:1">
      <c r="A1201">
        <f t="shared" si="65"/>
        <v>1199</v>
      </c>
    </row>
    <row r="1202" spans="1:1">
      <c r="A1202">
        <f t="shared" si="65"/>
        <v>1200</v>
      </c>
    </row>
    <row r="1203" spans="1:1">
      <c r="A1203">
        <f t="shared" si="65"/>
        <v>1201</v>
      </c>
    </row>
    <row r="1204" spans="1:1">
      <c r="A1204">
        <f t="shared" si="65"/>
        <v>1202</v>
      </c>
    </row>
    <row r="1205" spans="1:1">
      <c r="A1205">
        <f t="shared" si="65"/>
        <v>1203</v>
      </c>
    </row>
    <row r="1206" spans="1:1">
      <c r="A1206">
        <f t="shared" si="65"/>
        <v>1204</v>
      </c>
    </row>
    <row r="1207" spans="1:1">
      <c r="A1207">
        <f t="shared" si="65"/>
        <v>1205</v>
      </c>
    </row>
    <row r="1208" spans="1:1">
      <c r="A1208">
        <f t="shared" si="65"/>
        <v>1206</v>
      </c>
    </row>
    <row r="1209" spans="1:1">
      <c r="A1209">
        <f t="shared" si="65"/>
        <v>1207</v>
      </c>
    </row>
    <row r="1210" spans="1:1">
      <c r="A1210">
        <f t="shared" si="65"/>
        <v>1208</v>
      </c>
    </row>
    <row r="1211" spans="1:1">
      <c r="A1211">
        <f t="shared" si="65"/>
        <v>1209</v>
      </c>
    </row>
    <row r="1212" spans="1:1">
      <c r="A1212">
        <f t="shared" si="65"/>
        <v>1210</v>
      </c>
    </row>
    <row r="1213" spans="1:1">
      <c r="A1213">
        <f t="shared" si="65"/>
        <v>1211</v>
      </c>
    </row>
    <row r="1214" spans="1:1">
      <c r="A1214">
        <f t="shared" si="65"/>
        <v>1212</v>
      </c>
    </row>
    <row r="1215" spans="1:1">
      <c r="A1215">
        <f t="shared" si="65"/>
        <v>1213</v>
      </c>
    </row>
    <row r="1216" spans="1:1">
      <c r="A1216">
        <f t="shared" si="65"/>
        <v>1214</v>
      </c>
    </row>
    <row r="1217" spans="1:1">
      <c r="A1217">
        <f t="shared" si="65"/>
        <v>1215</v>
      </c>
    </row>
    <row r="1218" spans="1:1">
      <c r="A1218">
        <f t="shared" si="65"/>
        <v>1216</v>
      </c>
    </row>
    <row r="1219" spans="1:1">
      <c r="A1219">
        <f t="shared" si="65"/>
        <v>1217</v>
      </c>
    </row>
    <row r="1220" spans="1:1">
      <c r="A1220">
        <f t="shared" si="65"/>
        <v>1218</v>
      </c>
    </row>
    <row r="1221" spans="1:1">
      <c r="A1221">
        <f t="shared" si="65"/>
        <v>1219</v>
      </c>
    </row>
    <row r="1222" spans="1:1">
      <c r="A1222">
        <f t="shared" si="65"/>
        <v>1220</v>
      </c>
    </row>
    <row r="1223" spans="1:1">
      <c r="A1223">
        <f t="shared" si="65"/>
        <v>1221</v>
      </c>
    </row>
    <row r="1224" spans="1:1">
      <c r="A1224">
        <f t="shared" si="65"/>
        <v>1222</v>
      </c>
    </row>
    <row r="1225" spans="1:1">
      <c r="A1225">
        <f t="shared" si="65"/>
        <v>1223</v>
      </c>
    </row>
    <row r="1226" spans="1:1">
      <c r="A1226">
        <f t="shared" si="65"/>
        <v>1224</v>
      </c>
    </row>
    <row r="1227" spans="1:1">
      <c r="A1227">
        <f t="shared" si="65"/>
        <v>1225</v>
      </c>
    </row>
    <row r="1228" spans="1:1">
      <c r="A1228">
        <f t="shared" si="65"/>
        <v>1226</v>
      </c>
    </row>
    <row r="1229" spans="1:1">
      <c r="A1229">
        <f t="shared" si="65"/>
        <v>1227</v>
      </c>
    </row>
    <row r="1230" spans="1:1">
      <c r="A1230">
        <f t="shared" si="65"/>
        <v>1228</v>
      </c>
    </row>
    <row r="1231" spans="1:1">
      <c r="A1231">
        <f t="shared" si="65"/>
        <v>1229</v>
      </c>
    </row>
    <row r="1232" spans="1:1">
      <c r="A1232">
        <f t="shared" si="65"/>
        <v>1230</v>
      </c>
    </row>
    <row r="1233" spans="1:1">
      <c r="A1233">
        <f t="shared" si="65"/>
        <v>1231</v>
      </c>
    </row>
    <row r="1234" spans="1:1">
      <c r="A1234">
        <f t="shared" si="65"/>
        <v>1232</v>
      </c>
    </row>
    <row r="1235" spans="1:1">
      <c r="A1235">
        <f t="shared" si="65"/>
        <v>1233</v>
      </c>
    </row>
    <row r="1236" spans="1:1">
      <c r="A1236">
        <f t="shared" si="65"/>
        <v>1234</v>
      </c>
    </row>
    <row r="1237" spans="1:1">
      <c r="A1237">
        <f t="shared" si="65"/>
        <v>1235</v>
      </c>
    </row>
    <row r="1238" spans="1:1">
      <c r="A1238">
        <f t="shared" si="65"/>
        <v>1236</v>
      </c>
    </row>
    <row r="1239" spans="1:1">
      <c r="A1239">
        <f t="shared" si="65"/>
        <v>1237</v>
      </c>
    </row>
    <row r="1240" spans="1:1">
      <c r="A1240">
        <f t="shared" si="65"/>
        <v>1238</v>
      </c>
    </row>
    <row r="1241" spans="1:1">
      <c r="A1241">
        <f t="shared" si="65"/>
        <v>1239</v>
      </c>
    </row>
    <row r="1242" spans="1:1">
      <c r="A1242">
        <f t="shared" si="65"/>
        <v>1240</v>
      </c>
    </row>
    <row r="1243" spans="1:1">
      <c r="A1243">
        <f t="shared" si="65"/>
        <v>1241</v>
      </c>
    </row>
    <row r="1244" spans="1:1">
      <c r="A1244">
        <f t="shared" si="65"/>
        <v>1242</v>
      </c>
    </row>
    <row r="1245" spans="1:1">
      <c r="A1245">
        <f t="shared" si="65"/>
        <v>1243</v>
      </c>
    </row>
    <row r="1246" spans="1:1">
      <c r="A1246">
        <f t="shared" si="65"/>
        <v>1244</v>
      </c>
    </row>
    <row r="1247" spans="1:1">
      <c r="A1247">
        <f t="shared" si="65"/>
        <v>1245</v>
      </c>
    </row>
    <row r="1248" spans="1:1">
      <c r="A1248">
        <f t="shared" si="65"/>
        <v>1246</v>
      </c>
    </row>
    <row r="1249" spans="1:1">
      <c r="A1249">
        <f t="shared" si="65"/>
        <v>1247</v>
      </c>
    </row>
    <row r="1250" spans="1:1">
      <c r="A1250">
        <f t="shared" si="65"/>
        <v>1248</v>
      </c>
    </row>
    <row r="1251" spans="1:1">
      <c r="A1251">
        <f t="shared" si="65"/>
        <v>1249</v>
      </c>
    </row>
    <row r="1252" spans="1:1">
      <c r="A1252">
        <f t="shared" ref="A1252:A1315" si="66">A1251+1</f>
        <v>1250</v>
      </c>
    </row>
    <row r="1253" spans="1:1">
      <c r="A1253">
        <f t="shared" si="66"/>
        <v>1251</v>
      </c>
    </row>
    <row r="1254" spans="1:1">
      <c r="A1254">
        <f t="shared" si="66"/>
        <v>1252</v>
      </c>
    </row>
    <row r="1255" spans="1:1">
      <c r="A1255">
        <f t="shared" si="66"/>
        <v>1253</v>
      </c>
    </row>
    <row r="1256" spans="1:1">
      <c r="A1256">
        <f t="shared" si="66"/>
        <v>1254</v>
      </c>
    </row>
    <row r="1257" spans="1:1">
      <c r="A1257">
        <f t="shared" si="66"/>
        <v>1255</v>
      </c>
    </row>
    <row r="1258" spans="1:1">
      <c r="A1258">
        <f t="shared" si="66"/>
        <v>1256</v>
      </c>
    </row>
    <row r="1259" spans="1:1">
      <c r="A1259">
        <f t="shared" si="66"/>
        <v>1257</v>
      </c>
    </row>
    <row r="1260" spans="1:1">
      <c r="A1260">
        <f t="shared" si="66"/>
        <v>1258</v>
      </c>
    </row>
    <row r="1261" spans="1:1">
      <c r="A1261">
        <f t="shared" si="66"/>
        <v>1259</v>
      </c>
    </row>
    <row r="1262" spans="1:1">
      <c r="A1262">
        <f t="shared" si="66"/>
        <v>1260</v>
      </c>
    </row>
    <row r="1263" spans="1:1">
      <c r="A1263">
        <f t="shared" si="66"/>
        <v>1261</v>
      </c>
    </row>
    <row r="1264" spans="1:1">
      <c r="A1264">
        <f t="shared" si="66"/>
        <v>1262</v>
      </c>
    </row>
    <row r="1265" spans="1:1">
      <c r="A1265">
        <f t="shared" si="66"/>
        <v>1263</v>
      </c>
    </row>
    <row r="1266" spans="1:1">
      <c r="A1266">
        <f t="shared" si="66"/>
        <v>1264</v>
      </c>
    </row>
    <row r="1267" spans="1:1">
      <c r="A1267">
        <f t="shared" si="66"/>
        <v>1265</v>
      </c>
    </row>
    <row r="1268" spans="1:1">
      <c r="A1268">
        <f t="shared" si="66"/>
        <v>1266</v>
      </c>
    </row>
    <row r="1269" spans="1:1">
      <c r="A1269">
        <f t="shared" si="66"/>
        <v>1267</v>
      </c>
    </row>
    <row r="1270" spans="1:1">
      <c r="A1270">
        <f t="shared" si="66"/>
        <v>1268</v>
      </c>
    </row>
    <row r="1271" spans="1:1">
      <c r="A1271">
        <f t="shared" si="66"/>
        <v>1269</v>
      </c>
    </row>
    <row r="1272" spans="1:1">
      <c r="A1272">
        <f t="shared" si="66"/>
        <v>1270</v>
      </c>
    </row>
    <row r="1273" spans="1:1">
      <c r="A1273">
        <f t="shared" si="66"/>
        <v>1271</v>
      </c>
    </row>
    <row r="1274" spans="1:1">
      <c r="A1274">
        <f t="shared" si="66"/>
        <v>1272</v>
      </c>
    </row>
    <row r="1275" spans="1:1">
      <c r="A1275">
        <f t="shared" si="66"/>
        <v>1273</v>
      </c>
    </row>
    <row r="1276" spans="1:1">
      <c r="A1276">
        <f t="shared" si="66"/>
        <v>1274</v>
      </c>
    </row>
    <row r="1277" spans="1:1">
      <c r="A1277">
        <f t="shared" si="66"/>
        <v>1275</v>
      </c>
    </row>
    <row r="1278" spans="1:1">
      <c r="A1278">
        <f t="shared" si="66"/>
        <v>1276</v>
      </c>
    </row>
    <row r="1279" spans="1:1">
      <c r="A1279">
        <f t="shared" si="66"/>
        <v>1277</v>
      </c>
    </row>
    <row r="1280" spans="1:1">
      <c r="A1280">
        <f t="shared" si="66"/>
        <v>1278</v>
      </c>
    </row>
    <row r="1281" spans="1:1">
      <c r="A1281">
        <f t="shared" si="66"/>
        <v>1279</v>
      </c>
    </row>
    <row r="1282" spans="1:1">
      <c r="A1282">
        <f t="shared" si="66"/>
        <v>1280</v>
      </c>
    </row>
    <row r="1283" spans="1:1">
      <c r="A1283">
        <f t="shared" si="66"/>
        <v>1281</v>
      </c>
    </row>
    <row r="1284" spans="1:1">
      <c r="A1284">
        <f t="shared" si="66"/>
        <v>1282</v>
      </c>
    </row>
    <row r="1285" spans="1:1">
      <c r="A1285">
        <f t="shared" si="66"/>
        <v>1283</v>
      </c>
    </row>
    <row r="1286" spans="1:1">
      <c r="A1286">
        <f t="shared" si="66"/>
        <v>1284</v>
      </c>
    </row>
    <row r="1287" spans="1:1">
      <c r="A1287">
        <f t="shared" si="66"/>
        <v>1285</v>
      </c>
    </row>
    <row r="1288" spans="1:1">
      <c r="A1288">
        <f t="shared" si="66"/>
        <v>1286</v>
      </c>
    </row>
    <row r="1289" spans="1:1">
      <c r="A1289">
        <f t="shared" si="66"/>
        <v>1287</v>
      </c>
    </row>
    <row r="1290" spans="1:1">
      <c r="A1290">
        <f t="shared" si="66"/>
        <v>1288</v>
      </c>
    </row>
    <row r="1291" spans="1:1">
      <c r="A1291">
        <f t="shared" si="66"/>
        <v>1289</v>
      </c>
    </row>
    <row r="1292" spans="1:1">
      <c r="A1292">
        <f t="shared" si="66"/>
        <v>1290</v>
      </c>
    </row>
    <row r="1293" spans="1:1">
      <c r="A1293">
        <f t="shared" si="66"/>
        <v>1291</v>
      </c>
    </row>
    <row r="1294" spans="1:1">
      <c r="A1294">
        <f t="shared" si="66"/>
        <v>1292</v>
      </c>
    </row>
    <row r="1295" spans="1:1">
      <c r="A1295">
        <f t="shared" si="66"/>
        <v>1293</v>
      </c>
    </row>
    <row r="1296" spans="1:1">
      <c r="A1296">
        <f t="shared" si="66"/>
        <v>1294</v>
      </c>
    </row>
    <row r="1297" spans="1:1">
      <c r="A1297">
        <f t="shared" si="66"/>
        <v>1295</v>
      </c>
    </row>
    <row r="1298" spans="1:1">
      <c r="A1298">
        <f t="shared" si="66"/>
        <v>1296</v>
      </c>
    </row>
    <row r="1299" spans="1:1">
      <c r="A1299">
        <f t="shared" si="66"/>
        <v>1297</v>
      </c>
    </row>
    <row r="1300" spans="1:1">
      <c r="A1300">
        <f t="shared" si="66"/>
        <v>1298</v>
      </c>
    </row>
    <row r="1301" spans="1:1">
      <c r="A1301">
        <f t="shared" si="66"/>
        <v>1299</v>
      </c>
    </row>
    <row r="1302" spans="1:1">
      <c r="A1302">
        <f t="shared" si="66"/>
        <v>1300</v>
      </c>
    </row>
    <row r="1303" spans="1:1">
      <c r="A1303">
        <f t="shared" si="66"/>
        <v>1301</v>
      </c>
    </row>
    <row r="1304" spans="1:1">
      <c r="A1304">
        <f t="shared" si="66"/>
        <v>1302</v>
      </c>
    </row>
    <row r="1305" spans="1:1">
      <c r="A1305">
        <f t="shared" si="66"/>
        <v>1303</v>
      </c>
    </row>
    <row r="1306" spans="1:1">
      <c r="A1306">
        <f t="shared" si="66"/>
        <v>1304</v>
      </c>
    </row>
    <row r="1307" spans="1:1">
      <c r="A1307">
        <f t="shared" si="66"/>
        <v>1305</v>
      </c>
    </row>
    <row r="1308" spans="1:1">
      <c r="A1308">
        <f t="shared" si="66"/>
        <v>1306</v>
      </c>
    </row>
    <row r="1309" spans="1:1">
      <c r="A1309">
        <f t="shared" si="66"/>
        <v>1307</v>
      </c>
    </row>
    <row r="1310" spans="1:1">
      <c r="A1310">
        <f t="shared" si="66"/>
        <v>1308</v>
      </c>
    </row>
    <row r="1311" spans="1:1">
      <c r="A1311">
        <f t="shared" si="66"/>
        <v>1309</v>
      </c>
    </row>
    <row r="1312" spans="1:1">
      <c r="A1312">
        <f t="shared" si="66"/>
        <v>1310</v>
      </c>
    </row>
    <row r="1313" spans="1:1">
      <c r="A1313">
        <f t="shared" si="66"/>
        <v>1311</v>
      </c>
    </row>
    <row r="1314" spans="1:1">
      <c r="A1314">
        <f t="shared" si="66"/>
        <v>1312</v>
      </c>
    </row>
    <row r="1315" spans="1:1">
      <c r="A1315">
        <f t="shared" si="66"/>
        <v>1313</v>
      </c>
    </row>
    <row r="1316" spans="1:1">
      <c r="A1316">
        <f t="shared" ref="A1316:A1379" si="67">A1315+1</f>
        <v>1314</v>
      </c>
    </row>
    <row r="1317" spans="1:1">
      <c r="A1317">
        <f t="shared" si="67"/>
        <v>1315</v>
      </c>
    </row>
    <row r="1318" spans="1:1">
      <c r="A1318">
        <f t="shared" si="67"/>
        <v>1316</v>
      </c>
    </row>
    <row r="1319" spans="1:1">
      <c r="A1319">
        <f t="shared" si="67"/>
        <v>1317</v>
      </c>
    </row>
    <row r="1320" spans="1:1">
      <c r="A1320">
        <f t="shared" si="67"/>
        <v>1318</v>
      </c>
    </row>
    <row r="1321" spans="1:1">
      <c r="A1321">
        <f t="shared" si="67"/>
        <v>1319</v>
      </c>
    </row>
    <row r="1322" spans="1:1">
      <c r="A1322">
        <f t="shared" si="67"/>
        <v>1320</v>
      </c>
    </row>
    <row r="1323" spans="1:1">
      <c r="A1323">
        <f t="shared" si="67"/>
        <v>1321</v>
      </c>
    </row>
    <row r="1324" spans="1:1">
      <c r="A1324">
        <f t="shared" si="67"/>
        <v>1322</v>
      </c>
    </row>
    <row r="1325" spans="1:1">
      <c r="A1325">
        <f t="shared" si="67"/>
        <v>1323</v>
      </c>
    </row>
    <row r="1326" spans="1:1">
      <c r="A1326">
        <f t="shared" si="67"/>
        <v>1324</v>
      </c>
    </row>
    <row r="1327" spans="1:1">
      <c r="A1327">
        <f t="shared" si="67"/>
        <v>1325</v>
      </c>
    </row>
    <row r="1328" spans="1:1">
      <c r="A1328">
        <f t="shared" si="67"/>
        <v>1326</v>
      </c>
    </row>
    <row r="1329" spans="1:1">
      <c r="A1329">
        <f t="shared" si="67"/>
        <v>1327</v>
      </c>
    </row>
    <row r="1330" spans="1:1">
      <c r="A1330">
        <f t="shared" si="67"/>
        <v>1328</v>
      </c>
    </row>
    <row r="1331" spans="1:1">
      <c r="A1331">
        <f t="shared" si="67"/>
        <v>1329</v>
      </c>
    </row>
    <row r="1332" spans="1:1">
      <c r="A1332">
        <f t="shared" si="67"/>
        <v>1330</v>
      </c>
    </row>
    <row r="1333" spans="1:1">
      <c r="A1333">
        <f t="shared" si="67"/>
        <v>1331</v>
      </c>
    </row>
    <row r="1334" spans="1:1">
      <c r="A1334">
        <f t="shared" si="67"/>
        <v>1332</v>
      </c>
    </row>
    <row r="1335" spans="1:1">
      <c r="A1335">
        <f t="shared" si="67"/>
        <v>1333</v>
      </c>
    </row>
    <row r="1336" spans="1:1">
      <c r="A1336">
        <f t="shared" si="67"/>
        <v>1334</v>
      </c>
    </row>
    <row r="1337" spans="1:1">
      <c r="A1337">
        <f t="shared" si="67"/>
        <v>1335</v>
      </c>
    </row>
    <row r="1338" spans="1:1">
      <c r="A1338">
        <f t="shared" si="67"/>
        <v>1336</v>
      </c>
    </row>
    <row r="1339" spans="1:1">
      <c r="A1339">
        <f t="shared" si="67"/>
        <v>1337</v>
      </c>
    </row>
    <row r="1340" spans="1:1">
      <c r="A1340">
        <f t="shared" si="67"/>
        <v>1338</v>
      </c>
    </row>
    <row r="1341" spans="1:1">
      <c r="A1341">
        <f t="shared" si="67"/>
        <v>1339</v>
      </c>
    </row>
    <row r="1342" spans="1:1">
      <c r="A1342">
        <f t="shared" si="67"/>
        <v>1340</v>
      </c>
    </row>
    <row r="1343" spans="1:1">
      <c r="A1343">
        <f t="shared" si="67"/>
        <v>1341</v>
      </c>
    </row>
    <row r="1344" spans="1:1">
      <c r="A1344">
        <f t="shared" si="67"/>
        <v>1342</v>
      </c>
    </row>
    <row r="1345" spans="1:1">
      <c r="A1345">
        <f t="shared" si="67"/>
        <v>1343</v>
      </c>
    </row>
    <row r="1346" spans="1:1">
      <c r="A1346">
        <f t="shared" si="67"/>
        <v>1344</v>
      </c>
    </row>
    <row r="1347" spans="1:1">
      <c r="A1347">
        <f t="shared" si="67"/>
        <v>1345</v>
      </c>
    </row>
    <row r="1348" spans="1:1">
      <c r="A1348">
        <f t="shared" si="67"/>
        <v>1346</v>
      </c>
    </row>
    <row r="1349" spans="1:1">
      <c r="A1349">
        <f t="shared" si="67"/>
        <v>1347</v>
      </c>
    </row>
    <row r="1350" spans="1:1">
      <c r="A1350">
        <f t="shared" si="67"/>
        <v>1348</v>
      </c>
    </row>
    <row r="1351" spans="1:1">
      <c r="A1351">
        <f t="shared" si="67"/>
        <v>1349</v>
      </c>
    </row>
    <row r="1352" spans="1:1">
      <c r="A1352">
        <f t="shared" si="67"/>
        <v>1350</v>
      </c>
    </row>
    <row r="1353" spans="1:1">
      <c r="A1353">
        <f t="shared" si="67"/>
        <v>1351</v>
      </c>
    </row>
    <row r="1354" spans="1:1">
      <c r="A1354">
        <f t="shared" si="67"/>
        <v>1352</v>
      </c>
    </row>
    <row r="1355" spans="1:1">
      <c r="A1355">
        <f t="shared" si="67"/>
        <v>1353</v>
      </c>
    </row>
    <row r="1356" spans="1:1">
      <c r="A1356">
        <f t="shared" si="67"/>
        <v>1354</v>
      </c>
    </row>
    <row r="1357" spans="1:1">
      <c r="A1357">
        <f t="shared" si="67"/>
        <v>1355</v>
      </c>
    </row>
    <row r="1358" spans="1:1">
      <c r="A1358">
        <f t="shared" si="67"/>
        <v>1356</v>
      </c>
    </row>
    <row r="1359" spans="1:1">
      <c r="A1359">
        <f t="shared" si="67"/>
        <v>1357</v>
      </c>
    </row>
    <row r="1360" spans="1:1">
      <c r="A1360">
        <f t="shared" si="67"/>
        <v>1358</v>
      </c>
    </row>
    <row r="1361" spans="1:1">
      <c r="A1361">
        <f t="shared" si="67"/>
        <v>1359</v>
      </c>
    </row>
    <row r="1362" spans="1:1">
      <c r="A1362">
        <f t="shared" si="67"/>
        <v>1360</v>
      </c>
    </row>
    <row r="1363" spans="1:1">
      <c r="A1363">
        <f t="shared" si="67"/>
        <v>1361</v>
      </c>
    </row>
    <row r="1364" spans="1:1">
      <c r="A1364">
        <f t="shared" si="67"/>
        <v>1362</v>
      </c>
    </row>
    <row r="1365" spans="1:1">
      <c r="A1365">
        <f t="shared" si="67"/>
        <v>1363</v>
      </c>
    </row>
    <row r="1366" spans="1:1">
      <c r="A1366">
        <f t="shared" si="67"/>
        <v>1364</v>
      </c>
    </row>
    <row r="1367" spans="1:1">
      <c r="A1367">
        <f t="shared" si="67"/>
        <v>1365</v>
      </c>
    </row>
    <row r="1368" spans="1:1">
      <c r="A1368">
        <f t="shared" si="67"/>
        <v>1366</v>
      </c>
    </row>
    <row r="1369" spans="1:1">
      <c r="A1369">
        <f t="shared" si="67"/>
        <v>1367</v>
      </c>
    </row>
    <row r="1370" spans="1:1">
      <c r="A1370">
        <f t="shared" si="67"/>
        <v>1368</v>
      </c>
    </row>
    <row r="1371" spans="1:1">
      <c r="A1371">
        <f t="shared" si="67"/>
        <v>1369</v>
      </c>
    </row>
    <row r="1372" spans="1:1">
      <c r="A1372">
        <f t="shared" si="67"/>
        <v>1370</v>
      </c>
    </row>
    <row r="1373" spans="1:1">
      <c r="A1373">
        <f t="shared" si="67"/>
        <v>1371</v>
      </c>
    </row>
    <row r="1374" spans="1:1">
      <c r="A1374">
        <f t="shared" si="67"/>
        <v>1372</v>
      </c>
    </row>
    <row r="1375" spans="1:1">
      <c r="A1375">
        <f t="shared" si="67"/>
        <v>1373</v>
      </c>
    </row>
    <row r="1376" spans="1:1">
      <c r="A1376">
        <f t="shared" si="67"/>
        <v>1374</v>
      </c>
    </row>
    <row r="1377" spans="1:1">
      <c r="A1377">
        <f t="shared" si="67"/>
        <v>1375</v>
      </c>
    </row>
    <row r="1378" spans="1:1">
      <c r="A1378">
        <f t="shared" si="67"/>
        <v>1376</v>
      </c>
    </row>
    <row r="1379" spans="1:1">
      <c r="A1379">
        <f t="shared" si="67"/>
        <v>1377</v>
      </c>
    </row>
    <row r="1380" spans="1:1">
      <c r="A1380">
        <f t="shared" ref="A1380:A1443" si="68">A1379+1</f>
        <v>1378</v>
      </c>
    </row>
    <row r="1381" spans="1:1">
      <c r="A1381">
        <f t="shared" si="68"/>
        <v>1379</v>
      </c>
    </row>
    <row r="1382" spans="1:1">
      <c r="A1382">
        <f t="shared" si="68"/>
        <v>1380</v>
      </c>
    </row>
    <row r="1383" spans="1:1">
      <c r="A1383">
        <f t="shared" si="68"/>
        <v>1381</v>
      </c>
    </row>
    <row r="1384" spans="1:1">
      <c r="A1384">
        <f t="shared" si="68"/>
        <v>1382</v>
      </c>
    </row>
    <row r="1385" spans="1:1">
      <c r="A1385">
        <f t="shared" si="68"/>
        <v>1383</v>
      </c>
    </row>
    <row r="1386" spans="1:1">
      <c r="A1386">
        <f t="shared" si="68"/>
        <v>1384</v>
      </c>
    </row>
    <row r="1387" spans="1:1">
      <c r="A1387">
        <f t="shared" si="68"/>
        <v>1385</v>
      </c>
    </row>
    <row r="1388" spans="1:1">
      <c r="A1388">
        <f t="shared" si="68"/>
        <v>1386</v>
      </c>
    </row>
    <row r="1389" spans="1:1">
      <c r="A1389">
        <f t="shared" si="68"/>
        <v>1387</v>
      </c>
    </row>
    <row r="1390" spans="1:1">
      <c r="A1390">
        <f t="shared" si="68"/>
        <v>1388</v>
      </c>
    </row>
    <row r="1391" spans="1:1">
      <c r="A1391">
        <f t="shared" si="68"/>
        <v>1389</v>
      </c>
    </row>
    <row r="1392" spans="1:1">
      <c r="A1392">
        <f t="shared" si="68"/>
        <v>1390</v>
      </c>
    </row>
    <row r="1393" spans="1:1">
      <c r="A1393">
        <f t="shared" si="68"/>
        <v>1391</v>
      </c>
    </row>
    <row r="1394" spans="1:1">
      <c r="A1394">
        <f t="shared" si="68"/>
        <v>1392</v>
      </c>
    </row>
    <row r="1395" spans="1:1">
      <c r="A1395">
        <f t="shared" si="68"/>
        <v>1393</v>
      </c>
    </row>
    <row r="1396" spans="1:1">
      <c r="A1396">
        <f t="shared" si="68"/>
        <v>1394</v>
      </c>
    </row>
    <row r="1397" spans="1:1">
      <c r="A1397">
        <f t="shared" si="68"/>
        <v>1395</v>
      </c>
    </row>
    <row r="1398" spans="1:1">
      <c r="A1398">
        <f t="shared" si="68"/>
        <v>1396</v>
      </c>
    </row>
    <row r="1399" spans="1:1">
      <c r="A1399">
        <f t="shared" si="68"/>
        <v>1397</v>
      </c>
    </row>
    <row r="1400" spans="1:1">
      <c r="A1400">
        <f t="shared" si="68"/>
        <v>1398</v>
      </c>
    </row>
    <row r="1401" spans="1:1">
      <c r="A1401">
        <f t="shared" si="68"/>
        <v>1399</v>
      </c>
    </row>
    <row r="1402" spans="1:1">
      <c r="A1402">
        <f t="shared" si="68"/>
        <v>1400</v>
      </c>
    </row>
    <row r="1403" spans="1:1">
      <c r="A1403">
        <f t="shared" si="68"/>
        <v>1401</v>
      </c>
    </row>
    <row r="1404" spans="1:1">
      <c r="A1404">
        <f t="shared" si="68"/>
        <v>1402</v>
      </c>
    </row>
    <row r="1405" spans="1:1">
      <c r="A1405">
        <f t="shared" si="68"/>
        <v>1403</v>
      </c>
    </row>
    <row r="1406" spans="1:1">
      <c r="A1406">
        <f t="shared" si="68"/>
        <v>1404</v>
      </c>
    </row>
    <row r="1407" spans="1:1">
      <c r="A1407">
        <f t="shared" si="68"/>
        <v>1405</v>
      </c>
    </row>
    <row r="1408" spans="1:1">
      <c r="A1408">
        <f t="shared" si="68"/>
        <v>1406</v>
      </c>
    </row>
    <row r="1409" spans="1:1">
      <c r="A1409">
        <f t="shared" si="68"/>
        <v>1407</v>
      </c>
    </row>
    <row r="1410" spans="1:1">
      <c r="A1410">
        <f t="shared" si="68"/>
        <v>1408</v>
      </c>
    </row>
    <row r="1411" spans="1:1">
      <c r="A1411">
        <f t="shared" si="68"/>
        <v>1409</v>
      </c>
    </row>
    <row r="1412" spans="1:1">
      <c r="A1412">
        <f t="shared" si="68"/>
        <v>1410</v>
      </c>
    </row>
    <row r="1413" spans="1:1">
      <c r="A1413">
        <f t="shared" si="68"/>
        <v>1411</v>
      </c>
    </row>
    <row r="1414" spans="1:1">
      <c r="A1414">
        <f t="shared" si="68"/>
        <v>1412</v>
      </c>
    </row>
    <row r="1415" spans="1:1">
      <c r="A1415">
        <f t="shared" si="68"/>
        <v>1413</v>
      </c>
    </row>
    <row r="1416" spans="1:1">
      <c r="A1416">
        <f t="shared" si="68"/>
        <v>1414</v>
      </c>
    </row>
    <row r="1417" spans="1:1">
      <c r="A1417">
        <f t="shared" si="68"/>
        <v>1415</v>
      </c>
    </row>
    <row r="1418" spans="1:1">
      <c r="A1418">
        <f t="shared" si="68"/>
        <v>1416</v>
      </c>
    </row>
    <row r="1419" spans="1:1">
      <c r="A1419">
        <f t="shared" si="68"/>
        <v>1417</v>
      </c>
    </row>
    <row r="1420" spans="1:1">
      <c r="A1420">
        <f t="shared" si="68"/>
        <v>1418</v>
      </c>
    </row>
    <row r="1421" spans="1:1">
      <c r="A1421">
        <f t="shared" si="68"/>
        <v>1419</v>
      </c>
    </row>
    <row r="1422" spans="1:1">
      <c r="A1422">
        <f t="shared" si="68"/>
        <v>1420</v>
      </c>
    </row>
    <row r="1423" spans="1:1">
      <c r="A1423">
        <f t="shared" si="68"/>
        <v>1421</v>
      </c>
    </row>
    <row r="1424" spans="1:1">
      <c r="A1424">
        <f t="shared" si="68"/>
        <v>1422</v>
      </c>
    </row>
    <row r="1425" spans="1:1">
      <c r="A1425">
        <f t="shared" si="68"/>
        <v>1423</v>
      </c>
    </row>
    <row r="1426" spans="1:1">
      <c r="A1426">
        <f t="shared" si="68"/>
        <v>1424</v>
      </c>
    </row>
    <row r="1427" spans="1:1">
      <c r="A1427">
        <f t="shared" si="68"/>
        <v>1425</v>
      </c>
    </row>
    <row r="1428" spans="1:1">
      <c r="A1428">
        <f t="shared" si="68"/>
        <v>1426</v>
      </c>
    </row>
    <row r="1429" spans="1:1">
      <c r="A1429">
        <f t="shared" si="68"/>
        <v>1427</v>
      </c>
    </row>
    <row r="1430" spans="1:1">
      <c r="A1430">
        <f t="shared" si="68"/>
        <v>1428</v>
      </c>
    </row>
    <row r="1431" spans="1:1">
      <c r="A1431">
        <f t="shared" si="68"/>
        <v>1429</v>
      </c>
    </row>
    <row r="1432" spans="1:1">
      <c r="A1432">
        <f t="shared" si="68"/>
        <v>1430</v>
      </c>
    </row>
    <row r="1433" spans="1:1">
      <c r="A1433">
        <f t="shared" si="68"/>
        <v>1431</v>
      </c>
    </row>
    <row r="1434" spans="1:1">
      <c r="A1434">
        <f t="shared" si="68"/>
        <v>1432</v>
      </c>
    </row>
    <row r="1435" spans="1:1">
      <c r="A1435">
        <f t="shared" si="68"/>
        <v>1433</v>
      </c>
    </row>
    <row r="1436" spans="1:1">
      <c r="A1436">
        <f t="shared" si="68"/>
        <v>1434</v>
      </c>
    </row>
    <row r="1437" spans="1:1">
      <c r="A1437">
        <f t="shared" si="68"/>
        <v>1435</v>
      </c>
    </row>
    <row r="1438" spans="1:1">
      <c r="A1438">
        <f t="shared" si="68"/>
        <v>1436</v>
      </c>
    </row>
    <row r="1439" spans="1:1">
      <c r="A1439">
        <f t="shared" si="68"/>
        <v>1437</v>
      </c>
    </row>
    <row r="1440" spans="1:1">
      <c r="A1440">
        <f t="shared" si="68"/>
        <v>1438</v>
      </c>
    </row>
    <row r="1441" spans="1:1">
      <c r="A1441">
        <f t="shared" si="68"/>
        <v>1439</v>
      </c>
    </row>
    <row r="1442" spans="1:1">
      <c r="A1442">
        <f t="shared" si="68"/>
        <v>1440</v>
      </c>
    </row>
    <row r="1443" spans="1:1">
      <c r="A1443">
        <f t="shared" si="68"/>
        <v>1441</v>
      </c>
    </row>
    <row r="1444" spans="1:1">
      <c r="A1444">
        <f t="shared" ref="A1444:A1507" si="69">A1443+1</f>
        <v>1442</v>
      </c>
    </row>
    <row r="1445" spans="1:1">
      <c r="A1445">
        <f t="shared" si="69"/>
        <v>1443</v>
      </c>
    </row>
    <row r="1446" spans="1:1">
      <c r="A1446">
        <f t="shared" si="69"/>
        <v>1444</v>
      </c>
    </row>
    <row r="1447" spans="1:1">
      <c r="A1447">
        <f t="shared" si="69"/>
        <v>1445</v>
      </c>
    </row>
    <row r="1448" spans="1:1">
      <c r="A1448">
        <f t="shared" si="69"/>
        <v>1446</v>
      </c>
    </row>
    <row r="1449" spans="1:1">
      <c r="A1449">
        <f t="shared" si="69"/>
        <v>1447</v>
      </c>
    </row>
    <row r="1450" spans="1:1">
      <c r="A1450">
        <f t="shared" si="69"/>
        <v>1448</v>
      </c>
    </row>
    <row r="1451" spans="1:1">
      <c r="A1451">
        <f t="shared" si="69"/>
        <v>1449</v>
      </c>
    </row>
    <row r="1452" spans="1:1">
      <c r="A1452">
        <f t="shared" si="69"/>
        <v>1450</v>
      </c>
    </row>
    <row r="1453" spans="1:1">
      <c r="A1453">
        <f t="shared" si="69"/>
        <v>1451</v>
      </c>
    </row>
    <row r="1454" spans="1:1">
      <c r="A1454">
        <f t="shared" si="69"/>
        <v>1452</v>
      </c>
    </row>
    <row r="1455" spans="1:1">
      <c r="A1455">
        <f t="shared" si="69"/>
        <v>1453</v>
      </c>
    </row>
    <row r="1456" spans="1:1">
      <c r="A1456">
        <f t="shared" si="69"/>
        <v>1454</v>
      </c>
    </row>
    <row r="1457" spans="1:1">
      <c r="A1457">
        <f t="shared" si="69"/>
        <v>1455</v>
      </c>
    </row>
    <row r="1458" spans="1:1">
      <c r="A1458">
        <f t="shared" si="69"/>
        <v>1456</v>
      </c>
    </row>
    <row r="1459" spans="1:1">
      <c r="A1459">
        <f t="shared" si="69"/>
        <v>1457</v>
      </c>
    </row>
    <row r="1460" spans="1:1">
      <c r="A1460">
        <f t="shared" si="69"/>
        <v>1458</v>
      </c>
    </row>
    <row r="1461" spans="1:1">
      <c r="A1461">
        <f t="shared" si="69"/>
        <v>1459</v>
      </c>
    </row>
    <row r="1462" spans="1:1">
      <c r="A1462">
        <f t="shared" si="69"/>
        <v>1460</v>
      </c>
    </row>
    <row r="1463" spans="1:1">
      <c r="A1463">
        <f t="shared" si="69"/>
        <v>1461</v>
      </c>
    </row>
    <row r="1464" spans="1:1">
      <c r="A1464">
        <f t="shared" si="69"/>
        <v>1462</v>
      </c>
    </row>
    <row r="1465" spans="1:1">
      <c r="A1465">
        <f t="shared" si="69"/>
        <v>1463</v>
      </c>
    </row>
    <row r="1466" spans="1:1">
      <c r="A1466">
        <f t="shared" si="69"/>
        <v>1464</v>
      </c>
    </row>
    <row r="1467" spans="1:1">
      <c r="A1467">
        <f t="shared" si="69"/>
        <v>1465</v>
      </c>
    </row>
    <row r="1468" spans="1:1">
      <c r="A1468">
        <f t="shared" si="69"/>
        <v>1466</v>
      </c>
    </row>
    <row r="1469" spans="1:1">
      <c r="A1469">
        <f t="shared" si="69"/>
        <v>1467</v>
      </c>
    </row>
    <row r="1470" spans="1:1">
      <c r="A1470">
        <f t="shared" si="69"/>
        <v>1468</v>
      </c>
    </row>
    <row r="1471" spans="1:1">
      <c r="A1471">
        <f t="shared" si="69"/>
        <v>1469</v>
      </c>
    </row>
    <row r="1472" spans="1:1">
      <c r="A1472">
        <f t="shared" si="69"/>
        <v>1470</v>
      </c>
    </row>
    <row r="1473" spans="1:1">
      <c r="A1473">
        <f t="shared" si="69"/>
        <v>1471</v>
      </c>
    </row>
    <row r="1474" spans="1:1">
      <c r="A1474">
        <f t="shared" si="69"/>
        <v>1472</v>
      </c>
    </row>
    <row r="1475" spans="1:1">
      <c r="A1475">
        <f t="shared" si="69"/>
        <v>1473</v>
      </c>
    </row>
    <row r="1476" spans="1:1">
      <c r="A1476">
        <f t="shared" si="69"/>
        <v>1474</v>
      </c>
    </row>
    <row r="1477" spans="1:1">
      <c r="A1477">
        <f t="shared" si="69"/>
        <v>1475</v>
      </c>
    </row>
    <row r="1478" spans="1:1">
      <c r="A1478">
        <f t="shared" si="69"/>
        <v>1476</v>
      </c>
    </row>
    <row r="1479" spans="1:1">
      <c r="A1479">
        <f t="shared" si="69"/>
        <v>1477</v>
      </c>
    </row>
    <row r="1480" spans="1:1">
      <c r="A1480">
        <f t="shared" si="69"/>
        <v>1478</v>
      </c>
    </row>
    <row r="1481" spans="1:1">
      <c r="A1481">
        <f t="shared" si="69"/>
        <v>1479</v>
      </c>
    </row>
    <row r="1482" spans="1:1">
      <c r="A1482">
        <f t="shared" si="69"/>
        <v>1480</v>
      </c>
    </row>
    <row r="1483" spans="1:1">
      <c r="A1483">
        <f t="shared" si="69"/>
        <v>1481</v>
      </c>
    </row>
    <row r="1484" spans="1:1">
      <c r="A1484">
        <f t="shared" si="69"/>
        <v>1482</v>
      </c>
    </row>
    <row r="1485" spans="1:1">
      <c r="A1485">
        <f t="shared" si="69"/>
        <v>1483</v>
      </c>
    </row>
    <row r="1486" spans="1:1">
      <c r="A1486">
        <f t="shared" si="69"/>
        <v>1484</v>
      </c>
    </row>
    <row r="1487" spans="1:1">
      <c r="A1487">
        <f t="shared" si="69"/>
        <v>1485</v>
      </c>
    </row>
    <row r="1488" spans="1:1">
      <c r="A1488">
        <f t="shared" si="69"/>
        <v>1486</v>
      </c>
    </row>
    <row r="1489" spans="1:1">
      <c r="A1489">
        <f t="shared" si="69"/>
        <v>1487</v>
      </c>
    </row>
    <row r="1490" spans="1:1">
      <c r="A1490">
        <f t="shared" si="69"/>
        <v>1488</v>
      </c>
    </row>
    <row r="1491" spans="1:1">
      <c r="A1491">
        <f t="shared" si="69"/>
        <v>1489</v>
      </c>
    </row>
    <row r="1492" spans="1:1">
      <c r="A1492">
        <f t="shared" si="69"/>
        <v>1490</v>
      </c>
    </row>
    <row r="1493" spans="1:1">
      <c r="A1493">
        <f t="shared" si="69"/>
        <v>1491</v>
      </c>
    </row>
    <row r="1494" spans="1:1">
      <c r="A1494">
        <f t="shared" si="69"/>
        <v>1492</v>
      </c>
    </row>
    <row r="1495" spans="1:1">
      <c r="A1495">
        <f t="shared" si="69"/>
        <v>1493</v>
      </c>
    </row>
    <row r="1496" spans="1:1">
      <c r="A1496">
        <f t="shared" si="69"/>
        <v>1494</v>
      </c>
    </row>
    <row r="1497" spans="1:1">
      <c r="A1497">
        <f t="shared" si="69"/>
        <v>1495</v>
      </c>
    </row>
    <row r="1498" spans="1:1">
      <c r="A1498">
        <f t="shared" si="69"/>
        <v>1496</v>
      </c>
    </row>
    <row r="1499" spans="1:1">
      <c r="A1499">
        <f t="shared" si="69"/>
        <v>1497</v>
      </c>
    </row>
    <row r="1500" spans="1:1">
      <c r="A1500">
        <f t="shared" si="69"/>
        <v>1498</v>
      </c>
    </row>
    <row r="1501" spans="1:1">
      <c r="A1501">
        <f t="shared" si="69"/>
        <v>1499</v>
      </c>
    </row>
    <row r="1502" spans="1:1">
      <c r="A1502">
        <f t="shared" si="69"/>
        <v>1500</v>
      </c>
    </row>
    <row r="1503" spans="1:1">
      <c r="A1503">
        <f t="shared" si="69"/>
        <v>1501</v>
      </c>
    </row>
    <row r="1504" spans="1:1">
      <c r="A1504">
        <f t="shared" si="69"/>
        <v>1502</v>
      </c>
    </row>
    <row r="1505" spans="1:1">
      <c r="A1505">
        <f t="shared" si="69"/>
        <v>1503</v>
      </c>
    </row>
    <row r="1506" spans="1:1">
      <c r="A1506">
        <f t="shared" si="69"/>
        <v>1504</v>
      </c>
    </row>
    <row r="1507" spans="1:1">
      <c r="A1507">
        <f t="shared" si="69"/>
        <v>1505</v>
      </c>
    </row>
    <row r="1508" spans="1:1">
      <c r="A1508">
        <f t="shared" ref="A1508:A1571" si="70">A1507+1</f>
        <v>1506</v>
      </c>
    </row>
    <row r="1509" spans="1:1">
      <c r="A1509">
        <f t="shared" si="70"/>
        <v>1507</v>
      </c>
    </row>
    <row r="1510" spans="1:1">
      <c r="A1510">
        <f t="shared" si="70"/>
        <v>1508</v>
      </c>
    </row>
    <row r="1511" spans="1:1">
      <c r="A1511">
        <f t="shared" si="70"/>
        <v>1509</v>
      </c>
    </row>
    <row r="1512" spans="1:1">
      <c r="A1512">
        <f t="shared" si="70"/>
        <v>1510</v>
      </c>
    </row>
    <row r="1513" spans="1:1">
      <c r="A1513">
        <f t="shared" si="70"/>
        <v>1511</v>
      </c>
    </row>
    <row r="1514" spans="1:1">
      <c r="A1514">
        <f t="shared" si="70"/>
        <v>1512</v>
      </c>
    </row>
    <row r="1515" spans="1:1">
      <c r="A1515">
        <f t="shared" si="70"/>
        <v>1513</v>
      </c>
    </row>
    <row r="1516" spans="1:1">
      <c r="A1516">
        <f t="shared" si="70"/>
        <v>1514</v>
      </c>
    </row>
    <row r="1517" spans="1:1">
      <c r="A1517">
        <f t="shared" si="70"/>
        <v>1515</v>
      </c>
    </row>
    <row r="1518" spans="1:1">
      <c r="A1518">
        <f t="shared" si="70"/>
        <v>1516</v>
      </c>
    </row>
    <row r="1519" spans="1:1">
      <c r="A1519">
        <f t="shared" si="70"/>
        <v>1517</v>
      </c>
    </row>
    <row r="1520" spans="1:1">
      <c r="A1520">
        <f t="shared" si="70"/>
        <v>1518</v>
      </c>
    </row>
    <row r="1521" spans="1:1">
      <c r="A1521">
        <f t="shared" si="70"/>
        <v>1519</v>
      </c>
    </row>
    <row r="1522" spans="1:1">
      <c r="A1522">
        <f t="shared" si="70"/>
        <v>1520</v>
      </c>
    </row>
    <row r="1523" spans="1:1">
      <c r="A1523">
        <f t="shared" si="70"/>
        <v>1521</v>
      </c>
    </row>
    <row r="1524" spans="1:1">
      <c r="A1524">
        <f t="shared" si="70"/>
        <v>1522</v>
      </c>
    </row>
    <row r="1525" spans="1:1">
      <c r="A1525">
        <f t="shared" si="70"/>
        <v>1523</v>
      </c>
    </row>
    <row r="1526" spans="1:1">
      <c r="A1526">
        <f t="shared" si="70"/>
        <v>1524</v>
      </c>
    </row>
    <row r="1527" spans="1:1">
      <c r="A1527">
        <f t="shared" si="70"/>
        <v>1525</v>
      </c>
    </row>
    <row r="1528" spans="1:1">
      <c r="A1528">
        <f t="shared" si="70"/>
        <v>1526</v>
      </c>
    </row>
    <row r="1529" spans="1:1">
      <c r="A1529">
        <f t="shared" si="70"/>
        <v>1527</v>
      </c>
    </row>
    <row r="1530" spans="1:1">
      <c r="A1530">
        <f t="shared" si="70"/>
        <v>1528</v>
      </c>
    </row>
    <row r="1531" spans="1:1">
      <c r="A1531">
        <f t="shared" si="70"/>
        <v>1529</v>
      </c>
    </row>
    <row r="1532" spans="1:1">
      <c r="A1532">
        <f t="shared" si="70"/>
        <v>1530</v>
      </c>
    </row>
    <row r="1533" spans="1:1">
      <c r="A1533">
        <f t="shared" si="70"/>
        <v>1531</v>
      </c>
    </row>
    <row r="1534" spans="1:1">
      <c r="A1534">
        <f t="shared" si="70"/>
        <v>1532</v>
      </c>
    </row>
    <row r="1535" spans="1:1">
      <c r="A1535">
        <f t="shared" si="70"/>
        <v>1533</v>
      </c>
    </row>
    <row r="1536" spans="1:1">
      <c r="A1536">
        <f t="shared" si="70"/>
        <v>1534</v>
      </c>
    </row>
    <row r="1537" spans="1:1">
      <c r="A1537">
        <f t="shared" si="70"/>
        <v>1535</v>
      </c>
    </row>
    <row r="1538" spans="1:1">
      <c r="A1538">
        <f t="shared" si="70"/>
        <v>1536</v>
      </c>
    </row>
    <row r="1539" spans="1:1">
      <c r="A1539">
        <f t="shared" si="70"/>
        <v>1537</v>
      </c>
    </row>
    <row r="1540" spans="1:1">
      <c r="A1540">
        <f t="shared" si="70"/>
        <v>1538</v>
      </c>
    </row>
    <row r="1541" spans="1:1">
      <c r="A1541">
        <f t="shared" si="70"/>
        <v>1539</v>
      </c>
    </row>
    <row r="1542" spans="1:1">
      <c r="A1542">
        <f t="shared" si="70"/>
        <v>1540</v>
      </c>
    </row>
    <row r="1543" spans="1:1">
      <c r="A1543">
        <f t="shared" si="70"/>
        <v>1541</v>
      </c>
    </row>
    <row r="1544" spans="1:1">
      <c r="A1544">
        <f t="shared" si="70"/>
        <v>1542</v>
      </c>
    </row>
    <row r="1545" spans="1:1">
      <c r="A1545">
        <f t="shared" si="70"/>
        <v>1543</v>
      </c>
    </row>
    <row r="1546" spans="1:1">
      <c r="A1546">
        <f t="shared" si="70"/>
        <v>1544</v>
      </c>
    </row>
    <row r="1547" spans="1:1">
      <c r="A1547">
        <f t="shared" si="70"/>
        <v>1545</v>
      </c>
    </row>
    <row r="1548" spans="1:1">
      <c r="A1548">
        <f t="shared" si="70"/>
        <v>1546</v>
      </c>
    </row>
    <row r="1549" spans="1:1">
      <c r="A1549">
        <f t="shared" si="70"/>
        <v>1547</v>
      </c>
    </row>
    <row r="1550" spans="1:1">
      <c r="A1550">
        <f t="shared" si="70"/>
        <v>1548</v>
      </c>
    </row>
    <row r="1551" spans="1:1">
      <c r="A1551">
        <f t="shared" si="70"/>
        <v>1549</v>
      </c>
    </row>
    <row r="1552" spans="1:1">
      <c r="A1552">
        <f t="shared" si="70"/>
        <v>1550</v>
      </c>
    </row>
    <row r="1553" spans="1:1">
      <c r="A1553">
        <f t="shared" si="70"/>
        <v>1551</v>
      </c>
    </row>
    <row r="1554" spans="1:1">
      <c r="A1554">
        <f t="shared" si="70"/>
        <v>1552</v>
      </c>
    </row>
    <row r="1555" spans="1:1">
      <c r="A1555">
        <f t="shared" si="70"/>
        <v>1553</v>
      </c>
    </row>
    <row r="1556" spans="1:1">
      <c r="A1556">
        <f t="shared" si="70"/>
        <v>1554</v>
      </c>
    </row>
    <row r="1557" spans="1:1">
      <c r="A1557">
        <f t="shared" si="70"/>
        <v>1555</v>
      </c>
    </row>
    <row r="1558" spans="1:1">
      <c r="A1558">
        <f t="shared" si="70"/>
        <v>1556</v>
      </c>
    </row>
    <row r="1559" spans="1:1">
      <c r="A1559">
        <f t="shared" si="70"/>
        <v>1557</v>
      </c>
    </row>
    <row r="1560" spans="1:1">
      <c r="A1560">
        <f t="shared" si="70"/>
        <v>1558</v>
      </c>
    </row>
    <row r="1561" spans="1:1">
      <c r="A1561">
        <f t="shared" si="70"/>
        <v>1559</v>
      </c>
    </row>
    <row r="1562" spans="1:1">
      <c r="A1562">
        <f t="shared" si="70"/>
        <v>1560</v>
      </c>
    </row>
    <row r="1563" spans="1:1">
      <c r="A1563">
        <f t="shared" si="70"/>
        <v>1561</v>
      </c>
    </row>
    <row r="1564" spans="1:1">
      <c r="A1564">
        <f t="shared" si="70"/>
        <v>1562</v>
      </c>
    </row>
    <row r="1565" spans="1:1">
      <c r="A1565">
        <f t="shared" si="70"/>
        <v>1563</v>
      </c>
    </row>
    <row r="1566" spans="1:1">
      <c r="A1566">
        <f t="shared" si="70"/>
        <v>1564</v>
      </c>
    </row>
    <row r="1567" spans="1:1">
      <c r="A1567">
        <f t="shared" si="70"/>
        <v>1565</v>
      </c>
    </row>
    <row r="1568" spans="1:1">
      <c r="A1568">
        <f t="shared" si="70"/>
        <v>1566</v>
      </c>
    </row>
    <row r="1569" spans="1:1">
      <c r="A1569">
        <f t="shared" si="70"/>
        <v>1567</v>
      </c>
    </row>
    <row r="1570" spans="1:1">
      <c r="A1570">
        <f t="shared" si="70"/>
        <v>1568</v>
      </c>
    </row>
    <row r="1571" spans="1:1">
      <c r="A1571">
        <f t="shared" si="70"/>
        <v>1569</v>
      </c>
    </row>
    <row r="1572" spans="1:1">
      <c r="A1572">
        <f t="shared" ref="A1572:A1635" si="71">A1571+1</f>
        <v>1570</v>
      </c>
    </row>
    <row r="1573" spans="1:1">
      <c r="A1573">
        <f t="shared" si="71"/>
        <v>1571</v>
      </c>
    </row>
    <row r="1574" spans="1:1">
      <c r="A1574">
        <f t="shared" si="71"/>
        <v>1572</v>
      </c>
    </row>
    <row r="1575" spans="1:1">
      <c r="A1575">
        <f t="shared" si="71"/>
        <v>1573</v>
      </c>
    </row>
    <row r="1576" spans="1:1">
      <c r="A1576">
        <f t="shared" si="71"/>
        <v>1574</v>
      </c>
    </row>
    <row r="1577" spans="1:1">
      <c r="A1577">
        <f t="shared" si="71"/>
        <v>1575</v>
      </c>
    </row>
    <row r="1578" spans="1:1">
      <c r="A1578">
        <f t="shared" si="71"/>
        <v>1576</v>
      </c>
    </row>
    <row r="1579" spans="1:1">
      <c r="A1579">
        <f t="shared" si="71"/>
        <v>1577</v>
      </c>
    </row>
    <row r="1580" spans="1:1">
      <c r="A1580">
        <f t="shared" si="71"/>
        <v>1578</v>
      </c>
    </row>
    <row r="1581" spans="1:1">
      <c r="A1581">
        <f t="shared" si="71"/>
        <v>1579</v>
      </c>
    </row>
    <row r="1582" spans="1:1">
      <c r="A1582">
        <f t="shared" si="71"/>
        <v>1580</v>
      </c>
    </row>
    <row r="1583" spans="1:1">
      <c r="A1583">
        <f t="shared" si="71"/>
        <v>1581</v>
      </c>
    </row>
    <row r="1584" spans="1:1">
      <c r="A1584">
        <f t="shared" si="71"/>
        <v>1582</v>
      </c>
    </row>
    <row r="1585" spans="1:1">
      <c r="A1585">
        <f t="shared" si="71"/>
        <v>1583</v>
      </c>
    </row>
    <row r="1586" spans="1:1">
      <c r="A1586">
        <f t="shared" si="71"/>
        <v>1584</v>
      </c>
    </row>
    <row r="1587" spans="1:1">
      <c r="A1587">
        <f t="shared" si="71"/>
        <v>1585</v>
      </c>
    </row>
    <row r="1588" spans="1:1">
      <c r="A1588">
        <f t="shared" si="71"/>
        <v>1586</v>
      </c>
    </row>
    <row r="1589" spans="1:1">
      <c r="A1589">
        <f t="shared" si="71"/>
        <v>1587</v>
      </c>
    </row>
    <row r="1590" spans="1:1">
      <c r="A1590">
        <f t="shared" si="71"/>
        <v>1588</v>
      </c>
    </row>
    <row r="1591" spans="1:1">
      <c r="A1591">
        <f t="shared" si="71"/>
        <v>1589</v>
      </c>
    </row>
    <row r="1592" spans="1:1">
      <c r="A1592">
        <f t="shared" si="71"/>
        <v>1590</v>
      </c>
    </row>
    <row r="1593" spans="1:1">
      <c r="A1593">
        <f t="shared" si="71"/>
        <v>1591</v>
      </c>
    </row>
    <row r="1594" spans="1:1">
      <c r="A1594">
        <f t="shared" si="71"/>
        <v>1592</v>
      </c>
    </row>
    <row r="1595" spans="1:1">
      <c r="A1595">
        <f t="shared" si="71"/>
        <v>1593</v>
      </c>
    </row>
    <row r="1596" spans="1:1">
      <c r="A1596">
        <f t="shared" si="71"/>
        <v>1594</v>
      </c>
    </row>
    <row r="1597" spans="1:1">
      <c r="A1597">
        <f t="shared" si="71"/>
        <v>1595</v>
      </c>
    </row>
    <row r="1598" spans="1:1">
      <c r="A1598">
        <f t="shared" si="71"/>
        <v>1596</v>
      </c>
    </row>
    <row r="1599" spans="1:1">
      <c r="A1599">
        <f t="shared" si="71"/>
        <v>1597</v>
      </c>
    </row>
    <row r="1600" spans="1:1">
      <c r="A1600">
        <f t="shared" si="71"/>
        <v>1598</v>
      </c>
    </row>
    <row r="1601" spans="1:1">
      <c r="A1601">
        <f t="shared" si="71"/>
        <v>1599</v>
      </c>
    </row>
    <row r="1602" spans="1:1">
      <c r="A1602">
        <f t="shared" si="71"/>
        <v>1600</v>
      </c>
    </row>
    <row r="1603" spans="1:1">
      <c r="A1603">
        <f t="shared" si="71"/>
        <v>1601</v>
      </c>
    </row>
    <row r="1604" spans="1:1">
      <c r="A1604">
        <f t="shared" si="71"/>
        <v>1602</v>
      </c>
    </row>
    <row r="1605" spans="1:1">
      <c r="A1605">
        <f t="shared" si="71"/>
        <v>1603</v>
      </c>
    </row>
    <row r="1606" spans="1:1">
      <c r="A1606">
        <f t="shared" si="71"/>
        <v>1604</v>
      </c>
    </row>
    <row r="1607" spans="1:1">
      <c r="A1607">
        <f t="shared" si="71"/>
        <v>1605</v>
      </c>
    </row>
    <row r="1608" spans="1:1">
      <c r="A1608">
        <f t="shared" si="71"/>
        <v>1606</v>
      </c>
    </row>
    <row r="1609" spans="1:1">
      <c r="A1609">
        <f t="shared" si="71"/>
        <v>1607</v>
      </c>
    </row>
    <row r="1610" spans="1:1">
      <c r="A1610">
        <f t="shared" si="71"/>
        <v>1608</v>
      </c>
    </row>
    <row r="1611" spans="1:1">
      <c r="A1611">
        <f t="shared" si="71"/>
        <v>1609</v>
      </c>
    </row>
    <row r="1612" spans="1:1">
      <c r="A1612">
        <f t="shared" si="71"/>
        <v>1610</v>
      </c>
    </row>
    <row r="1613" spans="1:1">
      <c r="A1613">
        <f t="shared" si="71"/>
        <v>1611</v>
      </c>
    </row>
    <row r="1614" spans="1:1">
      <c r="A1614">
        <f t="shared" si="71"/>
        <v>1612</v>
      </c>
    </row>
    <row r="1615" spans="1:1">
      <c r="A1615">
        <f t="shared" si="71"/>
        <v>1613</v>
      </c>
    </row>
    <row r="1616" spans="1:1">
      <c r="A1616">
        <f t="shared" si="71"/>
        <v>1614</v>
      </c>
    </row>
    <row r="1617" spans="1:1">
      <c r="A1617">
        <f t="shared" si="71"/>
        <v>1615</v>
      </c>
    </row>
    <row r="1618" spans="1:1">
      <c r="A1618">
        <f t="shared" si="71"/>
        <v>1616</v>
      </c>
    </row>
    <row r="1619" spans="1:1">
      <c r="A1619">
        <f t="shared" si="71"/>
        <v>1617</v>
      </c>
    </row>
    <row r="1620" spans="1:1">
      <c r="A1620">
        <f t="shared" si="71"/>
        <v>1618</v>
      </c>
    </row>
    <row r="1621" spans="1:1">
      <c r="A1621">
        <f t="shared" si="71"/>
        <v>1619</v>
      </c>
    </row>
    <row r="1622" spans="1:1">
      <c r="A1622">
        <f t="shared" si="71"/>
        <v>1620</v>
      </c>
    </row>
    <row r="1623" spans="1:1">
      <c r="A1623">
        <f t="shared" si="71"/>
        <v>1621</v>
      </c>
    </row>
    <row r="1624" spans="1:1">
      <c r="A1624">
        <f t="shared" si="71"/>
        <v>1622</v>
      </c>
    </row>
    <row r="1625" spans="1:1">
      <c r="A1625">
        <f t="shared" si="71"/>
        <v>1623</v>
      </c>
    </row>
    <row r="1626" spans="1:1">
      <c r="A1626">
        <f t="shared" si="71"/>
        <v>1624</v>
      </c>
    </row>
    <row r="1627" spans="1:1">
      <c r="A1627">
        <f t="shared" si="71"/>
        <v>1625</v>
      </c>
    </row>
    <row r="1628" spans="1:1">
      <c r="A1628">
        <f t="shared" si="71"/>
        <v>1626</v>
      </c>
    </row>
    <row r="1629" spans="1:1">
      <c r="A1629">
        <f t="shared" si="71"/>
        <v>1627</v>
      </c>
    </row>
    <row r="1630" spans="1:1">
      <c r="A1630">
        <f t="shared" si="71"/>
        <v>1628</v>
      </c>
    </row>
    <row r="1631" spans="1:1">
      <c r="A1631">
        <f t="shared" si="71"/>
        <v>1629</v>
      </c>
    </row>
    <row r="1632" spans="1:1">
      <c r="A1632">
        <f t="shared" si="71"/>
        <v>1630</v>
      </c>
    </row>
    <row r="1633" spans="1:1">
      <c r="A1633">
        <f t="shared" si="71"/>
        <v>1631</v>
      </c>
    </row>
    <row r="1634" spans="1:1">
      <c r="A1634">
        <f t="shared" si="71"/>
        <v>1632</v>
      </c>
    </row>
    <row r="1635" spans="1:1">
      <c r="A1635">
        <f t="shared" si="71"/>
        <v>1633</v>
      </c>
    </row>
    <row r="1636" spans="1:1">
      <c r="A1636">
        <f t="shared" ref="A1636:A1699" si="72">A1635+1</f>
        <v>1634</v>
      </c>
    </row>
    <row r="1637" spans="1:1">
      <c r="A1637">
        <f t="shared" si="72"/>
        <v>1635</v>
      </c>
    </row>
    <row r="1638" spans="1:1">
      <c r="A1638">
        <f t="shared" si="72"/>
        <v>1636</v>
      </c>
    </row>
    <row r="1639" spans="1:1">
      <c r="A1639">
        <f t="shared" si="72"/>
        <v>1637</v>
      </c>
    </row>
    <row r="1640" spans="1:1">
      <c r="A1640">
        <f t="shared" si="72"/>
        <v>1638</v>
      </c>
    </row>
    <row r="1641" spans="1:1">
      <c r="A1641">
        <f t="shared" si="72"/>
        <v>1639</v>
      </c>
    </row>
    <row r="1642" spans="1:1">
      <c r="A1642">
        <f t="shared" si="72"/>
        <v>1640</v>
      </c>
    </row>
    <row r="1643" spans="1:1">
      <c r="A1643">
        <f t="shared" si="72"/>
        <v>1641</v>
      </c>
    </row>
    <row r="1644" spans="1:1">
      <c r="A1644">
        <f t="shared" si="72"/>
        <v>1642</v>
      </c>
    </row>
    <row r="1645" spans="1:1">
      <c r="A1645">
        <f t="shared" si="72"/>
        <v>1643</v>
      </c>
    </row>
    <row r="1646" spans="1:1">
      <c r="A1646">
        <f t="shared" si="72"/>
        <v>1644</v>
      </c>
    </row>
    <row r="1647" spans="1:1">
      <c r="A1647">
        <f t="shared" si="72"/>
        <v>1645</v>
      </c>
    </row>
    <row r="1648" spans="1:1">
      <c r="A1648">
        <f t="shared" si="72"/>
        <v>1646</v>
      </c>
    </row>
    <row r="1649" spans="1:1">
      <c r="A1649">
        <f t="shared" si="72"/>
        <v>1647</v>
      </c>
    </row>
    <row r="1650" spans="1:1">
      <c r="A1650">
        <f t="shared" si="72"/>
        <v>1648</v>
      </c>
    </row>
    <row r="1651" spans="1:1">
      <c r="A1651">
        <f t="shared" si="72"/>
        <v>1649</v>
      </c>
    </row>
    <row r="1652" spans="1:1">
      <c r="A1652">
        <f t="shared" si="72"/>
        <v>1650</v>
      </c>
    </row>
    <row r="1653" spans="1:1">
      <c r="A1653">
        <f t="shared" si="72"/>
        <v>1651</v>
      </c>
    </row>
    <row r="1654" spans="1:1">
      <c r="A1654">
        <f t="shared" si="72"/>
        <v>1652</v>
      </c>
    </row>
    <row r="1655" spans="1:1">
      <c r="A1655">
        <f t="shared" si="72"/>
        <v>1653</v>
      </c>
    </row>
    <row r="1656" spans="1:1">
      <c r="A1656">
        <f t="shared" si="72"/>
        <v>1654</v>
      </c>
    </row>
    <row r="1657" spans="1:1">
      <c r="A1657">
        <f t="shared" si="72"/>
        <v>1655</v>
      </c>
    </row>
    <row r="1658" spans="1:1">
      <c r="A1658">
        <f t="shared" si="72"/>
        <v>1656</v>
      </c>
    </row>
    <row r="1659" spans="1:1">
      <c r="A1659">
        <f t="shared" si="72"/>
        <v>1657</v>
      </c>
    </row>
    <row r="1660" spans="1:1">
      <c r="A1660">
        <f t="shared" si="72"/>
        <v>1658</v>
      </c>
    </row>
    <row r="1661" spans="1:1">
      <c r="A1661">
        <f t="shared" si="72"/>
        <v>1659</v>
      </c>
    </row>
    <row r="1662" spans="1:1">
      <c r="A1662">
        <f t="shared" si="72"/>
        <v>1660</v>
      </c>
    </row>
    <row r="1663" spans="1:1">
      <c r="A1663">
        <f t="shared" si="72"/>
        <v>1661</v>
      </c>
    </row>
    <row r="1664" spans="1:1">
      <c r="A1664">
        <f t="shared" si="72"/>
        <v>1662</v>
      </c>
    </row>
    <row r="1665" spans="1:1">
      <c r="A1665">
        <f t="shared" si="72"/>
        <v>1663</v>
      </c>
    </row>
    <row r="1666" spans="1:1">
      <c r="A1666">
        <f t="shared" si="72"/>
        <v>1664</v>
      </c>
    </row>
    <row r="1667" spans="1:1">
      <c r="A1667">
        <f t="shared" si="72"/>
        <v>1665</v>
      </c>
    </row>
    <row r="1668" spans="1:1">
      <c r="A1668">
        <f t="shared" si="72"/>
        <v>1666</v>
      </c>
    </row>
    <row r="1669" spans="1:1">
      <c r="A1669">
        <f t="shared" si="72"/>
        <v>1667</v>
      </c>
    </row>
    <row r="1670" spans="1:1">
      <c r="A1670">
        <f t="shared" si="72"/>
        <v>1668</v>
      </c>
    </row>
    <row r="1671" spans="1:1">
      <c r="A1671">
        <f t="shared" si="72"/>
        <v>1669</v>
      </c>
    </row>
    <row r="1672" spans="1:1">
      <c r="A1672">
        <f t="shared" si="72"/>
        <v>1670</v>
      </c>
    </row>
    <row r="1673" spans="1:1">
      <c r="A1673">
        <f t="shared" si="72"/>
        <v>1671</v>
      </c>
    </row>
    <row r="1674" spans="1:1">
      <c r="A1674">
        <f t="shared" si="72"/>
        <v>1672</v>
      </c>
    </row>
    <row r="1675" spans="1:1">
      <c r="A1675">
        <f t="shared" si="72"/>
        <v>1673</v>
      </c>
    </row>
    <row r="1676" spans="1:1">
      <c r="A1676">
        <f t="shared" si="72"/>
        <v>1674</v>
      </c>
    </row>
    <row r="1677" spans="1:1">
      <c r="A1677">
        <f t="shared" si="72"/>
        <v>1675</v>
      </c>
    </row>
    <row r="1678" spans="1:1">
      <c r="A1678">
        <f t="shared" si="72"/>
        <v>1676</v>
      </c>
    </row>
    <row r="1679" spans="1:1">
      <c r="A1679">
        <f t="shared" si="72"/>
        <v>1677</v>
      </c>
    </row>
    <row r="1680" spans="1:1">
      <c r="A1680">
        <f t="shared" si="72"/>
        <v>1678</v>
      </c>
    </row>
    <row r="1681" spans="1:1">
      <c r="A1681">
        <f t="shared" si="72"/>
        <v>1679</v>
      </c>
    </row>
    <row r="1682" spans="1:1">
      <c r="A1682">
        <f t="shared" si="72"/>
        <v>1680</v>
      </c>
    </row>
    <row r="1683" spans="1:1">
      <c r="A1683">
        <f t="shared" si="72"/>
        <v>1681</v>
      </c>
    </row>
    <row r="1684" spans="1:1">
      <c r="A1684">
        <f t="shared" si="72"/>
        <v>1682</v>
      </c>
    </row>
    <row r="1685" spans="1:1">
      <c r="A1685">
        <f t="shared" si="72"/>
        <v>1683</v>
      </c>
    </row>
    <row r="1686" spans="1:1">
      <c r="A1686">
        <f t="shared" si="72"/>
        <v>1684</v>
      </c>
    </row>
    <row r="1687" spans="1:1">
      <c r="A1687">
        <f t="shared" si="72"/>
        <v>1685</v>
      </c>
    </row>
    <row r="1688" spans="1:1">
      <c r="A1688">
        <f t="shared" si="72"/>
        <v>1686</v>
      </c>
    </row>
    <row r="1689" spans="1:1">
      <c r="A1689">
        <f t="shared" si="72"/>
        <v>1687</v>
      </c>
    </row>
    <row r="1690" spans="1:1">
      <c r="A1690">
        <f t="shared" si="72"/>
        <v>1688</v>
      </c>
    </row>
    <row r="1691" spans="1:1">
      <c r="A1691">
        <f t="shared" si="72"/>
        <v>1689</v>
      </c>
    </row>
    <row r="1692" spans="1:1">
      <c r="A1692">
        <f t="shared" si="72"/>
        <v>1690</v>
      </c>
    </row>
    <row r="1693" spans="1:1">
      <c r="A1693">
        <f t="shared" si="72"/>
        <v>1691</v>
      </c>
    </row>
    <row r="1694" spans="1:1">
      <c r="A1694">
        <f t="shared" si="72"/>
        <v>1692</v>
      </c>
    </row>
    <row r="1695" spans="1:1">
      <c r="A1695">
        <f t="shared" si="72"/>
        <v>1693</v>
      </c>
    </row>
    <row r="1696" spans="1:1">
      <c r="A1696">
        <f t="shared" si="72"/>
        <v>1694</v>
      </c>
    </row>
    <row r="1697" spans="1:1">
      <c r="A1697">
        <f t="shared" si="72"/>
        <v>1695</v>
      </c>
    </row>
    <row r="1698" spans="1:1">
      <c r="A1698">
        <f t="shared" si="72"/>
        <v>1696</v>
      </c>
    </row>
    <row r="1699" spans="1:1">
      <c r="A1699">
        <f t="shared" si="72"/>
        <v>1697</v>
      </c>
    </row>
    <row r="1700" spans="1:1">
      <c r="A1700">
        <f t="shared" ref="A1700:A1763" si="73">A1699+1</f>
        <v>1698</v>
      </c>
    </row>
    <row r="1701" spans="1:1">
      <c r="A1701">
        <f t="shared" si="73"/>
        <v>1699</v>
      </c>
    </row>
    <row r="1702" spans="1:1">
      <c r="A1702">
        <f t="shared" si="73"/>
        <v>1700</v>
      </c>
    </row>
    <row r="1703" spans="1:1">
      <c r="A1703">
        <f t="shared" si="73"/>
        <v>1701</v>
      </c>
    </row>
    <row r="1704" spans="1:1">
      <c r="A1704">
        <f t="shared" si="73"/>
        <v>1702</v>
      </c>
    </row>
    <row r="1705" spans="1:1">
      <c r="A1705">
        <f t="shared" si="73"/>
        <v>1703</v>
      </c>
    </row>
    <row r="1706" spans="1:1">
      <c r="A1706">
        <f t="shared" si="73"/>
        <v>1704</v>
      </c>
    </row>
    <row r="1707" spans="1:1">
      <c r="A1707">
        <f t="shared" si="73"/>
        <v>1705</v>
      </c>
    </row>
    <row r="1708" spans="1:1">
      <c r="A1708">
        <f t="shared" si="73"/>
        <v>1706</v>
      </c>
    </row>
    <row r="1709" spans="1:1">
      <c r="A1709">
        <f t="shared" si="73"/>
        <v>1707</v>
      </c>
    </row>
    <row r="1710" spans="1:1">
      <c r="A1710">
        <f t="shared" si="73"/>
        <v>1708</v>
      </c>
    </row>
    <row r="1711" spans="1:1">
      <c r="A1711">
        <f t="shared" si="73"/>
        <v>1709</v>
      </c>
    </row>
    <row r="1712" spans="1:1">
      <c r="A1712">
        <f t="shared" si="73"/>
        <v>1710</v>
      </c>
    </row>
    <row r="1713" spans="1:1">
      <c r="A1713">
        <f t="shared" si="73"/>
        <v>1711</v>
      </c>
    </row>
    <row r="1714" spans="1:1">
      <c r="A1714">
        <f t="shared" si="73"/>
        <v>1712</v>
      </c>
    </row>
    <row r="1715" spans="1:1">
      <c r="A1715">
        <f t="shared" si="73"/>
        <v>1713</v>
      </c>
    </row>
    <row r="1716" spans="1:1">
      <c r="A1716">
        <f t="shared" si="73"/>
        <v>1714</v>
      </c>
    </row>
    <row r="1717" spans="1:1">
      <c r="A1717">
        <f t="shared" si="73"/>
        <v>1715</v>
      </c>
    </row>
    <row r="1718" spans="1:1">
      <c r="A1718">
        <f t="shared" si="73"/>
        <v>1716</v>
      </c>
    </row>
    <row r="1719" spans="1:1">
      <c r="A1719">
        <f t="shared" si="73"/>
        <v>1717</v>
      </c>
    </row>
    <row r="1720" spans="1:1">
      <c r="A1720">
        <f t="shared" si="73"/>
        <v>1718</v>
      </c>
    </row>
    <row r="1721" spans="1:1">
      <c r="A1721">
        <f t="shared" si="73"/>
        <v>1719</v>
      </c>
    </row>
    <row r="1722" spans="1:1">
      <c r="A1722">
        <f t="shared" si="73"/>
        <v>1720</v>
      </c>
    </row>
    <row r="1723" spans="1:1">
      <c r="A1723">
        <f t="shared" si="73"/>
        <v>1721</v>
      </c>
    </row>
    <row r="1724" spans="1:1">
      <c r="A1724">
        <f t="shared" si="73"/>
        <v>1722</v>
      </c>
    </row>
    <row r="1725" spans="1:1">
      <c r="A1725">
        <f t="shared" si="73"/>
        <v>1723</v>
      </c>
    </row>
    <row r="1726" spans="1:1">
      <c r="A1726">
        <f t="shared" si="73"/>
        <v>1724</v>
      </c>
    </row>
    <row r="1727" spans="1:1">
      <c r="A1727">
        <f t="shared" si="73"/>
        <v>1725</v>
      </c>
    </row>
    <row r="1728" spans="1:1">
      <c r="A1728">
        <f t="shared" si="73"/>
        <v>1726</v>
      </c>
    </row>
    <row r="1729" spans="1:1">
      <c r="A1729">
        <f t="shared" si="73"/>
        <v>1727</v>
      </c>
    </row>
    <row r="1730" spans="1:1">
      <c r="A1730">
        <f t="shared" si="73"/>
        <v>1728</v>
      </c>
    </row>
    <row r="1731" spans="1:1">
      <c r="A1731">
        <f t="shared" si="73"/>
        <v>1729</v>
      </c>
    </row>
    <row r="1732" spans="1:1">
      <c r="A1732">
        <f t="shared" si="73"/>
        <v>1730</v>
      </c>
    </row>
    <row r="1733" spans="1:1">
      <c r="A1733">
        <f t="shared" si="73"/>
        <v>1731</v>
      </c>
    </row>
    <row r="1734" spans="1:1">
      <c r="A1734">
        <f t="shared" si="73"/>
        <v>1732</v>
      </c>
    </row>
    <row r="1735" spans="1:1">
      <c r="A1735">
        <f t="shared" si="73"/>
        <v>1733</v>
      </c>
    </row>
    <row r="1736" spans="1:1">
      <c r="A1736">
        <f t="shared" si="73"/>
        <v>1734</v>
      </c>
    </row>
    <row r="1737" spans="1:1">
      <c r="A1737">
        <f t="shared" si="73"/>
        <v>1735</v>
      </c>
    </row>
    <row r="1738" spans="1:1">
      <c r="A1738">
        <f t="shared" si="73"/>
        <v>1736</v>
      </c>
    </row>
    <row r="1739" spans="1:1">
      <c r="A1739">
        <f t="shared" si="73"/>
        <v>1737</v>
      </c>
    </row>
    <row r="1740" spans="1:1">
      <c r="A1740">
        <f t="shared" si="73"/>
        <v>1738</v>
      </c>
    </row>
    <row r="1741" spans="1:1">
      <c r="A1741">
        <f t="shared" si="73"/>
        <v>1739</v>
      </c>
    </row>
    <row r="1742" spans="1:1">
      <c r="A1742">
        <f t="shared" si="73"/>
        <v>1740</v>
      </c>
    </row>
    <row r="1743" spans="1:1">
      <c r="A1743">
        <f t="shared" si="73"/>
        <v>1741</v>
      </c>
    </row>
    <row r="1744" spans="1:1">
      <c r="A1744">
        <f t="shared" si="73"/>
        <v>1742</v>
      </c>
    </row>
    <row r="1745" spans="1:1">
      <c r="A1745">
        <f t="shared" si="73"/>
        <v>1743</v>
      </c>
    </row>
    <row r="1746" spans="1:1">
      <c r="A1746">
        <f t="shared" si="73"/>
        <v>1744</v>
      </c>
    </row>
    <row r="1747" spans="1:1">
      <c r="A1747">
        <f t="shared" si="73"/>
        <v>1745</v>
      </c>
    </row>
    <row r="1748" spans="1:1">
      <c r="A1748">
        <f t="shared" si="73"/>
        <v>1746</v>
      </c>
    </row>
    <row r="1749" spans="1:1">
      <c r="A1749">
        <f t="shared" si="73"/>
        <v>1747</v>
      </c>
    </row>
    <row r="1750" spans="1:1">
      <c r="A1750">
        <f t="shared" si="73"/>
        <v>1748</v>
      </c>
    </row>
    <row r="1751" spans="1:1">
      <c r="A1751">
        <f t="shared" si="73"/>
        <v>1749</v>
      </c>
    </row>
    <row r="1752" spans="1:1">
      <c r="A1752">
        <f t="shared" si="73"/>
        <v>1750</v>
      </c>
    </row>
    <row r="1753" spans="1:1">
      <c r="A1753">
        <f t="shared" si="73"/>
        <v>1751</v>
      </c>
    </row>
    <row r="1754" spans="1:1">
      <c r="A1754">
        <f t="shared" si="73"/>
        <v>1752</v>
      </c>
    </row>
    <row r="1755" spans="1:1">
      <c r="A1755">
        <f t="shared" si="73"/>
        <v>1753</v>
      </c>
    </row>
    <row r="1756" spans="1:1">
      <c r="A1756">
        <f t="shared" si="73"/>
        <v>1754</v>
      </c>
    </row>
    <row r="1757" spans="1:1">
      <c r="A1757">
        <f t="shared" si="73"/>
        <v>1755</v>
      </c>
    </row>
    <row r="1758" spans="1:1">
      <c r="A1758">
        <f t="shared" si="73"/>
        <v>1756</v>
      </c>
    </row>
    <row r="1759" spans="1:1">
      <c r="A1759">
        <f t="shared" si="73"/>
        <v>1757</v>
      </c>
    </row>
    <row r="1760" spans="1:1">
      <c r="A1760">
        <f t="shared" si="73"/>
        <v>1758</v>
      </c>
    </row>
    <row r="1761" spans="1:1">
      <c r="A1761">
        <f t="shared" si="73"/>
        <v>1759</v>
      </c>
    </row>
    <row r="1762" spans="1:1">
      <c r="A1762">
        <f t="shared" si="73"/>
        <v>1760</v>
      </c>
    </row>
    <row r="1763" spans="1:1">
      <c r="A1763">
        <f t="shared" si="73"/>
        <v>1761</v>
      </c>
    </row>
    <row r="1764" spans="1:1">
      <c r="A1764">
        <f t="shared" ref="A1764:A1827" si="74">A1763+1</f>
        <v>1762</v>
      </c>
    </row>
    <row r="1765" spans="1:1">
      <c r="A1765">
        <f t="shared" si="74"/>
        <v>1763</v>
      </c>
    </row>
    <row r="1766" spans="1:1">
      <c r="A1766">
        <f t="shared" si="74"/>
        <v>1764</v>
      </c>
    </row>
    <row r="1767" spans="1:1">
      <c r="A1767">
        <f t="shared" si="74"/>
        <v>1765</v>
      </c>
    </row>
    <row r="1768" spans="1:1">
      <c r="A1768">
        <f t="shared" si="74"/>
        <v>1766</v>
      </c>
    </row>
    <row r="1769" spans="1:1">
      <c r="A1769">
        <f t="shared" si="74"/>
        <v>1767</v>
      </c>
    </row>
    <row r="1770" spans="1:1">
      <c r="A1770">
        <f t="shared" si="74"/>
        <v>1768</v>
      </c>
    </row>
    <row r="1771" spans="1:1">
      <c r="A1771">
        <f t="shared" si="74"/>
        <v>1769</v>
      </c>
    </row>
    <row r="1772" spans="1:1">
      <c r="A1772">
        <f t="shared" si="74"/>
        <v>1770</v>
      </c>
    </row>
    <row r="1773" spans="1:1">
      <c r="A1773">
        <f t="shared" si="74"/>
        <v>1771</v>
      </c>
    </row>
    <row r="1774" spans="1:1">
      <c r="A1774">
        <f t="shared" si="74"/>
        <v>1772</v>
      </c>
    </row>
    <row r="1775" spans="1:1">
      <c r="A1775">
        <f t="shared" si="74"/>
        <v>1773</v>
      </c>
    </row>
    <row r="1776" spans="1:1">
      <c r="A1776">
        <f t="shared" si="74"/>
        <v>1774</v>
      </c>
    </row>
    <row r="1777" spans="1:1">
      <c r="A1777">
        <f t="shared" si="74"/>
        <v>1775</v>
      </c>
    </row>
    <row r="1778" spans="1:1">
      <c r="A1778">
        <f t="shared" si="74"/>
        <v>1776</v>
      </c>
    </row>
    <row r="1779" spans="1:1">
      <c r="A1779">
        <f t="shared" si="74"/>
        <v>1777</v>
      </c>
    </row>
    <row r="1780" spans="1:1">
      <c r="A1780">
        <f t="shared" si="74"/>
        <v>1778</v>
      </c>
    </row>
    <row r="1781" spans="1:1">
      <c r="A1781">
        <f t="shared" si="74"/>
        <v>1779</v>
      </c>
    </row>
    <row r="1782" spans="1:1">
      <c r="A1782">
        <f t="shared" si="74"/>
        <v>1780</v>
      </c>
    </row>
    <row r="1783" spans="1:1">
      <c r="A1783">
        <f t="shared" si="74"/>
        <v>1781</v>
      </c>
    </row>
    <row r="1784" spans="1:1">
      <c r="A1784">
        <f t="shared" si="74"/>
        <v>1782</v>
      </c>
    </row>
    <row r="1785" spans="1:1">
      <c r="A1785">
        <f t="shared" si="74"/>
        <v>1783</v>
      </c>
    </row>
    <row r="1786" spans="1:1">
      <c r="A1786">
        <f t="shared" si="74"/>
        <v>1784</v>
      </c>
    </row>
    <row r="1787" spans="1:1">
      <c r="A1787">
        <f t="shared" si="74"/>
        <v>1785</v>
      </c>
    </row>
    <row r="1788" spans="1:1">
      <c r="A1788">
        <f t="shared" si="74"/>
        <v>1786</v>
      </c>
    </row>
    <row r="1789" spans="1:1">
      <c r="A1789">
        <f t="shared" si="74"/>
        <v>1787</v>
      </c>
    </row>
    <row r="1790" spans="1:1">
      <c r="A1790">
        <f t="shared" si="74"/>
        <v>1788</v>
      </c>
    </row>
    <row r="1791" spans="1:1">
      <c r="A1791">
        <f t="shared" si="74"/>
        <v>1789</v>
      </c>
    </row>
    <row r="1792" spans="1:1">
      <c r="A1792">
        <f t="shared" si="74"/>
        <v>1790</v>
      </c>
    </row>
    <row r="1793" spans="1:1">
      <c r="A1793">
        <f t="shared" si="74"/>
        <v>1791</v>
      </c>
    </row>
    <row r="1794" spans="1:1">
      <c r="A1794">
        <f t="shared" si="74"/>
        <v>1792</v>
      </c>
    </row>
    <row r="1795" spans="1:1">
      <c r="A1795">
        <f t="shared" si="74"/>
        <v>1793</v>
      </c>
    </row>
    <row r="1796" spans="1:1">
      <c r="A1796">
        <f t="shared" si="74"/>
        <v>1794</v>
      </c>
    </row>
    <row r="1797" spans="1:1">
      <c r="A1797">
        <f t="shared" si="74"/>
        <v>1795</v>
      </c>
    </row>
    <row r="1798" spans="1:1">
      <c r="A1798">
        <f t="shared" si="74"/>
        <v>1796</v>
      </c>
    </row>
    <row r="1799" spans="1:1">
      <c r="A1799">
        <f t="shared" si="74"/>
        <v>1797</v>
      </c>
    </row>
    <row r="1800" spans="1:1">
      <c r="A1800">
        <f t="shared" si="74"/>
        <v>1798</v>
      </c>
    </row>
    <row r="1801" spans="1:1">
      <c r="A1801">
        <f t="shared" si="74"/>
        <v>1799</v>
      </c>
    </row>
    <row r="1802" spans="1:1">
      <c r="A1802">
        <f t="shared" si="74"/>
        <v>1800</v>
      </c>
    </row>
    <row r="1803" spans="1:1">
      <c r="A1803">
        <f t="shared" si="74"/>
        <v>1801</v>
      </c>
    </row>
    <row r="1804" spans="1:1">
      <c r="A1804">
        <f t="shared" si="74"/>
        <v>1802</v>
      </c>
    </row>
    <row r="1805" spans="1:1">
      <c r="A1805">
        <f t="shared" si="74"/>
        <v>1803</v>
      </c>
    </row>
    <row r="1806" spans="1:1">
      <c r="A1806">
        <f t="shared" si="74"/>
        <v>1804</v>
      </c>
    </row>
    <row r="1807" spans="1:1">
      <c r="A1807">
        <f t="shared" si="74"/>
        <v>1805</v>
      </c>
    </row>
    <row r="1808" spans="1:1">
      <c r="A1808">
        <f t="shared" si="74"/>
        <v>1806</v>
      </c>
    </row>
    <row r="1809" spans="1:1">
      <c r="A1809">
        <f t="shared" si="74"/>
        <v>1807</v>
      </c>
    </row>
    <row r="1810" spans="1:1">
      <c r="A1810">
        <f t="shared" si="74"/>
        <v>1808</v>
      </c>
    </row>
    <row r="1811" spans="1:1">
      <c r="A1811">
        <f t="shared" si="74"/>
        <v>1809</v>
      </c>
    </row>
    <row r="1812" spans="1:1">
      <c r="A1812">
        <f t="shared" si="74"/>
        <v>1810</v>
      </c>
    </row>
    <row r="1813" spans="1:1">
      <c r="A1813">
        <f t="shared" si="74"/>
        <v>1811</v>
      </c>
    </row>
    <row r="1814" spans="1:1">
      <c r="A1814">
        <f t="shared" si="74"/>
        <v>1812</v>
      </c>
    </row>
    <row r="1815" spans="1:1">
      <c r="A1815">
        <f t="shared" si="74"/>
        <v>1813</v>
      </c>
    </row>
    <row r="1816" spans="1:1">
      <c r="A1816">
        <f t="shared" si="74"/>
        <v>1814</v>
      </c>
    </row>
    <row r="1817" spans="1:1">
      <c r="A1817">
        <f t="shared" si="74"/>
        <v>1815</v>
      </c>
    </row>
    <row r="1818" spans="1:1">
      <c r="A1818">
        <f t="shared" si="74"/>
        <v>1816</v>
      </c>
    </row>
    <row r="1819" spans="1:1">
      <c r="A1819">
        <f t="shared" si="74"/>
        <v>1817</v>
      </c>
    </row>
    <row r="1820" spans="1:1">
      <c r="A1820">
        <f t="shared" si="74"/>
        <v>1818</v>
      </c>
    </row>
    <row r="1821" spans="1:1">
      <c r="A1821">
        <f t="shared" si="74"/>
        <v>1819</v>
      </c>
    </row>
    <row r="1822" spans="1:1">
      <c r="A1822">
        <f t="shared" si="74"/>
        <v>1820</v>
      </c>
    </row>
    <row r="1823" spans="1:1">
      <c r="A1823">
        <f t="shared" si="74"/>
        <v>1821</v>
      </c>
    </row>
    <row r="1824" spans="1:1">
      <c r="A1824">
        <f t="shared" si="74"/>
        <v>1822</v>
      </c>
    </row>
    <row r="1825" spans="1:1">
      <c r="A1825">
        <f t="shared" si="74"/>
        <v>1823</v>
      </c>
    </row>
    <row r="1826" spans="1:1">
      <c r="A1826">
        <f t="shared" si="74"/>
        <v>1824</v>
      </c>
    </row>
    <row r="1827" spans="1:1">
      <c r="A1827">
        <f t="shared" si="74"/>
        <v>1825</v>
      </c>
    </row>
    <row r="1828" spans="1:1">
      <c r="A1828">
        <f t="shared" ref="A1828:A1891" si="75">A1827+1</f>
        <v>1826</v>
      </c>
    </row>
    <row r="1829" spans="1:1">
      <c r="A1829">
        <f t="shared" si="75"/>
        <v>1827</v>
      </c>
    </row>
    <row r="1830" spans="1:1">
      <c r="A1830">
        <f t="shared" si="75"/>
        <v>1828</v>
      </c>
    </row>
    <row r="1831" spans="1:1">
      <c r="A1831">
        <f t="shared" si="75"/>
        <v>1829</v>
      </c>
    </row>
    <row r="1832" spans="1:1">
      <c r="A1832">
        <f t="shared" si="75"/>
        <v>1830</v>
      </c>
    </row>
    <row r="1833" spans="1:1">
      <c r="A1833">
        <f t="shared" si="75"/>
        <v>1831</v>
      </c>
    </row>
    <row r="1834" spans="1:1">
      <c r="A1834">
        <f t="shared" si="75"/>
        <v>1832</v>
      </c>
    </row>
    <row r="1835" spans="1:1">
      <c r="A1835">
        <f t="shared" si="75"/>
        <v>1833</v>
      </c>
    </row>
    <row r="1836" spans="1:1">
      <c r="A1836">
        <f t="shared" si="75"/>
        <v>1834</v>
      </c>
    </row>
    <row r="1837" spans="1:1">
      <c r="A1837">
        <f t="shared" si="75"/>
        <v>1835</v>
      </c>
    </row>
    <row r="1838" spans="1:1">
      <c r="A1838">
        <f t="shared" si="75"/>
        <v>1836</v>
      </c>
    </row>
    <row r="1839" spans="1:1">
      <c r="A1839">
        <f t="shared" si="75"/>
        <v>1837</v>
      </c>
    </row>
    <row r="1840" spans="1:1">
      <c r="A1840">
        <f t="shared" si="75"/>
        <v>1838</v>
      </c>
    </row>
    <row r="1841" spans="1:1">
      <c r="A1841">
        <f t="shared" si="75"/>
        <v>1839</v>
      </c>
    </row>
    <row r="1842" spans="1:1">
      <c r="A1842">
        <f t="shared" si="75"/>
        <v>1840</v>
      </c>
    </row>
    <row r="1843" spans="1:1">
      <c r="A1843">
        <f t="shared" si="75"/>
        <v>1841</v>
      </c>
    </row>
    <row r="1844" spans="1:1">
      <c r="A1844">
        <f t="shared" si="75"/>
        <v>1842</v>
      </c>
    </row>
    <row r="1845" spans="1:1">
      <c r="A1845">
        <f t="shared" si="75"/>
        <v>1843</v>
      </c>
    </row>
    <row r="1846" spans="1:1">
      <c r="A1846">
        <f t="shared" si="75"/>
        <v>1844</v>
      </c>
    </row>
    <row r="1847" spans="1:1">
      <c r="A1847">
        <f t="shared" si="75"/>
        <v>1845</v>
      </c>
    </row>
    <row r="1848" spans="1:1">
      <c r="A1848">
        <f t="shared" si="75"/>
        <v>1846</v>
      </c>
    </row>
    <row r="1849" spans="1:1">
      <c r="A1849">
        <f t="shared" si="75"/>
        <v>1847</v>
      </c>
    </row>
    <row r="1850" spans="1:1">
      <c r="A1850">
        <f t="shared" si="75"/>
        <v>1848</v>
      </c>
    </row>
    <row r="1851" spans="1:1">
      <c r="A1851">
        <f t="shared" si="75"/>
        <v>1849</v>
      </c>
    </row>
    <row r="1852" spans="1:1">
      <c r="A1852">
        <f t="shared" si="75"/>
        <v>1850</v>
      </c>
    </row>
    <row r="1853" spans="1:1">
      <c r="A1853">
        <f t="shared" si="75"/>
        <v>1851</v>
      </c>
    </row>
    <row r="1854" spans="1:1">
      <c r="A1854">
        <f t="shared" si="75"/>
        <v>1852</v>
      </c>
    </row>
    <row r="1855" spans="1:1">
      <c r="A1855">
        <f t="shared" si="75"/>
        <v>1853</v>
      </c>
    </row>
    <row r="1856" spans="1:1">
      <c r="A1856">
        <f t="shared" si="75"/>
        <v>1854</v>
      </c>
    </row>
    <row r="1857" spans="1:1">
      <c r="A1857">
        <f t="shared" si="75"/>
        <v>1855</v>
      </c>
    </row>
    <row r="1858" spans="1:1">
      <c r="A1858">
        <f t="shared" si="75"/>
        <v>1856</v>
      </c>
    </row>
    <row r="1859" spans="1:1">
      <c r="A1859">
        <f t="shared" si="75"/>
        <v>1857</v>
      </c>
    </row>
    <row r="1860" spans="1:1">
      <c r="A1860">
        <f t="shared" si="75"/>
        <v>1858</v>
      </c>
    </row>
    <row r="1861" spans="1:1">
      <c r="A1861">
        <f t="shared" si="75"/>
        <v>1859</v>
      </c>
    </row>
    <row r="1862" spans="1:1">
      <c r="A1862">
        <f t="shared" si="75"/>
        <v>1860</v>
      </c>
    </row>
    <row r="1863" spans="1:1">
      <c r="A1863">
        <f t="shared" si="75"/>
        <v>1861</v>
      </c>
    </row>
    <row r="1864" spans="1:1">
      <c r="A1864">
        <f t="shared" si="75"/>
        <v>1862</v>
      </c>
    </row>
    <row r="1865" spans="1:1">
      <c r="A1865">
        <f t="shared" si="75"/>
        <v>1863</v>
      </c>
    </row>
    <row r="1866" spans="1:1">
      <c r="A1866">
        <f t="shared" si="75"/>
        <v>1864</v>
      </c>
    </row>
    <row r="1867" spans="1:1">
      <c r="A1867">
        <f t="shared" si="75"/>
        <v>1865</v>
      </c>
    </row>
    <row r="1868" spans="1:1">
      <c r="A1868">
        <f t="shared" si="75"/>
        <v>1866</v>
      </c>
    </row>
    <row r="1869" spans="1:1">
      <c r="A1869">
        <f t="shared" si="75"/>
        <v>1867</v>
      </c>
    </row>
    <row r="1870" spans="1:1">
      <c r="A1870">
        <f t="shared" si="75"/>
        <v>1868</v>
      </c>
    </row>
    <row r="1871" spans="1:1">
      <c r="A1871">
        <f t="shared" si="75"/>
        <v>1869</v>
      </c>
    </row>
    <row r="1872" spans="1:1">
      <c r="A1872">
        <f t="shared" si="75"/>
        <v>1870</v>
      </c>
    </row>
    <row r="1873" spans="1:1">
      <c r="A1873">
        <f t="shared" si="75"/>
        <v>1871</v>
      </c>
    </row>
    <row r="1874" spans="1:1">
      <c r="A1874">
        <f t="shared" si="75"/>
        <v>1872</v>
      </c>
    </row>
    <row r="1875" spans="1:1">
      <c r="A1875">
        <f t="shared" si="75"/>
        <v>1873</v>
      </c>
    </row>
    <row r="1876" spans="1:1">
      <c r="A1876">
        <f t="shared" si="75"/>
        <v>1874</v>
      </c>
    </row>
    <row r="1877" spans="1:1">
      <c r="A1877">
        <f t="shared" si="75"/>
        <v>1875</v>
      </c>
    </row>
    <row r="1878" spans="1:1">
      <c r="A1878">
        <f t="shared" si="75"/>
        <v>1876</v>
      </c>
    </row>
    <row r="1879" spans="1:1">
      <c r="A1879">
        <f t="shared" si="75"/>
        <v>1877</v>
      </c>
    </row>
    <row r="1880" spans="1:1">
      <c r="A1880">
        <f t="shared" si="75"/>
        <v>1878</v>
      </c>
    </row>
    <row r="1881" spans="1:1">
      <c r="A1881">
        <f t="shared" si="75"/>
        <v>1879</v>
      </c>
    </row>
    <row r="1882" spans="1:1">
      <c r="A1882">
        <f t="shared" si="75"/>
        <v>1880</v>
      </c>
    </row>
    <row r="1883" spans="1:1">
      <c r="A1883">
        <f t="shared" si="75"/>
        <v>1881</v>
      </c>
    </row>
    <row r="1884" spans="1:1">
      <c r="A1884">
        <f t="shared" si="75"/>
        <v>1882</v>
      </c>
    </row>
    <row r="1885" spans="1:1">
      <c r="A1885">
        <f t="shared" si="75"/>
        <v>1883</v>
      </c>
    </row>
    <row r="1886" spans="1:1">
      <c r="A1886">
        <f t="shared" si="75"/>
        <v>1884</v>
      </c>
    </row>
    <row r="1887" spans="1:1">
      <c r="A1887">
        <f t="shared" si="75"/>
        <v>1885</v>
      </c>
    </row>
    <row r="1888" spans="1:1">
      <c r="A1888">
        <f t="shared" si="75"/>
        <v>1886</v>
      </c>
    </row>
    <row r="1889" spans="1:1">
      <c r="A1889">
        <f t="shared" si="75"/>
        <v>1887</v>
      </c>
    </row>
    <row r="1890" spans="1:1">
      <c r="A1890">
        <f t="shared" si="75"/>
        <v>1888</v>
      </c>
    </row>
    <row r="1891" spans="1:1">
      <c r="A1891">
        <f t="shared" si="75"/>
        <v>1889</v>
      </c>
    </row>
    <row r="1892" spans="1:1">
      <c r="A1892">
        <f t="shared" ref="A1892:A1955" si="76">A1891+1</f>
        <v>1890</v>
      </c>
    </row>
    <row r="1893" spans="1:1">
      <c r="A1893">
        <f t="shared" si="76"/>
        <v>1891</v>
      </c>
    </row>
    <row r="1894" spans="1:1">
      <c r="A1894">
        <f t="shared" si="76"/>
        <v>1892</v>
      </c>
    </row>
    <row r="1895" spans="1:1">
      <c r="A1895">
        <f t="shared" si="76"/>
        <v>1893</v>
      </c>
    </row>
    <row r="1896" spans="1:1">
      <c r="A1896">
        <f t="shared" si="76"/>
        <v>1894</v>
      </c>
    </row>
    <row r="1897" spans="1:1">
      <c r="A1897">
        <f t="shared" si="76"/>
        <v>1895</v>
      </c>
    </row>
    <row r="1898" spans="1:1">
      <c r="A1898">
        <f t="shared" si="76"/>
        <v>1896</v>
      </c>
    </row>
    <row r="1899" spans="1:1">
      <c r="A1899">
        <f t="shared" si="76"/>
        <v>1897</v>
      </c>
    </row>
    <row r="1900" spans="1:1">
      <c r="A1900">
        <f t="shared" si="76"/>
        <v>1898</v>
      </c>
    </row>
    <row r="1901" spans="1:1">
      <c r="A1901">
        <f t="shared" si="76"/>
        <v>1899</v>
      </c>
    </row>
    <row r="1902" spans="1:1">
      <c r="A1902">
        <f t="shared" si="76"/>
        <v>1900</v>
      </c>
    </row>
    <row r="1903" spans="1:1">
      <c r="A1903">
        <f t="shared" si="76"/>
        <v>1901</v>
      </c>
    </row>
    <row r="1904" spans="1:1">
      <c r="A1904">
        <f t="shared" si="76"/>
        <v>1902</v>
      </c>
    </row>
    <row r="1905" spans="1:1">
      <c r="A1905">
        <f t="shared" si="76"/>
        <v>1903</v>
      </c>
    </row>
    <row r="1906" spans="1:1">
      <c r="A1906">
        <f t="shared" si="76"/>
        <v>1904</v>
      </c>
    </row>
    <row r="1907" spans="1:1">
      <c r="A1907">
        <f t="shared" si="76"/>
        <v>1905</v>
      </c>
    </row>
    <row r="1908" spans="1:1">
      <c r="A1908">
        <f t="shared" si="76"/>
        <v>1906</v>
      </c>
    </row>
    <row r="1909" spans="1:1">
      <c r="A1909">
        <f t="shared" si="76"/>
        <v>1907</v>
      </c>
    </row>
    <row r="1910" spans="1:1">
      <c r="A1910">
        <f t="shared" si="76"/>
        <v>1908</v>
      </c>
    </row>
    <row r="1911" spans="1:1">
      <c r="A1911">
        <f t="shared" si="76"/>
        <v>1909</v>
      </c>
    </row>
    <row r="1912" spans="1:1">
      <c r="A1912">
        <f t="shared" si="76"/>
        <v>1910</v>
      </c>
    </row>
    <row r="1913" spans="1:1">
      <c r="A1913">
        <f t="shared" si="76"/>
        <v>1911</v>
      </c>
    </row>
    <row r="1914" spans="1:1">
      <c r="A1914">
        <f t="shared" si="76"/>
        <v>1912</v>
      </c>
    </row>
    <row r="1915" spans="1:1">
      <c r="A1915">
        <f t="shared" si="76"/>
        <v>1913</v>
      </c>
    </row>
    <row r="1916" spans="1:1">
      <c r="A1916">
        <f t="shared" si="76"/>
        <v>1914</v>
      </c>
    </row>
    <row r="1917" spans="1:1">
      <c r="A1917">
        <f t="shared" si="76"/>
        <v>1915</v>
      </c>
    </row>
    <row r="1918" spans="1:1">
      <c r="A1918">
        <f t="shared" si="76"/>
        <v>1916</v>
      </c>
    </row>
    <row r="1919" spans="1:1">
      <c r="A1919">
        <f t="shared" si="76"/>
        <v>1917</v>
      </c>
    </row>
    <row r="1920" spans="1:1">
      <c r="A1920">
        <f t="shared" si="76"/>
        <v>1918</v>
      </c>
    </row>
    <row r="1921" spans="1:1">
      <c r="A1921">
        <f t="shared" si="76"/>
        <v>1919</v>
      </c>
    </row>
    <row r="1922" spans="1:1">
      <c r="A1922">
        <f t="shared" si="76"/>
        <v>1920</v>
      </c>
    </row>
    <row r="1923" spans="1:1">
      <c r="A1923">
        <f t="shared" si="76"/>
        <v>1921</v>
      </c>
    </row>
    <row r="1924" spans="1:1">
      <c r="A1924">
        <f t="shared" si="76"/>
        <v>1922</v>
      </c>
    </row>
    <row r="1925" spans="1:1">
      <c r="A1925">
        <f t="shared" si="76"/>
        <v>1923</v>
      </c>
    </row>
    <row r="1926" spans="1:1">
      <c r="A1926">
        <f t="shared" si="76"/>
        <v>1924</v>
      </c>
    </row>
    <row r="1927" spans="1:1">
      <c r="A1927">
        <f t="shared" si="76"/>
        <v>1925</v>
      </c>
    </row>
    <row r="1928" spans="1:1">
      <c r="A1928">
        <f t="shared" si="76"/>
        <v>1926</v>
      </c>
    </row>
    <row r="1929" spans="1:1">
      <c r="A1929">
        <f t="shared" si="76"/>
        <v>1927</v>
      </c>
    </row>
    <row r="1930" spans="1:1">
      <c r="A1930">
        <f t="shared" si="76"/>
        <v>1928</v>
      </c>
    </row>
    <row r="1931" spans="1:1">
      <c r="A1931">
        <f t="shared" si="76"/>
        <v>1929</v>
      </c>
    </row>
    <row r="1932" spans="1:1">
      <c r="A1932">
        <f t="shared" si="76"/>
        <v>1930</v>
      </c>
    </row>
    <row r="1933" spans="1:1">
      <c r="A1933">
        <f t="shared" si="76"/>
        <v>1931</v>
      </c>
    </row>
    <row r="1934" spans="1:1">
      <c r="A1934">
        <f t="shared" si="76"/>
        <v>1932</v>
      </c>
    </row>
    <row r="1935" spans="1:1">
      <c r="A1935">
        <f t="shared" si="76"/>
        <v>1933</v>
      </c>
    </row>
    <row r="1936" spans="1:1">
      <c r="A1936">
        <f t="shared" si="76"/>
        <v>1934</v>
      </c>
    </row>
    <row r="1937" spans="1:1">
      <c r="A1937">
        <f t="shared" si="76"/>
        <v>1935</v>
      </c>
    </row>
    <row r="1938" spans="1:1">
      <c r="A1938">
        <f t="shared" si="76"/>
        <v>1936</v>
      </c>
    </row>
    <row r="1939" spans="1:1">
      <c r="A1939">
        <f t="shared" si="76"/>
        <v>1937</v>
      </c>
    </row>
    <row r="1940" spans="1:1">
      <c r="A1940">
        <f t="shared" si="76"/>
        <v>1938</v>
      </c>
    </row>
    <row r="1941" spans="1:1">
      <c r="A1941">
        <f t="shared" si="76"/>
        <v>1939</v>
      </c>
    </row>
    <row r="1942" spans="1:1">
      <c r="A1942">
        <f t="shared" si="76"/>
        <v>1940</v>
      </c>
    </row>
    <row r="1943" spans="1:1">
      <c r="A1943">
        <f t="shared" si="76"/>
        <v>1941</v>
      </c>
    </row>
    <row r="1944" spans="1:1">
      <c r="A1944">
        <f t="shared" si="76"/>
        <v>1942</v>
      </c>
    </row>
    <row r="1945" spans="1:1">
      <c r="A1945">
        <f t="shared" si="76"/>
        <v>1943</v>
      </c>
    </row>
    <row r="1946" spans="1:1">
      <c r="A1946">
        <f t="shared" si="76"/>
        <v>1944</v>
      </c>
    </row>
    <row r="1947" spans="1:1">
      <c r="A1947">
        <f t="shared" si="76"/>
        <v>1945</v>
      </c>
    </row>
    <row r="1948" spans="1:1">
      <c r="A1948">
        <f t="shared" si="76"/>
        <v>1946</v>
      </c>
    </row>
    <row r="1949" spans="1:1">
      <c r="A1949">
        <f t="shared" si="76"/>
        <v>1947</v>
      </c>
    </row>
    <row r="1950" spans="1:1">
      <c r="A1950">
        <f t="shared" si="76"/>
        <v>1948</v>
      </c>
    </row>
    <row r="1951" spans="1:1">
      <c r="A1951">
        <f t="shared" si="76"/>
        <v>1949</v>
      </c>
    </row>
    <row r="1952" spans="1:1">
      <c r="A1952">
        <f t="shared" si="76"/>
        <v>1950</v>
      </c>
    </row>
    <row r="1953" spans="1:1">
      <c r="A1953">
        <f t="shared" si="76"/>
        <v>1951</v>
      </c>
    </row>
    <row r="1954" spans="1:1">
      <c r="A1954">
        <f t="shared" si="76"/>
        <v>1952</v>
      </c>
    </row>
    <row r="1955" spans="1:1">
      <c r="A1955">
        <f t="shared" si="76"/>
        <v>1953</v>
      </c>
    </row>
    <row r="1956" spans="1:1">
      <c r="A1956">
        <f t="shared" ref="A1956:A2019" si="77">A1955+1</f>
        <v>1954</v>
      </c>
    </row>
    <row r="1957" spans="1:1">
      <c r="A1957">
        <f t="shared" si="77"/>
        <v>1955</v>
      </c>
    </row>
    <row r="1958" spans="1:1">
      <c r="A1958">
        <f t="shared" si="77"/>
        <v>1956</v>
      </c>
    </row>
    <row r="1959" spans="1:1">
      <c r="A1959">
        <f t="shared" si="77"/>
        <v>1957</v>
      </c>
    </row>
    <row r="1960" spans="1:1">
      <c r="A1960">
        <f t="shared" si="77"/>
        <v>1958</v>
      </c>
    </row>
    <row r="1961" spans="1:1">
      <c r="A1961">
        <f t="shared" si="77"/>
        <v>1959</v>
      </c>
    </row>
    <row r="1962" spans="1:1">
      <c r="A1962">
        <f t="shared" si="77"/>
        <v>1960</v>
      </c>
    </row>
    <row r="1963" spans="1:1">
      <c r="A1963">
        <f t="shared" si="77"/>
        <v>1961</v>
      </c>
    </row>
    <row r="1964" spans="1:1">
      <c r="A1964">
        <f t="shared" si="77"/>
        <v>1962</v>
      </c>
    </row>
    <row r="1965" spans="1:1">
      <c r="A1965">
        <f t="shared" si="77"/>
        <v>1963</v>
      </c>
    </row>
    <row r="1966" spans="1:1">
      <c r="A1966">
        <f t="shared" si="77"/>
        <v>1964</v>
      </c>
    </row>
    <row r="1967" spans="1:1">
      <c r="A1967">
        <f t="shared" si="77"/>
        <v>1965</v>
      </c>
    </row>
    <row r="1968" spans="1:1">
      <c r="A1968">
        <f t="shared" si="77"/>
        <v>1966</v>
      </c>
    </row>
    <row r="1969" spans="1:1">
      <c r="A1969">
        <f t="shared" si="77"/>
        <v>1967</v>
      </c>
    </row>
    <row r="1970" spans="1:1">
      <c r="A1970">
        <f t="shared" si="77"/>
        <v>1968</v>
      </c>
    </row>
    <row r="1971" spans="1:1">
      <c r="A1971">
        <f t="shared" si="77"/>
        <v>1969</v>
      </c>
    </row>
    <row r="1972" spans="1:1">
      <c r="A1972">
        <f t="shared" si="77"/>
        <v>1970</v>
      </c>
    </row>
    <row r="1973" spans="1:1">
      <c r="A1973">
        <f t="shared" si="77"/>
        <v>1971</v>
      </c>
    </row>
    <row r="1974" spans="1:1">
      <c r="A1974">
        <f t="shared" si="77"/>
        <v>1972</v>
      </c>
    </row>
    <row r="1975" spans="1:1">
      <c r="A1975">
        <f t="shared" si="77"/>
        <v>1973</v>
      </c>
    </row>
    <row r="1976" spans="1:1">
      <c r="A1976">
        <f t="shared" si="77"/>
        <v>1974</v>
      </c>
    </row>
    <row r="1977" spans="1:1">
      <c r="A1977">
        <f t="shared" si="77"/>
        <v>1975</v>
      </c>
    </row>
    <row r="1978" spans="1:1">
      <c r="A1978">
        <f t="shared" si="77"/>
        <v>1976</v>
      </c>
    </row>
    <row r="1979" spans="1:1">
      <c r="A1979">
        <f t="shared" si="77"/>
        <v>1977</v>
      </c>
    </row>
    <row r="1980" spans="1:1">
      <c r="A1980">
        <f t="shared" si="77"/>
        <v>1978</v>
      </c>
    </row>
    <row r="1981" spans="1:1">
      <c r="A1981">
        <f t="shared" si="77"/>
        <v>1979</v>
      </c>
    </row>
    <row r="1982" spans="1:1">
      <c r="A1982">
        <f t="shared" si="77"/>
        <v>1980</v>
      </c>
    </row>
    <row r="1983" spans="1:1">
      <c r="A1983">
        <f t="shared" si="77"/>
        <v>1981</v>
      </c>
    </row>
    <row r="1984" spans="1:1">
      <c r="A1984">
        <f t="shared" si="77"/>
        <v>1982</v>
      </c>
    </row>
    <row r="1985" spans="1:1">
      <c r="A1985">
        <f t="shared" si="77"/>
        <v>1983</v>
      </c>
    </row>
    <row r="1986" spans="1:1">
      <c r="A1986">
        <f t="shared" si="77"/>
        <v>1984</v>
      </c>
    </row>
    <row r="1987" spans="1:1">
      <c r="A1987">
        <f t="shared" si="77"/>
        <v>1985</v>
      </c>
    </row>
    <row r="1988" spans="1:1">
      <c r="A1988">
        <f t="shared" si="77"/>
        <v>1986</v>
      </c>
    </row>
    <row r="1989" spans="1:1">
      <c r="A1989">
        <f t="shared" si="77"/>
        <v>1987</v>
      </c>
    </row>
    <row r="1990" spans="1:1">
      <c r="A1990">
        <f t="shared" si="77"/>
        <v>1988</v>
      </c>
    </row>
    <row r="1991" spans="1:1">
      <c r="A1991">
        <f t="shared" si="77"/>
        <v>1989</v>
      </c>
    </row>
    <row r="1992" spans="1:1">
      <c r="A1992">
        <f t="shared" si="77"/>
        <v>1990</v>
      </c>
    </row>
    <row r="1993" spans="1:1">
      <c r="A1993">
        <f t="shared" si="77"/>
        <v>1991</v>
      </c>
    </row>
    <row r="1994" spans="1:1">
      <c r="A1994">
        <f t="shared" si="77"/>
        <v>1992</v>
      </c>
    </row>
    <row r="1995" spans="1:1">
      <c r="A1995">
        <f t="shared" si="77"/>
        <v>1993</v>
      </c>
    </row>
    <row r="1996" spans="1:1">
      <c r="A1996">
        <f t="shared" si="77"/>
        <v>1994</v>
      </c>
    </row>
    <row r="1997" spans="1:1">
      <c r="A1997">
        <f t="shared" si="77"/>
        <v>1995</v>
      </c>
    </row>
    <row r="1998" spans="1:1">
      <c r="A1998">
        <f t="shared" si="77"/>
        <v>1996</v>
      </c>
    </row>
    <row r="1999" spans="1:1">
      <c r="A1999">
        <f t="shared" si="77"/>
        <v>1997</v>
      </c>
    </row>
    <row r="2000" spans="1:1">
      <c r="A2000">
        <f t="shared" si="77"/>
        <v>1998</v>
      </c>
    </row>
    <row r="2001" spans="1:1">
      <c r="A2001">
        <f t="shared" si="77"/>
        <v>1999</v>
      </c>
    </row>
    <row r="2002" spans="1:1">
      <c r="A2002">
        <f t="shared" si="77"/>
        <v>2000</v>
      </c>
    </row>
    <row r="2003" spans="1:1">
      <c r="A2003">
        <f t="shared" si="77"/>
        <v>2001</v>
      </c>
    </row>
    <row r="2004" spans="1:1">
      <c r="A2004">
        <f t="shared" si="77"/>
        <v>2002</v>
      </c>
    </row>
    <row r="2005" spans="1:1">
      <c r="A2005">
        <f t="shared" si="77"/>
        <v>2003</v>
      </c>
    </row>
    <row r="2006" spans="1:1">
      <c r="A2006">
        <f t="shared" si="77"/>
        <v>2004</v>
      </c>
    </row>
    <row r="2007" spans="1:1">
      <c r="A2007">
        <f t="shared" si="77"/>
        <v>2005</v>
      </c>
    </row>
    <row r="2008" spans="1:1">
      <c r="A2008">
        <f t="shared" si="77"/>
        <v>2006</v>
      </c>
    </row>
    <row r="2009" spans="1:1">
      <c r="A2009">
        <f t="shared" si="77"/>
        <v>2007</v>
      </c>
    </row>
    <row r="2010" spans="1:1">
      <c r="A2010">
        <f t="shared" si="77"/>
        <v>2008</v>
      </c>
    </row>
    <row r="2011" spans="1:1">
      <c r="A2011">
        <f t="shared" si="77"/>
        <v>2009</v>
      </c>
    </row>
    <row r="2012" spans="1:1">
      <c r="A2012">
        <f t="shared" si="77"/>
        <v>2010</v>
      </c>
    </row>
    <row r="2013" spans="1:1">
      <c r="A2013">
        <f t="shared" si="77"/>
        <v>2011</v>
      </c>
    </row>
    <row r="2014" spans="1:1">
      <c r="A2014">
        <f t="shared" si="77"/>
        <v>2012</v>
      </c>
    </row>
    <row r="2015" spans="1:1">
      <c r="A2015">
        <f t="shared" si="77"/>
        <v>2013</v>
      </c>
    </row>
    <row r="2016" spans="1:1">
      <c r="A2016">
        <f t="shared" si="77"/>
        <v>2014</v>
      </c>
    </row>
    <row r="2017" spans="1:1">
      <c r="A2017">
        <f t="shared" si="77"/>
        <v>2015</v>
      </c>
    </row>
    <row r="2018" spans="1:1">
      <c r="A2018">
        <f t="shared" si="77"/>
        <v>2016</v>
      </c>
    </row>
    <row r="2019" spans="1:1">
      <c r="A2019">
        <f t="shared" si="77"/>
        <v>2017</v>
      </c>
    </row>
    <row r="2020" spans="1:1">
      <c r="A2020">
        <f t="shared" ref="A2020:A2083" si="78">A2019+1</f>
        <v>2018</v>
      </c>
    </row>
    <row r="2021" spans="1:1">
      <c r="A2021">
        <f t="shared" si="78"/>
        <v>2019</v>
      </c>
    </row>
    <row r="2022" spans="1:1">
      <c r="A2022">
        <f t="shared" si="78"/>
        <v>2020</v>
      </c>
    </row>
    <row r="2023" spans="1:1">
      <c r="A2023">
        <f t="shared" si="78"/>
        <v>2021</v>
      </c>
    </row>
    <row r="2024" spans="1:1">
      <c r="A2024">
        <f t="shared" si="78"/>
        <v>2022</v>
      </c>
    </row>
    <row r="2025" spans="1:1">
      <c r="A2025">
        <f t="shared" si="78"/>
        <v>2023</v>
      </c>
    </row>
    <row r="2026" spans="1:1">
      <c r="A2026">
        <f t="shared" si="78"/>
        <v>2024</v>
      </c>
    </row>
    <row r="2027" spans="1:1">
      <c r="A2027">
        <f t="shared" si="78"/>
        <v>2025</v>
      </c>
    </row>
    <row r="2028" spans="1:1">
      <c r="A2028">
        <f t="shared" si="78"/>
        <v>2026</v>
      </c>
    </row>
    <row r="2029" spans="1:1">
      <c r="A2029">
        <f t="shared" si="78"/>
        <v>2027</v>
      </c>
    </row>
    <row r="2030" spans="1:1">
      <c r="A2030">
        <f t="shared" si="78"/>
        <v>2028</v>
      </c>
    </row>
    <row r="2031" spans="1:1">
      <c r="A2031">
        <f t="shared" si="78"/>
        <v>2029</v>
      </c>
    </row>
    <row r="2032" spans="1:1">
      <c r="A2032">
        <f t="shared" si="78"/>
        <v>2030</v>
      </c>
    </row>
    <row r="2033" spans="1:1">
      <c r="A2033">
        <f t="shared" si="78"/>
        <v>2031</v>
      </c>
    </row>
    <row r="2034" spans="1:1">
      <c r="A2034">
        <f t="shared" si="78"/>
        <v>2032</v>
      </c>
    </row>
    <row r="2035" spans="1:1">
      <c r="A2035">
        <f t="shared" si="78"/>
        <v>2033</v>
      </c>
    </row>
    <row r="2036" spans="1:1">
      <c r="A2036">
        <f t="shared" si="78"/>
        <v>2034</v>
      </c>
    </row>
    <row r="2037" spans="1:1">
      <c r="A2037">
        <f t="shared" si="78"/>
        <v>2035</v>
      </c>
    </row>
    <row r="2038" spans="1:1">
      <c r="A2038">
        <f t="shared" si="78"/>
        <v>2036</v>
      </c>
    </row>
    <row r="2039" spans="1:1">
      <c r="A2039">
        <f t="shared" si="78"/>
        <v>2037</v>
      </c>
    </row>
    <row r="2040" spans="1:1">
      <c r="A2040">
        <f t="shared" si="78"/>
        <v>2038</v>
      </c>
    </row>
    <row r="2041" spans="1:1">
      <c r="A2041">
        <f t="shared" si="78"/>
        <v>2039</v>
      </c>
    </row>
    <row r="2042" spans="1:1">
      <c r="A2042">
        <f t="shared" si="78"/>
        <v>2040</v>
      </c>
    </row>
    <row r="2043" spans="1:1">
      <c r="A2043">
        <f t="shared" si="78"/>
        <v>2041</v>
      </c>
    </row>
    <row r="2044" spans="1:1">
      <c r="A2044">
        <f t="shared" si="78"/>
        <v>2042</v>
      </c>
    </row>
    <row r="2045" spans="1:1">
      <c r="A2045">
        <f t="shared" si="78"/>
        <v>2043</v>
      </c>
    </row>
    <row r="2046" spans="1:1">
      <c r="A2046">
        <f t="shared" si="78"/>
        <v>2044</v>
      </c>
    </row>
    <row r="2047" spans="1:1">
      <c r="A2047">
        <f t="shared" si="78"/>
        <v>2045</v>
      </c>
    </row>
    <row r="2048" spans="1:1">
      <c r="A2048">
        <f t="shared" si="78"/>
        <v>2046</v>
      </c>
    </row>
    <row r="2049" spans="1:1">
      <c r="A2049">
        <f t="shared" si="78"/>
        <v>2047</v>
      </c>
    </row>
    <row r="2050" spans="1:1">
      <c r="A2050">
        <f t="shared" si="78"/>
        <v>2048</v>
      </c>
    </row>
    <row r="2051" spans="1:1">
      <c r="A2051">
        <f t="shared" si="78"/>
        <v>2049</v>
      </c>
    </row>
    <row r="2052" spans="1:1">
      <c r="A2052">
        <f t="shared" si="78"/>
        <v>2050</v>
      </c>
    </row>
    <row r="2053" spans="1:1">
      <c r="A2053">
        <f t="shared" si="78"/>
        <v>2051</v>
      </c>
    </row>
    <row r="2054" spans="1:1">
      <c r="A2054">
        <f t="shared" si="78"/>
        <v>2052</v>
      </c>
    </row>
    <row r="2055" spans="1:1">
      <c r="A2055">
        <f t="shared" si="78"/>
        <v>2053</v>
      </c>
    </row>
    <row r="2056" spans="1:1">
      <c r="A2056">
        <f t="shared" si="78"/>
        <v>2054</v>
      </c>
    </row>
    <row r="2057" spans="1:1">
      <c r="A2057">
        <f t="shared" si="78"/>
        <v>2055</v>
      </c>
    </row>
    <row r="2058" spans="1:1">
      <c r="A2058">
        <f t="shared" si="78"/>
        <v>2056</v>
      </c>
    </row>
    <row r="2059" spans="1:1">
      <c r="A2059">
        <f t="shared" si="78"/>
        <v>2057</v>
      </c>
    </row>
    <row r="2060" spans="1:1">
      <c r="A2060">
        <f t="shared" si="78"/>
        <v>2058</v>
      </c>
    </row>
    <row r="2061" spans="1:1">
      <c r="A2061">
        <f t="shared" si="78"/>
        <v>2059</v>
      </c>
    </row>
    <row r="2062" spans="1:1">
      <c r="A2062">
        <f t="shared" si="78"/>
        <v>2060</v>
      </c>
    </row>
    <row r="2063" spans="1:1">
      <c r="A2063">
        <f t="shared" si="78"/>
        <v>2061</v>
      </c>
    </row>
    <row r="2064" spans="1:1">
      <c r="A2064">
        <f t="shared" si="78"/>
        <v>2062</v>
      </c>
    </row>
    <row r="2065" spans="1:1">
      <c r="A2065">
        <f t="shared" si="78"/>
        <v>2063</v>
      </c>
    </row>
    <row r="2066" spans="1:1">
      <c r="A2066">
        <f t="shared" si="78"/>
        <v>2064</v>
      </c>
    </row>
    <row r="2067" spans="1:1">
      <c r="A2067">
        <f t="shared" si="78"/>
        <v>2065</v>
      </c>
    </row>
    <row r="2068" spans="1:1">
      <c r="A2068">
        <f t="shared" si="78"/>
        <v>2066</v>
      </c>
    </row>
    <row r="2069" spans="1:1">
      <c r="A2069">
        <f t="shared" si="78"/>
        <v>2067</v>
      </c>
    </row>
    <row r="2070" spans="1:1">
      <c r="A2070">
        <f t="shared" si="78"/>
        <v>2068</v>
      </c>
    </row>
    <row r="2071" spans="1:1">
      <c r="A2071">
        <f t="shared" si="78"/>
        <v>2069</v>
      </c>
    </row>
    <row r="2072" spans="1:1">
      <c r="A2072">
        <f t="shared" si="78"/>
        <v>2070</v>
      </c>
    </row>
    <row r="2073" spans="1:1">
      <c r="A2073">
        <f t="shared" si="78"/>
        <v>2071</v>
      </c>
    </row>
    <row r="2074" spans="1:1">
      <c r="A2074">
        <f t="shared" si="78"/>
        <v>2072</v>
      </c>
    </row>
    <row r="2075" spans="1:1">
      <c r="A2075">
        <f t="shared" si="78"/>
        <v>2073</v>
      </c>
    </row>
    <row r="2076" spans="1:1">
      <c r="A2076">
        <f t="shared" si="78"/>
        <v>2074</v>
      </c>
    </row>
    <row r="2077" spans="1:1">
      <c r="A2077">
        <f t="shared" si="78"/>
        <v>2075</v>
      </c>
    </row>
    <row r="2078" spans="1:1">
      <c r="A2078">
        <f t="shared" si="78"/>
        <v>2076</v>
      </c>
    </row>
    <row r="2079" spans="1:1">
      <c r="A2079">
        <f t="shared" si="78"/>
        <v>2077</v>
      </c>
    </row>
    <row r="2080" spans="1:1">
      <c r="A2080">
        <f t="shared" si="78"/>
        <v>2078</v>
      </c>
    </row>
    <row r="2081" spans="1:1">
      <c r="A2081">
        <f t="shared" si="78"/>
        <v>2079</v>
      </c>
    </row>
    <row r="2082" spans="1:1">
      <c r="A2082">
        <f t="shared" si="78"/>
        <v>2080</v>
      </c>
    </row>
    <row r="2083" spans="1:1">
      <c r="A2083">
        <f t="shared" si="78"/>
        <v>2081</v>
      </c>
    </row>
    <row r="2084" spans="1:1">
      <c r="A2084">
        <f t="shared" ref="A2084:A2147" si="79">A2083+1</f>
        <v>2082</v>
      </c>
    </row>
    <row r="2085" spans="1:1">
      <c r="A2085">
        <f t="shared" si="79"/>
        <v>2083</v>
      </c>
    </row>
    <row r="2086" spans="1:1">
      <c r="A2086">
        <f t="shared" si="79"/>
        <v>2084</v>
      </c>
    </row>
    <row r="2087" spans="1:1">
      <c r="A2087">
        <f t="shared" si="79"/>
        <v>2085</v>
      </c>
    </row>
    <row r="2088" spans="1:1">
      <c r="A2088">
        <f t="shared" si="79"/>
        <v>2086</v>
      </c>
    </row>
    <row r="2089" spans="1:1">
      <c r="A2089">
        <f t="shared" si="79"/>
        <v>2087</v>
      </c>
    </row>
    <row r="2090" spans="1:1">
      <c r="A2090">
        <f t="shared" si="79"/>
        <v>2088</v>
      </c>
    </row>
    <row r="2091" spans="1:1">
      <c r="A2091">
        <f t="shared" si="79"/>
        <v>2089</v>
      </c>
    </row>
    <row r="2092" spans="1:1">
      <c r="A2092">
        <f t="shared" si="79"/>
        <v>2090</v>
      </c>
    </row>
    <row r="2093" spans="1:1">
      <c r="A2093">
        <f t="shared" si="79"/>
        <v>2091</v>
      </c>
    </row>
    <row r="2094" spans="1:1">
      <c r="A2094">
        <f t="shared" si="79"/>
        <v>2092</v>
      </c>
    </row>
    <row r="2095" spans="1:1">
      <c r="A2095">
        <f t="shared" si="79"/>
        <v>2093</v>
      </c>
    </row>
    <row r="2096" spans="1:1">
      <c r="A2096">
        <f t="shared" si="79"/>
        <v>2094</v>
      </c>
    </row>
    <row r="2097" spans="1:1">
      <c r="A2097">
        <f t="shared" si="79"/>
        <v>2095</v>
      </c>
    </row>
    <row r="2098" spans="1:1">
      <c r="A2098">
        <f t="shared" si="79"/>
        <v>2096</v>
      </c>
    </row>
    <row r="2099" spans="1:1">
      <c r="A2099">
        <f t="shared" si="79"/>
        <v>2097</v>
      </c>
    </row>
    <row r="2100" spans="1:1">
      <c r="A2100">
        <f t="shared" si="79"/>
        <v>2098</v>
      </c>
    </row>
    <row r="2101" spans="1:1">
      <c r="A2101">
        <f t="shared" si="79"/>
        <v>2099</v>
      </c>
    </row>
    <row r="2102" spans="1:1">
      <c r="A2102">
        <f t="shared" si="79"/>
        <v>2100</v>
      </c>
    </row>
    <row r="2103" spans="1:1">
      <c r="A2103">
        <f t="shared" si="79"/>
        <v>2101</v>
      </c>
    </row>
    <row r="2104" spans="1:1">
      <c r="A2104">
        <f t="shared" si="79"/>
        <v>2102</v>
      </c>
    </row>
    <row r="2105" spans="1:1">
      <c r="A2105">
        <f t="shared" si="79"/>
        <v>2103</v>
      </c>
    </row>
    <row r="2106" spans="1:1">
      <c r="A2106">
        <f t="shared" si="79"/>
        <v>2104</v>
      </c>
    </row>
    <row r="2107" spans="1:1">
      <c r="A2107">
        <f t="shared" si="79"/>
        <v>2105</v>
      </c>
    </row>
    <row r="2108" spans="1:1">
      <c r="A2108">
        <f t="shared" si="79"/>
        <v>2106</v>
      </c>
    </row>
    <row r="2109" spans="1:1">
      <c r="A2109">
        <f t="shared" si="79"/>
        <v>2107</v>
      </c>
    </row>
    <row r="2110" spans="1:1">
      <c r="A2110">
        <f t="shared" si="79"/>
        <v>2108</v>
      </c>
    </row>
    <row r="2111" spans="1:1">
      <c r="A2111">
        <f t="shared" si="79"/>
        <v>2109</v>
      </c>
    </row>
    <row r="2112" spans="1:1">
      <c r="A2112">
        <f t="shared" si="79"/>
        <v>2110</v>
      </c>
    </row>
    <row r="2113" spans="1:1">
      <c r="A2113">
        <f t="shared" si="79"/>
        <v>2111</v>
      </c>
    </row>
    <row r="2114" spans="1:1">
      <c r="A2114">
        <f t="shared" si="79"/>
        <v>2112</v>
      </c>
    </row>
    <row r="2115" spans="1:1">
      <c r="A2115">
        <f t="shared" si="79"/>
        <v>2113</v>
      </c>
    </row>
    <row r="2116" spans="1:1">
      <c r="A2116">
        <f t="shared" si="79"/>
        <v>2114</v>
      </c>
    </row>
    <row r="2117" spans="1:1">
      <c r="A2117">
        <f t="shared" si="79"/>
        <v>2115</v>
      </c>
    </row>
    <row r="2118" spans="1:1">
      <c r="A2118">
        <f t="shared" si="79"/>
        <v>2116</v>
      </c>
    </row>
    <row r="2119" spans="1:1">
      <c r="A2119">
        <f t="shared" si="79"/>
        <v>2117</v>
      </c>
    </row>
    <row r="2120" spans="1:1">
      <c r="A2120">
        <f t="shared" si="79"/>
        <v>2118</v>
      </c>
    </row>
    <row r="2121" spans="1:1">
      <c r="A2121">
        <f t="shared" si="79"/>
        <v>2119</v>
      </c>
    </row>
    <row r="2122" spans="1:1">
      <c r="A2122">
        <f t="shared" si="79"/>
        <v>2120</v>
      </c>
    </row>
    <row r="2123" spans="1:1">
      <c r="A2123">
        <f t="shared" si="79"/>
        <v>2121</v>
      </c>
    </row>
    <row r="2124" spans="1:1">
      <c r="A2124">
        <f t="shared" si="79"/>
        <v>2122</v>
      </c>
    </row>
    <row r="2125" spans="1:1">
      <c r="A2125">
        <f t="shared" si="79"/>
        <v>2123</v>
      </c>
    </row>
    <row r="2126" spans="1:1">
      <c r="A2126">
        <f t="shared" si="79"/>
        <v>2124</v>
      </c>
    </row>
    <row r="2127" spans="1:1">
      <c r="A2127">
        <f t="shared" si="79"/>
        <v>2125</v>
      </c>
    </row>
    <row r="2128" spans="1:1">
      <c r="A2128">
        <f t="shared" si="79"/>
        <v>2126</v>
      </c>
    </row>
    <row r="2129" spans="1:1">
      <c r="A2129">
        <f t="shared" si="79"/>
        <v>2127</v>
      </c>
    </row>
    <row r="2130" spans="1:1">
      <c r="A2130">
        <f t="shared" si="79"/>
        <v>2128</v>
      </c>
    </row>
    <row r="2131" spans="1:1">
      <c r="A2131">
        <f t="shared" si="79"/>
        <v>2129</v>
      </c>
    </row>
    <row r="2132" spans="1:1">
      <c r="A2132">
        <f t="shared" si="79"/>
        <v>2130</v>
      </c>
    </row>
    <row r="2133" spans="1:1">
      <c r="A2133">
        <f t="shared" si="79"/>
        <v>2131</v>
      </c>
    </row>
    <row r="2134" spans="1:1">
      <c r="A2134">
        <f t="shared" si="79"/>
        <v>2132</v>
      </c>
    </row>
    <row r="2135" spans="1:1">
      <c r="A2135">
        <f t="shared" si="79"/>
        <v>2133</v>
      </c>
    </row>
    <row r="2136" spans="1:1">
      <c r="A2136">
        <f t="shared" si="79"/>
        <v>2134</v>
      </c>
    </row>
    <row r="2137" spans="1:1">
      <c r="A2137">
        <f t="shared" si="79"/>
        <v>2135</v>
      </c>
    </row>
    <row r="2138" spans="1:1">
      <c r="A2138">
        <f t="shared" si="79"/>
        <v>2136</v>
      </c>
    </row>
    <row r="2139" spans="1:1">
      <c r="A2139">
        <f t="shared" si="79"/>
        <v>2137</v>
      </c>
    </row>
    <row r="2140" spans="1:1">
      <c r="A2140">
        <f t="shared" si="79"/>
        <v>2138</v>
      </c>
    </row>
    <row r="2141" spans="1:1">
      <c r="A2141">
        <f t="shared" si="79"/>
        <v>2139</v>
      </c>
    </row>
    <row r="2142" spans="1:1">
      <c r="A2142">
        <f t="shared" si="79"/>
        <v>2140</v>
      </c>
    </row>
    <row r="2143" spans="1:1">
      <c r="A2143">
        <f t="shared" si="79"/>
        <v>2141</v>
      </c>
    </row>
    <row r="2144" spans="1:1">
      <c r="A2144">
        <f t="shared" si="79"/>
        <v>2142</v>
      </c>
    </row>
    <row r="2145" spans="1:1">
      <c r="A2145">
        <f t="shared" si="79"/>
        <v>2143</v>
      </c>
    </row>
    <row r="2146" spans="1:1">
      <c r="A2146">
        <f t="shared" si="79"/>
        <v>2144</v>
      </c>
    </row>
    <row r="2147" spans="1:1">
      <c r="A2147">
        <f t="shared" si="79"/>
        <v>2145</v>
      </c>
    </row>
    <row r="2148" spans="1:1">
      <c r="A2148">
        <f t="shared" ref="A2148:A2211" si="80">A2147+1</f>
        <v>2146</v>
      </c>
    </row>
    <row r="2149" spans="1:1">
      <c r="A2149">
        <f t="shared" si="80"/>
        <v>2147</v>
      </c>
    </row>
    <row r="2150" spans="1:1">
      <c r="A2150">
        <f t="shared" si="80"/>
        <v>2148</v>
      </c>
    </row>
    <row r="2151" spans="1:1">
      <c r="A2151">
        <f t="shared" si="80"/>
        <v>2149</v>
      </c>
    </row>
    <row r="2152" spans="1:1">
      <c r="A2152">
        <f t="shared" si="80"/>
        <v>2150</v>
      </c>
    </row>
    <row r="2153" spans="1:1">
      <c r="A2153">
        <f t="shared" si="80"/>
        <v>2151</v>
      </c>
    </row>
    <row r="2154" spans="1:1">
      <c r="A2154">
        <f t="shared" si="80"/>
        <v>2152</v>
      </c>
    </row>
    <row r="2155" spans="1:1">
      <c r="A2155">
        <f t="shared" si="80"/>
        <v>2153</v>
      </c>
    </row>
    <row r="2156" spans="1:1">
      <c r="A2156">
        <f t="shared" si="80"/>
        <v>2154</v>
      </c>
    </row>
    <row r="2157" spans="1:1">
      <c r="A2157">
        <f t="shared" si="80"/>
        <v>2155</v>
      </c>
    </row>
    <row r="2158" spans="1:1">
      <c r="A2158">
        <f t="shared" si="80"/>
        <v>2156</v>
      </c>
    </row>
    <row r="2159" spans="1:1">
      <c r="A2159">
        <f t="shared" si="80"/>
        <v>2157</v>
      </c>
    </row>
    <row r="2160" spans="1:1">
      <c r="A2160">
        <f t="shared" si="80"/>
        <v>2158</v>
      </c>
    </row>
    <row r="2161" spans="1:1">
      <c r="A2161">
        <f t="shared" si="80"/>
        <v>2159</v>
      </c>
    </row>
    <row r="2162" spans="1:1">
      <c r="A2162">
        <f t="shared" si="80"/>
        <v>2160</v>
      </c>
    </row>
    <row r="2163" spans="1:1">
      <c r="A2163">
        <f t="shared" si="80"/>
        <v>2161</v>
      </c>
    </row>
    <row r="2164" spans="1:1">
      <c r="A2164">
        <f t="shared" si="80"/>
        <v>2162</v>
      </c>
    </row>
    <row r="2165" spans="1:1">
      <c r="A2165">
        <f t="shared" si="80"/>
        <v>2163</v>
      </c>
    </row>
    <row r="2166" spans="1:1">
      <c r="A2166">
        <f t="shared" si="80"/>
        <v>2164</v>
      </c>
    </row>
    <row r="2167" spans="1:1">
      <c r="A2167">
        <f t="shared" si="80"/>
        <v>2165</v>
      </c>
    </row>
    <row r="2168" spans="1:1">
      <c r="A2168">
        <f t="shared" si="80"/>
        <v>2166</v>
      </c>
    </row>
    <row r="2169" spans="1:1">
      <c r="A2169">
        <f t="shared" si="80"/>
        <v>2167</v>
      </c>
    </row>
    <row r="2170" spans="1:1">
      <c r="A2170">
        <f t="shared" si="80"/>
        <v>2168</v>
      </c>
    </row>
    <row r="2171" spans="1:1">
      <c r="A2171">
        <f t="shared" si="80"/>
        <v>2169</v>
      </c>
    </row>
    <row r="2172" spans="1:1">
      <c r="A2172">
        <f t="shared" si="80"/>
        <v>2170</v>
      </c>
    </row>
    <row r="2173" spans="1:1">
      <c r="A2173">
        <f t="shared" si="80"/>
        <v>2171</v>
      </c>
    </row>
    <row r="2174" spans="1:1">
      <c r="A2174">
        <f t="shared" si="80"/>
        <v>2172</v>
      </c>
    </row>
    <row r="2175" spans="1:1">
      <c r="A2175">
        <f t="shared" si="80"/>
        <v>2173</v>
      </c>
    </row>
    <row r="2176" spans="1:1">
      <c r="A2176">
        <f t="shared" si="80"/>
        <v>2174</v>
      </c>
    </row>
    <row r="2177" spans="1:1">
      <c r="A2177">
        <f t="shared" si="80"/>
        <v>2175</v>
      </c>
    </row>
    <row r="2178" spans="1:1">
      <c r="A2178">
        <f t="shared" si="80"/>
        <v>2176</v>
      </c>
    </row>
    <row r="2179" spans="1:1">
      <c r="A2179">
        <f t="shared" si="80"/>
        <v>2177</v>
      </c>
    </row>
    <row r="2180" spans="1:1">
      <c r="A2180">
        <f t="shared" si="80"/>
        <v>2178</v>
      </c>
    </row>
    <row r="2181" spans="1:1">
      <c r="A2181">
        <f t="shared" si="80"/>
        <v>2179</v>
      </c>
    </row>
    <row r="2182" spans="1:1">
      <c r="A2182">
        <f t="shared" si="80"/>
        <v>2180</v>
      </c>
    </row>
    <row r="2183" spans="1:1">
      <c r="A2183">
        <f t="shared" si="80"/>
        <v>2181</v>
      </c>
    </row>
    <row r="2184" spans="1:1">
      <c r="A2184">
        <f t="shared" si="80"/>
        <v>2182</v>
      </c>
    </row>
    <row r="2185" spans="1:1">
      <c r="A2185">
        <f t="shared" si="80"/>
        <v>2183</v>
      </c>
    </row>
    <row r="2186" spans="1:1">
      <c r="A2186">
        <f t="shared" si="80"/>
        <v>2184</v>
      </c>
    </row>
    <row r="2187" spans="1:1">
      <c r="A2187">
        <f t="shared" si="80"/>
        <v>2185</v>
      </c>
    </row>
    <row r="2188" spans="1:1">
      <c r="A2188">
        <f t="shared" si="80"/>
        <v>2186</v>
      </c>
    </row>
    <row r="2189" spans="1:1">
      <c r="A2189">
        <f t="shared" si="80"/>
        <v>2187</v>
      </c>
    </row>
    <row r="2190" spans="1:1">
      <c r="A2190">
        <f t="shared" si="80"/>
        <v>2188</v>
      </c>
    </row>
    <row r="2191" spans="1:1">
      <c r="A2191">
        <f t="shared" si="80"/>
        <v>2189</v>
      </c>
    </row>
    <row r="2192" spans="1:1">
      <c r="A2192">
        <f t="shared" si="80"/>
        <v>2190</v>
      </c>
    </row>
    <row r="2193" spans="1:1">
      <c r="A2193">
        <f t="shared" si="80"/>
        <v>2191</v>
      </c>
    </row>
    <row r="2194" spans="1:1">
      <c r="A2194">
        <f t="shared" si="80"/>
        <v>2192</v>
      </c>
    </row>
    <row r="2195" spans="1:1">
      <c r="A2195">
        <f t="shared" si="80"/>
        <v>2193</v>
      </c>
    </row>
    <row r="2196" spans="1:1">
      <c r="A2196">
        <f t="shared" si="80"/>
        <v>2194</v>
      </c>
    </row>
    <row r="2197" spans="1:1">
      <c r="A2197">
        <f t="shared" si="80"/>
        <v>2195</v>
      </c>
    </row>
    <row r="2198" spans="1:1">
      <c r="A2198">
        <f t="shared" si="80"/>
        <v>2196</v>
      </c>
    </row>
    <row r="2199" spans="1:1">
      <c r="A2199">
        <f t="shared" si="80"/>
        <v>2197</v>
      </c>
    </row>
    <row r="2200" spans="1:1">
      <c r="A2200">
        <f t="shared" si="80"/>
        <v>2198</v>
      </c>
    </row>
    <row r="2201" spans="1:1">
      <c r="A2201">
        <f t="shared" si="80"/>
        <v>2199</v>
      </c>
    </row>
    <row r="2202" spans="1:1">
      <c r="A2202">
        <f t="shared" si="80"/>
        <v>2200</v>
      </c>
    </row>
    <row r="2203" spans="1:1">
      <c r="A2203">
        <f t="shared" si="80"/>
        <v>2201</v>
      </c>
    </row>
    <row r="2204" spans="1:1">
      <c r="A2204">
        <f t="shared" si="80"/>
        <v>2202</v>
      </c>
    </row>
    <row r="2205" spans="1:1">
      <c r="A2205">
        <f t="shared" si="80"/>
        <v>2203</v>
      </c>
    </row>
    <row r="2206" spans="1:1">
      <c r="A2206">
        <f t="shared" si="80"/>
        <v>2204</v>
      </c>
    </row>
    <row r="2207" spans="1:1">
      <c r="A2207">
        <f t="shared" si="80"/>
        <v>2205</v>
      </c>
    </row>
    <row r="2208" spans="1:1">
      <c r="A2208">
        <f t="shared" si="80"/>
        <v>2206</v>
      </c>
    </row>
    <row r="2209" spans="1:1">
      <c r="A2209">
        <f t="shared" si="80"/>
        <v>2207</v>
      </c>
    </row>
    <row r="2210" spans="1:1">
      <c r="A2210">
        <f t="shared" si="80"/>
        <v>2208</v>
      </c>
    </row>
    <row r="2211" spans="1:1">
      <c r="A2211">
        <f t="shared" si="80"/>
        <v>2209</v>
      </c>
    </row>
    <row r="2212" spans="1:1">
      <c r="A2212">
        <f t="shared" ref="A2212:A2275" si="81">A2211+1</f>
        <v>2210</v>
      </c>
    </row>
    <row r="2213" spans="1:1">
      <c r="A2213">
        <f t="shared" si="81"/>
        <v>2211</v>
      </c>
    </row>
    <row r="2214" spans="1:1">
      <c r="A2214">
        <f t="shared" si="81"/>
        <v>2212</v>
      </c>
    </row>
    <row r="2215" spans="1:1">
      <c r="A2215">
        <f t="shared" si="81"/>
        <v>2213</v>
      </c>
    </row>
    <row r="2216" spans="1:1">
      <c r="A2216">
        <f t="shared" si="81"/>
        <v>2214</v>
      </c>
    </row>
    <row r="2217" spans="1:1">
      <c r="A2217">
        <f t="shared" si="81"/>
        <v>2215</v>
      </c>
    </row>
    <row r="2218" spans="1:1">
      <c r="A2218">
        <f t="shared" si="81"/>
        <v>2216</v>
      </c>
    </row>
    <row r="2219" spans="1:1">
      <c r="A2219">
        <f t="shared" si="81"/>
        <v>2217</v>
      </c>
    </row>
    <row r="2220" spans="1:1">
      <c r="A2220">
        <f t="shared" si="81"/>
        <v>2218</v>
      </c>
    </row>
    <row r="2221" spans="1:1">
      <c r="A2221">
        <f t="shared" si="81"/>
        <v>2219</v>
      </c>
    </row>
    <row r="2222" spans="1:1">
      <c r="A2222">
        <f t="shared" si="81"/>
        <v>2220</v>
      </c>
    </row>
    <row r="2223" spans="1:1">
      <c r="A2223">
        <f t="shared" si="81"/>
        <v>2221</v>
      </c>
    </row>
    <row r="2224" spans="1:1">
      <c r="A2224">
        <f t="shared" si="81"/>
        <v>2222</v>
      </c>
    </row>
    <row r="2225" spans="1:1">
      <c r="A2225">
        <f t="shared" si="81"/>
        <v>2223</v>
      </c>
    </row>
    <row r="2226" spans="1:1">
      <c r="A2226">
        <f t="shared" si="81"/>
        <v>2224</v>
      </c>
    </row>
    <row r="2227" spans="1:1">
      <c r="A2227">
        <f t="shared" si="81"/>
        <v>2225</v>
      </c>
    </row>
    <row r="2228" spans="1:1">
      <c r="A2228">
        <f t="shared" si="81"/>
        <v>2226</v>
      </c>
    </row>
    <row r="2229" spans="1:1">
      <c r="A2229">
        <f t="shared" si="81"/>
        <v>2227</v>
      </c>
    </row>
    <row r="2230" spans="1:1">
      <c r="A2230">
        <f t="shared" si="81"/>
        <v>2228</v>
      </c>
    </row>
    <row r="2231" spans="1:1">
      <c r="A2231">
        <f t="shared" si="81"/>
        <v>2229</v>
      </c>
    </row>
    <row r="2232" spans="1:1">
      <c r="A2232">
        <f t="shared" si="81"/>
        <v>2230</v>
      </c>
    </row>
    <row r="2233" spans="1:1">
      <c r="A2233">
        <f t="shared" si="81"/>
        <v>2231</v>
      </c>
    </row>
    <row r="2234" spans="1:1">
      <c r="A2234">
        <f t="shared" si="81"/>
        <v>2232</v>
      </c>
    </row>
    <row r="2235" spans="1:1">
      <c r="A2235">
        <f t="shared" si="81"/>
        <v>2233</v>
      </c>
    </row>
    <row r="2236" spans="1:1">
      <c r="A2236">
        <f t="shared" si="81"/>
        <v>2234</v>
      </c>
    </row>
    <row r="2237" spans="1:1">
      <c r="A2237">
        <f t="shared" si="81"/>
        <v>2235</v>
      </c>
    </row>
    <row r="2238" spans="1:1">
      <c r="A2238">
        <f t="shared" si="81"/>
        <v>2236</v>
      </c>
    </row>
    <row r="2239" spans="1:1">
      <c r="A2239">
        <f t="shared" si="81"/>
        <v>2237</v>
      </c>
    </row>
    <row r="2240" spans="1:1">
      <c r="A2240">
        <f t="shared" si="81"/>
        <v>2238</v>
      </c>
    </row>
    <row r="2241" spans="1:1">
      <c r="A2241">
        <f t="shared" si="81"/>
        <v>2239</v>
      </c>
    </row>
    <row r="2242" spans="1:1">
      <c r="A2242">
        <f t="shared" si="81"/>
        <v>2240</v>
      </c>
    </row>
    <row r="2243" spans="1:1">
      <c r="A2243">
        <f t="shared" si="81"/>
        <v>2241</v>
      </c>
    </row>
    <row r="2244" spans="1:1">
      <c r="A2244">
        <f t="shared" si="81"/>
        <v>2242</v>
      </c>
    </row>
    <row r="2245" spans="1:1">
      <c r="A2245">
        <f t="shared" si="81"/>
        <v>2243</v>
      </c>
    </row>
    <row r="2246" spans="1:1">
      <c r="A2246">
        <f t="shared" si="81"/>
        <v>2244</v>
      </c>
    </row>
    <row r="2247" spans="1:1">
      <c r="A2247">
        <f t="shared" si="81"/>
        <v>2245</v>
      </c>
    </row>
    <row r="2248" spans="1:1">
      <c r="A2248">
        <f t="shared" si="81"/>
        <v>2246</v>
      </c>
    </row>
    <row r="2249" spans="1:1">
      <c r="A2249">
        <f t="shared" si="81"/>
        <v>2247</v>
      </c>
    </row>
    <row r="2250" spans="1:1">
      <c r="A2250">
        <f t="shared" si="81"/>
        <v>2248</v>
      </c>
    </row>
    <row r="2251" spans="1:1">
      <c r="A2251">
        <f t="shared" si="81"/>
        <v>2249</v>
      </c>
    </row>
    <row r="2252" spans="1:1">
      <c r="A2252">
        <f t="shared" si="81"/>
        <v>2250</v>
      </c>
    </row>
    <row r="2253" spans="1:1">
      <c r="A2253">
        <f t="shared" si="81"/>
        <v>2251</v>
      </c>
    </row>
    <row r="2254" spans="1:1">
      <c r="A2254">
        <f t="shared" si="81"/>
        <v>2252</v>
      </c>
    </row>
    <row r="2255" spans="1:1">
      <c r="A2255">
        <f t="shared" si="81"/>
        <v>2253</v>
      </c>
    </row>
    <row r="2256" spans="1:1">
      <c r="A2256">
        <f t="shared" si="81"/>
        <v>2254</v>
      </c>
    </row>
    <row r="2257" spans="1:1">
      <c r="A2257">
        <f t="shared" si="81"/>
        <v>2255</v>
      </c>
    </row>
    <row r="2258" spans="1:1">
      <c r="A2258">
        <f t="shared" si="81"/>
        <v>2256</v>
      </c>
    </row>
    <row r="2259" spans="1:1">
      <c r="A2259">
        <f t="shared" si="81"/>
        <v>2257</v>
      </c>
    </row>
    <row r="2260" spans="1:1">
      <c r="A2260">
        <f t="shared" si="81"/>
        <v>2258</v>
      </c>
    </row>
    <row r="2261" spans="1:1">
      <c r="A2261">
        <f t="shared" si="81"/>
        <v>2259</v>
      </c>
    </row>
    <row r="2262" spans="1:1">
      <c r="A2262">
        <f t="shared" si="81"/>
        <v>2260</v>
      </c>
    </row>
    <row r="2263" spans="1:1">
      <c r="A2263">
        <f t="shared" si="81"/>
        <v>2261</v>
      </c>
    </row>
    <row r="2264" spans="1:1">
      <c r="A2264">
        <f t="shared" si="81"/>
        <v>2262</v>
      </c>
    </row>
    <row r="2265" spans="1:1">
      <c r="A2265">
        <f t="shared" si="81"/>
        <v>2263</v>
      </c>
    </row>
    <row r="2266" spans="1:1">
      <c r="A2266">
        <f t="shared" si="81"/>
        <v>2264</v>
      </c>
    </row>
    <row r="2267" spans="1:1">
      <c r="A2267">
        <f t="shared" si="81"/>
        <v>2265</v>
      </c>
    </row>
    <row r="2268" spans="1:1">
      <c r="A2268">
        <f t="shared" si="81"/>
        <v>2266</v>
      </c>
    </row>
    <row r="2269" spans="1:1">
      <c r="A2269">
        <f t="shared" si="81"/>
        <v>2267</v>
      </c>
    </row>
    <row r="2270" spans="1:1">
      <c r="A2270">
        <f t="shared" si="81"/>
        <v>2268</v>
      </c>
    </row>
    <row r="2271" spans="1:1">
      <c r="A2271">
        <f t="shared" si="81"/>
        <v>2269</v>
      </c>
    </row>
    <row r="2272" spans="1:1">
      <c r="A2272">
        <f t="shared" si="81"/>
        <v>2270</v>
      </c>
    </row>
    <row r="2273" spans="1:1">
      <c r="A2273">
        <f t="shared" si="81"/>
        <v>2271</v>
      </c>
    </row>
    <row r="2274" spans="1:1">
      <c r="A2274">
        <f t="shared" si="81"/>
        <v>2272</v>
      </c>
    </row>
    <row r="2275" spans="1:1">
      <c r="A2275">
        <f t="shared" si="81"/>
        <v>2273</v>
      </c>
    </row>
    <row r="2276" spans="1:1">
      <c r="A2276">
        <f t="shared" ref="A2276:A2339" si="82">A2275+1</f>
        <v>2274</v>
      </c>
    </row>
    <row r="2277" spans="1:1">
      <c r="A2277">
        <f t="shared" si="82"/>
        <v>2275</v>
      </c>
    </row>
    <row r="2278" spans="1:1">
      <c r="A2278">
        <f t="shared" si="82"/>
        <v>2276</v>
      </c>
    </row>
    <row r="2279" spans="1:1">
      <c r="A2279">
        <f t="shared" si="82"/>
        <v>2277</v>
      </c>
    </row>
    <row r="2280" spans="1:1">
      <c r="A2280">
        <f t="shared" si="82"/>
        <v>2278</v>
      </c>
    </row>
    <row r="2281" spans="1:1">
      <c r="A2281">
        <f t="shared" si="82"/>
        <v>2279</v>
      </c>
    </row>
    <row r="2282" spans="1:1">
      <c r="A2282">
        <f t="shared" si="82"/>
        <v>2280</v>
      </c>
    </row>
    <row r="2283" spans="1:1">
      <c r="A2283">
        <f t="shared" si="82"/>
        <v>2281</v>
      </c>
    </row>
    <row r="2284" spans="1:1">
      <c r="A2284">
        <f t="shared" si="82"/>
        <v>2282</v>
      </c>
    </row>
    <row r="2285" spans="1:1">
      <c r="A2285">
        <f t="shared" si="82"/>
        <v>2283</v>
      </c>
    </row>
    <row r="2286" spans="1:1">
      <c r="A2286">
        <f t="shared" si="82"/>
        <v>2284</v>
      </c>
    </row>
    <row r="2287" spans="1:1">
      <c r="A2287">
        <f t="shared" si="82"/>
        <v>2285</v>
      </c>
    </row>
    <row r="2288" spans="1:1">
      <c r="A2288">
        <f t="shared" si="82"/>
        <v>2286</v>
      </c>
    </row>
    <row r="2289" spans="1:1">
      <c r="A2289">
        <f t="shared" si="82"/>
        <v>2287</v>
      </c>
    </row>
    <row r="2290" spans="1:1">
      <c r="A2290">
        <f t="shared" si="82"/>
        <v>2288</v>
      </c>
    </row>
    <row r="2291" spans="1:1">
      <c r="A2291">
        <f t="shared" si="82"/>
        <v>2289</v>
      </c>
    </row>
    <row r="2292" spans="1:1">
      <c r="A2292">
        <f t="shared" si="82"/>
        <v>2290</v>
      </c>
    </row>
    <row r="2293" spans="1:1">
      <c r="A2293">
        <f t="shared" si="82"/>
        <v>2291</v>
      </c>
    </row>
    <row r="2294" spans="1:1">
      <c r="A2294">
        <f t="shared" si="82"/>
        <v>2292</v>
      </c>
    </row>
    <row r="2295" spans="1:1">
      <c r="A2295">
        <f t="shared" si="82"/>
        <v>2293</v>
      </c>
    </row>
    <row r="2296" spans="1:1">
      <c r="A2296">
        <f t="shared" si="82"/>
        <v>2294</v>
      </c>
    </row>
    <row r="2297" spans="1:1">
      <c r="A2297">
        <f t="shared" si="82"/>
        <v>2295</v>
      </c>
    </row>
    <row r="2298" spans="1:1">
      <c r="A2298">
        <f t="shared" si="82"/>
        <v>2296</v>
      </c>
    </row>
    <row r="2299" spans="1:1">
      <c r="A2299">
        <f t="shared" si="82"/>
        <v>2297</v>
      </c>
    </row>
    <row r="2300" spans="1:1">
      <c r="A2300">
        <f t="shared" si="82"/>
        <v>2298</v>
      </c>
    </row>
    <row r="2301" spans="1:1">
      <c r="A2301">
        <f t="shared" si="82"/>
        <v>2299</v>
      </c>
    </row>
    <row r="2302" spans="1:1">
      <c r="A2302">
        <f t="shared" si="82"/>
        <v>2300</v>
      </c>
    </row>
    <row r="2303" spans="1:1">
      <c r="A2303">
        <f t="shared" si="82"/>
        <v>2301</v>
      </c>
    </row>
    <row r="2304" spans="1:1">
      <c r="A2304">
        <f t="shared" si="82"/>
        <v>2302</v>
      </c>
    </row>
    <row r="2305" spans="1:1">
      <c r="A2305">
        <f t="shared" si="82"/>
        <v>2303</v>
      </c>
    </row>
    <row r="2306" spans="1:1">
      <c r="A2306">
        <f t="shared" si="82"/>
        <v>2304</v>
      </c>
    </row>
    <row r="2307" spans="1:1">
      <c r="A2307">
        <f t="shared" si="82"/>
        <v>2305</v>
      </c>
    </row>
    <row r="2308" spans="1:1">
      <c r="A2308">
        <f t="shared" si="82"/>
        <v>2306</v>
      </c>
    </row>
    <row r="2309" spans="1:1">
      <c r="A2309">
        <f t="shared" si="82"/>
        <v>2307</v>
      </c>
    </row>
    <row r="2310" spans="1:1">
      <c r="A2310">
        <f t="shared" si="82"/>
        <v>2308</v>
      </c>
    </row>
    <row r="2311" spans="1:1">
      <c r="A2311">
        <f t="shared" si="82"/>
        <v>2309</v>
      </c>
    </row>
    <row r="2312" spans="1:1">
      <c r="A2312">
        <f t="shared" si="82"/>
        <v>2310</v>
      </c>
    </row>
    <row r="2313" spans="1:1">
      <c r="A2313">
        <f t="shared" si="82"/>
        <v>2311</v>
      </c>
    </row>
    <row r="2314" spans="1:1">
      <c r="A2314">
        <f t="shared" si="82"/>
        <v>2312</v>
      </c>
    </row>
    <row r="2315" spans="1:1">
      <c r="A2315">
        <f t="shared" si="82"/>
        <v>2313</v>
      </c>
    </row>
    <row r="2316" spans="1:1">
      <c r="A2316">
        <f t="shared" si="82"/>
        <v>2314</v>
      </c>
    </row>
    <row r="2317" spans="1:1">
      <c r="A2317">
        <f t="shared" si="82"/>
        <v>2315</v>
      </c>
    </row>
    <row r="2318" spans="1:1">
      <c r="A2318">
        <f t="shared" si="82"/>
        <v>2316</v>
      </c>
    </row>
    <row r="2319" spans="1:1">
      <c r="A2319">
        <f t="shared" si="82"/>
        <v>2317</v>
      </c>
    </row>
    <row r="2320" spans="1:1">
      <c r="A2320">
        <f t="shared" si="82"/>
        <v>2318</v>
      </c>
    </row>
    <row r="2321" spans="1:1">
      <c r="A2321">
        <f t="shared" si="82"/>
        <v>2319</v>
      </c>
    </row>
    <row r="2322" spans="1:1">
      <c r="A2322">
        <f t="shared" si="82"/>
        <v>2320</v>
      </c>
    </row>
    <row r="2323" spans="1:1">
      <c r="A2323">
        <f t="shared" si="82"/>
        <v>2321</v>
      </c>
    </row>
    <row r="2324" spans="1:1">
      <c r="A2324">
        <f t="shared" si="82"/>
        <v>2322</v>
      </c>
    </row>
    <row r="2325" spans="1:1">
      <c r="A2325">
        <f t="shared" si="82"/>
        <v>2323</v>
      </c>
    </row>
    <row r="2326" spans="1:1">
      <c r="A2326">
        <f t="shared" si="82"/>
        <v>2324</v>
      </c>
    </row>
    <row r="2327" spans="1:1">
      <c r="A2327">
        <f t="shared" si="82"/>
        <v>2325</v>
      </c>
    </row>
    <row r="2328" spans="1:1">
      <c r="A2328">
        <f t="shared" si="82"/>
        <v>2326</v>
      </c>
    </row>
    <row r="2329" spans="1:1">
      <c r="A2329">
        <f t="shared" si="82"/>
        <v>2327</v>
      </c>
    </row>
    <row r="2330" spans="1:1">
      <c r="A2330">
        <f t="shared" si="82"/>
        <v>2328</v>
      </c>
    </row>
    <row r="2331" spans="1:1">
      <c r="A2331">
        <f t="shared" si="82"/>
        <v>2329</v>
      </c>
    </row>
    <row r="2332" spans="1:1">
      <c r="A2332">
        <f t="shared" si="82"/>
        <v>2330</v>
      </c>
    </row>
    <row r="2333" spans="1:1">
      <c r="A2333">
        <f t="shared" si="82"/>
        <v>2331</v>
      </c>
    </row>
    <row r="2334" spans="1:1">
      <c r="A2334">
        <f t="shared" si="82"/>
        <v>2332</v>
      </c>
    </row>
    <row r="2335" spans="1:1">
      <c r="A2335">
        <f t="shared" si="82"/>
        <v>2333</v>
      </c>
    </row>
    <row r="2336" spans="1:1">
      <c r="A2336">
        <f t="shared" si="82"/>
        <v>2334</v>
      </c>
    </row>
    <row r="2337" spans="1:1">
      <c r="A2337">
        <f t="shared" si="82"/>
        <v>2335</v>
      </c>
    </row>
    <row r="2338" spans="1:1">
      <c r="A2338">
        <f t="shared" si="82"/>
        <v>2336</v>
      </c>
    </row>
    <row r="2339" spans="1:1">
      <c r="A2339">
        <f t="shared" si="82"/>
        <v>2337</v>
      </c>
    </row>
    <row r="2340" spans="1:1">
      <c r="A2340">
        <f t="shared" ref="A2340:A2403" si="83">A2339+1</f>
        <v>2338</v>
      </c>
    </row>
    <row r="2341" spans="1:1">
      <c r="A2341">
        <f t="shared" si="83"/>
        <v>2339</v>
      </c>
    </row>
    <row r="2342" spans="1:1">
      <c r="A2342">
        <f t="shared" si="83"/>
        <v>2340</v>
      </c>
    </row>
    <row r="2343" spans="1:1">
      <c r="A2343">
        <f t="shared" si="83"/>
        <v>2341</v>
      </c>
    </row>
    <row r="2344" spans="1:1">
      <c r="A2344">
        <f t="shared" si="83"/>
        <v>2342</v>
      </c>
    </row>
    <row r="2345" spans="1:1">
      <c r="A2345">
        <f t="shared" si="83"/>
        <v>2343</v>
      </c>
    </row>
    <row r="2346" spans="1:1">
      <c r="A2346">
        <f t="shared" si="83"/>
        <v>2344</v>
      </c>
    </row>
    <row r="2347" spans="1:1">
      <c r="A2347">
        <f t="shared" si="83"/>
        <v>2345</v>
      </c>
    </row>
    <row r="2348" spans="1:1">
      <c r="A2348">
        <f t="shared" si="83"/>
        <v>2346</v>
      </c>
    </row>
    <row r="2349" spans="1:1">
      <c r="A2349">
        <f t="shared" si="83"/>
        <v>2347</v>
      </c>
    </row>
    <row r="2350" spans="1:1">
      <c r="A2350">
        <f t="shared" si="83"/>
        <v>2348</v>
      </c>
    </row>
    <row r="2351" spans="1:1">
      <c r="A2351">
        <f t="shared" si="83"/>
        <v>2349</v>
      </c>
    </row>
    <row r="2352" spans="1:1">
      <c r="A2352">
        <f t="shared" si="83"/>
        <v>2350</v>
      </c>
    </row>
    <row r="2353" spans="1:1">
      <c r="A2353">
        <f t="shared" si="83"/>
        <v>2351</v>
      </c>
    </row>
    <row r="2354" spans="1:1">
      <c r="A2354">
        <f t="shared" si="83"/>
        <v>2352</v>
      </c>
    </row>
    <row r="2355" spans="1:1">
      <c r="A2355">
        <f t="shared" si="83"/>
        <v>2353</v>
      </c>
    </row>
    <row r="2356" spans="1:1">
      <c r="A2356">
        <f t="shared" si="83"/>
        <v>2354</v>
      </c>
    </row>
    <row r="2357" spans="1:1">
      <c r="A2357">
        <f t="shared" si="83"/>
        <v>2355</v>
      </c>
    </row>
    <row r="2358" spans="1:1">
      <c r="A2358">
        <f t="shared" si="83"/>
        <v>2356</v>
      </c>
    </row>
    <row r="2359" spans="1:1">
      <c r="A2359">
        <f t="shared" si="83"/>
        <v>2357</v>
      </c>
    </row>
    <row r="2360" spans="1:1">
      <c r="A2360">
        <f t="shared" si="83"/>
        <v>2358</v>
      </c>
    </row>
    <row r="2361" spans="1:1">
      <c r="A2361">
        <f t="shared" si="83"/>
        <v>2359</v>
      </c>
    </row>
    <row r="2362" spans="1:1">
      <c r="A2362">
        <f t="shared" si="83"/>
        <v>2360</v>
      </c>
    </row>
    <row r="2363" spans="1:1">
      <c r="A2363">
        <f t="shared" si="83"/>
        <v>2361</v>
      </c>
    </row>
    <row r="2364" spans="1:1">
      <c r="A2364">
        <f t="shared" si="83"/>
        <v>2362</v>
      </c>
    </row>
    <row r="2365" spans="1:1">
      <c r="A2365">
        <f t="shared" si="83"/>
        <v>2363</v>
      </c>
    </row>
    <row r="2366" spans="1:1">
      <c r="A2366">
        <f t="shared" si="83"/>
        <v>2364</v>
      </c>
    </row>
    <row r="2367" spans="1:1">
      <c r="A2367">
        <f t="shared" si="83"/>
        <v>2365</v>
      </c>
    </row>
    <row r="2368" spans="1:1">
      <c r="A2368">
        <f t="shared" si="83"/>
        <v>2366</v>
      </c>
    </row>
    <row r="2369" spans="1:1">
      <c r="A2369">
        <f t="shared" si="83"/>
        <v>2367</v>
      </c>
    </row>
    <row r="2370" spans="1:1">
      <c r="A2370">
        <f t="shared" si="83"/>
        <v>2368</v>
      </c>
    </row>
    <row r="2371" spans="1:1">
      <c r="A2371">
        <f t="shared" si="83"/>
        <v>2369</v>
      </c>
    </row>
    <row r="2372" spans="1:1">
      <c r="A2372">
        <f t="shared" si="83"/>
        <v>2370</v>
      </c>
    </row>
    <row r="2373" spans="1:1">
      <c r="A2373">
        <f t="shared" si="83"/>
        <v>2371</v>
      </c>
    </row>
    <row r="2374" spans="1:1">
      <c r="A2374">
        <f t="shared" si="83"/>
        <v>2372</v>
      </c>
    </row>
    <row r="2375" spans="1:1">
      <c r="A2375">
        <f t="shared" si="83"/>
        <v>2373</v>
      </c>
    </row>
    <row r="2376" spans="1:1">
      <c r="A2376">
        <f t="shared" si="83"/>
        <v>2374</v>
      </c>
    </row>
    <row r="2377" spans="1:1">
      <c r="A2377">
        <f t="shared" si="83"/>
        <v>2375</v>
      </c>
    </row>
    <row r="2378" spans="1:1">
      <c r="A2378">
        <f t="shared" si="83"/>
        <v>2376</v>
      </c>
    </row>
    <row r="2379" spans="1:1">
      <c r="A2379">
        <f t="shared" si="83"/>
        <v>2377</v>
      </c>
    </row>
    <row r="2380" spans="1:1">
      <c r="A2380">
        <f t="shared" si="83"/>
        <v>2378</v>
      </c>
    </row>
    <row r="2381" spans="1:1">
      <c r="A2381">
        <f t="shared" si="83"/>
        <v>2379</v>
      </c>
    </row>
    <row r="2382" spans="1:1">
      <c r="A2382">
        <f t="shared" si="83"/>
        <v>2380</v>
      </c>
    </row>
    <row r="2383" spans="1:1">
      <c r="A2383">
        <f t="shared" si="83"/>
        <v>2381</v>
      </c>
    </row>
    <row r="2384" spans="1:1">
      <c r="A2384">
        <f t="shared" si="83"/>
        <v>2382</v>
      </c>
    </row>
    <row r="2385" spans="1:1">
      <c r="A2385">
        <f t="shared" si="83"/>
        <v>2383</v>
      </c>
    </row>
    <row r="2386" spans="1:1">
      <c r="A2386">
        <f t="shared" si="83"/>
        <v>2384</v>
      </c>
    </row>
    <row r="2387" spans="1:1">
      <c r="A2387">
        <f t="shared" si="83"/>
        <v>2385</v>
      </c>
    </row>
    <row r="2388" spans="1:1">
      <c r="A2388">
        <f t="shared" si="83"/>
        <v>2386</v>
      </c>
    </row>
    <row r="2389" spans="1:1">
      <c r="A2389">
        <f t="shared" si="83"/>
        <v>2387</v>
      </c>
    </row>
    <row r="2390" spans="1:1">
      <c r="A2390">
        <f t="shared" si="83"/>
        <v>2388</v>
      </c>
    </row>
    <row r="2391" spans="1:1">
      <c r="A2391">
        <f t="shared" si="83"/>
        <v>2389</v>
      </c>
    </row>
    <row r="2392" spans="1:1">
      <c r="A2392">
        <f t="shared" si="83"/>
        <v>2390</v>
      </c>
    </row>
    <row r="2393" spans="1:1">
      <c r="A2393">
        <f t="shared" si="83"/>
        <v>2391</v>
      </c>
    </row>
    <row r="2394" spans="1:1">
      <c r="A2394">
        <f t="shared" si="83"/>
        <v>2392</v>
      </c>
    </row>
    <row r="2395" spans="1:1">
      <c r="A2395">
        <f t="shared" si="83"/>
        <v>2393</v>
      </c>
    </row>
    <row r="2396" spans="1:1">
      <c r="A2396">
        <f t="shared" si="83"/>
        <v>2394</v>
      </c>
    </row>
    <row r="2397" spans="1:1">
      <c r="A2397">
        <f t="shared" si="83"/>
        <v>2395</v>
      </c>
    </row>
    <row r="2398" spans="1:1">
      <c r="A2398">
        <f t="shared" si="83"/>
        <v>2396</v>
      </c>
    </row>
    <row r="2399" spans="1:1">
      <c r="A2399">
        <f t="shared" si="83"/>
        <v>2397</v>
      </c>
    </row>
    <row r="2400" spans="1:1">
      <c r="A2400">
        <f t="shared" si="83"/>
        <v>2398</v>
      </c>
    </row>
    <row r="2401" spans="1:1">
      <c r="A2401">
        <f t="shared" si="83"/>
        <v>2399</v>
      </c>
    </row>
    <row r="2402" spans="1:1">
      <c r="A2402">
        <f t="shared" si="83"/>
        <v>2400</v>
      </c>
    </row>
    <row r="2403" spans="1:1">
      <c r="A2403">
        <f t="shared" si="83"/>
        <v>2401</v>
      </c>
    </row>
    <row r="2404" spans="1:1">
      <c r="A2404">
        <f t="shared" ref="A2404:A2467" si="84">A2403+1</f>
        <v>2402</v>
      </c>
    </row>
    <row r="2405" spans="1:1">
      <c r="A2405">
        <f t="shared" si="84"/>
        <v>2403</v>
      </c>
    </row>
    <row r="2406" spans="1:1">
      <c r="A2406">
        <f t="shared" si="84"/>
        <v>2404</v>
      </c>
    </row>
    <row r="2407" spans="1:1">
      <c r="A2407">
        <f t="shared" si="84"/>
        <v>2405</v>
      </c>
    </row>
    <row r="2408" spans="1:1">
      <c r="A2408">
        <f t="shared" si="84"/>
        <v>2406</v>
      </c>
    </row>
    <row r="2409" spans="1:1">
      <c r="A2409">
        <f t="shared" si="84"/>
        <v>2407</v>
      </c>
    </row>
    <row r="2410" spans="1:1">
      <c r="A2410">
        <f t="shared" si="84"/>
        <v>2408</v>
      </c>
    </row>
    <row r="2411" spans="1:1">
      <c r="A2411">
        <f t="shared" si="84"/>
        <v>2409</v>
      </c>
    </row>
    <row r="2412" spans="1:1">
      <c r="A2412">
        <f t="shared" si="84"/>
        <v>2410</v>
      </c>
    </row>
    <row r="2413" spans="1:1">
      <c r="A2413">
        <f t="shared" si="84"/>
        <v>2411</v>
      </c>
    </row>
    <row r="2414" spans="1:1">
      <c r="A2414">
        <f t="shared" si="84"/>
        <v>2412</v>
      </c>
    </row>
    <row r="2415" spans="1:1">
      <c r="A2415">
        <f t="shared" si="84"/>
        <v>2413</v>
      </c>
    </row>
    <row r="2416" spans="1:1">
      <c r="A2416">
        <f t="shared" si="84"/>
        <v>2414</v>
      </c>
    </row>
    <row r="2417" spans="1:1">
      <c r="A2417">
        <f t="shared" si="84"/>
        <v>2415</v>
      </c>
    </row>
    <row r="2418" spans="1:1">
      <c r="A2418">
        <f t="shared" si="84"/>
        <v>2416</v>
      </c>
    </row>
    <row r="2419" spans="1:1">
      <c r="A2419">
        <f t="shared" si="84"/>
        <v>2417</v>
      </c>
    </row>
    <row r="2420" spans="1:1">
      <c r="A2420">
        <f t="shared" si="84"/>
        <v>2418</v>
      </c>
    </row>
    <row r="2421" spans="1:1">
      <c r="A2421">
        <f t="shared" si="84"/>
        <v>2419</v>
      </c>
    </row>
    <row r="2422" spans="1:1">
      <c r="A2422">
        <f t="shared" si="84"/>
        <v>2420</v>
      </c>
    </row>
    <row r="2423" spans="1:1">
      <c r="A2423">
        <f t="shared" si="84"/>
        <v>2421</v>
      </c>
    </row>
    <row r="2424" spans="1:1">
      <c r="A2424">
        <f t="shared" si="84"/>
        <v>2422</v>
      </c>
    </row>
    <row r="2425" spans="1:1">
      <c r="A2425">
        <f t="shared" si="84"/>
        <v>2423</v>
      </c>
    </row>
    <row r="2426" spans="1:1">
      <c r="A2426">
        <f t="shared" si="84"/>
        <v>2424</v>
      </c>
    </row>
    <row r="2427" spans="1:1">
      <c r="A2427">
        <f t="shared" si="84"/>
        <v>2425</v>
      </c>
    </row>
    <row r="2428" spans="1:1">
      <c r="A2428">
        <f t="shared" si="84"/>
        <v>2426</v>
      </c>
    </row>
    <row r="2429" spans="1:1">
      <c r="A2429">
        <f t="shared" si="84"/>
        <v>2427</v>
      </c>
    </row>
    <row r="2430" spans="1:1">
      <c r="A2430">
        <f t="shared" si="84"/>
        <v>2428</v>
      </c>
    </row>
    <row r="2431" spans="1:1">
      <c r="A2431">
        <f t="shared" si="84"/>
        <v>2429</v>
      </c>
    </row>
    <row r="2432" spans="1:1">
      <c r="A2432">
        <f t="shared" si="84"/>
        <v>2430</v>
      </c>
    </row>
    <row r="2433" spans="1:1">
      <c r="A2433">
        <f t="shared" si="84"/>
        <v>2431</v>
      </c>
    </row>
    <row r="2434" spans="1:1">
      <c r="A2434">
        <f t="shared" si="84"/>
        <v>2432</v>
      </c>
    </row>
    <row r="2435" spans="1:1">
      <c r="A2435">
        <f t="shared" si="84"/>
        <v>2433</v>
      </c>
    </row>
    <row r="2436" spans="1:1">
      <c r="A2436">
        <f t="shared" si="84"/>
        <v>2434</v>
      </c>
    </row>
    <row r="2437" spans="1:1">
      <c r="A2437">
        <f t="shared" si="84"/>
        <v>2435</v>
      </c>
    </row>
    <row r="2438" spans="1:1">
      <c r="A2438">
        <f t="shared" si="84"/>
        <v>2436</v>
      </c>
    </row>
    <row r="2439" spans="1:1">
      <c r="A2439">
        <f t="shared" si="84"/>
        <v>2437</v>
      </c>
    </row>
    <row r="2440" spans="1:1">
      <c r="A2440">
        <f t="shared" si="84"/>
        <v>2438</v>
      </c>
    </row>
    <row r="2441" spans="1:1">
      <c r="A2441">
        <f t="shared" si="84"/>
        <v>2439</v>
      </c>
    </row>
    <row r="2442" spans="1:1">
      <c r="A2442">
        <f t="shared" si="84"/>
        <v>2440</v>
      </c>
    </row>
    <row r="2443" spans="1:1">
      <c r="A2443">
        <f t="shared" si="84"/>
        <v>2441</v>
      </c>
    </row>
    <row r="2444" spans="1:1">
      <c r="A2444">
        <f t="shared" si="84"/>
        <v>2442</v>
      </c>
    </row>
    <row r="2445" spans="1:1">
      <c r="A2445">
        <f t="shared" si="84"/>
        <v>2443</v>
      </c>
    </row>
    <row r="2446" spans="1:1">
      <c r="A2446">
        <f t="shared" si="84"/>
        <v>2444</v>
      </c>
    </row>
    <row r="2447" spans="1:1">
      <c r="A2447">
        <f t="shared" si="84"/>
        <v>2445</v>
      </c>
    </row>
    <row r="2448" spans="1:1">
      <c r="A2448">
        <f t="shared" si="84"/>
        <v>2446</v>
      </c>
    </row>
    <row r="2449" spans="1:1">
      <c r="A2449">
        <f t="shared" si="84"/>
        <v>2447</v>
      </c>
    </row>
    <row r="2450" spans="1:1">
      <c r="A2450">
        <f t="shared" si="84"/>
        <v>2448</v>
      </c>
    </row>
    <row r="2451" spans="1:1">
      <c r="A2451">
        <f t="shared" si="84"/>
        <v>2449</v>
      </c>
    </row>
    <row r="2452" spans="1:1">
      <c r="A2452">
        <f t="shared" si="84"/>
        <v>2450</v>
      </c>
    </row>
    <row r="2453" spans="1:1">
      <c r="A2453">
        <f t="shared" si="84"/>
        <v>2451</v>
      </c>
    </row>
    <row r="2454" spans="1:1">
      <c r="A2454">
        <f t="shared" si="84"/>
        <v>2452</v>
      </c>
    </row>
    <row r="2455" spans="1:1">
      <c r="A2455">
        <f t="shared" si="84"/>
        <v>2453</v>
      </c>
    </row>
    <row r="2456" spans="1:1">
      <c r="A2456">
        <f t="shared" si="84"/>
        <v>2454</v>
      </c>
    </row>
    <row r="2457" spans="1:1">
      <c r="A2457">
        <f t="shared" si="84"/>
        <v>2455</v>
      </c>
    </row>
    <row r="2458" spans="1:1">
      <c r="A2458">
        <f t="shared" si="84"/>
        <v>2456</v>
      </c>
    </row>
    <row r="2459" spans="1:1">
      <c r="A2459">
        <f t="shared" si="84"/>
        <v>2457</v>
      </c>
    </row>
    <row r="2460" spans="1:1">
      <c r="A2460">
        <f t="shared" si="84"/>
        <v>2458</v>
      </c>
    </row>
    <row r="2461" spans="1:1">
      <c r="A2461">
        <f t="shared" si="84"/>
        <v>2459</v>
      </c>
    </row>
    <row r="2462" spans="1:1">
      <c r="A2462">
        <f t="shared" si="84"/>
        <v>2460</v>
      </c>
    </row>
    <row r="2463" spans="1:1">
      <c r="A2463">
        <f t="shared" si="84"/>
        <v>2461</v>
      </c>
    </row>
    <row r="2464" spans="1:1">
      <c r="A2464">
        <f t="shared" si="84"/>
        <v>2462</v>
      </c>
    </row>
    <row r="2465" spans="1:1">
      <c r="A2465">
        <f t="shared" si="84"/>
        <v>2463</v>
      </c>
    </row>
    <row r="2466" spans="1:1">
      <c r="A2466">
        <f t="shared" si="84"/>
        <v>2464</v>
      </c>
    </row>
    <row r="2467" spans="1:1">
      <c r="A2467">
        <f t="shared" si="84"/>
        <v>2465</v>
      </c>
    </row>
    <row r="2468" spans="1:1">
      <c r="A2468">
        <f t="shared" ref="A2468:A2531" si="85">A2467+1</f>
        <v>2466</v>
      </c>
    </row>
    <row r="2469" spans="1:1">
      <c r="A2469">
        <f t="shared" si="85"/>
        <v>2467</v>
      </c>
    </row>
    <row r="2470" spans="1:1">
      <c r="A2470">
        <f t="shared" si="85"/>
        <v>2468</v>
      </c>
    </row>
    <row r="2471" spans="1:1">
      <c r="A2471">
        <f t="shared" si="85"/>
        <v>2469</v>
      </c>
    </row>
    <row r="2472" spans="1:1">
      <c r="A2472">
        <f t="shared" si="85"/>
        <v>2470</v>
      </c>
    </row>
    <row r="2473" spans="1:1">
      <c r="A2473">
        <f t="shared" si="85"/>
        <v>2471</v>
      </c>
    </row>
    <row r="2474" spans="1:1">
      <c r="A2474">
        <f t="shared" si="85"/>
        <v>2472</v>
      </c>
    </row>
    <row r="2475" spans="1:1">
      <c r="A2475">
        <f t="shared" si="85"/>
        <v>2473</v>
      </c>
    </row>
    <row r="2476" spans="1:1">
      <c r="A2476">
        <f t="shared" si="85"/>
        <v>2474</v>
      </c>
    </row>
    <row r="2477" spans="1:1">
      <c r="A2477">
        <f t="shared" si="85"/>
        <v>2475</v>
      </c>
    </row>
    <row r="2478" spans="1:1">
      <c r="A2478">
        <f t="shared" si="85"/>
        <v>2476</v>
      </c>
    </row>
    <row r="2479" spans="1:1">
      <c r="A2479">
        <f t="shared" si="85"/>
        <v>2477</v>
      </c>
    </row>
    <row r="2480" spans="1:1">
      <c r="A2480">
        <f t="shared" si="85"/>
        <v>2478</v>
      </c>
    </row>
    <row r="2481" spans="1:1">
      <c r="A2481">
        <f t="shared" si="85"/>
        <v>2479</v>
      </c>
    </row>
    <row r="2482" spans="1:1">
      <c r="A2482">
        <f t="shared" si="85"/>
        <v>2480</v>
      </c>
    </row>
    <row r="2483" spans="1:1">
      <c r="A2483">
        <f t="shared" si="85"/>
        <v>2481</v>
      </c>
    </row>
    <row r="2484" spans="1:1">
      <c r="A2484">
        <f t="shared" si="85"/>
        <v>2482</v>
      </c>
    </row>
    <row r="2485" spans="1:1">
      <c r="A2485">
        <f t="shared" si="85"/>
        <v>2483</v>
      </c>
    </row>
    <row r="2486" spans="1:1">
      <c r="A2486">
        <f t="shared" si="85"/>
        <v>2484</v>
      </c>
    </row>
    <row r="2487" spans="1:1">
      <c r="A2487">
        <f t="shared" si="85"/>
        <v>2485</v>
      </c>
    </row>
    <row r="2488" spans="1:1">
      <c r="A2488">
        <f t="shared" si="85"/>
        <v>2486</v>
      </c>
    </row>
    <row r="2489" spans="1:1">
      <c r="A2489">
        <f t="shared" si="85"/>
        <v>2487</v>
      </c>
    </row>
    <row r="2490" spans="1:1">
      <c r="A2490">
        <f t="shared" si="85"/>
        <v>2488</v>
      </c>
    </row>
    <row r="2491" spans="1:1">
      <c r="A2491">
        <f t="shared" si="85"/>
        <v>2489</v>
      </c>
    </row>
    <row r="2492" spans="1:1">
      <c r="A2492">
        <f t="shared" si="85"/>
        <v>2490</v>
      </c>
    </row>
    <row r="2493" spans="1:1">
      <c r="A2493">
        <f t="shared" si="85"/>
        <v>2491</v>
      </c>
    </row>
    <row r="2494" spans="1:1">
      <c r="A2494">
        <f t="shared" si="85"/>
        <v>2492</v>
      </c>
    </row>
    <row r="2495" spans="1:1">
      <c r="A2495">
        <f t="shared" si="85"/>
        <v>2493</v>
      </c>
    </row>
    <row r="2496" spans="1:1">
      <c r="A2496">
        <f t="shared" si="85"/>
        <v>2494</v>
      </c>
    </row>
    <row r="2497" spans="1:1">
      <c r="A2497">
        <f t="shared" si="85"/>
        <v>2495</v>
      </c>
    </row>
    <row r="2498" spans="1:1">
      <c r="A2498">
        <f t="shared" si="85"/>
        <v>2496</v>
      </c>
    </row>
    <row r="2499" spans="1:1">
      <c r="A2499">
        <f t="shared" si="85"/>
        <v>2497</v>
      </c>
    </row>
    <row r="2500" spans="1:1">
      <c r="A2500">
        <f t="shared" si="85"/>
        <v>2498</v>
      </c>
    </row>
    <row r="2501" spans="1:1">
      <c r="A2501">
        <f t="shared" si="85"/>
        <v>2499</v>
      </c>
    </row>
    <row r="2502" spans="1:1">
      <c r="A2502">
        <f t="shared" si="85"/>
        <v>2500</v>
      </c>
    </row>
    <row r="2503" spans="1:1">
      <c r="A2503">
        <f t="shared" si="85"/>
        <v>2501</v>
      </c>
    </row>
    <row r="2504" spans="1:1">
      <c r="A2504">
        <f t="shared" si="85"/>
        <v>2502</v>
      </c>
    </row>
    <row r="2505" spans="1:1">
      <c r="A2505">
        <f t="shared" si="85"/>
        <v>2503</v>
      </c>
    </row>
    <row r="2506" spans="1:1">
      <c r="A2506">
        <f t="shared" si="85"/>
        <v>2504</v>
      </c>
    </row>
    <row r="2507" spans="1:1">
      <c r="A2507">
        <f t="shared" si="85"/>
        <v>2505</v>
      </c>
    </row>
    <row r="2508" spans="1:1">
      <c r="A2508">
        <f t="shared" si="85"/>
        <v>2506</v>
      </c>
    </row>
    <row r="2509" spans="1:1">
      <c r="A2509">
        <f t="shared" si="85"/>
        <v>2507</v>
      </c>
    </row>
    <row r="2510" spans="1:1">
      <c r="A2510">
        <f t="shared" si="85"/>
        <v>2508</v>
      </c>
    </row>
    <row r="2511" spans="1:1">
      <c r="A2511">
        <f t="shared" si="85"/>
        <v>2509</v>
      </c>
    </row>
    <row r="2512" spans="1:1">
      <c r="A2512">
        <f t="shared" si="85"/>
        <v>2510</v>
      </c>
    </row>
    <row r="2513" spans="1:1">
      <c r="A2513">
        <f t="shared" si="85"/>
        <v>2511</v>
      </c>
    </row>
    <row r="2514" spans="1:1">
      <c r="A2514">
        <f t="shared" si="85"/>
        <v>2512</v>
      </c>
    </row>
    <row r="2515" spans="1:1">
      <c r="A2515">
        <f t="shared" si="85"/>
        <v>2513</v>
      </c>
    </row>
    <row r="2516" spans="1:1">
      <c r="A2516">
        <f t="shared" si="85"/>
        <v>2514</v>
      </c>
    </row>
    <row r="2517" spans="1:1">
      <c r="A2517">
        <f t="shared" si="85"/>
        <v>2515</v>
      </c>
    </row>
    <row r="2518" spans="1:1">
      <c r="A2518">
        <f t="shared" si="85"/>
        <v>2516</v>
      </c>
    </row>
    <row r="2519" spans="1:1">
      <c r="A2519">
        <f t="shared" si="85"/>
        <v>2517</v>
      </c>
    </row>
    <row r="2520" spans="1:1">
      <c r="A2520">
        <f t="shared" si="85"/>
        <v>2518</v>
      </c>
    </row>
    <row r="2521" spans="1:1">
      <c r="A2521">
        <f t="shared" si="85"/>
        <v>2519</v>
      </c>
    </row>
    <row r="2522" spans="1:1">
      <c r="A2522">
        <f t="shared" si="85"/>
        <v>2520</v>
      </c>
    </row>
    <row r="2523" spans="1:1">
      <c r="A2523">
        <f t="shared" si="85"/>
        <v>2521</v>
      </c>
    </row>
    <row r="2524" spans="1:1">
      <c r="A2524">
        <f t="shared" si="85"/>
        <v>2522</v>
      </c>
    </row>
    <row r="2525" spans="1:1">
      <c r="A2525">
        <f t="shared" si="85"/>
        <v>2523</v>
      </c>
    </row>
    <row r="2526" spans="1:1">
      <c r="A2526">
        <f t="shared" si="85"/>
        <v>2524</v>
      </c>
    </row>
    <row r="2527" spans="1:1">
      <c r="A2527">
        <f t="shared" si="85"/>
        <v>2525</v>
      </c>
    </row>
    <row r="2528" spans="1:1">
      <c r="A2528">
        <f t="shared" si="85"/>
        <v>2526</v>
      </c>
    </row>
    <row r="2529" spans="1:1">
      <c r="A2529">
        <f t="shared" si="85"/>
        <v>2527</v>
      </c>
    </row>
    <row r="2530" spans="1:1">
      <c r="A2530">
        <f t="shared" si="85"/>
        <v>2528</v>
      </c>
    </row>
    <row r="2531" spans="1:1">
      <c r="A2531">
        <f t="shared" si="85"/>
        <v>2529</v>
      </c>
    </row>
    <row r="2532" spans="1:1">
      <c r="A2532">
        <f t="shared" ref="A2532:A2595" si="86">A2531+1</f>
        <v>2530</v>
      </c>
    </row>
    <row r="2533" spans="1:1">
      <c r="A2533">
        <f t="shared" si="86"/>
        <v>2531</v>
      </c>
    </row>
    <row r="2534" spans="1:1">
      <c r="A2534">
        <f t="shared" si="86"/>
        <v>2532</v>
      </c>
    </row>
    <row r="2535" spans="1:1">
      <c r="A2535">
        <f t="shared" si="86"/>
        <v>2533</v>
      </c>
    </row>
    <row r="2536" spans="1:1">
      <c r="A2536">
        <f t="shared" si="86"/>
        <v>2534</v>
      </c>
    </row>
    <row r="2537" spans="1:1">
      <c r="A2537">
        <f t="shared" si="86"/>
        <v>2535</v>
      </c>
    </row>
    <row r="2538" spans="1:1">
      <c r="A2538">
        <f t="shared" si="86"/>
        <v>2536</v>
      </c>
    </row>
    <row r="2539" spans="1:1">
      <c r="A2539">
        <f t="shared" si="86"/>
        <v>2537</v>
      </c>
    </row>
    <row r="2540" spans="1:1">
      <c r="A2540">
        <f t="shared" si="86"/>
        <v>2538</v>
      </c>
    </row>
    <row r="2541" spans="1:1">
      <c r="A2541">
        <f t="shared" si="86"/>
        <v>2539</v>
      </c>
    </row>
    <row r="2542" spans="1:1">
      <c r="A2542">
        <f t="shared" si="86"/>
        <v>2540</v>
      </c>
    </row>
    <row r="2543" spans="1:1">
      <c r="A2543">
        <f t="shared" si="86"/>
        <v>2541</v>
      </c>
    </row>
    <row r="2544" spans="1:1">
      <c r="A2544">
        <f t="shared" si="86"/>
        <v>2542</v>
      </c>
    </row>
    <row r="2545" spans="1:1">
      <c r="A2545">
        <f t="shared" si="86"/>
        <v>2543</v>
      </c>
    </row>
    <row r="2546" spans="1:1">
      <c r="A2546">
        <f t="shared" si="86"/>
        <v>2544</v>
      </c>
    </row>
    <row r="2547" spans="1:1">
      <c r="A2547">
        <f t="shared" si="86"/>
        <v>2545</v>
      </c>
    </row>
    <row r="2548" spans="1:1">
      <c r="A2548">
        <f t="shared" si="86"/>
        <v>2546</v>
      </c>
    </row>
    <row r="2549" spans="1:1">
      <c r="A2549">
        <f t="shared" si="86"/>
        <v>2547</v>
      </c>
    </row>
    <row r="2550" spans="1:1">
      <c r="A2550">
        <f t="shared" si="86"/>
        <v>2548</v>
      </c>
    </row>
    <row r="2551" spans="1:1">
      <c r="A2551">
        <f t="shared" si="86"/>
        <v>2549</v>
      </c>
    </row>
    <row r="2552" spans="1:1">
      <c r="A2552">
        <f t="shared" si="86"/>
        <v>2550</v>
      </c>
    </row>
    <row r="2553" spans="1:1">
      <c r="A2553">
        <f t="shared" si="86"/>
        <v>2551</v>
      </c>
    </row>
    <row r="2554" spans="1:1">
      <c r="A2554">
        <f t="shared" si="86"/>
        <v>2552</v>
      </c>
    </row>
    <row r="2555" spans="1:1">
      <c r="A2555">
        <f t="shared" si="86"/>
        <v>2553</v>
      </c>
    </row>
    <row r="2556" spans="1:1">
      <c r="A2556">
        <f t="shared" si="86"/>
        <v>2554</v>
      </c>
    </row>
    <row r="2557" spans="1:1">
      <c r="A2557">
        <f t="shared" si="86"/>
        <v>2555</v>
      </c>
    </row>
    <row r="2558" spans="1:1">
      <c r="A2558">
        <f t="shared" si="86"/>
        <v>2556</v>
      </c>
    </row>
    <row r="2559" spans="1:1">
      <c r="A2559">
        <f t="shared" si="86"/>
        <v>2557</v>
      </c>
    </row>
    <row r="2560" spans="1:1">
      <c r="A2560">
        <f t="shared" si="86"/>
        <v>2558</v>
      </c>
    </row>
    <row r="2561" spans="1:1">
      <c r="A2561">
        <f t="shared" si="86"/>
        <v>2559</v>
      </c>
    </row>
    <row r="2562" spans="1:1">
      <c r="A2562">
        <f t="shared" si="86"/>
        <v>2560</v>
      </c>
    </row>
    <row r="2563" spans="1:1">
      <c r="A2563">
        <f t="shared" si="86"/>
        <v>2561</v>
      </c>
    </row>
    <row r="2564" spans="1:1">
      <c r="A2564">
        <f t="shared" si="86"/>
        <v>2562</v>
      </c>
    </row>
    <row r="2565" spans="1:1">
      <c r="A2565">
        <f t="shared" si="86"/>
        <v>2563</v>
      </c>
    </row>
    <row r="2566" spans="1:1">
      <c r="A2566">
        <f t="shared" si="86"/>
        <v>2564</v>
      </c>
    </row>
    <row r="2567" spans="1:1">
      <c r="A2567">
        <f t="shared" si="86"/>
        <v>2565</v>
      </c>
    </row>
    <row r="2568" spans="1:1">
      <c r="A2568">
        <f t="shared" si="86"/>
        <v>2566</v>
      </c>
    </row>
    <row r="2569" spans="1:1">
      <c r="A2569">
        <f t="shared" si="86"/>
        <v>2567</v>
      </c>
    </row>
    <row r="2570" spans="1:1">
      <c r="A2570">
        <f t="shared" si="86"/>
        <v>2568</v>
      </c>
    </row>
    <row r="2571" spans="1:1">
      <c r="A2571">
        <f t="shared" si="86"/>
        <v>2569</v>
      </c>
    </row>
    <row r="2572" spans="1:1">
      <c r="A2572">
        <f t="shared" si="86"/>
        <v>2570</v>
      </c>
    </row>
    <row r="2573" spans="1:1">
      <c r="A2573">
        <f t="shared" si="86"/>
        <v>2571</v>
      </c>
    </row>
    <row r="2574" spans="1:1">
      <c r="A2574">
        <f t="shared" si="86"/>
        <v>2572</v>
      </c>
    </row>
    <row r="2575" spans="1:1">
      <c r="A2575">
        <f t="shared" si="86"/>
        <v>2573</v>
      </c>
    </row>
    <row r="2576" spans="1:1">
      <c r="A2576">
        <f t="shared" si="86"/>
        <v>2574</v>
      </c>
    </row>
    <row r="2577" spans="1:1">
      <c r="A2577">
        <f t="shared" si="86"/>
        <v>2575</v>
      </c>
    </row>
    <row r="2578" spans="1:1">
      <c r="A2578">
        <f t="shared" si="86"/>
        <v>2576</v>
      </c>
    </row>
    <row r="2579" spans="1:1">
      <c r="A2579">
        <f t="shared" si="86"/>
        <v>2577</v>
      </c>
    </row>
    <row r="2580" spans="1:1">
      <c r="A2580">
        <f t="shared" si="86"/>
        <v>2578</v>
      </c>
    </row>
    <row r="2581" spans="1:1">
      <c r="A2581">
        <f t="shared" si="86"/>
        <v>2579</v>
      </c>
    </row>
    <row r="2582" spans="1:1">
      <c r="A2582">
        <f t="shared" si="86"/>
        <v>2580</v>
      </c>
    </row>
    <row r="2583" spans="1:1">
      <c r="A2583">
        <f t="shared" si="86"/>
        <v>2581</v>
      </c>
    </row>
    <row r="2584" spans="1:1">
      <c r="A2584">
        <f t="shared" si="86"/>
        <v>2582</v>
      </c>
    </row>
    <row r="2585" spans="1:1">
      <c r="A2585">
        <f t="shared" si="86"/>
        <v>2583</v>
      </c>
    </row>
    <row r="2586" spans="1:1">
      <c r="A2586">
        <f t="shared" si="86"/>
        <v>2584</v>
      </c>
    </row>
    <row r="2587" spans="1:1">
      <c r="A2587">
        <f t="shared" si="86"/>
        <v>2585</v>
      </c>
    </row>
    <row r="2588" spans="1:1">
      <c r="A2588">
        <f t="shared" si="86"/>
        <v>2586</v>
      </c>
    </row>
    <row r="2589" spans="1:1">
      <c r="A2589">
        <f t="shared" si="86"/>
        <v>2587</v>
      </c>
    </row>
    <row r="2590" spans="1:1">
      <c r="A2590">
        <f t="shared" si="86"/>
        <v>2588</v>
      </c>
    </row>
    <row r="2591" spans="1:1">
      <c r="A2591">
        <f t="shared" si="86"/>
        <v>2589</v>
      </c>
    </row>
    <row r="2592" spans="1:1">
      <c r="A2592">
        <f t="shared" si="86"/>
        <v>2590</v>
      </c>
    </row>
    <row r="2593" spans="1:1">
      <c r="A2593">
        <f t="shared" si="86"/>
        <v>2591</v>
      </c>
    </row>
    <row r="2594" spans="1:1">
      <c r="A2594">
        <f t="shared" si="86"/>
        <v>2592</v>
      </c>
    </row>
    <row r="2595" spans="1:1">
      <c r="A2595">
        <f t="shared" si="86"/>
        <v>2593</v>
      </c>
    </row>
    <row r="2596" spans="1:1">
      <c r="A2596">
        <f t="shared" ref="A2596:A2659" si="87">A2595+1</f>
        <v>2594</v>
      </c>
    </row>
    <row r="2597" spans="1:1">
      <c r="A2597">
        <f t="shared" si="87"/>
        <v>2595</v>
      </c>
    </row>
    <row r="2598" spans="1:1">
      <c r="A2598">
        <f t="shared" si="87"/>
        <v>2596</v>
      </c>
    </row>
    <row r="2599" spans="1:1">
      <c r="A2599">
        <f t="shared" si="87"/>
        <v>2597</v>
      </c>
    </row>
    <row r="2600" spans="1:1">
      <c r="A2600">
        <f t="shared" si="87"/>
        <v>2598</v>
      </c>
    </row>
    <row r="2601" spans="1:1">
      <c r="A2601">
        <f t="shared" si="87"/>
        <v>2599</v>
      </c>
    </row>
    <row r="2602" spans="1:1">
      <c r="A2602">
        <f t="shared" si="87"/>
        <v>2600</v>
      </c>
    </row>
    <row r="2603" spans="1:1">
      <c r="A2603">
        <f t="shared" si="87"/>
        <v>2601</v>
      </c>
    </row>
    <row r="2604" spans="1:1">
      <c r="A2604">
        <f t="shared" si="87"/>
        <v>2602</v>
      </c>
    </row>
    <row r="2605" spans="1:1">
      <c r="A2605">
        <f t="shared" si="87"/>
        <v>2603</v>
      </c>
    </row>
    <row r="2606" spans="1:1">
      <c r="A2606">
        <f t="shared" si="87"/>
        <v>2604</v>
      </c>
    </row>
    <row r="2607" spans="1:1">
      <c r="A2607">
        <f t="shared" si="87"/>
        <v>2605</v>
      </c>
    </row>
    <row r="2608" spans="1:1">
      <c r="A2608">
        <f t="shared" si="87"/>
        <v>2606</v>
      </c>
    </row>
    <row r="2609" spans="1:1">
      <c r="A2609">
        <f t="shared" si="87"/>
        <v>2607</v>
      </c>
    </row>
    <row r="2610" spans="1:1">
      <c r="A2610">
        <f t="shared" si="87"/>
        <v>2608</v>
      </c>
    </row>
    <row r="2611" spans="1:1">
      <c r="A2611">
        <f t="shared" si="87"/>
        <v>2609</v>
      </c>
    </row>
    <row r="2612" spans="1:1">
      <c r="A2612">
        <f t="shared" si="87"/>
        <v>2610</v>
      </c>
    </row>
    <row r="2613" spans="1:1">
      <c r="A2613">
        <f t="shared" si="87"/>
        <v>2611</v>
      </c>
    </row>
    <row r="2614" spans="1:1">
      <c r="A2614">
        <f t="shared" si="87"/>
        <v>2612</v>
      </c>
    </row>
    <row r="2615" spans="1:1">
      <c r="A2615">
        <f t="shared" si="87"/>
        <v>2613</v>
      </c>
    </row>
    <row r="2616" spans="1:1">
      <c r="A2616">
        <f t="shared" si="87"/>
        <v>2614</v>
      </c>
    </row>
    <row r="2617" spans="1:1">
      <c r="A2617">
        <f t="shared" si="87"/>
        <v>2615</v>
      </c>
    </row>
    <row r="2618" spans="1:1">
      <c r="A2618">
        <f t="shared" si="87"/>
        <v>2616</v>
      </c>
    </row>
    <row r="2619" spans="1:1">
      <c r="A2619">
        <f t="shared" si="87"/>
        <v>2617</v>
      </c>
    </row>
    <row r="2620" spans="1:1">
      <c r="A2620">
        <f t="shared" si="87"/>
        <v>2618</v>
      </c>
    </row>
    <row r="2621" spans="1:1">
      <c r="A2621">
        <f t="shared" si="87"/>
        <v>2619</v>
      </c>
    </row>
    <row r="2622" spans="1:1">
      <c r="A2622">
        <f t="shared" si="87"/>
        <v>2620</v>
      </c>
    </row>
    <row r="2623" spans="1:1">
      <c r="A2623">
        <f t="shared" si="87"/>
        <v>2621</v>
      </c>
    </row>
    <row r="2624" spans="1:1">
      <c r="A2624">
        <f t="shared" si="87"/>
        <v>2622</v>
      </c>
    </row>
    <row r="2625" spans="1:1">
      <c r="A2625">
        <f t="shared" si="87"/>
        <v>2623</v>
      </c>
    </row>
    <row r="2626" spans="1:1">
      <c r="A2626">
        <f t="shared" si="87"/>
        <v>2624</v>
      </c>
    </row>
    <row r="2627" spans="1:1">
      <c r="A2627">
        <f t="shared" si="87"/>
        <v>2625</v>
      </c>
    </row>
    <row r="2628" spans="1:1">
      <c r="A2628">
        <f t="shared" si="87"/>
        <v>2626</v>
      </c>
    </row>
    <row r="2629" spans="1:1">
      <c r="A2629">
        <f t="shared" si="87"/>
        <v>2627</v>
      </c>
    </row>
    <row r="2630" spans="1:1">
      <c r="A2630">
        <f t="shared" si="87"/>
        <v>2628</v>
      </c>
    </row>
    <row r="2631" spans="1:1">
      <c r="A2631">
        <f t="shared" si="87"/>
        <v>2629</v>
      </c>
    </row>
    <row r="2632" spans="1:1">
      <c r="A2632">
        <f t="shared" si="87"/>
        <v>2630</v>
      </c>
    </row>
    <row r="2633" spans="1:1">
      <c r="A2633">
        <f t="shared" si="87"/>
        <v>2631</v>
      </c>
    </row>
    <row r="2634" spans="1:1">
      <c r="A2634">
        <f t="shared" si="87"/>
        <v>2632</v>
      </c>
    </row>
    <row r="2635" spans="1:1">
      <c r="A2635">
        <f t="shared" si="87"/>
        <v>2633</v>
      </c>
    </row>
    <row r="2636" spans="1:1">
      <c r="A2636">
        <f t="shared" si="87"/>
        <v>2634</v>
      </c>
    </row>
    <row r="2637" spans="1:1">
      <c r="A2637">
        <f t="shared" si="87"/>
        <v>2635</v>
      </c>
    </row>
    <row r="2638" spans="1:1">
      <c r="A2638">
        <f t="shared" si="87"/>
        <v>2636</v>
      </c>
    </row>
    <row r="2639" spans="1:1">
      <c r="A2639">
        <f t="shared" si="87"/>
        <v>2637</v>
      </c>
    </row>
    <row r="2640" spans="1:1">
      <c r="A2640">
        <f t="shared" si="87"/>
        <v>2638</v>
      </c>
    </row>
    <row r="2641" spans="1:1">
      <c r="A2641">
        <f t="shared" si="87"/>
        <v>2639</v>
      </c>
    </row>
    <row r="2642" spans="1:1">
      <c r="A2642">
        <f t="shared" si="87"/>
        <v>2640</v>
      </c>
    </row>
    <row r="2643" spans="1:1">
      <c r="A2643">
        <f t="shared" si="87"/>
        <v>2641</v>
      </c>
    </row>
    <row r="2644" spans="1:1">
      <c r="A2644">
        <f t="shared" si="87"/>
        <v>2642</v>
      </c>
    </row>
    <row r="2645" spans="1:1">
      <c r="A2645">
        <f t="shared" si="87"/>
        <v>2643</v>
      </c>
    </row>
    <row r="2646" spans="1:1">
      <c r="A2646">
        <f t="shared" si="87"/>
        <v>2644</v>
      </c>
    </row>
    <row r="2647" spans="1:1">
      <c r="A2647">
        <f t="shared" si="87"/>
        <v>2645</v>
      </c>
    </row>
    <row r="2648" spans="1:1">
      <c r="A2648">
        <f t="shared" si="87"/>
        <v>2646</v>
      </c>
    </row>
    <row r="2649" spans="1:1">
      <c r="A2649">
        <f t="shared" si="87"/>
        <v>2647</v>
      </c>
    </row>
    <row r="2650" spans="1:1">
      <c r="A2650">
        <f t="shared" si="87"/>
        <v>2648</v>
      </c>
    </row>
    <row r="2651" spans="1:1">
      <c r="A2651">
        <f t="shared" si="87"/>
        <v>2649</v>
      </c>
    </row>
    <row r="2652" spans="1:1">
      <c r="A2652">
        <f t="shared" si="87"/>
        <v>2650</v>
      </c>
    </row>
    <row r="2653" spans="1:1">
      <c r="A2653">
        <f t="shared" si="87"/>
        <v>2651</v>
      </c>
    </row>
    <row r="2654" spans="1:1">
      <c r="A2654">
        <f t="shared" si="87"/>
        <v>2652</v>
      </c>
    </row>
    <row r="2655" spans="1:1">
      <c r="A2655">
        <f t="shared" si="87"/>
        <v>2653</v>
      </c>
    </row>
    <row r="2656" spans="1:1">
      <c r="A2656">
        <f t="shared" si="87"/>
        <v>2654</v>
      </c>
    </row>
    <row r="2657" spans="1:1">
      <c r="A2657">
        <f t="shared" si="87"/>
        <v>2655</v>
      </c>
    </row>
    <row r="2658" spans="1:1">
      <c r="A2658">
        <f t="shared" si="87"/>
        <v>2656</v>
      </c>
    </row>
    <row r="2659" spans="1:1">
      <c r="A2659">
        <f t="shared" si="87"/>
        <v>2657</v>
      </c>
    </row>
    <row r="2660" spans="1:1">
      <c r="A2660">
        <f t="shared" ref="A2660:A2723" si="88">A2659+1</f>
        <v>2658</v>
      </c>
    </row>
    <row r="2661" spans="1:1">
      <c r="A2661">
        <f t="shared" si="88"/>
        <v>2659</v>
      </c>
    </row>
    <row r="2662" spans="1:1">
      <c r="A2662">
        <f t="shared" si="88"/>
        <v>2660</v>
      </c>
    </row>
    <row r="2663" spans="1:1">
      <c r="A2663">
        <f t="shared" si="88"/>
        <v>2661</v>
      </c>
    </row>
    <row r="2664" spans="1:1">
      <c r="A2664">
        <f t="shared" si="88"/>
        <v>2662</v>
      </c>
    </row>
    <row r="2665" spans="1:1">
      <c r="A2665">
        <f t="shared" si="88"/>
        <v>2663</v>
      </c>
    </row>
    <row r="2666" spans="1:1">
      <c r="A2666">
        <f t="shared" si="88"/>
        <v>2664</v>
      </c>
    </row>
    <row r="2667" spans="1:1">
      <c r="A2667">
        <f t="shared" si="88"/>
        <v>2665</v>
      </c>
    </row>
    <row r="2668" spans="1:1">
      <c r="A2668">
        <f t="shared" si="88"/>
        <v>2666</v>
      </c>
    </row>
    <row r="2669" spans="1:1">
      <c r="A2669">
        <f t="shared" si="88"/>
        <v>2667</v>
      </c>
    </row>
    <row r="2670" spans="1:1">
      <c r="A2670">
        <f t="shared" si="88"/>
        <v>2668</v>
      </c>
    </row>
    <row r="2671" spans="1:1">
      <c r="A2671">
        <f t="shared" si="88"/>
        <v>2669</v>
      </c>
    </row>
    <row r="2672" spans="1:1">
      <c r="A2672">
        <f t="shared" si="88"/>
        <v>2670</v>
      </c>
    </row>
    <row r="2673" spans="1:1">
      <c r="A2673">
        <f t="shared" si="88"/>
        <v>2671</v>
      </c>
    </row>
    <row r="2674" spans="1:1">
      <c r="A2674">
        <f t="shared" si="88"/>
        <v>2672</v>
      </c>
    </row>
    <row r="2675" spans="1:1">
      <c r="A2675">
        <f t="shared" si="88"/>
        <v>2673</v>
      </c>
    </row>
    <row r="2676" spans="1:1">
      <c r="A2676">
        <f t="shared" si="88"/>
        <v>2674</v>
      </c>
    </row>
    <row r="2677" spans="1:1">
      <c r="A2677">
        <f t="shared" si="88"/>
        <v>2675</v>
      </c>
    </row>
    <row r="2678" spans="1:1">
      <c r="A2678">
        <f t="shared" si="88"/>
        <v>2676</v>
      </c>
    </row>
    <row r="2679" spans="1:1">
      <c r="A2679">
        <f t="shared" si="88"/>
        <v>2677</v>
      </c>
    </row>
    <row r="2680" spans="1:1">
      <c r="A2680">
        <f t="shared" si="88"/>
        <v>2678</v>
      </c>
    </row>
    <row r="2681" spans="1:1">
      <c r="A2681">
        <f t="shared" si="88"/>
        <v>2679</v>
      </c>
    </row>
    <row r="2682" spans="1:1">
      <c r="A2682">
        <f t="shared" si="88"/>
        <v>2680</v>
      </c>
    </row>
    <row r="2683" spans="1:1">
      <c r="A2683">
        <f t="shared" si="88"/>
        <v>2681</v>
      </c>
    </row>
    <row r="2684" spans="1:1">
      <c r="A2684">
        <f t="shared" si="88"/>
        <v>2682</v>
      </c>
    </row>
    <row r="2685" spans="1:1">
      <c r="A2685">
        <f t="shared" si="88"/>
        <v>2683</v>
      </c>
    </row>
    <row r="2686" spans="1:1">
      <c r="A2686">
        <f t="shared" si="88"/>
        <v>2684</v>
      </c>
    </row>
    <row r="2687" spans="1:1">
      <c r="A2687">
        <f t="shared" si="88"/>
        <v>2685</v>
      </c>
    </row>
    <row r="2688" spans="1:1">
      <c r="A2688">
        <f t="shared" si="88"/>
        <v>2686</v>
      </c>
    </row>
    <row r="2689" spans="1:1">
      <c r="A2689">
        <f t="shared" si="88"/>
        <v>2687</v>
      </c>
    </row>
    <row r="2690" spans="1:1">
      <c r="A2690">
        <f t="shared" si="88"/>
        <v>2688</v>
      </c>
    </row>
    <row r="2691" spans="1:1">
      <c r="A2691">
        <f t="shared" si="88"/>
        <v>2689</v>
      </c>
    </row>
    <row r="2692" spans="1:1">
      <c r="A2692">
        <f t="shared" si="88"/>
        <v>2690</v>
      </c>
    </row>
    <row r="2693" spans="1:1">
      <c r="A2693">
        <f t="shared" si="88"/>
        <v>2691</v>
      </c>
    </row>
    <row r="2694" spans="1:1">
      <c r="A2694">
        <f t="shared" si="88"/>
        <v>2692</v>
      </c>
    </row>
    <row r="2695" spans="1:1">
      <c r="A2695">
        <f t="shared" si="88"/>
        <v>2693</v>
      </c>
    </row>
    <row r="2696" spans="1:1">
      <c r="A2696">
        <f t="shared" si="88"/>
        <v>2694</v>
      </c>
    </row>
    <row r="2697" spans="1:1">
      <c r="A2697">
        <f t="shared" si="88"/>
        <v>2695</v>
      </c>
    </row>
    <row r="2698" spans="1:1">
      <c r="A2698">
        <f t="shared" si="88"/>
        <v>2696</v>
      </c>
    </row>
    <row r="2699" spans="1:1">
      <c r="A2699">
        <f t="shared" si="88"/>
        <v>2697</v>
      </c>
    </row>
    <row r="2700" spans="1:1">
      <c r="A2700">
        <f t="shared" si="88"/>
        <v>2698</v>
      </c>
    </row>
    <row r="2701" spans="1:1">
      <c r="A2701">
        <f t="shared" si="88"/>
        <v>2699</v>
      </c>
    </row>
    <row r="2702" spans="1:1">
      <c r="A2702">
        <f t="shared" si="88"/>
        <v>2700</v>
      </c>
    </row>
    <row r="2703" spans="1:1">
      <c r="A2703">
        <f t="shared" si="88"/>
        <v>2701</v>
      </c>
    </row>
    <row r="2704" spans="1:1">
      <c r="A2704">
        <f t="shared" si="88"/>
        <v>2702</v>
      </c>
    </row>
    <row r="2705" spans="1:1">
      <c r="A2705">
        <f t="shared" si="88"/>
        <v>2703</v>
      </c>
    </row>
    <row r="2706" spans="1:1">
      <c r="A2706">
        <f t="shared" si="88"/>
        <v>2704</v>
      </c>
    </row>
    <row r="2707" spans="1:1">
      <c r="A2707">
        <f t="shared" si="88"/>
        <v>2705</v>
      </c>
    </row>
    <row r="2708" spans="1:1">
      <c r="A2708">
        <f t="shared" si="88"/>
        <v>2706</v>
      </c>
    </row>
    <row r="2709" spans="1:1">
      <c r="A2709">
        <f t="shared" si="88"/>
        <v>2707</v>
      </c>
    </row>
    <row r="2710" spans="1:1">
      <c r="A2710">
        <f t="shared" si="88"/>
        <v>2708</v>
      </c>
    </row>
    <row r="2711" spans="1:1">
      <c r="A2711">
        <f t="shared" si="88"/>
        <v>2709</v>
      </c>
    </row>
    <row r="2712" spans="1:1">
      <c r="A2712">
        <f t="shared" si="88"/>
        <v>2710</v>
      </c>
    </row>
    <row r="2713" spans="1:1">
      <c r="A2713">
        <f t="shared" si="88"/>
        <v>2711</v>
      </c>
    </row>
    <row r="2714" spans="1:1">
      <c r="A2714">
        <f t="shared" si="88"/>
        <v>2712</v>
      </c>
    </row>
    <row r="2715" spans="1:1">
      <c r="A2715">
        <f t="shared" si="88"/>
        <v>2713</v>
      </c>
    </row>
    <row r="2716" spans="1:1">
      <c r="A2716">
        <f t="shared" si="88"/>
        <v>2714</v>
      </c>
    </row>
    <row r="2717" spans="1:1">
      <c r="A2717">
        <f t="shared" si="88"/>
        <v>2715</v>
      </c>
    </row>
    <row r="2718" spans="1:1">
      <c r="A2718">
        <f t="shared" si="88"/>
        <v>2716</v>
      </c>
    </row>
    <row r="2719" spans="1:1">
      <c r="A2719">
        <f t="shared" si="88"/>
        <v>2717</v>
      </c>
    </row>
    <row r="2720" spans="1:1">
      <c r="A2720">
        <f t="shared" si="88"/>
        <v>2718</v>
      </c>
    </row>
    <row r="2721" spans="1:1">
      <c r="A2721">
        <f t="shared" si="88"/>
        <v>2719</v>
      </c>
    </row>
    <row r="2722" spans="1:1">
      <c r="A2722">
        <f t="shared" si="88"/>
        <v>2720</v>
      </c>
    </row>
    <row r="2723" spans="1:1">
      <c r="A2723">
        <f t="shared" si="88"/>
        <v>2721</v>
      </c>
    </row>
    <row r="2724" spans="1:1">
      <c r="A2724">
        <f t="shared" ref="A2724:A2787" si="89">A2723+1</f>
        <v>2722</v>
      </c>
    </row>
    <row r="2725" spans="1:1">
      <c r="A2725">
        <f t="shared" si="89"/>
        <v>2723</v>
      </c>
    </row>
    <row r="2726" spans="1:1">
      <c r="A2726">
        <f t="shared" si="89"/>
        <v>2724</v>
      </c>
    </row>
    <row r="2727" spans="1:1">
      <c r="A2727">
        <f t="shared" si="89"/>
        <v>2725</v>
      </c>
    </row>
    <row r="2728" spans="1:1">
      <c r="A2728">
        <f t="shared" si="89"/>
        <v>2726</v>
      </c>
    </row>
    <row r="2729" spans="1:1">
      <c r="A2729">
        <f t="shared" si="89"/>
        <v>2727</v>
      </c>
    </row>
    <row r="2730" spans="1:1">
      <c r="A2730">
        <f t="shared" si="89"/>
        <v>2728</v>
      </c>
    </row>
    <row r="2731" spans="1:1">
      <c r="A2731">
        <f t="shared" si="89"/>
        <v>2729</v>
      </c>
    </row>
    <row r="2732" spans="1:1">
      <c r="A2732">
        <f t="shared" si="89"/>
        <v>2730</v>
      </c>
    </row>
    <row r="2733" spans="1:1">
      <c r="A2733">
        <f t="shared" si="89"/>
        <v>2731</v>
      </c>
    </row>
    <row r="2734" spans="1:1">
      <c r="A2734">
        <f t="shared" si="89"/>
        <v>2732</v>
      </c>
    </row>
    <row r="2735" spans="1:1">
      <c r="A2735">
        <f t="shared" si="89"/>
        <v>2733</v>
      </c>
    </row>
    <row r="2736" spans="1:1">
      <c r="A2736">
        <f t="shared" si="89"/>
        <v>2734</v>
      </c>
    </row>
    <row r="2737" spans="1:1">
      <c r="A2737">
        <f t="shared" si="89"/>
        <v>2735</v>
      </c>
    </row>
    <row r="2738" spans="1:1">
      <c r="A2738">
        <f t="shared" si="89"/>
        <v>2736</v>
      </c>
    </row>
    <row r="2739" spans="1:1">
      <c r="A2739">
        <f t="shared" si="89"/>
        <v>2737</v>
      </c>
    </row>
    <row r="2740" spans="1:1">
      <c r="A2740">
        <f t="shared" si="89"/>
        <v>2738</v>
      </c>
    </row>
    <row r="2741" spans="1:1">
      <c r="A2741">
        <f t="shared" si="89"/>
        <v>2739</v>
      </c>
    </row>
    <row r="2742" spans="1:1">
      <c r="A2742">
        <f t="shared" si="89"/>
        <v>2740</v>
      </c>
    </row>
    <row r="2743" spans="1:1">
      <c r="A2743">
        <f t="shared" si="89"/>
        <v>2741</v>
      </c>
    </row>
    <row r="2744" spans="1:1">
      <c r="A2744">
        <f t="shared" si="89"/>
        <v>2742</v>
      </c>
    </row>
    <row r="2745" spans="1:1">
      <c r="A2745">
        <f t="shared" si="89"/>
        <v>2743</v>
      </c>
    </row>
    <row r="2746" spans="1:1">
      <c r="A2746">
        <f t="shared" si="89"/>
        <v>2744</v>
      </c>
    </row>
    <row r="2747" spans="1:1">
      <c r="A2747">
        <f t="shared" si="89"/>
        <v>2745</v>
      </c>
    </row>
    <row r="2748" spans="1:1">
      <c r="A2748">
        <f t="shared" si="89"/>
        <v>2746</v>
      </c>
    </row>
    <row r="2749" spans="1:1">
      <c r="A2749">
        <f t="shared" si="89"/>
        <v>2747</v>
      </c>
    </row>
    <row r="2750" spans="1:1">
      <c r="A2750">
        <f t="shared" si="89"/>
        <v>2748</v>
      </c>
    </row>
    <row r="2751" spans="1:1">
      <c r="A2751">
        <f t="shared" si="89"/>
        <v>2749</v>
      </c>
    </row>
    <row r="2752" spans="1:1">
      <c r="A2752">
        <f t="shared" si="89"/>
        <v>2750</v>
      </c>
    </row>
    <row r="2753" spans="1:1">
      <c r="A2753">
        <f t="shared" si="89"/>
        <v>2751</v>
      </c>
    </row>
    <row r="2754" spans="1:1">
      <c r="A2754">
        <f t="shared" si="89"/>
        <v>2752</v>
      </c>
    </row>
    <row r="2755" spans="1:1">
      <c r="A2755">
        <f t="shared" si="89"/>
        <v>2753</v>
      </c>
    </row>
    <row r="2756" spans="1:1">
      <c r="A2756">
        <f t="shared" si="89"/>
        <v>2754</v>
      </c>
    </row>
    <row r="2757" spans="1:1">
      <c r="A2757">
        <f t="shared" si="89"/>
        <v>2755</v>
      </c>
    </row>
    <row r="2758" spans="1:1">
      <c r="A2758">
        <f t="shared" si="89"/>
        <v>2756</v>
      </c>
    </row>
    <row r="2759" spans="1:1">
      <c r="A2759">
        <f t="shared" si="89"/>
        <v>2757</v>
      </c>
    </row>
    <row r="2760" spans="1:1">
      <c r="A2760">
        <f t="shared" si="89"/>
        <v>2758</v>
      </c>
    </row>
    <row r="2761" spans="1:1">
      <c r="A2761">
        <f t="shared" si="89"/>
        <v>2759</v>
      </c>
    </row>
    <row r="2762" spans="1:1">
      <c r="A2762">
        <f t="shared" si="89"/>
        <v>2760</v>
      </c>
    </row>
    <row r="2763" spans="1:1">
      <c r="A2763">
        <f t="shared" si="89"/>
        <v>2761</v>
      </c>
    </row>
    <row r="2764" spans="1:1">
      <c r="A2764">
        <f t="shared" si="89"/>
        <v>2762</v>
      </c>
    </row>
    <row r="2765" spans="1:1">
      <c r="A2765">
        <f t="shared" si="89"/>
        <v>2763</v>
      </c>
    </row>
    <row r="2766" spans="1:1">
      <c r="A2766">
        <f t="shared" si="89"/>
        <v>2764</v>
      </c>
    </row>
    <row r="2767" spans="1:1">
      <c r="A2767">
        <f t="shared" si="89"/>
        <v>2765</v>
      </c>
    </row>
    <row r="2768" spans="1:1">
      <c r="A2768">
        <f t="shared" si="89"/>
        <v>2766</v>
      </c>
    </row>
    <row r="2769" spans="1:1">
      <c r="A2769">
        <f t="shared" si="89"/>
        <v>2767</v>
      </c>
    </row>
    <row r="2770" spans="1:1">
      <c r="A2770">
        <f t="shared" si="89"/>
        <v>2768</v>
      </c>
    </row>
    <row r="2771" spans="1:1">
      <c r="A2771">
        <f t="shared" si="89"/>
        <v>2769</v>
      </c>
    </row>
    <row r="2772" spans="1:1">
      <c r="A2772">
        <f t="shared" si="89"/>
        <v>2770</v>
      </c>
    </row>
    <row r="2773" spans="1:1">
      <c r="A2773">
        <f t="shared" si="89"/>
        <v>2771</v>
      </c>
    </row>
    <row r="2774" spans="1:1">
      <c r="A2774">
        <f t="shared" si="89"/>
        <v>2772</v>
      </c>
    </row>
    <row r="2775" spans="1:1">
      <c r="A2775">
        <f t="shared" si="89"/>
        <v>2773</v>
      </c>
    </row>
    <row r="2776" spans="1:1">
      <c r="A2776">
        <f t="shared" si="89"/>
        <v>2774</v>
      </c>
    </row>
    <row r="2777" spans="1:1">
      <c r="A2777">
        <f t="shared" si="89"/>
        <v>2775</v>
      </c>
    </row>
    <row r="2778" spans="1:1">
      <c r="A2778">
        <f t="shared" si="89"/>
        <v>2776</v>
      </c>
    </row>
    <row r="2779" spans="1:1">
      <c r="A2779">
        <f t="shared" si="89"/>
        <v>2777</v>
      </c>
    </row>
    <row r="2780" spans="1:1">
      <c r="A2780">
        <f t="shared" si="89"/>
        <v>2778</v>
      </c>
    </row>
    <row r="2781" spans="1:1">
      <c r="A2781">
        <f t="shared" si="89"/>
        <v>2779</v>
      </c>
    </row>
    <row r="2782" spans="1:1">
      <c r="A2782">
        <f t="shared" si="89"/>
        <v>2780</v>
      </c>
    </row>
    <row r="2783" spans="1:1">
      <c r="A2783">
        <f t="shared" si="89"/>
        <v>2781</v>
      </c>
    </row>
    <row r="2784" spans="1:1">
      <c r="A2784">
        <f t="shared" si="89"/>
        <v>2782</v>
      </c>
    </row>
    <row r="2785" spans="1:1">
      <c r="A2785">
        <f t="shared" si="89"/>
        <v>2783</v>
      </c>
    </row>
    <row r="2786" spans="1:1">
      <c r="A2786">
        <f t="shared" si="89"/>
        <v>2784</v>
      </c>
    </row>
    <row r="2787" spans="1:1">
      <c r="A2787">
        <f t="shared" si="89"/>
        <v>2785</v>
      </c>
    </row>
    <row r="2788" spans="1:1">
      <c r="A2788">
        <f t="shared" ref="A2788:A2851" si="90">A2787+1</f>
        <v>2786</v>
      </c>
    </row>
    <row r="2789" spans="1:1">
      <c r="A2789">
        <f t="shared" si="90"/>
        <v>2787</v>
      </c>
    </row>
    <row r="2790" spans="1:1">
      <c r="A2790">
        <f t="shared" si="90"/>
        <v>2788</v>
      </c>
    </row>
    <row r="2791" spans="1:1">
      <c r="A2791">
        <f t="shared" si="90"/>
        <v>2789</v>
      </c>
    </row>
    <row r="2792" spans="1:1">
      <c r="A2792">
        <f t="shared" si="90"/>
        <v>2790</v>
      </c>
    </row>
    <row r="2793" spans="1:1">
      <c r="A2793">
        <f t="shared" si="90"/>
        <v>2791</v>
      </c>
    </row>
    <row r="2794" spans="1:1">
      <c r="A2794">
        <f t="shared" si="90"/>
        <v>2792</v>
      </c>
    </row>
    <row r="2795" spans="1:1">
      <c r="A2795">
        <f t="shared" si="90"/>
        <v>2793</v>
      </c>
    </row>
    <row r="2796" spans="1:1">
      <c r="A2796">
        <f t="shared" si="90"/>
        <v>2794</v>
      </c>
    </row>
    <row r="2797" spans="1:1">
      <c r="A2797">
        <f t="shared" si="90"/>
        <v>2795</v>
      </c>
    </row>
    <row r="2798" spans="1:1">
      <c r="A2798">
        <f t="shared" si="90"/>
        <v>2796</v>
      </c>
    </row>
    <row r="2799" spans="1:1">
      <c r="A2799">
        <f t="shared" si="90"/>
        <v>2797</v>
      </c>
    </row>
    <row r="2800" spans="1:1">
      <c r="A2800">
        <f t="shared" si="90"/>
        <v>2798</v>
      </c>
    </row>
    <row r="2801" spans="1:1">
      <c r="A2801">
        <f t="shared" si="90"/>
        <v>2799</v>
      </c>
    </row>
    <row r="2802" spans="1:1">
      <c r="A2802">
        <f t="shared" si="90"/>
        <v>2800</v>
      </c>
    </row>
    <row r="2803" spans="1:1">
      <c r="A2803">
        <f t="shared" si="90"/>
        <v>2801</v>
      </c>
    </row>
    <row r="2804" spans="1:1">
      <c r="A2804">
        <f t="shared" si="90"/>
        <v>2802</v>
      </c>
    </row>
    <row r="2805" spans="1:1">
      <c r="A2805">
        <f t="shared" si="90"/>
        <v>2803</v>
      </c>
    </row>
    <row r="2806" spans="1:1">
      <c r="A2806">
        <f t="shared" si="90"/>
        <v>2804</v>
      </c>
    </row>
    <row r="2807" spans="1:1">
      <c r="A2807">
        <f t="shared" si="90"/>
        <v>2805</v>
      </c>
    </row>
    <row r="2808" spans="1:1">
      <c r="A2808">
        <f t="shared" si="90"/>
        <v>2806</v>
      </c>
    </row>
    <row r="2809" spans="1:1">
      <c r="A2809">
        <f t="shared" si="90"/>
        <v>2807</v>
      </c>
    </row>
    <row r="2810" spans="1:1">
      <c r="A2810">
        <f t="shared" si="90"/>
        <v>2808</v>
      </c>
    </row>
    <row r="2811" spans="1:1">
      <c r="A2811">
        <f t="shared" si="90"/>
        <v>2809</v>
      </c>
    </row>
    <row r="2812" spans="1:1">
      <c r="A2812">
        <f t="shared" si="90"/>
        <v>2810</v>
      </c>
    </row>
    <row r="2813" spans="1:1">
      <c r="A2813">
        <f t="shared" si="90"/>
        <v>2811</v>
      </c>
    </row>
    <row r="2814" spans="1:1">
      <c r="A2814">
        <f t="shared" si="90"/>
        <v>2812</v>
      </c>
    </row>
    <row r="2815" spans="1:1">
      <c r="A2815">
        <f t="shared" si="90"/>
        <v>2813</v>
      </c>
    </row>
    <row r="2816" spans="1:1">
      <c r="A2816">
        <f t="shared" si="90"/>
        <v>2814</v>
      </c>
    </row>
    <row r="2817" spans="1:1">
      <c r="A2817">
        <f t="shared" si="90"/>
        <v>2815</v>
      </c>
    </row>
    <row r="2818" spans="1:1">
      <c r="A2818">
        <f t="shared" si="90"/>
        <v>2816</v>
      </c>
    </row>
    <row r="2819" spans="1:1">
      <c r="A2819">
        <f t="shared" si="90"/>
        <v>2817</v>
      </c>
    </row>
    <row r="2820" spans="1:1">
      <c r="A2820">
        <f t="shared" si="90"/>
        <v>2818</v>
      </c>
    </row>
    <row r="2821" spans="1:1">
      <c r="A2821">
        <f t="shared" si="90"/>
        <v>2819</v>
      </c>
    </row>
    <row r="2822" spans="1:1">
      <c r="A2822">
        <f t="shared" si="90"/>
        <v>2820</v>
      </c>
    </row>
    <row r="2823" spans="1:1">
      <c r="A2823">
        <f t="shared" si="90"/>
        <v>2821</v>
      </c>
    </row>
    <row r="2824" spans="1:1">
      <c r="A2824">
        <f t="shared" si="90"/>
        <v>2822</v>
      </c>
    </row>
    <row r="2825" spans="1:1">
      <c r="A2825">
        <f t="shared" si="90"/>
        <v>2823</v>
      </c>
    </row>
    <row r="2826" spans="1:1">
      <c r="A2826">
        <f t="shared" si="90"/>
        <v>2824</v>
      </c>
    </row>
    <row r="2827" spans="1:1">
      <c r="A2827">
        <f t="shared" si="90"/>
        <v>2825</v>
      </c>
    </row>
    <row r="2828" spans="1:1">
      <c r="A2828">
        <f t="shared" si="90"/>
        <v>2826</v>
      </c>
    </row>
    <row r="2829" spans="1:1">
      <c r="A2829">
        <f t="shared" si="90"/>
        <v>2827</v>
      </c>
    </row>
    <row r="2830" spans="1:1">
      <c r="A2830">
        <f t="shared" si="90"/>
        <v>2828</v>
      </c>
    </row>
    <row r="2831" spans="1:1">
      <c r="A2831">
        <f t="shared" si="90"/>
        <v>2829</v>
      </c>
    </row>
    <row r="2832" spans="1:1">
      <c r="A2832">
        <f t="shared" si="90"/>
        <v>2830</v>
      </c>
    </row>
    <row r="2833" spans="1:1">
      <c r="A2833">
        <f t="shared" si="90"/>
        <v>2831</v>
      </c>
    </row>
    <row r="2834" spans="1:1">
      <c r="A2834">
        <f t="shared" si="90"/>
        <v>2832</v>
      </c>
    </row>
    <row r="2835" spans="1:1">
      <c r="A2835">
        <f t="shared" si="90"/>
        <v>2833</v>
      </c>
    </row>
    <row r="2836" spans="1:1">
      <c r="A2836">
        <f t="shared" si="90"/>
        <v>2834</v>
      </c>
    </row>
    <row r="2837" spans="1:1">
      <c r="A2837">
        <f t="shared" si="90"/>
        <v>2835</v>
      </c>
    </row>
    <row r="2838" spans="1:1">
      <c r="A2838">
        <f t="shared" si="90"/>
        <v>2836</v>
      </c>
    </row>
    <row r="2839" spans="1:1">
      <c r="A2839">
        <f t="shared" si="90"/>
        <v>2837</v>
      </c>
    </row>
    <row r="2840" spans="1:1">
      <c r="A2840">
        <f t="shared" si="90"/>
        <v>2838</v>
      </c>
    </row>
    <row r="2841" spans="1:1">
      <c r="A2841">
        <f t="shared" si="90"/>
        <v>2839</v>
      </c>
    </row>
    <row r="2842" spans="1:1">
      <c r="A2842">
        <f t="shared" si="90"/>
        <v>2840</v>
      </c>
    </row>
    <row r="2843" spans="1:1">
      <c r="A2843">
        <f t="shared" si="90"/>
        <v>2841</v>
      </c>
    </row>
    <row r="2844" spans="1:1">
      <c r="A2844">
        <f t="shared" si="90"/>
        <v>2842</v>
      </c>
    </row>
    <row r="2845" spans="1:1">
      <c r="A2845">
        <f t="shared" si="90"/>
        <v>2843</v>
      </c>
    </row>
    <row r="2846" spans="1:1">
      <c r="A2846">
        <f t="shared" si="90"/>
        <v>2844</v>
      </c>
    </row>
    <row r="2847" spans="1:1">
      <c r="A2847">
        <f t="shared" si="90"/>
        <v>2845</v>
      </c>
    </row>
    <row r="2848" spans="1:1">
      <c r="A2848">
        <f t="shared" si="90"/>
        <v>2846</v>
      </c>
    </row>
    <row r="2849" spans="1:1">
      <c r="A2849">
        <f t="shared" si="90"/>
        <v>2847</v>
      </c>
    </row>
    <row r="2850" spans="1:1">
      <c r="A2850">
        <f t="shared" si="90"/>
        <v>2848</v>
      </c>
    </row>
    <row r="2851" spans="1:1">
      <c r="A2851">
        <f t="shared" si="90"/>
        <v>2849</v>
      </c>
    </row>
    <row r="2852" spans="1:1">
      <c r="A2852">
        <f t="shared" ref="A2852:A2915" si="91">A2851+1</f>
        <v>2850</v>
      </c>
    </row>
    <row r="2853" spans="1:1">
      <c r="A2853">
        <f t="shared" si="91"/>
        <v>2851</v>
      </c>
    </row>
    <row r="2854" spans="1:1">
      <c r="A2854">
        <f t="shared" si="91"/>
        <v>2852</v>
      </c>
    </row>
    <row r="2855" spans="1:1">
      <c r="A2855">
        <f t="shared" si="91"/>
        <v>2853</v>
      </c>
    </row>
    <row r="2856" spans="1:1">
      <c r="A2856">
        <f t="shared" si="91"/>
        <v>2854</v>
      </c>
    </row>
    <row r="2857" spans="1:1">
      <c r="A2857">
        <f t="shared" si="91"/>
        <v>2855</v>
      </c>
    </row>
    <row r="2858" spans="1:1">
      <c r="A2858">
        <f t="shared" si="91"/>
        <v>2856</v>
      </c>
    </row>
    <row r="2859" spans="1:1">
      <c r="A2859">
        <f t="shared" si="91"/>
        <v>2857</v>
      </c>
    </row>
    <row r="2860" spans="1:1">
      <c r="A2860">
        <f t="shared" si="91"/>
        <v>2858</v>
      </c>
    </row>
    <row r="2861" spans="1:1">
      <c r="A2861">
        <f t="shared" si="91"/>
        <v>2859</v>
      </c>
    </row>
    <row r="2862" spans="1:1">
      <c r="A2862">
        <f t="shared" si="91"/>
        <v>2860</v>
      </c>
    </row>
    <row r="2863" spans="1:1">
      <c r="A2863">
        <f t="shared" si="91"/>
        <v>2861</v>
      </c>
    </row>
    <row r="2864" spans="1:1">
      <c r="A2864">
        <f t="shared" si="91"/>
        <v>2862</v>
      </c>
    </row>
    <row r="2865" spans="1:1">
      <c r="A2865">
        <f t="shared" si="91"/>
        <v>2863</v>
      </c>
    </row>
    <row r="2866" spans="1:1">
      <c r="A2866">
        <f t="shared" si="91"/>
        <v>2864</v>
      </c>
    </row>
    <row r="2867" spans="1:1">
      <c r="A2867">
        <f t="shared" si="91"/>
        <v>2865</v>
      </c>
    </row>
    <row r="2868" spans="1:1">
      <c r="A2868">
        <f t="shared" si="91"/>
        <v>2866</v>
      </c>
    </row>
    <row r="2869" spans="1:1">
      <c r="A2869">
        <f t="shared" si="91"/>
        <v>2867</v>
      </c>
    </row>
    <row r="2870" spans="1:1">
      <c r="A2870">
        <f t="shared" si="91"/>
        <v>2868</v>
      </c>
    </row>
    <row r="2871" spans="1:1">
      <c r="A2871">
        <f t="shared" si="91"/>
        <v>2869</v>
      </c>
    </row>
    <row r="2872" spans="1:1">
      <c r="A2872">
        <f t="shared" si="91"/>
        <v>2870</v>
      </c>
    </row>
    <row r="2873" spans="1:1">
      <c r="A2873">
        <f t="shared" si="91"/>
        <v>2871</v>
      </c>
    </row>
    <row r="2874" spans="1:1">
      <c r="A2874">
        <f t="shared" si="91"/>
        <v>2872</v>
      </c>
    </row>
    <row r="2875" spans="1:1">
      <c r="A2875">
        <f t="shared" si="91"/>
        <v>2873</v>
      </c>
    </row>
    <row r="2876" spans="1:1">
      <c r="A2876">
        <f t="shared" si="91"/>
        <v>2874</v>
      </c>
    </row>
    <row r="2877" spans="1:1">
      <c r="A2877">
        <f t="shared" si="91"/>
        <v>2875</v>
      </c>
    </row>
    <row r="2878" spans="1:1">
      <c r="A2878">
        <f t="shared" si="91"/>
        <v>2876</v>
      </c>
    </row>
    <row r="2879" spans="1:1">
      <c r="A2879">
        <f t="shared" si="91"/>
        <v>2877</v>
      </c>
    </row>
    <row r="2880" spans="1:1">
      <c r="A2880">
        <f t="shared" si="91"/>
        <v>2878</v>
      </c>
    </row>
    <row r="2881" spans="1:1">
      <c r="A2881">
        <f t="shared" si="91"/>
        <v>2879</v>
      </c>
    </row>
    <row r="2882" spans="1:1">
      <c r="A2882">
        <f t="shared" si="91"/>
        <v>2880</v>
      </c>
    </row>
    <row r="2883" spans="1:1">
      <c r="A2883">
        <f t="shared" si="91"/>
        <v>2881</v>
      </c>
    </row>
    <row r="2884" spans="1:1">
      <c r="A2884">
        <f t="shared" si="91"/>
        <v>2882</v>
      </c>
    </row>
    <row r="2885" spans="1:1">
      <c r="A2885">
        <f t="shared" si="91"/>
        <v>2883</v>
      </c>
    </row>
    <row r="2886" spans="1:1">
      <c r="A2886">
        <f t="shared" si="91"/>
        <v>2884</v>
      </c>
    </row>
    <row r="2887" spans="1:1">
      <c r="A2887">
        <f t="shared" si="91"/>
        <v>2885</v>
      </c>
    </row>
    <row r="2888" spans="1:1">
      <c r="A2888">
        <f t="shared" si="91"/>
        <v>2886</v>
      </c>
    </row>
    <row r="2889" spans="1:1">
      <c r="A2889">
        <f t="shared" si="91"/>
        <v>2887</v>
      </c>
    </row>
    <row r="2890" spans="1:1">
      <c r="A2890">
        <f t="shared" si="91"/>
        <v>2888</v>
      </c>
    </row>
    <row r="2891" spans="1:1">
      <c r="A2891">
        <f t="shared" si="91"/>
        <v>2889</v>
      </c>
    </row>
    <row r="2892" spans="1:1">
      <c r="A2892">
        <f t="shared" si="91"/>
        <v>2890</v>
      </c>
    </row>
    <row r="2893" spans="1:1">
      <c r="A2893">
        <f t="shared" si="91"/>
        <v>2891</v>
      </c>
    </row>
    <row r="2894" spans="1:1">
      <c r="A2894">
        <f t="shared" si="91"/>
        <v>2892</v>
      </c>
    </row>
    <row r="2895" spans="1:1">
      <c r="A2895">
        <f t="shared" si="91"/>
        <v>2893</v>
      </c>
    </row>
    <row r="2896" spans="1:1">
      <c r="A2896">
        <f t="shared" si="91"/>
        <v>2894</v>
      </c>
    </row>
    <row r="2897" spans="1:1">
      <c r="A2897">
        <f t="shared" si="91"/>
        <v>2895</v>
      </c>
    </row>
    <row r="2898" spans="1:1">
      <c r="A2898">
        <f t="shared" si="91"/>
        <v>2896</v>
      </c>
    </row>
    <row r="2899" spans="1:1">
      <c r="A2899">
        <f t="shared" si="91"/>
        <v>2897</v>
      </c>
    </row>
    <row r="2900" spans="1:1">
      <c r="A2900">
        <f t="shared" si="91"/>
        <v>2898</v>
      </c>
    </row>
    <row r="2901" spans="1:1">
      <c r="A2901">
        <f t="shared" si="91"/>
        <v>2899</v>
      </c>
    </row>
    <row r="2902" spans="1:1">
      <c r="A2902">
        <f t="shared" si="91"/>
        <v>2900</v>
      </c>
    </row>
    <row r="2903" spans="1:1">
      <c r="A2903">
        <f t="shared" si="91"/>
        <v>2901</v>
      </c>
    </row>
    <row r="2904" spans="1:1">
      <c r="A2904">
        <f t="shared" si="91"/>
        <v>2902</v>
      </c>
    </row>
    <row r="2905" spans="1:1">
      <c r="A2905">
        <f t="shared" si="91"/>
        <v>2903</v>
      </c>
    </row>
    <row r="2906" spans="1:1">
      <c r="A2906">
        <f t="shared" si="91"/>
        <v>2904</v>
      </c>
    </row>
    <row r="2907" spans="1:1">
      <c r="A2907">
        <f t="shared" si="91"/>
        <v>2905</v>
      </c>
    </row>
    <row r="2908" spans="1:1">
      <c r="A2908">
        <f t="shared" si="91"/>
        <v>2906</v>
      </c>
    </row>
    <row r="2909" spans="1:1">
      <c r="A2909">
        <f t="shared" si="91"/>
        <v>2907</v>
      </c>
    </row>
    <row r="2910" spans="1:1">
      <c r="A2910">
        <f t="shared" si="91"/>
        <v>2908</v>
      </c>
    </row>
    <row r="2911" spans="1:1">
      <c r="A2911">
        <f t="shared" si="91"/>
        <v>2909</v>
      </c>
    </row>
    <row r="2912" spans="1:1">
      <c r="A2912">
        <f t="shared" si="91"/>
        <v>2910</v>
      </c>
    </row>
    <row r="2913" spans="1:1">
      <c r="A2913">
        <f t="shared" si="91"/>
        <v>2911</v>
      </c>
    </row>
    <row r="2914" spans="1:1">
      <c r="A2914">
        <f t="shared" si="91"/>
        <v>2912</v>
      </c>
    </row>
    <row r="2915" spans="1:1">
      <c r="A2915">
        <f t="shared" si="91"/>
        <v>2913</v>
      </c>
    </row>
    <row r="2916" spans="1:1">
      <c r="A2916">
        <f t="shared" ref="A2916:A2979" si="92">A2915+1</f>
        <v>2914</v>
      </c>
    </row>
    <row r="2917" spans="1:1">
      <c r="A2917">
        <f t="shared" si="92"/>
        <v>2915</v>
      </c>
    </row>
    <row r="2918" spans="1:1">
      <c r="A2918">
        <f t="shared" si="92"/>
        <v>2916</v>
      </c>
    </row>
    <row r="2919" spans="1:1">
      <c r="A2919">
        <f t="shared" si="92"/>
        <v>2917</v>
      </c>
    </row>
    <row r="2920" spans="1:1">
      <c r="A2920">
        <f t="shared" si="92"/>
        <v>2918</v>
      </c>
    </row>
    <row r="2921" spans="1:1">
      <c r="A2921">
        <f t="shared" si="92"/>
        <v>2919</v>
      </c>
    </row>
    <row r="2922" spans="1:1">
      <c r="A2922">
        <f t="shared" si="92"/>
        <v>2920</v>
      </c>
    </row>
    <row r="2923" spans="1:1">
      <c r="A2923">
        <f t="shared" si="92"/>
        <v>2921</v>
      </c>
    </row>
    <row r="2924" spans="1:1">
      <c r="A2924">
        <f t="shared" si="92"/>
        <v>2922</v>
      </c>
    </row>
    <row r="2925" spans="1:1">
      <c r="A2925">
        <f t="shared" si="92"/>
        <v>2923</v>
      </c>
    </row>
    <row r="2926" spans="1:1">
      <c r="A2926">
        <f t="shared" si="92"/>
        <v>2924</v>
      </c>
    </row>
    <row r="2927" spans="1:1">
      <c r="A2927">
        <f t="shared" si="92"/>
        <v>2925</v>
      </c>
    </row>
    <row r="2928" spans="1:1">
      <c r="A2928">
        <f t="shared" si="92"/>
        <v>2926</v>
      </c>
    </row>
    <row r="2929" spans="1:1">
      <c r="A2929">
        <f t="shared" si="92"/>
        <v>2927</v>
      </c>
    </row>
    <row r="2930" spans="1:1">
      <c r="A2930">
        <f t="shared" si="92"/>
        <v>2928</v>
      </c>
    </row>
    <row r="2931" spans="1:1">
      <c r="A2931">
        <f t="shared" si="92"/>
        <v>2929</v>
      </c>
    </row>
    <row r="2932" spans="1:1">
      <c r="A2932">
        <f t="shared" si="92"/>
        <v>2930</v>
      </c>
    </row>
    <row r="2933" spans="1:1">
      <c r="A2933">
        <f t="shared" si="92"/>
        <v>2931</v>
      </c>
    </row>
    <row r="2934" spans="1:1">
      <c r="A2934">
        <f t="shared" si="92"/>
        <v>2932</v>
      </c>
    </row>
    <row r="2935" spans="1:1">
      <c r="A2935">
        <f t="shared" si="92"/>
        <v>2933</v>
      </c>
    </row>
    <row r="2936" spans="1:1">
      <c r="A2936">
        <f t="shared" si="92"/>
        <v>2934</v>
      </c>
    </row>
    <row r="2937" spans="1:1">
      <c r="A2937">
        <f t="shared" si="92"/>
        <v>2935</v>
      </c>
    </row>
    <row r="2938" spans="1:1">
      <c r="A2938">
        <f t="shared" si="92"/>
        <v>2936</v>
      </c>
    </row>
    <row r="2939" spans="1:1">
      <c r="A2939">
        <f t="shared" si="92"/>
        <v>2937</v>
      </c>
    </row>
    <row r="2940" spans="1:1">
      <c r="A2940">
        <f t="shared" si="92"/>
        <v>2938</v>
      </c>
    </row>
    <row r="2941" spans="1:1">
      <c r="A2941">
        <f t="shared" si="92"/>
        <v>2939</v>
      </c>
    </row>
    <row r="2942" spans="1:1">
      <c r="A2942">
        <f t="shared" si="92"/>
        <v>2940</v>
      </c>
    </row>
    <row r="2943" spans="1:1">
      <c r="A2943">
        <f t="shared" si="92"/>
        <v>2941</v>
      </c>
    </row>
    <row r="2944" spans="1:1">
      <c r="A2944">
        <f t="shared" si="92"/>
        <v>2942</v>
      </c>
    </row>
    <row r="2945" spans="1:1">
      <c r="A2945">
        <f t="shared" si="92"/>
        <v>2943</v>
      </c>
    </row>
    <row r="2946" spans="1:1">
      <c r="A2946">
        <f t="shared" si="92"/>
        <v>2944</v>
      </c>
    </row>
    <row r="2947" spans="1:1">
      <c r="A2947">
        <f t="shared" si="92"/>
        <v>2945</v>
      </c>
    </row>
    <row r="2948" spans="1:1">
      <c r="A2948">
        <f t="shared" si="92"/>
        <v>2946</v>
      </c>
    </row>
    <row r="2949" spans="1:1">
      <c r="A2949">
        <f t="shared" si="92"/>
        <v>2947</v>
      </c>
    </row>
    <row r="2950" spans="1:1">
      <c r="A2950">
        <f t="shared" si="92"/>
        <v>2948</v>
      </c>
    </row>
    <row r="2951" spans="1:1">
      <c r="A2951">
        <f t="shared" si="92"/>
        <v>2949</v>
      </c>
    </row>
    <row r="2952" spans="1:1">
      <c r="A2952">
        <f t="shared" si="92"/>
        <v>2950</v>
      </c>
    </row>
    <row r="2953" spans="1:1">
      <c r="A2953">
        <f t="shared" si="92"/>
        <v>2951</v>
      </c>
    </row>
    <row r="2954" spans="1:1">
      <c r="A2954">
        <f t="shared" si="92"/>
        <v>2952</v>
      </c>
    </row>
    <row r="2955" spans="1:1">
      <c r="A2955">
        <f t="shared" si="92"/>
        <v>2953</v>
      </c>
    </row>
    <row r="2956" spans="1:1">
      <c r="A2956">
        <f t="shared" si="92"/>
        <v>2954</v>
      </c>
    </row>
    <row r="2957" spans="1:1">
      <c r="A2957">
        <f t="shared" si="92"/>
        <v>2955</v>
      </c>
    </row>
    <row r="2958" spans="1:1">
      <c r="A2958">
        <f t="shared" si="92"/>
        <v>2956</v>
      </c>
    </row>
    <row r="2959" spans="1:1">
      <c r="A2959">
        <f t="shared" si="92"/>
        <v>2957</v>
      </c>
    </row>
    <row r="2960" spans="1:1">
      <c r="A2960">
        <f t="shared" si="92"/>
        <v>2958</v>
      </c>
    </row>
    <row r="2961" spans="1:1">
      <c r="A2961">
        <f t="shared" si="92"/>
        <v>2959</v>
      </c>
    </row>
    <row r="2962" spans="1:1">
      <c r="A2962">
        <f t="shared" si="92"/>
        <v>2960</v>
      </c>
    </row>
    <row r="2963" spans="1:1">
      <c r="A2963">
        <f t="shared" si="92"/>
        <v>2961</v>
      </c>
    </row>
    <row r="2964" spans="1:1">
      <c r="A2964">
        <f t="shared" si="92"/>
        <v>2962</v>
      </c>
    </row>
    <row r="2965" spans="1:1">
      <c r="A2965">
        <f t="shared" si="92"/>
        <v>2963</v>
      </c>
    </row>
    <row r="2966" spans="1:1">
      <c r="A2966">
        <f t="shared" si="92"/>
        <v>2964</v>
      </c>
    </row>
    <row r="2967" spans="1:1">
      <c r="A2967">
        <f t="shared" si="92"/>
        <v>2965</v>
      </c>
    </row>
    <row r="2968" spans="1:1">
      <c r="A2968">
        <f t="shared" si="92"/>
        <v>2966</v>
      </c>
    </row>
    <row r="2969" spans="1:1">
      <c r="A2969">
        <f t="shared" si="92"/>
        <v>2967</v>
      </c>
    </row>
    <row r="2970" spans="1:1">
      <c r="A2970">
        <f t="shared" si="92"/>
        <v>2968</v>
      </c>
    </row>
    <row r="2971" spans="1:1">
      <c r="A2971">
        <f t="shared" si="92"/>
        <v>2969</v>
      </c>
    </row>
    <row r="2972" spans="1:1">
      <c r="A2972">
        <f t="shared" si="92"/>
        <v>2970</v>
      </c>
    </row>
    <row r="2973" spans="1:1">
      <c r="A2973">
        <f t="shared" si="92"/>
        <v>2971</v>
      </c>
    </row>
    <row r="2974" spans="1:1">
      <c r="A2974">
        <f t="shared" si="92"/>
        <v>2972</v>
      </c>
    </row>
    <row r="2975" spans="1:1">
      <c r="A2975">
        <f t="shared" si="92"/>
        <v>2973</v>
      </c>
    </row>
    <row r="2976" spans="1:1">
      <c r="A2976">
        <f t="shared" si="92"/>
        <v>2974</v>
      </c>
    </row>
    <row r="2977" spans="1:1">
      <c r="A2977">
        <f t="shared" si="92"/>
        <v>2975</v>
      </c>
    </row>
    <row r="2978" spans="1:1">
      <c r="A2978">
        <f t="shared" si="92"/>
        <v>2976</v>
      </c>
    </row>
    <row r="2979" spans="1:1">
      <c r="A2979">
        <f t="shared" si="92"/>
        <v>2977</v>
      </c>
    </row>
    <row r="2980" spans="1:1">
      <c r="A2980">
        <f t="shared" ref="A2980:A3043" si="93">A2979+1</f>
        <v>2978</v>
      </c>
    </row>
    <row r="2981" spans="1:1">
      <c r="A2981">
        <f t="shared" si="93"/>
        <v>2979</v>
      </c>
    </row>
    <row r="2982" spans="1:1">
      <c r="A2982">
        <f t="shared" si="93"/>
        <v>2980</v>
      </c>
    </row>
    <row r="2983" spans="1:1">
      <c r="A2983">
        <f t="shared" si="93"/>
        <v>2981</v>
      </c>
    </row>
    <row r="2984" spans="1:1">
      <c r="A2984">
        <f t="shared" si="93"/>
        <v>2982</v>
      </c>
    </row>
    <row r="2985" spans="1:1">
      <c r="A2985">
        <f t="shared" si="93"/>
        <v>2983</v>
      </c>
    </row>
    <row r="2986" spans="1:1">
      <c r="A2986">
        <f t="shared" si="93"/>
        <v>2984</v>
      </c>
    </row>
    <row r="2987" spans="1:1">
      <c r="A2987">
        <f t="shared" si="93"/>
        <v>2985</v>
      </c>
    </row>
    <row r="2988" spans="1:1">
      <c r="A2988">
        <f t="shared" si="93"/>
        <v>2986</v>
      </c>
    </row>
    <row r="2989" spans="1:1">
      <c r="A2989">
        <f t="shared" si="93"/>
        <v>2987</v>
      </c>
    </row>
    <row r="2990" spans="1:1">
      <c r="A2990">
        <f t="shared" si="93"/>
        <v>2988</v>
      </c>
    </row>
    <row r="2991" spans="1:1">
      <c r="A2991">
        <f t="shared" si="93"/>
        <v>2989</v>
      </c>
    </row>
    <row r="2992" spans="1:1">
      <c r="A2992">
        <f t="shared" si="93"/>
        <v>2990</v>
      </c>
    </row>
    <row r="2993" spans="1:1">
      <c r="A2993">
        <f t="shared" si="93"/>
        <v>2991</v>
      </c>
    </row>
    <row r="2994" spans="1:1">
      <c r="A2994">
        <f t="shared" si="93"/>
        <v>2992</v>
      </c>
    </row>
    <row r="2995" spans="1:1">
      <c r="A2995">
        <f t="shared" si="93"/>
        <v>2993</v>
      </c>
    </row>
    <row r="2996" spans="1:1">
      <c r="A2996">
        <f t="shared" si="93"/>
        <v>2994</v>
      </c>
    </row>
    <row r="2997" spans="1:1">
      <c r="A2997">
        <f t="shared" si="93"/>
        <v>2995</v>
      </c>
    </row>
    <row r="2998" spans="1:1">
      <c r="A2998">
        <f t="shared" si="93"/>
        <v>2996</v>
      </c>
    </row>
    <row r="2999" spans="1:1">
      <c r="A2999">
        <f t="shared" si="93"/>
        <v>2997</v>
      </c>
    </row>
    <row r="3000" spans="1:1">
      <c r="A3000">
        <f t="shared" si="93"/>
        <v>2998</v>
      </c>
    </row>
    <row r="3001" spans="1:1">
      <c r="A3001">
        <f t="shared" si="93"/>
        <v>2999</v>
      </c>
    </row>
    <row r="3002" spans="1:1">
      <c r="A3002">
        <f t="shared" si="93"/>
        <v>3000</v>
      </c>
    </row>
    <row r="3003" spans="1:1">
      <c r="A3003">
        <f t="shared" si="93"/>
        <v>3001</v>
      </c>
    </row>
    <row r="3004" spans="1:1">
      <c r="A3004">
        <f t="shared" si="93"/>
        <v>3002</v>
      </c>
    </row>
    <row r="3005" spans="1:1">
      <c r="A3005">
        <f t="shared" si="93"/>
        <v>3003</v>
      </c>
    </row>
    <row r="3006" spans="1:1">
      <c r="A3006">
        <f t="shared" si="93"/>
        <v>3004</v>
      </c>
    </row>
    <row r="3007" spans="1:1">
      <c r="A3007">
        <f t="shared" si="93"/>
        <v>3005</v>
      </c>
    </row>
    <row r="3008" spans="1:1">
      <c r="A3008">
        <f t="shared" si="93"/>
        <v>3006</v>
      </c>
    </row>
    <row r="3009" spans="1:1">
      <c r="A3009">
        <f t="shared" si="93"/>
        <v>3007</v>
      </c>
    </row>
    <row r="3010" spans="1:1">
      <c r="A3010">
        <f t="shared" si="93"/>
        <v>3008</v>
      </c>
    </row>
    <row r="3011" spans="1:1">
      <c r="A3011">
        <f t="shared" si="93"/>
        <v>3009</v>
      </c>
    </row>
    <row r="3012" spans="1:1">
      <c r="A3012">
        <f t="shared" si="93"/>
        <v>3010</v>
      </c>
    </row>
    <row r="3013" spans="1:1">
      <c r="A3013">
        <f t="shared" si="93"/>
        <v>3011</v>
      </c>
    </row>
    <row r="3014" spans="1:1">
      <c r="A3014">
        <f t="shared" si="93"/>
        <v>3012</v>
      </c>
    </row>
    <row r="3015" spans="1:1">
      <c r="A3015">
        <f t="shared" si="93"/>
        <v>3013</v>
      </c>
    </row>
    <row r="3016" spans="1:1">
      <c r="A3016">
        <f t="shared" si="93"/>
        <v>3014</v>
      </c>
    </row>
    <row r="3017" spans="1:1">
      <c r="A3017">
        <f t="shared" si="93"/>
        <v>3015</v>
      </c>
    </row>
    <row r="3018" spans="1:1">
      <c r="A3018">
        <f t="shared" si="93"/>
        <v>3016</v>
      </c>
    </row>
    <row r="3019" spans="1:1">
      <c r="A3019">
        <f t="shared" si="93"/>
        <v>3017</v>
      </c>
    </row>
    <row r="3020" spans="1:1">
      <c r="A3020">
        <f t="shared" si="93"/>
        <v>3018</v>
      </c>
    </row>
    <row r="3021" spans="1:1">
      <c r="A3021">
        <f t="shared" si="93"/>
        <v>3019</v>
      </c>
    </row>
    <row r="3022" spans="1:1">
      <c r="A3022">
        <f t="shared" si="93"/>
        <v>3020</v>
      </c>
    </row>
    <row r="3023" spans="1:1">
      <c r="A3023">
        <f t="shared" si="93"/>
        <v>3021</v>
      </c>
    </row>
    <row r="3024" spans="1:1">
      <c r="A3024">
        <f t="shared" si="93"/>
        <v>3022</v>
      </c>
    </row>
    <row r="3025" spans="1:1">
      <c r="A3025">
        <f t="shared" si="93"/>
        <v>3023</v>
      </c>
    </row>
    <row r="3026" spans="1:1">
      <c r="A3026">
        <f t="shared" si="93"/>
        <v>3024</v>
      </c>
    </row>
    <row r="3027" spans="1:1">
      <c r="A3027">
        <f t="shared" si="93"/>
        <v>3025</v>
      </c>
    </row>
    <row r="3028" spans="1:1">
      <c r="A3028">
        <f t="shared" si="93"/>
        <v>3026</v>
      </c>
    </row>
    <row r="3029" spans="1:1">
      <c r="A3029">
        <f t="shared" si="93"/>
        <v>3027</v>
      </c>
    </row>
    <row r="3030" spans="1:1">
      <c r="A3030">
        <f t="shared" si="93"/>
        <v>3028</v>
      </c>
    </row>
    <row r="3031" spans="1:1">
      <c r="A3031">
        <f t="shared" si="93"/>
        <v>3029</v>
      </c>
    </row>
    <row r="3032" spans="1:1">
      <c r="A3032">
        <f t="shared" si="93"/>
        <v>3030</v>
      </c>
    </row>
    <row r="3033" spans="1:1">
      <c r="A3033">
        <f t="shared" si="93"/>
        <v>3031</v>
      </c>
    </row>
    <row r="3034" spans="1:1">
      <c r="A3034">
        <f t="shared" si="93"/>
        <v>3032</v>
      </c>
    </row>
    <row r="3035" spans="1:1">
      <c r="A3035">
        <f t="shared" si="93"/>
        <v>3033</v>
      </c>
    </row>
    <row r="3036" spans="1:1">
      <c r="A3036">
        <f t="shared" si="93"/>
        <v>3034</v>
      </c>
    </row>
    <row r="3037" spans="1:1">
      <c r="A3037">
        <f t="shared" si="93"/>
        <v>3035</v>
      </c>
    </row>
    <row r="3038" spans="1:1">
      <c r="A3038">
        <f t="shared" si="93"/>
        <v>3036</v>
      </c>
    </row>
    <row r="3039" spans="1:1">
      <c r="A3039">
        <f t="shared" si="93"/>
        <v>3037</v>
      </c>
    </row>
    <row r="3040" spans="1:1">
      <c r="A3040">
        <f t="shared" si="93"/>
        <v>3038</v>
      </c>
    </row>
    <row r="3041" spans="1:1">
      <c r="A3041">
        <f t="shared" si="93"/>
        <v>3039</v>
      </c>
    </row>
    <row r="3042" spans="1:1">
      <c r="A3042">
        <f t="shared" si="93"/>
        <v>3040</v>
      </c>
    </row>
    <row r="3043" spans="1:1">
      <c r="A3043">
        <f t="shared" si="93"/>
        <v>3041</v>
      </c>
    </row>
    <row r="3044" spans="1:1">
      <c r="A3044">
        <f t="shared" ref="A3044:A3107" si="94">A3043+1</f>
        <v>3042</v>
      </c>
    </row>
    <row r="3045" spans="1:1">
      <c r="A3045">
        <f t="shared" si="94"/>
        <v>3043</v>
      </c>
    </row>
    <row r="3046" spans="1:1">
      <c r="A3046">
        <f t="shared" si="94"/>
        <v>3044</v>
      </c>
    </row>
    <row r="3047" spans="1:1">
      <c r="A3047">
        <f t="shared" si="94"/>
        <v>3045</v>
      </c>
    </row>
    <row r="3048" spans="1:1">
      <c r="A3048">
        <f t="shared" si="94"/>
        <v>3046</v>
      </c>
    </row>
    <row r="3049" spans="1:1">
      <c r="A3049">
        <f t="shared" si="94"/>
        <v>3047</v>
      </c>
    </row>
    <row r="3050" spans="1:1">
      <c r="A3050">
        <f t="shared" si="94"/>
        <v>3048</v>
      </c>
    </row>
    <row r="3051" spans="1:1">
      <c r="A3051">
        <f t="shared" si="94"/>
        <v>3049</v>
      </c>
    </row>
    <row r="3052" spans="1:1">
      <c r="A3052">
        <f t="shared" si="94"/>
        <v>3050</v>
      </c>
    </row>
    <row r="3053" spans="1:1">
      <c r="A3053">
        <f t="shared" si="94"/>
        <v>3051</v>
      </c>
    </row>
    <row r="3054" spans="1:1">
      <c r="A3054">
        <f t="shared" si="94"/>
        <v>3052</v>
      </c>
    </row>
    <row r="3055" spans="1:1">
      <c r="A3055">
        <f t="shared" si="94"/>
        <v>3053</v>
      </c>
    </row>
    <row r="3056" spans="1:1">
      <c r="A3056">
        <f t="shared" si="94"/>
        <v>3054</v>
      </c>
    </row>
    <row r="3057" spans="1:1">
      <c r="A3057">
        <f t="shared" si="94"/>
        <v>3055</v>
      </c>
    </row>
    <row r="3058" spans="1:1">
      <c r="A3058">
        <f t="shared" si="94"/>
        <v>3056</v>
      </c>
    </row>
    <row r="3059" spans="1:1">
      <c r="A3059">
        <f t="shared" si="94"/>
        <v>3057</v>
      </c>
    </row>
    <row r="3060" spans="1:1">
      <c r="A3060">
        <f t="shared" si="94"/>
        <v>3058</v>
      </c>
    </row>
    <row r="3061" spans="1:1">
      <c r="A3061">
        <f t="shared" si="94"/>
        <v>3059</v>
      </c>
    </row>
    <row r="3062" spans="1:1">
      <c r="A3062">
        <f t="shared" si="94"/>
        <v>3060</v>
      </c>
    </row>
    <row r="3063" spans="1:1">
      <c r="A3063">
        <f t="shared" si="94"/>
        <v>3061</v>
      </c>
    </row>
    <row r="3064" spans="1:1">
      <c r="A3064">
        <f t="shared" si="94"/>
        <v>3062</v>
      </c>
    </row>
    <row r="3065" spans="1:1">
      <c r="A3065">
        <f t="shared" si="94"/>
        <v>3063</v>
      </c>
    </row>
    <row r="3066" spans="1:1">
      <c r="A3066">
        <f t="shared" si="94"/>
        <v>3064</v>
      </c>
    </row>
    <row r="3067" spans="1:1">
      <c r="A3067">
        <f t="shared" si="94"/>
        <v>3065</v>
      </c>
    </row>
    <row r="3068" spans="1:1">
      <c r="A3068">
        <f t="shared" si="94"/>
        <v>3066</v>
      </c>
    </row>
    <row r="3069" spans="1:1">
      <c r="A3069">
        <f t="shared" si="94"/>
        <v>3067</v>
      </c>
    </row>
    <row r="3070" spans="1:1">
      <c r="A3070">
        <f t="shared" si="94"/>
        <v>3068</v>
      </c>
    </row>
    <row r="3071" spans="1:1">
      <c r="A3071">
        <f t="shared" si="94"/>
        <v>3069</v>
      </c>
    </row>
    <row r="3072" spans="1:1">
      <c r="A3072">
        <f t="shared" si="94"/>
        <v>3070</v>
      </c>
    </row>
    <row r="3073" spans="1:1">
      <c r="A3073">
        <f t="shared" si="94"/>
        <v>3071</v>
      </c>
    </row>
    <row r="3074" spans="1:1">
      <c r="A3074">
        <f t="shared" si="94"/>
        <v>3072</v>
      </c>
    </row>
    <row r="3075" spans="1:1">
      <c r="A3075">
        <f t="shared" si="94"/>
        <v>3073</v>
      </c>
    </row>
    <row r="3076" spans="1:1">
      <c r="A3076">
        <f t="shared" si="94"/>
        <v>3074</v>
      </c>
    </row>
    <row r="3077" spans="1:1">
      <c r="A3077">
        <f t="shared" si="94"/>
        <v>3075</v>
      </c>
    </row>
    <row r="3078" spans="1:1">
      <c r="A3078">
        <f t="shared" si="94"/>
        <v>3076</v>
      </c>
    </row>
    <row r="3079" spans="1:1">
      <c r="A3079">
        <f t="shared" si="94"/>
        <v>3077</v>
      </c>
    </row>
    <row r="3080" spans="1:1">
      <c r="A3080">
        <f t="shared" si="94"/>
        <v>3078</v>
      </c>
    </row>
    <row r="3081" spans="1:1">
      <c r="A3081">
        <f t="shared" si="94"/>
        <v>3079</v>
      </c>
    </row>
    <row r="3082" spans="1:1">
      <c r="A3082">
        <f t="shared" si="94"/>
        <v>3080</v>
      </c>
    </row>
    <row r="3083" spans="1:1">
      <c r="A3083">
        <f t="shared" si="94"/>
        <v>3081</v>
      </c>
    </row>
    <row r="3084" spans="1:1">
      <c r="A3084">
        <f t="shared" si="94"/>
        <v>3082</v>
      </c>
    </row>
    <row r="3085" spans="1:1">
      <c r="A3085">
        <f t="shared" si="94"/>
        <v>3083</v>
      </c>
    </row>
    <row r="3086" spans="1:1">
      <c r="A3086">
        <f t="shared" si="94"/>
        <v>3084</v>
      </c>
    </row>
    <row r="3087" spans="1:1">
      <c r="A3087">
        <f t="shared" si="94"/>
        <v>3085</v>
      </c>
    </row>
    <row r="3088" spans="1:1">
      <c r="A3088">
        <f t="shared" si="94"/>
        <v>3086</v>
      </c>
    </row>
    <row r="3089" spans="1:1">
      <c r="A3089">
        <f t="shared" si="94"/>
        <v>3087</v>
      </c>
    </row>
    <row r="3090" spans="1:1">
      <c r="A3090">
        <f t="shared" si="94"/>
        <v>3088</v>
      </c>
    </row>
    <row r="3091" spans="1:1">
      <c r="A3091">
        <f t="shared" si="94"/>
        <v>3089</v>
      </c>
    </row>
    <row r="3092" spans="1:1">
      <c r="A3092">
        <f t="shared" si="94"/>
        <v>3090</v>
      </c>
    </row>
    <row r="3093" spans="1:1">
      <c r="A3093">
        <f t="shared" si="94"/>
        <v>3091</v>
      </c>
    </row>
    <row r="3094" spans="1:1">
      <c r="A3094">
        <f t="shared" si="94"/>
        <v>3092</v>
      </c>
    </row>
    <row r="3095" spans="1:1">
      <c r="A3095">
        <f t="shared" si="94"/>
        <v>3093</v>
      </c>
    </row>
    <row r="3096" spans="1:1">
      <c r="A3096">
        <f t="shared" si="94"/>
        <v>3094</v>
      </c>
    </row>
    <row r="3097" spans="1:1">
      <c r="A3097">
        <f t="shared" si="94"/>
        <v>3095</v>
      </c>
    </row>
    <row r="3098" spans="1:1">
      <c r="A3098">
        <f t="shared" si="94"/>
        <v>3096</v>
      </c>
    </row>
    <row r="3099" spans="1:1">
      <c r="A3099">
        <f t="shared" si="94"/>
        <v>3097</v>
      </c>
    </row>
    <row r="3100" spans="1:1">
      <c r="A3100">
        <f t="shared" si="94"/>
        <v>3098</v>
      </c>
    </row>
    <row r="3101" spans="1:1">
      <c r="A3101">
        <f t="shared" si="94"/>
        <v>3099</v>
      </c>
    </row>
    <row r="3102" spans="1:1">
      <c r="A3102">
        <f t="shared" si="94"/>
        <v>3100</v>
      </c>
    </row>
    <row r="3103" spans="1:1">
      <c r="A3103">
        <f t="shared" si="94"/>
        <v>3101</v>
      </c>
    </row>
    <row r="3104" spans="1:1">
      <c r="A3104">
        <f t="shared" si="94"/>
        <v>3102</v>
      </c>
    </row>
    <row r="3105" spans="1:1">
      <c r="A3105">
        <f t="shared" si="94"/>
        <v>3103</v>
      </c>
    </row>
    <row r="3106" spans="1:1">
      <c r="A3106">
        <f t="shared" si="94"/>
        <v>3104</v>
      </c>
    </row>
    <row r="3107" spans="1:1">
      <c r="A3107">
        <f t="shared" si="94"/>
        <v>3105</v>
      </c>
    </row>
    <row r="3108" spans="1:1">
      <c r="A3108">
        <f t="shared" ref="A3108:A3171" si="95">A3107+1</f>
        <v>3106</v>
      </c>
    </row>
    <row r="3109" spans="1:1">
      <c r="A3109">
        <f t="shared" si="95"/>
        <v>3107</v>
      </c>
    </row>
    <row r="3110" spans="1:1">
      <c r="A3110">
        <f t="shared" si="95"/>
        <v>3108</v>
      </c>
    </row>
    <row r="3111" spans="1:1">
      <c r="A3111">
        <f t="shared" si="95"/>
        <v>3109</v>
      </c>
    </row>
    <row r="3112" spans="1:1">
      <c r="A3112">
        <f t="shared" si="95"/>
        <v>3110</v>
      </c>
    </row>
    <row r="3113" spans="1:1">
      <c r="A3113">
        <f t="shared" si="95"/>
        <v>3111</v>
      </c>
    </row>
    <row r="3114" spans="1:1">
      <c r="A3114">
        <f t="shared" si="95"/>
        <v>3112</v>
      </c>
    </row>
    <row r="3115" spans="1:1">
      <c r="A3115">
        <f t="shared" si="95"/>
        <v>3113</v>
      </c>
    </row>
    <row r="3116" spans="1:1">
      <c r="A3116">
        <f t="shared" si="95"/>
        <v>3114</v>
      </c>
    </row>
    <row r="3117" spans="1:1">
      <c r="A3117">
        <f t="shared" si="95"/>
        <v>3115</v>
      </c>
    </row>
    <row r="3118" spans="1:1">
      <c r="A3118">
        <f t="shared" si="95"/>
        <v>3116</v>
      </c>
    </row>
    <row r="3119" spans="1:1">
      <c r="A3119">
        <f t="shared" si="95"/>
        <v>3117</v>
      </c>
    </row>
    <row r="3120" spans="1:1">
      <c r="A3120">
        <f t="shared" si="95"/>
        <v>3118</v>
      </c>
    </row>
    <row r="3121" spans="1:1">
      <c r="A3121">
        <f t="shared" si="95"/>
        <v>3119</v>
      </c>
    </row>
    <row r="3122" spans="1:1">
      <c r="A3122">
        <f t="shared" si="95"/>
        <v>3120</v>
      </c>
    </row>
    <row r="3123" spans="1:1">
      <c r="A3123">
        <f t="shared" si="95"/>
        <v>3121</v>
      </c>
    </row>
    <row r="3124" spans="1:1">
      <c r="A3124">
        <f t="shared" si="95"/>
        <v>3122</v>
      </c>
    </row>
    <row r="3125" spans="1:1">
      <c r="A3125">
        <f t="shared" si="95"/>
        <v>3123</v>
      </c>
    </row>
    <row r="3126" spans="1:1">
      <c r="A3126">
        <f t="shared" si="95"/>
        <v>3124</v>
      </c>
    </row>
    <row r="3127" spans="1:1">
      <c r="A3127">
        <f t="shared" si="95"/>
        <v>3125</v>
      </c>
    </row>
    <row r="3128" spans="1:1">
      <c r="A3128">
        <f t="shared" si="95"/>
        <v>3126</v>
      </c>
    </row>
    <row r="3129" spans="1:1">
      <c r="A3129">
        <f t="shared" si="95"/>
        <v>3127</v>
      </c>
    </row>
    <row r="3130" spans="1:1">
      <c r="A3130">
        <f t="shared" si="95"/>
        <v>3128</v>
      </c>
    </row>
    <row r="3131" spans="1:1">
      <c r="A3131">
        <f t="shared" si="95"/>
        <v>3129</v>
      </c>
    </row>
    <row r="3132" spans="1:1">
      <c r="A3132">
        <f t="shared" si="95"/>
        <v>3130</v>
      </c>
    </row>
    <row r="3133" spans="1:1">
      <c r="A3133">
        <f t="shared" si="95"/>
        <v>3131</v>
      </c>
    </row>
    <row r="3134" spans="1:1">
      <c r="A3134">
        <f t="shared" si="95"/>
        <v>3132</v>
      </c>
    </row>
    <row r="3135" spans="1:1">
      <c r="A3135">
        <f t="shared" si="95"/>
        <v>3133</v>
      </c>
    </row>
    <row r="3136" spans="1:1">
      <c r="A3136">
        <f t="shared" si="95"/>
        <v>3134</v>
      </c>
    </row>
    <row r="3137" spans="1:1">
      <c r="A3137">
        <f t="shared" si="95"/>
        <v>3135</v>
      </c>
    </row>
    <row r="3138" spans="1:1">
      <c r="A3138">
        <f t="shared" si="95"/>
        <v>3136</v>
      </c>
    </row>
    <row r="3139" spans="1:1">
      <c r="A3139">
        <f t="shared" si="95"/>
        <v>3137</v>
      </c>
    </row>
    <row r="3140" spans="1:1">
      <c r="A3140">
        <f t="shared" si="95"/>
        <v>3138</v>
      </c>
    </row>
    <row r="3141" spans="1:1">
      <c r="A3141">
        <f t="shared" si="95"/>
        <v>3139</v>
      </c>
    </row>
    <row r="3142" spans="1:1">
      <c r="A3142">
        <f t="shared" si="95"/>
        <v>3140</v>
      </c>
    </row>
    <row r="3143" spans="1:1">
      <c r="A3143">
        <f t="shared" si="95"/>
        <v>3141</v>
      </c>
    </row>
    <row r="3144" spans="1:1">
      <c r="A3144">
        <f t="shared" si="95"/>
        <v>3142</v>
      </c>
    </row>
    <row r="3145" spans="1:1">
      <c r="A3145">
        <f t="shared" si="95"/>
        <v>3143</v>
      </c>
    </row>
    <row r="3146" spans="1:1">
      <c r="A3146">
        <f t="shared" si="95"/>
        <v>3144</v>
      </c>
    </row>
    <row r="3147" spans="1:1">
      <c r="A3147">
        <f t="shared" si="95"/>
        <v>3145</v>
      </c>
    </row>
    <row r="3148" spans="1:1">
      <c r="A3148">
        <f t="shared" si="95"/>
        <v>3146</v>
      </c>
    </row>
    <row r="3149" spans="1:1">
      <c r="A3149">
        <f t="shared" si="95"/>
        <v>3147</v>
      </c>
    </row>
    <row r="3150" spans="1:1">
      <c r="A3150">
        <f t="shared" si="95"/>
        <v>3148</v>
      </c>
    </row>
    <row r="3151" spans="1:1">
      <c r="A3151">
        <f t="shared" si="95"/>
        <v>3149</v>
      </c>
    </row>
    <row r="3152" spans="1:1">
      <c r="A3152">
        <f t="shared" si="95"/>
        <v>3150</v>
      </c>
    </row>
    <row r="3153" spans="1:1">
      <c r="A3153">
        <f t="shared" si="95"/>
        <v>3151</v>
      </c>
    </row>
    <row r="3154" spans="1:1">
      <c r="A3154">
        <f t="shared" si="95"/>
        <v>3152</v>
      </c>
    </row>
    <row r="3155" spans="1:1">
      <c r="A3155">
        <f t="shared" si="95"/>
        <v>3153</v>
      </c>
    </row>
    <row r="3156" spans="1:1">
      <c r="A3156">
        <f t="shared" si="95"/>
        <v>3154</v>
      </c>
    </row>
    <row r="3157" spans="1:1">
      <c r="A3157">
        <f t="shared" si="95"/>
        <v>3155</v>
      </c>
    </row>
    <row r="3158" spans="1:1">
      <c r="A3158">
        <f t="shared" si="95"/>
        <v>3156</v>
      </c>
    </row>
    <row r="3159" spans="1:1">
      <c r="A3159">
        <f t="shared" si="95"/>
        <v>3157</v>
      </c>
    </row>
    <row r="3160" spans="1:1">
      <c r="A3160">
        <f t="shared" si="95"/>
        <v>3158</v>
      </c>
    </row>
    <row r="3161" spans="1:1">
      <c r="A3161">
        <f t="shared" si="95"/>
        <v>3159</v>
      </c>
    </row>
    <row r="3162" spans="1:1">
      <c r="A3162">
        <f t="shared" si="95"/>
        <v>3160</v>
      </c>
    </row>
    <row r="3163" spans="1:1">
      <c r="A3163">
        <f t="shared" si="95"/>
        <v>3161</v>
      </c>
    </row>
    <row r="3164" spans="1:1">
      <c r="A3164">
        <f t="shared" si="95"/>
        <v>3162</v>
      </c>
    </row>
    <row r="3165" spans="1:1">
      <c r="A3165">
        <f t="shared" si="95"/>
        <v>3163</v>
      </c>
    </row>
    <row r="3166" spans="1:1">
      <c r="A3166">
        <f t="shared" si="95"/>
        <v>3164</v>
      </c>
    </row>
    <row r="3167" spans="1:1">
      <c r="A3167">
        <f t="shared" si="95"/>
        <v>3165</v>
      </c>
    </row>
    <row r="3168" spans="1:1">
      <c r="A3168">
        <f t="shared" si="95"/>
        <v>3166</v>
      </c>
    </row>
    <row r="3169" spans="1:1">
      <c r="A3169">
        <f t="shared" si="95"/>
        <v>3167</v>
      </c>
    </row>
    <row r="3170" spans="1:1">
      <c r="A3170">
        <f t="shared" si="95"/>
        <v>3168</v>
      </c>
    </row>
    <row r="3171" spans="1:1">
      <c r="A3171">
        <f t="shared" si="95"/>
        <v>3169</v>
      </c>
    </row>
    <row r="3172" spans="1:1">
      <c r="A3172">
        <f t="shared" ref="A3172:A3235" si="96">A3171+1</f>
        <v>3170</v>
      </c>
    </row>
    <row r="3173" spans="1:1">
      <c r="A3173">
        <f t="shared" si="96"/>
        <v>3171</v>
      </c>
    </row>
    <row r="3174" spans="1:1">
      <c r="A3174">
        <f t="shared" si="96"/>
        <v>3172</v>
      </c>
    </row>
    <row r="3175" spans="1:1">
      <c r="A3175">
        <f t="shared" si="96"/>
        <v>3173</v>
      </c>
    </row>
    <row r="3176" spans="1:1">
      <c r="A3176">
        <f t="shared" si="96"/>
        <v>3174</v>
      </c>
    </row>
    <row r="3177" spans="1:1">
      <c r="A3177">
        <f t="shared" si="96"/>
        <v>3175</v>
      </c>
    </row>
    <row r="3178" spans="1:1">
      <c r="A3178">
        <f t="shared" si="96"/>
        <v>3176</v>
      </c>
    </row>
    <row r="3179" spans="1:1">
      <c r="A3179">
        <f t="shared" si="96"/>
        <v>3177</v>
      </c>
    </row>
    <row r="3180" spans="1:1">
      <c r="A3180">
        <f t="shared" si="96"/>
        <v>3178</v>
      </c>
    </row>
    <row r="3181" spans="1:1">
      <c r="A3181">
        <f t="shared" si="96"/>
        <v>3179</v>
      </c>
    </row>
    <row r="3182" spans="1:1">
      <c r="A3182">
        <f t="shared" si="96"/>
        <v>3180</v>
      </c>
    </row>
    <row r="3183" spans="1:1">
      <c r="A3183">
        <f t="shared" si="96"/>
        <v>3181</v>
      </c>
    </row>
    <row r="3184" spans="1:1">
      <c r="A3184">
        <f t="shared" si="96"/>
        <v>3182</v>
      </c>
    </row>
    <row r="3185" spans="1:1">
      <c r="A3185">
        <f t="shared" si="96"/>
        <v>3183</v>
      </c>
    </row>
    <row r="3186" spans="1:1">
      <c r="A3186">
        <f t="shared" si="96"/>
        <v>3184</v>
      </c>
    </row>
    <row r="3187" spans="1:1">
      <c r="A3187">
        <f t="shared" si="96"/>
        <v>3185</v>
      </c>
    </row>
    <row r="3188" spans="1:1">
      <c r="A3188">
        <f t="shared" si="96"/>
        <v>3186</v>
      </c>
    </row>
    <row r="3189" spans="1:1">
      <c r="A3189">
        <f t="shared" si="96"/>
        <v>3187</v>
      </c>
    </row>
    <row r="3190" spans="1:1">
      <c r="A3190">
        <f t="shared" si="96"/>
        <v>3188</v>
      </c>
    </row>
    <row r="3191" spans="1:1">
      <c r="A3191">
        <f t="shared" si="96"/>
        <v>3189</v>
      </c>
    </row>
    <row r="3192" spans="1:1">
      <c r="A3192">
        <f t="shared" si="96"/>
        <v>3190</v>
      </c>
    </row>
    <row r="3193" spans="1:1">
      <c r="A3193">
        <f t="shared" si="96"/>
        <v>3191</v>
      </c>
    </row>
    <row r="3194" spans="1:1">
      <c r="A3194">
        <f t="shared" si="96"/>
        <v>3192</v>
      </c>
    </row>
    <row r="3195" spans="1:1">
      <c r="A3195">
        <f t="shared" si="96"/>
        <v>3193</v>
      </c>
    </row>
    <row r="3196" spans="1:1">
      <c r="A3196">
        <f t="shared" si="96"/>
        <v>3194</v>
      </c>
    </row>
    <row r="3197" spans="1:1">
      <c r="A3197">
        <f t="shared" si="96"/>
        <v>3195</v>
      </c>
    </row>
    <row r="3198" spans="1:1">
      <c r="A3198">
        <f t="shared" si="96"/>
        <v>3196</v>
      </c>
    </row>
    <row r="3199" spans="1:1">
      <c r="A3199">
        <f t="shared" si="96"/>
        <v>3197</v>
      </c>
    </row>
    <row r="3200" spans="1:1">
      <c r="A3200">
        <f t="shared" si="96"/>
        <v>3198</v>
      </c>
    </row>
    <row r="3201" spans="1:1">
      <c r="A3201">
        <f t="shared" si="96"/>
        <v>3199</v>
      </c>
    </row>
    <row r="3202" spans="1:1">
      <c r="A3202">
        <f t="shared" si="96"/>
        <v>3200</v>
      </c>
    </row>
    <row r="3203" spans="1:1">
      <c r="A3203">
        <f t="shared" si="96"/>
        <v>3201</v>
      </c>
    </row>
    <row r="3204" spans="1:1">
      <c r="A3204">
        <f t="shared" si="96"/>
        <v>3202</v>
      </c>
    </row>
    <row r="3205" spans="1:1">
      <c r="A3205">
        <f t="shared" si="96"/>
        <v>3203</v>
      </c>
    </row>
    <row r="3206" spans="1:1">
      <c r="A3206">
        <f t="shared" si="96"/>
        <v>3204</v>
      </c>
    </row>
    <row r="3207" spans="1:1">
      <c r="A3207">
        <f t="shared" si="96"/>
        <v>3205</v>
      </c>
    </row>
    <row r="3208" spans="1:1">
      <c r="A3208">
        <f t="shared" si="96"/>
        <v>3206</v>
      </c>
    </row>
    <row r="3209" spans="1:1">
      <c r="A3209">
        <f t="shared" si="96"/>
        <v>3207</v>
      </c>
    </row>
    <row r="3210" spans="1:1">
      <c r="A3210">
        <f t="shared" si="96"/>
        <v>3208</v>
      </c>
    </row>
    <row r="3211" spans="1:1">
      <c r="A3211">
        <f t="shared" si="96"/>
        <v>3209</v>
      </c>
    </row>
    <row r="3212" spans="1:1">
      <c r="A3212">
        <f t="shared" si="96"/>
        <v>3210</v>
      </c>
    </row>
    <row r="3213" spans="1:1">
      <c r="A3213">
        <f t="shared" si="96"/>
        <v>3211</v>
      </c>
    </row>
    <row r="3214" spans="1:1">
      <c r="A3214">
        <f t="shared" si="96"/>
        <v>3212</v>
      </c>
    </row>
    <row r="3215" spans="1:1">
      <c r="A3215">
        <f t="shared" si="96"/>
        <v>3213</v>
      </c>
    </row>
    <row r="3216" spans="1:1">
      <c r="A3216">
        <f t="shared" si="96"/>
        <v>3214</v>
      </c>
    </row>
    <row r="3217" spans="1:1">
      <c r="A3217">
        <f t="shared" si="96"/>
        <v>3215</v>
      </c>
    </row>
    <row r="3218" spans="1:1">
      <c r="A3218">
        <f t="shared" si="96"/>
        <v>3216</v>
      </c>
    </row>
    <row r="3219" spans="1:1">
      <c r="A3219">
        <f t="shared" si="96"/>
        <v>3217</v>
      </c>
    </row>
    <row r="3220" spans="1:1">
      <c r="A3220">
        <f t="shared" si="96"/>
        <v>3218</v>
      </c>
    </row>
    <row r="3221" spans="1:1">
      <c r="A3221">
        <f t="shared" si="96"/>
        <v>3219</v>
      </c>
    </row>
    <row r="3222" spans="1:1">
      <c r="A3222">
        <f t="shared" si="96"/>
        <v>3220</v>
      </c>
    </row>
    <row r="3223" spans="1:1">
      <c r="A3223">
        <f t="shared" si="96"/>
        <v>3221</v>
      </c>
    </row>
    <row r="3224" spans="1:1">
      <c r="A3224">
        <f t="shared" si="96"/>
        <v>3222</v>
      </c>
    </row>
    <row r="3225" spans="1:1">
      <c r="A3225">
        <f t="shared" si="96"/>
        <v>3223</v>
      </c>
    </row>
    <row r="3226" spans="1:1">
      <c r="A3226">
        <f t="shared" si="96"/>
        <v>3224</v>
      </c>
    </row>
    <row r="3227" spans="1:1">
      <c r="A3227">
        <f t="shared" si="96"/>
        <v>3225</v>
      </c>
    </row>
    <row r="3228" spans="1:1">
      <c r="A3228">
        <f t="shared" si="96"/>
        <v>3226</v>
      </c>
    </row>
    <row r="3229" spans="1:1">
      <c r="A3229">
        <f t="shared" si="96"/>
        <v>3227</v>
      </c>
    </row>
    <row r="3230" spans="1:1">
      <c r="A3230">
        <f t="shared" si="96"/>
        <v>3228</v>
      </c>
    </row>
    <row r="3231" spans="1:1">
      <c r="A3231">
        <f t="shared" si="96"/>
        <v>3229</v>
      </c>
    </row>
    <row r="3232" spans="1:1">
      <c r="A3232">
        <f t="shared" si="96"/>
        <v>3230</v>
      </c>
    </row>
    <row r="3233" spans="1:1">
      <c r="A3233">
        <f t="shared" si="96"/>
        <v>3231</v>
      </c>
    </row>
    <row r="3234" spans="1:1">
      <c r="A3234">
        <f t="shared" si="96"/>
        <v>3232</v>
      </c>
    </row>
    <row r="3235" spans="1:1">
      <c r="A3235">
        <f t="shared" si="96"/>
        <v>3233</v>
      </c>
    </row>
    <row r="3236" spans="1:1">
      <c r="A3236">
        <f t="shared" ref="A3236:A3299" si="97">A3235+1</f>
        <v>3234</v>
      </c>
    </row>
    <row r="3237" spans="1:1">
      <c r="A3237">
        <f t="shared" si="97"/>
        <v>3235</v>
      </c>
    </row>
    <row r="3238" spans="1:1">
      <c r="A3238">
        <f t="shared" si="97"/>
        <v>3236</v>
      </c>
    </row>
    <row r="3239" spans="1:1">
      <c r="A3239">
        <f t="shared" si="97"/>
        <v>3237</v>
      </c>
    </row>
    <row r="3240" spans="1:1">
      <c r="A3240">
        <f t="shared" si="97"/>
        <v>3238</v>
      </c>
    </row>
    <row r="3241" spans="1:1">
      <c r="A3241">
        <f t="shared" si="97"/>
        <v>3239</v>
      </c>
    </row>
    <row r="3242" spans="1:1">
      <c r="A3242">
        <f t="shared" si="97"/>
        <v>3240</v>
      </c>
    </row>
    <row r="3243" spans="1:1">
      <c r="A3243">
        <f t="shared" si="97"/>
        <v>3241</v>
      </c>
    </row>
    <row r="3244" spans="1:1">
      <c r="A3244">
        <f t="shared" si="97"/>
        <v>3242</v>
      </c>
    </row>
    <row r="3245" spans="1:1">
      <c r="A3245">
        <f t="shared" si="97"/>
        <v>3243</v>
      </c>
    </row>
    <row r="3246" spans="1:1">
      <c r="A3246">
        <f t="shared" si="97"/>
        <v>3244</v>
      </c>
    </row>
    <row r="3247" spans="1:1">
      <c r="A3247">
        <f t="shared" si="97"/>
        <v>3245</v>
      </c>
    </row>
    <row r="3248" spans="1:1">
      <c r="A3248">
        <f t="shared" si="97"/>
        <v>3246</v>
      </c>
    </row>
    <row r="3249" spans="1:1">
      <c r="A3249">
        <f t="shared" si="97"/>
        <v>3247</v>
      </c>
    </row>
    <row r="3250" spans="1:1">
      <c r="A3250">
        <f t="shared" si="97"/>
        <v>3248</v>
      </c>
    </row>
    <row r="3251" spans="1:1">
      <c r="A3251">
        <f t="shared" si="97"/>
        <v>3249</v>
      </c>
    </row>
    <row r="3252" spans="1:1">
      <c r="A3252">
        <f t="shared" si="97"/>
        <v>3250</v>
      </c>
    </row>
    <row r="3253" spans="1:1">
      <c r="A3253">
        <f t="shared" si="97"/>
        <v>3251</v>
      </c>
    </row>
    <row r="3254" spans="1:1">
      <c r="A3254">
        <f t="shared" si="97"/>
        <v>3252</v>
      </c>
    </row>
    <row r="3255" spans="1:1">
      <c r="A3255">
        <f t="shared" si="97"/>
        <v>3253</v>
      </c>
    </row>
    <row r="3256" spans="1:1">
      <c r="A3256">
        <f t="shared" si="97"/>
        <v>3254</v>
      </c>
    </row>
    <row r="3257" spans="1:1">
      <c r="A3257">
        <f t="shared" si="97"/>
        <v>3255</v>
      </c>
    </row>
    <row r="3258" spans="1:1">
      <c r="A3258">
        <f t="shared" si="97"/>
        <v>3256</v>
      </c>
    </row>
    <row r="3259" spans="1:1">
      <c r="A3259">
        <f t="shared" si="97"/>
        <v>3257</v>
      </c>
    </row>
    <row r="3260" spans="1:1">
      <c r="A3260">
        <f t="shared" si="97"/>
        <v>3258</v>
      </c>
    </row>
    <row r="3261" spans="1:1">
      <c r="A3261">
        <f t="shared" si="97"/>
        <v>3259</v>
      </c>
    </row>
    <row r="3262" spans="1:1">
      <c r="A3262">
        <f t="shared" si="97"/>
        <v>3260</v>
      </c>
    </row>
    <row r="3263" spans="1:1">
      <c r="A3263">
        <f t="shared" si="97"/>
        <v>3261</v>
      </c>
    </row>
    <row r="3264" spans="1:1">
      <c r="A3264">
        <f t="shared" si="97"/>
        <v>3262</v>
      </c>
    </row>
    <row r="3265" spans="1:1">
      <c r="A3265">
        <f t="shared" si="97"/>
        <v>3263</v>
      </c>
    </row>
    <row r="3266" spans="1:1">
      <c r="A3266">
        <f t="shared" si="97"/>
        <v>3264</v>
      </c>
    </row>
    <row r="3267" spans="1:1">
      <c r="A3267">
        <f t="shared" si="97"/>
        <v>3265</v>
      </c>
    </row>
    <row r="3268" spans="1:1">
      <c r="A3268">
        <f t="shared" si="97"/>
        <v>3266</v>
      </c>
    </row>
    <row r="3269" spans="1:1">
      <c r="A3269">
        <f t="shared" si="97"/>
        <v>3267</v>
      </c>
    </row>
    <row r="3270" spans="1:1">
      <c r="A3270">
        <f t="shared" si="97"/>
        <v>3268</v>
      </c>
    </row>
    <row r="3271" spans="1:1">
      <c r="A3271">
        <f t="shared" si="97"/>
        <v>3269</v>
      </c>
    </row>
    <row r="3272" spans="1:1">
      <c r="A3272">
        <f t="shared" si="97"/>
        <v>3270</v>
      </c>
    </row>
    <row r="3273" spans="1:1">
      <c r="A3273">
        <f t="shared" si="97"/>
        <v>3271</v>
      </c>
    </row>
    <row r="3274" spans="1:1">
      <c r="A3274">
        <f t="shared" si="97"/>
        <v>3272</v>
      </c>
    </row>
    <row r="3275" spans="1:1">
      <c r="A3275">
        <f t="shared" si="97"/>
        <v>3273</v>
      </c>
    </row>
    <row r="3276" spans="1:1">
      <c r="A3276">
        <f t="shared" si="97"/>
        <v>3274</v>
      </c>
    </row>
    <row r="3277" spans="1:1">
      <c r="A3277">
        <f t="shared" si="97"/>
        <v>3275</v>
      </c>
    </row>
    <row r="3278" spans="1:1">
      <c r="A3278">
        <f t="shared" si="97"/>
        <v>3276</v>
      </c>
    </row>
    <row r="3279" spans="1:1">
      <c r="A3279">
        <f t="shared" si="97"/>
        <v>3277</v>
      </c>
    </row>
    <row r="3280" spans="1:1">
      <c r="A3280">
        <f t="shared" si="97"/>
        <v>3278</v>
      </c>
    </row>
    <row r="3281" spans="1:1">
      <c r="A3281">
        <f t="shared" si="97"/>
        <v>3279</v>
      </c>
    </row>
    <row r="3282" spans="1:1">
      <c r="A3282">
        <f t="shared" si="97"/>
        <v>3280</v>
      </c>
    </row>
    <row r="3283" spans="1:1">
      <c r="A3283">
        <f t="shared" si="97"/>
        <v>3281</v>
      </c>
    </row>
    <row r="3284" spans="1:1">
      <c r="A3284">
        <f t="shared" si="97"/>
        <v>3282</v>
      </c>
    </row>
    <row r="3285" spans="1:1">
      <c r="A3285">
        <f t="shared" si="97"/>
        <v>3283</v>
      </c>
    </row>
    <row r="3286" spans="1:1">
      <c r="A3286">
        <f t="shared" si="97"/>
        <v>3284</v>
      </c>
    </row>
    <row r="3287" spans="1:1">
      <c r="A3287">
        <f t="shared" si="97"/>
        <v>3285</v>
      </c>
    </row>
    <row r="3288" spans="1:1">
      <c r="A3288">
        <f t="shared" si="97"/>
        <v>3286</v>
      </c>
    </row>
    <row r="3289" spans="1:1">
      <c r="A3289">
        <f t="shared" si="97"/>
        <v>3287</v>
      </c>
    </row>
    <row r="3290" spans="1:1">
      <c r="A3290">
        <f t="shared" si="97"/>
        <v>3288</v>
      </c>
    </row>
    <row r="3291" spans="1:1">
      <c r="A3291">
        <f t="shared" si="97"/>
        <v>3289</v>
      </c>
    </row>
    <row r="3292" spans="1:1">
      <c r="A3292">
        <f t="shared" si="97"/>
        <v>3290</v>
      </c>
    </row>
    <row r="3293" spans="1:1">
      <c r="A3293">
        <f t="shared" si="97"/>
        <v>3291</v>
      </c>
    </row>
    <row r="3294" spans="1:1">
      <c r="A3294">
        <f t="shared" si="97"/>
        <v>3292</v>
      </c>
    </row>
    <row r="3295" spans="1:1">
      <c r="A3295">
        <f t="shared" si="97"/>
        <v>3293</v>
      </c>
    </row>
    <row r="3296" spans="1:1">
      <c r="A3296">
        <f t="shared" si="97"/>
        <v>3294</v>
      </c>
    </row>
    <row r="3297" spans="1:1">
      <c r="A3297">
        <f t="shared" si="97"/>
        <v>3295</v>
      </c>
    </row>
    <row r="3298" spans="1:1">
      <c r="A3298">
        <f t="shared" si="97"/>
        <v>3296</v>
      </c>
    </row>
    <row r="3299" spans="1:1">
      <c r="A3299">
        <f t="shared" si="97"/>
        <v>3297</v>
      </c>
    </row>
    <row r="3300" spans="1:1">
      <c r="A3300">
        <f t="shared" ref="A3300:A3363" si="98">A3299+1</f>
        <v>3298</v>
      </c>
    </row>
    <row r="3301" spans="1:1">
      <c r="A3301">
        <f t="shared" si="98"/>
        <v>3299</v>
      </c>
    </row>
    <row r="3302" spans="1:1">
      <c r="A3302">
        <f t="shared" si="98"/>
        <v>3300</v>
      </c>
    </row>
    <row r="3303" spans="1:1">
      <c r="A3303">
        <f t="shared" si="98"/>
        <v>3301</v>
      </c>
    </row>
    <row r="3304" spans="1:1">
      <c r="A3304">
        <f t="shared" si="98"/>
        <v>3302</v>
      </c>
    </row>
    <row r="3305" spans="1:1">
      <c r="A3305">
        <f t="shared" si="98"/>
        <v>3303</v>
      </c>
    </row>
    <row r="3306" spans="1:1">
      <c r="A3306">
        <f t="shared" si="98"/>
        <v>3304</v>
      </c>
    </row>
    <row r="3307" spans="1:1">
      <c r="A3307">
        <f t="shared" si="98"/>
        <v>3305</v>
      </c>
    </row>
    <row r="3308" spans="1:1">
      <c r="A3308">
        <f t="shared" si="98"/>
        <v>3306</v>
      </c>
    </row>
    <row r="3309" spans="1:1">
      <c r="A3309">
        <f t="shared" si="98"/>
        <v>3307</v>
      </c>
    </row>
    <row r="3310" spans="1:1">
      <c r="A3310">
        <f t="shared" si="98"/>
        <v>3308</v>
      </c>
    </row>
    <row r="3311" spans="1:1">
      <c r="A3311">
        <f t="shared" si="98"/>
        <v>3309</v>
      </c>
    </row>
    <row r="3312" spans="1:1">
      <c r="A3312">
        <f t="shared" si="98"/>
        <v>3310</v>
      </c>
    </row>
    <row r="3313" spans="1:1">
      <c r="A3313">
        <f t="shared" si="98"/>
        <v>3311</v>
      </c>
    </row>
    <row r="3314" spans="1:1">
      <c r="A3314">
        <f t="shared" si="98"/>
        <v>3312</v>
      </c>
    </row>
    <row r="3315" spans="1:1">
      <c r="A3315">
        <f t="shared" si="98"/>
        <v>3313</v>
      </c>
    </row>
    <row r="3316" spans="1:1">
      <c r="A3316">
        <f t="shared" si="98"/>
        <v>3314</v>
      </c>
    </row>
    <row r="3317" spans="1:1">
      <c r="A3317">
        <f t="shared" si="98"/>
        <v>3315</v>
      </c>
    </row>
    <row r="3318" spans="1:1">
      <c r="A3318">
        <f t="shared" si="98"/>
        <v>3316</v>
      </c>
    </row>
    <row r="3319" spans="1:1">
      <c r="A3319">
        <f t="shared" si="98"/>
        <v>3317</v>
      </c>
    </row>
    <row r="3320" spans="1:1">
      <c r="A3320">
        <f t="shared" si="98"/>
        <v>3318</v>
      </c>
    </row>
    <row r="3321" spans="1:1">
      <c r="A3321">
        <f t="shared" si="98"/>
        <v>3319</v>
      </c>
    </row>
    <row r="3322" spans="1:1">
      <c r="A3322">
        <f t="shared" si="98"/>
        <v>3320</v>
      </c>
    </row>
    <row r="3323" spans="1:1">
      <c r="A3323">
        <f t="shared" si="98"/>
        <v>3321</v>
      </c>
    </row>
    <row r="3324" spans="1:1">
      <c r="A3324">
        <f t="shared" si="98"/>
        <v>3322</v>
      </c>
    </row>
    <row r="3325" spans="1:1">
      <c r="A3325">
        <f t="shared" si="98"/>
        <v>3323</v>
      </c>
    </row>
    <row r="3326" spans="1:1">
      <c r="A3326">
        <f t="shared" si="98"/>
        <v>3324</v>
      </c>
    </row>
    <row r="3327" spans="1:1">
      <c r="A3327">
        <f t="shared" si="98"/>
        <v>3325</v>
      </c>
    </row>
    <row r="3328" spans="1:1">
      <c r="A3328">
        <f t="shared" si="98"/>
        <v>3326</v>
      </c>
    </row>
    <row r="3329" spans="1:1">
      <c r="A3329">
        <f t="shared" si="98"/>
        <v>3327</v>
      </c>
    </row>
    <row r="3330" spans="1:1">
      <c r="A3330">
        <f t="shared" si="98"/>
        <v>3328</v>
      </c>
    </row>
    <row r="3331" spans="1:1">
      <c r="A3331">
        <f t="shared" si="98"/>
        <v>3329</v>
      </c>
    </row>
    <row r="3332" spans="1:1">
      <c r="A3332">
        <f t="shared" si="98"/>
        <v>3330</v>
      </c>
    </row>
    <row r="3333" spans="1:1">
      <c r="A3333">
        <f t="shared" si="98"/>
        <v>3331</v>
      </c>
    </row>
    <row r="3334" spans="1:1">
      <c r="A3334">
        <f t="shared" si="98"/>
        <v>3332</v>
      </c>
    </row>
    <row r="3335" spans="1:1">
      <c r="A3335">
        <f t="shared" si="98"/>
        <v>3333</v>
      </c>
    </row>
    <row r="3336" spans="1:1">
      <c r="A3336">
        <f t="shared" si="98"/>
        <v>3334</v>
      </c>
    </row>
    <row r="3337" spans="1:1">
      <c r="A3337">
        <f t="shared" si="98"/>
        <v>3335</v>
      </c>
    </row>
    <row r="3338" spans="1:1">
      <c r="A3338">
        <f t="shared" si="98"/>
        <v>3336</v>
      </c>
    </row>
    <row r="3339" spans="1:1">
      <c r="A3339">
        <f t="shared" si="98"/>
        <v>3337</v>
      </c>
    </row>
    <row r="3340" spans="1:1">
      <c r="A3340">
        <f t="shared" si="98"/>
        <v>3338</v>
      </c>
    </row>
    <row r="3341" spans="1:1">
      <c r="A3341">
        <f t="shared" si="98"/>
        <v>3339</v>
      </c>
    </row>
    <row r="3342" spans="1:1">
      <c r="A3342">
        <f t="shared" si="98"/>
        <v>3340</v>
      </c>
    </row>
    <row r="3343" spans="1:1">
      <c r="A3343">
        <f t="shared" si="98"/>
        <v>3341</v>
      </c>
    </row>
    <row r="3344" spans="1:1">
      <c r="A3344">
        <f t="shared" si="98"/>
        <v>3342</v>
      </c>
    </row>
    <row r="3345" spans="1:1">
      <c r="A3345">
        <f t="shared" si="98"/>
        <v>3343</v>
      </c>
    </row>
    <row r="3346" spans="1:1">
      <c r="A3346">
        <f t="shared" si="98"/>
        <v>3344</v>
      </c>
    </row>
    <row r="3347" spans="1:1">
      <c r="A3347">
        <f t="shared" si="98"/>
        <v>3345</v>
      </c>
    </row>
    <row r="3348" spans="1:1">
      <c r="A3348">
        <f t="shared" si="98"/>
        <v>3346</v>
      </c>
    </row>
    <row r="3349" spans="1:1">
      <c r="A3349">
        <f t="shared" si="98"/>
        <v>3347</v>
      </c>
    </row>
    <row r="3350" spans="1:1">
      <c r="A3350">
        <f t="shared" si="98"/>
        <v>3348</v>
      </c>
    </row>
    <row r="3351" spans="1:1">
      <c r="A3351">
        <f t="shared" si="98"/>
        <v>3349</v>
      </c>
    </row>
    <row r="3352" spans="1:1">
      <c r="A3352">
        <f t="shared" si="98"/>
        <v>3350</v>
      </c>
    </row>
    <row r="3353" spans="1:1">
      <c r="A3353">
        <f t="shared" si="98"/>
        <v>3351</v>
      </c>
    </row>
    <row r="3354" spans="1:1">
      <c r="A3354">
        <f t="shared" si="98"/>
        <v>3352</v>
      </c>
    </row>
    <row r="3355" spans="1:1">
      <c r="A3355">
        <f t="shared" si="98"/>
        <v>3353</v>
      </c>
    </row>
    <row r="3356" spans="1:1">
      <c r="A3356">
        <f t="shared" si="98"/>
        <v>3354</v>
      </c>
    </row>
    <row r="3357" spans="1:1">
      <c r="A3357">
        <f t="shared" si="98"/>
        <v>3355</v>
      </c>
    </row>
    <row r="3358" spans="1:1">
      <c r="A3358">
        <f t="shared" si="98"/>
        <v>3356</v>
      </c>
    </row>
    <row r="3359" spans="1:1">
      <c r="A3359">
        <f t="shared" si="98"/>
        <v>3357</v>
      </c>
    </row>
    <row r="3360" spans="1:1">
      <c r="A3360">
        <f t="shared" si="98"/>
        <v>3358</v>
      </c>
    </row>
    <row r="3361" spans="1:1">
      <c r="A3361">
        <f t="shared" si="98"/>
        <v>3359</v>
      </c>
    </row>
    <row r="3362" spans="1:1">
      <c r="A3362">
        <f t="shared" si="98"/>
        <v>3360</v>
      </c>
    </row>
    <row r="3363" spans="1:1">
      <c r="A3363">
        <f t="shared" si="98"/>
        <v>3361</v>
      </c>
    </row>
    <row r="3364" spans="1:1">
      <c r="A3364">
        <f t="shared" ref="A3364:A3427" si="99">A3363+1</f>
        <v>3362</v>
      </c>
    </row>
    <row r="3365" spans="1:1">
      <c r="A3365">
        <f t="shared" si="99"/>
        <v>3363</v>
      </c>
    </row>
    <row r="3366" spans="1:1">
      <c r="A3366">
        <f t="shared" si="99"/>
        <v>3364</v>
      </c>
    </row>
    <row r="3367" spans="1:1">
      <c r="A3367">
        <f t="shared" si="99"/>
        <v>3365</v>
      </c>
    </row>
    <row r="3368" spans="1:1">
      <c r="A3368">
        <f t="shared" si="99"/>
        <v>3366</v>
      </c>
    </row>
    <row r="3369" spans="1:1">
      <c r="A3369">
        <f t="shared" si="99"/>
        <v>3367</v>
      </c>
    </row>
    <row r="3370" spans="1:1">
      <c r="A3370">
        <f t="shared" si="99"/>
        <v>3368</v>
      </c>
    </row>
    <row r="3371" spans="1:1">
      <c r="A3371">
        <f t="shared" si="99"/>
        <v>3369</v>
      </c>
    </row>
    <row r="3372" spans="1:1">
      <c r="A3372">
        <f t="shared" si="99"/>
        <v>3370</v>
      </c>
    </row>
    <row r="3373" spans="1:1">
      <c r="A3373">
        <f t="shared" si="99"/>
        <v>3371</v>
      </c>
    </row>
    <row r="3374" spans="1:1">
      <c r="A3374">
        <f t="shared" si="99"/>
        <v>3372</v>
      </c>
    </row>
    <row r="3375" spans="1:1">
      <c r="A3375">
        <f t="shared" si="99"/>
        <v>3373</v>
      </c>
    </row>
    <row r="3376" spans="1:1">
      <c r="A3376">
        <f t="shared" si="99"/>
        <v>3374</v>
      </c>
    </row>
    <row r="3377" spans="1:1">
      <c r="A3377">
        <f t="shared" si="99"/>
        <v>3375</v>
      </c>
    </row>
    <row r="3378" spans="1:1">
      <c r="A3378">
        <f t="shared" si="99"/>
        <v>3376</v>
      </c>
    </row>
    <row r="3379" spans="1:1">
      <c r="A3379">
        <f t="shared" si="99"/>
        <v>3377</v>
      </c>
    </row>
    <row r="3380" spans="1:1">
      <c r="A3380">
        <f t="shared" si="99"/>
        <v>3378</v>
      </c>
    </row>
    <row r="3381" spans="1:1">
      <c r="A3381">
        <f t="shared" si="99"/>
        <v>3379</v>
      </c>
    </row>
    <row r="3382" spans="1:1">
      <c r="A3382">
        <f t="shared" si="99"/>
        <v>3380</v>
      </c>
    </row>
    <row r="3383" spans="1:1">
      <c r="A3383">
        <f t="shared" si="99"/>
        <v>3381</v>
      </c>
    </row>
    <row r="3384" spans="1:1">
      <c r="A3384">
        <f t="shared" si="99"/>
        <v>3382</v>
      </c>
    </row>
    <row r="3385" spans="1:1">
      <c r="A3385">
        <f t="shared" si="99"/>
        <v>3383</v>
      </c>
    </row>
    <row r="3386" spans="1:1">
      <c r="A3386">
        <f t="shared" si="99"/>
        <v>3384</v>
      </c>
    </row>
    <row r="3387" spans="1:1">
      <c r="A3387">
        <f t="shared" si="99"/>
        <v>3385</v>
      </c>
    </row>
    <row r="3388" spans="1:1">
      <c r="A3388">
        <f t="shared" si="99"/>
        <v>3386</v>
      </c>
    </row>
    <row r="3389" spans="1:1">
      <c r="A3389">
        <f t="shared" si="99"/>
        <v>3387</v>
      </c>
    </row>
    <row r="3390" spans="1:1">
      <c r="A3390">
        <f t="shared" si="99"/>
        <v>3388</v>
      </c>
    </row>
    <row r="3391" spans="1:1">
      <c r="A3391">
        <f t="shared" si="99"/>
        <v>3389</v>
      </c>
    </row>
    <row r="3392" spans="1:1">
      <c r="A3392">
        <f t="shared" si="99"/>
        <v>3390</v>
      </c>
    </row>
    <row r="3393" spans="1:1">
      <c r="A3393">
        <f t="shared" si="99"/>
        <v>3391</v>
      </c>
    </row>
    <row r="3394" spans="1:1">
      <c r="A3394">
        <f t="shared" si="99"/>
        <v>3392</v>
      </c>
    </row>
    <row r="3395" spans="1:1">
      <c r="A3395">
        <f t="shared" si="99"/>
        <v>3393</v>
      </c>
    </row>
    <row r="3396" spans="1:1">
      <c r="A3396">
        <f t="shared" si="99"/>
        <v>3394</v>
      </c>
    </row>
    <row r="3397" spans="1:1">
      <c r="A3397">
        <f t="shared" si="99"/>
        <v>3395</v>
      </c>
    </row>
    <row r="3398" spans="1:1">
      <c r="A3398">
        <f t="shared" si="99"/>
        <v>3396</v>
      </c>
    </row>
    <row r="3399" spans="1:1">
      <c r="A3399">
        <f t="shared" si="99"/>
        <v>3397</v>
      </c>
    </row>
    <row r="3400" spans="1:1">
      <c r="A3400">
        <f t="shared" si="99"/>
        <v>3398</v>
      </c>
    </row>
    <row r="3401" spans="1:1">
      <c r="A3401">
        <f t="shared" si="99"/>
        <v>3399</v>
      </c>
    </row>
    <row r="3402" spans="1:1">
      <c r="A3402">
        <f t="shared" si="99"/>
        <v>3400</v>
      </c>
    </row>
    <row r="3403" spans="1:1">
      <c r="A3403">
        <f t="shared" si="99"/>
        <v>3401</v>
      </c>
    </row>
    <row r="3404" spans="1:1">
      <c r="A3404">
        <f t="shared" si="99"/>
        <v>3402</v>
      </c>
    </row>
    <row r="3405" spans="1:1">
      <c r="A3405">
        <f t="shared" si="99"/>
        <v>3403</v>
      </c>
    </row>
    <row r="3406" spans="1:1">
      <c r="A3406">
        <f t="shared" si="99"/>
        <v>3404</v>
      </c>
    </row>
    <row r="3407" spans="1:1">
      <c r="A3407">
        <f t="shared" si="99"/>
        <v>3405</v>
      </c>
    </row>
    <row r="3408" spans="1:1">
      <c r="A3408">
        <f t="shared" si="99"/>
        <v>3406</v>
      </c>
    </row>
    <row r="3409" spans="1:1">
      <c r="A3409">
        <f t="shared" si="99"/>
        <v>3407</v>
      </c>
    </row>
    <row r="3410" spans="1:1">
      <c r="A3410">
        <f t="shared" si="99"/>
        <v>3408</v>
      </c>
    </row>
    <row r="3411" spans="1:1">
      <c r="A3411">
        <f t="shared" si="99"/>
        <v>3409</v>
      </c>
    </row>
    <row r="3412" spans="1:1">
      <c r="A3412">
        <f t="shared" si="99"/>
        <v>3410</v>
      </c>
    </row>
    <row r="3413" spans="1:1">
      <c r="A3413">
        <f t="shared" si="99"/>
        <v>3411</v>
      </c>
    </row>
    <row r="3414" spans="1:1">
      <c r="A3414">
        <f t="shared" si="99"/>
        <v>3412</v>
      </c>
    </row>
    <row r="3415" spans="1:1">
      <c r="A3415">
        <f t="shared" si="99"/>
        <v>3413</v>
      </c>
    </row>
    <row r="3416" spans="1:1">
      <c r="A3416">
        <f t="shared" si="99"/>
        <v>3414</v>
      </c>
    </row>
    <row r="3417" spans="1:1">
      <c r="A3417">
        <f t="shared" si="99"/>
        <v>3415</v>
      </c>
    </row>
    <row r="3418" spans="1:1">
      <c r="A3418">
        <f t="shared" si="99"/>
        <v>3416</v>
      </c>
    </row>
    <row r="3419" spans="1:1">
      <c r="A3419">
        <f t="shared" si="99"/>
        <v>3417</v>
      </c>
    </row>
    <row r="3420" spans="1:1">
      <c r="A3420">
        <f t="shared" si="99"/>
        <v>3418</v>
      </c>
    </row>
    <row r="3421" spans="1:1">
      <c r="A3421">
        <f t="shared" si="99"/>
        <v>3419</v>
      </c>
    </row>
    <row r="3422" spans="1:1">
      <c r="A3422">
        <f t="shared" si="99"/>
        <v>3420</v>
      </c>
    </row>
    <row r="3423" spans="1:1">
      <c r="A3423">
        <f t="shared" si="99"/>
        <v>3421</v>
      </c>
    </row>
    <row r="3424" spans="1:1">
      <c r="A3424">
        <f t="shared" si="99"/>
        <v>3422</v>
      </c>
    </row>
    <row r="3425" spans="1:1">
      <c r="A3425">
        <f t="shared" si="99"/>
        <v>3423</v>
      </c>
    </row>
    <row r="3426" spans="1:1">
      <c r="A3426">
        <f t="shared" si="99"/>
        <v>3424</v>
      </c>
    </row>
    <row r="3427" spans="1:1">
      <c r="A3427">
        <f t="shared" si="99"/>
        <v>3425</v>
      </c>
    </row>
    <row r="3428" spans="1:1">
      <c r="A3428">
        <f t="shared" ref="A3428:A3491" si="100">A3427+1</f>
        <v>3426</v>
      </c>
    </row>
    <row r="3429" spans="1:1">
      <c r="A3429">
        <f t="shared" si="100"/>
        <v>3427</v>
      </c>
    </row>
    <row r="3430" spans="1:1">
      <c r="A3430">
        <f t="shared" si="100"/>
        <v>3428</v>
      </c>
    </row>
    <row r="3431" spans="1:1">
      <c r="A3431">
        <f t="shared" si="100"/>
        <v>3429</v>
      </c>
    </row>
    <row r="3432" spans="1:1">
      <c r="A3432">
        <f t="shared" si="100"/>
        <v>3430</v>
      </c>
    </row>
    <row r="3433" spans="1:1">
      <c r="A3433">
        <f t="shared" si="100"/>
        <v>3431</v>
      </c>
    </row>
    <row r="3434" spans="1:1">
      <c r="A3434">
        <f t="shared" si="100"/>
        <v>3432</v>
      </c>
    </row>
    <row r="3435" spans="1:1">
      <c r="A3435">
        <f t="shared" si="100"/>
        <v>3433</v>
      </c>
    </row>
    <row r="3436" spans="1:1">
      <c r="A3436">
        <f t="shared" si="100"/>
        <v>3434</v>
      </c>
    </row>
    <row r="3437" spans="1:1">
      <c r="A3437">
        <f t="shared" si="100"/>
        <v>3435</v>
      </c>
    </row>
    <row r="3438" spans="1:1">
      <c r="A3438">
        <f t="shared" si="100"/>
        <v>3436</v>
      </c>
    </row>
    <row r="3439" spans="1:1">
      <c r="A3439">
        <f t="shared" si="100"/>
        <v>3437</v>
      </c>
    </row>
    <row r="3440" spans="1:1">
      <c r="A3440">
        <f t="shared" si="100"/>
        <v>3438</v>
      </c>
    </row>
    <row r="3441" spans="1:1">
      <c r="A3441">
        <f t="shared" si="100"/>
        <v>3439</v>
      </c>
    </row>
    <row r="3442" spans="1:1">
      <c r="A3442">
        <f t="shared" si="100"/>
        <v>3440</v>
      </c>
    </row>
    <row r="3443" spans="1:1">
      <c r="A3443">
        <f t="shared" si="100"/>
        <v>3441</v>
      </c>
    </row>
    <row r="3444" spans="1:1">
      <c r="A3444">
        <f t="shared" si="100"/>
        <v>3442</v>
      </c>
    </row>
    <row r="3445" spans="1:1">
      <c r="A3445">
        <f t="shared" si="100"/>
        <v>3443</v>
      </c>
    </row>
    <row r="3446" spans="1:1">
      <c r="A3446">
        <f t="shared" si="100"/>
        <v>3444</v>
      </c>
    </row>
    <row r="3447" spans="1:1">
      <c r="A3447">
        <f t="shared" si="100"/>
        <v>3445</v>
      </c>
    </row>
    <row r="3448" spans="1:1">
      <c r="A3448">
        <f t="shared" si="100"/>
        <v>3446</v>
      </c>
    </row>
    <row r="3449" spans="1:1">
      <c r="A3449">
        <f t="shared" si="100"/>
        <v>3447</v>
      </c>
    </row>
    <row r="3450" spans="1:1">
      <c r="A3450">
        <f t="shared" si="100"/>
        <v>3448</v>
      </c>
    </row>
    <row r="3451" spans="1:1">
      <c r="A3451">
        <f t="shared" si="100"/>
        <v>3449</v>
      </c>
    </row>
    <row r="3452" spans="1:1">
      <c r="A3452">
        <f t="shared" si="100"/>
        <v>3450</v>
      </c>
    </row>
    <row r="3453" spans="1:1">
      <c r="A3453">
        <f t="shared" si="100"/>
        <v>3451</v>
      </c>
    </row>
    <row r="3454" spans="1:1">
      <c r="A3454">
        <f t="shared" si="100"/>
        <v>3452</v>
      </c>
    </row>
    <row r="3455" spans="1:1">
      <c r="A3455">
        <f t="shared" si="100"/>
        <v>3453</v>
      </c>
    </row>
    <row r="3456" spans="1:1">
      <c r="A3456">
        <f t="shared" si="100"/>
        <v>3454</v>
      </c>
    </row>
    <row r="3457" spans="1:1">
      <c r="A3457">
        <f t="shared" si="100"/>
        <v>3455</v>
      </c>
    </row>
    <row r="3458" spans="1:1">
      <c r="A3458">
        <f t="shared" si="100"/>
        <v>3456</v>
      </c>
    </row>
    <row r="3459" spans="1:1">
      <c r="A3459">
        <f t="shared" si="100"/>
        <v>3457</v>
      </c>
    </row>
    <row r="3460" spans="1:1">
      <c r="A3460">
        <f t="shared" si="100"/>
        <v>3458</v>
      </c>
    </row>
    <row r="3461" spans="1:1">
      <c r="A3461">
        <f t="shared" si="100"/>
        <v>3459</v>
      </c>
    </row>
    <row r="3462" spans="1:1">
      <c r="A3462">
        <f t="shared" si="100"/>
        <v>3460</v>
      </c>
    </row>
    <row r="3463" spans="1:1">
      <c r="A3463">
        <f t="shared" si="100"/>
        <v>3461</v>
      </c>
    </row>
    <row r="3464" spans="1:1">
      <c r="A3464">
        <f t="shared" si="100"/>
        <v>3462</v>
      </c>
    </row>
    <row r="3465" spans="1:1">
      <c r="A3465">
        <f t="shared" si="100"/>
        <v>3463</v>
      </c>
    </row>
    <row r="3466" spans="1:1">
      <c r="A3466">
        <f t="shared" si="100"/>
        <v>3464</v>
      </c>
    </row>
    <row r="3467" spans="1:1">
      <c r="A3467">
        <f t="shared" si="100"/>
        <v>3465</v>
      </c>
    </row>
    <row r="3468" spans="1:1">
      <c r="A3468">
        <f t="shared" si="100"/>
        <v>3466</v>
      </c>
    </row>
    <row r="3469" spans="1:1">
      <c r="A3469">
        <f t="shared" si="100"/>
        <v>3467</v>
      </c>
    </row>
    <row r="3470" spans="1:1">
      <c r="A3470">
        <f t="shared" si="100"/>
        <v>3468</v>
      </c>
    </row>
    <row r="3471" spans="1:1">
      <c r="A3471">
        <f t="shared" si="100"/>
        <v>3469</v>
      </c>
    </row>
    <row r="3472" spans="1:1">
      <c r="A3472">
        <f t="shared" si="100"/>
        <v>3470</v>
      </c>
    </row>
    <row r="3473" spans="1:1">
      <c r="A3473">
        <f t="shared" si="100"/>
        <v>3471</v>
      </c>
    </row>
    <row r="3474" spans="1:1">
      <c r="A3474">
        <f t="shared" si="100"/>
        <v>3472</v>
      </c>
    </row>
    <row r="3475" spans="1:1">
      <c r="A3475">
        <f t="shared" si="100"/>
        <v>3473</v>
      </c>
    </row>
    <row r="3476" spans="1:1">
      <c r="A3476">
        <f t="shared" si="100"/>
        <v>3474</v>
      </c>
    </row>
    <row r="3477" spans="1:1">
      <c r="A3477">
        <f t="shared" si="100"/>
        <v>3475</v>
      </c>
    </row>
    <row r="3478" spans="1:1">
      <c r="A3478">
        <f t="shared" si="100"/>
        <v>3476</v>
      </c>
    </row>
    <row r="3479" spans="1:1">
      <c r="A3479">
        <f t="shared" si="100"/>
        <v>3477</v>
      </c>
    </row>
    <row r="3480" spans="1:1">
      <c r="A3480">
        <f t="shared" si="100"/>
        <v>3478</v>
      </c>
    </row>
    <row r="3481" spans="1:1">
      <c r="A3481">
        <f t="shared" si="100"/>
        <v>3479</v>
      </c>
    </row>
    <row r="3482" spans="1:1">
      <c r="A3482">
        <f t="shared" si="100"/>
        <v>3480</v>
      </c>
    </row>
    <row r="3483" spans="1:1">
      <c r="A3483">
        <f t="shared" si="100"/>
        <v>3481</v>
      </c>
    </row>
    <row r="3484" spans="1:1">
      <c r="A3484">
        <f t="shared" si="100"/>
        <v>3482</v>
      </c>
    </row>
    <row r="3485" spans="1:1">
      <c r="A3485">
        <f t="shared" si="100"/>
        <v>3483</v>
      </c>
    </row>
    <row r="3486" spans="1:1">
      <c r="A3486">
        <f t="shared" si="100"/>
        <v>3484</v>
      </c>
    </row>
    <row r="3487" spans="1:1">
      <c r="A3487">
        <f t="shared" si="100"/>
        <v>3485</v>
      </c>
    </row>
    <row r="3488" spans="1:1">
      <c r="A3488">
        <f t="shared" si="100"/>
        <v>3486</v>
      </c>
    </row>
    <row r="3489" spans="1:1">
      <c r="A3489">
        <f t="shared" si="100"/>
        <v>3487</v>
      </c>
    </row>
    <row r="3490" spans="1:1">
      <c r="A3490">
        <f t="shared" si="100"/>
        <v>3488</v>
      </c>
    </row>
    <row r="3491" spans="1:1">
      <c r="A3491">
        <f t="shared" si="100"/>
        <v>3489</v>
      </c>
    </row>
    <row r="3492" spans="1:1">
      <c r="A3492">
        <f t="shared" ref="A3492:A3555" si="101">A3491+1</f>
        <v>3490</v>
      </c>
    </row>
    <row r="3493" spans="1:1">
      <c r="A3493">
        <f t="shared" si="101"/>
        <v>3491</v>
      </c>
    </row>
    <row r="3494" spans="1:1">
      <c r="A3494">
        <f t="shared" si="101"/>
        <v>3492</v>
      </c>
    </row>
    <row r="3495" spans="1:1">
      <c r="A3495">
        <f t="shared" si="101"/>
        <v>3493</v>
      </c>
    </row>
    <row r="3496" spans="1:1">
      <c r="A3496">
        <f t="shared" si="101"/>
        <v>3494</v>
      </c>
    </row>
    <row r="3497" spans="1:1">
      <c r="A3497">
        <f t="shared" si="101"/>
        <v>3495</v>
      </c>
    </row>
    <row r="3498" spans="1:1">
      <c r="A3498">
        <f t="shared" si="101"/>
        <v>3496</v>
      </c>
    </row>
    <row r="3499" spans="1:1">
      <c r="A3499">
        <f t="shared" si="101"/>
        <v>3497</v>
      </c>
    </row>
    <row r="3500" spans="1:1">
      <c r="A3500">
        <f t="shared" si="101"/>
        <v>3498</v>
      </c>
    </row>
    <row r="3501" spans="1:1">
      <c r="A3501">
        <f t="shared" si="101"/>
        <v>3499</v>
      </c>
    </row>
    <row r="3502" spans="1:1">
      <c r="A3502">
        <f t="shared" si="101"/>
        <v>3500</v>
      </c>
    </row>
    <row r="3503" spans="1:1">
      <c r="A3503">
        <f t="shared" si="101"/>
        <v>3501</v>
      </c>
    </row>
    <row r="3504" spans="1:1">
      <c r="A3504">
        <f t="shared" si="101"/>
        <v>3502</v>
      </c>
    </row>
    <row r="3505" spans="1:1">
      <c r="A3505">
        <f t="shared" si="101"/>
        <v>3503</v>
      </c>
    </row>
    <row r="3506" spans="1:1">
      <c r="A3506">
        <f t="shared" si="101"/>
        <v>3504</v>
      </c>
    </row>
    <row r="3507" spans="1:1">
      <c r="A3507">
        <f t="shared" si="101"/>
        <v>3505</v>
      </c>
    </row>
    <row r="3508" spans="1:1">
      <c r="A3508">
        <f t="shared" si="101"/>
        <v>3506</v>
      </c>
    </row>
    <row r="3509" spans="1:1">
      <c r="A3509">
        <f t="shared" si="101"/>
        <v>3507</v>
      </c>
    </row>
    <row r="3510" spans="1:1">
      <c r="A3510">
        <f t="shared" si="101"/>
        <v>3508</v>
      </c>
    </row>
    <row r="3511" spans="1:1">
      <c r="A3511">
        <f t="shared" si="101"/>
        <v>3509</v>
      </c>
    </row>
    <row r="3512" spans="1:1">
      <c r="A3512">
        <f t="shared" si="101"/>
        <v>3510</v>
      </c>
    </row>
    <row r="3513" spans="1:1">
      <c r="A3513">
        <f t="shared" si="101"/>
        <v>3511</v>
      </c>
    </row>
    <row r="3514" spans="1:1">
      <c r="A3514">
        <f t="shared" si="101"/>
        <v>3512</v>
      </c>
    </row>
    <row r="3515" spans="1:1">
      <c r="A3515">
        <f t="shared" si="101"/>
        <v>3513</v>
      </c>
    </row>
    <row r="3516" spans="1:1">
      <c r="A3516">
        <f t="shared" si="101"/>
        <v>3514</v>
      </c>
    </row>
    <row r="3517" spans="1:1">
      <c r="A3517">
        <f t="shared" si="101"/>
        <v>3515</v>
      </c>
    </row>
    <row r="3518" spans="1:1">
      <c r="A3518">
        <f t="shared" si="101"/>
        <v>3516</v>
      </c>
    </row>
    <row r="3519" spans="1:1">
      <c r="A3519">
        <f t="shared" si="101"/>
        <v>3517</v>
      </c>
    </row>
    <row r="3520" spans="1:1">
      <c r="A3520">
        <f t="shared" si="101"/>
        <v>3518</v>
      </c>
    </row>
    <row r="3521" spans="1:1">
      <c r="A3521">
        <f t="shared" si="101"/>
        <v>3519</v>
      </c>
    </row>
    <row r="3522" spans="1:1">
      <c r="A3522">
        <f t="shared" si="101"/>
        <v>3520</v>
      </c>
    </row>
    <row r="3523" spans="1:1">
      <c r="A3523">
        <f t="shared" si="101"/>
        <v>3521</v>
      </c>
    </row>
    <row r="3524" spans="1:1">
      <c r="A3524">
        <f t="shared" si="101"/>
        <v>3522</v>
      </c>
    </row>
    <row r="3525" spans="1:1">
      <c r="A3525">
        <f t="shared" si="101"/>
        <v>3523</v>
      </c>
    </row>
    <row r="3526" spans="1:1">
      <c r="A3526">
        <f t="shared" si="101"/>
        <v>3524</v>
      </c>
    </row>
    <row r="3527" spans="1:1">
      <c r="A3527">
        <f t="shared" si="101"/>
        <v>3525</v>
      </c>
    </row>
    <row r="3528" spans="1:1">
      <c r="A3528">
        <f t="shared" si="101"/>
        <v>3526</v>
      </c>
    </row>
    <row r="3529" spans="1:1">
      <c r="A3529">
        <f t="shared" si="101"/>
        <v>3527</v>
      </c>
    </row>
    <row r="3530" spans="1:1">
      <c r="A3530">
        <f t="shared" si="101"/>
        <v>3528</v>
      </c>
    </row>
    <row r="3531" spans="1:1">
      <c r="A3531">
        <f t="shared" si="101"/>
        <v>3529</v>
      </c>
    </row>
    <row r="3532" spans="1:1">
      <c r="A3532">
        <f t="shared" si="101"/>
        <v>3530</v>
      </c>
    </row>
    <row r="3533" spans="1:1">
      <c r="A3533">
        <f t="shared" si="101"/>
        <v>3531</v>
      </c>
    </row>
    <row r="3534" spans="1:1">
      <c r="A3534">
        <f t="shared" si="101"/>
        <v>3532</v>
      </c>
    </row>
    <row r="3535" spans="1:1">
      <c r="A3535">
        <f t="shared" si="101"/>
        <v>3533</v>
      </c>
    </row>
    <row r="3536" spans="1:1">
      <c r="A3536">
        <f t="shared" si="101"/>
        <v>3534</v>
      </c>
    </row>
    <row r="3537" spans="1:1">
      <c r="A3537">
        <f t="shared" si="101"/>
        <v>3535</v>
      </c>
    </row>
    <row r="3538" spans="1:1">
      <c r="A3538">
        <f t="shared" si="101"/>
        <v>3536</v>
      </c>
    </row>
    <row r="3539" spans="1:1">
      <c r="A3539">
        <f t="shared" si="101"/>
        <v>3537</v>
      </c>
    </row>
    <row r="3540" spans="1:1">
      <c r="A3540">
        <f t="shared" si="101"/>
        <v>3538</v>
      </c>
    </row>
    <row r="3541" spans="1:1">
      <c r="A3541">
        <f t="shared" si="101"/>
        <v>3539</v>
      </c>
    </row>
    <row r="3542" spans="1:1">
      <c r="A3542">
        <f t="shared" si="101"/>
        <v>3540</v>
      </c>
    </row>
    <row r="3543" spans="1:1">
      <c r="A3543">
        <f t="shared" si="101"/>
        <v>3541</v>
      </c>
    </row>
    <row r="3544" spans="1:1">
      <c r="A3544">
        <f t="shared" si="101"/>
        <v>3542</v>
      </c>
    </row>
    <row r="3545" spans="1:1">
      <c r="A3545">
        <f t="shared" si="101"/>
        <v>3543</v>
      </c>
    </row>
    <row r="3546" spans="1:1">
      <c r="A3546">
        <f t="shared" si="101"/>
        <v>3544</v>
      </c>
    </row>
    <row r="3547" spans="1:1">
      <c r="A3547">
        <f t="shared" si="101"/>
        <v>3545</v>
      </c>
    </row>
    <row r="3548" spans="1:1">
      <c r="A3548">
        <f t="shared" si="101"/>
        <v>3546</v>
      </c>
    </row>
    <row r="3549" spans="1:1">
      <c r="A3549">
        <f t="shared" si="101"/>
        <v>3547</v>
      </c>
    </row>
    <row r="3550" spans="1:1">
      <c r="A3550">
        <f t="shared" si="101"/>
        <v>3548</v>
      </c>
    </row>
    <row r="3551" spans="1:1">
      <c r="A3551">
        <f t="shared" si="101"/>
        <v>3549</v>
      </c>
    </row>
    <row r="3552" spans="1:1">
      <c r="A3552">
        <f t="shared" si="101"/>
        <v>3550</v>
      </c>
    </row>
    <row r="3553" spans="1:1">
      <c r="A3553">
        <f t="shared" si="101"/>
        <v>3551</v>
      </c>
    </row>
    <row r="3554" spans="1:1">
      <c r="A3554">
        <f t="shared" si="101"/>
        <v>3552</v>
      </c>
    </row>
    <row r="3555" spans="1:1">
      <c r="A3555">
        <f t="shared" si="101"/>
        <v>3553</v>
      </c>
    </row>
    <row r="3556" spans="1:1">
      <c r="A3556">
        <f t="shared" ref="A3556:A3619" si="102">A3555+1</f>
        <v>3554</v>
      </c>
    </row>
    <row r="3557" spans="1:1">
      <c r="A3557">
        <f t="shared" si="102"/>
        <v>3555</v>
      </c>
    </row>
    <row r="3558" spans="1:1">
      <c r="A3558">
        <f t="shared" si="102"/>
        <v>3556</v>
      </c>
    </row>
    <row r="3559" spans="1:1">
      <c r="A3559">
        <f t="shared" si="102"/>
        <v>3557</v>
      </c>
    </row>
    <row r="3560" spans="1:1">
      <c r="A3560">
        <f t="shared" si="102"/>
        <v>3558</v>
      </c>
    </row>
    <row r="3561" spans="1:1">
      <c r="A3561">
        <f t="shared" si="102"/>
        <v>3559</v>
      </c>
    </row>
    <row r="3562" spans="1:1">
      <c r="A3562">
        <f t="shared" si="102"/>
        <v>3560</v>
      </c>
    </row>
    <row r="3563" spans="1:1">
      <c r="A3563">
        <f t="shared" si="102"/>
        <v>3561</v>
      </c>
    </row>
    <row r="3564" spans="1:1">
      <c r="A3564">
        <f t="shared" si="102"/>
        <v>3562</v>
      </c>
    </row>
    <row r="3565" spans="1:1">
      <c r="A3565">
        <f t="shared" si="102"/>
        <v>3563</v>
      </c>
    </row>
    <row r="3566" spans="1:1">
      <c r="A3566">
        <f t="shared" si="102"/>
        <v>3564</v>
      </c>
    </row>
    <row r="3567" spans="1:1">
      <c r="A3567">
        <f t="shared" si="102"/>
        <v>3565</v>
      </c>
    </row>
    <row r="3568" spans="1:1">
      <c r="A3568">
        <f t="shared" si="102"/>
        <v>3566</v>
      </c>
    </row>
    <row r="3569" spans="1:1">
      <c r="A3569">
        <f t="shared" si="102"/>
        <v>3567</v>
      </c>
    </row>
    <row r="3570" spans="1:1">
      <c r="A3570">
        <f t="shared" si="102"/>
        <v>3568</v>
      </c>
    </row>
    <row r="3571" spans="1:1">
      <c r="A3571">
        <f t="shared" si="102"/>
        <v>3569</v>
      </c>
    </row>
    <row r="3572" spans="1:1">
      <c r="A3572">
        <f t="shared" si="102"/>
        <v>3570</v>
      </c>
    </row>
    <row r="3573" spans="1:1">
      <c r="A3573">
        <f t="shared" si="102"/>
        <v>3571</v>
      </c>
    </row>
    <row r="3574" spans="1:1">
      <c r="A3574">
        <f t="shared" si="102"/>
        <v>3572</v>
      </c>
    </row>
    <row r="3575" spans="1:1">
      <c r="A3575">
        <f t="shared" si="102"/>
        <v>3573</v>
      </c>
    </row>
    <row r="3576" spans="1:1">
      <c r="A3576">
        <f t="shared" si="102"/>
        <v>3574</v>
      </c>
    </row>
    <row r="3577" spans="1:1">
      <c r="A3577">
        <f t="shared" si="102"/>
        <v>3575</v>
      </c>
    </row>
    <row r="3578" spans="1:1">
      <c r="A3578">
        <f t="shared" si="102"/>
        <v>3576</v>
      </c>
    </row>
    <row r="3579" spans="1:1">
      <c r="A3579">
        <f t="shared" si="102"/>
        <v>3577</v>
      </c>
    </row>
    <row r="3580" spans="1:1">
      <c r="A3580">
        <f t="shared" si="102"/>
        <v>3578</v>
      </c>
    </row>
    <row r="3581" spans="1:1">
      <c r="A3581">
        <f t="shared" si="102"/>
        <v>3579</v>
      </c>
    </row>
    <row r="3582" spans="1:1">
      <c r="A3582">
        <f t="shared" si="102"/>
        <v>3580</v>
      </c>
    </row>
    <row r="3583" spans="1:1">
      <c r="A3583">
        <f t="shared" si="102"/>
        <v>3581</v>
      </c>
    </row>
    <row r="3584" spans="1:1">
      <c r="A3584">
        <f t="shared" si="102"/>
        <v>3582</v>
      </c>
    </row>
    <row r="3585" spans="1:1">
      <c r="A3585">
        <f t="shared" si="102"/>
        <v>3583</v>
      </c>
    </row>
    <row r="3586" spans="1:1">
      <c r="A3586">
        <f t="shared" si="102"/>
        <v>3584</v>
      </c>
    </row>
    <row r="3587" spans="1:1">
      <c r="A3587">
        <f t="shared" si="102"/>
        <v>3585</v>
      </c>
    </row>
    <row r="3588" spans="1:1">
      <c r="A3588">
        <f t="shared" si="102"/>
        <v>3586</v>
      </c>
    </row>
    <row r="3589" spans="1:1">
      <c r="A3589">
        <f t="shared" si="102"/>
        <v>3587</v>
      </c>
    </row>
    <row r="3590" spans="1:1">
      <c r="A3590">
        <f t="shared" si="102"/>
        <v>3588</v>
      </c>
    </row>
    <row r="3591" spans="1:1">
      <c r="A3591">
        <f t="shared" si="102"/>
        <v>3589</v>
      </c>
    </row>
    <row r="3592" spans="1:1">
      <c r="A3592">
        <f t="shared" si="102"/>
        <v>3590</v>
      </c>
    </row>
    <row r="3593" spans="1:1">
      <c r="A3593">
        <f t="shared" si="102"/>
        <v>3591</v>
      </c>
    </row>
    <row r="3594" spans="1:1">
      <c r="A3594">
        <f t="shared" si="102"/>
        <v>3592</v>
      </c>
    </row>
    <row r="3595" spans="1:1">
      <c r="A3595">
        <f t="shared" si="102"/>
        <v>3593</v>
      </c>
    </row>
    <row r="3596" spans="1:1">
      <c r="A3596">
        <f t="shared" si="102"/>
        <v>3594</v>
      </c>
    </row>
    <row r="3597" spans="1:1">
      <c r="A3597">
        <f t="shared" si="102"/>
        <v>3595</v>
      </c>
    </row>
    <row r="3598" spans="1:1">
      <c r="A3598">
        <f t="shared" si="102"/>
        <v>3596</v>
      </c>
    </row>
    <row r="3599" spans="1:1">
      <c r="A3599">
        <f t="shared" si="102"/>
        <v>3597</v>
      </c>
    </row>
    <row r="3600" spans="1:1">
      <c r="A3600">
        <f t="shared" si="102"/>
        <v>3598</v>
      </c>
    </row>
    <row r="3601" spans="1:1">
      <c r="A3601">
        <f t="shared" si="102"/>
        <v>3599</v>
      </c>
    </row>
    <row r="3602" spans="1:1">
      <c r="A3602">
        <f t="shared" si="102"/>
        <v>3600</v>
      </c>
    </row>
    <row r="3603" spans="1:1">
      <c r="A3603">
        <f t="shared" si="102"/>
        <v>3601</v>
      </c>
    </row>
    <row r="3604" spans="1:1">
      <c r="A3604">
        <f t="shared" si="102"/>
        <v>3602</v>
      </c>
    </row>
    <row r="3605" spans="1:1">
      <c r="A3605">
        <f t="shared" si="102"/>
        <v>3603</v>
      </c>
    </row>
    <row r="3606" spans="1:1">
      <c r="A3606">
        <f t="shared" si="102"/>
        <v>3604</v>
      </c>
    </row>
    <row r="3607" spans="1:1">
      <c r="A3607">
        <f t="shared" si="102"/>
        <v>3605</v>
      </c>
    </row>
    <row r="3608" spans="1:1">
      <c r="A3608">
        <f t="shared" si="102"/>
        <v>3606</v>
      </c>
    </row>
    <row r="3609" spans="1:1">
      <c r="A3609">
        <f t="shared" si="102"/>
        <v>3607</v>
      </c>
    </row>
    <row r="3610" spans="1:1">
      <c r="A3610">
        <f t="shared" si="102"/>
        <v>3608</v>
      </c>
    </row>
    <row r="3611" spans="1:1">
      <c r="A3611">
        <f t="shared" si="102"/>
        <v>3609</v>
      </c>
    </row>
    <row r="3612" spans="1:1">
      <c r="A3612">
        <f t="shared" si="102"/>
        <v>3610</v>
      </c>
    </row>
    <row r="3613" spans="1:1">
      <c r="A3613">
        <f t="shared" si="102"/>
        <v>3611</v>
      </c>
    </row>
    <row r="3614" spans="1:1">
      <c r="A3614">
        <f t="shared" si="102"/>
        <v>3612</v>
      </c>
    </row>
    <row r="3615" spans="1:1">
      <c r="A3615">
        <f t="shared" si="102"/>
        <v>3613</v>
      </c>
    </row>
    <row r="3616" spans="1:1">
      <c r="A3616">
        <f t="shared" si="102"/>
        <v>3614</v>
      </c>
    </row>
    <row r="3617" spans="1:1">
      <c r="A3617">
        <f t="shared" si="102"/>
        <v>3615</v>
      </c>
    </row>
    <row r="3618" spans="1:1">
      <c r="A3618">
        <f t="shared" si="102"/>
        <v>3616</v>
      </c>
    </row>
    <row r="3619" spans="1:1">
      <c r="A3619">
        <f t="shared" si="102"/>
        <v>3617</v>
      </c>
    </row>
    <row r="3620" spans="1:1">
      <c r="A3620">
        <f t="shared" ref="A3620:A3683" si="103">A3619+1</f>
        <v>3618</v>
      </c>
    </row>
    <row r="3621" spans="1:1">
      <c r="A3621">
        <f t="shared" si="103"/>
        <v>3619</v>
      </c>
    </row>
    <row r="3622" spans="1:1">
      <c r="A3622">
        <f t="shared" si="103"/>
        <v>3620</v>
      </c>
    </row>
    <row r="3623" spans="1:1">
      <c r="A3623">
        <f t="shared" si="103"/>
        <v>3621</v>
      </c>
    </row>
    <row r="3624" spans="1:1">
      <c r="A3624">
        <f t="shared" si="103"/>
        <v>3622</v>
      </c>
    </row>
    <row r="3625" spans="1:1">
      <c r="A3625">
        <f t="shared" si="103"/>
        <v>3623</v>
      </c>
    </row>
    <row r="3626" spans="1:1">
      <c r="A3626">
        <f t="shared" si="103"/>
        <v>3624</v>
      </c>
    </row>
    <row r="3627" spans="1:1">
      <c r="A3627">
        <f t="shared" si="103"/>
        <v>3625</v>
      </c>
    </row>
    <row r="3628" spans="1:1">
      <c r="A3628">
        <f t="shared" si="103"/>
        <v>3626</v>
      </c>
    </row>
    <row r="3629" spans="1:1">
      <c r="A3629">
        <f t="shared" si="103"/>
        <v>3627</v>
      </c>
    </row>
    <row r="3630" spans="1:1">
      <c r="A3630">
        <f t="shared" si="103"/>
        <v>3628</v>
      </c>
    </row>
    <row r="3631" spans="1:1">
      <c r="A3631">
        <f t="shared" si="103"/>
        <v>3629</v>
      </c>
    </row>
    <row r="3632" spans="1:1">
      <c r="A3632">
        <f t="shared" si="103"/>
        <v>3630</v>
      </c>
    </row>
    <row r="3633" spans="1:1">
      <c r="A3633">
        <f t="shared" si="103"/>
        <v>3631</v>
      </c>
    </row>
    <row r="3634" spans="1:1">
      <c r="A3634">
        <f t="shared" si="103"/>
        <v>3632</v>
      </c>
    </row>
    <row r="3635" spans="1:1">
      <c r="A3635">
        <f t="shared" si="103"/>
        <v>3633</v>
      </c>
    </row>
    <row r="3636" spans="1:1">
      <c r="A3636">
        <f t="shared" si="103"/>
        <v>3634</v>
      </c>
    </row>
    <row r="3637" spans="1:1">
      <c r="A3637">
        <f t="shared" si="103"/>
        <v>3635</v>
      </c>
    </row>
    <row r="3638" spans="1:1">
      <c r="A3638">
        <f t="shared" si="103"/>
        <v>3636</v>
      </c>
    </row>
    <row r="3639" spans="1:1">
      <c r="A3639">
        <f t="shared" si="103"/>
        <v>3637</v>
      </c>
    </row>
    <row r="3640" spans="1:1">
      <c r="A3640">
        <f t="shared" si="103"/>
        <v>3638</v>
      </c>
    </row>
    <row r="3641" spans="1:1">
      <c r="A3641">
        <f t="shared" si="103"/>
        <v>3639</v>
      </c>
    </row>
    <row r="3642" spans="1:1">
      <c r="A3642">
        <f t="shared" si="103"/>
        <v>3640</v>
      </c>
    </row>
    <row r="3643" spans="1:1">
      <c r="A3643">
        <f t="shared" si="103"/>
        <v>3641</v>
      </c>
    </row>
    <row r="3644" spans="1:1">
      <c r="A3644">
        <f t="shared" si="103"/>
        <v>3642</v>
      </c>
    </row>
    <row r="3645" spans="1:1">
      <c r="A3645">
        <f t="shared" si="103"/>
        <v>3643</v>
      </c>
    </row>
    <row r="3646" spans="1:1">
      <c r="A3646">
        <f t="shared" si="103"/>
        <v>3644</v>
      </c>
    </row>
    <row r="3647" spans="1:1">
      <c r="A3647">
        <f t="shared" si="103"/>
        <v>3645</v>
      </c>
    </row>
    <row r="3648" spans="1:1">
      <c r="A3648">
        <f t="shared" si="103"/>
        <v>3646</v>
      </c>
    </row>
    <row r="3649" spans="1:1">
      <c r="A3649">
        <f t="shared" si="103"/>
        <v>3647</v>
      </c>
    </row>
    <row r="3650" spans="1:1">
      <c r="A3650">
        <f t="shared" si="103"/>
        <v>3648</v>
      </c>
    </row>
    <row r="3651" spans="1:1">
      <c r="A3651">
        <f t="shared" si="103"/>
        <v>3649</v>
      </c>
    </row>
    <row r="3652" spans="1:1">
      <c r="A3652">
        <f t="shared" si="103"/>
        <v>3650</v>
      </c>
    </row>
    <row r="3653" spans="1:1">
      <c r="A3653">
        <f t="shared" si="103"/>
        <v>3651</v>
      </c>
    </row>
    <row r="3654" spans="1:1">
      <c r="A3654">
        <f t="shared" si="103"/>
        <v>3652</v>
      </c>
    </row>
    <row r="3655" spans="1:1">
      <c r="A3655">
        <f t="shared" si="103"/>
        <v>3653</v>
      </c>
    </row>
    <row r="3656" spans="1:1">
      <c r="A3656">
        <f t="shared" si="103"/>
        <v>3654</v>
      </c>
    </row>
    <row r="3657" spans="1:1">
      <c r="A3657">
        <f t="shared" si="103"/>
        <v>3655</v>
      </c>
    </row>
    <row r="3658" spans="1:1">
      <c r="A3658">
        <f t="shared" si="103"/>
        <v>3656</v>
      </c>
    </row>
    <row r="3659" spans="1:1">
      <c r="A3659">
        <f t="shared" si="103"/>
        <v>3657</v>
      </c>
    </row>
    <row r="3660" spans="1:1">
      <c r="A3660">
        <f t="shared" si="103"/>
        <v>3658</v>
      </c>
    </row>
    <row r="3661" spans="1:1">
      <c r="A3661">
        <f t="shared" si="103"/>
        <v>3659</v>
      </c>
    </row>
    <row r="3662" spans="1:1">
      <c r="A3662">
        <f t="shared" si="103"/>
        <v>3660</v>
      </c>
    </row>
    <row r="3663" spans="1:1">
      <c r="A3663">
        <f t="shared" si="103"/>
        <v>3661</v>
      </c>
    </row>
    <row r="3664" spans="1:1">
      <c r="A3664">
        <f t="shared" si="103"/>
        <v>3662</v>
      </c>
    </row>
    <row r="3665" spans="1:1">
      <c r="A3665">
        <f t="shared" si="103"/>
        <v>3663</v>
      </c>
    </row>
    <row r="3666" spans="1:1">
      <c r="A3666">
        <f t="shared" si="103"/>
        <v>3664</v>
      </c>
    </row>
    <row r="3667" spans="1:1">
      <c r="A3667">
        <f t="shared" si="103"/>
        <v>3665</v>
      </c>
    </row>
    <row r="3668" spans="1:1">
      <c r="A3668">
        <f t="shared" si="103"/>
        <v>3666</v>
      </c>
    </row>
    <row r="3669" spans="1:1">
      <c r="A3669">
        <f t="shared" si="103"/>
        <v>3667</v>
      </c>
    </row>
    <row r="3670" spans="1:1">
      <c r="A3670">
        <f t="shared" si="103"/>
        <v>3668</v>
      </c>
    </row>
    <row r="3671" spans="1:1">
      <c r="A3671">
        <f t="shared" si="103"/>
        <v>3669</v>
      </c>
    </row>
    <row r="3672" spans="1:1">
      <c r="A3672">
        <f t="shared" si="103"/>
        <v>3670</v>
      </c>
    </row>
    <row r="3673" spans="1:1">
      <c r="A3673">
        <f t="shared" si="103"/>
        <v>3671</v>
      </c>
    </row>
    <row r="3674" spans="1:1">
      <c r="A3674">
        <f t="shared" si="103"/>
        <v>3672</v>
      </c>
    </row>
    <row r="3675" spans="1:1">
      <c r="A3675">
        <f t="shared" si="103"/>
        <v>3673</v>
      </c>
    </row>
    <row r="3676" spans="1:1">
      <c r="A3676">
        <f t="shared" si="103"/>
        <v>3674</v>
      </c>
    </row>
    <row r="3677" spans="1:1">
      <c r="A3677">
        <f t="shared" si="103"/>
        <v>3675</v>
      </c>
    </row>
    <row r="3678" spans="1:1">
      <c r="A3678">
        <f t="shared" si="103"/>
        <v>3676</v>
      </c>
    </row>
    <row r="3679" spans="1:1">
      <c r="A3679">
        <f t="shared" si="103"/>
        <v>3677</v>
      </c>
    </row>
    <row r="3680" spans="1:1">
      <c r="A3680">
        <f t="shared" si="103"/>
        <v>3678</v>
      </c>
    </row>
    <row r="3681" spans="1:1">
      <c r="A3681">
        <f t="shared" si="103"/>
        <v>3679</v>
      </c>
    </row>
    <row r="3682" spans="1:1">
      <c r="A3682">
        <f t="shared" si="103"/>
        <v>3680</v>
      </c>
    </row>
    <row r="3683" spans="1:1">
      <c r="A3683">
        <f t="shared" si="103"/>
        <v>3681</v>
      </c>
    </row>
    <row r="3684" spans="1:1">
      <c r="A3684">
        <f t="shared" ref="A3684:A3747" si="104">A3683+1</f>
        <v>3682</v>
      </c>
    </row>
    <row r="3685" spans="1:1">
      <c r="A3685">
        <f t="shared" si="104"/>
        <v>3683</v>
      </c>
    </row>
    <row r="3686" spans="1:1">
      <c r="A3686">
        <f t="shared" si="104"/>
        <v>3684</v>
      </c>
    </row>
    <row r="3687" spans="1:1">
      <c r="A3687">
        <f t="shared" si="104"/>
        <v>3685</v>
      </c>
    </row>
    <row r="3688" spans="1:1">
      <c r="A3688">
        <f t="shared" si="104"/>
        <v>3686</v>
      </c>
    </row>
    <row r="3689" spans="1:1">
      <c r="A3689">
        <f t="shared" si="104"/>
        <v>3687</v>
      </c>
    </row>
    <row r="3690" spans="1:1">
      <c r="A3690">
        <f t="shared" si="104"/>
        <v>3688</v>
      </c>
    </row>
    <row r="3691" spans="1:1">
      <c r="A3691">
        <f t="shared" si="104"/>
        <v>3689</v>
      </c>
    </row>
    <row r="3692" spans="1:1">
      <c r="A3692">
        <f t="shared" si="104"/>
        <v>3690</v>
      </c>
    </row>
    <row r="3693" spans="1:1">
      <c r="A3693">
        <f t="shared" si="104"/>
        <v>3691</v>
      </c>
    </row>
    <row r="3694" spans="1:1">
      <c r="A3694">
        <f t="shared" si="104"/>
        <v>3692</v>
      </c>
    </row>
    <row r="3695" spans="1:1">
      <c r="A3695">
        <f t="shared" si="104"/>
        <v>3693</v>
      </c>
    </row>
    <row r="3696" spans="1:1">
      <c r="A3696">
        <f t="shared" si="104"/>
        <v>3694</v>
      </c>
    </row>
    <row r="3697" spans="1:1">
      <c r="A3697">
        <f t="shared" si="104"/>
        <v>3695</v>
      </c>
    </row>
    <row r="3698" spans="1:1">
      <c r="A3698">
        <f t="shared" si="104"/>
        <v>3696</v>
      </c>
    </row>
    <row r="3699" spans="1:1">
      <c r="A3699">
        <f t="shared" si="104"/>
        <v>3697</v>
      </c>
    </row>
    <row r="3700" spans="1:1">
      <c r="A3700">
        <f t="shared" si="104"/>
        <v>3698</v>
      </c>
    </row>
    <row r="3701" spans="1:1">
      <c r="A3701">
        <f t="shared" si="104"/>
        <v>3699</v>
      </c>
    </row>
    <row r="3702" spans="1:1">
      <c r="A3702">
        <f t="shared" si="104"/>
        <v>3700</v>
      </c>
    </row>
    <row r="3703" spans="1:1">
      <c r="A3703">
        <f t="shared" si="104"/>
        <v>3701</v>
      </c>
    </row>
    <row r="3704" spans="1:1">
      <c r="A3704">
        <f t="shared" si="104"/>
        <v>3702</v>
      </c>
    </row>
    <row r="3705" spans="1:1">
      <c r="A3705">
        <f t="shared" si="104"/>
        <v>3703</v>
      </c>
    </row>
    <row r="3706" spans="1:1">
      <c r="A3706">
        <f t="shared" si="104"/>
        <v>3704</v>
      </c>
    </row>
    <row r="3707" spans="1:1">
      <c r="A3707">
        <f t="shared" si="104"/>
        <v>3705</v>
      </c>
    </row>
    <row r="3708" spans="1:1">
      <c r="A3708">
        <f t="shared" si="104"/>
        <v>3706</v>
      </c>
    </row>
    <row r="3709" spans="1:1">
      <c r="A3709">
        <f t="shared" si="104"/>
        <v>3707</v>
      </c>
    </row>
    <row r="3710" spans="1:1">
      <c r="A3710">
        <f t="shared" si="104"/>
        <v>3708</v>
      </c>
    </row>
    <row r="3711" spans="1:1">
      <c r="A3711">
        <f t="shared" si="104"/>
        <v>3709</v>
      </c>
    </row>
    <row r="3712" spans="1:1">
      <c r="A3712">
        <f t="shared" si="104"/>
        <v>3710</v>
      </c>
    </row>
    <row r="3713" spans="1:1">
      <c r="A3713">
        <f t="shared" si="104"/>
        <v>3711</v>
      </c>
    </row>
    <row r="3714" spans="1:1">
      <c r="A3714">
        <f t="shared" si="104"/>
        <v>3712</v>
      </c>
    </row>
    <row r="3715" spans="1:1">
      <c r="A3715">
        <f t="shared" si="104"/>
        <v>3713</v>
      </c>
    </row>
    <row r="3716" spans="1:1">
      <c r="A3716">
        <f t="shared" si="104"/>
        <v>3714</v>
      </c>
    </row>
    <row r="3717" spans="1:1">
      <c r="A3717">
        <f t="shared" si="104"/>
        <v>3715</v>
      </c>
    </row>
    <row r="3718" spans="1:1">
      <c r="A3718">
        <f t="shared" si="104"/>
        <v>3716</v>
      </c>
    </row>
    <row r="3719" spans="1:1">
      <c r="A3719">
        <f t="shared" si="104"/>
        <v>3717</v>
      </c>
    </row>
    <row r="3720" spans="1:1">
      <c r="A3720">
        <f t="shared" si="104"/>
        <v>3718</v>
      </c>
    </row>
    <row r="3721" spans="1:1">
      <c r="A3721">
        <f t="shared" si="104"/>
        <v>3719</v>
      </c>
    </row>
    <row r="3722" spans="1:1">
      <c r="A3722">
        <f t="shared" si="104"/>
        <v>3720</v>
      </c>
    </row>
    <row r="3723" spans="1:1">
      <c r="A3723">
        <f t="shared" si="104"/>
        <v>3721</v>
      </c>
    </row>
    <row r="3724" spans="1:1">
      <c r="A3724">
        <f t="shared" si="104"/>
        <v>3722</v>
      </c>
    </row>
    <row r="3725" spans="1:1">
      <c r="A3725">
        <f t="shared" si="104"/>
        <v>3723</v>
      </c>
    </row>
    <row r="3726" spans="1:1">
      <c r="A3726">
        <f t="shared" si="104"/>
        <v>3724</v>
      </c>
    </row>
    <row r="3727" spans="1:1">
      <c r="A3727">
        <f t="shared" si="104"/>
        <v>3725</v>
      </c>
    </row>
    <row r="3728" spans="1:1">
      <c r="A3728">
        <f t="shared" si="104"/>
        <v>3726</v>
      </c>
    </row>
    <row r="3729" spans="1:1">
      <c r="A3729">
        <f t="shared" si="104"/>
        <v>3727</v>
      </c>
    </row>
    <row r="3730" spans="1:1">
      <c r="A3730">
        <f t="shared" si="104"/>
        <v>3728</v>
      </c>
    </row>
    <row r="3731" spans="1:1">
      <c r="A3731">
        <f t="shared" si="104"/>
        <v>3729</v>
      </c>
    </row>
    <row r="3732" spans="1:1">
      <c r="A3732">
        <f t="shared" si="104"/>
        <v>3730</v>
      </c>
    </row>
    <row r="3733" spans="1:1">
      <c r="A3733">
        <f t="shared" si="104"/>
        <v>3731</v>
      </c>
    </row>
    <row r="3734" spans="1:1">
      <c r="A3734">
        <f t="shared" si="104"/>
        <v>3732</v>
      </c>
    </row>
    <row r="3735" spans="1:1">
      <c r="A3735">
        <f t="shared" si="104"/>
        <v>3733</v>
      </c>
    </row>
    <row r="3736" spans="1:1">
      <c r="A3736">
        <f t="shared" si="104"/>
        <v>3734</v>
      </c>
    </row>
    <row r="3737" spans="1:1">
      <c r="A3737">
        <f t="shared" si="104"/>
        <v>3735</v>
      </c>
    </row>
    <row r="3738" spans="1:1">
      <c r="A3738">
        <f t="shared" si="104"/>
        <v>3736</v>
      </c>
    </row>
    <row r="3739" spans="1:1">
      <c r="A3739">
        <f t="shared" si="104"/>
        <v>3737</v>
      </c>
    </row>
    <row r="3740" spans="1:1">
      <c r="A3740">
        <f t="shared" si="104"/>
        <v>3738</v>
      </c>
    </row>
    <row r="3741" spans="1:1">
      <c r="A3741">
        <f t="shared" si="104"/>
        <v>3739</v>
      </c>
    </row>
    <row r="3742" spans="1:1">
      <c r="A3742">
        <f t="shared" si="104"/>
        <v>3740</v>
      </c>
    </row>
    <row r="3743" spans="1:1">
      <c r="A3743">
        <f t="shared" si="104"/>
        <v>3741</v>
      </c>
    </row>
    <row r="3744" spans="1:1">
      <c r="A3744">
        <f t="shared" si="104"/>
        <v>3742</v>
      </c>
    </row>
    <row r="3745" spans="1:1">
      <c r="A3745">
        <f t="shared" si="104"/>
        <v>3743</v>
      </c>
    </row>
    <row r="3746" spans="1:1">
      <c r="A3746">
        <f t="shared" si="104"/>
        <v>3744</v>
      </c>
    </row>
    <row r="3747" spans="1:1">
      <c r="A3747">
        <f t="shared" si="104"/>
        <v>3745</v>
      </c>
    </row>
    <row r="3748" spans="1:1">
      <c r="A3748">
        <f t="shared" ref="A3748:A3811" si="105">A3747+1</f>
        <v>3746</v>
      </c>
    </row>
    <row r="3749" spans="1:1">
      <c r="A3749">
        <f t="shared" si="105"/>
        <v>3747</v>
      </c>
    </row>
    <row r="3750" spans="1:1">
      <c r="A3750">
        <f t="shared" si="105"/>
        <v>3748</v>
      </c>
    </row>
    <row r="3751" spans="1:1">
      <c r="A3751">
        <f t="shared" si="105"/>
        <v>3749</v>
      </c>
    </row>
    <row r="3752" spans="1:1">
      <c r="A3752">
        <f t="shared" si="105"/>
        <v>3750</v>
      </c>
    </row>
    <row r="3753" spans="1:1">
      <c r="A3753">
        <f t="shared" si="105"/>
        <v>3751</v>
      </c>
    </row>
    <row r="3754" spans="1:1">
      <c r="A3754">
        <f t="shared" si="105"/>
        <v>3752</v>
      </c>
    </row>
    <row r="3755" spans="1:1">
      <c r="A3755">
        <f t="shared" si="105"/>
        <v>3753</v>
      </c>
    </row>
    <row r="3756" spans="1:1">
      <c r="A3756">
        <f t="shared" si="105"/>
        <v>3754</v>
      </c>
    </row>
    <row r="3757" spans="1:1">
      <c r="A3757">
        <f t="shared" si="105"/>
        <v>3755</v>
      </c>
    </row>
    <row r="3758" spans="1:1">
      <c r="A3758">
        <f t="shared" si="105"/>
        <v>3756</v>
      </c>
    </row>
    <row r="3759" spans="1:1">
      <c r="A3759">
        <f t="shared" si="105"/>
        <v>3757</v>
      </c>
    </row>
    <row r="3760" spans="1:1">
      <c r="A3760">
        <f t="shared" si="105"/>
        <v>3758</v>
      </c>
    </row>
    <row r="3761" spans="1:1">
      <c r="A3761">
        <f t="shared" si="105"/>
        <v>3759</v>
      </c>
    </row>
    <row r="3762" spans="1:1">
      <c r="A3762">
        <f t="shared" si="105"/>
        <v>3760</v>
      </c>
    </row>
    <row r="3763" spans="1:1">
      <c r="A3763">
        <f t="shared" si="105"/>
        <v>3761</v>
      </c>
    </row>
    <row r="3764" spans="1:1">
      <c r="A3764">
        <f t="shared" si="105"/>
        <v>3762</v>
      </c>
    </row>
    <row r="3765" spans="1:1">
      <c r="A3765">
        <f t="shared" si="105"/>
        <v>3763</v>
      </c>
    </row>
    <row r="3766" spans="1:1">
      <c r="A3766">
        <f t="shared" si="105"/>
        <v>3764</v>
      </c>
    </row>
    <row r="3767" spans="1:1">
      <c r="A3767">
        <f t="shared" si="105"/>
        <v>3765</v>
      </c>
    </row>
    <row r="3768" spans="1:1">
      <c r="A3768">
        <f t="shared" si="105"/>
        <v>3766</v>
      </c>
    </row>
    <row r="3769" spans="1:1">
      <c r="A3769">
        <f t="shared" si="105"/>
        <v>3767</v>
      </c>
    </row>
    <row r="3770" spans="1:1">
      <c r="A3770">
        <f t="shared" si="105"/>
        <v>3768</v>
      </c>
    </row>
    <row r="3771" spans="1:1">
      <c r="A3771">
        <f t="shared" si="105"/>
        <v>3769</v>
      </c>
    </row>
    <row r="3772" spans="1:1">
      <c r="A3772">
        <f t="shared" si="105"/>
        <v>3770</v>
      </c>
    </row>
    <row r="3773" spans="1:1">
      <c r="A3773">
        <f t="shared" si="105"/>
        <v>3771</v>
      </c>
    </row>
    <row r="3774" spans="1:1">
      <c r="A3774">
        <f t="shared" si="105"/>
        <v>3772</v>
      </c>
    </row>
    <row r="3775" spans="1:1">
      <c r="A3775">
        <f t="shared" si="105"/>
        <v>3773</v>
      </c>
    </row>
    <row r="3776" spans="1:1">
      <c r="A3776">
        <f t="shared" si="105"/>
        <v>3774</v>
      </c>
    </row>
    <row r="3777" spans="1:1">
      <c r="A3777">
        <f t="shared" si="105"/>
        <v>3775</v>
      </c>
    </row>
    <row r="3778" spans="1:1">
      <c r="A3778">
        <f t="shared" si="105"/>
        <v>3776</v>
      </c>
    </row>
    <row r="3779" spans="1:1">
      <c r="A3779">
        <f t="shared" si="105"/>
        <v>3777</v>
      </c>
    </row>
    <row r="3780" spans="1:1">
      <c r="A3780">
        <f t="shared" si="105"/>
        <v>3778</v>
      </c>
    </row>
    <row r="3781" spans="1:1">
      <c r="A3781">
        <f t="shared" si="105"/>
        <v>3779</v>
      </c>
    </row>
    <row r="3782" spans="1:1">
      <c r="A3782">
        <f t="shared" si="105"/>
        <v>3780</v>
      </c>
    </row>
    <row r="3783" spans="1:1">
      <c r="A3783">
        <f t="shared" si="105"/>
        <v>3781</v>
      </c>
    </row>
    <row r="3784" spans="1:1">
      <c r="A3784">
        <f t="shared" si="105"/>
        <v>3782</v>
      </c>
    </row>
    <row r="3785" spans="1:1">
      <c r="A3785">
        <f t="shared" si="105"/>
        <v>3783</v>
      </c>
    </row>
    <row r="3786" spans="1:1">
      <c r="A3786">
        <f t="shared" si="105"/>
        <v>3784</v>
      </c>
    </row>
    <row r="3787" spans="1:1">
      <c r="A3787">
        <f t="shared" si="105"/>
        <v>3785</v>
      </c>
    </row>
    <row r="3788" spans="1:1">
      <c r="A3788">
        <f t="shared" si="105"/>
        <v>3786</v>
      </c>
    </row>
    <row r="3789" spans="1:1">
      <c r="A3789">
        <f t="shared" si="105"/>
        <v>3787</v>
      </c>
    </row>
    <row r="3790" spans="1:1">
      <c r="A3790">
        <f t="shared" si="105"/>
        <v>3788</v>
      </c>
    </row>
    <row r="3791" spans="1:1">
      <c r="A3791">
        <f t="shared" si="105"/>
        <v>3789</v>
      </c>
    </row>
    <row r="3792" spans="1:1">
      <c r="A3792">
        <f t="shared" si="105"/>
        <v>3790</v>
      </c>
    </row>
    <row r="3793" spans="1:1">
      <c r="A3793">
        <f t="shared" si="105"/>
        <v>3791</v>
      </c>
    </row>
    <row r="3794" spans="1:1">
      <c r="A3794">
        <f t="shared" si="105"/>
        <v>3792</v>
      </c>
    </row>
    <row r="3795" spans="1:1">
      <c r="A3795">
        <f t="shared" si="105"/>
        <v>3793</v>
      </c>
    </row>
    <row r="3796" spans="1:1">
      <c r="A3796">
        <f t="shared" si="105"/>
        <v>3794</v>
      </c>
    </row>
    <row r="3797" spans="1:1">
      <c r="A3797">
        <f t="shared" si="105"/>
        <v>3795</v>
      </c>
    </row>
    <row r="3798" spans="1:1">
      <c r="A3798">
        <f t="shared" si="105"/>
        <v>3796</v>
      </c>
    </row>
    <row r="3799" spans="1:1">
      <c r="A3799">
        <f t="shared" si="105"/>
        <v>3797</v>
      </c>
    </row>
    <row r="3800" spans="1:1">
      <c r="A3800">
        <f t="shared" si="105"/>
        <v>3798</v>
      </c>
    </row>
    <row r="3801" spans="1:1">
      <c r="A3801">
        <f t="shared" si="105"/>
        <v>3799</v>
      </c>
    </row>
    <row r="3802" spans="1:1">
      <c r="A3802">
        <f t="shared" si="105"/>
        <v>3800</v>
      </c>
    </row>
    <row r="3803" spans="1:1">
      <c r="A3803">
        <f t="shared" si="105"/>
        <v>3801</v>
      </c>
    </row>
    <row r="3804" spans="1:1">
      <c r="A3804">
        <f t="shared" si="105"/>
        <v>3802</v>
      </c>
    </row>
    <row r="3805" spans="1:1">
      <c r="A3805">
        <f t="shared" si="105"/>
        <v>3803</v>
      </c>
    </row>
    <row r="3806" spans="1:1">
      <c r="A3806">
        <f t="shared" si="105"/>
        <v>3804</v>
      </c>
    </row>
    <row r="3807" spans="1:1">
      <c r="A3807">
        <f t="shared" si="105"/>
        <v>3805</v>
      </c>
    </row>
    <row r="3808" spans="1:1">
      <c r="A3808">
        <f t="shared" si="105"/>
        <v>3806</v>
      </c>
    </row>
    <row r="3809" spans="1:1">
      <c r="A3809">
        <f t="shared" si="105"/>
        <v>3807</v>
      </c>
    </row>
    <row r="3810" spans="1:1">
      <c r="A3810">
        <f t="shared" si="105"/>
        <v>3808</v>
      </c>
    </row>
    <row r="3811" spans="1:1">
      <c r="A3811">
        <f t="shared" si="105"/>
        <v>3809</v>
      </c>
    </row>
    <row r="3812" spans="1:1">
      <c r="A3812">
        <f t="shared" ref="A3812:A3875" si="106">A3811+1</f>
        <v>3810</v>
      </c>
    </row>
    <row r="3813" spans="1:1">
      <c r="A3813">
        <f t="shared" si="106"/>
        <v>3811</v>
      </c>
    </row>
    <row r="3814" spans="1:1">
      <c r="A3814">
        <f t="shared" si="106"/>
        <v>3812</v>
      </c>
    </row>
    <row r="3815" spans="1:1">
      <c r="A3815">
        <f t="shared" si="106"/>
        <v>3813</v>
      </c>
    </row>
    <row r="3816" spans="1:1">
      <c r="A3816">
        <f t="shared" si="106"/>
        <v>3814</v>
      </c>
    </row>
    <row r="3817" spans="1:1">
      <c r="A3817">
        <f t="shared" si="106"/>
        <v>3815</v>
      </c>
    </row>
    <row r="3818" spans="1:1">
      <c r="A3818">
        <f t="shared" si="106"/>
        <v>3816</v>
      </c>
    </row>
    <row r="3819" spans="1:1">
      <c r="A3819">
        <f t="shared" si="106"/>
        <v>3817</v>
      </c>
    </row>
    <row r="3820" spans="1:1">
      <c r="A3820">
        <f t="shared" si="106"/>
        <v>3818</v>
      </c>
    </row>
    <row r="3821" spans="1:1">
      <c r="A3821">
        <f t="shared" si="106"/>
        <v>3819</v>
      </c>
    </row>
    <row r="3822" spans="1:1">
      <c r="A3822">
        <f t="shared" si="106"/>
        <v>3820</v>
      </c>
    </row>
    <row r="3823" spans="1:1">
      <c r="A3823">
        <f t="shared" si="106"/>
        <v>3821</v>
      </c>
    </row>
    <row r="3824" spans="1:1">
      <c r="A3824">
        <f t="shared" si="106"/>
        <v>3822</v>
      </c>
    </row>
    <row r="3825" spans="1:1">
      <c r="A3825">
        <f t="shared" si="106"/>
        <v>3823</v>
      </c>
    </row>
    <row r="3826" spans="1:1">
      <c r="A3826">
        <f t="shared" si="106"/>
        <v>3824</v>
      </c>
    </row>
    <row r="3827" spans="1:1">
      <c r="A3827">
        <f t="shared" si="106"/>
        <v>3825</v>
      </c>
    </row>
    <row r="3828" spans="1:1">
      <c r="A3828">
        <f t="shared" si="106"/>
        <v>3826</v>
      </c>
    </row>
    <row r="3829" spans="1:1">
      <c r="A3829">
        <f t="shared" si="106"/>
        <v>3827</v>
      </c>
    </row>
    <row r="3830" spans="1:1">
      <c r="A3830">
        <f t="shared" si="106"/>
        <v>3828</v>
      </c>
    </row>
    <row r="3831" spans="1:1">
      <c r="A3831">
        <f t="shared" si="106"/>
        <v>3829</v>
      </c>
    </row>
    <row r="3832" spans="1:1">
      <c r="A3832">
        <f t="shared" si="106"/>
        <v>3830</v>
      </c>
    </row>
    <row r="3833" spans="1:1">
      <c r="A3833">
        <f t="shared" si="106"/>
        <v>3831</v>
      </c>
    </row>
    <row r="3834" spans="1:1">
      <c r="A3834">
        <f t="shared" si="106"/>
        <v>3832</v>
      </c>
    </row>
    <row r="3835" spans="1:1">
      <c r="A3835">
        <f t="shared" si="106"/>
        <v>3833</v>
      </c>
    </row>
    <row r="3836" spans="1:1">
      <c r="A3836">
        <f t="shared" si="106"/>
        <v>3834</v>
      </c>
    </row>
    <row r="3837" spans="1:1">
      <c r="A3837">
        <f t="shared" si="106"/>
        <v>3835</v>
      </c>
    </row>
    <row r="3838" spans="1:1">
      <c r="A3838">
        <f t="shared" si="106"/>
        <v>3836</v>
      </c>
    </row>
    <row r="3839" spans="1:1">
      <c r="A3839">
        <f t="shared" si="106"/>
        <v>3837</v>
      </c>
    </row>
    <row r="3840" spans="1:1">
      <c r="A3840">
        <f t="shared" si="106"/>
        <v>3838</v>
      </c>
    </row>
    <row r="3841" spans="1:1">
      <c r="A3841">
        <f t="shared" si="106"/>
        <v>3839</v>
      </c>
    </row>
    <row r="3842" spans="1:1">
      <c r="A3842">
        <f t="shared" si="106"/>
        <v>3840</v>
      </c>
    </row>
    <row r="3843" spans="1:1">
      <c r="A3843">
        <f t="shared" si="106"/>
        <v>3841</v>
      </c>
    </row>
    <row r="3844" spans="1:1">
      <c r="A3844">
        <f t="shared" si="106"/>
        <v>3842</v>
      </c>
    </row>
    <row r="3845" spans="1:1">
      <c r="A3845">
        <f t="shared" si="106"/>
        <v>3843</v>
      </c>
    </row>
    <row r="3846" spans="1:1">
      <c r="A3846">
        <f t="shared" si="106"/>
        <v>3844</v>
      </c>
    </row>
    <row r="3847" spans="1:1">
      <c r="A3847">
        <f t="shared" si="106"/>
        <v>3845</v>
      </c>
    </row>
    <row r="3848" spans="1:1">
      <c r="A3848">
        <f t="shared" si="106"/>
        <v>3846</v>
      </c>
    </row>
    <row r="3849" spans="1:1">
      <c r="A3849">
        <f t="shared" si="106"/>
        <v>3847</v>
      </c>
    </row>
    <row r="3850" spans="1:1">
      <c r="A3850">
        <f t="shared" si="106"/>
        <v>3848</v>
      </c>
    </row>
    <row r="3851" spans="1:1">
      <c r="A3851">
        <f t="shared" si="106"/>
        <v>3849</v>
      </c>
    </row>
    <row r="3852" spans="1:1">
      <c r="A3852">
        <f t="shared" si="106"/>
        <v>3850</v>
      </c>
    </row>
    <row r="3853" spans="1:1">
      <c r="A3853">
        <f t="shared" si="106"/>
        <v>3851</v>
      </c>
    </row>
    <row r="3854" spans="1:1">
      <c r="A3854">
        <f t="shared" si="106"/>
        <v>3852</v>
      </c>
    </row>
    <row r="3855" spans="1:1">
      <c r="A3855">
        <f t="shared" si="106"/>
        <v>3853</v>
      </c>
    </row>
    <row r="3856" spans="1:1">
      <c r="A3856">
        <f t="shared" si="106"/>
        <v>3854</v>
      </c>
    </row>
    <row r="3857" spans="1:1">
      <c r="A3857">
        <f t="shared" si="106"/>
        <v>3855</v>
      </c>
    </row>
    <row r="3858" spans="1:1">
      <c r="A3858">
        <f t="shared" si="106"/>
        <v>3856</v>
      </c>
    </row>
    <row r="3859" spans="1:1">
      <c r="A3859">
        <f t="shared" si="106"/>
        <v>3857</v>
      </c>
    </row>
    <row r="3860" spans="1:1">
      <c r="A3860">
        <f t="shared" si="106"/>
        <v>3858</v>
      </c>
    </row>
    <row r="3861" spans="1:1">
      <c r="A3861">
        <f t="shared" si="106"/>
        <v>3859</v>
      </c>
    </row>
    <row r="3862" spans="1:1">
      <c r="A3862">
        <f t="shared" si="106"/>
        <v>3860</v>
      </c>
    </row>
    <row r="3863" spans="1:1">
      <c r="A3863">
        <f t="shared" si="106"/>
        <v>3861</v>
      </c>
    </row>
    <row r="3864" spans="1:1">
      <c r="A3864">
        <f t="shared" si="106"/>
        <v>3862</v>
      </c>
    </row>
    <row r="3865" spans="1:1">
      <c r="A3865">
        <f t="shared" si="106"/>
        <v>3863</v>
      </c>
    </row>
    <row r="3866" spans="1:1">
      <c r="A3866">
        <f t="shared" si="106"/>
        <v>3864</v>
      </c>
    </row>
    <row r="3867" spans="1:1">
      <c r="A3867">
        <f t="shared" si="106"/>
        <v>3865</v>
      </c>
    </row>
    <row r="3868" spans="1:1">
      <c r="A3868">
        <f t="shared" si="106"/>
        <v>3866</v>
      </c>
    </row>
    <row r="3869" spans="1:1">
      <c r="A3869">
        <f t="shared" si="106"/>
        <v>3867</v>
      </c>
    </row>
    <row r="3870" spans="1:1">
      <c r="A3870">
        <f t="shared" si="106"/>
        <v>3868</v>
      </c>
    </row>
    <row r="3871" spans="1:1">
      <c r="A3871">
        <f t="shared" si="106"/>
        <v>3869</v>
      </c>
    </row>
    <row r="3872" spans="1:1">
      <c r="A3872">
        <f t="shared" si="106"/>
        <v>3870</v>
      </c>
    </row>
    <row r="3873" spans="1:1">
      <c r="A3873">
        <f t="shared" si="106"/>
        <v>3871</v>
      </c>
    </row>
    <row r="3874" spans="1:1">
      <c r="A3874">
        <f t="shared" si="106"/>
        <v>3872</v>
      </c>
    </row>
    <row r="3875" spans="1:1">
      <c r="A3875">
        <f t="shared" si="106"/>
        <v>3873</v>
      </c>
    </row>
    <row r="3876" spans="1:1">
      <c r="A3876">
        <f t="shared" ref="A3876:A3939" si="107">A3875+1</f>
        <v>3874</v>
      </c>
    </row>
    <row r="3877" spans="1:1">
      <c r="A3877">
        <f t="shared" si="107"/>
        <v>3875</v>
      </c>
    </row>
    <row r="3878" spans="1:1">
      <c r="A3878">
        <f t="shared" si="107"/>
        <v>3876</v>
      </c>
    </row>
    <row r="3879" spans="1:1">
      <c r="A3879">
        <f t="shared" si="107"/>
        <v>3877</v>
      </c>
    </row>
    <row r="3880" spans="1:1">
      <c r="A3880">
        <f t="shared" si="107"/>
        <v>3878</v>
      </c>
    </row>
    <row r="3881" spans="1:1">
      <c r="A3881">
        <f t="shared" si="107"/>
        <v>3879</v>
      </c>
    </row>
    <row r="3882" spans="1:1">
      <c r="A3882">
        <f t="shared" si="107"/>
        <v>3880</v>
      </c>
    </row>
    <row r="3883" spans="1:1">
      <c r="A3883">
        <f t="shared" si="107"/>
        <v>3881</v>
      </c>
    </row>
    <row r="3884" spans="1:1">
      <c r="A3884">
        <f t="shared" si="107"/>
        <v>3882</v>
      </c>
    </row>
    <row r="3885" spans="1:1">
      <c r="A3885">
        <f t="shared" si="107"/>
        <v>3883</v>
      </c>
    </row>
    <row r="3886" spans="1:1">
      <c r="A3886">
        <f t="shared" si="107"/>
        <v>3884</v>
      </c>
    </row>
    <row r="3887" spans="1:1">
      <c r="A3887">
        <f t="shared" si="107"/>
        <v>3885</v>
      </c>
    </row>
    <row r="3888" spans="1:1">
      <c r="A3888">
        <f t="shared" si="107"/>
        <v>3886</v>
      </c>
    </row>
    <row r="3889" spans="1:1">
      <c r="A3889">
        <f t="shared" si="107"/>
        <v>3887</v>
      </c>
    </row>
    <row r="3890" spans="1:1">
      <c r="A3890">
        <f t="shared" si="107"/>
        <v>3888</v>
      </c>
    </row>
    <row r="3891" spans="1:1">
      <c r="A3891">
        <f t="shared" si="107"/>
        <v>3889</v>
      </c>
    </row>
    <row r="3892" spans="1:1">
      <c r="A3892">
        <f t="shared" si="107"/>
        <v>3890</v>
      </c>
    </row>
    <row r="3893" spans="1:1">
      <c r="A3893">
        <f t="shared" si="107"/>
        <v>3891</v>
      </c>
    </row>
    <row r="3894" spans="1:1">
      <c r="A3894">
        <f t="shared" si="107"/>
        <v>3892</v>
      </c>
    </row>
    <row r="3895" spans="1:1">
      <c r="A3895">
        <f t="shared" si="107"/>
        <v>3893</v>
      </c>
    </row>
    <row r="3896" spans="1:1">
      <c r="A3896">
        <f t="shared" si="107"/>
        <v>3894</v>
      </c>
    </row>
    <row r="3897" spans="1:1">
      <c r="A3897">
        <f t="shared" si="107"/>
        <v>3895</v>
      </c>
    </row>
    <row r="3898" spans="1:1">
      <c r="A3898">
        <f t="shared" si="107"/>
        <v>3896</v>
      </c>
    </row>
    <row r="3899" spans="1:1">
      <c r="A3899">
        <f t="shared" si="107"/>
        <v>3897</v>
      </c>
    </row>
    <row r="3900" spans="1:1">
      <c r="A3900">
        <f t="shared" si="107"/>
        <v>3898</v>
      </c>
    </row>
    <row r="3901" spans="1:1">
      <c r="A3901">
        <f t="shared" si="107"/>
        <v>3899</v>
      </c>
    </row>
    <row r="3902" spans="1:1">
      <c r="A3902">
        <f t="shared" si="107"/>
        <v>3900</v>
      </c>
    </row>
    <row r="3903" spans="1:1">
      <c r="A3903">
        <f t="shared" si="107"/>
        <v>3901</v>
      </c>
    </row>
    <row r="3904" spans="1:1">
      <c r="A3904">
        <f t="shared" si="107"/>
        <v>3902</v>
      </c>
    </row>
    <row r="3905" spans="1:1">
      <c r="A3905">
        <f t="shared" si="107"/>
        <v>3903</v>
      </c>
    </row>
    <row r="3906" spans="1:1">
      <c r="A3906">
        <f t="shared" si="107"/>
        <v>3904</v>
      </c>
    </row>
    <row r="3907" spans="1:1">
      <c r="A3907">
        <f t="shared" si="107"/>
        <v>3905</v>
      </c>
    </row>
    <row r="3908" spans="1:1">
      <c r="A3908">
        <f t="shared" si="107"/>
        <v>3906</v>
      </c>
    </row>
    <row r="3909" spans="1:1">
      <c r="A3909">
        <f t="shared" si="107"/>
        <v>3907</v>
      </c>
    </row>
    <row r="3910" spans="1:1">
      <c r="A3910">
        <f t="shared" si="107"/>
        <v>3908</v>
      </c>
    </row>
    <row r="3911" spans="1:1">
      <c r="A3911">
        <f t="shared" si="107"/>
        <v>3909</v>
      </c>
    </row>
    <row r="3912" spans="1:1">
      <c r="A3912">
        <f t="shared" si="107"/>
        <v>3910</v>
      </c>
    </row>
    <row r="3913" spans="1:1">
      <c r="A3913">
        <f t="shared" si="107"/>
        <v>3911</v>
      </c>
    </row>
    <row r="3914" spans="1:1">
      <c r="A3914">
        <f t="shared" si="107"/>
        <v>3912</v>
      </c>
    </row>
    <row r="3915" spans="1:1">
      <c r="A3915">
        <f t="shared" si="107"/>
        <v>3913</v>
      </c>
    </row>
    <row r="3916" spans="1:1">
      <c r="A3916">
        <f t="shared" si="107"/>
        <v>3914</v>
      </c>
    </row>
    <row r="3917" spans="1:1">
      <c r="A3917">
        <f t="shared" si="107"/>
        <v>3915</v>
      </c>
    </row>
    <row r="3918" spans="1:1">
      <c r="A3918">
        <f t="shared" si="107"/>
        <v>3916</v>
      </c>
    </row>
    <row r="3919" spans="1:1">
      <c r="A3919">
        <f t="shared" si="107"/>
        <v>3917</v>
      </c>
    </row>
    <row r="3920" spans="1:1">
      <c r="A3920">
        <f t="shared" si="107"/>
        <v>3918</v>
      </c>
    </row>
    <row r="3921" spans="1:1">
      <c r="A3921">
        <f t="shared" si="107"/>
        <v>3919</v>
      </c>
    </row>
    <row r="3922" spans="1:1">
      <c r="A3922">
        <f t="shared" si="107"/>
        <v>3920</v>
      </c>
    </row>
    <row r="3923" spans="1:1">
      <c r="A3923">
        <f t="shared" si="107"/>
        <v>3921</v>
      </c>
    </row>
    <row r="3924" spans="1:1">
      <c r="A3924">
        <f t="shared" si="107"/>
        <v>3922</v>
      </c>
    </row>
    <row r="3925" spans="1:1">
      <c r="A3925">
        <f t="shared" si="107"/>
        <v>3923</v>
      </c>
    </row>
    <row r="3926" spans="1:1">
      <c r="A3926">
        <f t="shared" si="107"/>
        <v>3924</v>
      </c>
    </row>
    <row r="3927" spans="1:1">
      <c r="A3927">
        <f t="shared" si="107"/>
        <v>3925</v>
      </c>
    </row>
    <row r="3928" spans="1:1">
      <c r="A3928">
        <f t="shared" si="107"/>
        <v>3926</v>
      </c>
    </row>
    <row r="3929" spans="1:1">
      <c r="A3929">
        <f t="shared" si="107"/>
        <v>3927</v>
      </c>
    </row>
    <row r="3930" spans="1:1">
      <c r="A3930">
        <f t="shared" si="107"/>
        <v>3928</v>
      </c>
    </row>
    <row r="3931" spans="1:1">
      <c r="A3931">
        <f t="shared" si="107"/>
        <v>3929</v>
      </c>
    </row>
    <row r="3932" spans="1:1">
      <c r="A3932">
        <f t="shared" si="107"/>
        <v>3930</v>
      </c>
    </row>
    <row r="3933" spans="1:1">
      <c r="A3933">
        <f t="shared" si="107"/>
        <v>3931</v>
      </c>
    </row>
    <row r="3934" spans="1:1">
      <c r="A3934">
        <f t="shared" si="107"/>
        <v>3932</v>
      </c>
    </row>
    <row r="3935" spans="1:1">
      <c r="A3935">
        <f t="shared" si="107"/>
        <v>3933</v>
      </c>
    </row>
    <row r="3936" spans="1:1">
      <c r="A3936">
        <f t="shared" si="107"/>
        <v>3934</v>
      </c>
    </row>
    <row r="3937" spans="1:1">
      <c r="A3937">
        <f t="shared" si="107"/>
        <v>3935</v>
      </c>
    </row>
    <row r="3938" spans="1:1">
      <c r="A3938">
        <f t="shared" si="107"/>
        <v>3936</v>
      </c>
    </row>
    <row r="3939" spans="1:1">
      <c r="A3939">
        <f t="shared" si="107"/>
        <v>3937</v>
      </c>
    </row>
    <row r="3940" spans="1:1">
      <c r="A3940">
        <f t="shared" ref="A3940:A4003" si="108">A3939+1</f>
        <v>3938</v>
      </c>
    </row>
    <row r="3941" spans="1:1">
      <c r="A3941">
        <f t="shared" si="108"/>
        <v>3939</v>
      </c>
    </row>
    <row r="3942" spans="1:1">
      <c r="A3942">
        <f t="shared" si="108"/>
        <v>3940</v>
      </c>
    </row>
    <row r="3943" spans="1:1">
      <c r="A3943">
        <f t="shared" si="108"/>
        <v>3941</v>
      </c>
    </row>
    <row r="3944" spans="1:1">
      <c r="A3944">
        <f t="shared" si="108"/>
        <v>3942</v>
      </c>
    </row>
    <row r="3945" spans="1:1">
      <c r="A3945">
        <f t="shared" si="108"/>
        <v>3943</v>
      </c>
    </row>
    <row r="3946" spans="1:1">
      <c r="A3946">
        <f t="shared" si="108"/>
        <v>3944</v>
      </c>
    </row>
    <row r="3947" spans="1:1">
      <c r="A3947">
        <f t="shared" si="108"/>
        <v>3945</v>
      </c>
    </row>
    <row r="3948" spans="1:1">
      <c r="A3948">
        <f t="shared" si="108"/>
        <v>3946</v>
      </c>
    </row>
    <row r="3949" spans="1:1">
      <c r="A3949">
        <f t="shared" si="108"/>
        <v>3947</v>
      </c>
    </row>
    <row r="3950" spans="1:1">
      <c r="A3950">
        <f t="shared" si="108"/>
        <v>3948</v>
      </c>
    </row>
    <row r="3951" spans="1:1">
      <c r="A3951">
        <f t="shared" si="108"/>
        <v>3949</v>
      </c>
    </row>
    <row r="3952" spans="1:1">
      <c r="A3952">
        <f t="shared" si="108"/>
        <v>3950</v>
      </c>
    </row>
    <row r="3953" spans="1:1">
      <c r="A3953">
        <f t="shared" si="108"/>
        <v>3951</v>
      </c>
    </row>
    <row r="3954" spans="1:1">
      <c r="A3954">
        <f t="shared" si="108"/>
        <v>3952</v>
      </c>
    </row>
    <row r="3955" spans="1:1">
      <c r="A3955">
        <f t="shared" si="108"/>
        <v>3953</v>
      </c>
    </row>
    <row r="3956" spans="1:1">
      <c r="A3956">
        <f t="shared" si="108"/>
        <v>3954</v>
      </c>
    </row>
    <row r="3957" spans="1:1">
      <c r="A3957">
        <f t="shared" si="108"/>
        <v>3955</v>
      </c>
    </row>
    <row r="3958" spans="1:1">
      <c r="A3958">
        <f t="shared" si="108"/>
        <v>3956</v>
      </c>
    </row>
    <row r="3959" spans="1:1">
      <c r="A3959">
        <f t="shared" si="108"/>
        <v>3957</v>
      </c>
    </row>
    <row r="3960" spans="1:1">
      <c r="A3960">
        <f t="shared" si="108"/>
        <v>3958</v>
      </c>
    </row>
    <row r="3961" spans="1:1">
      <c r="A3961">
        <f t="shared" si="108"/>
        <v>3959</v>
      </c>
    </row>
    <row r="3962" spans="1:1">
      <c r="A3962">
        <f t="shared" si="108"/>
        <v>3960</v>
      </c>
    </row>
    <row r="3963" spans="1:1">
      <c r="A3963">
        <f t="shared" si="108"/>
        <v>3961</v>
      </c>
    </row>
    <row r="3964" spans="1:1">
      <c r="A3964">
        <f t="shared" si="108"/>
        <v>3962</v>
      </c>
    </row>
    <row r="3965" spans="1:1">
      <c r="A3965">
        <f t="shared" si="108"/>
        <v>3963</v>
      </c>
    </row>
    <row r="3966" spans="1:1">
      <c r="A3966">
        <f t="shared" si="108"/>
        <v>3964</v>
      </c>
    </row>
    <row r="3967" spans="1:1">
      <c r="A3967">
        <f t="shared" si="108"/>
        <v>3965</v>
      </c>
    </row>
    <row r="3968" spans="1:1">
      <c r="A3968">
        <f t="shared" si="108"/>
        <v>3966</v>
      </c>
    </row>
    <row r="3969" spans="1:1">
      <c r="A3969">
        <f t="shared" si="108"/>
        <v>3967</v>
      </c>
    </row>
    <row r="3970" spans="1:1">
      <c r="A3970">
        <f t="shared" si="108"/>
        <v>3968</v>
      </c>
    </row>
    <row r="3971" spans="1:1">
      <c r="A3971">
        <f t="shared" si="108"/>
        <v>3969</v>
      </c>
    </row>
    <row r="3972" spans="1:1">
      <c r="A3972">
        <f t="shared" si="108"/>
        <v>3970</v>
      </c>
    </row>
    <row r="3973" spans="1:1">
      <c r="A3973">
        <f t="shared" si="108"/>
        <v>3971</v>
      </c>
    </row>
    <row r="3974" spans="1:1">
      <c r="A3974">
        <f t="shared" si="108"/>
        <v>3972</v>
      </c>
    </row>
    <row r="3975" spans="1:1">
      <c r="A3975">
        <f t="shared" si="108"/>
        <v>3973</v>
      </c>
    </row>
    <row r="3976" spans="1:1">
      <c r="A3976">
        <f t="shared" si="108"/>
        <v>3974</v>
      </c>
    </row>
    <row r="3977" spans="1:1">
      <c r="A3977">
        <f t="shared" si="108"/>
        <v>3975</v>
      </c>
    </row>
    <row r="3978" spans="1:1">
      <c r="A3978">
        <f t="shared" si="108"/>
        <v>3976</v>
      </c>
    </row>
    <row r="3979" spans="1:1">
      <c r="A3979">
        <f t="shared" si="108"/>
        <v>3977</v>
      </c>
    </row>
    <row r="3980" spans="1:1">
      <c r="A3980">
        <f t="shared" si="108"/>
        <v>3978</v>
      </c>
    </row>
    <row r="3981" spans="1:1">
      <c r="A3981">
        <f t="shared" si="108"/>
        <v>3979</v>
      </c>
    </row>
    <row r="3982" spans="1:1">
      <c r="A3982">
        <f t="shared" si="108"/>
        <v>3980</v>
      </c>
    </row>
    <row r="3983" spans="1:1">
      <c r="A3983">
        <f t="shared" si="108"/>
        <v>3981</v>
      </c>
    </row>
    <row r="3984" spans="1:1">
      <c r="A3984">
        <f t="shared" si="108"/>
        <v>3982</v>
      </c>
    </row>
    <row r="3985" spans="1:1">
      <c r="A3985">
        <f t="shared" si="108"/>
        <v>3983</v>
      </c>
    </row>
    <row r="3986" spans="1:1">
      <c r="A3986">
        <f t="shared" si="108"/>
        <v>3984</v>
      </c>
    </row>
    <row r="3987" spans="1:1">
      <c r="A3987">
        <f t="shared" si="108"/>
        <v>3985</v>
      </c>
    </row>
    <row r="3988" spans="1:1">
      <c r="A3988">
        <f t="shared" si="108"/>
        <v>3986</v>
      </c>
    </row>
    <row r="3989" spans="1:1">
      <c r="A3989">
        <f t="shared" si="108"/>
        <v>3987</v>
      </c>
    </row>
    <row r="3990" spans="1:1">
      <c r="A3990">
        <f t="shared" si="108"/>
        <v>3988</v>
      </c>
    </row>
    <row r="3991" spans="1:1">
      <c r="A3991">
        <f t="shared" si="108"/>
        <v>3989</v>
      </c>
    </row>
    <row r="3992" spans="1:1">
      <c r="A3992">
        <f t="shared" si="108"/>
        <v>3990</v>
      </c>
    </row>
    <row r="3993" spans="1:1">
      <c r="A3993">
        <f t="shared" si="108"/>
        <v>3991</v>
      </c>
    </row>
    <row r="3994" spans="1:1">
      <c r="A3994">
        <f t="shared" si="108"/>
        <v>3992</v>
      </c>
    </row>
    <row r="3995" spans="1:1">
      <c r="A3995">
        <f t="shared" si="108"/>
        <v>3993</v>
      </c>
    </row>
    <row r="3996" spans="1:1">
      <c r="A3996">
        <f t="shared" si="108"/>
        <v>3994</v>
      </c>
    </row>
    <row r="3997" spans="1:1">
      <c r="A3997">
        <f t="shared" si="108"/>
        <v>3995</v>
      </c>
    </row>
    <row r="3998" spans="1:1">
      <c r="A3998">
        <f t="shared" si="108"/>
        <v>3996</v>
      </c>
    </row>
    <row r="3999" spans="1:1">
      <c r="A3999">
        <f t="shared" si="108"/>
        <v>3997</v>
      </c>
    </row>
    <row r="4000" spans="1:1">
      <c r="A4000">
        <f t="shared" si="108"/>
        <v>3998</v>
      </c>
    </row>
    <row r="4001" spans="1:1">
      <c r="A4001">
        <f t="shared" si="108"/>
        <v>3999</v>
      </c>
    </row>
    <row r="4002" spans="1:1">
      <c r="A4002">
        <f t="shared" si="108"/>
        <v>4000</v>
      </c>
    </row>
    <row r="4003" spans="1:1">
      <c r="A4003">
        <f t="shared" si="108"/>
        <v>4001</v>
      </c>
    </row>
    <row r="4004" spans="1:1">
      <c r="A4004">
        <f t="shared" ref="A4004:A4067" si="109">A4003+1</f>
        <v>4002</v>
      </c>
    </row>
    <row r="4005" spans="1:1">
      <c r="A4005">
        <f t="shared" si="109"/>
        <v>4003</v>
      </c>
    </row>
    <row r="4006" spans="1:1">
      <c r="A4006">
        <f t="shared" si="109"/>
        <v>4004</v>
      </c>
    </row>
    <row r="4007" spans="1:1">
      <c r="A4007">
        <f t="shared" si="109"/>
        <v>4005</v>
      </c>
    </row>
    <row r="4008" spans="1:1">
      <c r="A4008">
        <f t="shared" si="109"/>
        <v>4006</v>
      </c>
    </row>
    <row r="4009" spans="1:1">
      <c r="A4009">
        <f t="shared" si="109"/>
        <v>4007</v>
      </c>
    </row>
    <row r="4010" spans="1:1">
      <c r="A4010">
        <f t="shared" si="109"/>
        <v>4008</v>
      </c>
    </row>
    <row r="4011" spans="1:1">
      <c r="A4011">
        <f t="shared" si="109"/>
        <v>4009</v>
      </c>
    </row>
    <row r="4012" spans="1:1">
      <c r="A4012">
        <f t="shared" si="109"/>
        <v>4010</v>
      </c>
    </row>
    <row r="4013" spans="1:1">
      <c r="A4013">
        <f t="shared" si="109"/>
        <v>4011</v>
      </c>
    </row>
    <row r="4014" spans="1:1">
      <c r="A4014">
        <f t="shared" si="109"/>
        <v>4012</v>
      </c>
    </row>
    <row r="4015" spans="1:1">
      <c r="A4015">
        <f t="shared" si="109"/>
        <v>4013</v>
      </c>
    </row>
    <row r="4016" spans="1:1">
      <c r="A4016">
        <f t="shared" si="109"/>
        <v>4014</v>
      </c>
    </row>
    <row r="4017" spans="1:1">
      <c r="A4017">
        <f t="shared" si="109"/>
        <v>4015</v>
      </c>
    </row>
    <row r="4018" spans="1:1">
      <c r="A4018">
        <f t="shared" si="109"/>
        <v>4016</v>
      </c>
    </row>
    <row r="4019" spans="1:1">
      <c r="A4019">
        <f t="shared" si="109"/>
        <v>4017</v>
      </c>
    </row>
    <row r="4020" spans="1:1">
      <c r="A4020">
        <f t="shared" si="109"/>
        <v>4018</v>
      </c>
    </row>
    <row r="4021" spans="1:1">
      <c r="A4021">
        <f t="shared" si="109"/>
        <v>4019</v>
      </c>
    </row>
    <row r="4022" spans="1:1">
      <c r="A4022">
        <f t="shared" si="109"/>
        <v>4020</v>
      </c>
    </row>
    <row r="4023" spans="1:1">
      <c r="A4023">
        <f t="shared" si="109"/>
        <v>4021</v>
      </c>
    </row>
    <row r="4024" spans="1:1">
      <c r="A4024">
        <f t="shared" si="109"/>
        <v>4022</v>
      </c>
    </row>
    <row r="4025" spans="1:1">
      <c r="A4025">
        <f t="shared" si="109"/>
        <v>4023</v>
      </c>
    </row>
    <row r="4026" spans="1:1">
      <c r="A4026">
        <f t="shared" si="109"/>
        <v>4024</v>
      </c>
    </row>
    <row r="4027" spans="1:1">
      <c r="A4027">
        <f t="shared" si="109"/>
        <v>4025</v>
      </c>
    </row>
    <row r="4028" spans="1:1">
      <c r="A4028">
        <f t="shared" si="109"/>
        <v>4026</v>
      </c>
    </row>
    <row r="4029" spans="1:1">
      <c r="A4029">
        <f t="shared" si="109"/>
        <v>4027</v>
      </c>
    </row>
    <row r="4030" spans="1:1">
      <c r="A4030">
        <f t="shared" si="109"/>
        <v>4028</v>
      </c>
    </row>
    <row r="4031" spans="1:1">
      <c r="A4031">
        <f t="shared" si="109"/>
        <v>4029</v>
      </c>
    </row>
    <row r="4032" spans="1:1">
      <c r="A4032">
        <f t="shared" si="109"/>
        <v>4030</v>
      </c>
    </row>
    <row r="4033" spans="1:1">
      <c r="A4033">
        <f t="shared" si="109"/>
        <v>4031</v>
      </c>
    </row>
    <row r="4034" spans="1:1">
      <c r="A4034">
        <f t="shared" si="109"/>
        <v>4032</v>
      </c>
    </row>
    <row r="4035" spans="1:1">
      <c r="A4035">
        <f t="shared" si="109"/>
        <v>4033</v>
      </c>
    </row>
    <row r="4036" spans="1:1">
      <c r="A4036">
        <f t="shared" si="109"/>
        <v>4034</v>
      </c>
    </row>
    <row r="4037" spans="1:1">
      <c r="A4037">
        <f t="shared" si="109"/>
        <v>4035</v>
      </c>
    </row>
    <row r="4038" spans="1:1">
      <c r="A4038">
        <f t="shared" si="109"/>
        <v>4036</v>
      </c>
    </row>
    <row r="4039" spans="1:1">
      <c r="A4039">
        <f t="shared" si="109"/>
        <v>4037</v>
      </c>
    </row>
    <row r="4040" spans="1:1">
      <c r="A4040">
        <f t="shared" si="109"/>
        <v>4038</v>
      </c>
    </row>
    <row r="4041" spans="1:1">
      <c r="A4041">
        <f t="shared" si="109"/>
        <v>4039</v>
      </c>
    </row>
    <row r="4042" spans="1:1">
      <c r="A4042">
        <f t="shared" si="109"/>
        <v>4040</v>
      </c>
    </row>
    <row r="4043" spans="1:1">
      <c r="A4043">
        <f t="shared" si="109"/>
        <v>4041</v>
      </c>
    </row>
    <row r="4044" spans="1:1">
      <c r="A4044">
        <f t="shared" si="109"/>
        <v>4042</v>
      </c>
    </row>
    <row r="4045" spans="1:1">
      <c r="A4045">
        <f t="shared" si="109"/>
        <v>4043</v>
      </c>
    </row>
    <row r="4046" spans="1:1">
      <c r="A4046">
        <f t="shared" si="109"/>
        <v>4044</v>
      </c>
    </row>
    <row r="4047" spans="1:1">
      <c r="A4047">
        <f t="shared" si="109"/>
        <v>4045</v>
      </c>
    </row>
    <row r="4048" spans="1:1">
      <c r="A4048">
        <f t="shared" si="109"/>
        <v>4046</v>
      </c>
    </row>
    <row r="4049" spans="1:1">
      <c r="A4049">
        <f t="shared" si="109"/>
        <v>4047</v>
      </c>
    </row>
    <row r="4050" spans="1:1">
      <c r="A4050">
        <f t="shared" si="109"/>
        <v>4048</v>
      </c>
    </row>
    <row r="4051" spans="1:1">
      <c r="A4051">
        <f t="shared" si="109"/>
        <v>4049</v>
      </c>
    </row>
    <row r="4052" spans="1:1">
      <c r="A4052">
        <f t="shared" si="109"/>
        <v>4050</v>
      </c>
    </row>
    <row r="4053" spans="1:1">
      <c r="A4053">
        <f t="shared" si="109"/>
        <v>4051</v>
      </c>
    </row>
    <row r="4054" spans="1:1">
      <c r="A4054">
        <f t="shared" si="109"/>
        <v>4052</v>
      </c>
    </row>
    <row r="4055" spans="1:1">
      <c r="A4055">
        <f t="shared" si="109"/>
        <v>4053</v>
      </c>
    </row>
    <row r="4056" spans="1:1">
      <c r="A4056">
        <f t="shared" si="109"/>
        <v>4054</v>
      </c>
    </row>
    <row r="4057" spans="1:1">
      <c r="A4057">
        <f t="shared" si="109"/>
        <v>4055</v>
      </c>
    </row>
    <row r="4058" spans="1:1">
      <c r="A4058">
        <f t="shared" si="109"/>
        <v>4056</v>
      </c>
    </row>
    <row r="4059" spans="1:1">
      <c r="A4059">
        <f t="shared" si="109"/>
        <v>4057</v>
      </c>
    </row>
    <row r="4060" spans="1:1">
      <c r="A4060">
        <f t="shared" si="109"/>
        <v>4058</v>
      </c>
    </row>
    <row r="4061" spans="1:1">
      <c r="A4061">
        <f t="shared" si="109"/>
        <v>4059</v>
      </c>
    </row>
    <row r="4062" spans="1:1">
      <c r="A4062">
        <f t="shared" si="109"/>
        <v>4060</v>
      </c>
    </row>
    <row r="4063" spans="1:1">
      <c r="A4063">
        <f t="shared" si="109"/>
        <v>4061</v>
      </c>
    </row>
    <row r="4064" spans="1:1">
      <c r="A4064">
        <f t="shared" si="109"/>
        <v>4062</v>
      </c>
    </row>
    <row r="4065" spans="1:1">
      <c r="A4065">
        <f t="shared" si="109"/>
        <v>4063</v>
      </c>
    </row>
    <row r="4066" spans="1:1">
      <c r="A4066">
        <f t="shared" si="109"/>
        <v>4064</v>
      </c>
    </row>
    <row r="4067" spans="1:1">
      <c r="A4067">
        <f t="shared" si="109"/>
        <v>4065</v>
      </c>
    </row>
    <row r="4068" spans="1:1">
      <c r="A4068">
        <f t="shared" ref="A4068:A4131" si="110">A4067+1</f>
        <v>4066</v>
      </c>
    </row>
    <row r="4069" spans="1:1">
      <c r="A4069">
        <f t="shared" si="110"/>
        <v>4067</v>
      </c>
    </row>
    <row r="4070" spans="1:1">
      <c r="A4070">
        <f t="shared" si="110"/>
        <v>4068</v>
      </c>
    </row>
    <row r="4071" spans="1:1">
      <c r="A4071">
        <f t="shared" si="110"/>
        <v>4069</v>
      </c>
    </row>
    <row r="4072" spans="1:1">
      <c r="A4072">
        <f t="shared" si="110"/>
        <v>4070</v>
      </c>
    </row>
    <row r="4073" spans="1:1">
      <c r="A4073">
        <f t="shared" si="110"/>
        <v>4071</v>
      </c>
    </row>
    <row r="4074" spans="1:1">
      <c r="A4074">
        <f t="shared" si="110"/>
        <v>4072</v>
      </c>
    </row>
    <row r="4075" spans="1:1">
      <c r="A4075">
        <f t="shared" si="110"/>
        <v>4073</v>
      </c>
    </row>
    <row r="4076" spans="1:1">
      <c r="A4076">
        <f t="shared" si="110"/>
        <v>4074</v>
      </c>
    </row>
    <row r="4077" spans="1:1">
      <c r="A4077">
        <f t="shared" si="110"/>
        <v>4075</v>
      </c>
    </row>
    <row r="4078" spans="1:1">
      <c r="A4078">
        <f t="shared" si="110"/>
        <v>4076</v>
      </c>
    </row>
    <row r="4079" spans="1:1">
      <c r="A4079">
        <f t="shared" si="110"/>
        <v>4077</v>
      </c>
    </row>
    <row r="4080" spans="1:1">
      <c r="A4080">
        <f t="shared" si="110"/>
        <v>4078</v>
      </c>
    </row>
    <row r="4081" spans="1:1">
      <c r="A4081">
        <f t="shared" si="110"/>
        <v>4079</v>
      </c>
    </row>
    <row r="4082" spans="1:1">
      <c r="A4082">
        <f t="shared" si="110"/>
        <v>4080</v>
      </c>
    </row>
    <row r="4083" spans="1:1">
      <c r="A4083">
        <f t="shared" si="110"/>
        <v>4081</v>
      </c>
    </row>
    <row r="4084" spans="1:1">
      <c r="A4084">
        <f t="shared" si="110"/>
        <v>4082</v>
      </c>
    </row>
    <row r="4085" spans="1:1">
      <c r="A4085">
        <f t="shared" si="110"/>
        <v>4083</v>
      </c>
    </row>
    <row r="4086" spans="1:1">
      <c r="A4086">
        <f t="shared" si="110"/>
        <v>4084</v>
      </c>
    </row>
    <row r="4087" spans="1:1">
      <c r="A4087">
        <f t="shared" si="110"/>
        <v>4085</v>
      </c>
    </row>
    <row r="4088" spans="1:1">
      <c r="A4088">
        <f t="shared" si="110"/>
        <v>4086</v>
      </c>
    </row>
    <row r="4089" spans="1:1">
      <c r="A4089">
        <f t="shared" si="110"/>
        <v>4087</v>
      </c>
    </row>
    <row r="4090" spans="1:1">
      <c r="A4090">
        <f t="shared" si="110"/>
        <v>4088</v>
      </c>
    </row>
    <row r="4091" spans="1:1">
      <c r="A4091">
        <f t="shared" si="110"/>
        <v>4089</v>
      </c>
    </row>
    <row r="4092" spans="1:1">
      <c r="A4092">
        <f t="shared" si="110"/>
        <v>4090</v>
      </c>
    </row>
    <row r="4093" spans="1:1">
      <c r="A4093">
        <f t="shared" si="110"/>
        <v>4091</v>
      </c>
    </row>
    <row r="4094" spans="1:1">
      <c r="A4094">
        <f t="shared" si="110"/>
        <v>4092</v>
      </c>
    </row>
    <row r="4095" spans="1:1">
      <c r="A4095">
        <f t="shared" si="110"/>
        <v>4093</v>
      </c>
    </row>
    <row r="4096" spans="1:1">
      <c r="A4096">
        <f t="shared" si="110"/>
        <v>4094</v>
      </c>
    </row>
    <row r="4097" spans="1:1">
      <c r="A4097">
        <f t="shared" si="110"/>
        <v>4095</v>
      </c>
    </row>
    <row r="4098" spans="1:1">
      <c r="A4098">
        <f t="shared" si="110"/>
        <v>4096</v>
      </c>
    </row>
    <row r="4099" spans="1:1">
      <c r="A4099">
        <f t="shared" si="110"/>
        <v>4097</v>
      </c>
    </row>
    <row r="4100" spans="1:1">
      <c r="A4100">
        <f t="shared" si="110"/>
        <v>4098</v>
      </c>
    </row>
    <row r="4101" spans="1:1">
      <c r="A4101">
        <f t="shared" si="110"/>
        <v>4099</v>
      </c>
    </row>
    <row r="4102" spans="1:1">
      <c r="A4102">
        <f t="shared" si="110"/>
        <v>4100</v>
      </c>
    </row>
    <row r="4103" spans="1:1">
      <c r="A4103">
        <f t="shared" si="110"/>
        <v>4101</v>
      </c>
    </row>
    <row r="4104" spans="1:1">
      <c r="A4104">
        <f t="shared" si="110"/>
        <v>4102</v>
      </c>
    </row>
    <row r="4105" spans="1:1">
      <c r="A4105">
        <f t="shared" si="110"/>
        <v>4103</v>
      </c>
    </row>
    <row r="4106" spans="1:1">
      <c r="A4106">
        <f t="shared" si="110"/>
        <v>4104</v>
      </c>
    </row>
    <row r="4107" spans="1:1">
      <c r="A4107">
        <f t="shared" si="110"/>
        <v>4105</v>
      </c>
    </row>
    <row r="4108" spans="1:1">
      <c r="A4108">
        <f t="shared" si="110"/>
        <v>4106</v>
      </c>
    </row>
    <row r="4109" spans="1:1">
      <c r="A4109">
        <f t="shared" si="110"/>
        <v>4107</v>
      </c>
    </row>
    <row r="4110" spans="1:1">
      <c r="A4110">
        <f t="shared" si="110"/>
        <v>4108</v>
      </c>
    </row>
    <row r="4111" spans="1:1">
      <c r="A4111">
        <f t="shared" si="110"/>
        <v>4109</v>
      </c>
    </row>
    <row r="4112" spans="1:1">
      <c r="A4112">
        <f t="shared" si="110"/>
        <v>4110</v>
      </c>
    </row>
    <row r="4113" spans="1:1">
      <c r="A4113">
        <f t="shared" si="110"/>
        <v>4111</v>
      </c>
    </row>
    <row r="4114" spans="1:1">
      <c r="A4114">
        <f t="shared" si="110"/>
        <v>4112</v>
      </c>
    </row>
    <row r="4115" spans="1:1">
      <c r="A4115">
        <f t="shared" si="110"/>
        <v>4113</v>
      </c>
    </row>
    <row r="4116" spans="1:1">
      <c r="A4116">
        <f t="shared" si="110"/>
        <v>4114</v>
      </c>
    </row>
    <row r="4117" spans="1:1">
      <c r="A4117">
        <f t="shared" si="110"/>
        <v>4115</v>
      </c>
    </row>
    <row r="4118" spans="1:1">
      <c r="A4118">
        <f t="shared" si="110"/>
        <v>4116</v>
      </c>
    </row>
    <row r="4119" spans="1:1">
      <c r="A4119">
        <f t="shared" si="110"/>
        <v>4117</v>
      </c>
    </row>
    <row r="4120" spans="1:1">
      <c r="A4120">
        <f t="shared" si="110"/>
        <v>4118</v>
      </c>
    </row>
    <row r="4121" spans="1:1">
      <c r="A4121">
        <f t="shared" si="110"/>
        <v>4119</v>
      </c>
    </row>
    <row r="4122" spans="1:1">
      <c r="A4122">
        <f t="shared" si="110"/>
        <v>4120</v>
      </c>
    </row>
    <row r="4123" spans="1:1">
      <c r="A4123">
        <f t="shared" si="110"/>
        <v>4121</v>
      </c>
    </row>
    <row r="4124" spans="1:1">
      <c r="A4124">
        <f t="shared" si="110"/>
        <v>4122</v>
      </c>
    </row>
    <row r="4125" spans="1:1">
      <c r="A4125">
        <f t="shared" si="110"/>
        <v>4123</v>
      </c>
    </row>
    <row r="4126" spans="1:1">
      <c r="A4126">
        <f t="shared" si="110"/>
        <v>4124</v>
      </c>
    </row>
    <row r="4127" spans="1:1">
      <c r="A4127">
        <f t="shared" si="110"/>
        <v>4125</v>
      </c>
    </row>
    <row r="4128" spans="1:1">
      <c r="A4128">
        <f t="shared" si="110"/>
        <v>4126</v>
      </c>
    </row>
    <row r="4129" spans="1:1">
      <c r="A4129">
        <f t="shared" si="110"/>
        <v>4127</v>
      </c>
    </row>
    <row r="4130" spans="1:1">
      <c r="A4130">
        <f t="shared" si="110"/>
        <v>4128</v>
      </c>
    </row>
    <row r="4131" spans="1:1">
      <c r="A4131">
        <f t="shared" si="110"/>
        <v>4129</v>
      </c>
    </row>
    <row r="4132" spans="1:1">
      <c r="A4132">
        <f t="shared" ref="A4132:A4195" si="111">A4131+1</f>
        <v>4130</v>
      </c>
    </row>
    <row r="4133" spans="1:1">
      <c r="A4133">
        <f t="shared" si="111"/>
        <v>4131</v>
      </c>
    </row>
    <row r="4134" spans="1:1">
      <c r="A4134">
        <f t="shared" si="111"/>
        <v>4132</v>
      </c>
    </row>
    <row r="4135" spans="1:1">
      <c r="A4135">
        <f t="shared" si="111"/>
        <v>4133</v>
      </c>
    </row>
    <row r="4136" spans="1:1">
      <c r="A4136">
        <f t="shared" si="111"/>
        <v>4134</v>
      </c>
    </row>
    <row r="4137" spans="1:1">
      <c r="A4137">
        <f t="shared" si="111"/>
        <v>4135</v>
      </c>
    </row>
    <row r="4138" spans="1:1">
      <c r="A4138">
        <f t="shared" si="111"/>
        <v>4136</v>
      </c>
    </row>
    <row r="4139" spans="1:1">
      <c r="A4139">
        <f t="shared" si="111"/>
        <v>4137</v>
      </c>
    </row>
    <row r="4140" spans="1:1">
      <c r="A4140">
        <f t="shared" si="111"/>
        <v>4138</v>
      </c>
    </row>
    <row r="4141" spans="1:1">
      <c r="A4141">
        <f t="shared" si="111"/>
        <v>4139</v>
      </c>
    </row>
    <row r="4142" spans="1:1">
      <c r="A4142">
        <f t="shared" si="111"/>
        <v>4140</v>
      </c>
    </row>
    <row r="4143" spans="1:1">
      <c r="A4143">
        <f t="shared" si="111"/>
        <v>4141</v>
      </c>
    </row>
    <row r="4144" spans="1:1">
      <c r="A4144">
        <f t="shared" si="111"/>
        <v>4142</v>
      </c>
    </row>
    <row r="4145" spans="1:1">
      <c r="A4145">
        <f t="shared" si="111"/>
        <v>4143</v>
      </c>
    </row>
    <row r="4146" spans="1:1">
      <c r="A4146">
        <f t="shared" si="111"/>
        <v>4144</v>
      </c>
    </row>
    <row r="4147" spans="1:1">
      <c r="A4147">
        <f t="shared" si="111"/>
        <v>4145</v>
      </c>
    </row>
    <row r="4148" spans="1:1">
      <c r="A4148">
        <f t="shared" si="111"/>
        <v>4146</v>
      </c>
    </row>
    <row r="4149" spans="1:1">
      <c r="A4149">
        <f t="shared" si="111"/>
        <v>4147</v>
      </c>
    </row>
    <row r="4150" spans="1:1">
      <c r="A4150">
        <f t="shared" si="111"/>
        <v>4148</v>
      </c>
    </row>
    <row r="4151" spans="1:1">
      <c r="A4151">
        <f t="shared" si="111"/>
        <v>4149</v>
      </c>
    </row>
    <row r="4152" spans="1:1">
      <c r="A4152">
        <f t="shared" si="111"/>
        <v>4150</v>
      </c>
    </row>
    <row r="4153" spans="1:1">
      <c r="A4153">
        <f t="shared" si="111"/>
        <v>4151</v>
      </c>
    </row>
    <row r="4154" spans="1:1">
      <c r="A4154">
        <f t="shared" si="111"/>
        <v>4152</v>
      </c>
    </row>
    <row r="4155" spans="1:1">
      <c r="A4155">
        <f t="shared" si="111"/>
        <v>4153</v>
      </c>
    </row>
    <row r="4156" spans="1:1">
      <c r="A4156">
        <f t="shared" si="111"/>
        <v>4154</v>
      </c>
    </row>
    <row r="4157" spans="1:1">
      <c r="A4157">
        <f t="shared" si="111"/>
        <v>4155</v>
      </c>
    </row>
    <row r="4158" spans="1:1">
      <c r="A4158">
        <f t="shared" si="111"/>
        <v>4156</v>
      </c>
    </row>
    <row r="4159" spans="1:1">
      <c r="A4159">
        <f t="shared" si="111"/>
        <v>4157</v>
      </c>
    </row>
    <row r="4160" spans="1:1">
      <c r="A4160">
        <f t="shared" si="111"/>
        <v>4158</v>
      </c>
    </row>
    <row r="4161" spans="1:1">
      <c r="A4161">
        <f t="shared" si="111"/>
        <v>4159</v>
      </c>
    </row>
    <row r="4162" spans="1:1">
      <c r="A4162">
        <f t="shared" si="111"/>
        <v>4160</v>
      </c>
    </row>
    <row r="4163" spans="1:1">
      <c r="A4163">
        <f t="shared" si="111"/>
        <v>4161</v>
      </c>
    </row>
    <row r="4164" spans="1:1">
      <c r="A4164">
        <f t="shared" si="111"/>
        <v>4162</v>
      </c>
    </row>
    <row r="4165" spans="1:1">
      <c r="A4165">
        <f t="shared" si="111"/>
        <v>4163</v>
      </c>
    </row>
    <row r="4166" spans="1:1">
      <c r="A4166">
        <f t="shared" si="111"/>
        <v>4164</v>
      </c>
    </row>
    <row r="4167" spans="1:1">
      <c r="A4167">
        <f t="shared" si="111"/>
        <v>4165</v>
      </c>
    </row>
    <row r="4168" spans="1:1">
      <c r="A4168">
        <f t="shared" si="111"/>
        <v>4166</v>
      </c>
    </row>
    <row r="4169" spans="1:1">
      <c r="A4169">
        <f t="shared" si="111"/>
        <v>4167</v>
      </c>
    </row>
    <row r="4170" spans="1:1">
      <c r="A4170">
        <f t="shared" si="111"/>
        <v>4168</v>
      </c>
    </row>
    <row r="4171" spans="1:1">
      <c r="A4171">
        <f t="shared" si="111"/>
        <v>4169</v>
      </c>
    </row>
    <row r="4172" spans="1:1">
      <c r="A4172">
        <f t="shared" si="111"/>
        <v>4170</v>
      </c>
    </row>
    <row r="4173" spans="1:1">
      <c r="A4173">
        <f t="shared" si="111"/>
        <v>4171</v>
      </c>
    </row>
    <row r="4174" spans="1:1">
      <c r="A4174">
        <f t="shared" si="111"/>
        <v>4172</v>
      </c>
    </row>
    <row r="4175" spans="1:1">
      <c r="A4175">
        <f t="shared" si="111"/>
        <v>4173</v>
      </c>
    </row>
    <row r="4176" spans="1:1">
      <c r="A4176">
        <f t="shared" si="111"/>
        <v>4174</v>
      </c>
    </row>
    <row r="4177" spans="1:1">
      <c r="A4177">
        <f t="shared" si="111"/>
        <v>4175</v>
      </c>
    </row>
    <row r="4178" spans="1:1">
      <c r="A4178">
        <f t="shared" si="111"/>
        <v>4176</v>
      </c>
    </row>
    <row r="4179" spans="1:1">
      <c r="A4179">
        <f t="shared" si="111"/>
        <v>4177</v>
      </c>
    </row>
    <row r="4180" spans="1:1">
      <c r="A4180">
        <f t="shared" si="111"/>
        <v>4178</v>
      </c>
    </row>
    <row r="4181" spans="1:1">
      <c r="A4181">
        <f t="shared" si="111"/>
        <v>4179</v>
      </c>
    </row>
    <row r="4182" spans="1:1">
      <c r="A4182">
        <f t="shared" si="111"/>
        <v>4180</v>
      </c>
    </row>
    <row r="4183" spans="1:1">
      <c r="A4183">
        <f t="shared" si="111"/>
        <v>4181</v>
      </c>
    </row>
    <row r="4184" spans="1:1">
      <c r="A4184">
        <f t="shared" si="111"/>
        <v>4182</v>
      </c>
    </row>
    <row r="4185" spans="1:1">
      <c r="A4185">
        <f t="shared" si="111"/>
        <v>4183</v>
      </c>
    </row>
    <row r="4186" spans="1:1">
      <c r="A4186">
        <f t="shared" si="111"/>
        <v>4184</v>
      </c>
    </row>
    <row r="4187" spans="1:1">
      <c r="A4187">
        <f t="shared" si="111"/>
        <v>4185</v>
      </c>
    </row>
    <row r="4188" spans="1:1">
      <c r="A4188">
        <f t="shared" si="111"/>
        <v>4186</v>
      </c>
    </row>
    <row r="4189" spans="1:1">
      <c r="A4189">
        <f t="shared" si="111"/>
        <v>4187</v>
      </c>
    </row>
    <row r="4190" spans="1:1">
      <c r="A4190">
        <f t="shared" si="111"/>
        <v>4188</v>
      </c>
    </row>
    <row r="4191" spans="1:1">
      <c r="A4191">
        <f t="shared" si="111"/>
        <v>4189</v>
      </c>
    </row>
    <row r="4192" spans="1:1">
      <c r="A4192">
        <f t="shared" si="111"/>
        <v>4190</v>
      </c>
    </row>
    <row r="4193" spans="1:1">
      <c r="A4193">
        <f t="shared" si="111"/>
        <v>4191</v>
      </c>
    </row>
    <row r="4194" spans="1:1">
      <c r="A4194">
        <f t="shared" si="111"/>
        <v>4192</v>
      </c>
    </row>
    <row r="4195" spans="1:1">
      <c r="A4195">
        <f t="shared" si="111"/>
        <v>4193</v>
      </c>
    </row>
    <row r="4196" spans="1:1">
      <c r="A4196">
        <f t="shared" ref="A4196:A4259" si="112">A4195+1</f>
        <v>4194</v>
      </c>
    </row>
    <row r="4197" spans="1:1">
      <c r="A4197">
        <f t="shared" si="112"/>
        <v>4195</v>
      </c>
    </row>
    <row r="4198" spans="1:1">
      <c r="A4198">
        <f t="shared" si="112"/>
        <v>4196</v>
      </c>
    </row>
    <row r="4199" spans="1:1">
      <c r="A4199">
        <f t="shared" si="112"/>
        <v>4197</v>
      </c>
    </row>
    <row r="4200" spans="1:1">
      <c r="A4200">
        <f t="shared" si="112"/>
        <v>4198</v>
      </c>
    </row>
    <row r="4201" spans="1:1">
      <c r="A4201">
        <f t="shared" si="112"/>
        <v>4199</v>
      </c>
    </row>
    <row r="4202" spans="1:1">
      <c r="A4202">
        <f t="shared" si="112"/>
        <v>4200</v>
      </c>
    </row>
    <row r="4203" spans="1:1">
      <c r="A4203">
        <f t="shared" si="112"/>
        <v>4201</v>
      </c>
    </row>
    <row r="4204" spans="1:1">
      <c r="A4204">
        <f t="shared" si="112"/>
        <v>4202</v>
      </c>
    </row>
    <row r="4205" spans="1:1">
      <c r="A4205">
        <f t="shared" si="112"/>
        <v>4203</v>
      </c>
    </row>
    <row r="4206" spans="1:1">
      <c r="A4206">
        <f t="shared" si="112"/>
        <v>4204</v>
      </c>
    </row>
    <row r="4207" spans="1:1">
      <c r="A4207">
        <f t="shared" si="112"/>
        <v>4205</v>
      </c>
    </row>
    <row r="4208" spans="1:1">
      <c r="A4208">
        <f t="shared" si="112"/>
        <v>4206</v>
      </c>
    </row>
    <row r="4209" spans="1:1">
      <c r="A4209">
        <f t="shared" si="112"/>
        <v>4207</v>
      </c>
    </row>
    <row r="4210" spans="1:1">
      <c r="A4210">
        <f t="shared" si="112"/>
        <v>4208</v>
      </c>
    </row>
    <row r="4211" spans="1:1">
      <c r="A4211">
        <f t="shared" si="112"/>
        <v>4209</v>
      </c>
    </row>
    <row r="4212" spans="1:1">
      <c r="A4212">
        <f t="shared" si="112"/>
        <v>4210</v>
      </c>
    </row>
    <row r="4213" spans="1:1">
      <c r="A4213">
        <f t="shared" si="112"/>
        <v>4211</v>
      </c>
    </row>
    <row r="4214" spans="1:1">
      <c r="A4214">
        <f t="shared" si="112"/>
        <v>4212</v>
      </c>
    </row>
    <row r="4215" spans="1:1">
      <c r="A4215">
        <f t="shared" si="112"/>
        <v>4213</v>
      </c>
    </row>
    <row r="4216" spans="1:1">
      <c r="A4216">
        <f t="shared" si="112"/>
        <v>4214</v>
      </c>
    </row>
    <row r="4217" spans="1:1">
      <c r="A4217">
        <f t="shared" si="112"/>
        <v>4215</v>
      </c>
    </row>
    <row r="4218" spans="1:1">
      <c r="A4218">
        <f t="shared" si="112"/>
        <v>4216</v>
      </c>
    </row>
    <row r="4219" spans="1:1">
      <c r="A4219">
        <f t="shared" si="112"/>
        <v>4217</v>
      </c>
    </row>
    <row r="4220" spans="1:1">
      <c r="A4220">
        <f t="shared" si="112"/>
        <v>4218</v>
      </c>
    </row>
    <row r="4221" spans="1:1">
      <c r="A4221">
        <f t="shared" si="112"/>
        <v>4219</v>
      </c>
    </row>
    <row r="4222" spans="1:1">
      <c r="A4222">
        <f t="shared" si="112"/>
        <v>4220</v>
      </c>
    </row>
    <row r="4223" spans="1:1">
      <c r="A4223">
        <f t="shared" si="112"/>
        <v>4221</v>
      </c>
    </row>
    <row r="4224" spans="1:1">
      <c r="A4224">
        <f t="shared" si="112"/>
        <v>4222</v>
      </c>
    </row>
    <row r="4225" spans="1:1">
      <c r="A4225">
        <f t="shared" si="112"/>
        <v>4223</v>
      </c>
    </row>
    <row r="4226" spans="1:1">
      <c r="A4226">
        <f t="shared" si="112"/>
        <v>4224</v>
      </c>
    </row>
    <row r="4227" spans="1:1">
      <c r="A4227">
        <f t="shared" si="112"/>
        <v>4225</v>
      </c>
    </row>
    <row r="4228" spans="1:1">
      <c r="A4228">
        <f t="shared" si="112"/>
        <v>4226</v>
      </c>
    </row>
    <row r="4229" spans="1:1">
      <c r="A4229">
        <f t="shared" si="112"/>
        <v>4227</v>
      </c>
    </row>
    <row r="4230" spans="1:1">
      <c r="A4230">
        <f t="shared" si="112"/>
        <v>4228</v>
      </c>
    </row>
    <row r="4231" spans="1:1">
      <c r="A4231">
        <f t="shared" si="112"/>
        <v>4229</v>
      </c>
    </row>
    <row r="4232" spans="1:1">
      <c r="A4232">
        <f t="shared" si="112"/>
        <v>4230</v>
      </c>
    </row>
    <row r="4233" spans="1:1">
      <c r="A4233">
        <f t="shared" si="112"/>
        <v>4231</v>
      </c>
    </row>
    <row r="4234" spans="1:1">
      <c r="A4234">
        <f t="shared" si="112"/>
        <v>4232</v>
      </c>
    </row>
    <row r="4235" spans="1:1">
      <c r="A4235">
        <f t="shared" si="112"/>
        <v>4233</v>
      </c>
    </row>
    <row r="4236" spans="1:1">
      <c r="A4236">
        <f t="shared" si="112"/>
        <v>4234</v>
      </c>
    </row>
    <row r="4237" spans="1:1">
      <c r="A4237">
        <f t="shared" si="112"/>
        <v>4235</v>
      </c>
    </row>
    <row r="4238" spans="1:1">
      <c r="A4238">
        <f t="shared" si="112"/>
        <v>4236</v>
      </c>
    </row>
    <row r="4239" spans="1:1">
      <c r="A4239">
        <f t="shared" si="112"/>
        <v>4237</v>
      </c>
    </row>
    <row r="4240" spans="1:1">
      <c r="A4240">
        <f t="shared" si="112"/>
        <v>4238</v>
      </c>
    </row>
    <row r="4241" spans="1:1">
      <c r="A4241">
        <f t="shared" si="112"/>
        <v>4239</v>
      </c>
    </row>
    <row r="4242" spans="1:1">
      <c r="A4242">
        <f t="shared" si="112"/>
        <v>4240</v>
      </c>
    </row>
    <row r="4243" spans="1:1">
      <c r="A4243">
        <f t="shared" si="112"/>
        <v>4241</v>
      </c>
    </row>
    <row r="4244" spans="1:1">
      <c r="A4244">
        <f t="shared" si="112"/>
        <v>4242</v>
      </c>
    </row>
    <row r="4245" spans="1:1">
      <c r="A4245">
        <f t="shared" si="112"/>
        <v>4243</v>
      </c>
    </row>
    <row r="4246" spans="1:1">
      <c r="A4246">
        <f t="shared" si="112"/>
        <v>4244</v>
      </c>
    </row>
    <row r="4247" spans="1:1">
      <c r="A4247">
        <f t="shared" si="112"/>
        <v>4245</v>
      </c>
    </row>
    <row r="4248" spans="1:1">
      <c r="A4248">
        <f t="shared" si="112"/>
        <v>4246</v>
      </c>
    </row>
    <row r="4249" spans="1:1">
      <c r="A4249">
        <f t="shared" si="112"/>
        <v>4247</v>
      </c>
    </row>
    <row r="4250" spans="1:1">
      <c r="A4250">
        <f t="shared" si="112"/>
        <v>4248</v>
      </c>
    </row>
    <row r="4251" spans="1:1">
      <c r="A4251">
        <f t="shared" si="112"/>
        <v>4249</v>
      </c>
    </row>
    <row r="4252" spans="1:1">
      <c r="A4252">
        <f t="shared" si="112"/>
        <v>4250</v>
      </c>
    </row>
    <row r="4253" spans="1:1">
      <c r="A4253">
        <f t="shared" si="112"/>
        <v>4251</v>
      </c>
    </row>
    <row r="4254" spans="1:1">
      <c r="A4254">
        <f t="shared" si="112"/>
        <v>4252</v>
      </c>
    </row>
    <row r="4255" spans="1:1">
      <c r="A4255">
        <f t="shared" si="112"/>
        <v>4253</v>
      </c>
    </row>
    <row r="4256" spans="1:1">
      <c r="A4256">
        <f t="shared" si="112"/>
        <v>4254</v>
      </c>
    </row>
    <row r="4257" spans="1:1">
      <c r="A4257">
        <f t="shared" si="112"/>
        <v>4255</v>
      </c>
    </row>
    <row r="4258" spans="1:1">
      <c r="A4258">
        <f t="shared" si="112"/>
        <v>4256</v>
      </c>
    </row>
    <row r="4259" spans="1:1">
      <c r="A4259">
        <f t="shared" si="112"/>
        <v>4257</v>
      </c>
    </row>
    <row r="4260" spans="1:1">
      <c r="A4260">
        <f t="shared" ref="A4260:A4323" si="113">A4259+1</f>
        <v>4258</v>
      </c>
    </row>
    <row r="4261" spans="1:1">
      <c r="A4261">
        <f t="shared" si="113"/>
        <v>4259</v>
      </c>
    </row>
    <row r="4262" spans="1:1">
      <c r="A4262">
        <f t="shared" si="113"/>
        <v>4260</v>
      </c>
    </row>
    <row r="4263" spans="1:1">
      <c r="A4263">
        <f t="shared" si="113"/>
        <v>4261</v>
      </c>
    </row>
    <row r="4264" spans="1:1">
      <c r="A4264">
        <f t="shared" si="113"/>
        <v>4262</v>
      </c>
    </row>
    <row r="4265" spans="1:1">
      <c r="A4265">
        <f t="shared" si="113"/>
        <v>4263</v>
      </c>
    </row>
    <row r="4266" spans="1:1">
      <c r="A4266">
        <f t="shared" si="113"/>
        <v>4264</v>
      </c>
    </row>
    <row r="4267" spans="1:1">
      <c r="A4267">
        <f t="shared" si="113"/>
        <v>4265</v>
      </c>
    </row>
    <row r="4268" spans="1:1">
      <c r="A4268">
        <f t="shared" si="113"/>
        <v>4266</v>
      </c>
    </row>
    <row r="4269" spans="1:1">
      <c r="A4269">
        <f t="shared" si="113"/>
        <v>4267</v>
      </c>
    </row>
    <row r="4270" spans="1:1">
      <c r="A4270">
        <f t="shared" si="113"/>
        <v>4268</v>
      </c>
    </row>
    <row r="4271" spans="1:1">
      <c r="A4271">
        <f t="shared" si="113"/>
        <v>4269</v>
      </c>
    </row>
    <row r="4272" spans="1:1">
      <c r="A4272">
        <f t="shared" si="113"/>
        <v>4270</v>
      </c>
    </row>
    <row r="4273" spans="1:1">
      <c r="A4273">
        <f t="shared" si="113"/>
        <v>4271</v>
      </c>
    </row>
    <row r="4274" spans="1:1">
      <c r="A4274">
        <f t="shared" si="113"/>
        <v>4272</v>
      </c>
    </row>
    <row r="4275" spans="1:1">
      <c r="A4275">
        <f t="shared" si="113"/>
        <v>4273</v>
      </c>
    </row>
    <row r="4276" spans="1:1">
      <c r="A4276">
        <f t="shared" si="113"/>
        <v>4274</v>
      </c>
    </row>
    <row r="4277" spans="1:1">
      <c r="A4277">
        <f t="shared" si="113"/>
        <v>4275</v>
      </c>
    </row>
    <row r="4278" spans="1:1">
      <c r="A4278">
        <f t="shared" si="113"/>
        <v>4276</v>
      </c>
    </row>
    <row r="4279" spans="1:1">
      <c r="A4279">
        <f t="shared" si="113"/>
        <v>4277</v>
      </c>
    </row>
    <row r="4280" spans="1:1">
      <c r="A4280">
        <f t="shared" si="113"/>
        <v>4278</v>
      </c>
    </row>
    <row r="4281" spans="1:1">
      <c r="A4281">
        <f t="shared" si="113"/>
        <v>4279</v>
      </c>
    </row>
    <row r="4282" spans="1:1">
      <c r="A4282">
        <f t="shared" si="113"/>
        <v>4280</v>
      </c>
    </row>
    <row r="4283" spans="1:1">
      <c r="A4283">
        <f t="shared" si="113"/>
        <v>4281</v>
      </c>
    </row>
    <row r="4284" spans="1:1">
      <c r="A4284">
        <f t="shared" si="113"/>
        <v>4282</v>
      </c>
    </row>
    <row r="4285" spans="1:1">
      <c r="A4285">
        <f t="shared" si="113"/>
        <v>4283</v>
      </c>
    </row>
    <row r="4286" spans="1:1">
      <c r="A4286">
        <f t="shared" si="113"/>
        <v>4284</v>
      </c>
    </row>
    <row r="4287" spans="1:1">
      <c r="A4287">
        <f t="shared" si="113"/>
        <v>4285</v>
      </c>
    </row>
    <row r="4288" spans="1:1">
      <c r="A4288">
        <f t="shared" si="113"/>
        <v>4286</v>
      </c>
    </row>
    <row r="4289" spans="1:1">
      <c r="A4289">
        <f t="shared" si="113"/>
        <v>4287</v>
      </c>
    </row>
    <row r="4290" spans="1:1">
      <c r="A4290">
        <f t="shared" si="113"/>
        <v>4288</v>
      </c>
    </row>
    <row r="4291" spans="1:1">
      <c r="A4291">
        <f t="shared" si="113"/>
        <v>4289</v>
      </c>
    </row>
    <row r="4292" spans="1:1">
      <c r="A4292">
        <f t="shared" si="113"/>
        <v>4290</v>
      </c>
    </row>
    <row r="4293" spans="1:1">
      <c r="A4293">
        <f t="shared" si="113"/>
        <v>4291</v>
      </c>
    </row>
    <row r="4294" spans="1:1">
      <c r="A4294">
        <f t="shared" si="113"/>
        <v>4292</v>
      </c>
    </row>
    <row r="4295" spans="1:1">
      <c r="A4295">
        <f t="shared" si="113"/>
        <v>4293</v>
      </c>
    </row>
    <row r="4296" spans="1:1">
      <c r="A4296">
        <f t="shared" si="113"/>
        <v>4294</v>
      </c>
    </row>
    <row r="4297" spans="1:1">
      <c r="A4297">
        <f t="shared" si="113"/>
        <v>4295</v>
      </c>
    </row>
    <row r="4298" spans="1:1">
      <c r="A4298">
        <f t="shared" si="113"/>
        <v>4296</v>
      </c>
    </row>
    <row r="4299" spans="1:1">
      <c r="A4299">
        <f t="shared" si="113"/>
        <v>4297</v>
      </c>
    </row>
    <row r="4300" spans="1:1">
      <c r="A4300">
        <f t="shared" si="113"/>
        <v>4298</v>
      </c>
    </row>
    <row r="4301" spans="1:1">
      <c r="A4301">
        <f t="shared" si="113"/>
        <v>4299</v>
      </c>
    </row>
    <row r="4302" spans="1:1">
      <c r="A4302">
        <f t="shared" si="113"/>
        <v>4300</v>
      </c>
    </row>
    <row r="4303" spans="1:1">
      <c r="A4303">
        <f t="shared" si="113"/>
        <v>4301</v>
      </c>
    </row>
    <row r="4304" spans="1:1">
      <c r="A4304">
        <f t="shared" si="113"/>
        <v>4302</v>
      </c>
    </row>
    <row r="4305" spans="1:1">
      <c r="A4305">
        <f t="shared" si="113"/>
        <v>4303</v>
      </c>
    </row>
    <row r="4306" spans="1:1">
      <c r="A4306">
        <f t="shared" si="113"/>
        <v>4304</v>
      </c>
    </row>
    <row r="4307" spans="1:1">
      <c r="A4307">
        <f t="shared" si="113"/>
        <v>4305</v>
      </c>
    </row>
    <row r="4308" spans="1:1">
      <c r="A4308">
        <f t="shared" si="113"/>
        <v>4306</v>
      </c>
    </row>
    <row r="4309" spans="1:1">
      <c r="A4309">
        <f t="shared" si="113"/>
        <v>4307</v>
      </c>
    </row>
    <row r="4310" spans="1:1">
      <c r="A4310">
        <f t="shared" si="113"/>
        <v>4308</v>
      </c>
    </row>
    <row r="4311" spans="1:1">
      <c r="A4311">
        <f t="shared" si="113"/>
        <v>4309</v>
      </c>
    </row>
    <row r="4312" spans="1:1">
      <c r="A4312">
        <f t="shared" si="113"/>
        <v>4310</v>
      </c>
    </row>
    <row r="4313" spans="1:1">
      <c r="A4313">
        <f t="shared" si="113"/>
        <v>4311</v>
      </c>
    </row>
    <row r="4314" spans="1:1">
      <c r="A4314">
        <f t="shared" si="113"/>
        <v>4312</v>
      </c>
    </row>
    <row r="4315" spans="1:1">
      <c r="A4315">
        <f t="shared" si="113"/>
        <v>4313</v>
      </c>
    </row>
    <row r="4316" spans="1:1">
      <c r="A4316">
        <f t="shared" si="113"/>
        <v>4314</v>
      </c>
    </row>
    <row r="4317" spans="1:1">
      <c r="A4317">
        <f t="shared" si="113"/>
        <v>4315</v>
      </c>
    </row>
    <row r="4318" spans="1:1">
      <c r="A4318">
        <f t="shared" si="113"/>
        <v>4316</v>
      </c>
    </row>
    <row r="4319" spans="1:1">
      <c r="A4319">
        <f t="shared" si="113"/>
        <v>4317</v>
      </c>
    </row>
    <row r="4320" spans="1:1">
      <c r="A4320">
        <f t="shared" si="113"/>
        <v>4318</v>
      </c>
    </row>
    <row r="4321" spans="1:1">
      <c r="A4321">
        <f t="shared" si="113"/>
        <v>4319</v>
      </c>
    </row>
    <row r="4322" spans="1:1">
      <c r="A4322">
        <f t="shared" si="113"/>
        <v>4320</v>
      </c>
    </row>
    <row r="4323" spans="1:1">
      <c r="A4323">
        <f t="shared" si="113"/>
        <v>4321</v>
      </c>
    </row>
    <row r="4324" spans="1:1">
      <c r="A4324">
        <f t="shared" ref="A4324:A4387" si="114">A4323+1</f>
        <v>4322</v>
      </c>
    </row>
    <row r="4325" spans="1:1">
      <c r="A4325">
        <f t="shared" si="114"/>
        <v>4323</v>
      </c>
    </row>
    <row r="4326" spans="1:1">
      <c r="A4326">
        <f t="shared" si="114"/>
        <v>4324</v>
      </c>
    </row>
    <row r="4327" spans="1:1">
      <c r="A4327">
        <f t="shared" si="114"/>
        <v>4325</v>
      </c>
    </row>
    <row r="4328" spans="1:1">
      <c r="A4328">
        <f t="shared" si="114"/>
        <v>4326</v>
      </c>
    </row>
    <row r="4329" spans="1:1">
      <c r="A4329">
        <f t="shared" si="114"/>
        <v>4327</v>
      </c>
    </row>
    <row r="4330" spans="1:1">
      <c r="A4330">
        <f t="shared" si="114"/>
        <v>4328</v>
      </c>
    </row>
    <row r="4331" spans="1:1">
      <c r="A4331">
        <f t="shared" si="114"/>
        <v>4329</v>
      </c>
    </row>
    <row r="4332" spans="1:1">
      <c r="A4332">
        <f t="shared" si="114"/>
        <v>4330</v>
      </c>
    </row>
    <row r="4333" spans="1:1">
      <c r="A4333">
        <f t="shared" si="114"/>
        <v>4331</v>
      </c>
    </row>
    <row r="4334" spans="1:1">
      <c r="A4334">
        <f t="shared" si="114"/>
        <v>4332</v>
      </c>
    </row>
    <row r="4335" spans="1:1">
      <c r="A4335">
        <f t="shared" si="114"/>
        <v>4333</v>
      </c>
    </row>
    <row r="4336" spans="1:1">
      <c r="A4336">
        <f t="shared" si="114"/>
        <v>4334</v>
      </c>
    </row>
    <row r="4337" spans="1:1">
      <c r="A4337">
        <f t="shared" si="114"/>
        <v>4335</v>
      </c>
    </row>
    <row r="4338" spans="1:1">
      <c r="A4338">
        <f t="shared" si="114"/>
        <v>4336</v>
      </c>
    </row>
    <row r="4339" spans="1:1">
      <c r="A4339">
        <f t="shared" si="114"/>
        <v>4337</v>
      </c>
    </row>
    <row r="4340" spans="1:1">
      <c r="A4340">
        <f t="shared" si="114"/>
        <v>4338</v>
      </c>
    </row>
    <row r="4341" spans="1:1">
      <c r="A4341">
        <f t="shared" si="114"/>
        <v>4339</v>
      </c>
    </row>
    <row r="4342" spans="1:1">
      <c r="A4342">
        <f t="shared" si="114"/>
        <v>4340</v>
      </c>
    </row>
    <row r="4343" spans="1:1">
      <c r="A4343">
        <f t="shared" si="114"/>
        <v>4341</v>
      </c>
    </row>
    <row r="4344" spans="1:1">
      <c r="A4344">
        <f t="shared" si="114"/>
        <v>4342</v>
      </c>
    </row>
    <row r="4345" spans="1:1">
      <c r="A4345">
        <f t="shared" si="114"/>
        <v>4343</v>
      </c>
    </row>
    <row r="4346" spans="1:1">
      <c r="A4346">
        <f t="shared" si="114"/>
        <v>4344</v>
      </c>
    </row>
    <row r="4347" spans="1:1">
      <c r="A4347">
        <f t="shared" si="114"/>
        <v>4345</v>
      </c>
    </row>
    <row r="4348" spans="1:1">
      <c r="A4348">
        <f t="shared" si="114"/>
        <v>4346</v>
      </c>
    </row>
    <row r="4349" spans="1:1">
      <c r="A4349">
        <f t="shared" si="114"/>
        <v>4347</v>
      </c>
    </row>
    <row r="4350" spans="1:1">
      <c r="A4350">
        <f t="shared" si="114"/>
        <v>4348</v>
      </c>
    </row>
    <row r="4351" spans="1:1">
      <c r="A4351">
        <f t="shared" si="114"/>
        <v>4349</v>
      </c>
    </row>
    <row r="4352" spans="1:1">
      <c r="A4352">
        <f t="shared" si="114"/>
        <v>4350</v>
      </c>
    </row>
    <row r="4353" spans="1:1">
      <c r="A4353">
        <f t="shared" si="114"/>
        <v>4351</v>
      </c>
    </row>
    <row r="4354" spans="1:1">
      <c r="A4354">
        <f t="shared" si="114"/>
        <v>4352</v>
      </c>
    </row>
    <row r="4355" spans="1:1">
      <c r="A4355">
        <f t="shared" si="114"/>
        <v>4353</v>
      </c>
    </row>
    <row r="4356" spans="1:1">
      <c r="A4356">
        <f t="shared" si="114"/>
        <v>4354</v>
      </c>
    </row>
    <row r="4357" spans="1:1">
      <c r="A4357">
        <f t="shared" si="114"/>
        <v>4355</v>
      </c>
    </row>
    <row r="4358" spans="1:1">
      <c r="A4358">
        <f t="shared" si="114"/>
        <v>4356</v>
      </c>
    </row>
    <row r="4359" spans="1:1">
      <c r="A4359">
        <f t="shared" si="114"/>
        <v>4357</v>
      </c>
    </row>
    <row r="4360" spans="1:1">
      <c r="A4360">
        <f t="shared" si="114"/>
        <v>4358</v>
      </c>
    </row>
    <row r="4361" spans="1:1">
      <c r="A4361">
        <f t="shared" si="114"/>
        <v>4359</v>
      </c>
    </row>
    <row r="4362" spans="1:1">
      <c r="A4362">
        <f t="shared" si="114"/>
        <v>4360</v>
      </c>
    </row>
    <row r="4363" spans="1:1">
      <c r="A4363">
        <f t="shared" si="114"/>
        <v>4361</v>
      </c>
    </row>
    <row r="4364" spans="1:1">
      <c r="A4364">
        <f t="shared" si="114"/>
        <v>4362</v>
      </c>
    </row>
    <row r="4365" spans="1:1">
      <c r="A4365">
        <f t="shared" si="114"/>
        <v>4363</v>
      </c>
    </row>
    <row r="4366" spans="1:1">
      <c r="A4366">
        <f t="shared" si="114"/>
        <v>4364</v>
      </c>
    </row>
    <row r="4367" spans="1:1">
      <c r="A4367">
        <f t="shared" si="114"/>
        <v>4365</v>
      </c>
    </row>
    <row r="4368" spans="1:1">
      <c r="A4368">
        <f t="shared" si="114"/>
        <v>4366</v>
      </c>
    </row>
    <row r="4369" spans="1:1">
      <c r="A4369">
        <f t="shared" si="114"/>
        <v>4367</v>
      </c>
    </row>
    <row r="4370" spans="1:1">
      <c r="A4370">
        <f t="shared" si="114"/>
        <v>4368</v>
      </c>
    </row>
    <row r="4371" spans="1:1">
      <c r="A4371">
        <f t="shared" si="114"/>
        <v>4369</v>
      </c>
    </row>
    <row r="4372" spans="1:1">
      <c r="A4372">
        <f t="shared" si="114"/>
        <v>4370</v>
      </c>
    </row>
    <row r="4373" spans="1:1">
      <c r="A4373">
        <f t="shared" si="114"/>
        <v>4371</v>
      </c>
    </row>
    <row r="4374" spans="1:1">
      <c r="A4374">
        <f t="shared" si="114"/>
        <v>4372</v>
      </c>
    </row>
    <row r="4375" spans="1:1">
      <c r="A4375">
        <f t="shared" si="114"/>
        <v>4373</v>
      </c>
    </row>
    <row r="4376" spans="1:1">
      <c r="A4376">
        <f t="shared" si="114"/>
        <v>4374</v>
      </c>
    </row>
    <row r="4377" spans="1:1">
      <c r="A4377">
        <f t="shared" si="114"/>
        <v>4375</v>
      </c>
    </row>
    <row r="4378" spans="1:1">
      <c r="A4378">
        <f t="shared" si="114"/>
        <v>4376</v>
      </c>
    </row>
    <row r="4379" spans="1:1">
      <c r="A4379">
        <f t="shared" si="114"/>
        <v>4377</v>
      </c>
    </row>
    <row r="4380" spans="1:1">
      <c r="A4380">
        <f t="shared" si="114"/>
        <v>4378</v>
      </c>
    </row>
    <row r="4381" spans="1:1">
      <c r="A4381">
        <f t="shared" si="114"/>
        <v>4379</v>
      </c>
    </row>
    <row r="4382" spans="1:1">
      <c r="A4382">
        <f t="shared" si="114"/>
        <v>4380</v>
      </c>
    </row>
    <row r="4383" spans="1:1">
      <c r="A4383">
        <f t="shared" si="114"/>
        <v>4381</v>
      </c>
    </row>
    <row r="4384" spans="1:1">
      <c r="A4384">
        <f t="shared" si="114"/>
        <v>4382</v>
      </c>
    </row>
    <row r="4385" spans="1:1">
      <c r="A4385">
        <f t="shared" si="114"/>
        <v>4383</v>
      </c>
    </row>
    <row r="4386" spans="1:1">
      <c r="A4386">
        <f t="shared" si="114"/>
        <v>4384</v>
      </c>
    </row>
    <row r="4387" spans="1:1">
      <c r="A4387">
        <f t="shared" si="114"/>
        <v>4385</v>
      </c>
    </row>
    <row r="4388" spans="1:1">
      <c r="A4388">
        <f t="shared" ref="A4388:A4451" si="115">A4387+1</f>
        <v>4386</v>
      </c>
    </row>
    <row r="4389" spans="1:1">
      <c r="A4389">
        <f t="shared" si="115"/>
        <v>4387</v>
      </c>
    </row>
    <row r="4390" spans="1:1">
      <c r="A4390">
        <f t="shared" si="115"/>
        <v>4388</v>
      </c>
    </row>
    <row r="4391" spans="1:1">
      <c r="A4391">
        <f t="shared" si="115"/>
        <v>4389</v>
      </c>
    </row>
    <row r="4392" spans="1:1">
      <c r="A4392">
        <f t="shared" si="115"/>
        <v>4390</v>
      </c>
    </row>
    <row r="4393" spans="1:1">
      <c r="A4393">
        <f t="shared" si="115"/>
        <v>4391</v>
      </c>
    </row>
    <row r="4394" spans="1:1">
      <c r="A4394">
        <f t="shared" si="115"/>
        <v>4392</v>
      </c>
    </row>
    <row r="4395" spans="1:1">
      <c r="A4395">
        <f t="shared" si="115"/>
        <v>4393</v>
      </c>
    </row>
    <row r="4396" spans="1:1">
      <c r="A4396">
        <f t="shared" si="115"/>
        <v>4394</v>
      </c>
    </row>
    <row r="4397" spans="1:1">
      <c r="A4397">
        <f t="shared" si="115"/>
        <v>4395</v>
      </c>
    </row>
    <row r="4398" spans="1:1">
      <c r="A4398">
        <f t="shared" si="115"/>
        <v>4396</v>
      </c>
    </row>
    <row r="4399" spans="1:1">
      <c r="A4399">
        <f t="shared" si="115"/>
        <v>4397</v>
      </c>
    </row>
    <row r="4400" spans="1:1">
      <c r="A4400">
        <f t="shared" si="115"/>
        <v>4398</v>
      </c>
    </row>
    <row r="4401" spans="1:1">
      <c r="A4401">
        <f t="shared" si="115"/>
        <v>4399</v>
      </c>
    </row>
    <row r="4402" spans="1:1">
      <c r="A4402">
        <f t="shared" si="115"/>
        <v>4400</v>
      </c>
    </row>
    <row r="4403" spans="1:1">
      <c r="A4403">
        <f t="shared" si="115"/>
        <v>4401</v>
      </c>
    </row>
    <row r="4404" spans="1:1">
      <c r="A4404">
        <f t="shared" si="115"/>
        <v>4402</v>
      </c>
    </row>
    <row r="4405" spans="1:1">
      <c r="A4405">
        <f t="shared" si="115"/>
        <v>4403</v>
      </c>
    </row>
    <row r="4406" spans="1:1">
      <c r="A4406">
        <f t="shared" si="115"/>
        <v>4404</v>
      </c>
    </row>
    <row r="4407" spans="1:1">
      <c r="A4407">
        <f t="shared" si="115"/>
        <v>4405</v>
      </c>
    </row>
    <row r="4408" spans="1:1">
      <c r="A4408">
        <f t="shared" si="115"/>
        <v>4406</v>
      </c>
    </row>
    <row r="4409" spans="1:1">
      <c r="A4409">
        <f t="shared" si="115"/>
        <v>4407</v>
      </c>
    </row>
    <row r="4410" spans="1:1">
      <c r="A4410">
        <f t="shared" si="115"/>
        <v>4408</v>
      </c>
    </row>
    <row r="4411" spans="1:1">
      <c r="A4411">
        <f t="shared" si="115"/>
        <v>4409</v>
      </c>
    </row>
    <row r="4412" spans="1:1">
      <c r="A4412">
        <f t="shared" si="115"/>
        <v>4410</v>
      </c>
    </row>
    <row r="4413" spans="1:1">
      <c r="A4413">
        <f t="shared" si="115"/>
        <v>4411</v>
      </c>
    </row>
    <row r="4414" spans="1:1">
      <c r="A4414">
        <f t="shared" si="115"/>
        <v>4412</v>
      </c>
    </row>
    <row r="4415" spans="1:1">
      <c r="A4415">
        <f t="shared" si="115"/>
        <v>4413</v>
      </c>
    </row>
    <row r="4416" spans="1:1">
      <c r="A4416">
        <f t="shared" si="115"/>
        <v>4414</v>
      </c>
    </row>
    <row r="4417" spans="1:1">
      <c r="A4417">
        <f t="shared" si="115"/>
        <v>4415</v>
      </c>
    </row>
    <row r="4418" spans="1:1">
      <c r="A4418">
        <f t="shared" si="115"/>
        <v>4416</v>
      </c>
    </row>
    <row r="4419" spans="1:1">
      <c r="A4419">
        <f t="shared" si="115"/>
        <v>4417</v>
      </c>
    </row>
    <row r="4420" spans="1:1">
      <c r="A4420">
        <f t="shared" si="115"/>
        <v>4418</v>
      </c>
    </row>
    <row r="4421" spans="1:1">
      <c r="A4421">
        <f t="shared" si="115"/>
        <v>4419</v>
      </c>
    </row>
    <row r="4422" spans="1:1">
      <c r="A4422">
        <f t="shared" si="115"/>
        <v>4420</v>
      </c>
    </row>
    <row r="4423" spans="1:1">
      <c r="A4423">
        <f t="shared" si="115"/>
        <v>4421</v>
      </c>
    </row>
    <row r="4424" spans="1:1">
      <c r="A4424">
        <f t="shared" si="115"/>
        <v>4422</v>
      </c>
    </row>
    <row r="4425" spans="1:1">
      <c r="A4425">
        <f t="shared" si="115"/>
        <v>4423</v>
      </c>
    </row>
    <row r="4426" spans="1:1">
      <c r="A4426">
        <f t="shared" si="115"/>
        <v>4424</v>
      </c>
    </row>
    <row r="4427" spans="1:1">
      <c r="A4427">
        <f t="shared" si="115"/>
        <v>4425</v>
      </c>
    </row>
    <row r="4428" spans="1:1">
      <c r="A4428">
        <f t="shared" si="115"/>
        <v>4426</v>
      </c>
    </row>
    <row r="4429" spans="1:1">
      <c r="A4429">
        <f t="shared" si="115"/>
        <v>4427</v>
      </c>
    </row>
    <row r="4430" spans="1:1">
      <c r="A4430">
        <f t="shared" si="115"/>
        <v>4428</v>
      </c>
    </row>
    <row r="4431" spans="1:1">
      <c r="A4431">
        <f t="shared" si="115"/>
        <v>4429</v>
      </c>
    </row>
    <row r="4432" spans="1:1">
      <c r="A4432">
        <f t="shared" si="115"/>
        <v>4430</v>
      </c>
    </row>
    <row r="4433" spans="1:1">
      <c r="A4433">
        <f t="shared" si="115"/>
        <v>4431</v>
      </c>
    </row>
    <row r="4434" spans="1:1">
      <c r="A4434">
        <f t="shared" si="115"/>
        <v>4432</v>
      </c>
    </row>
    <row r="4435" spans="1:1">
      <c r="A4435">
        <f t="shared" si="115"/>
        <v>4433</v>
      </c>
    </row>
    <row r="4436" spans="1:1">
      <c r="A4436">
        <f t="shared" si="115"/>
        <v>4434</v>
      </c>
    </row>
    <row r="4437" spans="1:1">
      <c r="A4437">
        <f t="shared" si="115"/>
        <v>4435</v>
      </c>
    </row>
    <row r="4438" spans="1:1">
      <c r="A4438">
        <f t="shared" si="115"/>
        <v>4436</v>
      </c>
    </row>
    <row r="4439" spans="1:1">
      <c r="A4439">
        <f t="shared" si="115"/>
        <v>4437</v>
      </c>
    </row>
    <row r="4440" spans="1:1">
      <c r="A4440">
        <f t="shared" si="115"/>
        <v>4438</v>
      </c>
    </row>
    <row r="4441" spans="1:1">
      <c r="A4441">
        <f t="shared" si="115"/>
        <v>4439</v>
      </c>
    </row>
    <row r="4442" spans="1:1">
      <c r="A4442">
        <f t="shared" si="115"/>
        <v>4440</v>
      </c>
    </row>
    <row r="4443" spans="1:1">
      <c r="A4443">
        <f t="shared" si="115"/>
        <v>4441</v>
      </c>
    </row>
    <row r="4444" spans="1:1">
      <c r="A4444">
        <f t="shared" si="115"/>
        <v>4442</v>
      </c>
    </row>
    <row r="4445" spans="1:1">
      <c r="A4445">
        <f t="shared" si="115"/>
        <v>4443</v>
      </c>
    </row>
    <row r="4446" spans="1:1">
      <c r="A4446">
        <f t="shared" si="115"/>
        <v>4444</v>
      </c>
    </row>
    <row r="4447" spans="1:1">
      <c r="A4447">
        <f t="shared" si="115"/>
        <v>4445</v>
      </c>
    </row>
    <row r="4448" spans="1:1">
      <c r="A4448">
        <f t="shared" si="115"/>
        <v>4446</v>
      </c>
    </row>
    <row r="4449" spans="1:1">
      <c r="A4449">
        <f t="shared" si="115"/>
        <v>4447</v>
      </c>
    </row>
    <row r="4450" spans="1:1">
      <c r="A4450">
        <f t="shared" si="115"/>
        <v>4448</v>
      </c>
    </row>
    <row r="4451" spans="1:1">
      <c r="A4451">
        <f t="shared" si="115"/>
        <v>4449</v>
      </c>
    </row>
    <row r="4452" spans="1:1">
      <c r="A4452">
        <f t="shared" ref="A4452:A4515" si="116">A4451+1</f>
        <v>4450</v>
      </c>
    </row>
    <row r="4453" spans="1:1">
      <c r="A4453">
        <f t="shared" si="116"/>
        <v>4451</v>
      </c>
    </row>
    <row r="4454" spans="1:1">
      <c r="A4454">
        <f t="shared" si="116"/>
        <v>4452</v>
      </c>
    </row>
    <row r="4455" spans="1:1">
      <c r="A4455">
        <f t="shared" si="116"/>
        <v>4453</v>
      </c>
    </row>
    <row r="4456" spans="1:1">
      <c r="A4456">
        <f t="shared" si="116"/>
        <v>4454</v>
      </c>
    </row>
    <row r="4457" spans="1:1">
      <c r="A4457">
        <f t="shared" si="116"/>
        <v>4455</v>
      </c>
    </row>
    <row r="4458" spans="1:1">
      <c r="A4458">
        <f t="shared" si="116"/>
        <v>4456</v>
      </c>
    </row>
    <row r="4459" spans="1:1">
      <c r="A4459">
        <f t="shared" si="116"/>
        <v>4457</v>
      </c>
    </row>
    <row r="4460" spans="1:1">
      <c r="A4460">
        <f t="shared" si="116"/>
        <v>4458</v>
      </c>
    </row>
    <row r="4461" spans="1:1">
      <c r="A4461">
        <f t="shared" si="116"/>
        <v>4459</v>
      </c>
    </row>
    <row r="4462" spans="1:1">
      <c r="A4462">
        <f t="shared" si="116"/>
        <v>4460</v>
      </c>
    </row>
    <row r="4463" spans="1:1">
      <c r="A4463">
        <f t="shared" si="116"/>
        <v>4461</v>
      </c>
    </row>
    <row r="4464" spans="1:1">
      <c r="A4464">
        <f t="shared" si="116"/>
        <v>4462</v>
      </c>
    </row>
    <row r="4465" spans="1:1">
      <c r="A4465">
        <f t="shared" si="116"/>
        <v>4463</v>
      </c>
    </row>
    <row r="4466" spans="1:1">
      <c r="A4466">
        <f t="shared" si="116"/>
        <v>4464</v>
      </c>
    </row>
    <row r="4467" spans="1:1">
      <c r="A4467">
        <f t="shared" si="116"/>
        <v>4465</v>
      </c>
    </row>
    <row r="4468" spans="1:1">
      <c r="A4468">
        <f t="shared" si="116"/>
        <v>4466</v>
      </c>
    </row>
    <row r="4469" spans="1:1">
      <c r="A4469">
        <f t="shared" si="116"/>
        <v>4467</v>
      </c>
    </row>
    <row r="4470" spans="1:1">
      <c r="A4470">
        <f t="shared" si="116"/>
        <v>4468</v>
      </c>
    </row>
    <row r="4471" spans="1:1">
      <c r="A4471">
        <f t="shared" si="116"/>
        <v>4469</v>
      </c>
    </row>
    <row r="4472" spans="1:1">
      <c r="A4472">
        <f t="shared" si="116"/>
        <v>4470</v>
      </c>
    </row>
    <row r="4473" spans="1:1">
      <c r="A4473">
        <f t="shared" si="116"/>
        <v>4471</v>
      </c>
    </row>
    <row r="4474" spans="1:1">
      <c r="A4474">
        <f t="shared" si="116"/>
        <v>4472</v>
      </c>
    </row>
    <row r="4475" spans="1:1">
      <c r="A4475">
        <f t="shared" si="116"/>
        <v>4473</v>
      </c>
    </row>
    <row r="4476" spans="1:1">
      <c r="A4476">
        <f t="shared" si="116"/>
        <v>4474</v>
      </c>
    </row>
    <row r="4477" spans="1:1">
      <c r="A4477">
        <f t="shared" si="116"/>
        <v>4475</v>
      </c>
    </row>
    <row r="4478" spans="1:1">
      <c r="A4478">
        <f t="shared" si="116"/>
        <v>4476</v>
      </c>
    </row>
    <row r="4479" spans="1:1">
      <c r="A4479">
        <f t="shared" si="116"/>
        <v>4477</v>
      </c>
    </row>
    <row r="4480" spans="1:1">
      <c r="A4480">
        <f t="shared" si="116"/>
        <v>4478</v>
      </c>
    </row>
    <row r="4481" spans="1:1">
      <c r="A4481">
        <f t="shared" si="116"/>
        <v>4479</v>
      </c>
    </row>
    <row r="4482" spans="1:1">
      <c r="A4482">
        <f t="shared" si="116"/>
        <v>4480</v>
      </c>
    </row>
    <row r="4483" spans="1:1">
      <c r="A4483">
        <f t="shared" si="116"/>
        <v>4481</v>
      </c>
    </row>
    <row r="4484" spans="1:1">
      <c r="A4484">
        <f t="shared" si="116"/>
        <v>4482</v>
      </c>
    </row>
    <row r="4485" spans="1:1">
      <c r="A4485">
        <f t="shared" si="116"/>
        <v>4483</v>
      </c>
    </row>
    <row r="4486" spans="1:1">
      <c r="A4486">
        <f t="shared" si="116"/>
        <v>4484</v>
      </c>
    </row>
    <row r="4487" spans="1:1">
      <c r="A4487">
        <f t="shared" si="116"/>
        <v>4485</v>
      </c>
    </row>
    <row r="4488" spans="1:1">
      <c r="A4488">
        <f t="shared" si="116"/>
        <v>4486</v>
      </c>
    </row>
    <row r="4489" spans="1:1">
      <c r="A4489">
        <f t="shared" si="116"/>
        <v>4487</v>
      </c>
    </row>
    <row r="4490" spans="1:1">
      <c r="A4490">
        <f t="shared" si="116"/>
        <v>4488</v>
      </c>
    </row>
    <row r="4491" spans="1:1">
      <c r="A4491">
        <f t="shared" si="116"/>
        <v>4489</v>
      </c>
    </row>
    <row r="4492" spans="1:1">
      <c r="A4492">
        <f t="shared" si="116"/>
        <v>4490</v>
      </c>
    </row>
    <row r="4493" spans="1:1">
      <c r="A4493">
        <f t="shared" si="116"/>
        <v>4491</v>
      </c>
    </row>
    <row r="4494" spans="1:1">
      <c r="A4494">
        <f t="shared" si="116"/>
        <v>4492</v>
      </c>
    </row>
    <row r="4495" spans="1:1">
      <c r="A4495">
        <f t="shared" si="116"/>
        <v>4493</v>
      </c>
    </row>
    <row r="4496" spans="1:1">
      <c r="A4496">
        <f t="shared" si="116"/>
        <v>4494</v>
      </c>
    </row>
    <row r="4497" spans="1:1">
      <c r="A4497">
        <f t="shared" si="116"/>
        <v>4495</v>
      </c>
    </row>
    <row r="4498" spans="1:1">
      <c r="A4498">
        <f t="shared" si="116"/>
        <v>4496</v>
      </c>
    </row>
    <row r="4499" spans="1:1">
      <c r="A4499">
        <f t="shared" si="116"/>
        <v>4497</v>
      </c>
    </row>
    <row r="4500" spans="1:1">
      <c r="A4500">
        <f t="shared" si="116"/>
        <v>4498</v>
      </c>
    </row>
    <row r="4501" spans="1:1">
      <c r="A4501">
        <f t="shared" si="116"/>
        <v>4499</v>
      </c>
    </row>
    <row r="4502" spans="1:1">
      <c r="A4502">
        <f t="shared" si="116"/>
        <v>4500</v>
      </c>
    </row>
    <row r="4503" spans="1:1">
      <c r="A4503">
        <f t="shared" si="116"/>
        <v>4501</v>
      </c>
    </row>
    <row r="4504" spans="1:1">
      <c r="A4504">
        <f t="shared" si="116"/>
        <v>4502</v>
      </c>
    </row>
    <row r="4505" spans="1:1">
      <c r="A4505">
        <f t="shared" si="116"/>
        <v>4503</v>
      </c>
    </row>
    <row r="4506" spans="1:1">
      <c r="A4506">
        <f t="shared" si="116"/>
        <v>4504</v>
      </c>
    </row>
    <row r="4507" spans="1:1">
      <c r="A4507">
        <f t="shared" si="116"/>
        <v>4505</v>
      </c>
    </row>
    <row r="4508" spans="1:1">
      <c r="A4508">
        <f t="shared" si="116"/>
        <v>4506</v>
      </c>
    </row>
    <row r="4509" spans="1:1">
      <c r="A4509">
        <f t="shared" si="116"/>
        <v>4507</v>
      </c>
    </row>
    <row r="4510" spans="1:1">
      <c r="A4510">
        <f t="shared" si="116"/>
        <v>4508</v>
      </c>
    </row>
    <row r="4511" spans="1:1">
      <c r="A4511">
        <f t="shared" si="116"/>
        <v>4509</v>
      </c>
    </row>
    <row r="4512" spans="1:1">
      <c r="A4512">
        <f t="shared" si="116"/>
        <v>4510</v>
      </c>
    </row>
    <row r="4513" spans="1:1">
      <c r="A4513">
        <f t="shared" si="116"/>
        <v>4511</v>
      </c>
    </row>
    <row r="4514" spans="1:1">
      <c r="A4514">
        <f t="shared" si="116"/>
        <v>4512</v>
      </c>
    </row>
    <row r="4515" spans="1:1">
      <c r="A4515">
        <f t="shared" si="116"/>
        <v>4513</v>
      </c>
    </row>
    <row r="4516" spans="1:1">
      <c r="A4516">
        <f t="shared" ref="A4516:A4579" si="117">A4515+1</f>
        <v>4514</v>
      </c>
    </row>
    <row r="4517" spans="1:1">
      <c r="A4517">
        <f t="shared" si="117"/>
        <v>4515</v>
      </c>
    </row>
    <row r="4518" spans="1:1">
      <c r="A4518">
        <f t="shared" si="117"/>
        <v>4516</v>
      </c>
    </row>
    <row r="4519" spans="1:1">
      <c r="A4519">
        <f t="shared" si="117"/>
        <v>4517</v>
      </c>
    </row>
    <row r="4520" spans="1:1">
      <c r="A4520">
        <f t="shared" si="117"/>
        <v>4518</v>
      </c>
    </row>
    <row r="4521" spans="1:1">
      <c r="A4521">
        <f t="shared" si="117"/>
        <v>4519</v>
      </c>
    </row>
    <row r="4522" spans="1:1">
      <c r="A4522">
        <f t="shared" si="117"/>
        <v>4520</v>
      </c>
    </row>
    <row r="4523" spans="1:1">
      <c r="A4523">
        <f t="shared" si="117"/>
        <v>4521</v>
      </c>
    </row>
    <row r="4524" spans="1:1">
      <c r="A4524">
        <f t="shared" si="117"/>
        <v>4522</v>
      </c>
    </row>
    <row r="4525" spans="1:1">
      <c r="A4525">
        <f t="shared" si="117"/>
        <v>4523</v>
      </c>
    </row>
    <row r="4526" spans="1:1">
      <c r="A4526">
        <f t="shared" si="117"/>
        <v>4524</v>
      </c>
    </row>
    <row r="4527" spans="1:1">
      <c r="A4527">
        <f t="shared" si="117"/>
        <v>4525</v>
      </c>
    </row>
    <row r="4528" spans="1:1">
      <c r="A4528">
        <f t="shared" si="117"/>
        <v>4526</v>
      </c>
    </row>
    <row r="4529" spans="1:1">
      <c r="A4529">
        <f t="shared" si="117"/>
        <v>4527</v>
      </c>
    </row>
    <row r="4530" spans="1:1">
      <c r="A4530">
        <f t="shared" si="117"/>
        <v>4528</v>
      </c>
    </row>
    <row r="4531" spans="1:1">
      <c r="A4531">
        <f t="shared" si="117"/>
        <v>4529</v>
      </c>
    </row>
    <row r="4532" spans="1:1">
      <c r="A4532">
        <f t="shared" si="117"/>
        <v>4530</v>
      </c>
    </row>
    <row r="4533" spans="1:1">
      <c r="A4533">
        <f t="shared" si="117"/>
        <v>4531</v>
      </c>
    </row>
    <row r="4534" spans="1:1">
      <c r="A4534">
        <f t="shared" si="117"/>
        <v>4532</v>
      </c>
    </row>
    <row r="4535" spans="1:1">
      <c r="A4535">
        <f t="shared" si="117"/>
        <v>4533</v>
      </c>
    </row>
    <row r="4536" spans="1:1">
      <c r="A4536">
        <f t="shared" si="117"/>
        <v>4534</v>
      </c>
    </row>
    <row r="4537" spans="1:1">
      <c r="A4537">
        <f t="shared" si="117"/>
        <v>4535</v>
      </c>
    </row>
    <row r="4538" spans="1:1">
      <c r="A4538">
        <f t="shared" si="117"/>
        <v>4536</v>
      </c>
    </row>
    <row r="4539" spans="1:1">
      <c r="A4539">
        <f t="shared" si="117"/>
        <v>4537</v>
      </c>
    </row>
    <row r="4540" spans="1:1">
      <c r="A4540">
        <f t="shared" si="117"/>
        <v>4538</v>
      </c>
    </row>
    <row r="4541" spans="1:1">
      <c r="A4541">
        <f t="shared" si="117"/>
        <v>4539</v>
      </c>
    </row>
    <row r="4542" spans="1:1">
      <c r="A4542">
        <f t="shared" si="117"/>
        <v>4540</v>
      </c>
    </row>
    <row r="4543" spans="1:1">
      <c r="A4543">
        <f t="shared" si="117"/>
        <v>4541</v>
      </c>
    </row>
    <row r="4544" spans="1:1">
      <c r="A4544">
        <f t="shared" si="117"/>
        <v>4542</v>
      </c>
    </row>
    <row r="4545" spans="1:1">
      <c r="A4545">
        <f t="shared" si="117"/>
        <v>4543</v>
      </c>
    </row>
    <row r="4546" spans="1:1">
      <c r="A4546">
        <f t="shared" si="117"/>
        <v>4544</v>
      </c>
    </row>
    <row r="4547" spans="1:1">
      <c r="A4547">
        <f t="shared" si="117"/>
        <v>4545</v>
      </c>
    </row>
    <row r="4548" spans="1:1">
      <c r="A4548">
        <f t="shared" si="117"/>
        <v>4546</v>
      </c>
    </row>
    <row r="4549" spans="1:1">
      <c r="A4549">
        <f t="shared" si="117"/>
        <v>4547</v>
      </c>
    </row>
    <row r="4550" spans="1:1">
      <c r="A4550">
        <f t="shared" si="117"/>
        <v>4548</v>
      </c>
    </row>
    <row r="4551" spans="1:1">
      <c r="A4551">
        <f t="shared" si="117"/>
        <v>4549</v>
      </c>
    </row>
    <row r="4552" spans="1:1">
      <c r="A4552">
        <f t="shared" si="117"/>
        <v>4550</v>
      </c>
    </row>
    <row r="4553" spans="1:1">
      <c r="A4553">
        <f t="shared" si="117"/>
        <v>4551</v>
      </c>
    </row>
    <row r="4554" spans="1:1">
      <c r="A4554">
        <f t="shared" si="117"/>
        <v>4552</v>
      </c>
    </row>
    <row r="4555" spans="1:1">
      <c r="A4555">
        <f t="shared" si="117"/>
        <v>4553</v>
      </c>
    </row>
    <row r="4556" spans="1:1">
      <c r="A4556">
        <f t="shared" si="117"/>
        <v>4554</v>
      </c>
    </row>
    <row r="4557" spans="1:1">
      <c r="A4557">
        <f t="shared" si="117"/>
        <v>4555</v>
      </c>
    </row>
    <row r="4558" spans="1:1">
      <c r="A4558">
        <f t="shared" si="117"/>
        <v>4556</v>
      </c>
    </row>
    <row r="4559" spans="1:1">
      <c r="A4559">
        <f t="shared" si="117"/>
        <v>4557</v>
      </c>
    </row>
    <row r="4560" spans="1:1">
      <c r="A4560">
        <f t="shared" si="117"/>
        <v>4558</v>
      </c>
    </row>
    <row r="4561" spans="1:1">
      <c r="A4561">
        <f t="shared" si="117"/>
        <v>4559</v>
      </c>
    </row>
    <row r="4562" spans="1:1">
      <c r="A4562">
        <f t="shared" si="117"/>
        <v>4560</v>
      </c>
    </row>
    <row r="4563" spans="1:1">
      <c r="A4563">
        <f t="shared" si="117"/>
        <v>4561</v>
      </c>
    </row>
    <row r="4564" spans="1:1">
      <c r="A4564">
        <f t="shared" si="117"/>
        <v>4562</v>
      </c>
    </row>
    <row r="4565" spans="1:1">
      <c r="A4565">
        <f t="shared" si="117"/>
        <v>4563</v>
      </c>
    </row>
    <row r="4566" spans="1:1">
      <c r="A4566">
        <f t="shared" si="117"/>
        <v>4564</v>
      </c>
    </row>
    <row r="4567" spans="1:1">
      <c r="A4567">
        <f t="shared" si="117"/>
        <v>4565</v>
      </c>
    </row>
    <row r="4568" spans="1:1">
      <c r="A4568">
        <f t="shared" si="117"/>
        <v>4566</v>
      </c>
    </row>
    <row r="4569" spans="1:1">
      <c r="A4569">
        <f t="shared" si="117"/>
        <v>4567</v>
      </c>
    </row>
    <row r="4570" spans="1:1">
      <c r="A4570">
        <f t="shared" si="117"/>
        <v>4568</v>
      </c>
    </row>
    <row r="4571" spans="1:1">
      <c r="A4571">
        <f t="shared" si="117"/>
        <v>4569</v>
      </c>
    </row>
    <row r="4572" spans="1:1">
      <c r="A4572">
        <f t="shared" si="117"/>
        <v>4570</v>
      </c>
    </row>
    <row r="4573" spans="1:1">
      <c r="A4573">
        <f t="shared" si="117"/>
        <v>4571</v>
      </c>
    </row>
    <row r="4574" spans="1:1">
      <c r="A4574">
        <f t="shared" si="117"/>
        <v>4572</v>
      </c>
    </row>
    <row r="4575" spans="1:1">
      <c r="A4575">
        <f t="shared" si="117"/>
        <v>4573</v>
      </c>
    </row>
    <row r="4576" spans="1:1">
      <c r="A4576">
        <f t="shared" si="117"/>
        <v>4574</v>
      </c>
    </row>
    <row r="4577" spans="1:1">
      <c r="A4577">
        <f t="shared" si="117"/>
        <v>4575</v>
      </c>
    </row>
    <row r="4578" spans="1:1">
      <c r="A4578">
        <f t="shared" si="117"/>
        <v>4576</v>
      </c>
    </row>
    <row r="4579" spans="1:1">
      <c r="A4579">
        <f t="shared" si="117"/>
        <v>4577</v>
      </c>
    </row>
    <row r="4580" spans="1:1">
      <c r="A4580">
        <f t="shared" ref="A4580:A4643" si="118">A4579+1</f>
        <v>4578</v>
      </c>
    </row>
    <row r="4581" spans="1:1">
      <c r="A4581">
        <f t="shared" si="118"/>
        <v>4579</v>
      </c>
    </row>
    <row r="4582" spans="1:1">
      <c r="A4582">
        <f t="shared" si="118"/>
        <v>4580</v>
      </c>
    </row>
    <row r="4583" spans="1:1">
      <c r="A4583">
        <f t="shared" si="118"/>
        <v>4581</v>
      </c>
    </row>
    <row r="4584" spans="1:1">
      <c r="A4584">
        <f t="shared" si="118"/>
        <v>4582</v>
      </c>
    </row>
    <row r="4585" spans="1:1">
      <c r="A4585">
        <f t="shared" si="118"/>
        <v>4583</v>
      </c>
    </row>
    <row r="4586" spans="1:1">
      <c r="A4586">
        <f t="shared" si="118"/>
        <v>4584</v>
      </c>
    </row>
    <row r="4587" spans="1:1">
      <c r="A4587">
        <f t="shared" si="118"/>
        <v>4585</v>
      </c>
    </row>
    <row r="4588" spans="1:1">
      <c r="A4588">
        <f t="shared" si="118"/>
        <v>4586</v>
      </c>
    </row>
    <row r="4589" spans="1:1">
      <c r="A4589">
        <f t="shared" si="118"/>
        <v>4587</v>
      </c>
    </row>
    <row r="4590" spans="1:1">
      <c r="A4590">
        <f t="shared" si="118"/>
        <v>4588</v>
      </c>
    </row>
    <row r="4591" spans="1:1">
      <c r="A4591">
        <f t="shared" si="118"/>
        <v>4589</v>
      </c>
    </row>
    <row r="4592" spans="1:1">
      <c r="A4592">
        <f t="shared" si="118"/>
        <v>4590</v>
      </c>
    </row>
    <row r="4593" spans="1:1">
      <c r="A4593">
        <f t="shared" si="118"/>
        <v>4591</v>
      </c>
    </row>
    <row r="4594" spans="1:1">
      <c r="A4594">
        <f t="shared" si="118"/>
        <v>4592</v>
      </c>
    </row>
    <row r="4595" spans="1:1">
      <c r="A4595">
        <f t="shared" si="118"/>
        <v>4593</v>
      </c>
    </row>
    <row r="4596" spans="1:1">
      <c r="A4596">
        <f t="shared" si="118"/>
        <v>4594</v>
      </c>
    </row>
    <row r="4597" spans="1:1">
      <c r="A4597">
        <f t="shared" si="118"/>
        <v>4595</v>
      </c>
    </row>
    <row r="4598" spans="1:1">
      <c r="A4598">
        <f t="shared" si="118"/>
        <v>4596</v>
      </c>
    </row>
    <row r="4599" spans="1:1">
      <c r="A4599">
        <f t="shared" si="118"/>
        <v>4597</v>
      </c>
    </row>
    <row r="4600" spans="1:1">
      <c r="A4600">
        <f t="shared" si="118"/>
        <v>4598</v>
      </c>
    </row>
    <row r="4601" spans="1:1">
      <c r="A4601">
        <f t="shared" si="118"/>
        <v>4599</v>
      </c>
    </row>
    <row r="4602" spans="1:1">
      <c r="A4602">
        <f t="shared" si="118"/>
        <v>4600</v>
      </c>
    </row>
    <row r="4603" spans="1:1">
      <c r="A4603">
        <f t="shared" si="118"/>
        <v>4601</v>
      </c>
    </row>
    <row r="4604" spans="1:1">
      <c r="A4604">
        <f t="shared" si="118"/>
        <v>4602</v>
      </c>
    </row>
    <row r="4605" spans="1:1">
      <c r="A4605">
        <f t="shared" si="118"/>
        <v>4603</v>
      </c>
    </row>
    <row r="4606" spans="1:1">
      <c r="A4606">
        <f t="shared" si="118"/>
        <v>4604</v>
      </c>
    </row>
    <row r="4607" spans="1:1">
      <c r="A4607">
        <f t="shared" si="118"/>
        <v>4605</v>
      </c>
    </row>
    <row r="4608" spans="1:1">
      <c r="A4608">
        <f t="shared" si="118"/>
        <v>4606</v>
      </c>
    </row>
    <row r="4609" spans="1:1">
      <c r="A4609">
        <f t="shared" si="118"/>
        <v>4607</v>
      </c>
    </row>
    <row r="4610" spans="1:1">
      <c r="A4610">
        <f t="shared" si="118"/>
        <v>4608</v>
      </c>
    </row>
    <row r="4611" spans="1:1">
      <c r="A4611">
        <f t="shared" si="118"/>
        <v>4609</v>
      </c>
    </row>
    <row r="4612" spans="1:1">
      <c r="A4612">
        <f t="shared" si="118"/>
        <v>4610</v>
      </c>
    </row>
    <row r="4613" spans="1:1">
      <c r="A4613">
        <f t="shared" si="118"/>
        <v>4611</v>
      </c>
    </row>
    <row r="4614" spans="1:1">
      <c r="A4614">
        <f t="shared" si="118"/>
        <v>4612</v>
      </c>
    </row>
    <row r="4615" spans="1:1">
      <c r="A4615">
        <f t="shared" si="118"/>
        <v>4613</v>
      </c>
    </row>
    <row r="4616" spans="1:1">
      <c r="A4616">
        <f t="shared" si="118"/>
        <v>4614</v>
      </c>
    </row>
    <row r="4617" spans="1:1">
      <c r="A4617">
        <f t="shared" si="118"/>
        <v>4615</v>
      </c>
    </row>
    <row r="4618" spans="1:1">
      <c r="A4618">
        <f t="shared" si="118"/>
        <v>4616</v>
      </c>
    </row>
    <row r="4619" spans="1:1">
      <c r="A4619">
        <f t="shared" si="118"/>
        <v>4617</v>
      </c>
    </row>
    <row r="4620" spans="1:1">
      <c r="A4620">
        <f t="shared" si="118"/>
        <v>4618</v>
      </c>
    </row>
    <row r="4621" spans="1:1">
      <c r="A4621">
        <f t="shared" si="118"/>
        <v>4619</v>
      </c>
    </row>
    <row r="4622" spans="1:1">
      <c r="A4622">
        <f t="shared" si="118"/>
        <v>4620</v>
      </c>
    </row>
    <row r="4623" spans="1:1">
      <c r="A4623">
        <f t="shared" si="118"/>
        <v>4621</v>
      </c>
    </row>
    <row r="4624" spans="1:1">
      <c r="A4624">
        <f t="shared" si="118"/>
        <v>4622</v>
      </c>
    </row>
    <row r="4625" spans="1:1">
      <c r="A4625">
        <f t="shared" si="118"/>
        <v>4623</v>
      </c>
    </row>
    <row r="4626" spans="1:1">
      <c r="A4626">
        <f t="shared" si="118"/>
        <v>4624</v>
      </c>
    </row>
    <row r="4627" spans="1:1">
      <c r="A4627">
        <f t="shared" si="118"/>
        <v>4625</v>
      </c>
    </row>
    <row r="4628" spans="1:1">
      <c r="A4628">
        <f t="shared" si="118"/>
        <v>4626</v>
      </c>
    </row>
    <row r="4629" spans="1:1">
      <c r="A4629">
        <f t="shared" si="118"/>
        <v>4627</v>
      </c>
    </row>
    <row r="4630" spans="1:1">
      <c r="A4630">
        <f t="shared" si="118"/>
        <v>4628</v>
      </c>
    </row>
    <row r="4631" spans="1:1">
      <c r="A4631">
        <f t="shared" si="118"/>
        <v>4629</v>
      </c>
    </row>
    <row r="4632" spans="1:1">
      <c r="A4632">
        <f t="shared" si="118"/>
        <v>4630</v>
      </c>
    </row>
    <row r="4633" spans="1:1">
      <c r="A4633">
        <f t="shared" si="118"/>
        <v>4631</v>
      </c>
    </row>
    <row r="4634" spans="1:1">
      <c r="A4634">
        <f t="shared" si="118"/>
        <v>4632</v>
      </c>
    </row>
    <row r="4635" spans="1:1">
      <c r="A4635">
        <f t="shared" si="118"/>
        <v>4633</v>
      </c>
    </row>
    <row r="4636" spans="1:1">
      <c r="A4636">
        <f t="shared" si="118"/>
        <v>4634</v>
      </c>
    </row>
    <row r="4637" spans="1:1">
      <c r="A4637">
        <f t="shared" si="118"/>
        <v>4635</v>
      </c>
    </row>
    <row r="4638" spans="1:1">
      <c r="A4638">
        <f t="shared" si="118"/>
        <v>4636</v>
      </c>
    </row>
    <row r="4639" spans="1:1">
      <c r="A4639">
        <f t="shared" si="118"/>
        <v>4637</v>
      </c>
    </row>
    <row r="4640" spans="1:1">
      <c r="A4640">
        <f t="shared" si="118"/>
        <v>4638</v>
      </c>
    </row>
    <row r="4641" spans="1:1">
      <c r="A4641">
        <f t="shared" si="118"/>
        <v>4639</v>
      </c>
    </row>
    <row r="4642" spans="1:1">
      <c r="A4642">
        <f t="shared" si="118"/>
        <v>4640</v>
      </c>
    </row>
    <row r="4643" spans="1:1">
      <c r="A4643">
        <f t="shared" si="118"/>
        <v>4641</v>
      </c>
    </row>
    <row r="4644" spans="1:1">
      <c r="A4644">
        <f t="shared" ref="A4644:A4707" si="119">A4643+1</f>
        <v>4642</v>
      </c>
    </row>
    <row r="4645" spans="1:1">
      <c r="A4645">
        <f t="shared" si="119"/>
        <v>4643</v>
      </c>
    </row>
    <row r="4646" spans="1:1">
      <c r="A4646">
        <f t="shared" si="119"/>
        <v>4644</v>
      </c>
    </row>
    <row r="4647" spans="1:1">
      <c r="A4647">
        <f t="shared" si="119"/>
        <v>4645</v>
      </c>
    </row>
    <row r="4648" spans="1:1">
      <c r="A4648">
        <f t="shared" si="119"/>
        <v>4646</v>
      </c>
    </row>
    <row r="4649" spans="1:1">
      <c r="A4649">
        <f t="shared" si="119"/>
        <v>4647</v>
      </c>
    </row>
    <row r="4650" spans="1:1">
      <c r="A4650">
        <f t="shared" si="119"/>
        <v>4648</v>
      </c>
    </row>
    <row r="4651" spans="1:1">
      <c r="A4651">
        <f t="shared" si="119"/>
        <v>4649</v>
      </c>
    </row>
    <row r="4652" spans="1:1">
      <c r="A4652">
        <f t="shared" si="119"/>
        <v>4650</v>
      </c>
    </row>
    <row r="4653" spans="1:1">
      <c r="A4653">
        <f t="shared" si="119"/>
        <v>4651</v>
      </c>
    </row>
    <row r="4654" spans="1:1">
      <c r="A4654">
        <f t="shared" si="119"/>
        <v>4652</v>
      </c>
    </row>
    <row r="4655" spans="1:1">
      <c r="A4655">
        <f t="shared" si="119"/>
        <v>4653</v>
      </c>
    </row>
    <row r="4656" spans="1:1">
      <c r="A4656">
        <f t="shared" si="119"/>
        <v>4654</v>
      </c>
    </row>
    <row r="4657" spans="1:1">
      <c r="A4657">
        <f t="shared" si="119"/>
        <v>4655</v>
      </c>
    </row>
    <row r="4658" spans="1:1">
      <c r="A4658">
        <f t="shared" si="119"/>
        <v>4656</v>
      </c>
    </row>
    <row r="4659" spans="1:1">
      <c r="A4659">
        <f t="shared" si="119"/>
        <v>4657</v>
      </c>
    </row>
    <row r="4660" spans="1:1">
      <c r="A4660">
        <f t="shared" si="119"/>
        <v>4658</v>
      </c>
    </row>
    <row r="4661" spans="1:1">
      <c r="A4661">
        <f t="shared" si="119"/>
        <v>4659</v>
      </c>
    </row>
    <row r="4662" spans="1:1">
      <c r="A4662">
        <f t="shared" si="119"/>
        <v>4660</v>
      </c>
    </row>
    <row r="4663" spans="1:1">
      <c r="A4663">
        <f t="shared" si="119"/>
        <v>4661</v>
      </c>
    </row>
    <row r="4664" spans="1:1">
      <c r="A4664">
        <f t="shared" si="119"/>
        <v>4662</v>
      </c>
    </row>
    <row r="4665" spans="1:1">
      <c r="A4665">
        <f t="shared" si="119"/>
        <v>4663</v>
      </c>
    </row>
    <row r="4666" spans="1:1">
      <c r="A4666">
        <f t="shared" si="119"/>
        <v>4664</v>
      </c>
    </row>
    <row r="4667" spans="1:1">
      <c r="A4667">
        <f t="shared" si="119"/>
        <v>4665</v>
      </c>
    </row>
    <row r="4668" spans="1:1">
      <c r="A4668">
        <f t="shared" si="119"/>
        <v>4666</v>
      </c>
    </row>
    <row r="4669" spans="1:1">
      <c r="A4669">
        <f t="shared" si="119"/>
        <v>4667</v>
      </c>
    </row>
    <row r="4670" spans="1:1">
      <c r="A4670">
        <f t="shared" si="119"/>
        <v>4668</v>
      </c>
    </row>
    <row r="4671" spans="1:1">
      <c r="A4671">
        <f t="shared" si="119"/>
        <v>4669</v>
      </c>
    </row>
    <row r="4672" spans="1:1">
      <c r="A4672">
        <f t="shared" si="119"/>
        <v>4670</v>
      </c>
    </row>
    <row r="4673" spans="1:1">
      <c r="A4673">
        <f t="shared" si="119"/>
        <v>4671</v>
      </c>
    </row>
    <row r="4674" spans="1:1">
      <c r="A4674">
        <f t="shared" si="119"/>
        <v>4672</v>
      </c>
    </row>
    <row r="4675" spans="1:1">
      <c r="A4675">
        <f t="shared" si="119"/>
        <v>4673</v>
      </c>
    </row>
    <row r="4676" spans="1:1">
      <c r="A4676">
        <f t="shared" si="119"/>
        <v>4674</v>
      </c>
    </row>
    <row r="4677" spans="1:1">
      <c r="A4677">
        <f t="shared" si="119"/>
        <v>4675</v>
      </c>
    </row>
    <row r="4678" spans="1:1">
      <c r="A4678">
        <f t="shared" si="119"/>
        <v>4676</v>
      </c>
    </row>
    <row r="4679" spans="1:1">
      <c r="A4679">
        <f t="shared" si="119"/>
        <v>4677</v>
      </c>
    </row>
    <row r="4680" spans="1:1">
      <c r="A4680">
        <f t="shared" si="119"/>
        <v>4678</v>
      </c>
    </row>
    <row r="4681" spans="1:1">
      <c r="A4681">
        <f t="shared" si="119"/>
        <v>4679</v>
      </c>
    </row>
    <row r="4682" spans="1:1">
      <c r="A4682">
        <f t="shared" si="119"/>
        <v>4680</v>
      </c>
    </row>
    <row r="4683" spans="1:1">
      <c r="A4683">
        <f t="shared" si="119"/>
        <v>4681</v>
      </c>
    </row>
    <row r="4684" spans="1:1">
      <c r="A4684">
        <f t="shared" si="119"/>
        <v>4682</v>
      </c>
    </row>
    <row r="4685" spans="1:1">
      <c r="A4685">
        <f t="shared" si="119"/>
        <v>4683</v>
      </c>
    </row>
    <row r="4686" spans="1:1">
      <c r="A4686">
        <f t="shared" si="119"/>
        <v>4684</v>
      </c>
    </row>
    <row r="4687" spans="1:1">
      <c r="A4687">
        <f t="shared" si="119"/>
        <v>4685</v>
      </c>
    </row>
    <row r="4688" spans="1:1">
      <c r="A4688">
        <f t="shared" si="119"/>
        <v>4686</v>
      </c>
    </row>
    <row r="4689" spans="1:1">
      <c r="A4689">
        <f t="shared" si="119"/>
        <v>4687</v>
      </c>
    </row>
    <row r="4690" spans="1:1">
      <c r="A4690">
        <f t="shared" si="119"/>
        <v>4688</v>
      </c>
    </row>
    <row r="4691" spans="1:1">
      <c r="A4691">
        <f t="shared" si="119"/>
        <v>4689</v>
      </c>
    </row>
    <row r="4692" spans="1:1">
      <c r="A4692">
        <f t="shared" si="119"/>
        <v>4690</v>
      </c>
    </row>
    <row r="4693" spans="1:1">
      <c r="A4693">
        <f t="shared" si="119"/>
        <v>4691</v>
      </c>
    </row>
    <row r="4694" spans="1:1">
      <c r="A4694">
        <f t="shared" si="119"/>
        <v>4692</v>
      </c>
    </row>
    <row r="4695" spans="1:1">
      <c r="A4695">
        <f t="shared" si="119"/>
        <v>4693</v>
      </c>
    </row>
    <row r="4696" spans="1:1">
      <c r="A4696">
        <f t="shared" si="119"/>
        <v>4694</v>
      </c>
    </row>
    <row r="4697" spans="1:1">
      <c r="A4697">
        <f t="shared" si="119"/>
        <v>4695</v>
      </c>
    </row>
    <row r="4698" spans="1:1">
      <c r="A4698">
        <f t="shared" si="119"/>
        <v>4696</v>
      </c>
    </row>
    <row r="4699" spans="1:1">
      <c r="A4699">
        <f t="shared" si="119"/>
        <v>4697</v>
      </c>
    </row>
    <row r="4700" spans="1:1">
      <c r="A4700">
        <f t="shared" si="119"/>
        <v>4698</v>
      </c>
    </row>
    <row r="4701" spans="1:1">
      <c r="A4701">
        <f t="shared" si="119"/>
        <v>4699</v>
      </c>
    </row>
    <row r="4702" spans="1:1">
      <c r="A4702">
        <f t="shared" si="119"/>
        <v>4700</v>
      </c>
    </row>
    <row r="4703" spans="1:1">
      <c r="A4703">
        <f t="shared" si="119"/>
        <v>4701</v>
      </c>
    </row>
    <row r="4704" spans="1:1">
      <c r="A4704">
        <f t="shared" si="119"/>
        <v>4702</v>
      </c>
    </row>
    <row r="4705" spans="1:1">
      <c r="A4705">
        <f t="shared" si="119"/>
        <v>4703</v>
      </c>
    </row>
    <row r="4706" spans="1:1">
      <c r="A4706">
        <f t="shared" si="119"/>
        <v>4704</v>
      </c>
    </row>
    <row r="4707" spans="1:1">
      <c r="A4707">
        <f t="shared" si="119"/>
        <v>4705</v>
      </c>
    </row>
    <row r="4708" spans="1:1">
      <c r="A4708">
        <f t="shared" ref="A4708:A4771" si="120">A4707+1</f>
        <v>4706</v>
      </c>
    </row>
    <row r="4709" spans="1:1">
      <c r="A4709">
        <f t="shared" si="120"/>
        <v>4707</v>
      </c>
    </row>
    <row r="4710" spans="1:1">
      <c r="A4710">
        <f t="shared" si="120"/>
        <v>4708</v>
      </c>
    </row>
    <row r="4711" spans="1:1">
      <c r="A4711">
        <f t="shared" si="120"/>
        <v>4709</v>
      </c>
    </row>
    <row r="4712" spans="1:1">
      <c r="A4712">
        <f t="shared" si="120"/>
        <v>4710</v>
      </c>
    </row>
    <row r="4713" spans="1:1">
      <c r="A4713">
        <f t="shared" si="120"/>
        <v>4711</v>
      </c>
    </row>
    <row r="4714" spans="1:1">
      <c r="A4714">
        <f t="shared" si="120"/>
        <v>4712</v>
      </c>
    </row>
    <row r="4715" spans="1:1">
      <c r="A4715">
        <f t="shared" si="120"/>
        <v>4713</v>
      </c>
    </row>
    <row r="4716" spans="1:1">
      <c r="A4716">
        <f t="shared" si="120"/>
        <v>4714</v>
      </c>
    </row>
    <row r="4717" spans="1:1">
      <c r="A4717">
        <f t="shared" si="120"/>
        <v>4715</v>
      </c>
    </row>
    <row r="4718" spans="1:1">
      <c r="A4718">
        <f t="shared" si="120"/>
        <v>4716</v>
      </c>
    </row>
    <row r="4719" spans="1:1">
      <c r="A4719">
        <f t="shared" si="120"/>
        <v>4717</v>
      </c>
    </row>
    <row r="4720" spans="1:1">
      <c r="A4720">
        <f t="shared" si="120"/>
        <v>4718</v>
      </c>
    </row>
    <row r="4721" spans="1:1">
      <c r="A4721">
        <f t="shared" si="120"/>
        <v>4719</v>
      </c>
    </row>
    <row r="4722" spans="1:1">
      <c r="A4722">
        <f t="shared" si="120"/>
        <v>4720</v>
      </c>
    </row>
    <row r="4723" spans="1:1">
      <c r="A4723">
        <f t="shared" si="120"/>
        <v>4721</v>
      </c>
    </row>
    <row r="4724" spans="1:1">
      <c r="A4724">
        <f t="shared" si="120"/>
        <v>4722</v>
      </c>
    </row>
    <row r="4725" spans="1:1">
      <c r="A4725">
        <f t="shared" si="120"/>
        <v>4723</v>
      </c>
    </row>
    <row r="4726" spans="1:1">
      <c r="A4726">
        <f t="shared" si="120"/>
        <v>4724</v>
      </c>
    </row>
    <row r="4727" spans="1:1">
      <c r="A4727">
        <f t="shared" si="120"/>
        <v>4725</v>
      </c>
    </row>
    <row r="4728" spans="1:1">
      <c r="A4728">
        <f t="shared" si="120"/>
        <v>4726</v>
      </c>
    </row>
    <row r="4729" spans="1:1">
      <c r="A4729">
        <f t="shared" si="120"/>
        <v>4727</v>
      </c>
    </row>
    <row r="4730" spans="1:1">
      <c r="A4730">
        <f t="shared" si="120"/>
        <v>4728</v>
      </c>
    </row>
    <row r="4731" spans="1:1">
      <c r="A4731">
        <f t="shared" si="120"/>
        <v>4729</v>
      </c>
    </row>
    <row r="4732" spans="1:1">
      <c r="A4732">
        <f t="shared" si="120"/>
        <v>4730</v>
      </c>
    </row>
    <row r="4733" spans="1:1">
      <c r="A4733">
        <f t="shared" si="120"/>
        <v>4731</v>
      </c>
    </row>
    <row r="4734" spans="1:1">
      <c r="A4734">
        <f t="shared" si="120"/>
        <v>4732</v>
      </c>
    </row>
    <row r="4735" spans="1:1">
      <c r="A4735">
        <f t="shared" si="120"/>
        <v>4733</v>
      </c>
    </row>
    <row r="4736" spans="1:1">
      <c r="A4736">
        <f t="shared" si="120"/>
        <v>4734</v>
      </c>
    </row>
    <row r="4737" spans="1:1">
      <c r="A4737">
        <f t="shared" si="120"/>
        <v>4735</v>
      </c>
    </row>
    <row r="4738" spans="1:1">
      <c r="A4738">
        <f t="shared" si="120"/>
        <v>4736</v>
      </c>
    </row>
    <row r="4739" spans="1:1">
      <c r="A4739">
        <f t="shared" si="120"/>
        <v>4737</v>
      </c>
    </row>
    <row r="4740" spans="1:1">
      <c r="A4740">
        <f t="shared" si="120"/>
        <v>4738</v>
      </c>
    </row>
    <row r="4741" spans="1:1">
      <c r="A4741">
        <f t="shared" si="120"/>
        <v>4739</v>
      </c>
    </row>
    <row r="4742" spans="1:1">
      <c r="A4742">
        <f t="shared" si="120"/>
        <v>4740</v>
      </c>
    </row>
    <row r="4743" spans="1:1">
      <c r="A4743">
        <f t="shared" si="120"/>
        <v>4741</v>
      </c>
    </row>
    <row r="4744" spans="1:1">
      <c r="A4744">
        <f t="shared" si="120"/>
        <v>4742</v>
      </c>
    </row>
    <row r="4745" spans="1:1">
      <c r="A4745">
        <f t="shared" si="120"/>
        <v>4743</v>
      </c>
    </row>
    <row r="4746" spans="1:1">
      <c r="A4746">
        <f t="shared" si="120"/>
        <v>4744</v>
      </c>
    </row>
    <row r="4747" spans="1:1">
      <c r="A4747">
        <f t="shared" si="120"/>
        <v>4745</v>
      </c>
    </row>
    <row r="4748" spans="1:1">
      <c r="A4748">
        <f t="shared" si="120"/>
        <v>4746</v>
      </c>
    </row>
    <row r="4749" spans="1:1">
      <c r="A4749">
        <f t="shared" si="120"/>
        <v>4747</v>
      </c>
    </row>
    <row r="4750" spans="1:1">
      <c r="A4750">
        <f t="shared" si="120"/>
        <v>4748</v>
      </c>
    </row>
    <row r="4751" spans="1:1">
      <c r="A4751">
        <f t="shared" si="120"/>
        <v>4749</v>
      </c>
    </row>
    <row r="4752" spans="1:1">
      <c r="A4752">
        <f t="shared" si="120"/>
        <v>4750</v>
      </c>
    </row>
    <row r="4753" spans="1:1">
      <c r="A4753">
        <f t="shared" si="120"/>
        <v>4751</v>
      </c>
    </row>
    <row r="4754" spans="1:1">
      <c r="A4754">
        <f t="shared" si="120"/>
        <v>4752</v>
      </c>
    </row>
    <row r="4755" spans="1:1">
      <c r="A4755">
        <f t="shared" si="120"/>
        <v>4753</v>
      </c>
    </row>
    <row r="4756" spans="1:1">
      <c r="A4756">
        <f t="shared" si="120"/>
        <v>4754</v>
      </c>
    </row>
    <row r="4757" spans="1:1">
      <c r="A4757">
        <f t="shared" si="120"/>
        <v>4755</v>
      </c>
    </row>
    <row r="4758" spans="1:1">
      <c r="A4758">
        <f t="shared" si="120"/>
        <v>4756</v>
      </c>
    </row>
    <row r="4759" spans="1:1">
      <c r="A4759">
        <f t="shared" si="120"/>
        <v>4757</v>
      </c>
    </row>
    <row r="4760" spans="1:1">
      <c r="A4760">
        <f t="shared" si="120"/>
        <v>4758</v>
      </c>
    </row>
    <row r="4761" spans="1:1">
      <c r="A4761">
        <f t="shared" si="120"/>
        <v>4759</v>
      </c>
    </row>
    <row r="4762" spans="1:1">
      <c r="A4762">
        <f t="shared" si="120"/>
        <v>4760</v>
      </c>
    </row>
    <row r="4763" spans="1:1">
      <c r="A4763">
        <f t="shared" si="120"/>
        <v>4761</v>
      </c>
    </row>
    <row r="4764" spans="1:1">
      <c r="A4764">
        <f t="shared" si="120"/>
        <v>4762</v>
      </c>
    </row>
    <row r="4765" spans="1:1">
      <c r="A4765">
        <f t="shared" si="120"/>
        <v>4763</v>
      </c>
    </row>
    <row r="4766" spans="1:1">
      <c r="A4766">
        <f t="shared" si="120"/>
        <v>4764</v>
      </c>
    </row>
    <row r="4767" spans="1:1">
      <c r="A4767">
        <f t="shared" si="120"/>
        <v>4765</v>
      </c>
    </row>
    <row r="4768" spans="1:1">
      <c r="A4768">
        <f t="shared" si="120"/>
        <v>4766</v>
      </c>
    </row>
    <row r="4769" spans="1:1">
      <c r="A4769">
        <f t="shared" si="120"/>
        <v>4767</v>
      </c>
    </row>
    <row r="4770" spans="1:1">
      <c r="A4770">
        <f t="shared" si="120"/>
        <v>4768</v>
      </c>
    </row>
    <row r="4771" spans="1:1">
      <c r="A4771">
        <f t="shared" si="120"/>
        <v>4769</v>
      </c>
    </row>
    <row r="4772" spans="1:1">
      <c r="A4772">
        <f t="shared" ref="A4772:A4835" si="121">A4771+1</f>
        <v>4770</v>
      </c>
    </row>
    <row r="4773" spans="1:1">
      <c r="A4773">
        <f t="shared" si="121"/>
        <v>4771</v>
      </c>
    </row>
    <row r="4774" spans="1:1">
      <c r="A4774">
        <f t="shared" si="121"/>
        <v>4772</v>
      </c>
    </row>
    <row r="4775" spans="1:1">
      <c r="A4775">
        <f t="shared" si="121"/>
        <v>4773</v>
      </c>
    </row>
    <row r="4776" spans="1:1">
      <c r="A4776">
        <f t="shared" si="121"/>
        <v>4774</v>
      </c>
    </row>
    <row r="4777" spans="1:1">
      <c r="A4777">
        <f t="shared" si="121"/>
        <v>4775</v>
      </c>
    </row>
    <row r="4778" spans="1:1">
      <c r="A4778">
        <f t="shared" si="121"/>
        <v>4776</v>
      </c>
    </row>
    <row r="4779" spans="1:1">
      <c r="A4779">
        <f t="shared" si="121"/>
        <v>4777</v>
      </c>
    </row>
    <row r="4780" spans="1:1">
      <c r="A4780">
        <f t="shared" si="121"/>
        <v>4778</v>
      </c>
    </row>
    <row r="4781" spans="1:1">
      <c r="A4781">
        <f t="shared" si="121"/>
        <v>4779</v>
      </c>
    </row>
    <row r="4782" spans="1:1">
      <c r="A4782">
        <f t="shared" si="121"/>
        <v>4780</v>
      </c>
    </row>
    <row r="4783" spans="1:1">
      <c r="A4783">
        <f t="shared" si="121"/>
        <v>4781</v>
      </c>
    </row>
    <row r="4784" spans="1:1">
      <c r="A4784">
        <f t="shared" si="121"/>
        <v>4782</v>
      </c>
    </row>
    <row r="4785" spans="1:1">
      <c r="A4785">
        <f t="shared" si="121"/>
        <v>4783</v>
      </c>
    </row>
    <row r="4786" spans="1:1">
      <c r="A4786">
        <f t="shared" si="121"/>
        <v>4784</v>
      </c>
    </row>
    <row r="4787" spans="1:1">
      <c r="A4787">
        <f t="shared" si="121"/>
        <v>4785</v>
      </c>
    </row>
    <row r="4788" spans="1:1">
      <c r="A4788">
        <f t="shared" si="121"/>
        <v>4786</v>
      </c>
    </row>
    <row r="4789" spans="1:1">
      <c r="A4789">
        <f t="shared" si="121"/>
        <v>4787</v>
      </c>
    </row>
    <row r="4790" spans="1:1">
      <c r="A4790">
        <f t="shared" si="121"/>
        <v>4788</v>
      </c>
    </row>
    <row r="4791" spans="1:1">
      <c r="A4791">
        <f t="shared" si="121"/>
        <v>4789</v>
      </c>
    </row>
    <row r="4792" spans="1:1">
      <c r="A4792">
        <f t="shared" si="121"/>
        <v>4790</v>
      </c>
    </row>
    <row r="4793" spans="1:1">
      <c r="A4793">
        <f t="shared" si="121"/>
        <v>4791</v>
      </c>
    </row>
    <row r="4794" spans="1:1">
      <c r="A4794">
        <f t="shared" si="121"/>
        <v>4792</v>
      </c>
    </row>
    <row r="4795" spans="1:1">
      <c r="A4795">
        <f t="shared" si="121"/>
        <v>4793</v>
      </c>
    </row>
    <row r="4796" spans="1:1">
      <c r="A4796">
        <f t="shared" si="121"/>
        <v>4794</v>
      </c>
    </row>
    <row r="4797" spans="1:1">
      <c r="A4797">
        <f t="shared" si="121"/>
        <v>4795</v>
      </c>
    </row>
    <row r="4798" spans="1:1">
      <c r="A4798">
        <f t="shared" si="121"/>
        <v>4796</v>
      </c>
    </row>
    <row r="4799" spans="1:1">
      <c r="A4799">
        <f t="shared" si="121"/>
        <v>4797</v>
      </c>
    </row>
    <row r="4800" spans="1:1">
      <c r="A4800">
        <f t="shared" si="121"/>
        <v>4798</v>
      </c>
    </row>
    <row r="4801" spans="1:1">
      <c r="A4801">
        <f t="shared" si="121"/>
        <v>4799</v>
      </c>
    </row>
    <row r="4802" spans="1:1">
      <c r="A4802">
        <f t="shared" si="121"/>
        <v>4800</v>
      </c>
    </row>
    <row r="4803" spans="1:1">
      <c r="A4803">
        <f t="shared" si="121"/>
        <v>4801</v>
      </c>
    </row>
    <row r="4804" spans="1:1">
      <c r="A4804">
        <f t="shared" si="121"/>
        <v>4802</v>
      </c>
    </row>
    <row r="4805" spans="1:1">
      <c r="A4805">
        <f t="shared" si="121"/>
        <v>4803</v>
      </c>
    </row>
    <row r="4806" spans="1:1">
      <c r="A4806">
        <f t="shared" si="121"/>
        <v>4804</v>
      </c>
    </row>
    <row r="4807" spans="1:1">
      <c r="A4807">
        <f t="shared" si="121"/>
        <v>4805</v>
      </c>
    </row>
    <row r="4808" spans="1:1">
      <c r="A4808">
        <f t="shared" si="121"/>
        <v>4806</v>
      </c>
    </row>
    <row r="4809" spans="1:1">
      <c r="A4809">
        <f t="shared" si="121"/>
        <v>4807</v>
      </c>
    </row>
    <row r="4810" spans="1:1">
      <c r="A4810">
        <f t="shared" si="121"/>
        <v>4808</v>
      </c>
    </row>
    <row r="4811" spans="1:1">
      <c r="A4811">
        <f t="shared" si="121"/>
        <v>4809</v>
      </c>
    </row>
    <row r="4812" spans="1:1">
      <c r="A4812">
        <f t="shared" si="121"/>
        <v>4810</v>
      </c>
    </row>
    <row r="4813" spans="1:1">
      <c r="A4813">
        <f t="shared" si="121"/>
        <v>4811</v>
      </c>
    </row>
    <row r="4814" spans="1:1">
      <c r="A4814">
        <f t="shared" si="121"/>
        <v>4812</v>
      </c>
    </row>
    <row r="4815" spans="1:1">
      <c r="A4815">
        <f t="shared" si="121"/>
        <v>4813</v>
      </c>
    </row>
    <row r="4816" spans="1:1">
      <c r="A4816">
        <f t="shared" si="121"/>
        <v>4814</v>
      </c>
    </row>
    <row r="4817" spans="1:1">
      <c r="A4817">
        <f t="shared" si="121"/>
        <v>4815</v>
      </c>
    </row>
    <row r="4818" spans="1:1">
      <c r="A4818">
        <f t="shared" si="121"/>
        <v>4816</v>
      </c>
    </row>
    <row r="4819" spans="1:1">
      <c r="A4819">
        <f t="shared" si="121"/>
        <v>4817</v>
      </c>
    </row>
    <row r="4820" spans="1:1">
      <c r="A4820">
        <f t="shared" si="121"/>
        <v>4818</v>
      </c>
    </row>
    <row r="4821" spans="1:1">
      <c r="A4821">
        <f t="shared" si="121"/>
        <v>4819</v>
      </c>
    </row>
    <row r="4822" spans="1:1">
      <c r="A4822">
        <f t="shared" si="121"/>
        <v>4820</v>
      </c>
    </row>
    <row r="4823" spans="1:1">
      <c r="A4823">
        <f t="shared" si="121"/>
        <v>4821</v>
      </c>
    </row>
    <row r="4824" spans="1:1">
      <c r="A4824">
        <f t="shared" si="121"/>
        <v>4822</v>
      </c>
    </row>
    <row r="4825" spans="1:1">
      <c r="A4825">
        <f t="shared" si="121"/>
        <v>4823</v>
      </c>
    </row>
    <row r="4826" spans="1:1">
      <c r="A4826">
        <f t="shared" si="121"/>
        <v>4824</v>
      </c>
    </row>
    <row r="4827" spans="1:1">
      <c r="A4827">
        <f t="shared" si="121"/>
        <v>4825</v>
      </c>
    </row>
    <row r="4828" spans="1:1">
      <c r="A4828">
        <f t="shared" si="121"/>
        <v>4826</v>
      </c>
    </row>
    <row r="4829" spans="1:1">
      <c r="A4829">
        <f t="shared" si="121"/>
        <v>4827</v>
      </c>
    </row>
    <row r="4830" spans="1:1">
      <c r="A4830">
        <f t="shared" si="121"/>
        <v>4828</v>
      </c>
    </row>
    <row r="4831" spans="1:1">
      <c r="A4831">
        <f t="shared" si="121"/>
        <v>4829</v>
      </c>
    </row>
    <row r="4832" spans="1:1">
      <c r="A4832">
        <f t="shared" si="121"/>
        <v>4830</v>
      </c>
    </row>
    <row r="4833" spans="1:1">
      <c r="A4833">
        <f t="shared" si="121"/>
        <v>4831</v>
      </c>
    </row>
    <row r="4834" spans="1:1">
      <c r="A4834">
        <f t="shared" si="121"/>
        <v>4832</v>
      </c>
    </row>
    <row r="4835" spans="1:1">
      <c r="A4835">
        <f t="shared" si="121"/>
        <v>4833</v>
      </c>
    </row>
    <row r="4836" spans="1:1">
      <c r="A4836">
        <f t="shared" ref="A4836:A4899" si="122">A4835+1</f>
        <v>4834</v>
      </c>
    </row>
    <row r="4837" spans="1:1">
      <c r="A4837">
        <f t="shared" si="122"/>
        <v>4835</v>
      </c>
    </row>
    <row r="4838" spans="1:1">
      <c r="A4838">
        <f t="shared" si="122"/>
        <v>4836</v>
      </c>
    </row>
    <row r="4839" spans="1:1">
      <c r="A4839">
        <f t="shared" si="122"/>
        <v>4837</v>
      </c>
    </row>
    <row r="4840" spans="1:1">
      <c r="A4840">
        <f t="shared" si="122"/>
        <v>4838</v>
      </c>
    </row>
    <row r="4841" spans="1:1">
      <c r="A4841">
        <f t="shared" si="122"/>
        <v>4839</v>
      </c>
    </row>
    <row r="4842" spans="1:1">
      <c r="A4842">
        <f t="shared" si="122"/>
        <v>4840</v>
      </c>
    </row>
    <row r="4843" spans="1:1">
      <c r="A4843">
        <f t="shared" si="122"/>
        <v>4841</v>
      </c>
    </row>
    <row r="4844" spans="1:1">
      <c r="A4844">
        <f t="shared" si="122"/>
        <v>4842</v>
      </c>
    </row>
    <row r="4845" spans="1:1">
      <c r="A4845">
        <f t="shared" si="122"/>
        <v>4843</v>
      </c>
    </row>
    <row r="4846" spans="1:1">
      <c r="A4846">
        <f t="shared" si="122"/>
        <v>4844</v>
      </c>
    </row>
    <row r="4847" spans="1:1">
      <c r="A4847">
        <f t="shared" si="122"/>
        <v>4845</v>
      </c>
    </row>
    <row r="4848" spans="1:1">
      <c r="A4848">
        <f t="shared" si="122"/>
        <v>4846</v>
      </c>
    </row>
    <row r="4849" spans="1:1">
      <c r="A4849">
        <f t="shared" si="122"/>
        <v>4847</v>
      </c>
    </row>
    <row r="4850" spans="1:1">
      <c r="A4850">
        <f t="shared" si="122"/>
        <v>4848</v>
      </c>
    </row>
    <row r="4851" spans="1:1">
      <c r="A4851">
        <f t="shared" si="122"/>
        <v>4849</v>
      </c>
    </row>
    <row r="4852" spans="1:1">
      <c r="A4852">
        <f t="shared" si="122"/>
        <v>4850</v>
      </c>
    </row>
    <row r="4853" spans="1:1">
      <c r="A4853">
        <f t="shared" si="122"/>
        <v>4851</v>
      </c>
    </row>
    <row r="4854" spans="1:1">
      <c r="A4854">
        <f t="shared" si="122"/>
        <v>4852</v>
      </c>
    </row>
    <row r="4855" spans="1:1">
      <c r="A4855">
        <f t="shared" si="122"/>
        <v>4853</v>
      </c>
    </row>
    <row r="4856" spans="1:1">
      <c r="A4856">
        <f t="shared" si="122"/>
        <v>4854</v>
      </c>
    </row>
    <row r="4857" spans="1:1">
      <c r="A4857">
        <f t="shared" si="122"/>
        <v>4855</v>
      </c>
    </row>
    <row r="4858" spans="1:1">
      <c r="A4858">
        <f t="shared" si="122"/>
        <v>4856</v>
      </c>
    </row>
    <row r="4859" spans="1:1">
      <c r="A4859">
        <f t="shared" si="122"/>
        <v>4857</v>
      </c>
    </row>
    <row r="4860" spans="1:1">
      <c r="A4860">
        <f t="shared" si="122"/>
        <v>4858</v>
      </c>
    </row>
    <row r="4861" spans="1:1">
      <c r="A4861">
        <f t="shared" si="122"/>
        <v>4859</v>
      </c>
    </row>
    <row r="4862" spans="1:1">
      <c r="A4862">
        <f t="shared" si="122"/>
        <v>4860</v>
      </c>
    </row>
    <row r="4863" spans="1:1">
      <c r="A4863">
        <f t="shared" si="122"/>
        <v>4861</v>
      </c>
    </row>
    <row r="4864" spans="1:1">
      <c r="A4864">
        <f t="shared" si="122"/>
        <v>4862</v>
      </c>
    </row>
    <row r="4865" spans="1:1">
      <c r="A4865">
        <f t="shared" si="122"/>
        <v>4863</v>
      </c>
    </row>
    <row r="4866" spans="1:1">
      <c r="A4866">
        <f t="shared" si="122"/>
        <v>4864</v>
      </c>
    </row>
    <row r="4867" spans="1:1">
      <c r="A4867">
        <f t="shared" si="122"/>
        <v>4865</v>
      </c>
    </row>
    <row r="4868" spans="1:1">
      <c r="A4868">
        <f t="shared" si="122"/>
        <v>4866</v>
      </c>
    </row>
    <row r="4869" spans="1:1">
      <c r="A4869">
        <f t="shared" si="122"/>
        <v>4867</v>
      </c>
    </row>
    <row r="4870" spans="1:1">
      <c r="A4870">
        <f t="shared" si="122"/>
        <v>4868</v>
      </c>
    </row>
    <row r="4871" spans="1:1">
      <c r="A4871">
        <f t="shared" si="122"/>
        <v>4869</v>
      </c>
    </row>
    <row r="4872" spans="1:1">
      <c r="A4872">
        <f t="shared" si="122"/>
        <v>4870</v>
      </c>
    </row>
    <row r="4873" spans="1:1">
      <c r="A4873">
        <f t="shared" si="122"/>
        <v>4871</v>
      </c>
    </row>
    <row r="4874" spans="1:1">
      <c r="A4874">
        <f t="shared" si="122"/>
        <v>4872</v>
      </c>
    </row>
    <row r="4875" spans="1:1">
      <c r="A4875">
        <f t="shared" si="122"/>
        <v>4873</v>
      </c>
    </row>
    <row r="4876" spans="1:1">
      <c r="A4876">
        <f t="shared" si="122"/>
        <v>4874</v>
      </c>
    </row>
    <row r="4877" spans="1:1">
      <c r="A4877">
        <f t="shared" si="122"/>
        <v>4875</v>
      </c>
    </row>
    <row r="4878" spans="1:1">
      <c r="A4878">
        <f t="shared" si="122"/>
        <v>4876</v>
      </c>
    </row>
    <row r="4879" spans="1:1">
      <c r="A4879">
        <f t="shared" si="122"/>
        <v>4877</v>
      </c>
    </row>
    <row r="4880" spans="1:1">
      <c r="A4880">
        <f t="shared" si="122"/>
        <v>4878</v>
      </c>
    </row>
    <row r="4881" spans="1:1">
      <c r="A4881">
        <f t="shared" si="122"/>
        <v>4879</v>
      </c>
    </row>
    <row r="4882" spans="1:1">
      <c r="A4882">
        <f t="shared" si="122"/>
        <v>4880</v>
      </c>
    </row>
    <row r="4883" spans="1:1">
      <c r="A4883">
        <f t="shared" si="122"/>
        <v>4881</v>
      </c>
    </row>
    <row r="4884" spans="1:1">
      <c r="A4884">
        <f t="shared" si="122"/>
        <v>4882</v>
      </c>
    </row>
    <row r="4885" spans="1:1">
      <c r="A4885">
        <f t="shared" si="122"/>
        <v>4883</v>
      </c>
    </row>
    <row r="4886" spans="1:1">
      <c r="A4886">
        <f t="shared" si="122"/>
        <v>4884</v>
      </c>
    </row>
    <row r="4887" spans="1:1">
      <c r="A4887">
        <f t="shared" si="122"/>
        <v>4885</v>
      </c>
    </row>
    <row r="4888" spans="1:1">
      <c r="A4888">
        <f t="shared" si="122"/>
        <v>4886</v>
      </c>
    </row>
    <row r="4889" spans="1:1">
      <c r="A4889">
        <f t="shared" si="122"/>
        <v>4887</v>
      </c>
    </row>
    <row r="4890" spans="1:1">
      <c r="A4890">
        <f t="shared" si="122"/>
        <v>4888</v>
      </c>
    </row>
    <row r="4891" spans="1:1">
      <c r="A4891">
        <f t="shared" si="122"/>
        <v>4889</v>
      </c>
    </row>
    <row r="4892" spans="1:1">
      <c r="A4892">
        <f t="shared" si="122"/>
        <v>4890</v>
      </c>
    </row>
    <row r="4893" spans="1:1">
      <c r="A4893">
        <f t="shared" si="122"/>
        <v>4891</v>
      </c>
    </row>
    <row r="4894" spans="1:1">
      <c r="A4894">
        <f t="shared" si="122"/>
        <v>4892</v>
      </c>
    </row>
    <row r="4895" spans="1:1">
      <c r="A4895">
        <f t="shared" si="122"/>
        <v>4893</v>
      </c>
    </row>
    <row r="4896" spans="1:1">
      <c r="A4896">
        <f t="shared" si="122"/>
        <v>4894</v>
      </c>
    </row>
    <row r="4897" spans="1:1">
      <c r="A4897">
        <f t="shared" si="122"/>
        <v>4895</v>
      </c>
    </row>
    <row r="4898" spans="1:1">
      <c r="A4898">
        <f t="shared" si="122"/>
        <v>4896</v>
      </c>
    </row>
    <row r="4899" spans="1:1">
      <c r="A4899">
        <f t="shared" si="122"/>
        <v>4897</v>
      </c>
    </row>
    <row r="4900" spans="1:1">
      <c r="A4900">
        <f t="shared" ref="A4900:A4963" si="123">A4899+1</f>
        <v>4898</v>
      </c>
    </row>
    <row r="4901" spans="1:1">
      <c r="A4901">
        <f t="shared" si="123"/>
        <v>4899</v>
      </c>
    </row>
    <row r="4902" spans="1:1">
      <c r="A4902">
        <f t="shared" si="123"/>
        <v>4900</v>
      </c>
    </row>
    <row r="4903" spans="1:1">
      <c r="A4903">
        <f t="shared" si="123"/>
        <v>4901</v>
      </c>
    </row>
    <row r="4904" spans="1:1">
      <c r="A4904">
        <f t="shared" si="123"/>
        <v>4902</v>
      </c>
    </row>
    <row r="4905" spans="1:1">
      <c r="A4905">
        <f t="shared" si="123"/>
        <v>4903</v>
      </c>
    </row>
    <row r="4906" spans="1:1">
      <c r="A4906">
        <f t="shared" si="123"/>
        <v>4904</v>
      </c>
    </row>
    <row r="4907" spans="1:1">
      <c r="A4907">
        <f t="shared" si="123"/>
        <v>4905</v>
      </c>
    </row>
    <row r="4908" spans="1:1">
      <c r="A4908">
        <f t="shared" si="123"/>
        <v>4906</v>
      </c>
    </row>
    <row r="4909" spans="1:1">
      <c r="A4909">
        <f t="shared" si="123"/>
        <v>4907</v>
      </c>
    </row>
    <row r="4910" spans="1:1">
      <c r="A4910">
        <f t="shared" si="123"/>
        <v>4908</v>
      </c>
    </row>
    <row r="4911" spans="1:1">
      <c r="A4911">
        <f t="shared" si="123"/>
        <v>4909</v>
      </c>
    </row>
    <row r="4912" spans="1:1">
      <c r="A4912">
        <f t="shared" si="123"/>
        <v>4910</v>
      </c>
    </row>
    <row r="4913" spans="1:1">
      <c r="A4913">
        <f t="shared" si="123"/>
        <v>4911</v>
      </c>
    </row>
    <row r="4914" spans="1:1">
      <c r="A4914">
        <f t="shared" si="123"/>
        <v>4912</v>
      </c>
    </row>
    <row r="4915" spans="1:1">
      <c r="A4915">
        <f t="shared" si="123"/>
        <v>4913</v>
      </c>
    </row>
    <row r="4916" spans="1:1">
      <c r="A4916">
        <f t="shared" si="123"/>
        <v>4914</v>
      </c>
    </row>
    <row r="4917" spans="1:1">
      <c r="A4917">
        <f t="shared" si="123"/>
        <v>4915</v>
      </c>
    </row>
    <row r="4918" spans="1:1">
      <c r="A4918">
        <f t="shared" si="123"/>
        <v>4916</v>
      </c>
    </row>
    <row r="4919" spans="1:1">
      <c r="A4919">
        <f t="shared" si="123"/>
        <v>4917</v>
      </c>
    </row>
    <row r="4920" spans="1:1">
      <c r="A4920">
        <f t="shared" si="123"/>
        <v>4918</v>
      </c>
    </row>
    <row r="4921" spans="1:1">
      <c r="A4921">
        <f t="shared" si="123"/>
        <v>4919</v>
      </c>
    </row>
    <row r="4922" spans="1:1">
      <c r="A4922">
        <f t="shared" si="123"/>
        <v>4920</v>
      </c>
    </row>
    <row r="4923" spans="1:1">
      <c r="A4923">
        <f t="shared" si="123"/>
        <v>4921</v>
      </c>
    </row>
    <row r="4924" spans="1:1">
      <c r="A4924">
        <f t="shared" si="123"/>
        <v>4922</v>
      </c>
    </row>
    <row r="4925" spans="1:1">
      <c r="A4925">
        <f t="shared" si="123"/>
        <v>4923</v>
      </c>
    </row>
    <row r="4926" spans="1:1">
      <c r="A4926">
        <f t="shared" si="123"/>
        <v>4924</v>
      </c>
    </row>
    <row r="4927" spans="1:1">
      <c r="A4927">
        <f t="shared" si="123"/>
        <v>4925</v>
      </c>
    </row>
    <row r="4928" spans="1:1">
      <c r="A4928">
        <f t="shared" si="123"/>
        <v>4926</v>
      </c>
    </row>
    <row r="4929" spans="1:1">
      <c r="A4929">
        <f t="shared" si="123"/>
        <v>4927</v>
      </c>
    </row>
    <row r="4930" spans="1:1">
      <c r="A4930">
        <f t="shared" si="123"/>
        <v>4928</v>
      </c>
    </row>
    <row r="4931" spans="1:1">
      <c r="A4931">
        <f t="shared" si="123"/>
        <v>4929</v>
      </c>
    </row>
    <row r="4932" spans="1:1">
      <c r="A4932">
        <f t="shared" si="123"/>
        <v>4930</v>
      </c>
    </row>
    <row r="4933" spans="1:1">
      <c r="A4933">
        <f t="shared" si="123"/>
        <v>4931</v>
      </c>
    </row>
    <row r="4934" spans="1:1">
      <c r="A4934">
        <f t="shared" si="123"/>
        <v>4932</v>
      </c>
    </row>
    <row r="4935" spans="1:1">
      <c r="A4935">
        <f t="shared" si="123"/>
        <v>4933</v>
      </c>
    </row>
    <row r="4936" spans="1:1">
      <c r="A4936">
        <f t="shared" si="123"/>
        <v>4934</v>
      </c>
    </row>
    <row r="4937" spans="1:1">
      <c r="A4937">
        <f t="shared" si="123"/>
        <v>4935</v>
      </c>
    </row>
    <row r="4938" spans="1:1">
      <c r="A4938">
        <f t="shared" si="123"/>
        <v>4936</v>
      </c>
    </row>
    <row r="4939" spans="1:1">
      <c r="A4939">
        <f t="shared" si="123"/>
        <v>4937</v>
      </c>
    </row>
    <row r="4940" spans="1:1">
      <c r="A4940">
        <f t="shared" si="123"/>
        <v>4938</v>
      </c>
    </row>
    <row r="4941" spans="1:1">
      <c r="A4941">
        <f t="shared" si="123"/>
        <v>4939</v>
      </c>
    </row>
    <row r="4942" spans="1:1">
      <c r="A4942">
        <f t="shared" si="123"/>
        <v>4940</v>
      </c>
    </row>
    <row r="4943" spans="1:1">
      <c r="A4943">
        <f t="shared" si="123"/>
        <v>4941</v>
      </c>
    </row>
    <row r="4944" spans="1:1">
      <c r="A4944">
        <f t="shared" si="123"/>
        <v>4942</v>
      </c>
    </row>
    <row r="4945" spans="1:1">
      <c r="A4945">
        <f t="shared" si="123"/>
        <v>4943</v>
      </c>
    </row>
    <row r="4946" spans="1:1">
      <c r="A4946">
        <f t="shared" si="123"/>
        <v>4944</v>
      </c>
    </row>
    <row r="4947" spans="1:1">
      <c r="A4947">
        <f t="shared" si="123"/>
        <v>4945</v>
      </c>
    </row>
    <row r="4948" spans="1:1">
      <c r="A4948">
        <f t="shared" si="123"/>
        <v>4946</v>
      </c>
    </row>
    <row r="4949" spans="1:1">
      <c r="A4949">
        <f t="shared" si="123"/>
        <v>4947</v>
      </c>
    </row>
    <row r="4950" spans="1:1">
      <c r="A4950">
        <f t="shared" si="123"/>
        <v>4948</v>
      </c>
    </row>
    <row r="4951" spans="1:1">
      <c r="A4951">
        <f t="shared" si="123"/>
        <v>4949</v>
      </c>
    </row>
    <row r="4952" spans="1:1">
      <c r="A4952">
        <f t="shared" si="123"/>
        <v>4950</v>
      </c>
    </row>
    <row r="4953" spans="1:1">
      <c r="A4953">
        <f t="shared" si="123"/>
        <v>4951</v>
      </c>
    </row>
    <row r="4954" spans="1:1">
      <c r="A4954">
        <f t="shared" si="123"/>
        <v>4952</v>
      </c>
    </row>
    <row r="4955" spans="1:1">
      <c r="A4955">
        <f t="shared" si="123"/>
        <v>4953</v>
      </c>
    </row>
    <row r="4956" spans="1:1">
      <c r="A4956">
        <f t="shared" si="123"/>
        <v>4954</v>
      </c>
    </row>
    <row r="4957" spans="1:1">
      <c r="A4957">
        <f t="shared" si="123"/>
        <v>4955</v>
      </c>
    </row>
    <row r="4958" spans="1:1">
      <c r="A4958">
        <f t="shared" si="123"/>
        <v>4956</v>
      </c>
    </row>
    <row r="4959" spans="1:1">
      <c r="A4959">
        <f t="shared" si="123"/>
        <v>4957</v>
      </c>
    </row>
    <row r="4960" spans="1:1">
      <c r="A4960">
        <f t="shared" si="123"/>
        <v>4958</v>
      </c>
    </row>
    <row r="4961" spans="1:1">
      <c r="A4961">
        <f t="shared" si="123"/>
        <v>4959</v>
      </c>
    </row>
    <row r="4962" spans="1:1">
      <c r="A4962">
        <f t="shared" si="123"/>
        <v>4960</v>
      </c>
    </row>
    <row r="4963" spans="1:1">
      <c r="A4963">
        <f t="shared" si="123"/>
        <v>4961</v>
      </c>
    </row>
    <row r="4964" spans="1:1">
      <c r="A4964">
        <f t="shared" ref="A4964:A5027" si="124">A4963+1</f>
        <v>4962</v>
      </c>
    </row>
    <row r="4965" spans="1:1">
      <c r="A4965">
        <f t="shared" si="124"/>
        <v>4963</v>
      </c>
    </row>
    <row r="4966" spans="1:1">
      <c r="A4966">
        <f t="shared" si="124"/>
        <v>4964</v>
      </c>
    </row>
    <row r="4967" spans="1:1">
      <c r="A4967">
        <f t="shared" si="124"/>
        <v>4965</v>
      </c>
    </row>
    <row r="4968" spans="1:1">
      <c r="A4968">
        <f t="shared" si="124"/>
        <v>4966</v>
      </c>
    </row>
    <row r="4969" spans="1:1">
      <c r="A4969">
        <f t="shared" si="124"/>
        <v>4967</v>
      </c>
    </row>
    <row r="4970" spans="1:1">
      <c r="A4970">
        <f t="shared" si="124"/>
        <v>4968</v>
      </c>
    </row>
    <row r="4971" spans="1:1">
      <c r="A4971">
        <f t="shared" si="124"/>
        <v>4969</v>
      </c>
    </row>
    <row r="4972" spans="1:1">
      <c r="A4972">
        <f t="shared" si="124"/>
        <v>4970</v>
      </c>
    </row>
    <row r="4973" spans="1:1">
      <c r="A4973">
        <f t="shared" si="124"/>
        <v>4971</v>
      </c>
    </row>
    <row r="4974" spans="1:1">
      <c r="A4974">
        <f t="shared" si="124"/>
        <v>4972</v>
      </c>
    </row>
    <row r="4975" spans="1:1">
      <c r="A4975">
        <f t="shared" si="124"/>
        <v>4973</v>
      </c>
    </row>
    <row r="4976" spans="1:1">
      <c r="A4976">
        <f t="shared" si="124"/>
        <v>4974</v>
      </c>
    </row>
    <row r="4977" spans="1:1">
      <c r="A4977">
        <f t="shared" si="124"/>
        <v>4975</v>
      </c>
    </row>
    <row r="4978" spans="1:1">
      <c r="A4978">
        <f t="shared" si="124"/>
        <v>4976</v>
      </c>
    </row>
    <row r="4979" spans="1:1">
      <c r="A4979">
        <f t="shared" si="124"/>
        <v>4977</v>
      </c>
    </row>
    <row r="4980" spans="1:1">
      <c r="A4980">
        <f t="shared" si="124"/>
        <v>4978</v>
      </c>
    </row>
    <row r="4981" spans="1:1">
      <c r="A4981">
        <f t="shared" si="124"/>
        <v>4979</v>
      </c>
    </row>
    <row r="4982" spans="1:1">
      <c r="A4982">
        <f t="shared" si="124"/>
        <v>4980</v>
      </c>
    </row>
    <row r="4983" spans="1:1">
      <c r="A4983">
        <f t="shared" si="124"/>
        <v>4981</v>
      </c>
    </row>
    <row r="4984" spans="1:1">
      <c r="A4984">
        <f t="shared" si="124"/>
        <v>4982</v>
      </c>
    </row>
    <row r="4985" spans="1:1">
      <c r="A4985">
        <f t="shared" si="124"/>
        <v>4983</v>
      </c>
    </row>
    <row r="4986" spans="1:1">
      <c r="A4986">
        <f t="shared" si="124"/>
        <v>4984</v>
      </c>
    </row>
    <row r="4987" spans="1:1">
      <c r="A4987">
        <f t="shared" si="124"/>
        <v>4985</v>
      </c>
    </row>
    <row r="4988" spans="1:1">
      <c r="A4988">
        <f t="shared" si="124"/>
        <v>4986</v>
      </c>
    </row>
    <row r="4989" spans="1:1">
      <c r="A4989">
        <f t="shared" si="124"/>
        <v>4987</v>
      </c>
    </row>
    <row r="4990" spans="1:1">
      <c r="A4990">
        <f t="shared" si="124"/>
        <v>4988</v>
      </c>
    </row>
    <row r="4991" spans="1:1">
      <c r="A4991">
        <f t="shared" si="124"/>
        <v>4989</v>
      </c>
    </row>
    <row r="4992" spans="1:1">
      <c r="A4992">
        <f t="shared" si="124"/>
        <v>4990</v>
      </c>
    </row>
    <row r="4993" spans="1:1">
      <c r="A4993">
        <f t="shared" si="124"/>
        <v>4991</v>
      </c>
    </row>
    <row r="4994" spans="1:1">
      <c r="A4994">
        <f t="shared" si="124"/>
        <v>4992</v>
      </c>
    </row>
    <row r="4995" spans="1:1">
      <c r="A4995">
        <f t="shared" si="124"/>
        <v>4993</v>
      </c>
    </row>
    <row r="4996" spans="1:1">
      <c r="A4996">
        <f t="shared" si="124"/>
        <v>4994</v>
      </c>
    </row>
    <row r="4997" spans="1:1">
      <c r="A4997">
        <f t="shared" si="124"/>
        <v>4995</v>
      </c>
    </row>
    <row r="4998" spans="1:1">
      <c r="A4998">
        <f t="shared" si="124"/>
        <v>4996</v>
      </c>
    </row>
    <row r="4999" spans="1:1">
      <c r="A4999">
        <f t="shared" si="124"/>
        <v>4997</v>
      </c>
    </row>
    <row r="5000" spans="1:1">
      <c r="A5000">
        <f t="shared" si="124"/>
        <v>4998</v>
      </c>
    </row>
    <row r="5001" spans="1:1">
      <c r="A5001">
        <f t="shared" si="124"/>
        <v>4999</v>
      </c>
    </row>
    <row r="5002" spans="1:1">
      <c r="A5002">
        <f t="shared" si="124"/>
        <v>5000</v>
      </c>
    </row>
    <row r="5003" spans="1:1">
      <c r="A5003">
        <f t="shared" si="124"/>
        <v>5001</v>
      </c>
    </row>
    <row r="5004" spans="1:1">
      <c r="A5004">
        <f t="shared" si="124"/>
        <v>5002</v>
      </c>
    </row>
    <row r="5005" spans="1:1">
      <c r="A5005">
        <f t="shared" si="124"/>
        <v>5003</v>
      </c>
    </row>
    <row r="5006" spans="1:1">
      <c r="A5006">
        <f t="shared" si="124"/>
        <v>5004</v>
      </c>
    </row>
    <row r="5007" spans="1:1">
      <c r="A5007">
        <f t="shared" si="124"/>
        <v>5005</v>
      </c>
    </row>
    <row r="5008" spans="1:1">
      <c r="A5008">
        <f t="shared" si="124"/>
        <v>5006</v>
      </c>
    </row>
    <row r="5009" spans="1:1">
      <c r="A5009">
        <f t="shared" si="124"/>
        <v>5007</v>
      </c>
    </row>
    <row r="5010" spans="1:1">
      <c r="A5010">
        <f t="shared" si="124"/>
        <v>5008</v>
      </c>
    </row>
    <row r="5011" spans="1:1">
      <c r="A5011">
        <f t="shared" si="124"/>
        <v>5009</v>
      </c>
    </row>
    <row r="5012" spans="1:1">
      <c r="A5012">
        <f t="shared" si="124"/>
        <v>5010</v>
      </c>
    </row>
    <row r="5013" spans="1:1">
      <c r="A5013">
        <f t="shared" si="124"/>
        <v>5011</v>
      </c>
    </row>
    <row r="5014" spans="1:1">
      <c r="A5014">
        <f t="shared" si="124"/>
        <v>5012</v>
      </c>
    </row>
    <row r="5015" spans="1:1">
      <c r="A5015">
        <f t="shared" si="124"/>
        <v>5013</v>
      </c>
    </row>
    <row r="5016" spans="1:1">
      <c r="A5016">
        <f t="shared" si="124"/>
        <v>5014</v>
      </c>
    </row>
    <row r="5017" spans="1:1">
      <c r="A5017">
        <f t="shared" si="124"/>
        <v>5015</v>
      </c>
    </row>
    <row r="5018" spans="1:1">
      <c r="A5018">
        <f t="shared" si="124"/>
        <v>5016</v>
      </c>
    </row>
    <row r="5019" spans="1:1">
      <c r="A5019">
        <f t="shared" si="124"/>
        <v>5017</v>
      </c>
    </row>
    <row r="5020" spans="1:1">
      <c r="A5020">
        <f t="shared" si="124"/>
        <v>5018</v>
      </c>
    </row>
    <row r="5021" spans="1:1">
      <c r="A5021">
        <f t="shared" si="124"/>
        <v>5019</v>
      </c>
    </row>
    <row r="5022" spans="1:1">
      <c r="A5022">
        <f t="shared" si="124"/>
        <v>5020</v>
      </c>
    </row>
    <row r="5023" spans="1:1">
      <c r="A5023">
        <f t="shared" si="124"/>
        <v>5021</v>
      </c>
    </row>
    <row r="5024" spans="1:1">
      <c r="A5024">
        <f t="shared" si="124"/>
        <v>5022</v>
      </c>
    </row>
    <row r="5025" spans="1:1">
      <c r="A5025">
        <f t="shared" si="124"/>
        <v>5023</v>
      </c>
    </row>
    <row r="5026" spans="1:1">
      <c r="A5026">
        <f t="shared" si="124"/>
        <v>5024</v>
      </c>
    </row>
    <row r="5027" spans="1:1">
      <c r="A5027">
        <f t="shared" si="124"/>
        <v>5025</v>
      </c>
    </row>
    <row r="5028" spans="1:1">
      <c r="A5028">
        <f t="shared" ref="A5028:A5091" si="125">A5027+1</f>
        <v>5026</v>
      </c>
    </row>
    <row r="5029" spans="1:1">
      <c r="A5029">
        <f t="shared" si="125"/>
        <v>5027</v>
      </c>
    </row>
    <row r="5030" spans="1:1">
      <c r="A5030">
        <f t="shared" si="125"/>
        <v>5028</v>
      </c>
    </row>
    <row r="5031" spans="1:1">
      <c r="A5031">
        <f t="shared" si="125"/>
        <v>5029</v>
      </c>
    </row>
    <row r="5032" spans="1:1">
      <c r="A5032">
        <f t="shared" si="125"/>
        <v>5030</v>
      </c>
    </row>
    <row r="5033" spans="1:1">
      <c r="A5033">
        <f t="shared" si="125"/>
        <v>5031</v>
      </c>
    </row>
    <row r="5034" spans="1:1">
      <c r="A5034">
        <f t="shared" si="125"/>
        <v>5032</v>
      </c>
    </row>
    <row r="5035" spans="1:1">
      <c r="A5035">
        <f t="shared" si="125"/>
        <v>5033</v>
      </c>
    </row>
    <row r="5036" spans="1:1">
      <c r="A5036">
        <f t="shared" si="125"/>
        <v>5034</v>
      </c>
    </row>
    <row r="5037" spans="1:1">
      <c r="A5037">
        <f t="shared" si="125"/>
        <v>5035</v>
      </c>
    </row>
    <row r="5038" spans="1:1">
      <c r="A5038">
        <f t="shared" si="125"/>
        <v>5036</v>
      </c>
    </row>
    <row r="5039" spans="1:1">
      <c r="A5039">
        <f t="shared" si="125"/>
        <v>5037</v>
      </c>
    </row>
    <row r="5040" spans="1:1">
      <c r="A5040">
        <f t="shared" si="125"/>
        <v>5038</v>
      </c>
    </row>
    <row r="5041" spans="1:1">
      <c r="A5041">
        <f t="shared" si="125"/>
        <v>5039</v>
      </c>
    </row>
    <row r="5042" spans="1:1">
      <c r="A5042">
        <f t="shared" si="125"/>
        <v>5040</v>
      </c>
    </row>
    <row r="5043" spans="1:1">
      <c r="A5043">
        <f t="shared" si="125"/>
        <v>5041</v>
      </c>
    </row>
    <row r="5044" spans="1:1">
      <c r="A5044">
        <f t="shared" si="125"/>
        <v>5042</v>
      </c>
    </row>
    <row r="5045" spans="1:1">
      <c r="A5045">
        <f t="shared" si="125"/>
        <v>5043</v>
      </c>
    </row>
    <row r="5046" spans="1:1">
      <c r="A5046">
        <f t="shared" si="125"/>
        <v>5044</v>
      </c>
    </row>
    <row r="5047" spans="1:1">
      <c r="A5047">
        <f t="shared" si="125"/>
        <v>5045</v>
      </c>
    </row>
    <row r="5048" spans="1:1">
      <c r="A5048">
        <f t="shared" si="125"/>
        <v>5046</v>
      </c>
    </row>
    <row r="5049" spans="1:1">
      <c r="A5049">
        <f t="shared" si="125"/>
        <v>5047</v>
      </c>
    </row>
    <row r="5050" spans="1:1">
      <c r="A5050">
        <f t="shared" si="125"/>
        <v>5048</v>
      </c>
    </row>
    <row r="5051" spans="1:1">
      <c r="A5051">
        <f t="shared" si="125"/>
        <v>5049</v>
      </c>
    </row>
    <row r="5052" spans="1:1">
      <c r="A5052">
        <f t="shared" si="125"/>
        <v>5050</v>
      </c>
    </row>
    <row r="5053" spans="1:1">
      <c r="A5053">
        <f t="shared" si="125"/>
        <v>5051</v>
      </c>
    </row>
    <row r="5054" spans="1:1">
      <c r="A5054">
        <f t="shared" si="125"/>
        <v>5052</v>
      </c>
    </row>
    <row r="5055" spans="1:1">
      <c r="A5055">
        <f t="shared" si="125"/>
        <v>5053</v>
      </c>
    </row>
    <row r="5056" spans="1:1">
      <c r="A5056">
        <f t="shared" si="125"/>
        <v>5054</v>
      </c>
    </row>
    <row r="5057" spans="1:1">
      <c r="A5057">
        <f t="shared" si="125"/>
        <v>5055</v>
      </c>
    </row>
    <row r="5058" spans="1:1">
      <c r="A5058">
        <f t="shared" si="125"/>
        <v>5056</v>
      </c>
    </row>
    <row r="5059" spans="1:1">
      <c r="A5059">
        <f t="shared" si="125"/>
        <v>5057</v>
      </c>
    </row>
    <row r="5060" spans="1:1">
      <c r="A5060">
        <f t="shared" si="125"/>
        <v>5058</v>
      </c>
    </row>
    <row r="5061" spans="1:1">
      <c r="A5061">
        <f t="shared" si="125"/>
        <v>5059</v>
      </c>
    </row>
    <row r="5062" spans="1:1">
      <c r="A5062">
        <f t="shared" si="125"/>
        <v>5060</v>
      </c>
    </row>
    <row r="5063" spans="1:1">
      <c r="A5063">
        <f t="shared" si="125"/>
        <v>5061</v>
      </c>
    </row>
    <row r="5064" spans="1:1">
      <c r="A5064">
        <f t="shared" si="125"/>
        <v>5062</v>
      </c>
    </row>
    <row r="5065" spans="1:1">
      <c r="A5065">
        <f t="shared" si="125"/>
        <v>5063</v>
      </c>
    </row>
    <row r="5066" spans="1:1">
      <c r="A5066">
        <f t="shared" si="125"/>
        <v>5064</v>
      </c>
    </row>
    <row r="5067" spans="1:1">
      <c r="A5067">
        <f t="shared" si="125"/>
        <v>5065</v>
      </c>
    </row>
    <row r="5068" spans="1:1">
      <c r="A5068">
        <f t="shared" si="125"/>
        <v>5066</v>
      </c>
    </row>
    <row r="5069" spans="1:1">
      <c r="A5069">
        <f t="shared" si="125"/>
        <v>5067</v>
      </c>
    </row>
    <row r="5070" spans="1:1">
      <c r="A5070">
        <f t="shared" si="125"/>
        <v>5068</v>
      </c>
    </row>
    <row r="5071" spans="1:1">
      <c r="A5071">
        <f t="shared" si="125"/>
        <v>5069</v>
      </c>
    </row>
    <row r="5072" spans="1:1">
      <c r="A5072">
        <f t="shared" si="125"/>
        <v>5070</v>
      </c>
    </row>
    <row r="5073" spans="1:1">
      <c r="A5073">
        <f t="shared" si="125"/>
        <v>5071</v>
      </c>
    </row>
    <row r="5074" spans="1:1">
      <c r="A5074">
        <f t="shared" si="125"/>
        <v>5072</v>
      </c>
    </row>
    <row r="5075" spans="1:1">
      <c r="A5075">
        <f t="shared" si="125"/>
        <v>5073</v>
      </c>
    </row>
    <row r="5076" spans="1:1">
      <c r="A5076">
        <f t="shared" si="125"/>
        <v>5074</v>
      </c>
    </row>
    <row r="5077" spans="1:1">
      <c r="A5077">
        <f t="shared" si="125"/>
        <v>5075</v>
      </c>
    </row>
    <row r="5078" spans="1:1">
      <c r="A5078">
        <f t="shared" si="125"/>
        <v>5076</v>
      </c>
    </row>
    <row r="5079" spans="1:1">
      <c r="A5079">
        <f t="shared" si="125"/>
        <v>5077</v>
      </c>
    </row>
    <row r="5080" spans="1:1">
      <c r="A5080">
        <f t="shared" si="125"/>
        <v>5078</v>
      </c>
    </row>
    <row r="5081" spans="1:1">
      <c r="A5081">
        <f t="shared" si="125"/>
        <v>5079</v>
      </c>
    </row>
    <row r="5082" spans="1:1">
      <c r="A5082">
        <f t="shared" si="125"/>
        <v>5080</v>
      </c>
    </row>
    <row r="5083" spans="1:1">
      <c r="A5083">
        <f t="shared" si="125"/>
        <v>5081</v>
      </c>
    </row>
    <row r="5084" spans="1:1">
      <c r="A5084">
        <f t="shared" si="125"/>
        <v>5082</v>
      </c>
    </row>
    <row r="5085" spans="1:1">
      <c r="A5085">
        <f t="shared" si="125"/>
        <v>5083</v>
      </c>
    </row>
    <row r="5086" spans="1:1">
      <c r="A5086">
        <f t="shared" si="125"/>
        <v>5084</v>
      </c>
    </row>
    <row r="5087" spans="1:1">
      <c r="A5087">
        <f t="shared" si="125"/>
        <v>5085</v>
      </c>
    </row>
    <row r="5088" spans="1:1">
      <c r="A5088">
        <f t="shared" si="125"/>
        <v>5086</v>
      </c>
    </row>
    <row r="5089" spans="1:1">
      <c r="A5089">
        <f t="shared" si="125"/>
        <v>5087</v>
      </c>
    </row>
    <row r="5090" spans="1:1">
      <c r="A5090">
        <f t="shared" si="125"/>
        <v>5088</v>
      </c>
    </row>
    <row r="5091" spans="1:1">
      <c r="A5091">
        <f t="shared" si="125"/>
        <v>5089</v>
      </c>
    </row>
    <row r="5092" spans="1:1">
      <c r="A5092">
        <f t="shared" ref="A5092:A5155" si="126">A5091+1</f>
        <v>5090</v>
      </c>
    </row>
    <row r="5093" spans="1:1">
      <c r="A5093">
        <f t="shared" si="126"/>
        <v>5091</v>
      </c>
    </row>
    <row r="5094" spans="1:1">
      <c r="A5094">
        <f t="shared" si="126"/>
        <v>5092</v>
      </c>
    </row>
    <row r="5095" spans="1:1">
      <c r="A5095">
        <f t="shared" si="126"/>
        <v>5093</v>
      </c>
    </row>
    <row r="5096" spans="1:1">
      <c r="A5096">
        <f t="shared" si="126"/>
        <v>5094</v>
      </c>
    </row>
    <row r="5097" spans="1:1">
      <c r="A5097">
        <f t="shared" si="126"/>
        <v>5095</v>
      </c>
    </row>
    <row r="5098" spans="1:1">
      <c r="A5098">
        <f t="shared" si="126"/>
        <v>5096</v>
      </c>
    </row>
    <row r="5099" spans="1:1">
      <c r="A5099">
        <f t="shared" si="126"/>
        <v>5097</v>
      </c>
    </row>
    <row r="5100" spans="1:1">
      <c r="A5100">
        <f t="shared" si="126"/>
        <v>5098</v>
      </c>
    </row>
    <row r="5101" spans="1:1">
      <c r="A5101">
        <f t="shared" si="126"/>
        <v>5099</v>
      </c>
    </row>
    <row r="5102" spans="1:1">
      <c r="A5102">
        <f t="shared" si="126"/>
        <v>5100</v>
      </c>
    </row>
    <row r="5103" spans="1:1">
      <c r="A5103">
        <f t="shared" si="126"/>
        <v>5101</v>
      </c>
    </row>
    <row r="5104" spans="1:1">
      <c r="A5104">
        <f t="shared" si="126"/>
        <v>5102</v>
      </c>
    </row>
    <row r="5105" spans="1:1">
      <c r="A5105">
        <f t="shared" si="126"/>
        <v>5103</v>
      </c>
    </row>
    <row r="5106" spans="1:1">
      <c r="A5106">
        <f t="shared" si="126"/>
        <v>5104</v>
      </c>
    </row>
    <row r="5107" spans="1:1">
      <c r="A5107">
        <f t="shared" si="126"/>
        <v>5105</v>
      </c>
    </row>
    <row r="5108" spans="1:1">
      <c r="A5108">
        <f t="shared" si="126"/>
        <v>5106</v>
      </c>
    </row>
    <row r="5109" spans="1:1">
      <c r="A5109">
        <f t="shared" si="126"/>
        <v>5107</v>
      </c>
    </row>
    <row r="5110" spans="1:1">
      <c r="A5110">
        <f t="shared" si="126"/>
        <v>5108</v>
      </c>
    </row>
    <row r="5111" spans="1:1">
      <c r="A5111">
        <f t="shared" si="126"/>
        <v>5109</v>
      </c>
    </row>
    <row r="5112" spans="1:1">
      <c r="A5112">
        <f t="shared" si="126"/>
        <v>5110</v>
      </c>
    </row>
    <row r="5113" spans="1:1">
      <c r="A5113">
        <f t="shared" si="126"/>
        <v>5111</v>
      </c>
    </row>
    <row r="5114" spans="1:1">
      <c r="A5114">
        <f t="shared" si="126"/>
        <v>5112</v>
      </c>
    </row>
    <row r="5115" spans="1:1">
      <c r="A5115">
        <f t="shared" si="126"/>
        <v>5113</v>
      </c>
    </row>
    <row r="5116" spans="1:1">
      <c r="A5116">
        <f t="shared" si="126"/>
        <v>5114</v>
      </c>
    </row>
    <row r="5117" spans="1:1">
      <c r="A5117">
        <f t="shared" si="126"/>
        <v>5115</v>
      </c>
    </row>
    <row r="5118" spans="1:1">
      <c r="A5118">
        <f t="shared" si="126"/>
        <v>5116</v>
      </c>
    </row>
    <row r="5119" spans="1:1">
      <c r="A5119">
        <f t="shared" si="126"/>
        <v>5117</v>
      </c>
    </row>
    <row r="5120" spans="1:1">
      <c r="A5120">
        <f t="shared" si="126"/>
        <v>5118</v>
      </c>
    </row>
    <row r="5121" spans="1:1">
      <c r="A5121">
        <f t="shared" si="126"/>
        <v>5119</v>
      </c>
    </row>
    <row r="5122" spans="1:1">
      <c r="A5122">
        <f t="shared" si="126"/>
        <v>5120</v>
      </c>
    </row>
    <row r="5123" spans="1:1">
      <c r="A5123">
        <f t="shared" si="126"/>
        <v>5121</v>
      </c>
    </row>
    <row r="5124" spans="1:1">
      <c r="A5124">
        <f t="shared" si="126"/>
        <v>5122</v>
      </c>
    </row>
    <row r="5125" spans="1:1">
      <c r="A5125">
        <f t="shared" si="126"/>
        <v>5123</v>
      </c>
    </row>
    <row r="5126" spans="1:1">
      <c r="A5126">
        <f t="shared" si="126"/>
        <v>5124</v>
      </c>
    </row>
    <row r="5127" spans="1:1">
      <c r="A5127">
        <f t="shared" si="126"/>
        <v>5125</v>
      </c>
    </row>
    <row r="5128" spans="1:1">
      <c r="A5128">
        <f t="shared" si="126"/>
        <v>5126</v>
      </c>
    </row>
    <row r="5129" spans="1:1">
      <c r="A5129">
        <f t="shared" si="126"/>
        <v>5127</v>
      </c>
    </row>
    <row r="5130" spans="1:1">
      <c r="A5130">
        <f t="shared" si="126"/>
        <v>5128</v>
      </c>
    </row>
    <row r="5131" spans="1:1">
      <c r="A5131">
        <f t="shared" si="126"/>
        <v>5129</v>
      </c>
    </row>
    <row r="5132" spans="1:1">
      <c r="A5132">
        <f t="shared" si="126"/>
        <v>5130</v>
      </c>
    </row>
    <row r="5133" spans="1:1">
      <c r="A5133">
        <f t="shared" si="126"/>
        <v>5131</v>
      </c>
    </row>
    <row r="5134" spans="1:1">
      <c r="A5134">
        <f t="shared" si="126"/>
        <v>5132</v>
      </c>
    </row>
    <row r="5135" spans="1:1">
      <c r="A5135">
        <f t="shared" si="126"/>
        <v>5133</v>
      </c>
    </row>
    <row r="5136" spans="1:1">
      <c r="A5136">
        <f t="shared" si="126"/>
        <v>5134</v>
      </c>
    </row>
    <row r="5137" spans="1:1">
      <c r="A5137">
        <f t="shared" si="126"/>
        <v>5135</v>
      </c>
    </row>
    <row r="5138" spans="1:1">
      <c r="A5138">
        <f t="shared" si="126"/>
        <v>5136</v>
      </c>
    </row>
    <row r="5139" spans="1:1">
      <c r="A5139">
        <f t="shared" si="126"/>
        <v>5137</v>
      </c>
    </row>
    <row r="5140" spans="1:1">
      <c r="A5140">
        <f t="shared" si="126"/>
        <v>5138</v>
      </c>
    </row>
    <row r="5141" spans="1:1">
      <c r="A5141">
        <f t="shared" si="126"/>
        <v>5139</v>
      </c>
    </row>
    <row r="5142" spans="1:1">
      <c r="A5142">
        <f t="shared" si="126"/>
        <v>5140</v>
      </c>
    </row>
    <row r="5143" spans="1:1">
      <c r="A5143">
        <f t="shared" si="126"/>
        <v>5141</v>
      </c>
    </row>
    <row r="5144" spans="1:1">
      <c r="A5144">
        <f t="shared" si="126"/>
        <v>5142</v>
      </c>
    </row>
    <row r="5145" spans="1:1">
      <c r="A5145">
        <f t="shared" si="126"/>
        <v>5143</v>
      </c>
    </row>
    <row r="5146" spans="1:1">
      <c r="A5146">
        <f t="shared" si="126"/>
        <v>5144</v>
      </c>
    </row>
    <row r="5147" spans="1:1">
      <c r="A5147">
        <f t="shared" si="126"/>
        <v>5145</v>
      </c>
    </row>
    <row r="5148" spans="1:1">
      <c r="A5148">
        <f t="shared" si="126"/>
        <v>5146</v>
      </c>
    </row>
    <row r="5149" spans="1:1">
      <c r="A5149">
        <f t="shared" si="126"/>
        <v>5147</v>
      </c>
    </row>
    <row r="5150" spans="1:1">
      <c r="A5150">
        <f t="shared" si="126"/>
        <v>5148</v>
      </c>
    </row>
    <row r="5151" spans="1:1">
      <c r="A5151">
        <f t="shared" si="126"/>
        <v>5149</v>
      </c>
    </row>
    <row r="5152" spans="1:1">
      <c r="A5152">
        <f t="shared" si="126"/>
        <v>5150</v>
      </c>
    </row>
    <row r="5153" spans="1:1">
      <c r="A5153">
        <f t="shared" si="126"/>
        <v>5151</v>
      </c>
    </row>
    <row r="5154" spans="1:1">
      <c r="A5154">
        <f t="shared" si="126"/>
        <v>5152</v>
      </c>
    </row>
    <row r="5155" spans="1:1">
      <c r="A5155">
        <f t="shared" si="126"/>
        <v>5153</v>
      </c>
    </row>
    <row r="5156" spans="1:1">
      <c r="A5156">
        <f t="shared" ref="A5156:A5219" si="127">A5155+1</f>
        <v>5154</v>
      </c>
    </row>
    <row r="5157" spans="1:1">
      <c r="A5157">
        <f t="shared" si="127"/>
        <v>5155</v>
      </c>
    </row>
    <row r="5158" spans="1:1">
      <c r="A5158">
        <f t="shared" si="127"/>
        <v>5156</v>
      </c>
    </row>
    <row r="5159" spans="1:1">
      <c r="A5159">
        <f t="shared" si="127"/>
        <v>5157</v>
      </c>
    </row>
    <row r="5160" spans="1:1">
      <c r="A5160">
        <f t="shared" si="127"/>
        <v>5158</v>
      </c>
    </row>
    <row r="5161" spans="1:1">
      <c r="A5161">
        <f t="shared" si="127"/>
        <v>5159</v>
      </c>
    </row>
    <row r="5162" spans="1:1">
      <c r="A5162">
        <f t="shared" si="127"/>
        <v>5160</v>
      </c>
    </row>
    <row r="5163" spans="1:1">
      <c r="A5163">
        <f t="shared" si="127"/>
        <v>5161</v>
      </c>
    </row>
    <row r="5164" spans="1:1">
      <c r="A5164">
        <f t="shared" si="127"/>
        <v>5162</v>
      </c>
    </row>
    <row r="5165" spans="1:1">
      <c r="A5165">
        <f t="shared" si="127"/>
        <v>5163</v>
      </c>
    </row>
    <row r="5166" spans="1:1">
      <c r="A5166">
        <f t="shared" si="127"/>
        <v>5164</v>
      </c>
    </row>
    <row r="5167" spans="1:1">
      <c r="A5167">
        <f t="shared" si="127"/>
        <v>5165</v>
      </c>
    </row>
    <row r="5168" spans="1:1">
      <c r="A5168">
        <f t="shared" si="127"/>
        <v>5166</v>
      </c>
    </row>
    <row r="5169" spans="1:1">
      <c r="A5169">
        <f t="shared" si="127"/>
        <v>5167</v>
      </c>
    </row>
    <row r="5170" spans="1:1">
      <c r="A5170">
        <f t="shared" si="127"/>
        <v>5168</v>
      </c>
    </row>
    <row r="5171" spans="1:1">
      <c r="A5171">
        <f t="shared" si="127"/>
        <v>5169</v>
      </c>
    </row>
    <row r="5172" spans="1:1">
      <c r="A5172">
        <f t="shared" si="127"/>
        <v>5170</v>
      </c>
    </row>
    <row r="5173" spans="1:1">
      <c r="A5173">
        <f t="shared" si="127"/>
        <v>5171</v>
      </c>
    </row>
    <row r="5174" spans="1:1">
      <c r="A5174">
        <f t="shared" si="127"/>
        <v>5172</v>
      </c>
    </row>
    <row r="5175" spans="1:1">
      <c r="A5175">
        <f t="shared" si="127"/>
        <v>5173</v>
      </c>
    </row>
    <row r="5176" spans="1:1">
      <c r="A5176">
        <f t="shared" si="127"/>
        <v>5174</v>
      </c>
    </row>
    <row r="5177" spans="1:1">
      <c r="A5177">
        <f t="shared" si="127"/>
        <v>5175</v>
      </c>
    </row>
    <row r="5178" spans="1:1">
      <c r="A5178">
        <f t="shared" si="127"/>
        <v>5176</v>
      </c>
    </row>
    <row r="5179" spans="1:1">
      <c r="A5179">
        <f t="shared" si="127"/>
        <v>5177</v>
      </c>
    </row>
    <row r="5180" spans="1:1">
      <c r="A5180">
        <f t="shared" si="127"/>
        <v>5178</v>
      </c>
    </row>
    <row r="5181" spans="1:1">
      <c r="A5181">
        <f t="shared" si="127"/>
        <v>5179</v>
      </c>
    </row>
    <row r="5182" spans="1:1">
      <c r="A5182">
        <f t="shared" si="127"/>
        <v>5180</v>
      </c>
    </row>
    <row r="5183" spans="1:1">
      <c r="A5183">
        <f t="shared" si="127"/>
        <v>5181</v>
      </c>
    </row>
    <row r="5184" spans="1:1">
      <c r="A5184">
        <f t="shared" si="127"/>
        <v>5182</v>
      </c>
    </row>
    <row r="5185" spans="1:1">
      <c r="A5185">
        <f t="shared" si="127"/>
        <v>5183</v>
      </c>
    </row>
    <row r="5186" spans="1:1">
      <c r="A5186">
        <f t="shared" si="127"/>
        <v>5184</v>
      </c>
    </row>
    <row r="5187" spans="1:1">
      <c r="A5187">
        <f t="shared" si="127"/>
        <v>5185</v>
      </c>
    </row>
    <row r="5188" spans="1:1">
      <c r="A5188">
        <f t="shared" si="127"/>
        <v>5186</v>
      </c>
    </row>
    <row r="5189" spans="1:1">
      <c r="A5189">
        <f t="shared" si="127"/>
        <v>5187</v>
      </c>
    </row>
    <row r="5190" spans="1:1">
      <c r="A5190">
        <f t="shared" si="127"/>
        <v>5188</v>
      </c>
    </row>
    <row r="5191" spans="1:1">
      <c r="A5191">
        <f t="shared" si="127"/>
        <v>5189</v>
      </c>
    </row>
    <row r="5192" spans="1:1">
      <c r="A5192">
        <f t="shared" si="127"/>
        <v>5190</v>
      </c>
    </row>
    <row r="5193" spans="1:1">
      <c r="A5193">
        <f t="shared" si="127"/>
        <v>5191</v>
      </c>
    </row>
    <row r="5194" spans="1:1">
      <c r="A5194">
        <f t="shared" si="127"/>
        <v>5192</v>
      </c>
    </row>
    <row r="5195" spans="1:1">
      <c r="A5195">
        <f t="shared" si="127"/>
        <v>5193</v>
      </c>
    </row>
    <row r="5196" spans="1:1">
      <c r="A5196">
        <f t="shared" si="127"/>
        <v>5194</v>
      </c>
    </row>
    <row r="5197" spans="1:1">
      <c r="A5197">
        <f t="shared" si="127"/>
        <v>5195</v>
      </c>
    </row>
    <row r="5198" spans="1:1">
      <c r="A5198">
        <f t="shared" si="127"/>
        <v>5196</v>
      </c>
    </row>
    <row r="5199" spans="1:1">
      <c r="A5199">
        <f t="shared" si="127"/>
        <v>5197</v>
      </c>
    </row>
    <row r="5200" spans="1:1">
      <c r="A5200">
        <f t="shared" si="127"/>
        <v>5198</v>
      </c>
    </row>
    <row r="5201" spans="1:1">
      <c r="A5201">
        <f t="shared" si="127"/>
        <v>5199</v>
      </c>
    </row>
    <row r="5202" spans="1:1">
      <c r="A5202">
        <f t="shared" si="127"/>
        <v>5200</v>
      </c>
    </row>
    <row r="5203" spans="1:1">
      <c r="A5203">
        <f t="shared" si="127"/>
        <v>5201</v>
      </c>
    </row>
    <row r="5204" spans="1:1">
      <c r="A5204">
        <f t="shared" si="127"/>
        <v>5202</v>
      </c>
    </row>
    <row r="5205" spans="1:1">
      <c r="A5205">
        <f t="shared" si="127"/>
        <v>5203</v>
      </c>
    </row>
    <row r="5206" spans="1:1">
      <c r="A5206">
        <f t="shared" si="127"/>
        <v>5204</v>
      </c>
    </row>
    <row r="5207" spans="1:1">
      <c r="A5207">
        <f t="shared" si="127"/>
        <v>5205</v>
      </c>
    </row>
    <row r="5208" spans="1:1">
      <c r="A5208">
        <f t="shared" si="127"/>
        <v>5206</v>
      </c>
    </row>
    <row r="5209" spans="1:1">
      <c r="A5209">
        <f t="shared" si="127"/>
        <v>5207</v>
      </c>
    </row>
    <row r="5210" spans="1:1">
      <c r="A5210">
        <f t="shared" si="127"/>
        <v>5208</v>
      </c>
    </row>
    <row r="5211" spans="1:1">
      <c r="A5211">
        <f t="shared" si="127"/>
        <v>5209</v>
      </c>
    </row>
    <row r="5212" spans="1:1">
      <c r="A5212">
        <f t="shared" si="127"/>
        <v>5210</v>
      </c>
    </row>
    <row r="5213" spans="1:1">
      <c r="A5213">
        <f t="shared" si="127"/>
        <v>5211</v>
      </c>
    </row>
    <row r="5214" spans="1:1">
      <c r="A5214">
        <f t="shared" si="127"/>
        <v>5212</v>
      </c>
    </row>
    <row r="5215" spans="1:1">
      <c r="A5215">
        <f t="shared" si="127"/>
        <v>5213</v>
      </c>
    </row>
    <row r="5216" spans="1:1">
      <c r="A5216">
        <f t="shared" si="127"/>
        <v>5214</v>
      </c>
    </row>
    <row r="5217" spans="1:1">
      <c r="A5217">
        <f t="shared" si="127"/>
        <v>5215</v>
      </c>
    </row>
    <row r="5218" spans="1:1">
      <c r="A5218">
        <f t="shared" si="127"/>
        <v>5216</v>
      </c>
    </row>
    <row r="5219" spans="1:1">
      <c r="A5219">
        <f t="shared" si="127"/>
        <v>5217</v>
      </c>
    </row>
    <row r="5220" spans="1:1">
      <c r="A5220">
        <f t="shared" ref="A5220:A5283" si="128">A5219+1</f>
        <v>5218</v>
      </c>
    </row>
    <row r="5221" spans="1:1">
      <c r="A5221">
        <f t="shared" si="128"/>
        <v>5219</v>
      </c>
    </row>
    <row r="5222" spans="1:1">
      <c r="A5222">
        <f t="shared" si="128"/>
        <v>5220</v>
      </c>
    </row>
    <row r="5223" spans="1:1">
      <c r="A5223">
        <f t="shared" si="128"/>
        <v>5221</v>
      </c>
    </row>
    <row r="5224" spans="1:1">
      <c r="A5224">
        <f t="shared" si="128"/>
        <v>5222</v>
      </c>
    </row>
    <row r="5225" spans="1:1">
      <c r="A5225">
        <f t="shared" si="128"/>
        <v>5223</v>
      </c>
    </row>
    <row r="5226" spans="1:1">
      <c r="A5226">
        <f t="shared" si="128"/>
        <v>5224</v>
      </c>
    </row>
    <row r="5227" spans="1:1">
      <c r="A5227">
        <f t="shared" si="128"/>
        <v>5225</v>
      </c>
    </row>
    <row r="5228" spans="1:1">
      <c r="A5228">
        <f t="shared" si="128"/>
        <v>5226</v>
      </c>
    </row>
    <row r="5229" spans="1:1">
      <c r="A5229">
        <f t="shared" si="128"/>
        <v>5227</v>
      </c>
    </row>
    <row r="5230" spans="1:1">
      <c r="A5230">
        <f t="shared" si="128"/>
        <v>5228</v>
      </c>
    </row>
    <row r="5231" spans="1:1">
      <c r="A5231">
        <f t="shared" si="128"/>
        <v>5229</v>
      </c>
    </row>
    <row r="5232" spans="1:1">
      <c r="A5232">
        <f t="shared" si="128"/>
        <v>5230</v>
      </c>
    </row>
    <row r="5233" spans="1:1">
      <c r="A5233">
        <f t="shared" si="128"/>
        <v>5231</v>
      </c>
    </row>
    <row r="5234" spans="1:1">
      <c r="A5234">
        <f t="shared" si="128"/>
        <v>5232</v>
      </c>
    </row>
    <row r="5235" spans="1:1">
      <c r="A5235">
        <f t="shared" si="128"/>
        <v>5233</v>
      </c>
    </row>
    <row r="5236" spans="1:1">
      <c r="A5236">
        <f t="shared" si="128"/>
        <v>5234</v>
      </c>
    </row>
    <row r="5237" spans="1:1">
      <c r="A5237">
        <f t="shared" si="128"/>
        <v>5235</v>
      </c>
    </row>
    <row r="5238" spans="1:1">
      <c r="A5238">
        <f t="shared" si="128"/>
        <v>5236</v>
      </c>
    </row>
    <row r="5239" spans="1:1">
      <c r="A5239">
        <f t="shared" si="128"/>
        <v>5237</v>
      </c>
    </row>
    <row r="5240" spans="1:1">
      <c r="A5240">
        <f t="shared" si="128"/>
        <v>5238</v>
      </c>
    </row>
    <row r="5241" spans="1:1">
      <c r="A5241">
        <f t="shared" si="128"/>
        <v>5239</v>
      </c>
    </row>
    <row r="5242" spans="1:1">
      <c r="A5242">
        <f t="shared" si="128"/>
        <v>5240</v>
      </c>
    </row>
    <row r="5243" spans="1:1">
      <c r="A5243">
        <f t="shared" si="128"/>
        <v>5241</v>
      </c>
    </row>
    <row r="5244" spans="1:1">
      <c r="A5244">
        <f t="shared" si="128"/>
        <v>5242</v>
      </c>
    </row>
    <row r="5245" spans="1:1">
      <c r="A5245">
        <f t="shared" si="128"/>
        <v>5243</v>
      </c>
    </row>
    <row r="5246" spans="1:1">
      <c r="A5246">
        <f t="shared" si="128"/>
        <v>5244</v>
      </c>
    </row>
    <row r="5247" spans="1:1">
      <c r="A5247">
        <f t="shared" si="128"/>
        <v>5245</v>
      </c>
    </row>
    <row r="5248" spans="1:1">
      <c r="A5248">
        <f t="shared" si="128"/>
        <v>5246</v>
      </c>
    </row>
    <row r="5249" spans="1:1">
      <c r="A5249">
        <f t="shared" si="128"/>
        <v>5247</v>
      </c>
    </row>
    <row r="5250" spans="1:1">
      <c r="A5250">
        <f t="shared" si="128"/>
        <v>5248</v>
      </c>
    </row>
    <row r="5251" spans="1:1">
      <c r="A5251">
        <f t="shared" si="128"/>
        <v>5249</v>
      </c>
    </row>
    <row r="5252" spans="1:1">
      <c r="A5252">
        <f t="shared" si="128"/>
        <v>5250</v>
      </c>
    </row>
    <row r="5253" spans="1:1">
      <c r="A5253">
        <f t="shared" si="128"/>
        <v>5251</v>
      </c>
    </row>
    <row r="5254" spans="1:1">
      <c r="A5254">
        <f t="shared" si="128"/>
        <v>5252</v>
      </c>
    </row>
    <row r="5255" spans="1:1">
      <c r="A5255">
        <f t="shared" si="128"/>
        <v>5253</v>
      </c>
    </row>
    <row r="5256" spans="1:1">
      <c r="A5256">
        <f t="shared" si="128"/>
        <v>5254</v>
      </c>
    </row>
    <row r="5257" spans="1:1">
      <c r="A5257">
        <f t="shared" si="128"/>
        <v>5255</v>
      </c>
    </row>
    <row r="5258" spans="1:1">
      <c r="A5258">
        <f t="shared" si="128"/>
        <v>5256</v>
      </c>
    </row>
    <row r="5259" spans="1:1">
      <c r="A5259">
        <f t="shared" si="128"/>
        <v>5257</v>
      </c>
    </row>
    <row r="5260" spans="1:1">
      <c r="A5260">
        <f t="shared" si="128"/>
        <v>5258</v>
      </c>
    </row>
    <row r="5261" spans="1:1">
      <c r="A5261">
        <f t="shared" si="128"/>
        <v>5259</v>
      </c>
    </row>
    <row r="5262" spans="1:1">
      <c r="A5262">
        <f t="shared" si="128"/>
        <v>5260</v>
      </c>
    </row>
    <row r="5263" spans="1:1">
      <c r="A5263">
        <f t="shared" si="128"/>
        <v>5261</v>
      </c>
    </row>
    <row r="5264" spans="1:1">
      <c r="A5264">
        <f t="shared" si="128"/>
        <v>5262</v>
      </c>
    </row>
    <row r="5265" spans="1:1">
      <c r="A5265">
        <f t="shared" si="128"/>
        <v>5263</v>
      </c>
    </row>
    <row r="5266" spans="1:1">
      <c r="A5266">
        <f t="shared" si="128"/>
        <v>5264</v>
      </c>
    </row>
    <row r="5267" spans="1:1">
      <c r="A5267">
        <f t="shared" si="128"/>
        <v>5265</v>
      </c>
    </row>
    <row r="5268" spans="1:1">
      <c r="A5268">
        <f t="shared" si="128"/>
        <v>5266</v>
      </c>
    </row>
    <row r="5269" spans="1:1">
      <c r="A5269">
        <f t="shared" si="128"/>
        <v>5267</v>
      </c>
    </row>
    <row r="5270" spans="1:1">
      <c r="A5270">
        <f t="shared" si="128"/>
        <v>5268</v>
      </c>
    </row>
    <row r="5271" spans="1:1">
      <c r="A5271">
        <f t="shared" si="128"/>
        <v>5269</v>
      </c>
    </row>
    <row r="5272" spans="1:1">
      <c r="A5272">
        <f t="shared" si="128"/>
        <v>5270</v>
      </c>
    </row>
    <row r="5273" spans="1:1">
      <c r="A5273">
        <f t="shared" si="128"/>
        <v>5271</v>
      </c>
    </row>
    <row r="5274" spans="1:1">
      <c r="A5274">
        <f t="shared" si="128"/>
        <v>5272</v>
      </c>
    </row>
    <row r="5275" spans="1:1">
      <c r="A5275">
        <f t="shared" si="128"/>
        <v>5273</v>
      </c>
    </row>
    <row r="5276" spans="1:1">
      <c r="A5276">
        <f t="shared" si="128"/>
        <v>5274</v>
      </c>
    </row>
    <row r="5277" spans="1:1">
      <c r="A5277">
        <f t="shared" si="128"/>
        <v>5275</v>
      </c>
    </row>
    <row r="5278" spans="1:1">
      <c r="A5278">
        <f t="shared" si="128"/>
        <v>5276</v>
      </c>
    </row>
    <row r="5279" spans="1:1">
      <c r="A5279">
        <f t="shared" si="128"/>
        <v>5277</v>
      </c>
    </row>
    <row r="5280" spans="1:1">
      <c r="A5280">
        <f t="shared" si="128"/>
        <v>5278</v>
      </c>
    </row>
    <row r="5281" spans="1:1">
      <c r="A5281">
        <f t="shared" si="128"/>
        <v>5279</v>
      </c>
    </row>
    <row r="5282" spans="1:1">
      <c r="A5282">
        <f t="shared" si="128"/>
        <v>5280</v>
      </c>
    </row>
    <row r="5283" spans="1:1">
      <c r="A5283">
        <f t="shared" si="128"/>
        <v>5281</v>
      </c>
    </row>
    <row r="5284" spans="1:1">
      <c r="A5284">
        <f t="shared" ref="A5284:A5347" si="129">A5283+1</f>
        <v>5282</v>
      </c>
    </row>
    <row r="5285" spans="1:1">
      <c r="A5285">
        <f t="shared" si="129"/>
        <v>5283</v>
      </c>
    </row>
    <row r="5286" spans="1:1">
      <c r="A5286">
        <f t="shared" si="129"/>
        <v>5284</v>
      </c>
    </row>
    <row r="5287" spans="1:1">
      <c r="A5287">
        <f t="shared" si="129"/>
        <v>5285</v>
      </c>
    </row>
    <row r="5288" spans="1:1">
      <c r="A5288">
        <f t="shared" si="129"/>
        <v>5286</v>
      </c>
    </row>
    <row r="5289" spans="1:1">
      <c r="A5289">
        <f t="shared" si="129"/>
        <v>5287</v>
      </c>
    </row>
    <row r="5290" spans="1:1">
      <c r="A5290">
        <f t="shared" si="129"/>
        <v>5288</v>
      </c>
    </row>
    <row r="5291" spans="1:1">
      <c r="A5291">
        <f t="shared" si="129"/>
        <v>5289</v>
      </c>
    </row>
    <row r="5292" spans="1:1">
      <c r="A5292">
        <f t="shared" si="129"/>
        <v>5290</v>
      </c>
    </row>
    <row r="5293" spans="1:1">
      <c r="A5293">
        <f t="shared" si="129"/>
        <v>5291</v>
      </c>
    </row>
    <row r="5294" spans="1:1">
      <c r="A5294">
        <f t="shared" si="129"/>
        <v>5292</v>
      </c>
    </row>
    <row r="5295" spans="1:1">
      <c r="A5295">
        <f t="shared" si="129"/>
        <v>5293</v>
      </c>
    </row>
    <row r="5296" spans="1:1">
      <c r="A5296">
        <f t="shared" si="129"/>
        <v>5294</v>
      </c>
    </row>
    <row r="5297" spans="1:1">
      <c r="A5297">
        <f t="shared" si="129"/>
        <v>5295</v>
      </c>
    </row>
    <row r="5298" spans="1:1">
      <c r="A5298">
        <f t="shared" si="129"/>
        <v>5296</v>
      </c>
    </row>
    <row r="5299" spans="1:1">
      <c r="A5299">
        <f t="shared" si="129"/>
        <v>5297</v>
      </c>
    </row>
    <row r="5300" spans="1:1">
      <c r="A5300">
        <f t="shared" si="129"/>
        <v>5298</v>
      </c>
    </row>
    <row r="5301" spans="1:1">
      <c r="A5301">
        <f t="shared" si="129"/>
        <v>5299</v>
      </c>
    </row>
    <row r="5302" spans="1:1">
      <c r="A5302">
        <f t="shared" si="129"/>
        <v>5300</v>
      </c>
    </row>
    <row r="5303" spans="1:1">
      <c r="A5303">
        <f t="shared" si="129"/>
        <v>5301</v>
      </c>
    </row>
    <row r="5304" spans="1:1">
      <c r="A5304">
        <f t="shared" si="129"/>
        <v>5302</v>
      </c>
    </row>
    <row r="5305" spans="1:1">
      <c r="A5305">
        <f t="shared" si="129"/>
        <v>5303</v>
      </c>
    </row>
    <row r="5306" spans="1:1">
      <c r="A5306">
        <f t="shared" si="129"/>
        <v>5304</v>
      </c>
    </row>
    <row r="5307" spans="1:1">
      <c r="A5307">
        <f t="shared" si="129"/>
        <v>5305</v>
      </c>
    </row>
    <row r="5308" spans="1:1">
      <c r="A5308">
        <f t="shared" si="129"/>
        <v>5306</v>
      </c>
    </row>
    <row r="5309" spans="1:1">
      <c r="A5309">
        <f t="shared" si="129"/>
        <v>5307</v>
      </c>
    </row>
    <row r="5310" spans="1:1">
      <c r="A5310">
        <f t="shared" si="129"/>
        <v>5308</v>
      </c>
    </row>
    <row r="5311" spans="1:1">
      <c r="A5311">
        <f t="shared" si="129"/>
        <v>5309</v>
      </c>
    </row>
    <row r="5312" spans="1:1">
      <c r="A5312">
        <f t="shared" si="129"/>
        <v>5310</v>
      </c>
    </row>
    <row r="5313" spans="1:1">
      <c r="A5313">
        <f t="shared" si="129"/>
        <v>5311</v>
      </c>
    </row>
    <row r="5314" spans="1:1">
      <c r="A5314">
        <f t="shared" si="129"/>
        <v>5312</v>
      </c>
    </row>
    <row r="5315" spans="1:1">
      <c r="A5315">
        <f t="shared" si="129"/>
        <v>5313</v>
      </c>
    </row>
    <row r="5316" spans="1:1">
      <c r="A5316">
        <f t="shared" si="129"/>
        <v>5314</v>
      </c>
    </row>
    <row r="5317" spans="1:1">
      <c r="A5317">
        <f t="shared" si="129"/>
        <v>5315</v>
      </c>
    </row>
    <row r="5318" spans="1:1">
      <c r="A5318">
        <f t="shared" si="129"/>
        <v>5316</v>
      </c>
    </row>
    <row r="5319" spans="1:1">
      <c r="A5319">
        <f t="shared" si="129"/>
        <v>5317</v>
      </c>
    </row>
    <row r="5320" spans="1:1">
      <c r="A5320">
        <f t="shared" si="129"/>
        <v>5318</v>
      </c>
    </row>
    <row r="5321" spans="1:1">
      <c r="A5321">
        <f t="shared" si="129"/>
        <v>5319</v>
      </c>
    </row>
    <row r="5322" spans="1:1">
      <c r="A5322">
        <f t="shared" si="129"/>
        <v>5320</v>
      </c>
    </row>
    <row r="5323" spans="1:1">
      <c r="A5323">
        <f t="shared" si="129"/>
        <v>5321</v>
      </c>
    </row>
    <row r="5324" spans="1:1">
      <c r="A5324">
        <f t="shared" si="129"/>
        <v>5322</v>
      </c>
    </row>
    <row r="5325" spans="1:1">
      <c r="A5325">
        <f t="shared" si="129"/>
        <v>5323</v>
      </c>
    </row>
    <row r="5326" spans="1:1">
      <c r="A5326">
        <f t="shared" si="129"/>
        <v>5324</v>
      </c>
    </row>
    <row r="5327" spans="1:1">
      <c r="A5327">
        <f t="shared" si="129"/>
        <v>5325</v>
      </c>
    </row>
    <row r="5328" spans="1:1">
      <c r="A5328">
        <f t="shared" si="129"/>
        <v>5326</v>
      </c>
    </row>
    <row r="5329" spans="1:1">
      <c r="A5329">
        <f t="shared" si="129"/>
        <v>5327</v>
      </c>
    </row>
    <row r="5330" spans="1:1">
      <c r="A5330">
        <f t="shared" si="129"/>
        <v>5328</v>
      </c>
    </row>
    <row r="5331" spans="1:1">
      <c r="A5331">
        <f t="shared" si="129"/>
        <v>5329</v>
      </c>
    </row>
    <row r="5332" spans="1:1">
      <c r="A5332">
        <f t="shared" si="129"/>
        <v>5330</v>
      </c>
    </row>
    <row r="5333" spans="1:1">
      <c r="A5333">
        <f t="shared" si="129"/>
        <v>5331</v>
      </c>
    </row>
    <row r="5334" spans="1:1">
      <c r="A5334">
        <f t="shared" si="129"/>
        <v>5332</v>
      </c>
    </row>
    <row r="5335" spans="1:1">
      <c r="A5335">
        <f t="shared" si="129"/>
        <v>5333</v>
      </c>
    </row>
    <row r="5336" spans="1:1">
      <c r="A5336">
        <f t="shared" si="129"/>
        <v>5334</v>
      </c>
    </row>
    <row r="5337" spans="1:1">
      <c r="A5337">
        <f t="shared" si="129"/>
        <v>5335</v>
      </c>
    </row>
    <row r="5338" spans="1:1">
      <c r="A5338">
        <f t="shared" si="129"/>
        <v>5336</v>
      </c>
    </row>
    <row r="5339" spans="1:1">
      <c r="A5339">
        <f t="shared" si="129"/>
        <v>5337</v>
      </c>
    </row>
    <row r="5340" spans="1:1">
      <c r="A5340">
        <f t="shared" si="129"/>
        <v>5338</v>
      </c>
    </row>
    <row r="5341" spans="1:1">
      <c r="A5341">
        <f t="shared" si="129"/>
        <v>5339</v>
      </c>
    </row>
    <row r="5342" spans="1:1">
      <c r="A5342">
        <f t="shared" si="129"/>
        <v>5340</v>
      </c>
    </row>
    <row r="5343" spans="1:1">
      <c r="A5343">
        <f t="shared" si="129"/>
        <v>5341</v>
      </c>
    </row>
    <row r="5344" spans="1:1">
      <c r="A5344">
        <f t="shared" si="129"/>
        <v>5342</v>
      </c>
    </row>
    <row r="5345" spans="1:1">
      <c r="A5345">
        <f t="shared" si="129"/>
        <v>5343</v>
      </c>
    </row>
    <row r="5346" spans="1:1">
      <c r="A5346">
        <f t="shared" si="129"/>
        <v>5344</v>
      </c>
    </row>
    <row r="5347" spans="1:1">
      <c r="A5347">
        <f t="shared" si="129"/>
        <v>5345</v>
      </c>
    </row>
    <row r="5348" spans="1:1">
      <c r="A5348">
        <f t="shared" ref="A5348:A5411" si="130">A5347+1</f>
        <v>5346</v>
      </c>
    </row>
    <row r="5349" spans="1:1">
      <c r="A5349">
        <f t="shared" si="130"/>
        <v>5347</v>
      </c>
    </row>
    <row r="5350" spans="1:1">
      <c r="A5350">
        <f t="shared" si="130"/>
        <v>5348</v>
      </c>
    </row>
    <row r="5351" spans="1:1">
      <c r="A5351">
        <f t="shared" si="130"/>
        <v>5349</v>
      </c>
    </row>
    <row r="5352" spans="1:1">
      <c r="A5352">
        <f t="shared" si="130"/>
        <v>5350</v>
      </c>
    </row>
    <row r="5353" spans="1:1">
      <c r="A5353">
        <f t="shared" si="130"/>
        <v>5351</v>
      </c>
    </row>
    <row r="5354" spans="1:1">
      <c r="A5354">
        <f t="shared" si="130"/>
        <v>5352</v>
      </c>
    </row>
    <row r="5355" spans="1:1">
      <c r="A5355">
        <f t="shared" si="130"/>
        <v>5353</v>
      </c>
    </row>
    <row r="5356" spans="1:1">
      <c r="A5356">
        <f t="shared" si="130"/>
        <v>5354</v>
      </c>
    </row>
    <row r="5357" spans="1:1">
      <c r="A5357">
        <f t="shared" si="130"/>
        <v>5355</v>
      </c>
    </row>
    <row r="5358" spans="1:1">
      <c r="A5358">
        <f t="shared" si="130"/>
        <v>5356</v>
      </c>
    </row>
    <row r="5359" spans="1:1">
      <c r="A5359">
        <f t="shared" si="130"/>
        <v>5357</v>
      </c>
    </row>
    <row r="5360" spans="1:1">
      <c r="A5360">
        <f t="shared" si="130"/>
        <v>5358</v>
      </c>
    </row>
    <row r="5361" spans="1:1">
      <c r="A5361">
        <f t="shared" si="130"/>
        <v>5359</v>
      </c>
    </row>
    <row r="5362" spans="1:1">
      <c r="A5362">
        <f t="shared" si="130"/>
        <v>5360</v>
      </c>
    </row>
    <row r="5363" spans="1:1">
      <c r="A5363">
        <f t="shared" si="130"/>
        <v>5361</v>
      </c>
    </row>
    <row r="5364" spans="1:1">
      <c r="A5364">
        <f t="shared" si="130"/>
        <v>5362</v>
      </c>
    </row>
    <row r="5365" spans="1:1">
      <c r="A5365">
        <f t="shared" si="130"/>
        <v>5363</v>
      </c>
    </row>
    <row r="5366" spans="1:1">
      <c r="A5366">
        <f t="shared" si="130"/>
        <v>5364</v>
      </c>
    </row>
    <row r="5367" spans="1:1">
      <c r="A5367">
        <f t="shared" si="130"/>
        <v>5365</v>
      </c>
    </row>
    <row r="5368" spans="1:1">
      <c r="A5368">
        <f t="shared" si="130"/>
        <v>5366</v>
      </c>
    </row>
    <row r="5369" spans="1:1">
      <c r="A5369">
        <f t="shared" si="130"/>
        <v>5367</v>
      </c>
    </row>
    <row r="5370" spans="1:1">
      <c r="A5370">
        <f t="shared" si="130"/>
        <v>5368</v>
      </c>
    </row>
    <row r="5371" spans="1:1">
      <c r="A5371">
        <f t="shared" si="130"/>
        <v>5369</v>
      </c>
    </row>
    <row r="5372" spans="1:1">
      <c r="A5372">
        <f t="shared" si="130"/>
        <v>5370</v>
      </c>
    </row>
    <row r="5373" spans="1:1">
      <c r="A5373">
        <f t="shared" si="130"/>
        <v>5371</v>
      </c>
    </row>
    <row r="5374" spans="1:1">
      <c r="A5374">
        <f t="shared" si="130"/>
        <v>5372</v>
      </c>
    </row>
    <row r="5375" spans="1:1">
      <c r="A5375">
        <f t="shared" si="130"/>
        <v>5373</v>
      </c>
    </row>
    <row r="5376" spans="1:1">
      <c r="A5376">
        <f t="shared" si="130"/>
        <v>5374</v>
      </c>
    </row>
    <row r="5377" spans="1:1">
      <c r="A5377">
        <f t="shared" si="130"/>
        <v>5375</v>
      </c>
    </row>
    <row r="5378" spans="1:1">
      <c r="A5378">
        <f t="shared" si="130"/>
        <v>5376</v>
      </c>
    </row>
    <row r="5379" spans="1:1">
      <c r="A5379">
        <f t="shared" si="130"/>
        <v>5377</v>
      </c>
    </row>
    <row r="5380" spans="1:1">
      <c r="A5380">
        <f t="shared" si="130"/>
        <v>5378</v>
      </c>
    </row>
    <row r="5381" spans="1:1">
      <c r="A5381">
        <f t="shared" si="130"/>
        <v>5379</v>
      </c>
    </row>
    <row r="5382" spans="1:1">
      <c r="A5382">
        <f t="shared" si="130"/>
        <v>5380</v>
      </c>
    </row>
    <row r="5383" spans="1:1">
      <c r="A5383">
        <f t="shared" si="130"/>
        <v>5381</v>
      </c>
    </row>
    <row r="5384" spans="1:1">
      <c r="A5384">
        <f t="shared" si="130"/>
        <v>5382</v>
      </c>
    </row>
    <row r="5385" spans="1:1">
      <c r="A5385">
        <f t="shared" si="130"/>
        <v>5383</v>
      </c>
    </row>
    <row r="5386" spans="1:1">
      <c r="A5386">
        <f t="shared" si="130"/>
        <v>5384</v>
      </c>
    </row>
    <row r="5387" spans="1:1">
      <c r="A5387">
        <f t="shared" si="130"/>
        <v>5385</v>
      </c>
    </row>
    <row r="5388" spans="1:1">
      <c r="A5388">
        <f t="shared" si="130"/>
        <v>5386</v>
      </c>
    </row>
    <row r="5389" spans="1:1">
      <c r="A5389">
        <f t="shared" si="130"/>
        <v>5387</v>
      </c>
    </row>
    <row r="5390" spans="1:1">
      <c r="A5390">
        <f t="shared" si="130"/>
        <v>5388</v>
      </c>
    </row>
    <row r="5391" spans="1:1">
      <c r="A5391">
        <f t="shared" si="130"/>
        <v>5389</v>
      </c>
    </row>
    <row r="5392" spans="1:1">
      <c r="A5392">
        <f t="shared" si="130"/>
        <v>5390</v>
      </c>
    </row>
    <row r="5393" spans="1:1">
      <c r="A5393">
        <f t="shared" si="130"/>
        <v>5391</v>
      </c>
    </row>
    <row r="5394" spans="1:1">
      <c r="A5394">
        <f t="shared" si="130"/>
        <v>5392</v>
      </c>
    </row>
    <row r="5395" spans="1:1">
      <c r="A5395">
        <f t="shared" si="130"/>
        <v>5393</v>
      </c>
    </row>
    <row r="5396" spans="1:1">
      <c r="A5396">
        <f t="shared" si="130"/>
        <v>5394</v>
      </c>
    </row>
    <row r="5397" spans="1:1">
      <c r="A5397">
        <f t="shared" si="130"/>
        <v>5395</v>
      </c>
    </row>
    <row r="5398" spans="1:1">
      <c r="A5398">
        <f t="shared" si="130"/>
        <v>5396</v>
      </c>
    </row>
    <row r="5399" spans="1:1">
      <c r="A5399">
        <f t="shared" si="130"/>
        <v>5397</v>
      </c>
    </row>
    <row r="5400" spans="1:1">
      <c r="A5400">
        <f t="shared" si="130"/>
        <v>5398</v>
      </c>
    </row>
    <row r="5401" spans="1:1">
      <c r="A5401">
        <f t="shared" si="130"/>
        <v>5399</v>
      </c>
    </row>
    <row r="5402" spans="1:1">
      <c r="A5402">
        <f t="shared" si="130"/>
        <v>5400</v>
      </c>
    </row>
    <row r="5403" spans="1:1">
      <c r="A5403">
        <f t="shared" si="130"/>
        <v>5401</v>
      </c>
    </row>
    <row r="5404" spans="1:1">
      <c r="A5404">
        <f t="shared" si="130"/>
        <v>5402</v>
      </c>
    </row>
    <row r="5405" spans="1:1">
      <c r="A5405">
        <f t="shared" si="130"/>
        <v>5403</v>
      </c>
    </row>
    <row r="5406" spans="1:1">
      <c r="A5406">
        <f t="shared" si="130"/>
        <v>5404</v>
      </c>
    </row>
    <row r="5407" spans="1:1">
      <c r="A5407">
        <f t="shared" si="130"/>
        <v>5405</v>
      </c>
    </row>
    <row r="5408" spans="1:1">
      <c r="A5408">
        <f t="shared" si="130"/>
        <v>5406</v>
      </c>
    </row>
    <row r="5409" spans="1:1">
      <c r="A5409">
        <f t="shared" si="130"/>
        <v>5407</v>
      </c>
    </row>
    <row r="5410" spans="1:1">
      <c r="A5410">
        <f t="shared" si="130"/>
        <v>5408</v>
      </c>
    </row>
    <row r="5411" spans="1:1">
      <c r="A5411">
        <f t="shared" si="130"/>
        <v>5409</v>
      </c>
    </row>
    <row r="5412" spans="1:1">
      <c r="A5412">
        <f t="shared" ref="A5412:A5475" si="131">A5411+1</f>
        <v>5410</v>
      </c>
    </row>
    <row r="5413" spans="1:1">
      <c r="A5413">
        <f t="shared" si="131"/>
        <v>5411</v>
      </c>
    </row>
    <row r="5414" spans="1:1">
      <c r="A5414">
        <f t="shared" si="131"/>
        <v>5412</v>
      </c>
    </row>
    <row r="5415" spans="1:1">
      <c r="A5415">
        <f t="shared" si="131"/>
        <v>5413</v>
      </c>
    </row>
    <row r="5416" spans="1:1">
      <c r="A5416">
        <f t="shared" si="131"/>
        <v>5414</v>
      </c>
    </row>
    <row r="5417" spans="1:1">
      <c r="A5417">
        <f t="shared" si="131"/>
        <v>5415</v>
      </c>
    </row>
    <row r="5418" spans="1:1">
      <c r="A5418">
        <f t="shared" si="131"/>
        <v>5416</v>
      </c>
    </row>
    <row r="5419" spans="1:1">
      <c r="A5419">
        <f t="shared" si="131"/>
        <v>5417</v>
      </c>
    </row>
    <row r="5420" spans="1:1">
      <c r="A5420">
        <f t="shared" si="131"/>
        <v>5418</v>
      </c>
    </row>
    <row r="5421" spans="1:1">
      <c r="A5421">
        <f t="shared" si="131"/>
        <v>5419</v>
      </c>
    </row>
    <row r="5422" spans="1:1">
      <c r="A5422">
        <f t="shared" si="131"/>
        <v>5420</v>
      </c>
    </row>
    <row r="5423" spans="1:1">
      <c r="A5423">
        <f t="shared" si="131"/>
        <v>5421</v>
      </c>
    </row>
    <row r="5424" spans="1:1">
      <c r="A5424">
        <f t="shared" si="131"/>
        <v>5422</v>
      </c>
    </row>
    <row r="5425" spans="1:1">
      <c r="A5425">
        <f t="shared" si="131"/>
        <v>5423</v>
      </c>
    </row>
    <row r="5426" spans="1:1">
      <c r="A5426">
        <f t="shared" si="131"/>
        <v>5424</v>
      </c>
    </row>
    <row r="5427" spans="1:1">
      <c r="A5427">
        <f t="shared" si="131"/>
        <v>5425</v>
      </c>
    </row>
    <row r="5428" spans="1:1">
      <c r="A5428">
        <f t="shared" si="131"/>
        <v>5426</v>
      </c>
    </row>
    <row r="5429" spans="1:1">
      <c r="A5429">
        <f t="shared" si="131"/>
        <v>5427</v>
      </c>
    </row>
    <row r="5430" spans="1:1">
      <c r="A5430">
        <f t="shared" si="131"/>
        <v>5428</v>
      </c>
    </row>
    <row r="5431" spans="1:1">
      <c r="A5431">
        <f t="shared" si="131"/>
        <v>5429</v>
      </c>
    </row>
    <row r="5432" spans="1:1">
      <c r="A5432">
        <f t="shared" si="131"/>
        <v>5430</v>
      </c>
    </row>
    <row r="5433" spans="1:1">
      <c r="A5433">
        <f t="shared" si="131"/>
        <v>5431</v>
      </c>
    </row>
    <row r="5434" spans="1:1">
      <c r="A5434">
        <f t="shared" si="131"/>
        <v>5432</v>
      </c>
    </row>
    <row r="5435" spans="1:1">
      <c r="A5435">
        <f t="shared" si="131"/>
        <v>5433</v>
      </c>
    </row>
    <row r="5436" spans="1:1">
      <c r="A5436">
        <f t="shared" si="131"/>
        <v>5434</v>
      </c>
    </row>
    <row r="5437" spans="1:1">
      <c r="A5437">
        <f t="shared" si="131"/>
        <v>5435</v>
      </c>
    </row>
    <row r="5438" spans="1:1">
      <c r="A5438">
        <f t="shared" si="131"/>
        <v>5436</v>
      </c>
    </row>
    <row r="5439" spans="1:1">
      <c r="A5439">
        <f t="shared" si="131"/>
        <v>5437</v>
      </c>
    </row>
    <row r="5440" spans="1:1">
      <c r="A5440">
        <f t="shared" si="131"/>
        <v>5438</v>
      </c>
    </row>
    <row r="5441" spans="1:1">
      <c r="A5441">
        <f t="shared" si="131"/>
        <v>5439</v>
      </c>
    </row>
    <row r="5442" spans="1:1">
      <c r="A5442">
        <f t="shared" si="131"/>
        <v>5440</v>
      </c>
    </row>
    <row r="5443" spans="1:1">
      <c r="A5443">
        <f t="shared" si="131"/>
        <v>5441</v>
      </c>
    </row>
    <row r="5444" spans="1:1">
      <c r="A5444">
        <f t="shared" si="131"/>
        <v>5442</v>
      </c>
    </row>
    <row r="5445" spans="1:1">
      <c r="A5445">
        <f t="shared" si="131"/>
        <v>5443</v>
      </c>
    </row>
    <row r="5446" spans="1:1">
      <c r="A5446">
        <f t="shared" si="131"/>
        <v>5444</v>
      </c>
    </row>
    <row r="5447" spans="1:1">
      <c r="A5447">
        <f t="shared" si="131"/>
        <v>5445</v>
      </c>
    </row>
    <row r="5448" spans="1:1">
      <c r="A5448">
        <f t="shared" si="131"/>
        <v>5446</v>
      </c>
    </row>
    <row r="5449" spans="1:1">
      <c r="A5449">
        <f t="shared" si="131"/>
        <v>5447</v>
      </c>
    </row>
    <row r="5450" spans="1:1">
      <c r="A5450">
        <f t="shared" si="131"/>
        <v>5448</v>
      </c>
    </row>
    <row r="5451" spans="1:1">
      <c r="A5451">
        <f t="shared" si="131"/>
        <v>5449</v>
      </c>
    </row>
    <row r="5452" spans="1:1">
      <c r="A5452">
        <f t="shared" si="131"/>
        <v>5450</v>
      </c>
    </row>
    <row r="5453" spans="1:1">
      <c r="A5453">
        <f t="shared" si="131"/>
        <v>5451</v>
      </c>
    </row>
    <row r="5454" spans="1:1">
      <c r="A5454">
        <f t="shared" si="131"/>
        <v>5452</v>
      </c>
    </row>
    <row r="5455" spans="1:1">
      <c r="A5455">
        <f t="shared" si="131"/>
        <v>5453</v>
      </c>
    </row>
    <row r="5456" spans="1:1">
      <c r="A5456">
        <f t="shared" si="131"/>
        <v>5454</v>
      </c>
    </row>
    <row r="5457" spans="1:1">
      <c r="A5457">
        <f t="shared" si="131"/>
        <v>5455</v>
      </c>
    </row>
    <row r="5458" spans="1:1">
      <c r="A5458">
        <f t="shared" si="131"/>
        <v>5456</v>
      </c>
    </row>
    <row r="5459" spans="1:1">
      <c r="A5459">
        <f t="shared" si="131"/>
        <v>5457</v>
      </c>
    </row>
    <row r="5460" spans="1:1">
      <c r="A5460">
        <f t="shared" si="131"/>
        <v>5458</v>
      </c>
    </row>
    <row r="5461" spans="1:1">
      <c r="A5461">
        <f t="shared" si="131"/>
        <v>5459</v>
      </c>
    </row>
    <row r="5462" spans="1:1">
      <c r="A5462">
        <f t="shared" si="131"/>
        <v>5460</v>
      </c>
    </row>
    <row r="5463" spans="1:1">
      <c r="A5463">
        <f t="shared" si="131"/>
        <v>5461</v>
      </c>
    </row>
    <row r="5464" spans="1:1">
      <c r="A5464">
        <f t="shared" si="131"/>
        <v>5462</v>
      </c>
    </row>
    <row r="5465" spans="1:1">
      <c r="A5465">
        <f t="shared" si="131"/>
        <v>5463</v>
      </c>
    </row>
    <row r="5466" spans="1:1">
      <c r="A5466">
        <f t="shared" si="131"/>
        <v>5464</v>
      </c>
    </row>
    <row r="5467" spans="1:1">
      <c r="A5467">
        <f t="shared" si="131"/>
        <v>5465</v>
      </c>
    </row>
    <row r="5468" spans="1:1">
      <c r="A5468">
        <f t="shared" si="131"/>
        <v>5466</v>
      </c>
    </row>
    <row r="5469" spans="1:1">
      <c r="A5469">
        <f t="shared" si="131"/>
        <v>5467</v>
      </c>
    </row>
    <row r="5470" spans="1:1">
      <c r="A5470">
        <f t="shared" si="131"/>
        <v>5468</v>
      </c>
    </row>
    <row r="5471" spans="1:1">
      <c r="A5471">
        <f t="shared" si="131"/>
        <v>5469</v>
      </c>
    </row>
    <row r="5472" spans="1:1">
      <c r="A5472">
        <f t="shared" si="131"/>
        <v>5470</v>
      </c>
    </row>
    <row r="5473" spans="1:1">
      <c r="A5473">
        <f t="shared" si="131"/>
        <v>5471</v>
      </c>
    </row>
    <row r="5474" spans="1:1">
      <c r="A5474">
        <f t="shared" si="131"/>
        <v>5472</v>
      </c>
    </row>
    <row r="5475" spans="1:1">
      <c r="A5475">
        <f t="shared" si="131"/>
        <v>5473</v>
      </c>
    </row>
    <row r="5476" spans="1:1">
      <c r="A5476">
        <f t="shared" ref="A5476:A5539" si="132">A5475+1</f>
        <v>5474</v>
      </c>
    </row>
    <row r="5477" spans="1:1">
      <c r="A5477">
        <f t="shared" si="132"/>
        <v>5475</v>
      </c>
    </row>
    <row r="5478" spans="1:1">
      <c r="A5478">
        <f t="shared" si="132"/>
        <v>5476</v>
      </c>
    </row>
    <row r="5479" spans="1:1">
      <c r="A5479">
        <f t="shared" si="132"/>
        <v>5477</v>
      </c>
    </row>
    <row r="5480" spans="1:1">
      <c r="A5480">
        <f t="shared" si="132"/>
        <v>5478</v>
      </c>
    </row>
    <row r="5481" spans="1:1">
      <c r="A5481">
        <f t="shared" si="132"/>
        <v>5479</v>
      </c>
    </row>
    <row r="5482" spans="1:1">
      <c r="A5482">
        <f t="shared" si="132"/>
        <v>5480</v>
      </c>
    </row>
    <row r="5483" spans="1:1">
      <c r="A5483">
        <f t="shared" si="132"/>
        <v>5481</v>
      </c>
    </row>
    <row r="5484" spans="1:1">
      <c r="A5484">
        <f t="shared" si="132"/>
        <v>5482</v>
      </c>
    </row>
    <row r="5485" spans="1:1">
      <c r="A5485">
        <f t="shared" si="132"/>
        <v>5483</v>
      </c>
    </row>
    <row r="5486" spans="1:1">
      <c r="A5486">
        <f t="shared" si="132"/>
        <v>5484</v>
      </c>
    </row>
    <row r="5487" spans="1:1">
      <c r="A5487">
        <f t="shared" si="132"/>
        <v>5485</v>
      </c>
    </row>
    <row r="5488" spans="1:1">
      <c r="A5488">
        <f t="shared" si="132"/>
        <v>5486</v>
      </c>
    </row>
    <row r="5489" spans="1:1">
      <c r="A5489">
        <f t="shared" si="132"/>
        <v>5487</v>
      </c>
    </row>
    <row r="5490" spans="1:1">
      <c r="A5490">
        <f t="shared" si="132"/>
        <v>5488</v>
      </c>
    </row>
    <row r="5491" spans="1:1">
      <c r="A5491">
        <f t="shared" si="132"/>
        <v>5489</v>
      </c>
    </row>
    <row r="5492" spans="1:1">
      <c r="A5492">
        <f t="shared" si="132"/>
        <v>5490</v>
      </c>
    </row>
    <row r="5493" spans="1:1">
      <c r="A5493">
        <f t="shared" si="132"/>
        <v>5491</v>
      </c>
    </row>
    <row r="5494" spans="1:1">
      <c r="A5494">
        <f t="shared" si="132"/>
        <v>5492</v>
      </c>
    </row>
    <row r="5495" spans="1:1">
      <c r="A5495">
        <f t="shared" si="132"/>
        <v>5493</v>
      </c>
    </row>
    <row r="5496" spans="1:1">
      <c r="A5496">
        <f t="shared" si="132"/>
        <v>5494</v>
      </c>
    </row>
    <row r="5497" spans="1:1">
      <c r="A5497">
        <f t="shared" si="132"/>
        <v>5495</v>
      </c>
    </row>
    <row r="5498" spans="1:1">
      <c r="A5498">
        <f t="shared" si="132"/>
        <v>5496</v>
      </c>
    </row>
    <row r="5499" spans="1:1">
      <c r="A5499">
        <f t="shared" si="132"/>
        <v>5497</v>
      </c>
    </row>
    <row r="5500" spans="1:1">
      <c r="A5500">
        <f t="shared" si="132"/>
        <v>5498</v>
      </c>
    </row>
    <row r="5501" spans="1:1">
      <c r="A5501">
        <f t="shared" si="132"/>
        <v>5499</v>
      </c>
    </row>
    <row r="5502" spans="1:1">
      <c r="A5502">
        <f t="shared" si="132"/>
        <v>5500</v>
      </c>
    </row>
    <row r="5503" spans="1:1">
      <c r="A5503">
        <f t="shared" si="132"/>
        <v>5501</v>
      </c>
    </row>
    <row r="5504" spans="1:1">
      <c r="A5504">
        <f t="shared" si="132"/>
        <v>5502</v>
      </c>
    </row>
    <row r="5505" spans="1:1">
      <c r="A5505">
        <f t="shared" si="132"/>
        <v>5503</v>
      </c>
    </row>
    <row r="5506" spans="1:1">
      <c r="A5506">
        <f t="shared" si="132"/>
        <v>5504</v>
      </c>
    </row>
    <row r="5507" spans="1:1">
      <c r="A5507">
        <f t="shared" si="132"/>
        <v>5505</v>
      </c>
    </row>
    <row r="5508" spans="1:1">
      <c r="A5508">
        <f t="shared" si="132"/>
        <v>5506</v>
      </c>
    </row>
    <row r="5509" spans="1:1">
      <c r="A5509">
        <f t="shared" si="132"/>
        <v>5507</v>
      </c>
    </row>
    <row r="5510" spans="1:1">
      <c r="A5510">
        <f t="shared" si="132"/>
        <v>5508</v>
      </c>
    </row>
    <row r="5511" spans="1:1">
      <c r="A5511">
        <f t="shared" si="132"/>
        <v>5509</v>
      </c>
    </row>
    <row r="5512" spans="1:1">
      <c r="A5512">
        <f t="shared" si="132"/>
        <v>5510</v>
      </c>
    </row>
    <row r="5513" spans="1:1">
      <c r="A5513">
        <f t="shared" si="132"/>
        <v>5511</v>
      </c>
    </row>
    <row r="5514" spans="1:1">
      <c r="A5514">
        <f t="shared" si="132"/>
        <v>5512</v>
      </c>
    </row>
    <row r="5515" spans="1:1">
      <c r="A5515">
        <f t="shared" si="132"/>
        <v>5513</v>
      </c>
    </row>
    <row r="5516" spans="1:1">
      <c r="A5516">
        <f t="shared" si="132"/>
        <v>5514</v>
      </c>
    </row>
    <row r="5517" spans="1:1">
      <c r="A5517">
        <f t="shared" si="132"/>
        <v>5515</v>
      </c>
    </row>
    <row r="5518" spans="1:1">
      <c r="A5518">
        <f t="shared" si="132"/>
        <v>5516</v>
      </c>
    </row>
    <row r="5519" spans="1:1">
      <c r="A5519">
        <f t="shared" si="132"/>
        <v>5517</v>
      </c>
    </row>
    <row r="5520" spans="1:1">
      <c r="A5520">
        <f t="shared" si="132"/>
        <v>5518</v>
      </c>
    </row>
    <row r="5521" spans="1:1">
      <c r="A5521">
        <f t="shared" si="132"/>
        <v>5519</v>
      </c>
    </row>
    <row r="5522" spans="1:1">
      <c r="A5522">
        <f t="shared" si="132"/>
        <v>5520</v>
      </c>
    </row>
    <row r="5523" spans="1:1">
      <c r="A5523">
        <f t="shared" si="132"/>
        <v>5521</v>
      </c>
    </row>
    <row r="5524" spans="1:1">
      <c r="A5524">
        <f t="shared" si="132"/>
        <v>5522</v>
      </c>
    </row>
    <row r="5525" spans="1:1">
      <c r="A5525">
        <f t="shared" si="132"/>
        <v>5523</v>
      </c>
    </row>
    <row r="5526" spans="1:1">
      <c r="A5526">
        <f t="shared" si="132"/>
        <v>5524</v>
      </c>
    </row>
    <row r="5527" spans="1:1">
      <c r="A5527">
        <f t="shared" si="132"/>
        <v>5525</v>
      </c>
    </row>
    <row r="5528" spans="1:1">
      <c r="A5528">
        <f t="shared" si="132"/>
        <v>5526</v>
      </c>
    </row>
    <row r="5529" spans="1:1">
      <c r="A5529">
        <f t="shared" si="132"/>
        <v>5527</v>
      </c>
    </row>
    <row r="5530" spans="1:1">
      <c r="A5530">
        <f t="shared" si="132"/>
        <v>5528</v>
      </c>
    </row>
    <row r="5531" spans="1:1">
      <c r="A5531">
        <f t="shared" si="132"/>
        <v>5529</v>
      </c>
    </row>
    <row r="5532" spans="1:1">
      <c r="A5532">
        <f t="shared" si="132"/>
        <v>5530</v>
      </c>
    </row>
    <row r="5533" spans="1:1">
      <c r="A5533">
        <f t="shared" si="132"/>
        <v>5531</v>
      </c>
    </row>
    <row r="5534" spans="1:1">
      <c r="A5534">
        <f t="shared" si="132"/>
        <v>5532</v>
      </c>
    </row>
    <row r="5535" spans="1:1">
      <c r="A5535">
        <f t="shared" si="132"/>
        <v>5533</v>
      </c>
    </row>
    <row r="5536" spans="1:1">
      <c r="A5536">
        <f t="shared" si="132"/>
        <v>5534</v>
      </c>
    </row>
    <row r="5537" spans="1:1">
      <c r="A5537">
        <f t="shared" si="132"/>
        <v>5535</v>
      </c>
    </row>
    <row r="5538" spans="1:1">
      <c r="A5538">
        <f t="shared" si="132"/>
        <v>5536</v>
      </c>
    </row>
    <row r="5539" spans="1:1">
      <c r="A5539">
        <f t="shared" si="132"/>
        <v>5537</v>
      </c>
    </row>
    <row r="5540" spans="1:1">
      <c r="A5540">
        <f t="shared" ref="A5540:A5603" si="133">A5539+1</f>
        <v>5538</v>
      </c>
    </row>
    <row r="5541" spans="1:1">
      <c r="A5541">
        <f t="shared" si="133"/>
        <v>5539</v>
      </c>
    </row>
    <row r="5542" spans="1:1">
      <c r="A5542">
        <f t="shared" si="133"/>
        <v>5540</v>
      </c>
    </row>
    <row r="5543" spans="1:1">
      <c r="A5543">
        <f t="shared" si="133"/>
        <v>5541</v>
      </c>
    </row>
    <row r="5544" spans="1:1">
      <c r="A5544">
        <f t="shared" si="133"/>
        <v>5542</v>
      </c>
    </row>
    <row r="5545" spans="1:1">
      <c r="A5545">
        <f t="shared" si="133"/>
        <v>5543</v>
      </c>
    </row>
    <row r="5546" spans="1:1">
      <c r="A5546">
        <f t="shared" si="133"/>
        <v>5544</v>
      </c>
    </row>
    <row r="5547" spans="1:1">
      <c r="A5547">
        <f t="shared" si="133"/>
        <v>5545</v>
      </c>
    </row>
    <row r="5548" spans="1:1">
      <c r="A5548">
        <f t="shared" si="133"/>
        <v>5546</v>
      </c>
    </row>
    <row r="5549" spans="1:1">
      <c r="A5549">
        <f t="shared" si="133"/>
        <v>5547</v>
      </c>
    </row>
    <row r="5550" spans="1:1">
      <c r="A5550">
        <f t="shared" si="133"/>
        <v>5548</v>
      </c>
    </row>
    <row r="5551" spans="1:1">
      <c r="A5551">
        <f t="shared" si="133"/>
        <v>5549</v>
      </c>
    </row>
    <row r="5552" spans="1:1">
      <c r="A5552">
        <f t="shared" si="133"/>
        <v>5550</v>
      </c>
    </row>
    <row r="5553" spans="1:1">
      <c r="A5553">
        <f t="shared" si="133"/>
        <v>5551</v>
      </c>
    </row>
    <row r="5554" spans="1:1">
      <c r="A5554">
        <f t="shared" si="133"/>
        <v>5552</v>
      </c>
    </row>
    <row r="5555" spans="1:1">
      <c r="A5555">
        <f t="shared" si="133"/>
        <v>5553</v>
      </c>
    </row>
    <row r="5556" spans="1:1">
      <c r="A5556">
        <f t="shared" si="133"/>
        <v>5554</v>
      </c>
    </row>
    <row r="5557" spans="1:1">
      <c r="A5557">
        <f t="shared" si="133"/>
        <v>5555</v>
      </c>
    </row>
    <row r="5558" spans="1:1">
      <c r="A5558">
        <f t="shared" si="133"/>
        <v>5556</v>
      </c>
    </row>
    <row r="5559" spans="1:1">
      <c r="A5559">
        <f t="shared" si="133"/>
        <v>5557</v>
      </c>
    </row>
    <row r="5560" spans="1:1">
      <c r="A5560">
        <f t="shared" si="133"/>
        <v>5558</v>
      </c>
    </row>
    <row r="5561" spans="1:1">
      <c r="A5561">
        <f t="shared" si="133"/>
        <v>5559</v>
      </c>
    </row>
    <row r="5562" spans="1:1">
      <c r="A5562">
        <f t="shared" si="133"/>
        <v>5560</v>
      </c>
    </row>
    <row r="5563" spans="1:1">
      <c r="A5563">
        <f t="shared" si="133"/>
        <v>5561</v>
      </c>
    </row>
    <row r="5564" spans="1:1">
      <c r="A5564">
        <f t="shared" si="133"/>
        <v>5562</v>
      </c>
    </row>
    <row r="5565" spans="1:1">
      <c r="A5565">
        <f t="shared" si="133"/>
        <v>5563</v>
      </c>
    </row>
    <row r="5566" spans="1:1">
      <c r="A5566">
        <f t="shared" si="133"/>
        <v>5564</v>
      </c>
    </row>
    <row r="5567" spans="1:1">
      <c r="A5567">
        <f t="shared" si="133"/>
        <v>5565</v>
      </c>
    </row>
    <row r="5568" spans="1:1">
      <c r="A5568">
        <f t="shared" si="133"/>
        <v>5566</v>
      </c>
    </row>
    <row r="5569" spans="1:1">
      <c r="A5569">
        <f t="shared" si="133"/>
        <v>5567</v>
      </c>
    </row>
    <row r="5570" spans="1:1">
      <c r="A5570">
        <f t="shared" si="133"/>
        <v>5568</v>
      </c>
    </row>
    <row r="5571" spans="1:1">
      <c r="A5571">
        <f t="shared" si="133"/>
        <v>5569</v>
      </c>
    </row>
    <row r="5572" spans="1:1">
      <c r="A5572">
        <f t="shared" si="133"/>
        <v>5570</v>
      </c>
    </row>
    <row r="5573" spans="1:1">
      <c r="A5573">
        <f t="shared" si="133"/>
        <v>5571</v>
      </c>
    </row>
    <row r="5574" spans="1:1">
      <c r="A5574">
        <f t="shared" si="133"/>
        <v>5572</v>
      </c>
    </row>
    <row r="5575" spans="1:1">
      <c r="A5575">
        <f t="shared" si="133"/>
        <v>5573</v>
      </c>
    </row>
    <row r="5576" spans="1:1">
      <c r="A5576">
        <f t="shared" si="133"/>
        <v>5574</v>
      </c>
    </row>
    <row r="5577" spans="1:1">
      <c r="A5577">
        <f t="shared" si="133"/>
        <v>5575</v>
      </c>
    </row>
    <row r="5578" spans="1:1">
      <c r="A5578">
        <f t="shared" si="133"/>
        <v>5576</v>
      </c>
    </row>
    <row r="5579" spans="1:1">
      <c r="A5579">
        <f t="shared" si="133"/>
        <v>5577</v>
      </c>
    </row>
    <row r="5580" spans="1:1">
      <c r="A5580">
        <f t="shared" si="133"/>
        <v>5578</v>
      </c>
    </row>
    <row r="5581" spans="1:1">
      <c r="A5581">
        <f t="shared" si="133"/>
        <v>5579</v>
      </c>
    </row>
    <row r="5582" spans="1:1">
      <c r="A5582">
        <f t="shared" si="133"/>
        <v>5580</v>
      </c>
    </row>
    <row r="5583" spans="1:1">
      <c r="A5583">
        <f t="shared" si="133"/>
        <v>5581</v>
      </c>
    </row>
    <row r="5584" spans="1:1">
      <c r="A5584">
        <f t="shared" si="133"/>
        <v>5582</v>
      </c>
    </row>
    <row r="5585" spans="1:1">
      <c r="A5585">
        <f t="shared" si="133"/>
        <v>5583</v>
      </c>
    </row>
    <row r="5586" spans="1:1">
      <c r="A5586">
        <f t="shared" si="133"/>
        <v>5584</v>
      </c>
    </row>
    <row r="5587" spans="1:1">
      <c r="A5587">
        <f t="shared" si="133"/>
        <v>5585</v>
      </c>
    </row>
    <row r="5588" spans="1:1">
      <c r="A5588">
        <f t="shared" si="133"/>
        <v>5586</v>
      </c>
    </row>
    <row r="5589" spans="1:1">
      <c r="A5589">
        <f t="shared" si="133"/>
        <v>5587</v>
      </c>
    </row>
    <row r="5590" spans="1:1">
      <c r="A5590">
        <f t="shared" si="133"/>
        <v>5588</v>
      </c>
    </row>
    <row r="5591" spans="1:1">
      <c r="A5591">
        <f t="shared" si="133"/>
        <v>5589</v>
      </c>
    </row>
    <row r="5592" spans="1:1">
      <c r="A5592">
        <f t="shared" si="133"/>
        <v>5590</v>
      </c>
    </row>
    <row r="5593" spans="1:1">
      <c r="A5593">
        <f t="shared" si="133"/>
        <v>5591</v>
      </c>
    </row>
    <row r="5594" spans="1:1">
      <c r="A5594">
        <f t="shared" si="133"/>
        <v>5592</v>
      </c>
    </row>
    <row r="5595" spans="1:1">
      <c r="A5595">
        <f t="shared" si="133"/>
        <v>5593</v>
      </c>
    </row>
    <row r="5596" spans="1:1">
      <c r="A5596">
        <f t="shared" si="133"/>
        <v>5594</v>
      </c>
    </row>
    <row r="5597" spans="1:1">
      <c r="A5597">
        <f t="shared" si="133"/>
        <v>5595</v>
      </c>
    </row>
    <row r="5598" spans="1:1">
      <c r="A5598">
        <f t="shared" si="133"/>
        <v>5596</v>
      </c>
    </row>
    <row r="5599" spans="1:1">
      <c r="A5599">
        <f t="shared" si="133"/>
        <v>5597</v>
      </c>
    </row>
    <row r="5600" spans="1:1">
      <c r="A5600">
        <f t="shared" si="133"/>
        <v>5598</v>
      </c>
    </row>
    <row r="5601" spans="1:1">
      <c r="A5601">
        <f t="shared" si="133"/>
        <v>5599</v>
      </c>
    </row>
    <row r="5602" spans="1:1">
      <c r="A5602">
        <f t="shared" si="133"/>
        <v>5600</v>
      </c>
    </row>
    <row r="5603" spans="1:1">
      <c r="A5603">
        <f t="shared" si="133"/>
        <v>5601</v>
      </c>
    </row>
    <row r="5604" spans="1:1">
      <c r="A5604">
        <f t="shared" ref="A5604:A5667" si="134">A5603+1</f>
        <v>5602</v>
      </c>
    </row>
    <row r="5605" spans="1:1">
      <c r="A5605">
        <f t="shared" si="134"/>
        <v>5603</v>
      </c>
    </row>
    <row r="5606" spans="1:1">
      <c r="A5606">
        <f t="shared" si="134"/>
        <v>5604</v>
      </c>
    </row>
    <row r="5607" spans="1:1">
      <c r="A5607">
        <f t="shared" si="134"/>
        <v>5605</v>
      </c>
    </row>
    <row r="5608" spans="1:1">
      <c r="A5608">
        <f t="shared" si="134"/>
        <v>5606</v>
      </c>
    </row>
    <row r="5609" spans="1:1">
      <c r="A5609">
        <f t="shared" si="134"/>
        <v>5607</v>
      </c>
    </row>
    <row r="5610" spans="1:1">
      <c r="A5610">
        <f t="shared" si="134"/>
        <v>5608</v>
      </c>
    </row>
    <row r="5611" spans="1:1">
      <c r="A5611">
        <f t="shared" si="134"/>
        <v>5609</v>
      </c>
    </row>
    <row r="5612" spans="1:1">
      <c r="A5612">
        <f t="shared" si="134"/>
        <v>5610</v>
      </c>
    </row>
    <row r="5613" spans="1:1">
      <c r="A5613">
        <f t="shared" si="134"/>
        <v>5611</v>
      </c>
    </row>
    <row r="5614" spans="1:1">
      <c r="A5614">
        <f t="shared" si="134"/>
        <v>5612</v>
      </c>
    </row>
    <row r="5615" spans="1:1">
      <c r="A5615">
        <f t="shared" si="134"/>
        <v>5613</v>
      </c>
    </row>
    <row r="5616" spans="1:1">
      <c r="A5616">
        <f t="shared" si="134"/>
        <v>5614</v>
      </c>
    </row>
    <row r="5617" spans="1:1">
      <c r="A5617">
        <f t="shared" si="134"/>
        <v>5615</v>
      </c>
    </row>
    <row r="5618" spans="1:1">
      <c r="A5618">
        <f t="shared" si="134"/>
        <v>5616</v>
      </c>
    </row>
    <row r="5619" spans="1:1">
      <c r="A5619">
        <f t="shared" si="134"/>
        <v>5617</v>
      </c>
    </row>
    <row r="5620" spans="1:1">
      <c r="A5620">
        <f t="shared" si="134"/>
        <v>5618</v>
      </c>
    </row>
    <row r="5621" spans="1:1">
      <c r="A5621">
        <f t="shared" si="134"/>
        <v>5619</v>
      </c>
    </row>
    <row r="5622" spans="1:1">
      <c r="A5622">
        <f t="shared" si="134"/>
        <v>5620</v>
      </c>
    </row>
    <row r="5623" spans="1:1">
      <c r="A5623">
        <f t="shared" si="134"/>
        <v>5621</v>
      </c>
    </row>
    <row r="5624" spans="1:1">
      <c r="A5624">
        <f t="shared" si="134"/>
        <v>5622</v>
      </c>
    </row>
    <row r="5625" spans="1:1">
      <c r="A5625">
        <f t="shared" si="134"/>
        <v>5623</v>
      </c>
    </row>
    <row r="5626" spans="1:1">
      <c r="A5626">
        <f t="shared" si="134"/>
        <v>5624</v>
      </c>
    </row>
    <row r="5627" spans="1:1">
      <c r="A5627">
        <f t="shared" si="134"/>
        <v>5625</v>
      </c>
    </row>
    <row r="5628" spans="1:1">
      <c r="A5628">
        <f t="shared" si="134"/>
        <v>5626</v>
      </c>
    </row>
    <row r="5629" spans="1:1">
      <c r="A5629">
        <f t="shared" si="134"/>
        <v>5627</v>
      </c>
    </row>
    <row r="5630" spans="1:1">
      <c r="A5630">
        <f t="shared" si="134"/>
        <v>5628</v>
      </c>
    </row>
    <row r="5631" spans="1:1">
      <c r="A5631">
        <f t="shared" si="134"/>
        <v>5629</v>
      </c>
    </row>
    <row r="5632" spans="1:1">
      <c r="A5632">
        <f t="shared" si="134"/>
        <v>5630</v>
      </c>
    </row>
    <row r="5633" spans="1:1">
      <c r="A5633">
        <f t="shared" si="134"/>
        <v>5631</v>
      </c>
    </row>
    <row r="5634" spans="1:1">
      <c r="A5634">
        <f t="shared" si="134"/>
        <v>5632</v>
      </c>
    </row>
    <row r="5635" spans="1:1">
      <c r="A5635">
        <f t="shared" si="134"/>
        <v>5633</v>
      </c>
    </row>
    <row r="5636" spans="1:1">
      <c r="A5636">
        <f t="shared" si="134"/>
        <v>5634</v>
      </c>
    </row>
    <row r="5637" spans="1:1">
      <c r="A5637">
        <f t="shared" si="134"/>
        <v>5635</v>
      </c>
    </row>
    <row r="5638" spans="1:1">
      <c r="A5638">
        <f t="shared" si="134"/>
        <v>5636</v>
      </c>
    </row>
    <row r="5639" spans="1:1">
      <c r="A5639">
        <f t="shared" si="134"/>
        <v>5637</v>
      </c>
    </row>
    <row r="5640" spans="1:1">
      <c r="A5640">
        <f t="shared" si="134"/>
        <v>5638</v>
      </c>
    </row>
    <row r="5641" spans="1:1">
      <c r="A5641">
        <f t="shared" si="134"/>
        <v>5639</v>
      </c>
    </row>
    <row r="5642" spans="1:1">
      <c r="A5642">
        <f t="shared" si="134"/>
        <v>5640</v>
      </c>
    </row>
    <row r="5643" spans="1:1">
      <c r="A5643">
        <f t="shared" si="134"/>
        <v>5641</v>
      </c>
    </row>
    <row r="5644" spans="1:1">
      <c r="A5644">
        <f t="shared" si="134"/>
        <v>5642</v>
      </c>
    </row>
    <row r="5645" spans="1:1">
      <c r="A5645">
        <f t="shared" si="134"/>
        <v>5643</v>
      </c>
    </row>
    <row r="5646" spans="1:1">
      <c r="A5646">
        <f t="shared" si="134"/>
        <v>5644</v>
      </c>
    </row>
    <row r="5647" spans="1:1">
      <c r="A5647">
        <f t="shared" si="134"/>
        <v>5645</v>
      </c>
    </row>
    <row r="5648" spans="1:1">
      <c r="A5648">
        <f t="shared" si="134"/>
        <v>5646</v>
      </c>
    </row>
    <row r="5649" spans="1:1">
      <c r="A5649">
        <f t="shared" si="134"/>
        <v>5647</v>
      </c>
    </row>
    <row r="5650" spans="1:1">
      <c r="A5650">
        <f t="shared" si="134"/>
        <v>5648</v>
      </c>
    </row>
    <row r="5651" spans="1:1">
      <c r="A5651">
        <f t="shared" si="134"/>
        <v>5649</v>
      </c>
    </row>
    <row r="5652" spans="1:1">
      <c r="A5652">
        <f t="shared" si="134"/>
        <v>5650</v>
      </c>
    </row>
    <row r="5653" spans="1:1">
      <c r="A5653">
        <f t="shared" si="134"/>
        <v>5651</v>
      </c>
    </row>
    <row r="5654" spans="1:1">
      <c r="A5654">
        <f t="shared" si="134"/>
        <v>5652</v>
      </c>
    </row>
    <row r="5655" spans="1:1">
      <c r="A5655">
        <f t="shared" si="134"/>
        <v>5653</v>
      </c>
    </row>
    <row r="5656" spans="1:1">
      <c r="A5656">
        <f t="shared" si="134"/>
        <v>5654</v>
      </c>
    </row>
    <row r="5657" spans="1:1">
      <c r="A5657">
        <f t="shared" si="134"/>
        <v>5655</v>
      </c>
    </row>
    <row r="5658" spans="1:1">
      <c r="A5658">
        <f t="shared" si="134"/>
        <v>5656</v>
      </c>
    </row>
    <row r="5659" spans="1:1">
      <c r="A5659">
        <f t="shared" si="134"/>
        <v>5657</v>
      </c>
    </row>
    <row r="5660" spans="1:1">
      <c r="A5660">
        <f t="shared" si="134"/>
        <v>5658</v>
      </c>
    </row>
    <row r="5661" spans="1:1">
      <c r="A5661">
        <f t="shared" si="134"/>
        <v>5659</v>
      </c>
    </row>
    <row r="5662" spans="1:1">
      <c r="A5662">
        <f t="shared" si="134"/>
        <v>5660</v>
      </c>
    </row>
    <row r="5663" spans="1:1">
      <c r="A5663">
        <f t="shared" si="134"/>
        <v>5661</v>
      </c>
    </row>
    <row r="5664" spans="1:1">
      <c r="A5664">
        <f t="shared" si="134"/>
        <v>5662</v>
      </c>
    </row>
    <row r="5665" spans="1:1">
      <c r="A5665">
        <f t="shared" si="134"/>
        <v>5663</v>
      </c>
    </row>
    <row r="5666" spans="1:1">
      <c r="A5666">
        <f t="shared" si="134"/>
        <v>5664</v>
      </c>
    </row>
    <row r="5667" spans="1:1">
      <c r="A5667">
        <f t="shared" si="134"/>
        <v>5665</v>
      </c>
    </row>
    <row r="5668" spans="1:1">
      <c r="A5668">
        <f t="shared" ref="A5668:A5731" si="135">A5667+1</f>
        <v>5666</v>
      </c>
    </row>
    <row r="5669" spans="1:1">
      <c r="A5669">
        <f t="shared" si="135"/>
        <v>5667</v>
      </c>
    </row>
    <row r="5670" spans="1:1">
      <c r="A5670">
        <f t="shared" si="135"/>
        <v>5668</v>
      </c>
    </row>
    <row r="5671" spans="1:1">
      <c r="A5671">
        <f t="shared" si="135"/>
        <v>5669</v>
      </c>
    </row>
    <row r="5672" spans="1:1">
      <c r="A5672">
        <f t="shared" si="135"/>
        <v>5670</v>
      </c>
    </row>
    <row r="5673" spans="1:1">
      <c r="A5673">
        <f t="shared" si="135"/>
        <v>5671</v>
      </c>
    </row>
    <row r="5674" spans="1:1">
      <c r="A5674">
        <f t="shared" si="135"/>
        <v>5672</v>
      </c>
    </row>
    <row r="5675" spans="1:1">
      <c r="A5675">
        <f t="shared" si="135"/>
        <v>5673</v>
      </c>
    </row>
    <row r="5676" spans="1:1">
      <c r="A5676">
        <f t="shared" si="135"/>
        <v>5674</v>
      </c>
    </row>
    <row r="5677" spans="1:1">
      <c r="A5677">
        <f t="shared" si="135"/>
        <v>5675</v>
      </c>
    </row>
    <row r="5678" spans="1:1">
      <c r="A5678">
        <f t="shared" si="135"/>
        <v>5676</v>
      </c>
    </row>
    <row r="5679" spans="1:1">
      <c r="A5679">
        <f t="shared" si="135"/>
        <v>5677</v>
      </c>
    </row>
    <row r="5680" spans="1:1">
      <c r="A5680">
        <f t="shared" si="135"/>
        <v>5678</v>
      </c>
    </row>
    <row r="5681" spans="1:1">
      <c r="A5681">
        <f t="shared" si="135"/>
        <v>5679</v>
      </c>
    </row>
    <row r="5682" spans="1:1">
      <c r="A5682">
        <f t="shared" si="135"/>
        <v>5680</v>
      </c>
    </row>
    <row r="5683" spans="1:1">
      <c r="A5683">
        <f t="shared" si="135"/>
        <v>5681</v>
      </c>
    </row>
    <row r="5684" spans="1:1">
      <c r="A5684">
        <f t="shared" si="135"/>
        <v>5682</v>
      </c>
    </row>
    <row r="5685" spans="1:1">
      <c r="A5685">
        <f t="shared" si="135"/>
        <v>5683</v>
      </c>
    </row>
    <row r="5686" spans="1:1">
      <c r="A5686">
        <f t="shared" si="135"/>
        <v>5684</v>
      </c>
    </row>
    <row r="5687" spans="1:1">
      <c r="A5687">
        <f t="shared" si="135"/>
        <v>5685</v>
      </c>
    </row>
    <row r="5688" spans="1:1">
      <c r="A5688">
        <f t="shared" si="135"/>
        <v>5686</v>
      </c>
    </row>
    <row r="5689" spans="1:1">
      <c r="A5689">
        <f t="shared" si="135"/>
        <v>5687</v>
      </c>
    </row>
    <row r="5690" spans="1:1">
      <c r="A5690">
        <f t="shared" si="135"/>
        <v>5688</v>
      </c>
    </row>
    <row r="5691" spans="1:1">
      <c r="A5691">
        <f t="shared" si="135"/>
        <v>5689</v>
      </c>
    </row>
    <row r="5692" spans="1:1">
      <c r="A5692">
        <f t="shared" si="135"/>
        <v>5690</v>
      </c>
    </row>
    <row r="5693" spans="1:1">
      <c r="A5693">
        <f t="shared" si="135"/>
        <v>5691</v>
      </c>
    </row>
    <row r="5694" spans="1:1">
      <c r="A5694">
        <f t="shared" si="135"/>
        <v>5692</v>
      </c>
    </row>
    <row r="5695" spans="1:1">
      <c r="A5695">
        <f t="shared" si="135"/>
        <v>5693</v>
      </c>
    </row>
    <row r="5696" spans="1:1">
      <c r="A5696">
        <f t="shared" si="135"/>
        <v>5694</v>
      </c>
    </row>
    <row r="5697" spans="1:1">
      <c r="A5697">
        <f t="shared" si="135"/>
        <v>5695</v>
      </c>
    </row>
    <row r="5698" spans="1:1">
      <c r="A5698">
        <f t="shared" si="135"/>
        <v>5696</v>
      </c>
    </row>
    <row r="5699" spans="1:1">
      <c r="A5699">
        <f t="shared" si="135"/>
        <v>5697</v>
      </c>
    </row>
    <row r="5700" spans="1:1">
      <c r="A5700">
        <f t="shared" si="135"/>
        <v>5698</v>
      </c>
    </row>
    <row r="5701" spans="1:1">
      <c r="A5701">
        <f t="shared" si="135"/>
        <v>5699</v>
      </c>
    </row>
    <row r="5702" spans="1:1">
      <c r="A5702">
        <f t="shared" si="135"/>
        <v>5700</v>
      </c>
    </row>
    <row r="5703" spans="1:1">
      <c r="A5703">
        <f t="shared" si="135"/>
        <v>5701</v>
      </c>
    </row>
    <row r="5704" spans="1:1">
      <c r="A5704">
        <f t="shared" si="135"/>
        <v>5702</v>
      </c>
    </row>
    <row r="5705" spans="1:1">
      <c r="A5705">
        <f t="shared" si="135"/>
        <v>5703</v>
      </c>
    </row>
    <row r="5706" spans="1:1">
      <c r="A5706">
        <f t="shared" si="135"/>
        <v>5704</v>
      </c>
    </row>
    <row r="5707" spans="1:1">
      <c r="A5707">
        <f t="shared" si="135"/>
        <v>5705</v>
      </c>
    </row>
    <row r="5708" spans="1:1">
      <c r="A5708">
        <f t="shared" si="135"/>
        <v>5706</v>
      </c>
    </row>
    <row r="5709" spans="1:1">
      <c r="A5709">
        <f t="shared" si="135"/>
        <v>5707</v>
      </c>
    </row>
    <row r="5710" spans="1:1">
      <c r="A5710">
        <f t="shared" si="135"/>
        <v>5708</v>
      </c>
    </row>
    <row r="5711" spans="1:1">
      <c r="A5711">
        <f t="shared" si="135"/>
        <v>5709</v>
      </c>
    </row>
    <row r="5712" spans="1:1">
      <c r="A5712">
        <f t="shared" si="135"/>
        <v>5710</v>
      </c>
    </row>
    <row r="5713" spans="1:1">
      <c r="A5713">
        <f t="shared" si="135"/>
        <v>5711</v>
      </c>
    </row>
    <row r="5714" spans="1:1">
      <c r="A5714">
        <f t="shared" si="135"/>
        <v>5712</v>
      </c>
    </row>
    <row r="5715" spans="1:1">
      <c r="A5715">
        <f t="shared" si="135"/>
        <v>5713</v>
      </c>
    </row>
    <row r="5716" spans="1:1">
      <c r="A5716">
        <f t="shared" si="135"/>
        <v>5714</v>
      </c>
    </row>
    <row r="5717" spans="1:1">
      <c r="A5717">
        <f t="shared" si="135"/>
        <v>5715</v>
      </c>
    </row>
    <row r="5718" spans="1:1">
      <c r="A5718">
        <f t="shared" si="135"/>
        <v>5716</v>
      </c>
    </row>
    <row r="5719" spans="1:1">
      <c r="A5719">
        <f t="shared" si="135"/>
        <v>5717</v>
      </c>
    </row>
    <row r="5720" spans="1:1">
      <c r="A5720">
        <f t="shared" si="135"/>
        <v>5718</v>
      </c>
    </row>
    <row r="5721" spans="1:1">
      <c r="A5721">
        <f t="shared" si="135"/>
        <v>5719</v>
      </c>
    </row>
    <row r="5722" spans="1:1">
      <c r="A5722">
        <f t="shared" si="135"/>
        <v>5720</v>
      </c>
    </row>
    <row r="5723" spans="1:1">
      <c r="A5723">
        <f t="shared" si="135"/>
        <v>5721</v>
      </c>
    </row>
    <row r="5724" spans="1:1">
      <c r="A5724">
        <f t="shared" si="135"/>
        <v>5722</v>
      </c>
    </row>
    <row r="5725" spans="1:1">
      <c r="A5725">
        <f t="shared" si="135"/>
        <v>5723</v>
      </c>
    </row>
    <row r="5726" spans="1:1">
      <c r="A5726">
        <f t="shared" si="135"/>
        <v>5724</v>
      </c>
    </row>
    <row r="5727" spans="1:1">
      <c r="A5727">
        <f t="shared" si="135"/>
        <v>5725</v>
      </c>
    </row>
    <row r="5728" spans="1:1">
      <c r="A5728">
        <f t="shared" si="135"/>
        <v>5726</v>
      </c>
    </row>
    <row r="5729" spans="1:1">
      <c r="A5729">
        <f t="shared" si="135"/>
        <v>5727</v>
      </c>
    </row>
    <row r="5730" spans="1:1">
      <c r="A5730">
        <f t="shared" si="135"/>
        <v>5728</v>
      </c>
    </row>
    <row r="5731" spans="1:1">
      <c r="A5731">
        <f t="shared" si="135"/>
        <v>5729</v>
      </c>
    </row>
    <row r="5732" spans="1:1">
      <c r="A5732">
        <f t="shared" ref="A5732:A5795" si="136">A5731+1</f>
        <v>5730</v>
      </c>
    </row>
    <row r="5733" spans="1:1">
      <c r="A5733">
        <f t="shared" si="136"/>
        <v>5731</v>
      </c>
    </row>
    <row r="5734" spans="1:1">
      <c r="A5734">
        <f t="shared" si="136"/>
        <v>5732</v>
      </c>
    </row>
    <row r="5735" spans="1:1">
      <c r="A5735">
        <f t="shared" si="136"/>
        <v>5733</v>
      </c>
    </row>
    <row r="5736" spans="1:1">
      <c r="A5736">
        <f t="shared" si="136"/>
        <v>5734</v>
      </c>
    </row>
    <row r="5737" spans="1:1">
      <c r="A5737">
        <f t="shared" si="136"/>
        <v>5735</v>
      </c>
    </row>
    <row r="5738" spans="1:1">
      <c r="A5738">
        <f t="shared" si="136"/>
        <v>5736</v>
      </c>
    </row>
    <row r="5739" spans="1:1">
      <c r="A5739">
        <f t="shared" si="136"/>
        <v>5737</v>
      </c>
    </row>
    <row r="5740" spans="1:1">
      <c r="A5740">
        <f t="shared" si="136"/>
        <v>5738</v>
      </c>
    </row>
    <row r="5741" spans="1:1">
      <c r="A5741">
        <f t="shared" si="136"/>
        <v>5739</v>
      </c>
    </row>
    <row r="5742" spans="1:1">
      <c r="A5742">
        <f t="shared" si="136"/>
        <v>5740</v>
      </c>
    </row>
    <row r="5743" spans="1:1">
      <c r="A5743">
        <f t="shared" si="136"/>
        <v>5741</v>
      </c>
    </row>
    <row r="5744" spans="1:1">
      <c r="A5744">
        <f t="shared" si="136"/>
        <v>5742</v>
      </c>
    </row>
    <row r="5745" spans="1:1">
      <c r="A5745">
        <f t="shared" si="136"/>
        <v>5743</v>
      </c>
    </row>
    <row r="5746" spans="1:1">
      <c r="A5746">
        <f t="shared" si="136"/>
        <v>5744</v>
      </c>
    </row>
    <row r="5747" spans="1:1">
      <c r="A5747">
        <f t="shared" si="136"/>
        <v>5745</v>
      </c>
    </row>
    <row r="5748" spans="1:1">
      <c r="A5748">
        <f t="shared" si="136"/>
        <v>5746</v>
      </c>
    </row>
    <row r="5749" spans="1:1">
      <c r="A5749">
        <f t="shared" si="136"/>
        <v>5747</v>
      </c>
    </row>
    <row r="5750" spans="1:1">
      <c r="A5750">
        <f t="shared" si="136"/>
        <v>5748</v>
      </c>
    </row>
    <row r="5751" spans="1:1">
      <c r="A5751">
        <f t="shared" si="136"/>
        <v>5749</v>
      </c>
    </row>
    <row r="5752" spans="1:1">
      <c r="A5752">
        <f t="shared" si="136"/>
        <v>5750</v>
      </c>
    </row>
    <row r="5753" spans="1:1">
      <c r="A5753">
        <f t="shared" si="136"/>
        <v>5751</v>
      </c>
    </row>
    <row r="5754" spans="1:1">
      <c r="A5754">
        <f t="shared" si="136"/>
        <v>5752</v>
      </c>
    </row>
    <row r="5755" spans="1:1">
      <c r="A5755">
        <f t="shared" si="136"/>
        <v>5753</v>
      </c>
    </row>
    <row r="5756" spans="1:1">
      <c r="A5756">
        <f t="shared" si="136"/>
        <v>5754</v>
      </c>
    </row>
    <row r="5757" spans="1:1">
      <c r="A5757">
        <f t="shared" si="136"/>
        <v>5755</v>
      </c>
    </row>
    <row r="5758" spans="1:1">
      <c r="A5758">
        <f t="shared" si="136"/>
        <v>5756</v>
      </c>
    </row>
    <row r="5759" spans="1:1">
      <c r="A5759">
        <f t="shared" si="136"/>
        <v>5757</v>
      </c>
    </row>
    <row r="5760" spans="1:1">
      <c r="A5760">
        <f t="shared" si="136"/>
        <v>5758</v>
      </c>
    </row>
    <row r="5761" spans="1:1">
      <c r="A5761">
        <f t="shared" si="136"/>
        <v>5759</v>
      </c>
    </row>
    <row r="5762" spans="1:1">
      <c r="A5762">
        <f t="shared" si="136"/>
        <v>5760</v>
      </c>
    </row>
    <row r="5763" spans="1:1">
      <c r="A5763">
        <f t="shared" si="136"/>
        <v>5761</v>
      </c>
    </row>
    <row r="5764" spans="1:1">
      <c r="A5764">
        <f t="shared" si="136"/>
        <v>5762</v>
      </c>
    </row>
    <row r="5765" spans="1:1">
      <c r="A5765">
        <f t="shared" si="136"/>
        <v>5763</v>
      </c>
    </row>
    <row r="5766" spans="1:1">
      <c r="A5766">
        <f t="shared" si="136"/>
        <v>5764</v>
      </c>
    </row>
    <row r="5767" spans="1:1">
      <c r="A5767">
        <f t="shared" si="136"/>
        <v>5765</v>
      </c>
    </row>
    <row r="5768" spans="1:1">
      <c r="A5768">
        <f t="shared" si="136"/>
        <v>5766</v>
      </c>
    </row>
    <row r="5769" spans="1:1">
      <c r="A5769">
        <f t="shared" si="136"/>
        <v>5767</v>
      </c>
    </row>
    <row r="5770" spans="1:1">
      <c r="A5770">
        <f t="shared" si="136"/>
        <v>5768</v>
      </c>
    </row>
    <row r="5771" spans="1:1">
      <c r="A5771">
        <f t="shared" si="136"/>
        <v>5769</v>
      </c>
    </row>
    <row r="5772" spans="1:1">
      <c r="A5772">
        <f t="shared" si="136"/>
        <v>5770</v>
      </c>
    </row>
    <row r="5773" spans="1:1">
      <c r="A5773">
        <f t="shared" si="136"/>
        <v>5771</v>
      </c>
    </row>
    <row r="5774" spans="1:1">
      <c r="A5774">
        <f t="shared" si="136"/>
        <v>5772</v>
      </c>
    </row>
    <row r="5775" spans="1:1">
      <c r="A5775">
        <f t="shared" si="136"/>
        <v>5773</v>
      </c>
    </row>
    <row r="5776" spans="1:1">
      <c r="A5776">
        <f t="shared" si="136"/>
        <v>5774</v>
      </c>
    </row>
    <row r="5777" spans="1:1">
      <c r="A5777">
        <f t="shared" si="136"/>
        <v>5775</v>
      </c>
    </row>
    <row r="5778" spans="1:1">
      <c r="A5778">
        <f t="shared" si="136"/>
        <v>5776</v>
      </c>
    </row>
    <row r="5779" spans="1:1">
      <c r="A5779">
        <f t="shared" si="136"/>
        <v>5777</v>
      </c>
    </row>
    <row r="5780" spans="1:1">
      <c r="A5780">
        <f t="shared" si="136"/>
        <v>5778</v>
      </c>
    </row>
    <row r="5781" spans="1:1">
      <c r="A5781">
        <f t="shared" si="136"/>
        <v>5779</v>
      </c>
    </row>
    <row r="5782" spans="1:1">
      <c r="A5782">
        <f t="shared" si="136"/>
        <v>5780</v>
      </c>
    </row>
    <row r="5783" spans="1:1">
      <c r="A5783">
        <f t="shared" si="136"/>
        <v>5781</v>
      </c>
    </row>
    <row r="5784" spans="1:1">
      <c r="A5784">
        <f t="shared" si="136"/>
        <v>5782</v>
      </c>
    </row>
    <row r="5785" spans="1:1">
      <c r="A5785">
        <f t="shared" si="136"/>
        <v>5783</v>
      </c>
    </row>
    <row r="5786" spans="1:1">
      <c r="A5786">
        <f t="shared" si="136"/>
        <v>5784</v>
      </c>
    </row>
    <row r="5787" spans="1:1">
      <c r="A5787">
        <f t="shared" si="136"/>
        <v>5785</v>
      </c>
    </row>
    <row r="5788" spans="1:1">
      <c r="A5788">
        <f t="shared" si="136"/>
        <v>5786</v>
      </c>
    </row>
    <row r="5789" spans="1:1">
      <c r="A5789">
        <f t="shared" si="136"/>
        <v>5787</v>
      </c>
    </row>
    <row r="5790" spans="1:1">
      <c r="A5790">
        <f t="shared" si="136"/>
        <v>5788</v>
      </c>
    </row>
    <row r="5791" spans="1:1">
      <c r="A5791">
        <f t="shared" si="136"/>
        <v>5789</v>
      </c>
    </row>
    <row r="5792" spans="1:1">
      <c r="A5792">
        <f t="shared" si="136"/>
        <v>5790</v>
      </c>
    </row>
    <row r="5793" spans="1:1">
      <c r="A5793">
        <f t="shared" si="136"/>
        <v>5791</v>
      </c>
    </row>
    <row r="5794" spans="1:1">
      <c r="A5794">
        <f t="shared" si="136"/>
        <v>5792</v>
      </c>
    </row>
    <row r="5795" spans="1:1">
      <c r="A5795">
        <f t="shared" si="136"/>
        <v>5793</v>
      </c>
    </row>
    <row r="5796" spans="1:1">
      <c r="A5796">
        <f t="shared" ref="A5796:A5859" si="137">A5795+1</f>
        <v>5794</v>
      </c>
    </row>
    <row r="5797" spans="1:1">
      <c r="A5797">
        <f t="shared" si="137"/>
        <v>5795</v>
      </c>
    </row>
    <row r="5798" spans="1:1">
      <c r="A5798">
        <f t="shared" si="137"/>
        <v>5796</v>
      </c>
    </row>
    <row r="5799" spans="1:1">
      <c r="A5799">
        <f t="shared" si="137"/>
        <v>5797</v>
      </c>
    </row>
    <row r="5800" spans="1:1">
      <c r="A5800">
        <f t="shared" si="137"/>
        <v>5798</v>
      </c>
    </row>
    <row r="5801" spans="1:1">
      <c r="A5801">
        <f t="shared" si="137"/>
        <v>5799</v>
      </c>
    </row>
    <row r="5802" spans="1:1">
      <c r="A5802">
        <f t="shared" si="137"/>
        <v>5800</v>
      </c>
    </row>
    <row r="5803" spans="1:1">
      <c r="A5803">
        <f t="shared" si="137"/>
        <v>5801</v>
      </c>
    </row>
    <row r="5804" spans="1:1">
      <c r="A5804">
        <f t="shared" si="137"/>
        <v>5802</v>
      </c>
    </row>
    <row r="5805" spans="1:1">
      <c r="A5805">
        <f t="shared" si="137"/>
        <v>5803</v>
      </c>
    </row>
    <row r="5806" spans="1:1">
      <c r="A5806">
        <f t="shared" si="137"/>
        <v>5804</v>
      </c>
    </row>
    <row r="5807" spans="1:1">
      <c r="A5807">
        <f t="shared" si="137"/>
        <v>5805</v>
      </c>
    </row>
    <row r="5808" spans="1:1">
      <c r="A5808">
        <f t="shared" si="137"/>
        <v>5806</v>
      </c>
    </row>
    <row r="5809" spans="1:1">
      <c r="A5809">
        <f t="shared" si="137"/>
        <v>5807</v>
      </c>
    </row>
    <row r="5810" spans="1:1">
      <c r="A5810">
        <f t="shared" si="137"/>
        <v>5808</v>
      </c>
    </row>
    <row r="5811" spans="1:1">
      <c r="A5811">
        <f t="shared" si="137"/>
        <v>5809</v>
      </c>
    </row>
    <row r="5812" spans="1:1">
      <c r="A5812">
        <f t="shared" si="137"/>
        <v>5810</v>
      </c>
    </row>
    <row r="5813" spans="1:1">
      <c r="A5813">
        <f t="shared" si="137"/>
        <v>5811</v>
      </c>
    </row>
    <row r="5814" spans="1:1">
      <c r="A5814">
        <f t="shared" si="137"/>
        <v>5812</v>
      </c>
    </row>
    <row r="5815" spans="1:1">
      <c r="A5815">
        <f t="shared" si="137"/>
        <v>5813</v>
      </c>
    </row>
    <row r="5816" spans="1:1">
      <c r="A5816">
        <f t="shared" si="137"/>
        <v>5814</v>
      </c>
    </row>
    <row r="5817" spans="1:1">
      <c r="A5817">
        <f t="shared" si="137"/>
        <v>5815</v>
      </c>
    </row>
    <row r="5818" spans="1:1">
      <c r="A5818">
        <f t="shared" si="137"/>
        <v>5816</v>
      </c>
    </row>
    <row r="5819" spans="1:1">
      <c r="A5819">
        <f t="shared" si="137"/>
        <v>5817</v>
      </c>
    </row>
    <row r="5820" spans="1:1">
      <c r="A5820">
        <f t="shared" si="137"/>
        <v>5818</v>
      </c>
    </row>
    <row r="5821" spans="1:1">
      <c r="A5821">
        <f t="shared" si="137"/>
        <v>5819</v>
      </c>
    </row>
    <row r="5822" spans="1:1">
      <c r="A5822">
        <f t="shared" si="137"/>
        <v>5820</v>
      </c>
    </row>
    <row r="5823" spans="1:1">
      <c r="A5823">
        <f t="shared" si="137"/>
        <v>5821</v>
      </c>
    </row>
    <row r="5824" spans="1:1">
      <c r="A5824">
        <f t="shared" si="137"/>
        <v>5822</v>
      </c>
    </row>
    <row r="5825" spans="1:1">
      <c r="A5825">
        <f t="shared" si="137"/>
        <v>5823</v>
      </c>
    </row>
    <row r="5826" spans="1:1">
      <c r="A5826">
        <f t="shared" si="137"/>
        <v>5824</v>
      </c>
    </row>
    <row r="5827" spans="1:1">
      <c r="A5827">
        <f t="shared" si="137"/>
        <v>5825</v>
      </c>
    </row>
    <row r="5828" spans="1:1">
      <c r="A5828">
        <f t="shared" si="137"/>
        <v>5826</v>
      </c>
    </row>
    <row r="5829" spans="1:1">
      <c r="A5829">
        <f t="shared" si="137"/>
        <v>5827</v>
      </c>
    </row>
    <row r="5830" spans="1:1">
      <c r="A5830">
        <f t="shared" si="137"/>
        <v>5828</v>
      </c>
    </row>
    <row r="5831" spans="1:1">
      <c r="A5831">
        <f t="shared" si="137"/>
        <v>5829</v>
      </c>
    </row>
    <row r="5832" spans="1:1">
      <c r="A5832">
        <f t="shared" si="137"/>
        <v>5830</v>
      </c>
    </row>
    <row r="5833" spans="1:1">
      <c r="A5833">
        <f t="shared" si="137"/>
        <v>5831</v>
      </c>
    </row>
    <row r="5834" spans="1:1">
      <c r="A5834">
        <f t="shared" si="137"/>
        <v>5832</v>
      </c>
    </row>
    <row r="5835" spans="1:1">
      <c r="A5835">
        <f t="shared" si="137"/>
        <v>5833</v>
      </c>
    </row>
    <row r="5836" spans="1:1">
      <c r="A5836">
        <f t="shared" si="137"/>
        <v>5834</v>
      </c>
    </row>
    <row r="5837" spans="1:1">
      <c r="A5837">
        <f t="shared" si="137"/>
        <v>5835</v>
      </c>
    </row>
    <row r="5838" spans="1:1">
      <c r="A5838">
        <f t="shared" si="137"/>
        <v>5836</v>
      </c>
    </row>
    <row r="5839" spans="1:1">
      <c r="A5839">
        <f t="shared" si="137"/>
        <v>5837</v>
      </c>
    </row>
    <row r="5840" spans="1:1">
      <c r="A5840">
        <f t="shared" si="137"/>
        <v>5838</v>
      </c>
    </row>
    <row r="5841" spans="1:1">
      <c r="A5841">
        <f t="shared" si="137"/>
        <v>5839</v>
      </c>
    </row>
    <row r="5842" spans="1:1">
      <c r="A5842">
        <f t="shared" si="137"/>
        <v>5840</v>
      </c>
    </row>
    <row r="5843" spans="1:1">
      <c r="A5843">
        <f t="shared" si="137"/>
        <v>5841</v>
      </c>
    </row>
    <row r="5844" spans="1:1">
      <c r="A5844">
        <f t="shared" si="137"/>
        <v>5842</v>
      </c>
    </row>
    <row r="5845" spans="1:1">
      <c r="A5845">
        <f t="shared" si="137"/>
        <v>5843</v>
      </c>
    </row>
    <row r="5846" spans="1:1">
      <c r="A5846">
        <f t="shared" si="137"/>
        <v>5844</v>
      </c>
    </row>
    <row r="5847" spans="1:1">
      <c r="A5847">
        <f t="shared" si="137"/>
        <v>5845</v>
      </c>
    </row>
    <row r="5848" spans="1:1">
      <c r="A5848">
        <f t="shared" si="137"/>
        <v>5846</v>
      </c>
    </row>
    <row r="5849" spans="1:1">
      <c r="A5849">
        <f t="shared" si="137"/>
        <v>5847</v>
      </c>
    </row>
    <row r="5850" spans="1:1">
      <c r="A5850">
        <f t="shared" si="137"/>
        <v>5848</v>
      </c>
    </row>
    <row r="5851" spans="1:1">
      <c r="A5851">
        <f t="shared" si="137"/>
        <v>5849</v>
      </c>
    </row>
    <row r="5852" spans="1:1">
      <c r="A5852">
        <f t="shared" si="137"/>
        <v>5850</v>
      </c>
    </row>
    <row r="5853" spans="1:1">
      <c r="A5853">
        <f t="shared" si="137"/>
        <v>5851</v>
      </c>
    </row>
    <row r="5854" spans="1:1">
      <c r="A5854">
        <f t="shared" si="137"/>
        <v>5852</v>
      </c>
    </row>
    <row r="5855" spans="1:1">
      <c r="A5855">
        <f t="shared" si="137"/>
        <v>5853</v>
      </c>
    </row>
    <row r="5856" spans="1:1">
      <c r="A5856">
        <f t="shared" si="137"/>
        <v>5854</v>
      </c>
    </row>
    <row r="5857" spans="1:1">
      <c r="A5857">
        <f t="shared" si="137"/>
        <v>5855</v>
      </c>
    </row>
    <row r="5858" spans="1:1">
      <c r="A5858">
        <f t="shared" si="137"/>
        <v>5856</v>
      </c>
    </row>
    <row r="5859" spans="1:1">
      <c r="A5859">
        <f t="shared" si="137"/>
        <v>5857</v>
      </c>
    </row>
    <row r="5860" spans="1:1">
      <c r="A5860">
        <f t="shared" ref="A5860:A5923" si="138">A5859+1</f>
        <v>5858</v>
      </c>
    </row>
    <row r="5861" spans="1:1">
      <c r="A5861">
        <f t="shared" si="138"/>
        <v>5859</v>
      </c>
    </row>
    <row r="5862" spans="1:1">
      <c r="A5862">
        <f t="shared" si="138"/>
        <v>5860</v>
      </c>
    </row>
    <row r="5863" spans="1:1">
      <c r="A5863">
        <f t="shared" si="138"/>
        <v>5861</v>
      </c>
    </row>
    <row r="5864" spans="1:1">
      <c r="A5864">
        <f t="shared" si="138"/>
        <v>5862</v>
      </c>
    </row>
    <row r="5865" spans="1:1">
      <c r="A5865">
        <f t="shared" si="138"/>
        <v>5863</v>
      </c>
    </row>
    <row r="5866" spans="1:1">
      <c r="A5866">
        <f t="shared" si="138"/>
        <v>5864</v>
      </c>
    </row>
    <row r="5867" spans="1:1">
      <c r="A5867">
        <f t="shared" si="138"/>
        <v>5865</v>
      </c>
    </row>
    <row r="5868" spans="1:1">
      <c r="A5868">
        <f t="shared" si="138"/>
        <v>5866</v>
      </c>
    </row>
    <row r="5869" spans="1:1">
      <c r="A5869">
        <f t="shared" si="138"/>
        <v>5867</v>
      </c>
    </row>
    <row r="5870" spans="1:1">
      <c r="A5870">
        <f t="shared" si="138"/>
        <v>5868</v>
      </c>
    </row>
    <row r="5871" spans="1:1">
      <c r="A5871">
        <f t="shared" si="138"/>
        <v>5869</v>
      </c>
    </row>
    <row r="5872" spans="1:1">
      <c r="A5872">
        <f t="shared" si="138"/>
        <v>5870</v>
      </c>
    </row>
    <row r="5873" spans="1:1">
      <c r="A5873">
        <f t="shared" si="138"/>
        <v>5871</v>
      </c>
    </row>
    <row r="5874" spans="1:1">
      <c r="A5874">
        <f t="shared" si="138"/>
        <v>5872</v>
      </c>
    </row>
    <row r="5875" spans="1:1">
      <c r="A5875">
        <f t="shared" si="138"/>
        <v>5873</v>
      </c>
    </row>
    <row r="5876" spans="1:1">
      <c r="A5876">
        <f t="shared" si="138"/>
        <v>5874</v>
      </c>
    </row>
    <row r="5877" spans="1:1">
      <c r="A5877">
        <f t="shared" si="138"/>
        <v>5875</v>
      </c>
    </row>
    <row r="5878" spans="1:1">
      <c r="A5878">
        <f t="shared" si="138"/>
        <v>5876</v>
      </c>
    </row>
    <row r="5879" spans="1:1">
      <c r="A5879">
        <f t="shared" si="138"/>
        <v>5877</v>
      </c>
    </row>
    <row r="5880" spans="1:1">
      <c r="A5880">
        <f t="shared" si="138"/>
        <v>5878</v>
      </c>
    </row>
    <row r="5881" spans="1:1">
      <c r="A5881">
        <f t="shared" si="138"/>
        <v>5879</v>
      </c>
    </row>
    <row r="5882" spans="1:1">
      <c r="A5882">
        <f t="shared" si="138"/>
        <v>5880</v>
      </c>
    </row>
    <row r="5883" spans="1:1">
      <c r="A5883">
        <f t="shared" si="138"/>
        <v>5881</v>
      </c>
    </row>
    <row r="5884" spans="1:1">
      <c r="A5884">
        <f t="shared" si="138"/>
        <v>5882</v>
      </c>
    </row>
    <row r="5885" spans="1:1">
      <c r="A5885">
        <f t="shared" si="138"/>
        <v>5883</v>
      </c>
    </row>
    <row r="5886" spans="1:1">
      <c r="A5886">
        <f t="shared" si="138"/>
        <v>5884</v>
      </c>
    </row>
    <row r="5887" spans="1:1">
      <c r="A5887">
        <f t="shared" si="138"/>
        <v>5885</v>
      </c>
    </row>
    <row r="5888" spans="1:1">
      <c r="A5888">
        <f t="shared" si="138"/>
        <v>5886</v>
      </c>
    </row>
    <row r="5889" spans="1:1">
      <c r="A5889">
        <f t="shared" si="138"/>
        <v>5887</v>
      </c>
    </row>
    <row r="5890" spans="1:1">
      <c r="A5890">
        <f t="shared" si="138"/>
        <v>5888</v>
      </c>
    </row>
    <row r="5891" spans="1:1">
      <c r="A5891">
        <f t="shared" si="138"/>
        <v>5889</v>
      </c>
    </row>
    <row r="5892" spans="1:1">
      <c r="A5892">
        <f t="shared" si="138"/>
        <v>5890</v>
      </c>
    </row>
    <row r="5893" spans="1:1">
      <c r="A5893">
        <f t="shared" si="138"/>
        <v>5891</v>
      </c>
    </row>
    <row r="5894" spans="1:1">
      <c r="A5894">
        <f t="shared" si="138"/>
        <v>5892</v>
      </c>
    </row>
    <row r="5895" spans="1:1">
      <c r="A5895">
        <f t="shared" si="138"/>
        <v>5893</v>
      </c>
    </row>
    <row r="5896" spans="1:1">
      <c r="A5896">
        <f t="shared" si="138"/>
        <v>5894</v>
      </c>
    </row>
    <row r="5897" spans="1:1">
      <c r="A5897">
        <f t="shared" si="138"/>
        <v>5895</v>
      </c>
    </row>
    <row r="5898" spans="1:1">
      <c r="A5898">
        <f t="shared" si="138"/>
        <v>5896</v>
      </c>
    </row>
    <row r="5899" spans="1:1">
      <c r="A5899">
        <f t="shared" si="138"/>
        <v>5897</v>
      </c>
    </row>
    <row r="5900" spans="1:1">
      <c r="A5900">
        <f t="shared" si="138"/>
        <v>5898</v>
      </c>
    </row>
    <row r="5901" spans="1:1">
      <c r="A5901">
        <f t="shared" si="138"/>
        <v>5899</v>
      </c>
    </row>
    <row r="5902" spans="1:1">
      <c r="A5902">
        <f t="shared" si="138"/>
        <v>5900</v>
      </c>
    </row>
    <row r="5903" spans="1:1">
      <c r="A5903">
        <f t="shared" si="138"/>
        <v>5901</v>
      </c>
    </row>
    <row r="5904" spans="1:1">
      <c r="A5904">
        <f t="shared" si="138"/>
        <v>5902</v>
      </c>
    </row>
    <row r="5905" spans="1:1">
      <c r="A5905">
        <f t="shared" si="138"/>
        <v>5903</v>
      </c>
    </row>
    <row r="5906" spans="1:1">
      <c r="A5906">
        <f t="shared" si="138"/>
        <v>5904</v>
      </c>
    </row>
    <row r="5907" spans="1:1">
      <c r="A5907">
        <f t="shared" si="138"/>
        <v>5905</v>
      </c>
    </row>
    <row r="5908" spans="1:1">
      <c r="A5908">
        <f t="shared" si="138"/>
        <v>5906</v>
      </c>
    </row>
    <row r="5909" spans="1:1">
      <c r="A5909">
        <f t="shared" si="138"/>
        <v>5907</v>
      </c>
    </row>
    <row r="5910" spans="1:1">
      <c r="A5910">
        <f t="shared" si="138"/>
        <v>5908</v>
      </c>
    </row>
    <row r="5911" spans="1:1">
      <c r="A5911">
        <f t="shared" si="138"/>
        <v>5909</v>
      </c>
    </row>
    <row r="5912" spans="1:1">
      <c r="A5912">
        <f t="shared" si="138"/>
        <v>5910</v>
      </c>
    </row>
    <row r="5913" spans="1:1">
      <c r="A5913">
        <f t="shared" si="138"/>
        <v>5911</v>
      </c>
    </row>
    <row r="5914" spans="1:1">
      <c r="A5914">
        <f t="shared" si="138"/>
        <v>5912</v>
      </c>
    </row>
    <row r="5915" spans="1:1">
      <c r="A5915">
        <f t="shared" si="138"/>
        <v>5913</v>
      </c>
    </row>
    <row r="5916" spans="1:1">
      <c r="A5916">
        <f t="shared" si="138"/>
        <v>5914</v>
      </c>
    </row>
    <row r="5917" spans="1:1">
      <c r="A5917">
        <f t="shared" si="138"/>
        <v>5915</v>
      </c>
    </row>
    <row r="5918" spans="1:1">
      <c r="A5918">
        <f t="shared" si="138"/>
        <v>5916</v>
      </c>
    </row>
    <row r="5919" spans="1:1">
      <c r="A5919">
        <f t="shared" si="138"/>
        <v>5917</v>
      </c>
    </row>
    <row r="5920" spans="1:1">
      <c r="A5920">
        <f t="shared" si="138"/>
        <v>5918</v>
      </c>
    </row>
    <row r="5921" spans="1:1">
      <c r="A5921">
        <f t="shared" si="138"/>
        <v>5919</v>
      </c>
    </row>
    <row r="5922" spans="1:1">
      <c r="A5922">
        <f t="shared" si="138"/>
        <v>5920</v>
      </c>
    </row>
    <row r="5923" spans="1:1">
      <c r="A5923">
        <f t="shared" si="138"/>
        <v>5921</v>
      </c>
    </row>
    <row r="5924" spans="1:1">
      <c r="A5924">
        <f t="shared" ref="A5924:A5987" si="139">A5923+1</f>
        <v>5922</v>
      </c>
    </row>
    <row r="5925" spans="1:1">
      <c r="A5925">
        <f t="shared" si="139"/>
        <v>5923</v>
      </c>
    </row>
    <row r="5926" spans="1:1">
      <c r="A5926">
        <f t="shared" si="139"/>
        <v>5924</v>
      </c>
    </row>
    <row r="5927" spans="1:1">
      <c r="A5927">
        <f t="shared" si="139"/>
        <v>5925</v>
      </c>
    </row>
    <row r="5928" spans="1:1">
      <c r="A5928">
        <f t="shared" si="139"/>
        <v>5926</v>
      </c>
    </row>
    <row r="5929" spans="1:1">
      <c r="A5929">
        <f t="shared" si="139"/>
        <v>5927</v>
      </c>
    </row>
    <row r="5930" spans="1:1">
      <c r="A5930">
        <f t="shared" si="139"/>
        <v>5928</v>
      </c>
    </row>
    <row r="5931" spans="1:1">
      <c r="A5931">
        <f t="shared" si="139"/>
        <v>5929</v>
      </c>
    </row>
    <row r="5932" spans="1:1">
      <c r="A5932">
        <f t="shared" si="139"/>
        <v>5930</v>
      </c>
    </row>
    <row r="5933" spans="1:1">
      <c r="A5933">
        <f t="shared" si="139"/>
        <v>5931</v>
      </c>
    </row>
    <row r="5934" spans="1:1">
      <c r="A5934">
        <f t="shared" si="139"/>
        <v>5932</v>
      </c>
    </row>
    <row r="5935" spans="1:1">
      <c r="A5935">
        <f t="shared" si="139"/>
        <v>5933</v>
      </c>
    </row>
    <row r="5936" spans="1:1">
      <c r="A5936">
        <f t="shared" si="139"/>
        <v>5934</v>
      </c>
    </row>
    <row r="5937" spans="1:1">
      <c r="A5937">
        <f t="shared" si="139"/>
        <v>5935</v>
      </c>
    </row>
    <row r="5938" spans="1:1">
      <c r="A5938">
        <f t="shared" si="139"/>
        <v>5936</v>
      </c>
    </row>
    <row r="5939" spans="1:1">
      <c r="A5939">
        <f t="shared" si="139"/>
        <v>5937</v>
      </c>
    </row>
    <row r="5940" spans="1:1">
      <c r="A5940">
        <f t="shared" si="139"/>
        <v>5938</v>
      </c>
    </row>
    <row r="5941" spans="1:1">
      <c r="A5941">
        <f t="shared" si="139"/>
        <v>5939</v>
      </c>
    </row>
    <row r="5942" spans="1:1">
      <c r="A5942">
        <f t="shared" si="139"/>
        <v>5940</v>
      </c>
    </row>
    <row r="5943" spans="1:1">
      <c r="A5943">
        <f t="shared" si="139"/>
        <v>5941</v>
      </c>
    </row>
    <row r="5944" spans="1:1">
      <c r="A5944">
        <f t="shared" si="139"/>
        <v>5942</v>
      </c>
    </row>
    <row r="5945" spans="1:1">
      <c r="A5945">
        <f t="shared" si="139"/>
        <v>5943</v>
      </c>
    </row>
    <row r="5946" spans="1:1">
      <c r="A5946">
        <f t="shared" si="139"/>
        <v>5944</v>
      </c>
    </row>
    <row r="5947" spans="1:1">
      <c r="A5947">
        <f t="shared" si="139"/>
        <v>5945</v>
      </c>
    </row>
    <row r="5948" spans="1:1">
      <c r="A5948">
        <f t="shared" si="139"/>
        <v>5946</v>
      </c>
    </row>
    <row r="5949" spans="1:1">
      <c r="A5949">
        <f t="shared" si="139"/>
        <v>5947</v>
      </c>
    </row>
    <row r="5950" spans="1:1">
      <c r="A5950">
        <f t="shared" si="139"/>
        <v>5948</v>
      </c>
    </row>
    <row r="5951" spans="1:1">
      <c r="A5951">
        <f t="shared" si="139"/>
        <v>5949</v>
      </c>
    </row>
    <row r="5952" spans="1:1">
      <c r="A5952">
        <f t="shared" si="139"/>
        <v>5950</v>
      </c>
    </row>
    <row r="5953" spans="1:1">
      <c r="A5953">
        <f t="shared" si="139"/>
        <v>5951</v>
      </c>
    </row>
    <row r="5954" spans="1:1">
      <c r="A5954">
        <f t="shared" si="139"/>
        <v>5952</v>
      </c>
    </row>
    <row r="5955" spans="1:1">
      <c r="A5955">
        <f t="shared" si="139"/>
        <v>5953</v>
      </c>
    </row>
    <row r="5956" spans="1:1">
      <c r="A5956">
        <f t="shared" si="139"/>
        <v>5954</v>
      </c>
    </row>
    <row r="5957" spans="1:1">
      <c r="A5957">
        <f t="shared" si="139"/>
        <v>5955</v>
      </c>
    </row>
    <row r="5958" spans="1:1">
      <c r="A5958">
        <f t="shared" si="139"/>
        <v>5956</v>
      </c>
    </row>
    <row r="5959" spans="1:1">
      <c r="A5959">
        <f t="shared" si="139"/>
        <v>5957</v>
      </c>
    </row>
    <row r="5960" spans="1:1">
      <c r="A5960">
        <f t="shared" si="139"/>
        <v>5958</v>
      </c>
    </row>
    <row r="5961" spans="1:1">
      <c r="A5961">
        <f t="shared" si="139"/>
        <v>5959</v>
      </c>
    </row>
    <row r="5962" spans="1:1">
      <c r="A5962">
        <f t="shared" si="139"/>
        <v>5960</v>
      </c>
    </row>
    <row r="5963" spans="1:1">
      <c r="A5963">
        <f t="shared" si="139"/>
        <v>5961</v>
      </c>
    </row>
    <row r="5964" spans="1:1">
      <c r="A5964">
        <f t="shared" si="139"/>
        <v>5962</v>
      </c>
    </row>
    <row r="5965" spans="1:1">
      <c r="A5965">
        <f t="shared" si="139"/>
        <v>5963</v>
      </c>
    </row>
    <row r="5966" spans="1:1">
      <c r="A5966">
        <f t="shared" si="139"/>
        <v>5964</v>
      </c>
    </row>
    <row r="5967" spans="1:1">
      <c r="A5967">
        <f t="shared" si="139"/>
        <v>5965</v>
      </c>
    </row>
    <row r="5968" spans="1:1">
      <c r="A5968">
        <f t="shared" si="139"/>
        <v>5966</v>
      </c>
    </row>
    <row r="5969" spans="1:1">
      <c r="A5969">
        <f t="shared" si="139"/>
        <v>5967</v>
      </c>
    </row>
    <row r="5970" spans="1:1">
      <c r="A5970">
        <f t="shared" si="139"/>
        <v>5968</v>
      </c>
    </row>
    <row r="5971" spans="1:1">
      <c r="A5971">
        <f t="shared" si="139"/>
        <v>5969</v>
      </c>
    </row>
    <row r="5972" spans="1:1">
      <c r="A5972">
        <f t="shared" si="139"/>
        <v>5970</v>
      </c>
    </row>
    <row r="5973" spans="1:1">
      <c r="A5973">
        <f t="shared" si="139"/>
        <v>5971</v>
      </c>
    </row>
    <row r="5974" spans="1:1">
      <c r="A5974">
        <f t="shared" si="139"/>
        <v>5972</v>
      </c>
    </row>
    <row r="5975" spans="1:1">
      <c r="A5975">
        <f t="shared" si="139"/>
        <v>5973</v>
      </c>
    </row>
    <row r="5976" spans="1:1">
      <c r="A5976">
        <f t="shared" si="139"/>
        <v>5974</v>
      </c>
    </row>
    <row r="5977" spans="1:1">
      <c r="A5977">
        <f t="shared" si="139"/>
        <v>5975</v>
      </c>
    </row>
    <row r="5978" spans="1:1">
      <c r="A5978">
        <f t="shared" si="139"/>
        <v>5976</v>
      </c>
    </row>
    <row r="5979" spans="1:1">
      <c r="A5979">
        <f t="shared" si="139"/>
        <v>5977</v>
      </c>
    </row>
    <row r="5980" spans="1:1">
      <c r="A5980">
        <f t="shared" si="139"/>
        <v>5978</v>
      </c>
    </row>
    <row r="5981" spans="1:1">
      <c r="A5981">
        <f t="shared" si="139"/>
        <v>5979</v>
      </c>
    </row>
    <row r="5982" spans="1:1">
      <c r="A5982">
        <f t="shared" si="139"/>
        <v>5980</v>
      </c>
    </row>
    <row r="5983" spans="1:1">
      <c r="A5983">
        <f t="shared" si="139"/>
        <v>5981</v>
      </c>
    </row>
    <row r="5984" spans="1:1">
      <c r="A5984">
        <f t="shared" si="139"/>
        <v>5982</v>
      </c>
    </row>
    <row r="5985" spans="1:1">
      <c r="A5985">
        <f t="shared" si="139"/>
        <v>5983</v>
      </c>
    </row>
    <row r="5986" spans="1:1">
      <c r="A5986">
        <f t="shared" si="139"/>
        <v>5984</v>
      </c>
    </row>
    <row r="5987" spans="1:1">
      <c r="A5987">
        <f t="shared" si="139"/>
        <v>5985</v>
      </c>
    </row>
    <row r="5988" spans="1:1">
      <c r="A5988">
        <f t="shared" ref="A5988:A6051" si="140">A5987+1</f>
        <v>5986</v>
      </c>
    </row>
    <row r="5989" spans="1:1">
      <c r="A5989">
        <f t="shared" si="140"/>
        <v>5987</v>
      </c>
    </row>
    <row r="5990" spans="1:1">
      <c r="A5990">
        <f t="shared" si="140"/>
        <v>5988</v>
      </c>
    </row>
    <row r="5991" spans="1:1">
      <c r="A5991">
        <f t="shared" si="140"/>
        <v>5989</v>
      </c>
    </row>
    <row r="5992" spans="1:1">
      <c r="A5992">
        <f t="shared" si="140"/>
        <v>5990</v>
      </c>
    </row>
    <row r="5993" spans="1:1">
      <c r="A5993">
        <f t="shared" si="140"/>
        <v>5991</v>
      </c>
    </row>
    <row r="5994" spans="1:1">
      <c r="A5994">
        <f t="shared" si="140"/>
        <v>5992</v>
      </c>
    </row>
    <row r="5995" spans="1:1">
      <c r="A5995">
        <f t="shared" si="140"/>
        <v>5993</v>
      </c>
    </row>
    <row r="5996" spans="1:1">
      <c r="A5996">
        <f t="shared" si="140"/>
        <v>5994</v>
      </c>
    </row>
    <row r="5997" spans="1:1">
      <c r="A5997">
        <f t="shared" si="140"/>
        <v>5995</v>
      </c>
    </row>
    <row r="5998" spans="1:1">
      <c r="A5998">
        <f t="shared" si="140"/>
        <v>5996</v>
      </c>
    </row>
    <row r="5999" spans="1:1">
      <c r="A5999">
        <f t="shared" si="140"/>
        <v>5997</v>
      </c>
    </row>
    <row r="6000" spans="1:1">
      <c r="A6000">
        <f t="shared" si="140"/>
        <v>5998</v>
      </c>
    </row>
    <row r="6001" spans="1:1">
      <c r="A6001">
        <f t="shared" si="140"/>
        <v>5999</v>
      </c>
    </row>
    <row r="6002" spans="1:1">
      <c r="A6002">
        <f t="shared" si="140"/>
        <v>6000</v>
      </c>
    </row>
    <row r="6003" spans="1:1">
      <c r="A6003">
        <f t="shared" si="140"/>
        <v>6001</v>
      </c>
    </row>
    <row r="6004" spans="1:1">
      <c r="A6004">
        <f t="shared" si="140"/>
        <v>6002</v>
      </c>
    </row>
    <row r="6005" spans="1:1">
      <c r="A6005">
        <f t="shared" si="140"/>
        <v>6003</v>
      </c>
    </row>
    <row r="6006" spans="1:1">
      <c r="A6006">
        <f t="shared" si="140"/>
        <v>6004</v>
      </c>
    </row>
    <row r="6007" spans="1:1">
      <c r="A6007">
        <f t="shared" si="140"/>
        <v>6005</v>
      </c>
    </row>
    <row r="6008" spans="1:1">
      <c r="A6008">
        <f t="shared" si="140"/>
        <v>6006</v>
      </c>
    </row>
    <row r="6009" spans="1:1">
      <c r="A6009">
        <f t="shared" si="140"/>
        <v>6007</v>
      </c>
    </row>
    <row r="6010" spans="1:1">
      <c r="A6010">
        <f t="shared" si="140"/>
        <v>6008</v>
      </c>
    </row>
    <row r="6011" spans="1:1">
      <c r="A6011">
        <f t="shared" si="140"/>
        <v>6009</v>
      </c>
    </row>
    <row r="6012" spans="1:1">
      <c r="A6012">
        <f t="shared" si="140"/>
        <v>6010</v>
      </c>
    </row>
    <row r="6013" spans="1:1">
      <c r="A6013">
        <f t="shared" si="140"/>
        <v>6011</v>
      </c>
    </row>
    <row r="6014" spans="1:1">
      <c r="A6014">
        <f t="shared" si="140"/>
        <v>6012</v>
      </c>
    </row>
    <row r="6015" spans="1:1">
      <c r="A6015">
        <f t="shared" si="140"/>
        <v>6013</v>
      </c>
    </row>
    <row r="6016" spans="1:1">
      <c r="A6016">
        <f t="shared" si="140"/>
        <v>6014</v>
      </c>
    </row>
    <row r="6017" spans="1:1">
      <c r="A6017">
        <f t="shared" si="140"/>
        <v>6015</v>
      </c>
    </row>
    <row r="6018" spans="1:1">
      <c r="A6018">
        <f t="shared" si="140"/>
        <v>6016</v>
      </c>
    </row>
    <row r="6019" spans="1:1">
      <c r="A6019">
        <f t="shared" si="140"/>
        <v>6017</v>
      </c>
    </row>
    <row r="6020" spans="1:1">
      <c r="A6020">
        <f t="shared" si="140"/>
        <v>6018</v>
      </c>
    </row>
    <row r="6021" spans="1:1">
      <c r="A6021">
        <f t="shared" si="140"/>
        <v>6019</v>
      </c>
    </row>
    <row r="6022" spans="1:1">
      <c r="A6022">
        <f t="shared" si="140"/>
        <v>6020</v>
      </c>
    </row>
    <row r="6023" spans="1:1">
      <c r="A6023">
        <f t="shared" si="140"/>
        <v>6021</v>
      </c>
    </row>
    <row r="6024" spans="1:1">
      <c r="A6024">
        <f t="shared" si="140"/>
        <v>6022</v>
      </c>
    </row>
    <row r="6025" spans="1:1">
      <c r="A6025">
        <f t="shared" si="140"/>
        <v>6023</v>
      </c>
    </row>
    <row r="6026" spans="1:1">
      <c r="A6026">
        <f t="shared" si="140"/>
        <v>6024</v>
      </c>
    </row>
    <row r="6027" spans="1:1">
      <c r="A6027">
        <f t="shared" si="140"/>
        <v>6025</v>
      </c>
    </row>
    <row r="6028" spans="1:1">
      <c r="A6028">
        <f t="shared" si="140"/>
        <v>6026</v>
      </c>
    </row>
    <row r="6029" spans="1:1">
      <c r="A6029">
        <f t="shared" si="140"/>
        <v>6027</v>
      </c>
    </row>
    <row r="6030" spans="1:1">
      <c r="A6030">
        <f t="shared" si="140"/>
        <v>6028</v>
      </c>
    </row>
    <row r="6031" spans="1:1">
      <c r="A6031">
        <f t="shared" si="140"/>
        <v>6029</v>
      </c>
    </row>
    <row r="6032" spans="1:1">
      <c r="A6032">
        <f t="shared" si="140"/>
        <v>6030</v>
      </c>
    </row>
    <row r="6033" spans="1:1">
      <c r="A6033">
        <f t="shared" si="140"/>
        <v>6031</v>
      </c>
    </row>
    <row r="6034" spans="1:1">
      <c r="A6034">
        <f t="shared" si="140"/>
        <v>6032</v>
      </c>
    </row>
    <row r="6035" spans="1:1">
      <c r="A6035">
        <f t="shared" si="140"/>
        <v>6033</v>
      </c>
    </row>
    <row r="6036" spans="1:1">
      <c r="A6036">
        <f t="shared" si="140"/>
        <v>6034</v>
      </c>
    </row>
    <row r="6037" spans="1:1">
      <c r="A6037">
        <f t="shared" si="140"/>
        <v>6035</v>
      </c>
    </row>
    <row r="6038" spans="1:1">
      <c r="A6038">
        <f t="shared" si="140"/>
        <v>6036</v>
      </c>
    </row>
    <row r="6039" spans="1:1">
      <c r="A6039">
        <f t="shared" si="140"/>
        <v>6037</v>
      </c>
    </row>
    <row r="6040" spans="1:1">
      <c r="A6040">
        <f t="shared" si="140"/>
        <v>6038</v>
      </c>
    </row>
    <row r="6041" spans="1:1">
      <c r="A6041">
        <f t="shared" si="140"/>
        <v>6039</v>
      </c>
    </row>
    <row r="6042" spans="1:1">
      <c r="A6042">
        <f t="shared" si="140"/>
        <v>6040</v>
      </c>
    </row>
    <row r="6043" spans="1:1">
      <c r="A6043">
        <f t="shared" si="140"/>
        <v>6041</v>
      </c>
    </row>
    <row r="6044" spans="1:1">
      <c r="A6044">
        <f t="shared" si="140"/>
        <v>6042</v>
      </c>
    </row>
    <row r="6045" spans="1:1">
      <c r="A6045">
        <f t="shared" si="140"/>
        <v>6043</v>
      </c>
    </row>
    <row r="6046" spans="1:1">
      <c r="A6046">
        <f t="shared" si="140"/>
        <v>6044</v>
      </c>
    </row>
    <row r="6047" spans="1:1">
      <c r="A6047">
        <f t="shared" si="140"/>
        <v>6045</v>
      </c>
    </row>
    <row r="6048" spans="1:1">
      <c r="A6048">
        <f t="shared" si="140"/>
        <v>6046</v>
      </c>
    </row>
    <row r="6049" spans="1:1">
      <c r="A6049">
        <f t="shared" si="140"/>
        <v>6047</v>
      </c>
    </row>
    <row r="6050" spans="1:1">
      <c r="A6050">
        <f t="shared" si="140"/>
        <v>6048</v>
      </c>
    </row>
    <row r="6051" spans="1:1">
      <c r="A6051">
        <f t="shared" si="140"/>
        <v>6049</v>
      </c>
    </row>
    <row r="6052" spans="1:1">
      <c r="A6052">
        <f t="shared" ref="A6052:A6115" si="141">A6051+1</f>
        <v>6050</v>
      </c>
    </row>
    <row r="6053" spans="1:1">
      <c r="A6053">
        <f t="shared" si="141"/>
        <v>6051</v>
      </c>
    </row>
    <row r="6054" spans="1:1">
      <c r="A6054">
        <f t="shared" si="141"/>
        <v>6052</v>
      </c>
    </row>
    <row r="6055" spans="1:1">
      <c r="A6055">
        <f t="shared" si="141"/>
        <v>6053</v>
      </c>
    </row>
    <row r="6056" spans="1:1">
      <c r="A6056">
        <f t="shared" si="141"/>
        <v>6054</v>
      </c>
    </row>
    <row r="6057" spans="1:1">
      <c r="A6057">
        <f t="shared" si="141"/>
        <v>6055</v>
      </c>
    </row>
    <row r="6058" spans="1:1">
      <c r="A6058">
        <f t="shared" si="141"/>
        <v>6056</v>
      </c>
    </row>
    <row r="6059" spans="1:1">
      <c r="A6059">
        <f t="shared" si="141"/>
        <v>6057</v>
      </c>
    </row>
    <row r="6060" spans="1:1">
      <c r="A6060">
        <f t="shared" si="141"/>
        <v>6058</v>
      </c>
    </row>
    <row r="6061" spans="1:1">
      <c r="A6061">
        <f t="shared" si="141"/>
        <v>6059</v>
      </c>
    </row>
    <row r="6062" spans="1:1">
      <c r="A6062">
        <f t="shared" si="141"/>
        <v>6060</v>
      </c>
    </row>
    <row r="6063" spans="1:1">
      <c r="A6063">
        <f t="shared" si="141"/>
        <v>6061</v>
      </c>
    </row>
    <row r="6064" spans="1:1">
      <c r="A6064">
        <f t="shared" si="141"/>
        <v>6062</v>
      </c>
    </row>
    <row r="6065" spans="1:1">
      <c r="A6065">
        <f t="shared" si="141"/>
        <v>6063</v>
      </c>
    </row>
    <row r="6066" spans="1:1">
      <c r="A6066">
        <f t="shared" si="141"/>
        <v>6064</v>
      </c>
    </row>
    <row r="6067" spans="1:1">
      <c r="A6067">
        <f t="shared" si="141"/>
        <v>6065</v>
      </c>
    </row>
    <row r="6068" spans="1:1">
      <c r="A6068">
        <f t="shared" si="141"/>
        <v>6066</v>
      </c>
    </row>
    <row r="6069" spans="1:1">
      <c r="A6069">
        <f t="shared" si="141"/>
        <v>6067</v>
      </c>
    </row>
    <row r="6070" spans="1:1">
      <c r="A6070">
        <f t="shared" si="141"/>
        <v>6068</v>
      </c>
    </row>
    <row r="6071" spans="1:1">
      <c r="A6071">
        <f t="shared" si="141"/>
        <v>6069</v>
      </c>
    </row>
    <row r="6072" spans="1:1">
      <c r="A6072">
        <f t="shared" si="141"/>
        <v>6070</v>
      </c>
    </row>
    <row r="6073" spans="1:1">
      <c r="A6073">
        <f t="shared" si="141"/>
        <v>6071</v>
      </c>
    </row>
    <row r="6074" spans="1:1">
      <c r="A6074">
        <f t="shared" si="141"/>
        <v>6072</v>
      </c>
    </row>
    <row r="6075" spans="1:1">
      <c r="A6075">
        <f t="shared" si="141"/>
        <v>6073</v>
      </c>
    </row>
    <row r="6076" spans="1:1">
      <c r="A6076">
        <f t="shared" si="141"/>
        <v>6074</v>
      </c>
    </row>
    <row r="6077" spans="1:1">
      <c r="A6077">
        <f t="shared" si="141"/>
        <v>6075</v>
      </c>
    </row>
    <row r="6078" spans="1:1">
      <c r="A6078">
        <f t="shared" si="141"/>
        <v>6076</v>
      </c>
    </row>
    <row r="6079" spans="1:1">
      <c r="A6079">
        <f t="shared" si="141"/>
        <v>6077</v>
      </c>
    </row>
    <row r="6080" spans="1:1">
      <c r="A6080">
        <f t="shared" si="141"/>
        <v>6078</v>
      </c>
    </row>
    <row r="6081" spans="1:1">
      <c r="A6081">
        <f t="shared" si="141"/>
        <v>6079</v>
      </c>
    </row>
    <row r="6082" spans="1:1">
      <c r="A6082">
        <f t="shared" si="141"/>
        <v>6080</v>
      </c>
    </row>
    <row r="6083" spans="1:1">
      <c r="A6083">
        <f t="shared" si="141"/>
        <v>6081</v>
      </c>
    </row>
    <row r="6084" spans="1:1">
      <c r="A6084">
        <f t="shared" si="141"/>
        <v>6082</v>
      </c>
    </row>
    <row r="6085" spans="1:1">
      <c r="A6085">
        <f t="shared" si="141"/>
        <v>6083</v>
      </c>
    </row>
    <row r="6086" spans="1:1">
      <c r="A6086">
        <f t="shared" si="141"/>
        <v>6084</v>
      </c>
    </row>
    <row r="6087" spans="1:1">
      <c r="A6087">
        <f t="shared" si="141"/>
        <v>6085</v>
      </c>
    </row>
    <row r="6088" spans="1:1">
      <c r="A6088">
        <f t="shared" si="141"/>
        <v>6086</v>
      </c>
    </row>
    <row r="6089" spans="1:1">
      <c r="A6089">
        <f t="shared" si="141"/>
        <v>6087</v>
      </c>
    </row>
    <row r="6090" spans="1:1">
      <c r="A6090">
        <f t="shared" si="141"/>
        <v>6088</v>
      </c>
    </row>
    <row r="6091" spans="1:1">
      <c r="A6091">
        <f t="shared" si="141"/>
        <v>6089</v>
      </c>
    </row>
    <row r="6092" spans="1:1">
      <c r="A6092">
        <f t="shared" si="141"/>
        <v>6090</v>
      </c>
    </row>
    <row r="6093" spans="1:1">
      <c r="A6093">
        <f t="shared" si="141"/>
        <v>6091</v>
      </c>
    </row>
    <row r="6094" spans="1:1">
      <c r="A6094">
        <f t="shared" si="141"/>
        <v>6092</v>
      </c>
    </row>
    <row r="6095" spans="1:1">
      <c r="A6095">
        <f t="shared" si="141"/>
        <v>6093</v>
      </c>
    </row>
    <row r="6096" spans="1:1">
      <c r="A6096">
        <f t="shared" si="141"/>
        <v>6094</v>
      </c>
    </row>
    <row r="6097" spans="1:1">
      <c r="A6097">
        <f t="shared" si="141"/>
        <v>6095</v>
      </c>
    </row>
    <row r="6098" spans="1:1">
      <c r="A6098">
        <f t="shared" si="141"/>
        <v>6096</v>
      </c>
    </row>
    <row r="6099" spans="1:1">
      <c r="A6099">
        <f t="shared" si="141"/>
        <v>6097</v>
      </c>
    </row>
    <row r="6100" spans="1:1">
      <c r="A6100">
        <f t="shared" si="141"/>
        <v>6098</v>
      </c>
    </row>
    <row r="6101" spans="1:1">
      <c r="A6101">
        <f t="shared" si="141"/>
        <v>6099</v>
      </c>
    </row>
    <row r="6102" spans="1:1">
      <c r="A6102">
        <f t="shared" si="141"/>
        <v>6100</v>
      </c>
    </row>
    <row r="6103" spans="1:1">
      <c r="A6103">
        <f t="shared" si="141"/>
        <v>6101</v>
      </c>
    </row>
    <row r="6104" spans="1:1">
      <c r="A6104">
        <f t="shared" si="141"/>
        <v>6102</v>
      </c>
    </row>
    <row r="6105" spans="1:1">
      <c r="A6105">
        <f t="shared" si="141"/>
        <v>6103</v>
      </c>
    </row>
    <row r="6106" spans="1:1">
      <c r="A6106">
        <f t="shared" si="141"/>
        <v>6104</v>
      </c>
    </row>
    <row r="6107" spans="1:1">
      <c r="A6107">
        <f t="shared" si="141"/>
        <v>6105</v>
      </c>
    </row>
    <row r="6108" spans="1:1">
      <c r="A6108">
        <f t="shared" si="141"/>
        <v>6106</v>
      </c>
    </row>
    <row r="6109" spans="1:1">
      <c r="A6109">
        <f t="shared" si="141"/>
        <v>6107</v>
      </c>
    </row>
    <row r="6110" spans="1:1">
      <c r="A6110">
        <f t="shared" si="141"/>
        <v>6108</v>
      </c>
    </row>
    <row r="6111" spans="1:1">
      <c r="A6111">
        <f t="shared" si="141"/>
        <v>6109</v>
      </c>
    </row>
    <row r="6112" spans="1:1">
      <c r="A6112">
        <f t="shared" si="141"/>
        <v>6110</v>
      </c>
    </row>
    <row r="6113" spans="1:1">
      <c r="A6113">
        <f t="shared" si="141"/>
        <v>6111</v>
      </c>
    </row>
    <row r="6114" spans="1:1">
      <c r="A6114">
        <f t="shared" si="141"/>
        <v>6112</v>
      </c>
    </row>
    <row r="6115" spans="1:1">
      <c r="A6115">
        <f t="shared" si="141"/>
        <v>6113</v>
      </c>
    </row>
    <row r="6116" spans="1:1">
      <c r="A6116">
        <f t="shared" ref="A6116:A6179" si="142">A6115+1</f>
        <v>6114</v>
      </c>
    </row>
    <row r="6117" spans="1:1">
      <c r="A6117">
        <f t="shared" si="142"/>
        <v>6115</v>
      </c>
    </row>
    <row r="6118" spans="1:1">
      <c r="A6118">
        <f t="shared" si="142"/>
        <v>6116</v>
      </c>
    </row>
    <row r="6119" spans="1:1">
      <c r="A6119">
        <f t="shared" si="142"/>
        <v>6117</v>
      </c>
    </row>
    <row r="6120" spans="1:1">
      <c r="A6120">
        <f t="shared" si="142"/>
        <v>6118</v>
      </c>
    </row>
    <row r="6121" spans="1:1">
      <c r="A6121">
        <f t="shared" si="142"/>
        <v>6119</v>
      </c>
    </row>
    <row r="6122" spans="1:1">
      <c r="A6122">
        <f t="shared" si="142"/>
        <v>6120</v>
      </c>
    </row>
    <row r="6123" spans="1:1">
      <c r="A6123">
        <f t="shared" si="142"/>
        <v>6121</v>
      </c>
    </row>
    <row r="6124" spans="1:1">
      <c r="A6124">
        <f t="shared" si="142"/>
        <v>6122</v>
      </c>
    </row>
    <row r="6125" spans="1:1">
      <c r="A6125">
        <f t="shared" si="142"/>
        <v>6123</v>
      </c>
    </row>
    <row r="6126" spans="1:1">
      <c r="A6126">
        <f t="shared" si="142"/>
        <v>6124</v>
      </c>
    </row>
    <row r="6127" spans="1:1">
      <c r="A6127">
        <f t="shared" si="142"/>
        <v>6125</v>
      </c>
    </row>
    <row r="6128" spans="1:1">
      <c r="A6128">
        <f t="shared" si="142"/>
        <v>6126</v>
      </c>
    </row>
    <row r="6129" spans="1:1">
      <c r="A6129">
        <f t="shared" si="142"/>
        <v>6127</v>
      </c>
    </row>
    <row r="6130" spans="1:1">
      <c r="A6130">
        <f t="shared" si="142"/>
        <v>6128</v>
      </c>
    </row>
    <row r="6131" spans="1:1">
      <c r="A6131">
        <f t="shared" si="142"/>
        <v>6129</v>
      </c>
    </row>
    <row r="6132" spans="1:1">
      <c r="A6132">
        <f t="shared" si="142"/>
        <v>6130</v>
      </c>
    </row>
    <row r="6133" spans="1:1">
      <c r="A6133">
        <f t="shared" si="142"/>
        <v>6131</v>
      </c>
    </row>
    <row r="6134" spans="1:1">
      <c r="A6134">
        <f t="shared" si="142"/>
        <v>6132</v>
      </c>
    </row>
    <row r="6135" spans="1:1">
      <c r="A6135">
        <f t="shared" si="142"/>
        <v>6133</v>
      </c>
    </row>
    <row r="6136" spans="1:1">
      <c r="A6136">
        <f t="shared" si="142"/>
        <v>6134</v>
      </c>
    </row>
    <row r="6137" spans="1:1">
      <c r="A6137">
        <f t="shared" si="142"/>
        <v>6135</v>
      </c>
    </row>
    <row r="6138" spans="1:1">
      <c r="A6138">
        <f t="shared" si="142"/>
        <v>6136</v>
      </c>
    </row>
    <row r="6139" spans="1:1">
      <c r="A6139">
        <f t="shared" si="142"/>
        <v>6137</v>
      </c>
    </row>
    <row r="6140" spans="1:1">
      <c r="A6140">
        <f t="shared" si="142"/>
        <v>6138</v>
      </c>
    </row>
    <row r="6141" spans="1:1">
      <c r="A6141">
        <f t="shared" si="142"/>
        <v>6139</v>
      </c>
    </row>
    <row r="6142" spans="1:1">
      <c r="A6142">
        <f t="shared" si="142"/>
        <v>6140</v>
      </c>
    </row>
    <row r="6143" spans="1:1">
      <c r="A6143">
        <f t="shared" si="142"/>
        <v>6141</v>
      </c>
    </row>
    <row r="6144" spans="1:1">
      <c r="A6144">
        <f t="shared" si="142"/>
        <v>6142</v>
      </c>
    </row>
    <row r="6145" spans="1:1">
      <c r="A6145">
        <f t="shared" si="142"/>
        <v>6143</v>
      </c>
    </row>
    <row r="6146" spans="1:1">
      <c r="A6146">
        <f t="shared" si="142"/>
        <v>6144</v>
      </c>
    </row>
    <row r="6147" spans="1:1">
      <c r="A6147">
        <f t="shared" si="142"/>
        <v>6145</v>
      </c>
    </row>
    <row r="6148" spans="1:1">
      <c r="A6148">
        <f t="shared" si="142"/>
        <v>6146</v>
      </c>
    </row>
    <row r="6149" spans="1:1">
      <c r="A6149">
        <f t="shared" si="142"/>
        <v>6147</v>
      </c>
    </row>
    <row r="6150" spans="1:1">
      <c r="A6150">
        <f t="shared" si="142"/>
        <v>6148</v>
      </c>
    </row>
    <row r="6151" spans="1:1">
      <c r="A6151">
        <f t="shared" si="142"/>
        <v>6149</v>
      </c>
    </row>
    <row r="6152" spans="1:1">
      <c r="A6152">
        <f t="shared" si="142"/>
        <v>6150</v>
      </c>
    </row>
    <row r="6153" spans="1:1">
      <c r="A6153">
        <f t="shared" si="142"/>
        <v>6151</v>
      </c>
    </row>
    <row r="6154" spans="1:1">
      <c r="A6154">
        <f t="shared" si="142"/>
        <v>6152</v>
      </c>
    </row>
    <row r="6155" spans="1:1">
      <c r="A6155">
        <f t="shared" si="142"/>
        <v>6153</v>
      </c>
    </row>
    <row r="6156" spans="1:1">
      <c r="A6156">
        <f t="shared" si="142"/>
        <v>6154</v>
      </c>
    </row>
    <row r="6157" spans="1:1">
      <c r="A6157">
        <f t="shared" si="142"/>
        <v>6155</v>
      </c>
    </row>
    <row r="6158" spans="1:1">
      <c r="A6158">
        <f t="shared" si="142"/>
        <v>6156</v>
      </c>
    </row>
    <row r="6159" spans="1:1">
      <c r="A6159">
        <f t="shared" si="142"/>
        <v>6157</v>
      </c>
    </row>
    <row r="6160" spans="1:1">
      <c r="A6160">
        <f t="shared" si="142"/>
        <v>6158</v>
      </c>
    </row>
    <row r="6161" spans="1:1">
      <c r="A6161">
        <f t="shared" si="142"/>
        <v>6159</v>
      </c>
    </row>
    <row r="6162" spans="1:1">
      <c r="A6162">
        <f t="shared" si="142"/>
        <v>6160</v>
      </c>
    </row>
    <row r="6163" spans="1:1">
      <c r="A6163">
        <f t="shared" si="142"/>
        <v>6161</v>
      </c>
    </row>
    <row r="6164" spans="1:1">
      <c r="A6164">
        <f t="shared" si="142"/>
        <v>6162</v>
      </c>
    </row>
    <row r="6165" spans="1:1">
      <c r="A6165">
        <f t="shared" si="142"/>
        <v>6163</v>
      </c>
    </row>
    <row r="6166" spans="1:1">
      <c r="A6166">
        <f t="shared" si="142"/>
        <v>6164</v>
      </c>
    </row>
    <row r="6167" spans="1:1">
      <c r="A6167">
        <f t="shared" si="142"/>
        <v>6165</v>
      </c>
    </row>
    <row r="6168" spans="1:1">
      <c r="A6168">
        <f t="shared" si="142"/>
        <v>6166</v>
      </c>
    </row>
    <row r="6169" spans="1:1">
      <c r="A6169">
        <f t="shared" si="142"/>
        <v>6167</v>
      </c>
    </row>
    <row r="6170" spans="1:1">
      <c r="A6170">
        <f t="shared" si="142"/>
        <v>6168</v>
      </c>
    </row>
    <row r="6171" spans="1:1">
      <c r="A6171">
        <f t="shared" si="142"/>
        <v>6169</v>
      </c>
    </row>
    <row r="6172" spans="1:1">
      <c r="A6172">
        <f t="shared" si="142"/>
        <v>6170</v>
      </c>
    </row>
    <row r="6173" spans="1:1">
      <c r="A6173">
        <f t="shared" si="142"/>
        <v>6171</v>
      </c>
    </row>
    <row r="6174" spans="1:1">
      <c r="A6174">
        <f t="shared" si="142"/>
        <v>6172</v>
      </c>
    </row>
    <row r="6175" spans="1:1">
      <c r="A6175">
        <f t="shared" si="142"/>
        <v>6173</v>
      </c>
    </row>
    <row r="6176" spans="1:1">
      <c r="A6176">
        <f t="shared" si="142"/>
        <v>6174</v>
      </c>
    </row>
    <row r="6177" spans="1:1">
      <c r="A6177">
        <f t="shared" si="142"/>
        <v>6175</v>
      </c>
    </row>
    <row r="6178" spans="1:1">
      <c r="A6178">
        <f t="shared" si="142"/>
        <v>6176</v>
      </c>
    </row>
    <row r="6179" spans="1:1">
      <c r="A6179">
        <f t="shared" si="142"/>
        <v>6177</v>
      </c>
    </row>
    <row r="6180" spans="1:1">
      <c r="A6180">
        <f t="shared" ref="A6180:A6243" si="143">A6179+1</f>
        <v>6178</v>
      </c>
    </row>
    <row r="6181" spans="1:1">
      <c r="A6181">
        <f t="shared" si="143"/>
        <v>6179</v>
      </c>
    </row>
    <row r="6182" spans="1:1">
      <c r="A6182">
        <f t="shared" si="143"/>
        <v>6180</v>
      </c>
    </row>
    <row r="6183" spans="1:1">
      <c r="A6183">
        <f t="shared" si="143"/>
        <v>6181</v>
      </c>
    </row>
    <row r="6184" spans="1:1">
      <c r="A6184">
        <f t="shared" si="143"/>
        <v>6182</v>
      </c>
    </row>
    <row r="6185" spans="1:1">
      <c r="A6185">
        <f t="shared" si="143"/>
        <v>6183</v>
      </c>
    </row>
    <row r="6186" spans="1:1">
      <c r="A6186">
        <f t="shared" si="143"/>
        <v>6184</v>
      </c>
    </row>
    <row r="6187" spans="1:1">
      <c r="A6187">
        <f t="shared" si="143"/>
        <v>6185</v>
      </c>
    </row>
    <row r="6188" spans="1:1">
      <c r="A6188">
        <f t="shared" si="143"/>
        <v>6186</v>
      </c>
    </row>
    <row r="6189" spans="1:1">
      <c r="A6189">
        <f t="shared" si="143"/>
        <v>6187</v>
      </c>
    </row>
    <row r="6190" spans="1:1">
      <c r="A6190">
        <f t="shared" si="143"/>
        <v>6188</v>
      </c>
    </row>
    <row r="6191" spans="1:1">
      <c r="A6191">
        <f t="shared" si="143"/>
        <v>6189</v>
      </c>
    </row>
    <row r="6192" spans="1:1">
      <c r="A6192">
        <f t="shared" si="143"/>
        <v>6190</v>
      </c>
    </row>
    <row r="6193" spans="1:1">
      <c r="A6193">
        <f t="shared" si="143"/>
        <v>6191</v>
      </c>
    </row>
    <row r="6194" spans="1:1">
      <c r="A6194">
        <f t="shared" si="143"/>
        <v>6192</v>
      </c>
    </row>
    <row r="6195" spans="1:1">
      <c r="A6195">
        <f t="shared" si="143"/>
        <v>6193</v>
      </c>
    </row>
    <row r="6196" spans="1:1">
      <c r="A6196">
        <f t="shared" si="143"/>
        <v>6194</v>
      </c>
    </row>
    <row r="6197" spans="1:1">
      <c r="A6197">
        <f t="shared" si="143"/>
        <v>6195</v>
      </c>
    </row>
    <row r="6198" spans="1:1">
      <c r="A6198">
        <f t="shared" si="143"/>
        <v>6196</v>
      </c>
    </row>
    <row r="6199" spans="1:1">
      <c r="A6199">
        <f t="shared" si="143"/>
        <v>6197</v>
      </c>
    </row>
    <row r="6200" spans="1:1">
      <c r="A6200">
        <f t="shared" si="143"/>
        <v>6198</v>
      </c>
    </row>
    <row r="6201" spans="1:1">
      <c r="A6201">
        <f t="shared" si="143"/>
        <v>6199</v>
      </c>
    </row>
    <row r="6202" spans="1:1">
      <c r="A6202">
        <f t="shared" si="143"/>
        <v>6200</v>
      </c>
    </row>
    <row r="6203" spans="1:1">
      <c r="A6203">
        <f t="shared" si="143"/>
        <v>6201</v>
      </c>
    </row>
    <row r="6204" spans="1:1">
      <c r="A6204">
        <f t="shared" si="143"/>
        <v>6202</v>
      </c>
    </row>
    <row r="6205" spans="1:1">
      <c r="A6205">
        <f t="shared" si="143"/>
        <v>6203</v>
      </c>
    </row>
    <row r="6206" spans="1:1">
      <c r="A6206">
        <f t="shared" si="143"/>
        <v>6204</v>
      </c>
    </row>
    <row r="6207" spans="1:1">
      <c r="A6207">
        <f t="shared" si="143"/>
        <v>6205</v>
      </c>
    </row>
    <row r="6208" spans="1:1">
      <c r="A6208">
        <f t="shared" si="143"/>
        <v>6206</v>
      </c>
    </row>
    <row r="6209" spans="1:1">
      <c r="A6209">
        <f t="shared" si="143"/>
        <v>6207</v>
      </c>
    </row>
    <row r="6210" spans="1:1">
      <c r="A6210">
        <f t="shared" si="143"/>
        <v>6208</v>
      </c>
    </row>
    <row r="6211" spans="1:1">
      <c r="A6211">
        <f t="shared" si="143"/>
        <v>6209</v>
      </c>
    </row>
    <row r="6212" spans="1:1">
      <c r="A6212">
        <f t="shared" si="143"/>
        <v>6210</v>
      </c>
    </row>
    <row r="6213" spans="1:1">
      <c r="A6213">
        <f t="shared" si="143"/>
        <v>6211</v>
      </c>
    </row>
    <row r="6214" spans="1:1">
      <c r="A6214">
        <f t="shared" si="143"/>
        <v>6212</v>
      </c>
    </row>
    <row r="6215" spans="1:1">
      <c r="A6215">
        <f t="shared" si="143"/>
        <v>6213</v>
      </c>
    </row>
    <row r="6216" spans="1:1">
      <c r="A6216">
        <f t="shared" si="143"/>
        <v>6214</v>
      </c>
    </row>
    <row r="6217" spans="1:1">
      <c r="A6217">
        <f t="shared" si="143"/>
        <v>6215</v>
      </c>
    </row>
    <row r="6218" spans="1:1">
      <c r="A6218">
        <f t="shared" si="143"/>
        <v>6216</v>
      </c>
    </row>
    <row r="6219" spans="1:1">
      <c r="A6219">
        <f t="shared" si="143"/>
        <v>6217</v>
      </c>
    </row>
    <row r="6220" spans="1:1">
      <c r="A6220">
        <f t="shared" si="143"/>
        <v>6218</v>
      </c>
    </row>
    <row r="6221" spans="1:1">
      <c r="A6221">
        <f t="shared" si="143"/>
        <v>6219</v>
      </c>
    </row>
    <row r="6222" spans="1:1">
      <c r="A6222">
        <f t="shared" si="143"/>
        <v>6220</v>
      </c>
    </row>
    <row r="6223" spans="1:1">
      <c r="A6223">
        <f t="shared" si="143"/>
        <v>6221</v>
      </c>
    </row>
    <row r="6224" spans="1:1">
      <c r="A6224">
        <f t="shared" si="143"/>
        <v>6222</v>
      </c>
    </row>
    <row r="6225" spans="1:1">
      <c r="A6225">
        <f t="shared" si="143"/>
        <v>6223</v>
      </c>
    </row>
    <row r="6226" spans="1:1">
      <c r="A6226">
        <f t="shared" si="143"/>
        <v>6224</v>
      </c>
    </row>
    <row r="6227" spans="1:1">
      <c r="A6227">
        <f t="shared" si="143"/>
        <v>6225</v>
      </c>
    </row>
    <row r="6228" spans="1:1">
      <c r="A6228">
        <f t="shared" si="143"/>
        <v>6226</v>
      </c>
    </row>
    <row r="6229" spans="1:1">
      <c r="A6229">
        <f t="shared" si="143"/>
        <v>6227</v>
      </c>
    </row>
    <row r="6230" spans="1:1">
      <c r="A6230">
        <f t="shared" si="143"/>
        <v>6228</v>
      </c>
    </row>
    <row r="6231" spans="1:1">
      <c r="A6231">
        <f t="shared" si="143"/>
        <v>6229</v>
      </c>
    </row>
    <row r="6232" spans="1:1">
      <c r="A6232">
        <f t="shared" si="143"/>
        <v>6230</v>
      </c>
    </row>
    <row r="6233" spans="1:1">
      <c r="A6233">
        <f t="shared" si="143"/>
        <v>6231</v>
      </c>
    </row>
    <row r="6234" spans="1:1">
      <c r="A6234">
        <f t="shared" si="143"/>
        <v>6232</v>
      </c>
    </row>
    <row r="6235" spans="1:1">
      <c r="A6235">
        <f t="shared" si="143"/>
        <v>6233</v>
      </c>
    </row>
    <row r="6236" spans="1:1">
      <c r="A6236">
        <f t="shared" si="143"/>
        <v>6234</v>
      </c>
    </row>
    <row r="6237" spans="1:1">
      <c r="A6237">
        <f t="shared" si="143"/>
        <v>6235</v>
      </c>
    </row>
    <row r="6238" spans="1:1">
      <c r="A6238">
        <f t="shared" si="143"/>
        <v>6236</v>
      </c>
    </row>
    <row r="6239" spans="1:1">
      <c r="A6239">
        <f t="shared" si="143"/>
        <v>6237</v>
      </c>
    </row>
    <row r="6240" spans="1:1">
      <c r="A6240">
        <f t="shared" si="143"/>
        <v>6238</v>
      </c>
    </row>
    <row r="6241" spans="1:1">
      <c r="A6241">
        <f t="shared" si="143"/>
        <v>6239</v>
      </c>
    </row>
    <row r="6242" spans="1:1">
      <c r="A6242">
        <f t="shared" si="143"/>
        <v>6240</v>
      </c>
    </row>
    <row r="6243" spans="1:1">
      <c r="A6243">
        <f t="shared" si="143"/>
        <v>6241</v>
      </c>
    </row>
    <row r="6244" spans="1:1">
      <c r="A6244">
        <f t="shared" ref="A6244:A6307" si="144">A6243+1</f>
        <v>6242</v>
      </c>
    </row>
    <row r="6245" spans="1:1">
      <c r="A6245">
        <f t="shared" si="144"/>
        <v>6243</v>
      </c>
    </row>
    <row r="6246" spans="1:1">
      <c r="A6246">
        <f t="shared" si="144"/>
        <v>6244</v>
      </c>
    </row>
    <row r="6247" spans="1:1">
      <c r="A6247">
        <f t="shared" si="144"/>
        <v>6245</v>
      </c>
    </row>
    <row r="6248" spans="1:1">
      <c r="A6248">
        <f t="shared" si="144"/>
        <v>6246</v>
      </c>
    </row>
    <row r="6249" spans="1:1">
      <c r="A6249">
        <f t="shared" si="144"/>
        <v>6247</v>
      </c>
    </row>
    <row r="6250" spans="1:1">
      <c r="A6250">
        <f t="shared" si="144"/>
        <v>6248</v>
      </c>
    </row>
    <row r="6251" spans="1:1">
      <c r="A6251">
        <f t="shared" si="144"/>
        <v>6249</v>
      </c>
    </row>
    <row r="6252" spans="1:1">
      <c r="A6252">
        <f t="shared" si="144"/>
        <v>6250</v>
      </c>
    </row>
    <row r="6253" spans="1:1">
      <c r="A6253">
        <f t="shared" si="144"/>
        <v>6251</v>
      </c>
    </row>
    <row r="6254" spans="1:1">
      <c r="A6254">
        <f t="shared" si="144"/>
        <v>6252</v>
      </c>
    </row>
    <row r="6255" spans="1:1">
      <c r="A6255">
        <f t="shared" si="144"/>
        <v>6253</v>
      </c>
    </row>
    <row r="6256" spans="1:1">
      <c r="A6256">
        <f t="shared" si="144"/>
        <v>6254</v>
      </c>
    </row>
    <row r="6257" spans="1:1">
      <c r="A6257">
        <f t="shared" si="144"/>
        <v>6255</v>
      </c>
    </row>
    <row r="6258" spans="1:1">
      <c r="A6258">
        <f t="shared" si="144"/>
        <v>6256</v>
      </c>
    </row>
    <row r="6259" spans="1:1">
      <c r="A6259">
        <f t="shared" si="144"/>
        <v>6257</v>
      </c>
    </row>
    <row r="6260" spans="1:1">
      <c r="A6260">
        <f t="shared" si="144"/>
        <v>6258</v>
      </c>
    </row>
    <row r="6261" spans="1:1">
      <c r="A6261">
        <f t="shared" si="144"/>
        <v>6259</v>
      </c>
    </row>
    <row r="6262" spans="1:1">
      <c r="A6262">
        <f t="shared" si="144"/>
        <v>6260</v>
      </c>
    </row>
    <row r="6263" spans="1:1">
      <c r="A6263">
        <f t="shared" si="144"/>
        <v>6261</v>
      </c>
    </row>
    <row r="6264" spans="1:1">
      <c r="A6264">
        <f t="shared" si="144"/>
        <v>6262</v>
      </c>
    </row>
    <row r="6265" spans="1:1">
      <c r="A6265">
        <f t="shared" si="144"/>
        <v>6263</v>
      </c>
    </row>
    <row r="6266" spans="1:1">
      <c r="A6266">
        <f t="shared" si="144"/>
        <v>6264</v>
      </c>
    </row>
    <row r="6267" spans="1:1">
      <c r="A6267">
        <f t="shared" si="144"/>
        <v>6265</v>
      </c>
    </row>
    <row r="6268" spans="1:1">
      <c r="A6268">
        <f t="shared" si="144"/>
        <v>6266</v>
      </c>
    </row>
    <row r="6269" spans="1:1">
      <c r="A6269">
        <f t="shared" si="144"/>
        <v>6267</v>
      </c>
    </row>
    <row r="6270" spans="1:1">
      <c r="A6270">
        <f t="shared" si="144"/>
        <v>6268</v>
      </c>
    </row>
    <row r="6271" spans="1:1">
      <c r="A6271">
        <f t="shared" si="144"/>
        <v>6269</v>
      </c>
    </row>
    <row r="6272" spans="1:1">
      <c r="A6272">
        <f t="shared" si="144"/>
        <v>6270</v>
      </c>
    </row>
    <row r="6273" spans="1:1">
      <c r="A6273">
        <f t="shared" si="144"/>
        <v>6271</v>
      </c>
    </row>
    <row r="6274" spans="1:1">
      <c r="A6274">
        <f t="shared" si="144"/>
        <v>6272</v>
      </c>
    </row>
    <row r="6275" spans="1:1">
      <c r="A6275">
        <f t="shared" si="144"/>
        <v>6273</v>
      </c>
    </row>
    <row r="6276" spans="1:1">
      <c r="A6276">
        <f t="shared" si="144"/>
        <v>6274</v>
      </c>
    </row>
    <row r="6277" spans="1:1">
      <c r="A6277">
        <f t="shared" si="144"/>
        <v>6275</v>
      </c>
    </row>
    <row r="6278" spans="1:1">
      <c r="A6278">
        <f t="shared" si="144"/>
        <v>6276</v>
      </c>
    </row>
    <row r="6279" spans="1:1">
      <c r="A6279">
        <f t="shared" si="144"/>
        <v>6277</v>
      </c>
    </row>
    <row r="6280" spans="1:1">
      <c r="A6280">
        <f t="shared" si="144"/>
        <v>6278</v>
      </c>
    </row>
    <row r="6281" spans="1:1">
      <c r="A6281">
        <f t="shared" si="144"/>
        <v>6279</v>
      </c>
    </row>
    <row r="6282" spans="1:1">
      <c r="A6282">
        <f t="shared" si="144"/>
        <v>6280</v>
      </c>
    </row>
    <row r="6283" spans="1:1">
      <c r="A6283">
        <f t="shared" si="144"/>
        <v>6281</v>
      </c>
    </row>
    <row r="6284" spans="1:1">
      <c r="A6284">
        <f t="shared" si="144"/>
        <v>6282</v>
      </c>
    </row>
    <row r="6285" spans="1:1">
      <c r="A6285">
        <f t="shared" si="144"/>
        <v>6283</v>
      </c>
    </row>
    <row r="6286" spans="1:1">
      <c r="A6286">
        <f t="shared" si="144"/>
        <v>6284</v>
      </c>
    </row>
    <row r="6287" spans="1:1">
      <c r="A6287">
        <f t="shared" si="144"/>
        <v>6285</v>
      </c>
    </row>
    <row r="6288" spans="1:1">
      <c r="A6288">
        <f t="shared" si="144"/>
        <v>6286</v>
      </c>
    </row>
    <row r="6289" spans="1:1">
      <c r="A6289">
        <f t="shared" si="144"/>
        <v>6287</v>
      </c>
    </row>
    <row r="6290" spans="1:1">
      <c r="A6290">
        <f t="shared" si="144"/>
        <v>6288</v>
      </c>
    </row>
    <row r="6291" spans="1:1">
      <c r="A6291">
        <f t="shared" si="144"/>
        <v>6289</v>
      </c>
    </row>
    <row r="6292" spans="1:1">
      <c r="A6292">
        <f t="shared" si="144"/>
        <v>6290</v>
      </c>
    </row>
    <row r="6293" spans="1:1">
      <c r="A6293">
        <f t="shared" si="144"/>
        <v>6291</v>
      </c>
    </row>
    <row r="6294" spans="1:1">
      <c r="A6294">
        <f t="shared" si="144"/>
        <v>6292</v>
      </c>
    </row>
    <row r="6295" spans="1:1">
      <c r="A6295">
        <f t="shared" si="144"/>
        <v>6293</v>
      </c>
    </row>
    <row r="6296" spans="1:1">
      <c r="A6296">
        <f t="shared" si="144"/>
        <v>6294</v>
      </c>
    </row>
    <row r="6297" spans="1:1">
      <c r="A6297">
        <f t="shared" si="144"/>
        <v>6295</v>
      </c>
    </row>
    <row r="6298" spans="1:1">
      <c r="A6298">
        <f t="shared" si="144"/>
        <v>6296</v>
      </c>
    </row>
    <row r="6299" spans="1:1">
      <c r="A6299">
        <f t="shared" si="144"/>
        <v>6297</v>
      </c>
    </row>
    <row r="6300" spans="1:1">
      <c r="A6300">
        <f t="shared" si="144"/>
        <v>6298</v>
      </c>
    </row>
    <row r="6301" spans="1:1">
      <c r="A6301">
        <f t="shared" si="144"/>
        <v>6299</v>
      </c>
    </row>
    <row r="6302" spans="1:1">
      <c r="A6302">
        <f t="shared" si="144"/>
        <v>6300</v>
      </c>
    </row>
    <row r="6303" spans="1:1">
      <c r="A6303">
        <f t="shared" si="144"/>
        <v>6301</v>
      </c>
    </row>
    <row r="6304" spans="1:1">
      <c r="A6304">
        <f t="shared" si="144"/>
        <v>6302</v>
      </c>
    </row>
    <row r="6305" spans="1:1">
      <c r="A6305">
        <f t="shared" si="144"/>
        <v>6303</v>
      </c>
    </row>
    <row r="6306" spans="1:1">
      <c r="A6306">
        <f t="shared" si="144"/>
        <v>6304</v>
      </c>
    </row>
    <row r="6307" spans="1:1">
      <c r="A6307">
        <f t="shared" si="144"/>
        <v>6305</v>
      </c>
    </row>
    <row r="6308" spans="1:1">
      <c r="A6308">
        <f t="shared" ref="A6308:A6371" si="145">A6307+1</f>
        <v>6306</v>
      </c>
    </row>
    <row r="6309" spans="1:1">
      <c r="A6309">
        <f t="shared" si="145"/>
        <v>6307</v>
      </c>
    </row>
    <row r="6310" spans="1:1">
      <c r="A6310">
        <f t="shared" si="145"/>
        <v>6308</v>
      </c>
    </row>
    <row r="6311" spans="1:1">
      <c r="A6311">
        <f t="shared" si="145"/>
        <v>6309</v>
      </c>
    </row>
    <row r="6312" spans="1:1">
      <c r="A6312">
        <f t="shared" si="145"/>
        <v>6310</v>
      </c>
    </row>
    <row r="6313" spans="1:1">
      <c r="A6313">
        <f t="shared" si="145"/>
        <v>6311</v>
      </c>
    </row>
    <row r="6314" spans="1:1">
      <c r="A6314">
        <f t="shared" si="145"/>
        <v>6312</v>
      </c>
    </row>
    <row r="6315" spans="1:1">
      <c r="A6315">
        <f t="shared" si="145"/>
        <v>6313</v>
      </c>
    </row>
    <row r="6316" spans="1:1">
      <c r="A6316">
        <f t="shared" si="145"/>
        <v>6314</v>
      </c>
    </row>
    <row r="6317" spans="1:1">
      <c r="A6317">
        <f t="shared" si="145"/>
        <v>6315</v>
      </c>
    </row>
    <row r="6318" spans="1:1">
      <c r="A6318">
        <f t="shared" si="145"/>
        <v>6316</v>
      </c>
    </row>
    <row r="6319" spans="1:1">
      <c r="A6319">
        <f t="shared" si="145"/>
        <v>6317</v>
      </c>
    </row>
    <row r="6320" spans="1:1">
      <c r="A6320">
        <f t="shared" si="145"/>
        <v>6318</v>
      </c>
    </row>
    <row r="6321" spans="1:1">
      <c r="A6321">
        <f t="shared" si="145"/>
        <v>6319</v>
      </c>
    </row>
    <row r="6322" spans="1:1">
      <c r="A6322">
        <f t="shared" si="145"/>
        <v>6320</v>
      </c>
    </row>
    <row r="6323" spans="1:1">
      <c r="A6323">
        <f t="shared" si="145"/>
        <v>6321</v>
      </c>
    </row>
    <row r="6324" spans="1:1">
      <c r="A6324">
        <f t="shared" si="145"/>
        <v>6322</v>
      </c>
    </row>
    <row r="6325" spans="1:1">
      <c r="A6325">
        <f t="shared" si="145"/>
        <v>6323</v>
      </c>
    </row>
    <row r="6326" spans="1:1">
      <c r="A6326">
        <f t="shared" si="145"/>
        <v>6324</v>
      </c>
    </row>
    <row r="6327" spans="1:1">
      <c r="A6327">
        <f t="shared" si="145"/>
        <v>6325</v>
      </c>
    </row>
    <row r="6328" spans="1:1">
      <c r="A6328">
        <f t="shared" si="145"/>
        <v>6326</v>
      </c>
    </row>
    <row r="6329" spans="1:1">
      <c r="A6329">
        <f t="shared" si="145"/>
        <v>6327</v>
      </c>
    </row>
    <row r="6330" spans="1:1">
      <c r="A6330">
        <f t="shared" si="145"/>
        <v>6328</v>
      </c>
    </row>
    <row r="6331" spans="1:1">
      <c r="A6331">
        <f t="shared" si="145"/>
        <v>6329</v>
      </c>
    </row>
    <row r="6332" spans="1:1">
      <c r="A6332">
        <f t="shared" si="145"/>
        <v>6330</v>
      </c>
    </row>
    <row r="6333" spans="1:1">
      <c r="A6333">
        <f t="shared" si="145"/>
        <v>6331</v>
      </c>
    </row>
    <row r="6334" spans="1:1">
      <c r="A6334">
        <f t="shared" si="145"/>
        <v>6332</v>
      </c>
    </row>
    <row r="6335" spans="1:1">
      <c r="A6335">
        <f t="shared" si="145"/>
        <v>6333</v>
      </c>
    </row>
    <row r="6336" spans="1:1">
      <c r="A6336">
        <f t="shared" si="145"/>
        <v>6334</v>
      </c>
    </row>
    <row r="6337" spans="1:1">
      <c r="A6337">
        <f t="shared" si="145"/>
        <v>6335</v>
      </c>
    </row>
    <row r="6338" spans="1:1">
      <c r="A6338">
        <f t="shared" si="145"/>
        <v>6336</v>
      </c>
    </row>
    <row r="6339" spans="1:1">
      <c r="A6339">
        <f t="shared" si="145"/>
        <v>6337</v>
      </c>
    </row>
    <row r="6340" spans="1:1">
      <c r="A6340">
        <f t="shared" si="145"/>
        <v>6338</v>
      </c>
    </row>
    <row r="6341" spans="1:1">
      <c r="A6341">
        <f t="shared" si="145"/>
        <v>6339</v>
      </c>
    </row>
    <row r="6342" spans="1:1">
      <c r="A6342">
        <f t="shared" si="145"/>
        <v>6340</v>
      </c>
    </row>
    <row r="6343" spans="1:1">
      <c r="A6343">
        <f t="shared" si="145"/>
        <v>6341</v>
      </c>
    </row>
    <row r="6344" spans="1:1">
      <c r="A6344">
        <f t="shared" si="145"/>
        <v>6342</v>
      </c>
    </row>
    <row r="6345" spans="1:1">
      <c r="A6345">
        <f t="shared" si="145"/>
        <v>6343</v>
      </c>
    </row>
    <row r="6346" spans="1:1">
      <c r="A6346">
        <f t="shared" si="145"/>
        <v>6344</v>
      </c>
    </row>
    <row r="6347" spans="1:1">
      <c r="A6347">
        <f t="shared" si="145"/>
        <v>6345</v>
      </c>
    </row>
    <row r="6348" spans="1:1">
      <c r="A6348">
        <f t="shared" si="145"/>
        <v>6346</v>
      </c>
    </row>
    <row r="6349" spans="1:1">
      <c r="A6349">
        <f t="shared" si="145"/>
        <v>6347</v>
      </c>
    </row>
    <row r="6350" spans="1:1">
      <c r="A6350">
        <f t="shared" si="145"/>
        <v>6348</v>
      </c>
    </row>
    <row r="6351" spans="1:1">
      <c r="A6351">
        <f t="shared" si="145"/>
        <v>6349</v>
      </c>
    </row>
    <row r="6352" spans="1:1">
      <c r="A6352">
        <f t="shared" si="145"/>
        <v>6350</v>
      </c>
    </row>
    <row r="6353" spans="1:1">
      <c r="A6353">
        <f t="shared" si="145"/>
        <v>6351</v>
      </c>
    </row>
    <row r="6354" spans="1:1">
      <c r="A6354">
        <f t="shared" si="145"/>
        <v>6352</v>
      </c>
    </row>
    <row r="6355" spans="1:1">
      <c r="A6355">
        <f t="shared" si="145"/>
        <v>6353</v>
      </c>
    </row>
    <row r="6356" spans="1:1">
      <c r="A6356">
        <f t="shared" si="145"/>
        <v>6354</v>
      </c>
    </row>
    <row r="6357" spans="1:1">
      <c r="A6357">
        <f t="shared" si="145"/>
        <v>6355</v>
      </c>
    </row>
    <row r="6358" spans="1:1">
      <c r="A6358">
        <f t="shared" si="145"/>
        <v>6356</v>
      </c>
    </row>
    <row r="6359" spans="1:1">
      <c r="A6359">
        <f t="shared" si="145"/>
        <v>6357</v>
      </c>
    </row>
    <row r="6360" spans="1:1">
      <c r="A6360">
        <f t="shared" si="145"/>
        <v>6358</v>
      </c>
    </row>
    <row r="6361" spans="1:1">
      <c r="A6361">
        <f t="shared" si="145"/>
        <v>6359</v>
      </c>
    </row>
    <row r="6362" spans="1:1">
      <c r="A6362">
        <f t="shared" si="145"/>
        <v>6360</v>
      </c>
    </row>
    <row r="6363" spans="1:1">
      <c r="A6363">
        <f t="shared" si="145"/>
        <v>6361</v>
      </c>
    </row>
    <row r="6364" spans="1:1">
      <c r="A6364">
        <f t="shared" si="145"/>
        <v>6362</v>
      </c>
    </row>
    <row r="6365" spans="1:1">
      <c r="A6365">
        <f t="shared" si="145"/>
        <v>6363</v>
      </c>
    </row>
    <row r="6366" spans="1:1">
      <c r="A6366">
        <f t="shared" si="145"/>
        <v>6364</v>
      </c>
    </row>
    <row r="6367" spans="1:1">
      <c r="A6367">
        <f t="shared" si="145"/>
        <v>6365</v>
      </c>
    </row>
    <row r="6368" spans="1:1">
      <c r="A6368">
        <f t="shared" si="145"/>
        <v>6366</v>
      </c>
    </row>
    <row r="6369" spans="1:1">
      <c r="A6369">
        <f t="shared" si="145"/>
        <v>6367</v>
      </c>
    </row>
    <row r="6370" spans="1:1">
      <c r="A6370">
        <f t="shared" si="145"/>
        <v>6368</v>
      </c>
    </row>
    <row r="6371" spans="1:1">
      <c r="A6371">
        <f t="shared" si="145"/>
        <v>6369</v>
      </c>
    </row>
    <row r="6372" spans="1:1">
      <c r="A6372">
        <f t="shared" ref="A6372:A6435" si="146">A6371+1</f>
        <v>6370</v>
      </c>
    </row>
    <row r="6373" spans="1:1">
      <c r="A6373">
        <f t="shared" si="146"/>
        <v>6371</v>
      </c>
    </row>
    <row r="6374" spans="1:1">
      <c r="A6374">
        <f t="shared" si="146"/>
        <v>6372</v>
      </c>
    </row>
    <row r="6375" spans="1:1">
      <c r="A6375">
        <f t="shared" si="146"/>
        <v>6373</v>
      </c>
    </row>
    <row r="6376" spans="1:1">
      <c r="A6376">
        <f t="shared" si="146"/>
        <v>6374</v>
      </c>
    </row>
    <row r="6377" spans="1:1">
      <c r="A6377">
        <f t="shared" si="146"/>
        <v>6375</v>
      </c>
    </row>
    <row r="6378" spans="1:1">
      <c r="A6378">
        <f t="shared" si="146"/>
        <v>6376</v>
      </c>
    </row>
    <row r="6379" spans="1:1">
      <c r="A6379">
        <f t="shared" si="146"/>
        <v>6377</v>
      </c>
    </row>
    <row r="6380" spans="1:1">
      <c r="A6380">
        <f t="shared" si="146"/>
        <v>6378</v>
      </c>
    </row>
    <row r="6381" spans="1:1">
      <c r="A6381">
        <f t="shared" si="146"/>
        <v>6379</v>
      </c>
    </row>
    <row r="6382" spans="1:1">
      <c r="A6382">
        <f t="shared" si="146"/>
        <v>6380</v>
      </c>
    </row>
    <row r="6383" spans="1:1">
      <c r="A6383">
        <f t="shared" si="146"/>
        <v>6381</v>
      </c>
    </row>
    <row r="6384" spans="1:1">
      <c r="A6384">
        <f t="shared" si="146"/>
        <v>6382</v>
      </c>
    </row>
    <row r="6385" spans="1:1">
      <c r="A6385">
        <f t="shared" si="146"/>
        <v>6383</v>
      </c>
    </row>
    <row r="6386" spans="1:1">
      <c r="A6386">
        <f t="shared" si="146"/>
        <v>6384</v>
      </c>
    </row>
    <row r="6387" spans="1:1">
      <c r="A6387">
        <f t="shared" si="146"/>
        <v>6385</v>
      </c>
    </row>
    <row r="6388" spans="1:1">
      <c r="A6388">
        <f t="shared" si="146"/>
        <v>6386</v>
      </c>
    </row>
    <row r="6389" spans="1:1">
      <c r="A6389">
        <f t="shared" si="146"/>
        <v>6387</v>
      </c>
    </row>
    <row r="6390" spans="1:1">
      <c r="A6390">
        <f t="shared" si="146"/>
        <v>6388</v>
      </c>
    </row>
    <row r="6391" spans="1:1">
      <c r="A6391">
        <f t="shared" si="146"/>
        <v>6389</v>
      </c>
    </row>
    <row r="6392" spans="1:1">
      <c r="A6392">
        <f t="shared" si="146"/>
        <v>6390</v>
      </c>
    </row>
    <row r="6393" spans="1:1">
      <c r="A6393">
        <f t="shared" si="146"/>
        <v>6391</v>
      </c>
    </row>
    <row r="6394" spans="1:1">
      <c r="A6394">
        <f t="shared" si="146"/>
        <v>6392</v>
      </c>
    </row>
    <row r="6395" spans="1:1">
      <c r="A6395">
        <f t="shared" si="146"/>
        <v>6393</v>
      </c>
    </row>
    <row r="6396" spans="1:1">
      <c r="A6396">
        <f t="shared" si="146"/>
        <v>6394</v>
      </c>
    </row>
    <row r="6397" spans="1:1">
      <c r="A6397">
        <f t="shared" si="146"/>
        <v>6395</v>
      </c>
    </row>
    <row r="6398" spans="1:1">
      <c r="A6398">
        <f t="shared" si="146"/>
        <v>6396</v>
      </c>
    </row>
    <row r="6399" spans="1:1">
      <c r="A6399">
        <f t="shared" si="146"/>
        <v>6397</v>
      </c>
    </row>
    <row r="6400" spans="1:1">
      <c r="A6400">
        <f t="shared" si="146"/>
        <v>6398</v>
      </c>
    </row>
    <row r="6401" spans="1:1">
      <c r="A6401">
        <f t="shared" si="146"/>
        <v>6399</v>
      </c>
    </row>
    <row r="6402" spans="1:1">
      <c r="A6402">
        <f t="shared" si="146"/>
        <v>6400</v>
      </c>
    </row>
    <row r="6403" spans="1:1">
      <c r="A6403">
        <f t="shared" si="146"/>
        <v>6401</v>
      </c>
    </row>
    <row r="6404" spans="1:1">
      <c r="A6404">
        <f t="shared" si="146"/>
        <v>6402</v>
      </c>
    </row>
    <row r="6405" spans="1:1">
      <c r="A6405">
        <f t="shared" si="146"/>
        <v>6403</v>
      </c>
    </row>
    <row r="6406" spans="1:1">
      <c r="A6406">
        <f t="shared" si="146"/>
        <v>6404</v>
      </c>
    </row>
    <row r="6407" spans="1:1">
      <c r="A6407">
        <f t="shared" si="146"/>
        <v>6405</v>
      </c>
    </row>
    <row r="6408" spans="1:1">
      <c r="A6408">
        <f t="shared" si="146"/>
        <v>6406</v>
      </c>
    </row>
    <row r="6409" spans="1:1">
      <c r="A6409">
        <f t="shared" si="146"/>
        <v>6407</v>
      </c>
    </row>
    <row r="6410" spans="1:1">
      <c r="A6410">
        <f t="shared" si="146"/>
        <v>6408</v>
      </c>
    </row>
    <row r="6411" spans="1:1">
      <c r="A6411">
        <f t="shared" si="146"/>
        <v>6409</v>
      </c>
    </row>
    <row r="6412" spans="1:1">
      <c r="A6412">
        <f t="shared" si="146"/>
        <v>6410</v>
      </c>
    </row>
    <row r="6413" spans="1:1">
      <c r="A6413">
        <f t="shared" si="146"/>
        <v>6411</v>
      </c>
    </row>
    <row r="6414" spans="1:1">
      <c r="A6414">
        <f t="shared" si="146"/>
        <v>6412</v>
      </c>
    </row>
    <row r="6415" spans="1:1">
      <c r="A6415">
        <f t="shared" si="146"/>
        <v>6413</v>
      </c>
    </row>
    <row r="6416" spans="1:1">
      <c r="A6416">
        <f t="shared" si="146"/>
        <v>6414</v>
      </c>
    </row>
    <row r="6417" spans="1:1">
      <c r="A6417">
        <f t="shared" si="146"/>
        <v>6415</v>
      </c>
    </row>
    <row r="6418" spans="1:1">
      <c r="A6418">
        <f t="shared" si="146"/>
        <v>6416</v>
      </c>
    </row>
    <row r="6419" spans="1:1">
      <c r="A6419">
        <f t="shared" si="146"/>
        <v>6417</v>
      </c>
    </row>
    <row r="6420" spans="1:1">
      <c r="A6420">
        <f t="shared" si="146"/>
        <v>6418</v>
      </c>
    </row>
    <row r="6421" spans="1:1">
      <c r="A6421">
        <f t="shared" si="146"/>
        <v>6419</v>
      </c>
    </row>
    <row r="6422" spans="1:1">
      <c r="A6422">
        <f t="shared" si="146"/>
        <v>6420</v>
      </c>
    </row>
    <row r="6423" spans="1:1">
      <c r="A6423">
        <f t="shared" si="146"/>
        <v>6421</v>
      </c>
    </row>
    <row r="6424" spans="1:1">
      <c r="A6424">
        <f t="shared" si="146"/>
        <v>6422</v>
      </c>
    </row>
    <row r="6425" spans="1:1">
      <c r="A6425">
        <f t="shared" si="146"/>
        <v>6423</v>
      </c>
    </row>
    <row r="6426" spans="1:1">
      <c r="A6426">
        <f t="shared" si="146"/>
        <v>6424</v>
      </c>
    </row>
    <row r="6427" spans="1:1">
      <c r="A6427">
        <f t="shared" si="146"/>
        <v>6425</v>
      </c>
    </row>
    <row r="6428" spans="1:1">
      <c r="A6428">
        <f t="shared" si="146"/>
        <v>6426</v>
      </c>
    </row>
    <row r="6429" spans="1:1">
      <c r="A6429">
        <f t="shared" si="146"/>
        <v>6427</v>
      </c>
    </row>
    <row r="6430" spans="1:1">
      <c r="A6430">
        <f t="shared" si="146"/>
        <v>6428</v>
      </c>
    </row>
    <row r="6431" spans="1:1">
      <c r="A6431">
        <f t="shared" si="146"/>
        <v>6429</v>
      </c>
    </row>
    <row r="6432" spans="1:1">
      <c r="A6432">
        <f t="shared" si="146"/>
        <v>6430</v>
      </c>
    </row>
    <row r="6433" spans="1:1">
      <c r="A6433">
        <f t="shared" si="146"/>
        <v>6431</v>
      </c>
    </row>
    <row r="6434" spans="1:1">
      <c r="A6434">
        <f t="shared" si="146"/>
        <v>6432</v>
      </c>
    </row>
    <row r="6435" spans="1:1">
      <c r="A6435">
        <f t="shared" si="146"/>
        <v>6433</v>
      </c>
    </row>
    <row r="6436" spans="1:1">
      <c r="A6436">
        <f t="shared" ref="A6436:A6499" si="147">A6435+1</f>
        <v>6434</v>
      </c>
    </row>
    <row r="6437" spans="1:1">
      <c r="A6437">
        <f t="shared" si="147"/>
        <v>6435</v>
      </c>
    </row>
    <row r="6438" spans="1:1">
      <c r="A6438">
        <f t="shared" si="147"/>
        <v>6436</v>
      </c>
    </row>
    <row r="6439" spans="1:1">
      <c r="A6439">
        <f t="shared" si="147"/>
        <v>6437</v>
      </c>
    </row>
    <row r="6440" spans="1:1">
      <c r="A6440">
        <f t="shared" si="147"/>
        <v>6438</v>
      </c>
    </row>
    <row r="6441" spans="1:1">
      <c r="A6441">
        <f t="shared" si="147"/>
        <v>6439</v>
      </c>
    </row>
    <row r="6442" spans="1:1">
      <c r="A6442">
        <f t="shared" si="147"/>
        <v>6440</v>
      </c>
    </row>
    <row r="6443" spans="1:1">
      <c r="A6443">
        <f t="shared" si="147"/>
        <v>6441</v>
      </c>
    </row>
    <row r="6444" spans="1:1">
      <c r="A6444">
        <f t="shared" si="147"/>
        <v>6442</v>
      </c>
    </row>
    <row r="6445" spans="1:1">
      <c r="A6445">
        <f t="shared" si="147"/>
        <v>6443</v>
      </c>
    </row>
    <row r="6446" spans="1:1">
      <c r="A6446">
        <f t="shared" si="147"/>
        <v>6444</v>
      </c>
    </row>
    <row r="6447" spans="1:1">
      <c r="A6447">
        <f t="shared" si="147"/>
        <v>6445</v>
      </c>
    </row>
    <row r="6448" spans="1:1">
      <c r="A6448">
        <f t="shared" si="147"/>
        <v>6446</v>
      </c>
    </row>
    <row r="6449" spans="1:1">
      <c r="A6449">
        <f t="shared" si="147"/>
        <v>6447</v>
      </c>
    </row>
    <row r="6450" spans="1:1">
      <c r="A6450">
        <f t="shared" si="147"/>
        <v>6448</v>
      </c>
    </row>
    <row r="6451" spans="1:1">
      <c r="A6451">
        <f t="shared" si="147"/>
        <v>6449</v>
      </c>
    </row>
    <row r="6452" spans="1:1">
      <c r="A6452">
        <f t="shared" si="147"/>
        <v>6450</v>
      </c>
    </row>
    <row r="6453" spans="1:1">
      <c r="A6453">
        <f t="shared" si="147"/>
        <v>6451</v>
      </c>
    </row>
    <row r="6454" spans="1:1">
      <c r="A6454">
        <f t="shared" si="147"/>
        <v>6452</v>
      </c>
    </row>
    <row r="6455" spans="1:1">
      <c r="A6455">
        <f t="shared" si="147"/>
        <v>6453</v>
      </c>
    </row>
    <row r="6456" spans="1:1">
      <c r="A6456">
        <f t="shared" si="147"/>
        <v>6454</v>
      </c>
    </row>
    <row r="6457" spans="1:1">
      <c r="A6457">
        <f t="shared" si="147"/>
        <v>6455</v>
      </c>
    </row>
    <row r="6458" spans="1:1">
      <c r="A6458">
        <f t="shared" si="147"/>
        <v>6456</v>
      </c>
    </row>
    <row r="6459" spans="1:1">
      <c r="A6459">
        <f t="shared" si="147"/>
        <v>6457</v>
      </c>
    </row>
    <row r="6460" spans="1:1">
      <c r="A6460">
        <f t="shared" si="147"/>
        <v>6458</v>
      </c>
    </row>
    <row r="6461" spans="1:1">
      <c r="A6461">
        <f t="shared" si="147"/>
        <v>6459</v>
      </c>
    </row>
    <row r="6462" spans="1:1">
      <c r="A6462">
        <f t="shared" si="147"/>
        <v>6460</v>
      </c>
    </row>
    <row r="6463" spans="1:1">
      <c r="A6463">
        <f t="shared" si="147"/>
        <v>6461</v>
      </c>
    </row>
    <row r="6464" spans="1:1">
      <c r="A6464">
        <f t="shared" si="147"/>
        <v>6462</v>
      </c>
    </row>
    <row r="6465" spans="1:1">
      <c r="A6465">
        <f t="shared" si="147"/>
        <v>6463</v>
      </c>
    </row>
    <row r="6466" spans="1:1">
      <c r="A6466">
        <f t="shared" si="147"/>
        <v>6464</v>
      </c>
    </row>
    <row r="6467" spans="1:1">
      <c r="A6467">
        <f t="shared" si="147"/>
        <v>6465</v>
      </c>
    </row>
    <row r="6468" spans="1:1">
      <c r="A6468">
        <f t="shared" si="147"/>
        <v>6466</v>
      </c>
    </row>
    <row r="6469" spans="1:1">
      <c r="A6469">
        <f t="shared" si="147"/>
        <v>6467</v>
      </c>
    </row>
    <row r="6470" spans="1:1">
      <c r="A6470">
        <f t="shared" si="147"/>
        <v>6468</v>
      </c>
    </row>
    <row r="6471" spans="1:1">
      <c r="A6471">
        <f t="shared" si="147"/>
        <v>6469</v>
      </c>
    </row>
    <row r="6472" spans="1:1">
      <c r="A6472">
        <f t="shared" si="147"/>
        <v>6470</v>
      </c>
    </row>
    <row r="6473" spans="1:1">
      <c r="A6473">
        <f t="shared" si="147"/>
        <v>6471</v>
      </c>
    </row>
    <row r="6474" spans="1:1">
      <c r="A6474">
        <f t="shared" si="147"/>
        <v>6472</v>
      </c>
    </row>
    <row r="6475" spans="1:1">
      <c r="A6475">
        <f t="shared" si="147"/>
        <v>6473</v>
      </c>
    </row>
    <row r="6476" spans="1:1">
      <c r="A6476">
        <f t="shared" si="147"/>
        <v>6474</v>
      </c>
    </row>
    <row r="6477" spans="1:1">
      <c r="A6477">
        <f t="shared" si="147"/>
        <v>6475</v>
      </c>
    </row>
    <row r="6478" spans="1:1">
      <c r="A6478">
        <f t="shared" si="147"/>
        <v>6476</v>
      </c>
    </row>
    <row r="6479" spans="1:1">
      <c r="A6479">
        <f t="shared" si="147"/>
        <v>6477</v>
      </c>
    </row>
    <row r="6480" spans="1:1">
      <c r="A6480">
        <f t="shared" si="147"/>
        <v>6478</v>
      </c>
    </row>
    <row r="6481" spans="1:1">
      <c r="A6481">
        <f t="shared" si="147"/>
        <v>6479</v>
      </c>
    </row>
    <row r="6482" spans="1:1">
      <c r="A6482">
        <f t="shared" si="147"/>
        <v>6480</v>
      </c>
    </row>
    <row r="6483" spans="1:1">
      <c r="A6483">
        <f t="shared" si="147"/>
        <v>6481</v>
      </c>
    </row>
    <row r="6484" spans="1:1">
      <c r="A6484">
        <f t="shared" si="147"/>
        <v>6482</v>
      </c>
    </row>
    <row r="6485" spans="1:1">
      <c r="A6485">
        <f t="shared" si="147"/>
        <v>6483</v>
      </c>
    </row>
    <row r="6486" spans="1:1">
      <c r="A6486">
        <f t="shared" si="147"/>
        <v>6484</v>
      </c>
    </row>
    <row r="6487" spans="1:1">
      <c r="A6487">
        <f t="shared" si="147"/>
        <v>6485</v>
      </c>
    </row>
    <row r="6488" spans="1:1">
      <c r="A6488">
        <f t="shared" si="147"/>
        <v>6486</v>
      </c>
    </row>
    <row r="6489" spans="1:1">
      <c r="A6489">
        <f t="shared" si="147"/>
        <v>6487</v>
      </c>
    </row>
    <row r="6490" spans="1:1">
      <c r="A6490">
        <f t="shared" si="147"/>
        <v>6488</v>
      </c>
    </row>
    <row r="6491" spans="1:1">
      <c r="A6491">
        <f t="shared" si="147"/>
        <v>6489</v>
      </c>
    </row>
    <row r="6492" spans="1:1">
      <c r="A6492">
        <f t="shared" si="147"/>
        <v>6490</v>
      </c>
    </row>
    <row r="6493" spans="1:1">
      <c r="A6493">
        <f t="shared" si="147"/>
        <v>6491</v>
      </c>
    </row>
    <row r="6494" spans="1:1">
      <c r="A6494">
        <f t="shared" si="147"/>
        <v>6492</v>
      </c>
    </row>
    <row r="6495" spans="1:1">
      <c r="A6495">
        <f t="shared" si="147"/>
        <v>6493</v>
      </c>
    </row>
    <row r="6496" spans="1:1">
      <c r="A6496">
        <f t="shared" si="147"/>
        <v>6494</v>
      </c>
    </row>
    <row r="6497" spans="1:1">
      <c r="A6497">
        <f t="shared" si="147"/>
        <v>6495</v>
      </c>
    </row>
    <row r="6498" spans="1:1">
      <c r="A6498">
        <f t="shared" si="147"/>
        <v>6496</v>
      </c>
    </row>
    <row r="6499" spans="1:1">
      <c r="A6499">
        <f t="shared" si="147"/>
        <v>6497</v>
      </c>
    </row>
    <row r="6500" spans="1:1">
      <c r="A6500">
        <f t="shared" ref="A6500:A6563" si="148">A6499+1</f>
        <v>6498</v>
      </c>
    </row>
    <row r="6501" spans="1:1">
      <c r="A6501">
        <f t="shared" si="148"/>
        <v>6499</v>
      </c>
    </row>
    <row r="6502" spans="1:1">
      <c r="A6502">
        <f t="shared" si="148"/>
        <v>6500</v>
      </c>
    </row>
    <row r="6503" spans="1:1">
      <c r="A6503">
        <f t="shared" si="148"/>
        <v>6501</v>
      </c>
    </row>
    <row r="6504" spans="1:1">
      <c r="A6504">
        <f t="shared" si="148"/>
        <v>6502</v>
      </c>
    </row>
    <row r="6505" spans="1:1">
      <c r="A6505">
        <f t="shared" si="148"/>
        <v>6503</v>
      </c>
    </row>
    <row r="6506" spans="1:1">
      <c r="A6506">
        <f t="shared" si="148"/>
        <v>6504</v>
      </c>
    </row>
    <row r="6507" spans="1:1">
      <c r="A6507">
        <f t="shared" si="148"/>
        <v>6505</v>
      </c>
    </row>
    <row r="6508" spans="1:1">
      <c r="A6508">
        <f t="shared" si="148"/>
        <v>6506</v>
      </c>
    </row>
    <row r="6509" spans="1:1">
      <c r="A6509">
        <f t="shared" si="148"/>
        <v>6507</v>
      </c>
    </row>
    <row r="6510" spans="1:1">
      <c r="A6510">
        <f t="shared" si="148"/>
        <v>6508</v>
      </c>
    </row>
    <row r="6511" spans="1:1">
      <c r="A6511">
        <f t="shared" si="148"/>
        <v>6509</v>
      </c>
    </row>
    <row r="6512" spans="1:1">
      <c r="A6512">
        <f t="shared" si="148"/>
        <v>6510</v>
      </c>
    </row>
    <row r="6513" spans="1:1">
      <c r="A6513">
        <f t="shared" si="148"/>
        <v>6511</v>
      </c>
    </row>
    <row r="6514" spans="1:1">
      <c r="A6514">
        <f t="shared" si="148"/>
        <v>6512</v>
      </c>
    </row>
    <row r="6515" spans="1:1">
      <c r="A6515">
        <f t="shared" si="148"/>
        <v>6513</v>
      </c>
    </row>
    <row r="6516" spans="1:1">
      <c r="A6516">
        <f t="shared" si="148"/>
        <v>6514</v>
      </c>
    </row>
    <row r="6517" spans="1:1">
      <c r="A6517">
        <f t="shared" si="148"/>
        <v>6515</v>
      </c>
    </row>
    <row r="6518" spans="1:1">
      <c r="A6518">
        <f t="shared" si="148"/>
        <v>6516</v>
      </c>
    </row>
    <row r="6519" spans="1:1">
      <c r="A6519">
        <f t="shared" si="148"/>
        <v>6517</v>
      </c>
    </row>
    <row r="6520" spans="1:1">
      <c r="A6520">
        <f t="shared" si="148"/>
        <v>6518</v>
      </c>
    </row>
    <row r="6521" spans="1:1">
      <c r="A6521">
        <f t="shared" si="148"/>
        <v>6519</v>
      </c>
    </row>
    <row r="6522" spans="1:1">
      <c r="A6522">
        <f t="shared" si="148"/>
        <v>6520</v>
      </c>
    </row>
    <row r="6523" spans="1:1">
      <c r="A6523">
        <f t="shared" si="148"/>
        <v>6521</v>
      </c>
    </row>
    <row r="6524" spans="1:1">
      <c r="A6524">
        <f t="shared" si="148"/>
        <v>6522</v>
      </c>
    </row>
    <row r="6525" spans="1:1">
      <c r="A6525">
        <f t="shared" si="148"/>
        <v>6523</v>
      </c>
    </row>
    <row r="6526" spans="1:1">
      <c r="A6526">
        <f t="shared" si="148"/>
        <v>6524</v>
      </c>
    </row>
    <row r="6527" spans="1:1">
      <c r="A6527">
        <f t="shared" si="148"/>
        <v>6525</v>
      </c>
    </row>
    <row r="6528" spans="1:1">
      <c r="A6528">
        <f t="shared" si="148"/>
        <v>6526</v>
      </c>
    </row>
    <row r="6529" spans="1:1">
      <c r="A6529">
        <f t="shared" si="148"/>
        <v>6527</v>
      </c>
    </row>
    <row r="6530" spans="1:1">
      <c r="A6530">
        <f t="shared" si="148"/>
        <v>6528</v>
      </c>
    </row>
    <row r="6531" spans="1:1">
      <c r="A6531">
        <f t="shared" si="148"/>
        <v>6529</v>
      </c>
    </row>
    <row r="6532" spans="1:1">
      <c r="A6532">
        <f t="shared" si="148"/>
        <v>6530</v>
      </c>
    </row>
    <row r="6533" spans="1:1">
      <c r="A6533">
        <f t="shared" si="148"/>
        <v>6531</v>
      </c>
    </row>
    <row r="6534" spans="1:1">
      <c r="A6534">
        <f t="shared" si="148"/>
        <v>6532</v>
      </c>
    </row>
    <row r="6535" spans="1:1">
      <c r="A6535">
        <f t="shared" si="148"/>
        <v>6533</v>
      </c>
    </row>
    <row r="6536" spans="1:1">
      <c r="A6536">
        <f t="shared" si="148"/>
        <v>6534</v>
      </c>
    </row>
    <row r="6537" spans="1:1">
      <c r="A6537">
        <f t="shared" si="148"/>
        <v>6535</v>
      </c>
    </row>
    <row r="6538" spans="1:1">
      <c r="A6538">
        <f t="shared" si="148"/>
        <v>6536</v>
      </c>
    </row>
    <row r="6539" spans="1:1">
      <c r="A6539">
        <f t="shared" si="148"/>
        <v>6537</v>
      </c>
    </row>
    <row r="6540" spans="1:1">
      <c r="A6540">
        <f t="shared" si="148"/>
        <v>6538</v>
      </c>
    </row>
    <row r="6541" spans="1:1">
      <c r="A6541">
        <f t="shared" si="148"/>
        <v>6539</v>
      </c>
    </row>
    <row r="6542" spans="1:1">
      <c r="A6542">
        <f t="shared" si="148"/>
        <v>6540</v>
      </c>
    </row>
    <row r="6543" spans="1:1">
      <c r="A6543">
        <f t="shared" si="148"/>
        <v>6541</v>
      </c>
    </row>
    <row r="6544" spans="1:1">
      <c r="A6544">
        <f t="shared" si="148"/>
        <v>6542</v>
      </c>
    </row>
    <row r="6545" spans="1:1">
      <c r="A6545">
        <f t="shared" si="148"/>
        <v>6543</v>
      </c>
    </row>
    <row r="6546" spans="1:1">
      <c r="A6546">
        <f t="shared" si="148"/>
        <v>6544</v>
      </c>
    </row>
    <row r="6547" spans="1:1">
      <c r="A6547">
        <f t="shared" si="148"/>
        <v>6545</v>
      </c>
    </row>
    <row r="6548" spans="1:1">
      <c r="A6548">
        <f t="shared" si="148"/>
        <v>6546</v>
      </c>
    </row>
    <row r="6549" spans="1:1">
      <c r="A6549">
        <f t="shared" si="148"/>
        <v>6547</v>
      </c>
    </row>
    <row r="6550" spans="1:1">
      <c r="A6550">
        <f t="shared" si="148"/>
        <v>6548</v>
      </c>
    </row>
    <row r="6551" spans="1:1">
      <c r="A6551">
        <f t="shared" si="148"/>
        <v>6549</v>
      </c>
    </row>
    <row r="6552" spans="1:1">
      <c r="A6552">
        <f t="shared" si="148"/>
        <v>6550</v>
      </c>
    </row>
    <row r="6553" spans="1:1">
      <c r="A6553">
        <f t="shared" si="148"/>
        <v>6551</v>
      </c>
    </row>
    <row r="6554" spans="1:1">
      <c r="A6554">
        <f t="shared" si="148"/>
        <v>6552</v>
      </c>
    </row>
    <row r="6555" spans="1:1">
      <c r="A6555">
        <f t="shared" si="148"/>
        <v>6553</v>
      </c>
    </row>
    <row r="6556" spans="1:1">
      <c r="A6556">
        <f t="shared" si="148"/>
        <v>6554</v>
      </c>
    </row>
    <row r="6557" spans="1:1">
      <c r="A6557">
        <f t="shared" si="148"/>
        <v>6555</v>
      </c>
    </row>
    <row r="6558" spans="1:1">
      <c r="A6558">
        <f t="shared" si="148"/>
        <v>6556</v>
      </c>
    </row>
    <row r="6559" spans="1:1">
      <c r="A6559">
        <f t="shared" si="148"/>
        <v>6557</v>
      </c>
    </row>
    <row r="6560" spans="1:1">
      <c r="A6560">
        <f t="shared" si="148"/>
        <v>6558</v>
      </c>
    </row>
    <row r="6561" spans="1:1">
      <c r="A6561">
        <f t="shared" si="148"/>
        <v>6559</v>
      </c>
    </row>
    <row r="6562" spans="1:1">
      <c r="A6562">
        <f t="shared" si="148"/>
        <v>6560</v>
      </c>
    </row>
    <row r="6563" spans="1:1">
      <c r="A6563">
        <f t="shared" si="148"/>
        <v>6561</v>
      </c>
    </row>
    <row r="6564" spans="1:1">
      <c r="A6564">
        <f t="shared" ref="A6564:A6627" si="149">A6563+1</f>
        <v>6562</v>
      </c>
    </row>
    <row r="6565" spans="1:1">
      <c r="A6565">
        <f t="shared" si="149"/>
        <v>6563</v>
      </c>
    </row>
    <row r="6566" spans="1:1">
      <c r="A6566">
        <f t="shared" si="149"/>
        <v>6564</v>
      </c>
    </row>
    <row r="6567" spans="1:1">
      <c r="A6567">
        <f t="shared" si="149"/>
        <v>6565</v>
      </c>
    </row>
    <row r="6568" spans="1:1">
      <c r="A6568">
        <f t="shared" si="149"/>
        <v>6566</v>
      </c>
    </row>
    <row r="6569" spans="1:1">
      <c r="A6569">
        <f t="shared" si="149"/>
        <v>6567</v>
      </c>
    </row>
    <row r="6570" spans="1:1">
      <c r="A6570">
        <f t="shared" si="149"/>
        <v>6568</v>
      </c>
    </row>
    <row r="6571" spans="1:1">
      <c r="A6571">
        <f t="shared" si="149"/>
        <v>6569</v>
      </c>
    </row>
    <row r="6572" spans="1:1">
      <c r="A6572">
        <f t="shared" si="149"/>
        <v>6570</v>
      </c>
    </row>
    <row r="6573" spans="1:1">
      <c r="A6573">
        <f t="shared" si="149"/>
        <v>6571</v>
      </c>
    </row>
    <row r="6574" spans="1:1">
      <c r="A6574">
        <f t="shared" si="149"/>
        <v>6572</v>
      </c>
    </row>
    <row r="6575" spans="1:1">
      <c r="A6575">
        <f t="shared" si="149"/>
        <v>6573</v>
      </c>
    </row>
    <row r="6576" spans="1:1">
      <c r="A6576">
        <f t="shared" si="149"/>
        <v>6574</v>
      </c>
    </row>
    <row r="6577" spans="1:1">
      <c r="A6577">
        <f t="shared" si="149"/>
        <v>6575</v>
      </c>
    </row>
    <row r="6578" spans="1:1">
      <c r="A6578">
        <f t="shared" si="149"/>
        <v>6576</v>
      </c>
    </row>
    <row r="6579" spans="1:1">
      <c r="A6579">
        <f t="shared" si="149"/>
        <v>6577</v>
      </c>
    </row>
    <row r="6580" spans="1:1">
      <c r="A6580">
        <f t="shared" si="149"/>
        <v>6578</v>
      </c>
    </row>
    <row r="6581" spans="1:1">
      <c r="A6581">
        <f t="shared" si="149"/>
        <v>6579</v>
      </c>
    </row>
    <row r="6582" spans="1:1">
      <c r="A6582">
        <f t="shared" si="149"/>
        <v>6580</v>
      </c>
    </row>
    <row r="6583" spans="1:1">
      <c r="A6583">
        <f t="shared" si="149"/>
        <v>6581</v>
      </c>
    </row>
    <row r="6584" spans="1:1">
      <c r="A6584">
        <f t="shared" si="149"/>
        <v>6582</v>
      </c>
    </row>
    <row r="6585" spans="1:1">
      <c r="A6585">
        <f t="shared" si="149"/>
        <v>6583</v>
      </c>
    </row>
    <row r="6586" spans="1:1">
      <c r="A6586">
        <f t="shared" si="149"/>
        <v>6584</v>
      </c>
    </row>
    <row r="6587" spans="1:1">
      <c r="A6587">
        <f t="shared" si="149"/>
        <v>6585</v>
      </c>
    </row>
    <row r="6588" spans="1:1">
      <c r="A6588">
        <f t="shared" si="149"/>
        <v>6586</v>
      </c>
    </row>
    <row r="6589" spans="1:1">
      <c r="A6589">
        <f t="shared" si="149"/>
        <v>6587</v>
      </c>
    </row>
    <row r="6590" spans="1:1">
      <c r="A6590">
        <f t="shared" si="149"/>
        <v>6588</v>
      </c>
    </row>
    <row r="6591" spans="1:1">
      <c r="A6591">
        <f t="shared" si="149"/>
        <v>6589</v>
      </c>
    </row>
    <row r="6592" spans="1:1">
      <c r="A6592">
        <f t="shared" si="149"/>
        <v>6590</v>
      </c>
    </row>
    <row r="6593" spans="1:1">
      <c r="A6593">
        <f t="shared" si="149"/>
        <v>6591</v>
      </c>
    </row>
    <row r="6594" spans="1:1">
      <c r="A6594">
        <f t="shared" si="149"/>
        <v>6592</v>
      </c>
    </row>
    <row r="6595" spans="1:1">
      <c r="A6595">
        <f t="shared" si="149"/>
        <v>6593</v>
      </c>
    </row>
    <row r="6596" spans="1:1">
      <c r="A6596">
        <f t="shared" si="149"/>
        <v>6594</v>
      </c>
    </row>
    <row r="6597" spans="1:1">
      <c r="A6597">
        <f t="shared" si="149"/>
        <v>6595</v>
      </c>
    </row>
    <row r="6598" spans="1:1">
      <c r="A6598">
        <f t="shared" si="149"/>
        <v>6596</v>
      </c>
    </row>
    <row r="6599" spans="1:1">
      <c r="A6599">
        <f t="shared" si="149"/>
        <v>6597</v>
      </c>
    </row>
    <row r="6600" spans="1:1">
      <c r="A6600">
        <f t="shared" si="149"/>
        <v>6598</v>
      </c>
    </row>
    <row r="6601" spans="1:1">
      <c r="A6601">
        <f t="shared" si="149"/>
        <v>6599</v>
      </c>
    </row>
    <row r="6602" spans="1:1">
      <c r="A6602">
        <f t="shared" si="149"/>
        <v>6600</v>
      </c>
    </row>
    <row r="6603" spans="1:1">
      <c r="A6603">
        <f t="shared" si="149"/>
        <v>6601</v>
      </c>
    </row>
    <row r="6604" spans="1:1">
      <c r="A6604">
        <f t="shared" si="149"/>
        <v>6602</v>
      </c>
    </row>
    <row r="6605" spans="1:1">
      <c r="A6605">
        <f t="shared" si="149"/>
        <v>6603</v>
      </c>
    </row>
    <row r="6606" spans="1:1">
      <c r="A6606">
        <f t="shared" si="149"/>
        <v>6604</v>
      </c>
    </row>
    <row r="6607" spans="1:1">
      <c r="A6607">
        <f t="shared" si="149"/>
        <v>6605</v>
      </c>
    </row>
    <row r="6608" spans="1:1">
      <c r="A6608">
        <f t="shared" si="149"/>
        <v>6606</v>
      </c>
    </row>
    <row r="6609" spans="1:1">
      <c r="A6609">
        <f t="shared" si="149"/>
        <v>6607</v>
      </c>
    </row>
    <row r="6610" spans="1:1">
      <c r="A6610">
        <f t="shared" si="149"/>
        <v>6608</v>
      </c>
    </row>
    <row r="6611" spans="1:1">
      <c r="A6611">
        <f t="shared" si="149"/>
        <v>6609</v>
      </c>
    </row>
    <row r="6612" spans="1:1">
      <c r="A6612">
        <f t="shared" si="149"/>
        <v>6610</v>
      </c>
    </row>
    <row r="6613" spans="1:1">
      <c r="A6613">
        <f t="shared" si="149"/>
        <v>6611</v>
      </c>
    </row>
    <row r="6614" spans="1:1">
      <c r="A6614">
        <f t="shared" si="149"/>
        <v>6612</v>
      </c>
    </row>
    <row r="6615" spans="1:1">
      <c r="A6615">
        <f t="shared" si="149"/>
        <v>6613</v>
      </c>
    </row>
    <row r="6616" spans="1:1">
      <c r="A6616">
        <f t="shared" si="149"/>
        <v>6614</v>
      </c>
    </row>
    <row r="6617" spans="1:1">
      <c r="A6617">
        <f t="shared" si="149"/>
        <v>6615</v>
      </c>
    </row>
    <row r="6618" spans="1:1">
      <c r="A6618">
        <f t="shared" si="149"/>
        <v>6616</v>
      </c>
    </row>
    <row r="6619" spans="1:1">
      <c r="A6619">
        <f t="shared" si="149"/>
        <v>6617</v>
      </c>
    </row>
    <row r="6620" spans="1:1">
      <c r="A6620">
        <f t="shared" si="149"/>
        <v>6618</v>
      </c>
    </row>
    <row r="6621" spans="1:1">
      <c r="A6621">
        <f t="shared" si="149"/>
        <v>6619</v>
      </c>
    </row>
    <row r="6622" spans="1:1">
      <c r="A6622">
        <f t="shared" si="149"/>
        <v>6620</v>
      </c>
    </row>
    <row r="6623" spans="1:1">
      <c r="A6623">
        <f t="shared" si="149"/>
        <v>6621</v>
      </c>
    </row>
    <row r="6624" spans="1:1">
      <c r="A6624">
        <f t="shared" si="149"/>
        <v>6622</v>
      </c>
    </row>
    <row r="6625" spans="1:1">
      <c r="A6625">
        <f t="shared" si="149"/>
        <v>6623</v>
      </c>
    </row>
    <row r="6626" spans="1:1">
      <c r="A6626">
        <f t="shared" si="149"/>
        <v>6624</v>
      </c>
    </row>
    <row r="6627" spans="1:1">
      <c r="A6627">
        <f t="shared" si="149"/>
        <v>6625</v>
      </c>
    </row>
    <row r="6628" spans="1:1">
      <c r="A6628">
        <f t="shared" ref="A6628:A6691" si="150">A6627+1</f>
        <v>6626</v>
      </c>
    </row>
    <row r="6629" spans="1:1">
      <c r="A6629">
        <f t="shared" si="150"/>
        <v>6627</v>
      </c>
    </row>
    <row r="6630" spans="1:1">
      <c r="A6630">
        <f t="shared" si="150"/>
        <v>6628</v>
      </c>
    </row>
    <row r="6631" spans="1:1">
      <c r="A6631">
        <f t="shared" si="150"/>
        <v>6629</v>
      </c>
    </row>
    <row r="6632" spans="1:1">
      <c r="A6632">
        <f t="shared" si="150"/>
        <v>6630</v>
      </c>
    </row>
    <row r="6633" spans="1:1">
      <c r="A6633">
        <f t="shared" si="150"/>
        <v>6631</v>
      </c>
    </row>
    <row r="6634" spans="1:1">
      <c r="A6634">
        <f t="shared" si="150"/>
        <v>6632</v>
      </c>
    </row>
    <row r="6635" spans="1:1">
      <c r="A6635">
        <f t="shared" si="150"/>
        <v>6633</v>
      </c>
    </row>
    <row r="6636" spans="1:1">
      <c r="A6636">
        <f t="shared" si="150"/>
        <v>6634</v>
      </c>
    </row>
    <row r="6637" spans="1:1">
      <c r="A6637">
        <f t="shared" si="150"/>
        <v>6635</v>
      </c>
    </row>
    <row r="6638" spans="1:1">
      <c r="A6638">
        <f t="shared" si="150"/>
        <v>6636</v>
      </c>
    </row>
    <row r="6639" spans="1:1">
      <c r="A6639">
        <f t="shared" si="150"/>
        <v>6637</v>
      </c>
    </row>
    <row r="6640" spans="1:1">
      <c r="A6640">
        <f t="shared" si="150"/>
        <v>6638</v>
      </c>
    </row>
    <row r="6641" spans="1:1">
      <c r="A6641">
        <f t="shared" si="150"/>
        <v>6639</v>
      </c>
    </row>
    <row r="6642" spans="1:1">
      <c r="A6642">
        <f t="shared" si="150"/>
        <v>6640</v>
      </c>
    </row>
    <row r="6643" spans="1:1">
      <c r="A6643">
        <f t="shared" si="150"/>
        <v>6641</v>
      </c>
    </row>
    <row r="6644" spans="1:1">
      <c r="A6644">
        <f t="shared" si="150"/>
        <v>6642</v>
      </c>
    </row>
    <row r="6645" spans="1:1">
      <c r="A6645">
        <f t="shared" si="150"/>
        <v>6643</v>
      </c>
    </row>
    <row r="6646" spans="1:1">
      <c r="A6646">
        <f t="shared" si="150"/>
        <v>6644</v>
      </c>
    </row>
    <row r="6647" spans="1:1">
      <c r="A6647">
        <f t="shared" si="150"/>
        <v>6645</v>
      </c>
    </row>
    <row r="6648" spans="1:1">
      <c r="A6648">
        <f t="shared" si="150"/>
        <v>6646</v>
      </c>
    </row>
    <row r="6649" spans="1:1">
      <c r="A6649">
        <f t="shared" si="150"/>
        <v>6647</v>
      </c>
    </row>
    <row r="6650" spans="1:1">
      <c r="A6650">
        <f t="shared" si="150"/>
        <v>6648</v>
      </c>
    </row>
    <row r="6651" spans="1:1">
      <c r="A6651">
        <f t="shared" si="150"/>
        <v>6649</v>
      </c>
    </row>
    <row r="6652" spans="1:1">
      <c r="A6652">
        <f t="shared" si="150"/>
        <v>6650</v>
      </c>
    </row>
    <row r="6653" spans="1:1">
      <c r="A6653">
        <f t="shared" si="150"/>
        <v>6651</v>
      </c>
    </row>
    <row r="6654" spans="1:1">
      <c r="A6654">
        <f t="shared" si="150"/>
        <v>6652</v>
      </c>
    </row>
    <row r="6655" spans="1:1">
      <c r="A6655">
        <f t="shared" si="150"/>
        <v>6653</v>
      </c>
    </row>
    <row r="6656" spans="1:1">
      <c r="A6656">
        <f t="shared" si="150"/>
        <v>6654</v>
      </c>
    </row>
    <row r="6657" spans="1:1">
      <c r="A6657">
        <f t="shared" si="150"/>
        <v>6655</v>
      </c>
    </row>
    <row r="6658" spans="1:1">
      <c r="A6658">
        <f t="shared" si="150"/>
        <v>6656</v>
      </c>
    </row>
    <row r="6659" spans="1:1">
      <c r="A6659">
        <f t="shared" si="150"/>
        <v>6657</v>
      </c>
    </row>
    <row r="6660" spans="1:1">
      <c r="A6660">
        <f t="shared" si="150"/>
        <v>6658</v>
      </c>
    </row>
    <row r="6661" spans="1:1">
      <c r="A6661">
        <f t="shared" si="150"/>
        <v>6659</v>
      </c>
    </row>
    <row r="6662" spans="1:1">
      <c r="A6662">
        <f t="shared" si="150"/>
        <v>6660</v>
      </c>
    </row>
    <row r="6663" spans="1:1">
      <c r="A6663">
        <f t="shared" si="150"/>
        <v>6661</v>
      </c>
    </row>
    <row r="6664" spans="1:1">
      <c r="A6664">
        <f t="shared" si="150"/>
        <v>6662</v>
      </c>
    </row>
    <row r="6665" spans="1:1">
      <c r="A6665">
        <f t="shared" si="150"/>
        <v>6663</v>
      </c>
    </row>
    <row r="6666" spans="1:1">
      <c r="A6666">
        <f t="shared" si="150"/>
        <v>6664</v>
      </c>
    </row>
    <row r="6667" spans="1:1">
      <c r="A6667">
        <f t="shared" si="150"/>
        <v>6665</v>
      </c>
    </row>
    <row r="6668" spans="1:1">
      <c r="A6668">
        <f t="shared" si="150"/>
        <v>6666</v>
      </c>
    </row>
    <row r="6669" spans="1:1">
      <c r="A6669">
        <f t="shared" si="150"/>
        <v>6667</v>
      </c>
    </row>
    <row r="6670" spans="1:1">
      <c r="A6670">
        <f t="shared" si="150"/>
        <v>6668</v>
      </c>
    </row>
    <row r="6671" spans="1:1">
      <c r="A6671">
        <f t="shared" si="150"/>
        <v>6669</v>
      </c>
    </row>
    <row r="6672" spans="1:1">
      <c r="A6672">
        <f t="shared" si="150"/>
        <v>6670</v>
      </c>
    </row>
    <row r="6673" spans="1:1">
      <c r="A6673">
        <f t="shared" si="150"/>
        <v>6671</v>
      </c>
    </row>
    <row r="6674" spans="1:1">
      <c r="A6674">
        <f t="shared" si="150"/>
        <v>6672</v>
      </c>
    </row>
    <row r="6675" spans="1:1">
      <c r="A6675">
        <f t="shared" si="150"/>
        <v>6673</v>
      </c>
    </row>
    <row r="6676" spans="1:1">
      <c r="A6676">
        <f t="shared" si="150"/>
        <v>6674</v>
      </c>
    </row>
    <row r="6677" spans="1:1">
      <c r="A6677">
        <f t="shared" si="150"/>
        <v>6675</v>
      </c>
    </row>
    <row r="6678" spans="1:1">
      <c r="A6678">
        <f t="shared" si="150"/>
        <v>6676</v>
      </c>
    </row>
    <row r="6679" spans="1:1">
      <c r="A6679">
        <f t="shared" si="150"/>
        <v>6677</v>
      </c>
    </row>
    <row r="6680" spans="1:1">
      <c r="A6680">
        <f t="shared" si="150"/>
        <v>6678</v>
      </c>
    </row>
    <row r="6681" spans="1:1">
      <c r="A6681">
        <f t="shared" si="150"/>
        <v>6679</v>
      </c>
    </row>
    <row r="6682" spans="1:1">
      <c r="A6682">
        <f t="shared" si="150"/>
        <v>6680</v>
      </c>
    </row>
    <row r="6683" spans="1:1">
      <c r="A6683">
        <f t="shared" si="150"/>
        <v>6681</v>
      </c>
    </row>
    <row r="6684" spans="1:1">
      <c r="A6684">
        <f t="shared" si="150"/>
        <v>6682</v>
      </c>
    </row>
    <row r="6685" spans="1:1">
      <c r="A6685">
        <f t="shared" si="150"/>
        <v>6683</v>
      </c>
    </row>
    <row r="6686" spans="1:1">
      <c r="A6686">
        <f t="shared" si="150"/>
        <v>6684</v>
      </c>
    </row>
    <row r="6687" spans="1:1">
      <c r="A6687">
        <f t="shared" si="150"/>
        <v>6685</v>
      </c>
    </row>
    <row r="6688" spans="1:1">
      <c r="A6688">
        <f t="shared" si="150"/>
        <v>6686</v>
      </c>
    </row>
    <row r="6689" spans="1:1">
      <c r="A6689">
        <f t="shared" si="150"/>
        <v>6687</v>
      </c>
    </row>
    <row r="6690" spans="1:1">
      <c r="A6690">
        <f t="shared" si="150"/>
        <v>6688</v>
      </c>
    </row>
    <row r="6691" spans="1:1">
      <c r="A6691">
        <f t="shared" si="150"/>
        <v>6689</v>
      </c>
    </row>
    <row r="6692" spans="1:1">
      <c r="A6692">
        <f t="shared" ref="A6692:A6755" si="151">A6691+1</f>
        <v>6690</v>
      </c>
    </row>
    <row r="6693" spans="1:1">
      <c r="A6693">
        <f t="shared" si="151"/>
        <v>6691</v>
      </c>
    </row>
    <row r="6694" spans="1:1">
      <c r="A6694">
        <f t="shared" si="151"/>
        <v>6692</v>
      </c>
    </row>
    <row r="6695" spans="1:1">
      <c r="A6695">
        <f t="shared" si="151"/>
        <v>6693</v>
      </c>
    </row>
    <row r="6696" spans="1:1">
      <c r="A6696">
        <f t="shared" si="151"/>
        <v>6694</v>
      </c>
    </row>
    <row r="6697" spans="1:1">
      <c r="A6697">
        <f t="shared" si="151"/>
        <v>6695</v>
      </c>
    </row>
    <row r="6698" spans="1:1">
      <c r="A6698">
        <f t="shared" si="151"/>
        <v>6696</v>
      </c>
    </row>
    <row r="6699" spans="1:1">
      <c r="A6699">
        <f t="shared" si="151"/>
        <v>6697</v>
      </c>
    </row>
    <row r="6700" spans="1:1">
      <c r="A6700">
        <f t="shared" si="151"/>
        <v>6698</v>
      </c>
    </row>
    <row r="6701" spans="1:1">
      <c r="A6701">
        <f t="shared" si="151"/>
        <v>6699</v>
      </c>
    </row>
    <row r="6702" spans="1:1">
      <c r="A6702">
        <f t="shared" si="151"/>
        <v>6700</v>
      </c>
    </row>
    <row r="6703" spans="1:1">
      <c r="A6703">
        <f t="shared" si="151"/>
        <v>6701</v>
      </c>
    </row>
    <row r="6704" spans="1:1">
      <c r="A6704">
        <f t="shared" si="151"/>
        <v>6702</v>
      </c>
    </row>
    <row r="6705" spans="1:1">
      <c r="A6705">
        <f t="shared" si="151"/>
        <v>6703</v>
      </c>
    </row>
    <row r="6706" spans="1:1">
      <c r="A6706">
        <f t="shared" si="151"/>
        <v>6704</v>
      </c>
    </row>
    <row r="6707" spans="1:1">
      <c r="A6707">
        <f t="shared" si="151"/>
        <v>6705</v>
      </c>
    </row>
    <row r="6708" spans="1:1">
      <c r="A6708">
        <f t="shared" si="151"/>
        <v>6706</v>
      </c>
    </row>
    <row r="6709" spans="1:1">
      <c r="A6709">
        <f t="shared" si="151"/>
        <v>6707</v>
      </c>
    </row>
    <row r="6710" spans="1:1">
      <c r="A6710">
        <f t="shared" si="151"/>
        <v>6708</v>
      </c>
    </row>
    <row r="6711" spans="1:1">
      <c r="A6711">
        <f t="shared" si="151"/>
        <v>6709</v>
      </c>
    </row>
    <row r="6712" spans="1:1">
      <c r="A6712">
        <f t="shared" si="151"/>
        <v>6710</v>
      </c>
    </row>
    <row r="6713" spans="1:1">
      <c r="A6713">
        <f t="shared" si="151"/>
        <v>6711</v>
      </c>
    </row>
    <row r="6714" spans="1:1">
      <c r="A6714">
        <f t="shared" si="151"/>
        <v>6712</v>
      </c>
    </row>
    <row r="6715" spans="1:1">
      <c r="A6715">
        <f t="shared" si="151"/>
        <v>6713</v>
      </c>
    </row>
    <row r="6716" spans="1:1">
      <c r="A6716">
        <f t="shared" si="151"/>
        <v>6714</v>
      </c>
    </row>
    <row r="6717" spans="1:1">
      <c r="A6717">
        <f t="shared" si="151"/>
        <v>6715</v>
      </c>
    </row>
    <row r="6718" spans="1:1">
      <c r="A6718">
        <f t="shared" si="151"/>
        <v>6716</v>
      </c>
    </row>
    <row r="6719" spans="1:1">
      <c r="A6719">
        <f t="shared" si="151"/>
        <v>6717</v>
      </c>
    </row>
    <row r="6720" spans="1:1">
      <c r="A6720">
        <f t="shared" si="151"/>
        <v>6718</v>
      </c>
    </row>
    <row r="6721" spans="1:1">
      <c r="A6721">
        <f t="shared" si="151"/>
        <v>6719</v>
      </c>
    </row>
    <row r="6722" spans="1:1">
      <c r="A6722">
        <f t="shared" si="151"/>
        <v>6720</v>
      </c>
    </row>
    <row r="6723" spans="1:1">
      <c r="A6723">
        <f t="shared" si="151"/>
        <v>6721</v>
      </c>
    </row>
    <row r="6724" spans="1:1">
      <c r="A6724">
        <f t="shared" si="151"/>
        <v>6722</v>
      </c>
    </row>
    <row r="6725" spans="1:1">
      <c r="A6725">
        <f t="shared" si="151"/>
        <v>6723</v>
      </c>
    </row>
    <row r="6726" spans="1:1">
      <c r="A6726">
        <f t="shared" si="151"/>
        <v>6724</v>
      </c>
    </row>
    <row r="6727" spans="1:1">
      <c r="A6727">
        <f t="shared" si="151"/>
        <v>6725</v>
      </c>
    </row>
    <row r="6728" spans="1:1">
      <c r="A6728">
        <f t="shared" si="151"/>
        <v>6726</v>
      </c>
    </row>
    <row r="6729" spans="1:1">
      <c r="A6729">
        <f t="shared" si="151"/>
        <v>6727</v>
      </c>
    </row>
    <row r="6730" spans="1:1">
      <c r="A6730">
        <f t="shared" si="151"/>
        <v>6728</v>
      </c>
    </row>
    <row r="6731" spans="1:1">
      <c r="A6731">
        <f t="shared" si="151"/>
        <v>6729</v>
      </c>
    </row>
    <row r="6732" spans="1:1">
      <c r="A6732">
        <f t="shared" si="151"/>
        <v>6730</v>
      </c>
    </row>
    <row r="6733" spans="1:1">
      <c r="A6733">
        <f t="shared" si="151"/>
        <v>6731</v>
      </c>
    </row>
    <row r="6734" spans="1:1">
      <c r="A6734">
        <f t="shared" si="151"/>
        <v>6732</v>
      </c>
    </row>
    <row r="6735" spans="1:1">
      <c r="A6735">
        <f t="shared" si="151"/>
        <v>6733</v>
      </c>
    </row>
    <row r="6736" spans="1:1">
      <c r="A6736">
        <f t="shared" si="151"/>
        <v>6734</v>
      </c>
    </row>
    <row r="6737" spans="1:1">
      <c r="A6737">
        <f t="shared" si="151"/>
        <v>6735</v>
      </c>
    </row>
    <row r="6738" spans="1:1">
      <c r="A6738">
        <f t="shared" si="151"/>
        <v>6736</v>
      </c>
    </row>
    <row r="6739" spans="1:1">
      <c r="A6739">
        <f t="shared" si="151"/>
        <v>6737</v>
      </c>
    </row>
    <row r="6740" spans="1:1">
      <c r="A6740">
        <f t="shared" si="151"/>
        <v>6738</v>
      </c>
    </row>
    <row r="6741" spans="1:1">
      <c r="A6741">
        <f t="shared" si="151"/>
        <v>6739</v>
      </c>
    </row>
    <row r="6742" spans="1:1">
      <c r="A6742">
        <f t="shared" si="151"/>
        <v>6740</v>
      </c>
    </row>
    <row r="6743" spans="1:1">
      <c r="A6743">
        <f t="shared" si="151"/>
        <v>6741</v>
      </c>
    </row>
    <row r="6744" spans="1:1">
      <c r="A6744">
        <f t="shared" si="151"/>
        <v>6742</v>
      </c>
    </row>
    <row r="6745" spans="1:1">
      <c r="A6745">
        <f t="shared" si="151"/>
        <v>6743</v>
      </c>
    </row>
    <row r="6746" spans="1:1">
      <c r="A6746">
        <f t="shared" si="151"/>
        <v>6744</v>
      </c>
    </row>
    <row r="6747" spans="1:1">
      <c r="A6747">
        <f t="shared" si="151"/>
        <v>6745</v>
      </c>
    </row>
    <row r="6748" spans="1:1">
      <c r="A6748">
        <f t="shared" si="151"/>
        <v>6746</v>
      </c>
    </row>
    <row r="6749" spans="1:1">
      <c r="A6749">
        <f t="shared" si="151"/>
        <v>6747</v>
      </c>
    </row>
    <row r="6750" spans="1:1">
      <c r="A6750">
        <f t="shared" si="151"/>
        <v>6748</v>
      </c>
    </row>
    <row r="6751" spans="1:1">
      <c r="A6751">
        <f t="shared" si="151"/>
        <v>6749</v>
      </c>
    </row>
    <row r="6752" spans="1:1">
      <c r="A6752">
        <f t="shared" si="151"/>
        <v>6750</v>
      </c>
    </row>
    <row r="6753" spans="1:1">
      <c r="A6753">
        <f t="shared" si="151"/>
        <v>6751</v>
      </c>
    </row>
    <row r="6754" spans="1:1">
      <c r="A6754">
        <f t="shared" si="151"/>
        <v>6752</v>
      </c>
    </row>
    <row r="6755" spans="1:1">
      <c r="A6755">
        <f t="shared" si="151"/>
        <v>6753</v>
      </c>
    </row>
    <row r="6756" spans="1:1">
      <c r="A6756">
        <f t="shared" ref="A6756:A6819" si="152">A6755+1</f>
        <v>6754</v>
      </c>
    </row>
    <row r="6757" spans="1:1">
      <c r="A6757">
        <f t="shared" si="152"/>
        <v>6755</v>
      </c>
    </row>
    <row r="6758" spans="1:1">
      <c r="A6758">
        <f t="shared" si="152"/>
        <v>6756</v>
      </c>
    </row>
    <row r="6759" spans="1:1">
      <c r="A6759">
        <f t="shared" si="152"/>
        <v>6757</v>
      </c>
    </row>
    <row r="6760" spans="1:1">
      <c r="A6760">
        <f t="shared" si="152"/>
        <v>6758</v>
      </c>
    </row>
    <row r="6761" spans="1:1">
      <c r="A6761">
        <f t="shared" si="152"/>
        <v>6759</v>
      </c>
    </row>
    <row r="6762" spans="1:1">
      <c r="A6762">
        <f t="shared" si="152"/>
        <v>6760</v>
      </c>
    </row>
    <row r="6763" spans="1:1">
      <c r="A6763">
        <f t="shared" si="152"/>
        <v>6761</v>
      </c>
    </row>
    <row r="6764" spans="1:1">
      <c r="A6764">
        <f t="shared" si="152"/>
        <v>6762</v>
      </c>
    </row>
    <row r="6765" spans="1:1">
      <c r="A6765">
        <f t="shared" si="152"/>
        <v>6763</v>
      </c>
    </row>
    <row r="6766" spans="1:1">
      <c r="A6766">
        <f t="shared" si="152"/>
        <v>6764</v>
      </c>
    </row>
    <row r="6767" spans="1:1">
      <c r="A6767">
        <f t="shared" si="152"/>
        <v>6765</v>
      </c>
    </row>
    <row r="6768" spans="1:1">
      <c r="A6768">
        <f t="shared" si="152"/>
        <v>6766</v>
      </c>
    </row>
    <row r="6769" spans="1:1">
      <c r="A6769">
        <f t="shared" si="152"/>
        <v>6767</v>
      </c>
    </row>
    <row r="6770" spans="1:1">
      <c r="A6770">
        <f t="shared" si="152"/>
        <v>6768</v>
      </c>
    </row>
    <row r="6771" spans="1:1">
      <c r="A6771">
        <f t="shared" si="152"/>
        <v>6769</v>
      </c>
    </row>
    <row r="6772" spans="1:1">
      <c r="A6772">
        <f t="shared" si="152"/>
        <v>6770</v>
      </c>
    </row>
    <row r="6773" spans="1:1">
      <c r="A6773">
        <f t="shared" si="152"/>
        <v>6771</v>
      </c>
    </row>
    <row r="6774" spans="1:1">
      <c r="A6774">
        <f t="shared" si="152"/>
        <v>6772</v>
      </c>
    </row>
    <row r="6775" spans="1:1">
      <c r="A6775">
        <f t="shared" si="152"/>
        <v>6773</v>
      </c>
    </row>
    <row r="6776" spans="1:1">
      <c r="A6776">
        <f t="shared" si="152"/>
        <v>6774</v>
      </c>
    </row>
    <row r="6777" spans="1:1">
      <c r="A6777">
        <f t="shared" si="152"/>
        <v>6775</v>
      </c>
    </row>
    <row r="6778" spans="1:1">
      <c r="A6778">
        <f t="shared" si="152"/>
        <v>6776</v>
      </c>
    </row>
    <row r="6779" spans="1:1">
      <c r="A6779">
        <f t="shared" si="152"/>
        <v>6777</v>
      </c>
    </row>
    <row r="6780" spans="1:1">
      <c r="A6780">
        <f t="shared" si="152"/>
        <v>6778</v>
      </c>
    </row>
    <row r="6781" spans="1:1">
      <c r="A6781">
        <f t="shared" si="152"/>
        <v>6779</v>
      </c>
    </row>
    <row r="6782" spans="1:1">
      <c r="A6782">
        <f t="shared" si="152"/>
        <v>6780</v>
      </c>
    </row>
    <row r="6783" spans="1:1">
      <c r="A6783">
        <f t="shared" si="152"/>
        <v>6781</v>
      </c>
    </row>
    <row r="6784" spans="1:1">
      <c r="A6784">
        <f t="shared" si="152"/>
        <v>6782</v>
      </c>
    </row>
    <row r="6785" spans="1:1">
      <c r="A6785">
        <f t="shared" si="152"/>
        <v>6783</v>
      </c>
    </row>
    <row r="6786" spans="1:1">
      <c r="A6786">
        <f t="shared" si="152"/>
        <v>6784</v>
      </c>
    </row>
    <row r="6787" spans="1:1">
      <c r="A6787">
        <f t="shared" si="152"/>
        <v>6785</v>
      </c>
    </row>
    <row r="6788" spans="1:1">
      <c r="A6788">
        <f t="shared" si="152"/>
        <v>6786</v>
      </c>
    </row>
    <row r="6789" spans="1:1">
      <c r="A6789">
        <f t="shared" si="152"/>
        <v>6787</v>
      </c>
    </row>
    <row r="6790" spans="1:1">
      <c r="A6790">
        <f t="shared" si="152"/>
        <v>6788</v>
      </c>
    </row>
    <row r="6791" spans="1:1">
      <c r="A6791">
        <f t="shared" si="152"/>
        <v>6789</v>
      </c>
    </row>
    <row r="6792" spans="1:1">
      <c r="A6792">
        <f t="shared" si="152"/>
        <v>6790</v>
      </c>
    </row>
    <row r="6793" spans="1:1">
      <c r="A6793">
        <f t="shared" si="152"/>
        <v>6791</v>
      </c>
    </row>
    <row r="6794" spans="1:1">
      <c r="A6794">
        <f t="shared" si="152"/>
        <v>6792</v>
      </c>
    </row>
    <row r="6795" spans="1:1">
      <c r="A6795">
        <f t="shared" si="152"/>
        <v>6793</v>
      </c>
    </row>
    <row r="6796" spans="1:1">
      <c r="A6796">
        <f t="shared" si="152"/>
        <v>6794</v>
      </c>
    </row>
    <row r="6797" spans="1:1">
      <c r="A6797">
        <f t="shared" si="152"/>
        <v>6795</v>
      </c>
    </row>
    <row r="6798" spans="1:1">
      <c r="A6798">
        <f t="shared" si="152"/>
        <v>6796</v>
      </c>
    </row>
    <row r="6799" spans="1:1">
      <c r="A6799">
        <f t="shared" si="152"/>
        <v>6797</v>
      </c>
    </row>
    <row r="6800" spans="1:1">
      <c r="A6800">
        <f t="shared" si="152"/>
        <v>6798</v>
      </c>
    </row>
    <row r="6801" spans="1:1">
      <c r="A6801">
        <f t="shared" si="152"/>
        <v>6799</v>
      </c>
    </row>
    <row r="6802" spans="1:1">
      <c r="A6802">
        <f t="shared" si="152"/>
        <v>6800</v>
      </c>
    </row>
    <row r="6803" spans="1:1">
      <c r="A6803">
        <f t="shared" si="152"/>
        <v>6801</v>
      </c>
    </row>
    <row r="6804" spans="1:1">
      <c r="A6804">
        <f t="shared" si="152"/>
        <v>6802</v>
      </c>
    </row>
    <row r="6805" spans="1:1">
      <c r="A6805">
        <f t="shared" si="152"/>
        <v>6803</v>
      </c>
    </row>
    <row r="6806" spans="1:1">
      <c r="A6806">
        <f t="shared" si="152"/>
        <v>6804</v>
      </c>
    </row>
    <row r="6807" spans="1:1">
      <c r="A6807">
        <f t="shared" si="152"/>
        <v>6805</v>
      </c>
    </row>
    <row r="6808" spans="1:1">
      <c r="A6808">
        <f t="shared" si="152"/>
        <v>6806</v>
      </c>
    </row>
    <row r="6809" spans="1:1">
      <c r="A6809">
        <f t="shared" si="152"/>
        <v>6807</v>
      </c>
    </row>
    <row r="6810" spans="1:1">
      <c r="A6810">
        <f t="shared" si="152"/>
        <v>6808</v>
      </c>
    </row>
    <row r="6811" spans="1:1">
      <c r="A6811">
        <f t="shared" si="152"/>
        <v>6809</v>
      </c>
    </row>
    <row r="6812" spans="1:1">
      <c r="A6812">
        <f t="shared" si="152"/>
        <v>6810</v>
      </c>
    </row>
    <row r="6813" spans="1:1">
      <c r="A6813">
        <f t="shared" si="152"/>
        <v>6811</v>
      </c>
    </row>
    <row r="6814" spans="1:1">
      <c r="A6814">
        <f t="shared" si="152"/>
        <v>6812</v>
      </c>
    </row>
    <row r="6815" spans="1:1">
      <c r="A6815">
        <f t="shared" si="152"/>
        <v>6813</v>
      </c>
    </row>
    <row r="6816" spans="1:1">
      <c r="A6816">
        <f t="shared" si="152"/>
        <v>6814</v>
      </c>
    </row>
    <row r="6817" spans="1:1">
      <c r="A6817">
        <f t="shared" si="152"/>
        <v>6815</v>
      </c>
    </row>
    <row r="6818" spans="1:1">
      <c r="A6818">
        <f t="shared" si="152"/>
        <v>6816</v>
      </c>
    </row>
    <row r="6819" spans="1:1">
      <c r="A6819">
        <f t="shared" si="152"/>
        <v>6817</v>
      </c>
    </row>
    <row r="6820" spans="1:1">
      <c r="A6820">
        <f t="shared" ref="A6820:A6883" si="153">A6819+1</f>
        <v>6818</v>
      </c>
    </row>
    <row r="6821" spans="1:1">
      <c r="A6821">
        <f t="shared" si="153"/>
        <v>6819</v>
      </c>
    </row>
    <row r="6822" spans="1:1">
      <c r="A6822">
        <f t="shared" si="153"/>
        <v>6820</v>
      </c>
    </row>
    <row r="6823" spans="1:1">
      <c r="A6823">
        <f t="shared" si="153"/>
        <v>6821</v>
      </c>
    </row>
    <row r="6824" spans="1:1">
      <c r="A6824">
        <f t="shared" si="153"/>
        <v>6822</v>
      </c>
    </row>
    <row r="6825" spans="1:1">
      <c r="A6825">
        <f t="shared" si="153"/>
        <v>6823</v>
      </c>
    </row>
    <row r="6826" spans="1:1">
      <c r="A6826">
        <f t="shared" si="153"/>
        <v>6824</v>
      </c>
    </row>
    <row r="6827" spans="1:1">
      <c r="A6827">
        <f t="shared" si="153"/>
        <v>6825</v>
      </c>
    </row>
    <row r="6828" spans="1:1">
      <c r="A6828">
        <f t="shared" si="153"/>
        <v>6826</v>
      </c>
    </row>
    <row r="6829" spans="1:1">
      <c r="A6829">
        <f t="shared" si="153"/>
        <v>6827</v>
      </c>
    </row>
    <row r="6830" spans="1:1">
      <c r="A6830">
        <f t="shared" si="153"/>
        <v>6828</v>
      </c>
    </row>
    <row r="6831" spans="1:1">
      <c r="A6831">
        <f t="shared" si="153"/>
        <v>6829</v>
      </c>
    </row>
    <row r="6832" spans="1:1">
      <c r="A6832">
        <f t="shared" si="153"/>
        <v>6830</v>
      </c>
    </row>
    <row r="6833" spans="1:1">
      <c r="A6833">
        <f t="shared" si="153"/>
        <v>6831</v>
      </c>
    </row>
    <row r="6834" spans="1:1">
      <c r="A6834">
        <f t="shared" si="153"/>
        <v>6832</v>
      </c>
    </row>
    <row r="6835" spans="1:1">
      <c r="A6835">
        <f t="shared" si="153"/>
        <v>6833</v>
      </c>
    </row>
    <row r="6836" spans="1:1">
      <c r="A6836">
        <f t="shared" si="153"/>
        <v>6834</v>
      </c>
    </row>
    <row r="6837" spans="1:1">
      <c r="A6837">
        <f t="shared" si="153"/>
        <v>6835</v>
      </c>
    </row>
    <row r="6838" spans="1:1">
      <c r="A6838">
        <f t="shared" si="153"/>
        <v>6836</v>
      </c>
    </row>
    <row r="6839" spans="1:1">
      <c r="A6839">
        <f t="shared" si="153"/>
        <v>6837</v>
      </c>
    </row>
    <row r="6840" spans="1:1">
      <c r="A6840">
        <f t="shared" si="153"/>
        <v>6838</v>
      </c>
    </row>
    <row r="6841" spans="1:1">
      <c r="A6841">
        <f t="shared" si="153"/>
        <v>6839</v>
      </c>
    </row>
    <row r="6842" spans="1:1">
      <c r="A6842">
        <f t="shared" si="153"/>
        <v>6840</v>
      </c>
    </row>
    <row r="6843" spans="1:1">
      <c r="A6843">
        <f t="shared" si="153"/>
        <v>6841</v>
      </c>
    </row>
    <row r="6844" spans="1:1">
      <c r="A6844">
        <f t="shared" si="153"/>
        <v>6842</v>
      </c>
    </row>
    <row r="6845" spans="1:1">
      <c r="A6845">
        <f t="shared" si="153"/>
        <v>6843</v>
      </c>
    </row>
    <row r="6846" spans="1:1">
      <c r="A6846">
        <f t="shared" si="153"/>
        <v>6844</v>
      </c>
    </row>
    <row r="6847" spans="1:1">
      <c r="A6847">
        <f t="shared" si="153"/>
        <v>6845</v>
      </c>
    </row>
    <row r="6848" spans="1:1">
      <c r="A6848">
        <f t="shared" si="153"/>
        <v>6846</v>
      </c>
    </row>
    <row r="6849" spans="1:1">
      <c r="A6849">
        <f t="shared" si="153"/>
        <v>6847</v>
      </c>
    </row>
    <row r="6850" spans="1:1">
      <c r="A6850">
        <f t="shared" si="153"/>
        <v>6848</v>
      </c>
    </row>
    <row r="6851" spans="1:1">
      <c r="A6851">
        <f t="shared" si="153"/>
        <v>6849</v>
      </c>
    </row>
    <row r="6852" spans="1:1">
      <c r="A6852">
        <f t="shared" si="153"/>
        <v>6850</v>
      </c>
    </row>
    <row r="6853" spans="1:1">
      <c r="A6853">
        <f t="shared" si="153"/>
        <v>6851</v>
      </c>
    </row>
    <row r="6854" spans="1:1">
      <c r="A6854">
        <f t="shared" si="153"/>
        <v>6852</v>
      </c>
    </row>
    <row r="6855" spans="1:1">
      <c r="A6855">
        <f t="shared" si="153"/>
        <v>6853</v>
      </c>
    </row>
    <row r="6856" spans="1:1">
      <c r="A6856">
        <f t="shared" si="153"/>
        <v>6854</v>
      </c>
    </row>
    <row r="6857" spans="1:1">
      <c r="A6857">
        <f t="shared" si="153"/>
        <v>6855</v>
      </c>
    </row>
    <row r="6858" spans="1:1">
      <c r="A6858">
        <f t="shared" si="153"/>
        <v>6856</v>
      </c>
    </row>
    <row r="6859" spans="1:1">
      <c r="A6859">
        <f t="shared" si="153"/>
        <v>6857</v>
      </c>
    </row>
    <row r="6860" spans="1:1">
      <c r="A6860">
        <f t="shared" si="153"/>
        <v>6858</v>
      </c>
    </row>
    <row r="6861" spans="1:1">
      <c r="A6861">
        <f t="shared" si="153"/>
        <v>6859</v>
      </c>
    </row>
    <row r="6862" spans="1:1">
      <c r="A6862">
        <f t="shared" si="153"/>
        <v>6860</v>
      </c>
    </row>
    <row r="6863" spans="1:1">
      <c r="A6863">
        <f t="shared" si="153"/>
        <v>6861</v>
      </c>
    </row>
    <row r="6864" spans="1:1">
      <c r="A6864">
        <f t="shared" si="153"/>
        <v>6862</v>
      </c>
    </row>
    <row r="6865" spans="1:1">
      <c r="A6865">
        <f t="shared" si="153"/>
        <v>6863</v>
      </c>
    </row>
    <row r="6866" spans="1:1">
      <c r="A6866">
        <f t="shared" si="153"/>
        <v>6864</v>
      </c>
    </row>
    <row r="6867" spans="1:1">
      <c r="A6867">
        <f t="shared" si="153"/>
        <v>6865</v>
      </c>
    </row>
    <row r="6868" spans="1:1">
      <c r="A6868">
        <f t="shared" si="153"/>
        <v>6866</v>
      </c>
    </row>
    <row r="6869" spans="1:1">
      <c r="A6869">
        <f t="shared" si="153"/>
        <v>6867</v>
      </c>
    </row>
    <row r="6870" spans="1:1">
      <c r="A6870">
        <f t="shared" si="153"/>
        <v>6868</v>
      </c>
    </row>
    <row r="6871" spans="1:1">
      <c r="A6871">
        <f t="shared" si="153"/>
        <v>6869</v>
      </c>
    </row>
    <row r="6872" spans="1:1">
      <c r="A6872">
        <f t="shared" si="153"/>
        <v>6870</v>
      </c>
    </row>
    <row r="6873" spans="1:1">
      <c r="A6873">
        <f t="shared" si="153"/>
        <v>6871</v>
      </c>
    </row>
    <row r="6874" spans="1:1">
      <c r="A6874">
        <f t="shared" si="153"/>
        <v>6872</v>
      </c>
    </row>
    <row r="6875" spans="1:1">
      <c r="A6875">
        <f t="shared" si="153"/>
        <v>6873</v>
      </c>
    </row>
    <row r="6876" spans="1:1">
      <c r="A6876">
        <f t="shared" si="153"/>
        <v>6874</v>
      </c>
    </row>
    <row r="6877" spans="1:1">
      <c r="A6877">
        <f t="shared" si="153"/>
        <v>6875</v>
      </c>
    </row>
    <row r="6878" spans="1:1">
      <c r="A6878">
        <f t="shared" si="153"/>
        <v>6876</v>
      </c>
    </row>
    <row r="6879" spans="1:1">
      <c r="A6879">
        <f t="shared" si="153"/>
        <v>6877</v>
      </c>
    </row>
    <row r="6880" spans="1:1">
      <c r="A6880">
        <f t="shared" si="153"/>
        <v>6878</v>
      </c>
    </row>
    <row r="6881" spans="1:1">
      <c r="A6881">
        <f t="shared" si="153"/>
        <v>6879</v>
      </c>
    </row>
    <row r="6882" spans="1:1">
      <c r="A6882">
        <f t="shared" si="153"/>
        <v>6880</v>
      </c>
    </row>
    <row r="6883" spans="1:1">
      <c r="A6883">
        <f t="shared" si="153"/>
        <v>6881</v>
      </c>
    </row>
    <row r="6884" spans="1:1">
      <c r="A6884">
        <f t="shared" ref="A6884:A6947" si="154">A6883+1</f>
        <v>6882</v>
      </c>
    </row>
    <row r="6885" spans="1:1">
      <c r="A6885">
        <f t="shared" si="154"/>
        <v>6883</v>
      </c>
    </row>
    <row r="6886" spans="1:1">
      <c r="A6886">
        <f t="shared" si="154"/>
        <v>6884</v>
      </c>
    </row>
    <row r="6887" spans="1:1">
      <c r="A6887">
        <f t="shared" si="154"/>
        <v>6885</v>
      </c>
    </row>
    <row r="6888" spans="1:1">
      <c r="A6888">
        <f t="shared" si="154"/>
        <v>6886</v>
      </c>
    </row>
    <row r="6889" spans="1:1">
      <c r="A6889">
        <f t="shared" si="154"/>
        <v>6887</v>
      </c>
    </row>
    <row r="6890" spans="1:1">
      <c r="A6890">
        <f t="shared" si="154"/>
        <v>6888</v>
      </c>
    </row>
    <row r="6891" spans="1:1">
      <c r="A6891">
        <f t="shared" si="154"/>
        <v>6889</v>
      </c>
    </row>
    <row r="6892" spans="1:1">
      <c r="A6892">
        <f t="shared" si="154"/>
        <v>6890</v>
      </c>
    </row>
    <row r="6893" spans="1:1">
      <c r="A6893">
        <f t="shared" si="154"/>
        <v>6891</v>
      </c>
    </row>
    <row r="6894" spans="1:1">
      <c r="A6894">
        <f t="shared" si="154"/>
        <v>6892</v>
      </c>
    </row>
    <row r="6895" spans="1:1">
      <c r="A6895">
        <f t="shared" si="154"/>
        <v>6893</v>
      </c>
    </row>
    <row r="6896" spans="1:1">
      <c r="A6896">
        <f t="shared" si="154"/>
        <v>6894</v>
      </c>
    </row>
    <row r="6897" spans="1:1">
      <c r="A6897">
        <f t="shared" si="154"/>
        <v>6895</v>
      </c>
    </row>
    <row r="6898" spans="1:1">
      <c r="A6898">
        <f t="shared" si="154"/>
        <v>6896</v>
      </c>
    </row>
    <row r="6899" spans="1:1">
      <c r="A6899">
        <f t="shared" si="154"/>
        <v>6897</v>
      </c>
    </row>
    <row r="6900" spans="1:1">
      <c r="A6900">
        <f t="shared" si="154"/>
        <v>6898</v>
      </c>
    </row>
    <row r="6901" spans="1:1">
      <c r="A6901">
        <f t="shared" si="154"/>
        <v>6899</v>
      </c>
    </row>
    <row r="6902" spans="1:1">
      <c r="A6902">
        <f t="shared" si="154"/>
        <v>6900</v>
      </c>
    </row>
    <row r="6903" spans="1:1">
      <c r="A6903">
        <f t="shared" si="154"/>
        <v>6901</v>
      </c>
    </row>
    <row r="6904" spans="1:1">
      <c r="A6904">
        <f t="shared" si="154"/>
        <v>6902</v>
      </c>
    </row>
    <row r="6905" spans="1:1">
      <c r="A6905">
        <f t="shared" si="154"/>
        <v>6903</v>
      </c>
    </row>
    <row r="6906" spans="1:1">
      <c r="A6906">
        <f t="shared" si="154"/>
        <v>6904</v>
      </c>
    </row>
    <row r="6907" spans="1:1">
      <c r="A6907">
        <f t="shared" si="154"/>
        <v>6905</v>
      </c>
    </row>
    <row r="6908" spans="1:1">
      <c r="A6908">
        <f t="shared" si="154"/>
        <v>6906</v>
      </c>
    </row>
    <row r="6909" spans="1:1">
      <c r="A6909">
        <f t="shared" si="154"/>
        <v>6907</v>
      </c>
    </row>
    <row r="6910" spans="1:1">
      <c r="A6910">
        <f t="shared" si="154"/>
        <v>6908</v>
      </c>
    </row>
    <row r="6911" spans="1:1">
      <c r="A6911">
        <f t="shared" si="154"/>
        <v>6909</v>
      </c>
    </row>
    <row r="6912" spans="1:1">
      <c r="A6912">
        <f t="shared" si="154"/>
        <v>6910</v>
      </c>
    </row>
    <row r="6913" spans="1:1">
      <c r="A6913">
        <f t="shared" si="154"/>
        <v>6911</v>
      </c>
    </row>
    <row r="6914" spans="1:1">
      <c r="A6914">
        <f t="shared" si="154"/>
        <v>6912</v>
      </c>
    </row>
    <row r="6915" spans="1:1">
      <c r="A6915">
        <f t="shared" si="154"/>
        <v>6913</v>
      </c>
    </row>
    <row r="6916" spans="1:1">
      <c r="A6916">
        <f t="shared" si="154"/>
        <v>6914</v>
      </c>
    </row>
    <row r="6917" spans="1:1">
      <c r="A6917">
        <f t="shared" si="154"/>
        <v>6915</v>
      </c>
    </row>
    <row r="6918" spans="1:1">
      <c r="A6918">
        <f t="shared" si="154"/>
        <v>6916</v>
      </c>
    </row>
    <row r="6919" spans="1:1">
      <c r="A6919">
        <f t="shared" si="154"/>
        <v>6917</v>
      </c>
    </row>
    <row r="6920" spans="1:1">
      <c r="A6920">
        <f t="shared" si="154"/>
        <v>6918</v>
      </c>
    </row>
    <row r="6921" spans="1:1">
      <c r="A6921">
        <f t="shared" si="154"/>
        <v>6919</v>
      </c>
    </row>
    <row r="6922" spans="1:1">
      <c r="A6922">
        <f t="shared" si="154"/>
        <v>6920</v>
      </c>
    </row>
    <row r="6923" spans="1:1">
      <c r="A6923">
        <f t="shared" si="154"/>
        <v>6921</v>
      </c>
    </row>
    <row r="6924" spans="1:1">
      <c r="A6924">
        <f t="shared" si="154"/>
        <v>6922</v>
      </c>
    </row>
    <row r="6925" spans="1:1">
      <c r="A6925">
        <f t="shared" si="154"/>
        <v>6923</v>
      </c>
    </row>
    <row r="6926" spans="1:1">
      <c r="A6926">
        <f t="shared" si="154"/>
        <v>6924</v>
      </c>
    </row>
    <row r="6927" spans="1:1">
      <c r="A6927">
        <f t="shared" si="154"/>
        <v>6925</v>
      </c>
    </row>
    <row r="6928" spans="1:1">
      <c r="A6928">
        <f t="shared" si="154"/>
        <v>6926</v>
      </c>
    </row>
    <row r="6929" spans="1:1">
      <c r="A6929">
        <f t="shared" si="154"/>
        <v>6927</v>
      </c>
    </row>
    <row r="6930" spans="1:1">
      <c r="A6930">
        <f t="shared" si="154"/>
        <v>6928</v>
      </c>
    </row>
    <row r="6931" spans="1:1">
      <c r="A6931">
        <f t="shared" si="154"/>
        <v>6929</v>
      </c>
    </row>
    <row r="6932" spans="1:1">
      <c r="A6932">
        <f t="shared" si="154"/>
        <v>6930</v>
      </c>
    </row>
    <row r="6933" spans="1:1">
      <c r="A6933">
        <f t="shared" si="154"/>
        <v>6931</v>
      </c>
    </row>
    <row r="6934" spans="1:1">
      <c r="A6934">
        <f t="shared" si="154"/>
        <v>6932</v>
      </c>
    </row>
    <row r="6935" spans="1:1">
      <c r="A6935">
        <f t="shared" si="154"/>
        <v>6933</v>
      </c>
    </row>
    <row r="6936" spans="1:1">
      <c r="A6936">
        <f t="shared" si="154"/>
        <v>6934</v>
      </c>
    </row>
    <row r="6937" spans="1:1">
      <c r="A6937">
        <f t="shared" si="154"/>
        <v>6935</v>
      </c>
    </row>
    <row r="6938" spans="1:1">
      <c r="A6938">
        <f t="shared" si="154"/>
        <v>6936</v>
      </c>
    </row>
    <row r="6939" spans="1:1">
      <c r="A6939">
        <f t="shared" si="154"/>
        <v>6937</v>
      </c>
    </row>
    <row r="6940" spans="1:1">
      <c r="A6940">
        <f t="shared" si="154"/>
        <v>6938</v>
      </c>
    </row>
    <row r="6941" spans="1:1">
      <c r="A6941">
        <f t="shared" si="154"/>
        <v>6939</v>
      </c>
    </row>
    <row r="6942" spans="1:1">
      <c r="A6942">
        <f t="shared" si="154"/>
        <v>6940</v>
      </c>
    </row>
    <row r="6943" spans="1:1">
      <c r="A6943">
        <f t="shared" si="154"/>
        <v>6941</v>
      </c>
    </row>
    <row r="6944" spans="1:1">
      <c r="A6944">
        <f t="shared" si="154"/>
        <v>6942</v>
      </c>
    </row>
    <row r="6945" spans="1:1">
      <c r="A6945">
        <f t="shared" si="154"/>
        <v>6943</v>
      </c>
    </row>
    <row r="6946" spans="1:1">
      <c r="A6946">
        <f t="shared" si="154"/>
        <v>6944</v>
      </c>
    </row>
    <row r="6947" spans="1:1">
      <c r="A6947">
        <f t="shared" si="154"/>
        <v>6945</v>
      </c>
    </row>
    <row r="6948" spans="1:1">
      <c r="A6948">
        <f t="shared" ref="A6948:A7011" si="155">A6947+1</f>
        <v>6946</v>
      </c>
    </row>
    <row r="6949" spans="1:1">
      <c r="A6949">
        <f t="shared" si="155"/>
        <v>6947</v>
      </c>
    </row>
    <row r="6950" spans="1:1">
      <c r="A6950">
        <f t="shared" si="155"/>
        <v>6948</v>
      </c>
    </row>
    <row r="6951" spans="1:1">
      <c r="A6951">
        <f t="shared" si="155"/>
        <v>6949</v>
      </c>
    </row>
    <row r="6952" spans="1:1">
      <c r="A6952">
        <f t="shared" si="155"/>
        <v>6950</v>
      </c>
    </row>
    <row r="6953" spans="1:1">
      <c r="A6953">
        <f t="shared" si="155"/>
        <v>6951</v>
      </c>
    </row>
    <row r="6954" spans="1:1">
      <c r="A6954">
        <f t="shared" si="155"/>
        <v>6952</v>
      </c>
    </row>
    <row r="6955" spans="1:1">
      <c r="A6955">
        <f t="shared" si="155"/>
        <v>6953</v>
      </c>
    </row>
    <row r="6956" spans="1:1">
      <c r="A6956">
        <f t="shared" si="155"/>
        <v>6954</v>
      </c>
    </row>
    <row r="6957" spans="1:1">
      <c r="A6957">
        <f t="shared" si="155"/>
        <v>6955</v>
      </c>
    </row>
    <row r="6958" spans="1:1">
      <c r="A6958">
        <f t="shared" si="155"/>
        <v>6956</v>
      </c>
    </row>
    <row r="6959" spans="1:1">
      <c r="A6959">
        <f t="shared" si="155"/>
        <v>6957</v>
      </c>
    </row>
    <row r="6960" spans="1:1">
      <c r="A6960">
        <f t="shared" si="155"/>
        <v>6958</v>
      </c>
    </row>
    <row r="6961" spans="1:1">
      <c r="A6961">
        <f t="shared" si="155"/>
        <v>6959</v>
      </c>
    </row>
    <row r="6962" spans="1:1">
      <c r="A6962">
        <f t="shared" si="155"/>
        <v>6960</v>
      </c>
    </row>
    <row r="6963" spans="1:1">
      <c r="A6963">
        <f t="shared" si="155"/>
        <v>6961</v>
      </c>
    </row>
    <row r="6964" spans="1:1">
      <c r="A6964">
        <f t="shared" si="155"/>
        <v>6962</v>
      </c>
    </row>
    <row r="6965" spans="1:1">
      <c r="A6965">
        <f t="shared" si="155"/>
        <v>6963</v>
      </c>
    </row>
    <row r="6966" spans="1:1">
      <c r="A6966">
        <f t="shared" si="155"/>
        <v>6964</v>
      </c>
    </row>
    <row r="6967" spans="1:1">
      <c r="A6967">
        <f t="shared" si="155"/>
        <v>6965</v>
      </c>
    </row>
    <row r="6968" spans="1:1">
      <c r="A6968">
        <f t="shared" si="155"/>
        <v>6966</v>
      </c>
    </row>
    <row r="6969" spans="1:1">
      <c r="A6969">
        <f t="shared" si="155"/>
        <v>6967</v>
      </c>
    </row>
    <row r="6970" spans="1:1">
      <c r="A6970">
        <f t="shared" si="155"/>
        <v>6968</v>
      </c>
    </row>
    <row r="6971" spans="1:1">
      <c r="A6971">
        <f t="shared" si="155"/>
        <v>6969</v>
      </c>
    </row>
    <row r="6972" spans="1:1">
      <c r="A6972">
        <f t="shared" si="155"/>
        <v>6970</v>
      </c>
    </row>
    <row r="6973" spans="1:1">
      <c r="A6973">
        <f t="shared" si="155"/>
        <v>6971</v>
      </c>
    </row>
    <row r="6974" spans="1:1">
      <c r="A6974">
        <f t="shared" si="155"/>
        <v>6972</v>
      </c>
    </row>
    <row r="6975" spans="1:1">
      <c r="A6975">
        <f t="shared" si="155"/>
        <v>6973</v>
      </c>
    </row>
    <row r="6976" spans="1:1">
      <c r="A6976">
        <f t="shared" si="155"/>
        <v>6974</v>
      </c>
    </row>
    <row r="6977" spans="1:1">
      <c r="A6977">
        <f t="shared" si="155"/>
        <v>6975</v>
      </c>
    </row>
    <row r="6978" spans="1:1">
      <c r="A6978">
        <f t="shared" si="155"/>
        <v>6976</v>
      </c>
    </row>
    <row r="6979" spans="1:1">
      <c r="A6979">
        <f t="shared" si="155"/>
        <v>6977</v>
      </c>
    </row>
    <row r="6980" spans="1:1">
      <c r="A6980">
        <f t="shared" si="155"/>
        <v>6978</v>
      </c>
    </row>
    <row r="6981" spans="1:1">
      <c r="A6981">
        <f t="shared" si="155"/>
        <v>6979</v>
      </c>
    </row>
    <row r="6982" spans="1:1">
      <c r="A6982">
        <f t="shared" si="155"/>
        <v>6980</v>
      </c>
    </row>
    <row r="6983" spans="1:1">
      <c r="A6983">
        <f t="shared" si="155"/>
        <v>6981</v>
      </c>
    </row>
    <row r="6984" spans="1:1">
      <c r="A6984">
        <f t="shared" si="155"/>
        <v>6982</v>
      </c>
    </row>
    <row r="6985" spans="1:1">
      <c r="A6985">
        <f t="shared" si="155"/>
        <v>6983</v>
      </c>
    </row>
    <row r="6986" spans="1:1">
      <c r="A6986">
        <f t="shared" si="155"/>
        <v>6984</v>
      </c>
    </row>
    <row r="6987" spans="1:1">
      <c r="A6987">
        <f t="shared" si="155"/>
        <v>6985</v>
      </c>
    </row>
    <row r="6988" spans="1:1">
      <c r="A6988">
        <f t="shared" si="155"/>
        <v>6986</v>
      </c>
    </row>
    <row r="6989" spans="1:1">
      <c r="A6989">
        <f t="shared" si="155"/>
        <v>6987</v>
      </c>
    </row>
    <row r="6990" spans="1:1">
      <c r="A6990">
        <f t="shared" si="155"/>
        <v>6988</v>
      </c>
    </row>
    <row r="6991" spans="1:1">
      <c r="A6991">
        <f t="shared" si="155"/>
        <v>6989</v>
      </c>
    </row>
    <row r="6992" spans="1:1">
      <c r="A6992">
        <f t="shared" si="155"/>
        <v>6990</v>
      </c>
    </row>
    <row r="6993" spans="1:1">
      <c r="A6993">
        <f t="shared" si="155"/>
        <v>6991</v>
      </c>
    </row>
    <row r="6994" spans="1:1">
      <c r="A6994">
        <f t="shared" si="155"/>
        <v>6992</v>
      </c>
    </row>
    <row r="6995" spans="1:1">
      <c r="A6995">
        <f t="shared" si="155"/>
        <v>6993</v>
      </c>
    </row>
    <row r="6996" spans="1:1">
      <c r="A6996">
        <f t="shared" si="155"/>
        <v>6994</v>
      </c>
    </row>
    <row r="6997" spans="1:1">
      <c r="A6997">
        <f t="shared" si="155"/>
        <v>6995</v>
      </c>
    </row>
    <row r="6998" spans="1:1">
      <c r="A6998">
        <f t="shared" si="155"/>
        <v>6996</v>
      </c>
    </row>
    <row r="6999" spans="1:1">
      <c r="A6999">
        <f t="shared" si="155"/>
        <v>6997</v>
      </c>
    </row>
    <row r="7000" spans="1:1">
      <c r="A7000">
        <f t="shared" si="155"/>
        <v>6998</v>
      </c>
    </row>
    <row r="7001" spans="1:1">
      <c r="A7001">
        <f t="shared" si="155"/>
        <v>6999</v>
      </c>
    </row>
    <row r="7002" spans="1:1">
      <c r="A7002">
        <f t="shared" si="155"/>
        <v>7000</v>
      </c>
    </row>
    <row r="7003" spans="1:1">
      <c r="A7003">
        <f t="shared" si="155"/>
        <v>7001</v>
      </c>
    </row>
    <row r="7004" spans="1:1">
      <c r="A7004">
        <f t="shared" si="155"/>
        <v>7002</v>
      </c>
    </row>
    <row r="7005" spans="1:1">
      <c r="A7005">
        <f t="shared" si="155"/>
        <v>7003</v>
      </c>
    </row>
    <row r="7006" spans="1:1">
      <c r="A7006">
        <f t="shared" si="155"/>
        <v>7004</v>
      </c>
    </row>
    <row r="7007" spans="1:1">
      <c r="A7007">
        <f t="shared" si="155"/>
        <v>7005</v>
      </c>
    </row>
    <row r="7008" spans="1:1">
      <c r="A7008">
        <f t="shared" si="155"/>
        <v>7006</v>
      </c>
    </row>
    <row r="7009" spans="1:1">
      <c r="A7009">
        <f t="shared" si="155"/>
        <v>7007</v>
      </c>
    </row>
    <row r="7010" spans="1:1">
      <c r="A7010">
        <f t="shared" si="155"/>
        <v>7008</v>
      </c>
    </row>
    <row r="7011" spans="1:1">
      <c r="A7011">
        <f t="shared" si="155"/>
        <v>7009</v>
      </c>
    </row>
    <row r="7012" spans="1:1">
      <c r="A7012">
        <f t="shared" ref="A7012:A7075" si="156">A7011+1</f>
        <v>7010</v>
      </c>
    </row>
    <row r="7013" spans="1:1">
      <c r="A7013">
        <f t="shared" si="156"/>
        <v>7011</v>
      </c>
    </row>
    <row r="7014" spans="1:1">
      <c r="A7014">
        <f t="shared" si="156"/>
        <v>7012</v>
      </c>
    </row>
    <row r="7015" spans="1:1">
      <c r="A7015">
        <f t="shared" si="156"/>
        <v>7013</v>
      </c>
    </row>
    <row r="7016" spans="1:1">
      <c r="A7016">
        <f t="shared" si="156"/>
        <v>7014</v>
      </c>
    </row>
    <row r="7017" spans="1:1">
      <c r="A7017">
        <f t="shared" si="156"/>
        <v>7015</v>
      </c>
    </row>
    <row r="7018" spans="1:1">
      <c r="A7018">
        <f t="shared" si="156"/>
        <v>7016</v>
      </c>
    </row>
    <row r="7019" spans="1:1">
      <c r="A7019">
        <f t="shared" si="156"/>
        <v>7017</v>
      </c>
    </row>
    <row r="7020" spans="1:1">
      <c r="A7020">
        <f t="shared" si="156"/>
        <v>7018</v>
      </c>
    </row>
    <row r="7021" spans="1:1">
      <c r="A7021">
        <f t="shared" si="156"/>
        <v>7019</v>
      </c>
    </row>
    <row r="7022" spans="1:1">
      <c r="A7022">
        <f t="shared" si="156"/>
        <v>7020</v>
      </c>
    </row>
    <row r="7023" spans="1:1">
      <c r="A7023">
        <f t="shared" si="156"/>
        <v>7021</v>
      </c>
    </row>
    <row r="7024" spans="1:1">
      <c r="A7024">
        <f t="shared" si="156"/>
        <v>7022</v>
      </c>
    </row>
    <row r="7025" spans="1:1">
      <c r="A7025">
        <f t="shared" si="156"/>
        <v>7023</v>
      </c>
    </row>
    <row r="7026" spans="1:1">
      <c r="A7026">
        <f t="shared" si="156"/>
        <v>7024</v>
      </c>
    </row>
    <row r="7027" spans="1:1">
      <c r="A7027">
        <f t="shared" si="156"/>
        <v>7025</v>
      </c>
    </row>
    <row r="7028" spans="1:1">
      <c r="A7028">
        <f t="shared" si="156"/>
        <v>7026</v>
      </c>
    </row>
    <row r="7029" spans="1:1">
      <c r="A7029">
        <f t="shared" si="156"/>
        <v>7027</v>
      </c>
    </row>
    <row r="7030" spans="1:1">
      <c r="A7030">
        <f t="shared" si="156"/>
        <v>7028</v>
      </c>
    </row>
    <row r="7031" spans="1:1">
      <c r="A7031">
        <f t="shared" si="156"/>
        <v>7029</v>
      </c>
    </row>
    <row r="7032" spans="1:1">
      <c r="A7032">
        <f t="shared" si="156"/>
        <v>7030</v>
      </c>
    </row>
    <row r="7033" spans="1:1">
      <c r="A7033">
        <f t="shared" si="156"/>
        <v>7031</v>
      </c>
    </row>
    <row r="7034" spans="1:1">
      <c r="A7034">
        <f t="shared" si="156"/>
        <v>7032</v>
      </c>
    </row>
    <row r="7035" spans="1:1">
      <c r="A7035">
        <f t="shared" si="156"/>
        <v>7033</v>
      </c>
    </row>
    <row r="7036" spans="1:1">
      <c r="A7036">
        <f t="shared" si="156"/>
        <v>7034</v>
      </c>
    </row>
    <row r="7037" spans="1:1">
      <c r="A7037">
        <f t="shared" si="156"/>
        <v>7035</v>
      </c>
    </row>
    <row r="7038" spans="1:1">
      <c r="A7038">
        <f t="shared" si="156"/>
        <v>7036</v>
      </c>
    </row>
    <row r="7039" spans="1:1">
      <c r="A7039">
        <f t="shared" si="156"/>
        <v>7037</v>
      </c>
    </row>
    <row r="7040" spans="1:1">
      <c r="A7040">
        <f t="shared" si="156"/>
        <v>7038</v>
      </c>
    </row>
    <row r="7041" spans="1:1">
      <c r="A7041">
        <f t="shared" si="156"/>
        <v>7039</v>
      </c>
    </row>
    <row r="7042" spans="1:1">
      <c r="A7042">
        <f t="shared" si="156"/>
        <v>7040</v>
      </c>
    </row>
    <row r="7043" spans="1:1">
      <c r="A7043">
        <f t="shared" si="156"/>
        <v>7041</v>
      </c>
    </row>
    <row r="7044" spans="1:1">
      <c r="A7044">
        <f t="shared" si="156"/>
        <v>7042</v>
      </c>
    </row>
    <row r="7045" spans="1:1">
      <c r="A7045">
        <f t="shared" si="156"/>
        <v>7043</v>
      </c>
    </row>
    <row r="7046" spans="1:1">
      <c r="A7046">
        <f t="shared" si="156"/>
        <v>7044</v>
      </c>
    </row>
    <row r="7047" spans="1:1">
      <c r="A7047">
        <f t="shared" si="156"/>
        <v>7045</v>
      </c>
    </row>
    <row r="7048" spans="1:1">
      <c r="A7048">
        <f t="shared" si="156"/>
        <v>7046</v>
      </c>
    </row>
    <row r="7049" spans="1:1">
      <c r="A7049">
        <f t="shared" si="156"/>
        <v>7047</v>
      </c>
    </row>
    <row r="7050" spans="1:1">
      <c r="A7050">
        <f t="shared" si="156"/>
        <v>7048</v>
      </c>
    </row>
    <row r="7051" spans="1:1">
      <c r="A7051">
        <f t="shared" si="156"/>
        <v>7049</v>
      </c>
    </row>
    <row r="7052" spans="1:1">
      <c r="A7052">
        <f t="shared" si="156"/>
        <v>7050</v>
      </c>
    </row>
    <row r="7053" spans="1:1">
      <c r="A7053">
        <f t="shared" si="156"/>
        <v>7051</v>
      </c>
    </row>
    <row r="7054" spans="1:1">
      <c r="A7054">
        <f t="shared" si="156"/>
        <v>7052</v>
      </c>
    </row>
    <row r="7055" spans="1:1">
      <c r="A7055">
        <f t="shared" si="156"/>
        <v>7053</v>
      </c>
    </row>
    <row r="7056" spans="1:1">
      <c r="A7056">
        <f t="shared" si="156"/>
        <v>7054</v>
      </c>
    </row>
    <row r="7057" spans="1:1">
      <c r="A7057">
        <f t="shared" si="156"/>
        <v>7055</v>
      </c>
    </row>
    <row r="7058" spans="1:1">
      <c r="A7058">
        <f t="shared" si="156"/>
        <v>7056</v>
      </c>
    </row>
    <row r="7059" spans="1:1">
      <c r="A7059">
        <f t="shared" si="156"/>
        <v>7057</v>
      </c>
    </row>
    <row r="7060" spans="1:1">
      <c r="A7060">
        <f t="shared" si="156"/>
        <v>7058</v>
      </c>
    </row>
    <row r="7061" spans="1:1">
      <c r="A7061">
        <f t="shared" si="156"/>
        <v>7059</v>
      </c>
    </row>
    <row r="7062" spans="1:1">
      <c r="A7062">
        <f t="shared" si="156"/>
        <v>7060</v>
      </c>
    </row>
    <row r="7063" spans="1:1">
      <c r="A7063">
        <f t="shared" si="156"/>
        <v>7061</v>
      </c>
    </row>
    <row r="7064" spans="1:1">
      <c r="A7064">
        <f t="shared" si="156"/>
        <v>7062</v>
      </c>
    </row>
    <row r="7065" spans="1:1">
      <c r="A7065">
        <f t="shared" si="156"/>
        <v>7063</v>
      </c>
    </row>
    <row r="7066" spans="1:1">
      <c r="A7066">
        <f t="shared" si="156"/>
        <v>7064</v>
      </c>
    </row>
    <row r="7067" spans="1:1">
      <c r="A7067">
        <f t="shared" si="156"/>
        <v>7065</v>
      </c>
    </row>
    <row r="7068" spans="1:1">
      <c r="A7068">
        <f t="shared" si="156"/>
        <v>7066</v>
      </c>
    </row>
    <row r="7069" spans="1:1">
      <c r="A7069">
        <f t="shared" si="156"/>
        <v>7067</v>
      </c>
    </row>
    <row r="7070" spans="1:1">
      <c r="A7070">
        <f t="shared" si="156"/>
        <v>7068</v>
      </c>
    </row>
    <row r="7071" spans="1:1">
      <c r="A7071">
        <f t="shared" si="156"/>
        <v>7069</v>
      </c>
    </row>
    <row r="7072" spans="1:1">
      <c r="A7072">
        <f t="shared" si="156"/>
        <v>7070</v>
      </c>
    </row>
    <row r="7073" spans="1:1">
      <c r="A7073">
        <f t="shared" si="156"/>
        <v>7071</v>
      </c>
    </row>
    <row r="7074" spans="1:1">
      <c r="A7074">
        <f t="shared" si="156"/>
        <v>7072</v>
      </c>
    </row>
    <row r="7075" spans="1:1">
      <c r="A7075">
        <f t="shared" si="156"/>
        <v>7073</v>
      </c>
    </row>
    <row r="7076" spans="1:1">
      <c r="A7076">
        <f t="shared" ref="A7076:A7139" si="157">A7075+1</f>
        <v>7074</v>
      </c>
    </row>
    <row r="7077" spans="1:1">
      <c r="A7077">
        <f t="shared" si="157"/>
        <v>7075</v>
      </c>
    </row>
    <row r="7078" spans="1:1">
      <c r="A7078">
        <f t="shared" si="157"/>
        <v>7076</v>
      </c>
    </row>
    <row r="7079" spans="1:1">
      <c r="A7079">
        <f t="shared" si="157"/>
        <v>7077</v>
      </c>
    </row>
    <row r="7080" spans="1:1">
      <c r="A7080">
        <f t="shared" si="157"/>
        <v>7078</v>
      </c>
    </row>
    <row r="7081" spans="1:1">
      <c r="A7081">
        <f t="shared" si="157"/>
        <v>7079</v>
      </c>
    </row>
    <row r="7082" spans="1:1">
      <c r="A7082">
        <f t="shared" si="157"/>
        <v>7080</v>
      </c>
    </row>
    <row r="7083" spans="1:1">
      <c r="A7083">
        <f t="shared" si="157"/>
        <v>7081</v>
      </c>
    </row>
    <row r="7084" spans="1:1">
      <c r="A7084">
        <f t="shared" si="157"/>
        <v>7082</v>
      </c>
    </row>
    <row r="7085" spans="1:1">
      <c r="A7085">
        <f t="shared" si="157"/>
        <v>7083</v>
      </c>
    </row>
    <row r="7086" spans="1:1">
      <c r="A7086">
        <f t="shared" si="157"/>
        <v>7084</v>
      </c>
    </row>
    <row r="7087" spans="1:1">
      <c r="A7087">
        <f t="shared" si="157"/>
        <v>7085</v>
      </c>
    </row>
    <row r="7088" spans="1:1">
      <c r="A7088">
        <f t="shared" si="157"/>
        <v>7086</v>
      </c>
    </row>
    <row r="7089" spans="1:1">
      <c r="A7089">
        <f t="shared" si="157"/>
        <v>7087</v>
      </c>
    </row>
    <row r="7090" spans="1:1">
      <c r="A7090">
        <f t="shared" si="157"/>
        <v>7088</v>
      </c>
    </row>
    <row r="7091" spans="1:1">
      <c r="A7091">
        <f t="shared" si="157"/>
        <v>7089</v>
      </c>
    </row>
    <row r="7092" spans="1:1">
      <c r="A7092">
        <f t="shared" si="157"/>
        <v>7090</v>
      </c>
    </row>
    <row r="7093" spans="1:1">
      <c r="A7093">
        <f t="shared" si="157"/>
        <v>7091</v>
      </c>
    </row>
    <row r="7094" spans="1:1">
      <c r="A7094">
        <f t="shared" si="157"/>
        <v>7092</v>
      </c>
    </row>
    <row r="7095" spans="1:1">
      <c r="A7095">
        <f t="shared" si="157"/>
        <v>7093</v>
      </c>
    </row>
    <row r="7096" spans="1:1">
      <c r="A7096">
        <f t="shared" si="157"/>
        <v>7094</v>
      </c>
    </row>
    <row r="7097" spans="1:1">
      <c r="A7097">
        <f t="shared" si="157"/>
        <v>7095</v>
      </c>
    </row>
    <row r="7098" spans="1:1">
      <c r="A7098">
        <f t="shared" si="157"/>
        <v>7096</v>
      </c>
    </row>
    <row r="7099" spans="1:1">
      <c r="A7099">
        <f t="shared" si="157"/>
        <v>7097</v>
      </c>
    </row>
    <row r="7100" spans="1:1">
      <c r="A7100">
        <f t="shared" si="157"/>
        <v>7098</v>
      </c>
    </row>
    <row r="7101" spans="1:1">
      <c r="A7101">
        <f t="shared" si="157"/>
        <v>7099</v>
      </c>
    </row>
    <row r="7102" spans="1:1">
      <c r="A7102">
        <f t="shared" si="157"/>
        <v>7100</v>
      </c>
    </row>
    <row r="7103" spans="1:1">
      <c r="A7103">
        <f t="shared" si="157"/>
        <v>7101</v>
      </c>
    </row>
    <row r="7104" spans="1:1">
      <c r="A7104">
        <f t="shared" si="157"/>
        <v>7102</v>
      </c>
    </row>
    <row r="7105" spans="1:1">
      <c r="A7105">
        <f t="shared" si="157"/>
        <v>7103</v>
      </c>
    </row>
    <row r="7106" spans="1:1">
      <c r="A7106">
        <f t="shared" si="157"/>
        <v>7104</v>
      </c>
    </row>
    <row r="7107" spans="1:1">
      <c r="A7107">
        <f t="shared" si="157"/>
        <v>7105</v>
      </c>
    </row>
    <row r="7108" spans="1:1">
      <c r="A7108">
        <f t="shared" si="157"/>
        <v>7106</v>
      </c>
    </row>
    <row r="7109" spans="1:1">
      <c r="A7109">
        <f t="shared" si="157"/>
        <v>7107</v>
      </c>
    </row>
    <row r="7110" spans="1:1">
      <c r="A7110">
        <f t="shared" si="157"/>
        <v>7108</v>
      </c>
    </row>
    <row r="7111" spans="1:1">
      <c r="A7111">
        <f t="shared" si="157"/>
        <v>7109</v>
      </c>
    </row>
    <row r="7112" spans="1:1">
      <c r="A7112">
        <f t="shared" si="157"/>
        <v>7110</v>
      </c>
    </row>
    <row r="7113" spans="1:1">
      <c r="A7113">
        <f t="shared" si="157"/>
        <v>7111</v>
      </c>
    </row>
    <row r="7114" spans="1:1">
      <c r="A7114">
        <f t="shared" si="157"/>
        <v>7112</v>
      </c>
    </row>
    <row r="7115" spans="1:1">
      <c r="A7115">
        <f t="shared" si="157"/>
        <v>7113</v>
      </c>
    </row>
    <row r="7116" spans="1:1">
      <c r="A7116">
        <f t="shared" si="157"/>
        <v>7114</v>
      </c>
    </row>
    <row r="7117" spans="1:1">
      <c r="A7117">
        <f t="shared" si="157"/>
        <v>7115</v>
      </c>
    </row>
    <row r="7118" spans="1:1">
      <c r="A7118">
        <f t="shared" si="157"/>
        <v>7116</v>
      </c>
    </row>
    <row r="7119" spans="1:1">
      <c r="A7119">
        <f t="shared" si="157"/>
        <v>7117</v>
      </c>
    </row>
    <row r="7120" spans="1:1">
      <c r="A7120">
        <f t="shared" si="157"/>
        <v>7118</v>
      </c>
    </row>
    <row r="7121" spans="1:1">
      <c r="A7121">
        <f t="shared" si="157"/>
        <v>7119</v>
      </c>
    </row>
    <row r="7122" spans="1:1">
      <c r="A7122">
        <f t="shared" si="157"/>
        <v>7120</v>
      </c>
    </row>
    <row r="7123" spans="1:1">
      <c r="A7123">
        <f t="shared" si="157"/>
        <v>7121</v>
      </c>
    </row>
    <row r="7124" spans="1:1">
      <c r="A7124">
        <f t="shared" si="157"/>
        <v>7122</v>
      </c>
    </row>
    <row r="7125" spans="1:1">
      <c r="A7125">
        <f t="shared" si="157"/>
        <v>7123</v>
      </c>
    </row>
    <row r="7126" spans="1:1">
      <c r="A7126">
        <f t="shared" si="157"/>
        <v>7124</v>
      </c>
    </row>
    <row r="7127" spans="1:1">
      <c r="A7127">
        <f t="shared" si="157"/>
        <v>7125</v>
      </c>
    </row>
    <row r="7128" spans="1:1">
      <c r="A7128">
        <f t="shared" si="157"/>
        <v>7126</v>
      </c>
    </row>
    <row r="7129" spans="1:1">
      <c r="A7129">
        <f t="shared" si="157"/>
        <v>7127</v>
      </c>
    </row>
    <row r="7130" spans="1:1">
      <c r="A7130">
        <f t="shared" si="157"/>
        <v>7128</v>
      </c>
    </row>
    <row r="7131" spans="1:1">
      <c r="A7131">
        <f t="shared" si="157"/>
        <v>7129</v>
      </c>
    </row>
    <row r="7132" spans="1:1">
      <c r="A7132">
        <f t="shared" si="157"/>
        <v>7130</v>
      </c>
    </row>
    <row r="7133" spans="1:1">
      <c r="A7133">
        <f t="shared" si="157"/>
        <v>7131</v>
      </c>
    </row>
    <row r="7134" spans="1:1">
      <c r="A7134">
        <f t="shared" si="157"/>
        <v>7132</v>
      </c>
    </row>
    <row r="7135" spans="1:1">
      <c r="A7135">
        <f t="shared" si="157"/>
        <v>7133</v>
      </c>
    </row>
    <row r="7136" spans="1:1">
      <c r="A7136">
        <f t="shared" si="157"/>
        <v>7134</v>
      </c>
    </row>
    <row r="7137" spans="1:1">
      <c r="A7137">
        <f t="shared" si="157"/>
        <v>7135</v>
      </c>
    </row>
    <row r="7138" spans="1:1">
      <c r="A7138">
        <f t="shared" si="157"/>
        <v>7136</v>
      </c>
    </row>
    <row r="7139" spans="1:1">
      <c r="A7139">
        <f t="shared" si="157"/>
        <v>7137</v>
      </c>
    </row>
    <row r="7140" spans="1:1">
      <c r="A7140">
        <f t="shared" ref="A7140:A7203" si="158">A7139+1</f>
        <v>7138</v>
      </c>
    </row>
    <row r="7141" spans="1:1">
      <c r="A7141">
        <f t="shared" si="158"/>
        <v>7139</v>
      </c>
    </row>
    <row r="7142" spans="1:1">
      <c r="A7142">
        <f t="shared" si="158"/>
        <v>7140</v>
      </c>
    </row>
    <row r="7143" spans="1:1">
      <c r="A7143">
        <f t="shared" si="158"/>
        <v>7141</v>
      </c>
    </row>
    <row r="7144" spans="1:1">
      <c r="A7144">
        <f t="shared" si="158"/>
        <v>7142</v>
      </c>
    </row>
    <row r="7145" spans="1:1">
      <c r="A7145">
        <f t="shared" si="158"/>
        <v>7143</v>
      </c>
    </row>
    <row r="7146" spans="1:1">
      <c r="A7146">
        <f t="shared" si="158"/>
        <v>7144</v>
      </c>
    </row>
    <row r="7147" spans="1:1">
      <c r="A7147">
        <f t="shared" si="158"/>
        <v>7145</v>
      </c>
    </row>
    <row r="7148" spans="1:1">
      <c r="A7148">
        <f t="shared" si="158"/>
        <v>7146</v>
      </c>
    </row>
    <row r="7149" spans="1:1">
      <c r="A7149">
        <f t="shared" si="158"/>
        <v>7147</v>
      </c>
    </row>
    <row r="7150" spans="1:1">
      <c r="A7150">
        <f t="shared" si="158"/>
        <v>7148</v>
      </c>
    </row>
    <row r="7151" spans="1:1">
      <c r="A7151">
        <f t="shared" si="158"/>
        <v>7149</v>
      </c>
    </row>
    <row r="7152" spans="1:1">
      <c r="A7152">
        <f t="shared" si="158"/>
        <v>7150</v>
      </c>
    </row>
    <row r="7153" spans="1:1">
      <c r="A7153">
        <f t="shared" si="158"/>
        <v>7151</v>
      </c>
    </row>
    <row r="7154" spans="1:1">
      <c r="A7154">
        <f t="shared" si="158"/>
        <v>7152</v>
      </c>
    </row>
    <row r="7155" spans="1:1">
      <c r="A7155">
        <f t="shared" si="158"/>
        <v>7153</v>
      </c>
    </row>
    <row r="7156" spans="1:1">
      <c r="A7156">
        <f t="shared" si="158"/>
        <v>7154</v>
      </c>
    </row>
    <row r="7157" spans="1:1">
      <c r="A7157">
        <f t="shared" si="158"/>
        <v>7155</v>
      </c>
    </row>
    <row r="7158" spans="1:1">
      <c r="A7158">
        <f t="shared" si="158"/>
        <v>7156</v>
      </c>
    </row>
    <row r="7159" spans="1:1">
      <c r="A7159">
        <f t="shared" si="158"/>
        <v>7157</v>
      </c>
    </row>
    <row r="7160" spans="1:1">
      <c r="A7160">
        <f t="shared" si="158"/>
        <v>7158</v>
      </c>
    </row>
    <row r="7161" spans="1:1">
      <c r="A7161">
        <f t="shared" si="158"/>
        <v>7159</v>
      </c>
    </row>
    <row r="7162" spans="1:1">
      <c r="A7162">
        <f t="shared" si="158"/>
        <v>7160</v>
      </c>
    </row>
    <row r="7163" spans="1:1">
      <c r="A7163">
        <f t="shared" si="158"/>
        <v>7161</v>
      </c>
    </row>
    <row r="7164" spans="1:1">
      <c r="A7164">
        <f t="shared" si="158"/>
        <v>7162</v>
      </c>
    </row>
    <row r="7165" spans="1:1">
      <c r="A7165">
        <f t="shared" si="158"/>
        <v>7163</v>
      </c>
    </row>
    <row r="7166" spans="1:1">
      <c r="A7166">
        <f t="shared" si="158"/>
        <v>7164</v>
      </c>
    </row>
    <row r="7167" spans="1:1">
      <c r="A7167">
        <f t="shared" si="158"/>
        <v>7165</v>
      </c>
    </row>
    <row r="7168" spans="1:1">
      <c r="A7168">
        <f t="shared" si="158"/>
        <v>7166</v>
      </c>
    </row>
    <row r="7169" spans="1:1">
      <c r="A7169">
        <f t="shared" si="158"/>
        <v>7167</v>
      </c>
    </row>
    <row r="7170" spans="1:1">
      <c r="A7170">
        <f t="shared" si="158"/>
        <v>7168</v>
      </c>
    </row>
    <row r="7171" spans="1:1">
      <c r="A7171">
        <f t="shared" si="158"/>
        <v>7169</v>
      </c>
    </row>
    <row r="7172" spans="1:1">
      <c r="A7172">
        <f t="shared" si="158"/>
        <v>7170</v>
      </c>
    </row>
    <row r="7173" spans="1:1">
      <c r="A7173">
        <f t="shared" si="158"/>
        <v>7171</v>
      </c>
    </row>
    <row r="7174" spans="1:1">
      <c r="A7174">
        <f t="shared" si="158"/>
        <v>7172</v>
      </c>
    </row>
    <row r="7175" spans="1:1">
      <c r="A7175">
        <f t="shared" si="158"/>
        <v>7173</v>
      </c>
    </row>
    <row r="7176" spans="1:1">
      <c r="A7176">
        <f t="shared" si="158"/>
        <v>7174</v>
      </c>
    </row>
    <row r="7177" spans="1:1">
      <c r="A7177">
        <f t="shared" si="158"/>
        <v>7175</v>
      </c>
    </row>
    <row r="7178" spans="1:1">
      <c r="A7178">
        <f t="shared" si="158"/>
        <v>7176</v>
      </c>
    </row>
    <row r="7179" spans="1:1">
      <c r="A7179">
        <f t="shared" si="158"/>
        <v>7177</v>
      </c>
    </row>
    <row r="7180" spans="1:1">
      <c r="A7180">
        <f t="shared" si="158"/>
        <v>7178</v>
      </c>
    </row>
    <row r="7181" spans="1:1">
      <c r="A7181">
        <f t="shared" si="158"/>
        <v>7179</v>
      </c>
    </row>
    <row r="7182" spans="1:1">
      <c r="A7182">
        <f t="shared" si="158"/>
        <v>7180</v>
      </c>
    </row>
    <row r="7183" spans="1:1">
      <c r="A7183">
        <f t="shared" si="158"/>
        <v>7181</v>
      </c>
    </row>
    <row r="7184" spans="1:1">
      <c r="A7184">
        <f t="shared" si="158"/>
        <v>7182</v>
      </c>
    </row>
    <row r="7185" spans="1:1">
      <c r="A7185">
        <f t="shared" si="158"/>
        <v>7183</v>
      </c>
    </row>
    <row r="7186" spans="1:1">
      <c r="A7186">
        <f t="shared" si="158"/>
        <v>7184</v>
      </c>
    </row>
    <row r="7187" spans="1:1">
      <c r="A7187">
        <f t="shared" si="158"/>
        <v>7185</v>
      </c>
    </row>
    <row r="7188" spans="1:1">
      <c r="A7188">
        <f t="shared" si="158"/>
        <v>7186</v>
      </c>
    </row>
    <row r="7189" spans="1:1">
      <c r="A7189">
        <f t="shared" si="158"/>
        <v>7187</v>
      </c>
    </row>
    <row r="7190" spans="1:1">
      <c r="A7190">
        <f t="shared" si="158"/>
        <v>7188</v>
      </c>
    </row>
    <row r="7191" spans="1:1">
      <c r="A7191">
        <f t="shared" si="158"/>
        <v>7189</v>
      </c>
    </row>
    <row r="7192" spans="1:1">
      <c r="A7192">
        <f t="shared" si="158"/>
        <v>7190</v>
      </c>
    </row>
    <row r="7193" spans="1:1">
      <c r="A7193">
        <f t="shared" si="158"/>
        <v>7191</v>
      </c>
    </row>
    <row r="7194" spans="1:1">
      <c r="A7194">
        <f t="shared" si="158"/>
        <v>7192</v>
      </c>
    </row>
    <row r="7195" spans="1:1">
      <c r="A7195">
        <f t="shared" si="158"/>
        <v>7193</v>
      </c>
    </row>
    <row r="7196" spans="1:1">
      <c r="A7196">
        <f t="shared" si="158"/>
        <v>7194</v>
      </c>
    </row>
    <row r="7197" spans="1:1">
      <c r="A7197">
        <f t="shared" si="158"/>
        <v>7195</v>
      </c>
    </row>
    <row r="7198" spans="1:1">
      <c r="A7198">
        <f t="shared" si="158"/>
        <v>7196</v>
      </c>
    </row>
    <row r="7199" spans="1:1">
      <c r="A7199">
        <f t="shared" si="158"/>
        <v>7197</v>
      </c>
    </row>
    <row r="7200" spans="1:1">
      <c r="A7200">
        <f t="shared" si="158"/>
        <v>7198</v>
      </c>
    </row>
    <row r="7201" spans="1:1">
      <c r="A7201">
        <f t="shared" si="158"/>
        <v>7199</v>
      </c>
    </row>
    <row r="7202" spans="1:1">
      <c r="A7202">
        <f t="shared" si="158"/>
        <v>7200</v>
      </c>
    </row>
    <row r="7203" spans="1:1">
      <c r="A7203">
        <f t="shared" si="158"/>
        <v>7201</v>
      </c>
    </row>
    <row r="7204" spans="1:1">
      <c r="A7204">
        <f t="shared" ref="A7204:A7267" si="159">A7203+1</f>
        <v>7202</v>
      </c>
    </row>
    <row r="7205" spans="1:1">
      <c r="A7205">
        <f t="shared" si="159"/>
        <v>7203</v>
      </c>
    </row>
    <row r="7206" spans="1:1">
      <c r="A7206">
        <f t="shared" si="159"/>
        <v>7204</v>
      </c>
    </row>
    <row r="7207" spans="1:1">
      <c r="A7207">
        <f t="shared" si="159"/>
        <v>7205</v>
      </c>
    </row>
    <row r="7208" spans="1:1">
      <c r="A7208">
        <f t="shared" si="159"/>
        <v>7206</v>
      </c>
    </row>
    <row r="7209" spans="1:1">
      <c r="A7209">
        <f t="shared" si="159"/>
        <v>7207</v>
      </c>
    </row>
    <row r="7210" spans="1:1">
      <c r="A7210">
        <f t="shared" si="159"/>
        <v>7208</v>
      </c>
    </row>
    <row r="7211" spans="1:1">
      <c r="A7211">
        <f t="shared" si="159"/>
        <v>7209</v>
      </c>
    </row>
    <row r="7212" spans="1:1">
      <c r="A7212">
        <f t="shared" si="159"/>
        <v>7210</v>
      </c>
    </row>
    <row r="7213" spans="1:1">
      <c r="A7213">
        <f t="shared" si="159"/>
        <v>7211</v>
      </c>
    </row>
    <row r="7214" spans="1:1">
      <c r="A7214">
        <f t="shared" si="159"/>
        <v>7212</v>
      </c>
    </row>
    <row r="7215" spans="1:1">
      <c r="A7215">
        <f t="shared" si="159"/>
        <v>7213</v>
      </c>
    </row>
    <row r="7216" spans="1:1">
      <c r="A7216">
        <f t="shared" si="159"/>
        <v>7214</v>
      </c>
    </row>
    <row r="7217" spans="1:1">
      <c r="A7217">
        <f t="shared" si="159"/>
        <v>7215</v>
      </c>
    </row>
    <row r="7218" spans="1:1">
      <c r="A7218">
        <f t="shared" si="159"/>
        <v>7216</v>
      </c>
    </row>
    <row r="7219" spans="1:1">
      <c r="A7219">
        <f t="shared" si="159"/>
        <v>7217</v>
      </c>
    </row>
    <row r="7220" spans="1:1">
      <c r="A7220">
        <f t="shared" si="159"/>
        <v>7218</v>
      </c>
    </row>
    <row r="7221" spans="1:1">
      <c r="A7221">
        <f t="shared" si="159"/>
        <v>7219</v>
      </c>
    </row>
    <row r="7222" spans="1:1">
      <c r="A7222">
        <f t="shared" si="159"/>
        <v>7220</v>
      </c>
    </row>
    <row r="7223" spans="1:1">
      <c r="A7223">
        <f t="shared" si="159"/>
        <v>7221</v>
      </c>
    </row>
    <row r="7224" spans="1:1">
      <c r="A7224">
        <f t="shared" si="159"/>
        <v>7222</v>
      </c>
    </row>
    <row r="7225" spans="1:1">
      <c r="A7225">
        <f t="shared" si="159"/>
        <v>7223</v>
      </c>
    </row>
    <row r="7226" spans="1:1">
      <c r="A7226">
        <f t="shared" si="159"/>
        <v>7224</v>
      </c>
    </row>
    <row r="7227" spans="1:1">
      <c r="A7227">
        <f t="shared" si="159"/>
        <v>7225</v>
      </c>
    </row>
    <row r="7228" spans="1:1">
      <c r="A7228">
        <f t="shared" si="159"/>
        <v>7226</v>
      </c>
    </row>
    <row r="7229" spans="1:1">
      <c r="A7229">
        <f t="shared" si="159"/>
        <v>7227</v>
      </c>
    </row>
    <row r="7230" spans="1:1">
      <c r="A7230">
        <f t="shared" si="159"/>
        <v>7228</v>
      </c>
    </row>
    <row r="7231" spans="1:1">
      <c r="A7231">
        <f t="shared" si="159"/>
        <v>7229</v>
      </c>
    </row>
    <row r="7232" spans="1:1">
      <c r="A7232">
        <f t="shared" si="159"/>
        <v>7230</v>
      </c>
    </row>
    <row r="7233" spans="1:1">
      <c r="A7233">
        <f t="shared" si="159"/>
        <v>7231</v>
      </c>
    </row>
    <row r="7234" spans="1:1">
      <c r="A7234">
        <f t="shared" si="159"/>
        <v>7232</v>
      </c>
    </row>
    <row r="7235" spans="1:1">
      <c r="A7235">
        <f t="shared" si="159"/>
        <v>7233</v>
      </c>
    </row>
    <row r="7236" spans="1:1">
      <c r="A7236">
        <f t="shared" si="159"/>
        <v>7234</v>
      </c>
    </row>
    <row r="7237" spans="1:1">
      <c r="A7237">
        <f t="shared" si="159"/>
        <v>7235</v>
      </c>
    </row>
    <row r="7238" spans="1:1">
      <c r="A7238">
        <f t="shared" si="159"/>
        <v>7236</v>
      </c>
    </row>
    <row r="7239" spans="1:1">
      <c r="A7239">
        <f t="shared" si="159"/>
        <v>7237</v>
      </c>
    </row>
    <row r="7240" spans="1:1">
      <c r="A7240">
        <f t="shared" si="159"/>
        <v>7238</v>
      </c>
    </row>
    <row r="7241" spans="1:1">
      <c r="A7241">
        <f t="shared" si="159"/>
        <v>7239</v>
      </c>
    </row>
    <row r="7242" spans="1:1">
      <c r="A7242">
        <f t="shared" si="159"/>
        <v>7240</v>
      </c>
    </row>
    <row r="7243" spans="1:1">
      <c r="A7243">
        <f t="shared" si="159"/>
        <v>7241</v>
      </c>
    </row>
    <row r="7244" spans="1:1">
      <c r="A7244">
        <f t="shared" si="159"/>
        <v>7242</v>
      </c>
    </row>
    <row r="7245" spans="1:1">
      <c r="A7245">
        <f t="shared" si="159"/>
        <v>7243</v>
      </c>
    </row>
    <row r="7246" spans="1:1">
      <c r="A7246">
        <f t="shared" si="159"/>
        <v>7244</v>
      </c>
    </row>
    <row r="7247" spans="1:1">
      <c r="A7247">
        <f t="shared" si="159"/>
        <v>7245</v>
      </c>
    </row>
    <row r="7248" spans="1:1">
      <c r="A7248">
        <f t="shared" si="159"/>
        <v>7246</v>
      </c>
    </row>
    <row r="7249" spans="1:1">
      <c r="A7249">
        <f t="shared" si="159"/>
        <v>7247</v>
      </c>
    </row>
    <row r="7250" spans="1:1">
      <c r="A7250">
        <f t="shared" si="159"/>
        <v>7248</v>
      </c>
    </row>
    <row r="7251" spans="1:1">
      <c r="A7251">
        <f t="shared" si="159"/>
        <v>7249</v>
      </c>
    </row>
    <row r="7252" spans="1:1">
      <c r="A7252">
        <f t="shared" si="159"/>
        <v>7250</v>
      </c>
    </row>
    <row r="7253" spans="1:1">
      <c r="A7253">
        <f t="shared" si="159"/>
        <v>7251</v>
      </c>
    </row>
    <row r="7254" spans="1:1">
      <c r="A7254">
        <f t="shared" si="159"/>
        <v>7252</v>
      </c>
    </row>
    <row r="7255" spans="1:1">
      <c r="A7255">
        <f t="shared" si="159"/>
        <v>7253</v>
      </c>
    </row>
    <row r="7256" spans="1:1">
      <c r="A7256">
        <f t="shared" si="159"/>
        <v>7254</v>
      </c>
    </row>
    <row r="7257" spans="1:1">
      <c r="A7257">
        <f t="shared" si="159"/>
        <v>7255</v>
      </c>
    </row>
    <row r="7258" spans="1:1">
      <c r="A7258">
        <f t="shared" si="159"/>
        <v>7256</v>
      </c>
    </row>
    <row r="7259" spans="1:1">
      <c r="A7259">
        <f t="shared" si="159"/>
        <v>7257</v>
      </c>
    </row>
    <row r="7260" spans="1:1">
      <c r="A7260">
        <f t="shared" si="159"/>
        <v>7258</v>
      </c>
    </row>
    <row r="7261" spans="1:1">
      <c r="A7261">
        <f t="shared" si="159"/>
        <v>7259</v>
      </c>
    </row>
    <row r="7262" spans="1:1">
      <c r="A7262">
        <f t="shared" si="159"/>
        <v>7260</v>
      </c>
    </row>
    <row r="7263" spans="1:1">
      <c r="A7263">
        <f t="shared" si="159"/>
        <v>7261</v>
      </c>
    </row>
    <row r="7264" spans="1:1">
      <c r="A7264">
        <f t="shared" si="159"/>
        <v>7262</v>
      </c>
    </row>
    <row r="7265" spans="1:1">
      <c r="A7265">
        <f t="shared" si="159"/>
        <v>7263</v>
      </c>
    </row>
    <row r="7266" spans="1:1">
      <c r="A7266">
        <f t="shared" si="159"/>
        <v>7264</v>
      </c>
    </row>
    <row r="7267" spans="1:1">
      <c r="A7267">
        <f t="shared" si="159"/>
        <v>7265</v>
      </c>
    </row>
    <row r="7268" spans="1:1">
      <c r="A7268">
        <f t="shared" ref="A7268:A7331" si="160">A7267+1</f>
        <v>7266</v>
      </c>
    </row>
    <row r="7269" spans="1:1">
      <c r="A7269">
        <f t="shared" si="160"/>
        <v>7267</v>
      </c>
    </row>
    <row r="7270" spans="1:1">
      <c r="A7270">
        <f t="shared" si="160"/>
        <v>7268</v>
      </c>
    </row>
    <row r="7271" spans="1:1">
      <c r="A7271">
        <f t="shared" si="160"/>
        <v>7269</v>
      </c>
    </row>
    <row r="7272" spans="1:1">
      <c r="A7272">
        <f t="shared" si="160"/>
        <v>7270</v>
      </c>
    </row>
    <row r="7273" spans="1:1">
      <c r="A7273">
        <f t="shared" si="160"/>
        <v>7271</v>
      </c>
    </row>
    <row r="7274" spans="1:1">
      <c r="A7274">
        <f t="shared" si="160"/>
        <v>7272</v>
      </c>
    </row>
    <row r="7275" spans="1:1">
      <c r="A7275">
        <f t="shared" si="160"/>
        <v>7273</v>
      </c>
    </row>
    <row r="7276" spans="1:1">
      <c r="A7276">
        <f t="shared" si="160"/>
        <v>7274</v>
      </c>
    </row>
    <row r="7277" spans="1:1">
      <c r="A7277">
        <f t="shared" si="160"/>
        <v>7275</v>
      </c>
    </row>
    <row r="7278" spans="1:1">
      <c r="A7278">
        <f t="shared" si="160"/>
        <v>7276</v>
      </c>
    </row>
    <row r="7279" spans="1:1">
      <c r="A7279">
        <f t="shared" si="160"/>
        <v>7277</v>
      </c>
    </row>
    <row r="7280" spans="1:1">
      <c r="A7280">
        <f t="shared" si="160"/>
        <v>7278</v>
      </c>
    </row>
    <row r="7281" spans="1:1">
      <c r="A7281">
        <f t="shared" si="160"/>
        <v>7279</v>
      </c>
    </row>
    <row r="7282" spans="1:1">
      <c r="A7282">
        <f t="shared" si="160"/>
        <v>7280</v>
      </c>
    </row>
    <row r="7283" spans="1:1">
      <c r="A7283">
        <f t="shared" si="160"/>
        <v>7281</v>
      </c>
    </row>
    <row r="7284" spans="1:1">
      <c r="A7284">
        <f t="shared" si="160"/>
        <v>7282</v>
      </c>
    </row>
    <row r="7285" spans="1:1">
      <c r="A7285">
        <f t="shared" si="160"/>
        <v>7283</v>
      </c>
    </row>
    <row r="7286" spans="1:1">
      <c r="A7286">
        <f t="shared" si="160"/>
        <v>7284</v>
      </c>
    </row>
    <row r="7287" spans="1:1">
      <c r="A7287">
        <f t="shared" si="160"/>
        <v>7285</v>
      </c>
    </row>
    <row r="7288" spans="1:1">
      <c r="A7288">
        <f t="shared" si="160"/>
        <v>7286</v>
      </c>
    </row>
    <row r="7289" spans="1:1">
      <c r="A7289">
        <f t="shared" si="160"/>
        <v>7287</v>
      </c>
    </row>
    <row r="7290" spans="1:1">
      <c r="A7290">
        <f t="shared" si="160"/>
        <v>7288</v>
      </c>
    </row>
    <row r="7291" spans="1:1">
      <c r="A7291">
        <f t="shared" si="160"/>
        <v>7289</v>
      </c>
    </row>
    <row r="7292" spans="1:1">
      <c r="A7292">
        <f t="shared" si="160"/>
        <v>7290</v>
      </c>
    </row>
    <row r="7293" spans="1:1">
      <c r="A7293">
        <f t="shared" si="160"/>
        <v>7291</v>
      </c>
    </row>
    <row r="7294" spans="1:1">
      <c r="A7294">
        <f t="shared" si="160"/>
        <v>7292</v>
      </c>
    </row>
    <row r="7295" spans="1:1">
      <c r="A7295">
        <f t="shared" si="160"/>
        <v>7293</v>
      </c>
    </row>
    <row r="7296" spans="1:1">
      <c r="A7296">
        <f t="shared" si="160"/>
        <v>7294</v>
      </c>
    </row>
    <row r="7297" spans="1:1">
      <c r="A7297">
        <f t="shared" si="160"/>
        <v>7295</v>
      </c>
    </row>
    <row r="7298" spans="1:1">
      <c r="A7298">
        <f t="shared" si="160"/>
        <v>7296</v>
      </c>
    </row>
    <row r="7299" spans="1:1">
      <c r="A7299">
        <f t="shared" si="160"/>
        <v>7297</v>
      </c>
    </row>
    <row r="7300" spans="1:1">
      <c r="A7300">
        <f t="shared" si="160"/>
        <v>7298</v>
      </c>
    </row>
    <row r="7301" spans="1:1">
      <c r="A7301">
        <f t="shared" si="160"/>
        <v>7299</v>
      </c>
    </row>
    <row r="7302" spans="1:1">
      <c r="A7302">
        <f t="shared" si="160"/>
        <v>7300</v>
      </c>
    </row>
    <row r="7303" spans="1:1">
      <c r="A7303">
        <f t="shared" si="160"/>
        <v>7301</v>
      </c>
    </row>
    <row r="7304" spans="1:1">
      <c r="A7304">
        <f t="shared" si="160"/>
        <v>7302</v>
      </c>
    </row>
    <row r="7305" spans="1:1">
      <c r="A7305">
        <f t="shared" si="160"/>
        <v>7303</v>
      </c>
    </row>
    <row r="7306" spans="1:1">
      <c r="A7306">
        <f t="shared" si="160"/>
        <v>7304</v>
      </c>
    </row>
    <row r="7307" spans="1:1">
      <c r="A7307">
        <f t="shared" si="160"/>
        <v>7305</v>
      </c>
    </row>
    <row r="7308" spans="1:1">
      <c r="A7308">
        <f t="shared" si="160"/>
        <v>7306</v>
      </c>
    </row>
    <row r="7309" spans="1:1">
      <c r="A7309">
        <f t="shared" si="160"/>
        <v>7307</v>
      </c>
    </row>
    <row r="7310" spans="1:1">
      <c r="A7310">
        <f t="shared" si="160"/>
        <v>7308</v>
      </c>
    </row>
    <row r="7311" spans="1:1">
      <c r="A7311">
        <f t="shared" si="160"/>
        <v>7309</v>
      </c>
    </row>
    <row r="7312" spans="1:1">
      <c r="A7312">
        <f t="shared" si="160"/>
        <v>7310</v>
      </c>
    </row>
    <row r="7313" spans="1:1">
      <c r="A7313">
        <f t="shared" si="160"/>
        <v>7311</v>
      </c>
    </row>
    <row r="7314" spans="1:1">
      <c r="A7314">
        <f t="shared" si="160"/>
        <v>7312</v>
      </c>
    </row>
    <row r="7315" spans="1:1">
      <c r="A7315">
        <f t="shared" si="160"/>
        <v>7313</v>
      </c>
    </row>
    <row r="7316" spans="1:1">
      <c r="A7316">
        <f t="shared" si="160"/>
        <v>7314</v>
      </c>
    </row>
    <row r="7317" spans="1:1">
      <c r="A7317">
        <f t="shared" si="160"/>
        <v>7315</v>
      </c>
    </row>
    <row r="7318" spans="1:1">
      <c r="A7318">
        <f t="shared" si="160"/>
        <v>7316</v>
      </c>
    </row>
    <row r="7319" spans="1:1">
      <c r="A7319">
        <f t="shared" si="160"/>
        <v>7317</v>
      </c>
    </row>
    <row r="7320" spans="1:1">
      <c r="A7320">
        <f t="shared" si="160"/>
        <v>7318</v>
      </c>
    </row>
    <row r="7321" spans="1:1">
      <c r="A7321">
        <f t="shared" si="160"/>
        <v>7319</v>
      </c>
    </row>
    <row r="7322" spans="1:1">
      <c r="A7322">
        <f t="shared" si="160"/>
        <v>7320</v>
      </c>
    </row>
    <row r="7323" spans="1:1">
      <c r="A7323">
        <f t="shared" si="160"/>
        <v>7321</v>
      </c>
    </row>
    <row r="7324" spans="1:1">
      <c r="A7324">
        <f t="shared" si="160"/>
        <v>7322</v>
      </c>
    </row>
    <row r="7325" spans="1:1">
      <c r="A7325">
        <f t="shared" si="160"/>
        <v>7323</v>
      </c>
    </row>
    <row r="7326" spans="1:1">
      <c r="A7326">
        <f t="shared" si="160"/>
        <v>7324</v>
      </c>
    </row>
    <row r="7327" spans="1:1">
      <c r="A7327">
        <f t="shared" si="160"/>
        <v>7325</v>
      </c>
    </row>
    <row r="7328" spans="1:1">
      <c r="A7328">
        <f t="shared" si="160"/>
        <v>7326</v>
      </c>
    </row>
    <row r="7329" spans="1:1">
      <c r="A7329">
        <f t="shared" si="160"/>
        <v>7327</v>
      </c>
    </row>
    <row r="7330" spans="1:1">
      <c r="A7330">
        <f t="shared" si="160"/>
        <v>7328</v>
      </c>
    </row>
    <row r="7331" spans="1:1">
      <c r="A7331">
        <f t="shared" si="160"/>
        <v>7329</v>
      </c>
    </row>
    <row r="7332" spans="1:1">
      <c r="A7332">
        <f t="shared" ref="A7332:A7395" si="161">A7331+1</f>
        <v>7330</v>
      </c>
    </row>
    <row r="7333" spans="1:1">
      <c r="A7333">
        <f t="shared" si="161"/>
        <v>7331</v>
      </c>
    </row>
    <row r="7334" spans="1:1">
      <c r="A7334">
        <f t="shared" si="161"/>
        <v>7332</v>
      </c>
    </row>
    <row r="7335" spans="1:1">
      <c r="A7335">
        <f t="shared" si="161"/>
        <v>7333</v>
      </c>
    </row>
    <row r="7336" spans="1:1">
      <c r="A7336">
        <f t="shared" si="161"/>
        <v>7334</v>
      </c>
    </row>
    <row r="7337" spans="1:1">
      <c r="A7337">
        <f t="shared" si="161"/>
        <v>7335</v>
      </c>
    </row>
    <row r="7338" spans="1:1">
      <c r="A7338">
        <f t="shared" si="161"/>
        <v>7336</v>
      </c>
    </row>
    <row r="7339" spans="1:1">
      <c r="A7339">
        <f t="shared" si="161"/>
        <v>7337</v>
      </c>
    </row>
    <row r="7340" spans="1:1">
      <c r="A7340">
        <f t="shared" si="161"/>
        <v>7338</v>
      </c>
    </row>
    <row r="7341" spans="1:1">
      <c r="A7341">
        <f t="shared" si="161"/>
        <v>7339</v>
      </c>
    </row>
    <row r="7342" spans="1:1">
      <c r="A7342">
        <f t="shared" si="161"/>
        <v>7340</v>
      </c>
    </row>
    <row r="7343" spans="1:1">
      <c r="A7343">
        <f t="shared" si="161"/>
        <v>7341</v>
      </c>
    </row>
    <row r="7344" spans="1:1">
      <c r="A7344">
        <f t="shared" si="161"/>
        <v>7342</v>
      </c>
    </row>
    <row r="7345" spans="1:1">
      <c r="A7345">
        <f t="shared" si="161"/>
        <v>7343</v>
      </c>
    </row>
    <row r="7346" spans="1:1">
      <c r="A7346">
        <f t="shared" si="161"/>
        <v>7344</v>
      </c>
    </row>
    <row r="7347" spans="1:1">
      <c r="A7347">
        <f t="shared" si="161"/>
        <v>7345</v>
      </c>
    </row>
    <row r="7348" spans="1:1">
      <c r="A7348">
        <f t="shared" si="161"/>
        <v>7346</v>
      </c>
    </row>
    <row r="7349" spans="1:1">
      <c r="A7349">
        <f t="shared" si="161"/>
        <v>7347</v>
      </c>
    </row>
    <row r="7350" spans="1:1">
      <c r="A7350">
        <f t="shared" si="161"/>
        <v>7348</v>
      </c>
    </row>
    <row r="7351" spans="1:1">
      <c r="A7351">
        <f t="shared" si="161"/>
        <v>7349</v>
      </c>
    </row>
    <row r="7352" spans="1:1">
      <c r="A7352">
        <f t="shared" si="161"/>
        <v>7350</v>
      </c>
    </row>
    <row r="7353" spans="1:1">
      <c r="A7353">
        <f t="shared" si="161"/>
        <v>7351</v>
      </c>
    </row>
    <row r="7354" spans="1:1">
      <c r="A7354">
        <f t="shared" si="161"/>
        <v>7352</v>
      </c>
    </row>
    <row r="7355" spans="1:1">
      <c r="A7355">
        <f t="shared" si="161"/>
        <v>7353</v>
      </c>
    </row>
    <row r="7356" spans="1:1">
      <c r="A7356">
        <f t="shared" si="161"/>
        <v>7354</v>
      </c>
    </row>
    <row r="7357" spans="1:1">
      <c r="A7357">
        <f t="shared" si="161"/>
        <v>7355</v>
      </c>
    </row>
    <row r="7358" spans="1:1">
      <c r="A7358">
        <f t="shared" si="161"/>
        <v>7356</v>
      </c>
    </row>
    <row r="7359" spans="1:1">
      <c r="A7359">
        <f t="shared" si="161"/>
        <v>7357</v>
      </c>
    </row>
    <row r="7360" spans="1:1">
      <c r="A7360">
        <f t="shared" si="161"/>
        <v>7358</v>
      </c>
    </row>
    <row r="7361" spans="1:1">
      <c r="A7361">
        <f t="shared" si="161"/>
        <v>7359</v>
      </c>
    </row>
    <row r="7362" spans="1:1">
      <c r="A7362">
        <f t="shared" si="161"/>
        <v>7360</v>
      </c>
    </row>
    <row r="7363" spans="1:1">
      <c r="A7363">
        <f t="shared" si="161"/>
        <v>7361</v>
      </c>
    </row>
    <row r="7364" spans="1:1">
      <c r="A7364">
        <f t="shared" si="161"/>
        <v>7362</v>
      </c>
    </row>
    <row r="7365" spans="1:1">
      <c r="A7365">
        <f t="shared" si="161"/>
        <v>7363</v>
      </c>
    </row>
    <row r="7366" spans="1:1">
      <c r="A7366">
        <f t="shared" si="161"/>
        <v>7364</v>
      </c>
    </row>
    <row r="7367" spans="1:1">
      <c r="A7367">
        <f t="shared" si="161"/>
        <v>7365</v>
      </c>
    </row>
    <row r="7368" spans="1:1">
      <c r="A7368">
        <f t="shared" si="161"/>
        <v>7366</v>
      </c>
    </row>
    <row r="7369" spans="1:1">
      <c r="A7369">
        <f t="shared" si="161"/>
        <v>7367</v>
      </c>
    </row>
    <row r="7370" spans="1:1">
      <c r="A7370">
        <f t="shared" si="161"/>
        <v>7368</v>
      </c>
    </row>
    <row r="7371" spans="1:1">
      <c r="A7371">
        <f t="shared" si="161"/>
        <v>7369</v>
      </c>
    </row>
    <row r="7372" spans="1:1">
      <c r="A7372">
        <f t="shared" si="161"/>
        <v>7370</v>
      </c>
    </row>
    <row r="7373" spans="1:1">
      <c r="A7373">
        <f t="shared" si="161"/>
        <v>7371</v>
      </c>
    </row>
    <row r="7374" spans="1:1">
      <c r="A7374">
        <f t="shared" si="161"/>
        <v>7372</v>
      </c>
    </row>
    <row r="7375" spans="1:1">
      <c r="A7375">
        <f t="shared" si="161"/>
        <v>7373</v>
      </c>
    </row>
    <row r="7376" spans="1:1">
      <c r="A7376">
        <f t="shared" si="161"/>
        <v>7374</v>
      </c>
    </row>
    <row r="7377" spans="1:1">
      <c r="A7377">
        <f t="shared" si="161"/>
        <v>7375</v>
      </c>
    </row>
    <row r="7378" spans="1:1">
      <c r="A7378">
        <f t="shared" si="161"/>
        <v>7376</v>
      </c>
    </row>
    <row r="7379" spans="1:1">
      <c r="A7379">
        <f t="shared" si="161"/>
        <v>7377</v>
      </c>
    </row>
    <row r="7380" spans="1:1">
      <c r="A7380">
        <f t="shared" si="161"/>
        <v>7378</v>
      </c>
    </row>
    <row r="7381" spans="1:1">
      <c r="A7381">
        <f t="shared" si="161"/>
        <v>7379</v>
      </c>
    </row>
    <row r="7382" spans="1:1">
      <c r="A7382">
        <f t="shared" si="161"/>
        <v>7380</v>
      </c>
    </row>
    <row r="7383" spans="1:1">
      <c r="A7383">
        <f t="shared" si="161"/>
        <v>7381</v>
      </c>
    </row>
    <row r="7384" spans="1:1">
      <c r="A7384">
        <f t="shared" si="161"/>
        <v>7382</v>
      </c>
    </row>
    <row r="7385" spans="1:1">
      <c r="A7385">
        <f t="shared" si="161"/>
        <v>7383</v>
      </c>
    </row>
    <row r="7386" spans="1:1">
      <c r="A7386">
        <f t="shared" si="161"/>
        <v>7384</v>
      </c>
    </row>
    <row r="7387" spans="1:1">
      <c r="A7387">
        <f t="shared" si="161"/>
        <v>7385</v>
      </c>
    </row>
    <row r="7388" spans="1:1">
      <c r="A7388">
        <f t="shared" si="161"/>
        <v>7386</v>
      </c>
    </row>
    <row r="7389" spans="1:1">
      <c r="A7389">
        <f t="shared" si="161"/>
        <v>7387</v>
      </c>
    </row>
    <row r="7390" spans="1:1">
      <c r="A7390">
        <f t="shared" si="161"/>
        <v>7388</v>
      </c>
    </row>
    <row r="7391" spans="1:1">
      <c r="A7391">
        <f t="shared" si="161"/>
        <v>7389</v>
      </c>
    </row>
    <row r="7392" spans="1:1">
      <c r="A7392">
        <f t="shared" si="161"/>
        <v>7390</v>
      </c>
    </row>
    <row r="7393" spans="1:1">
      <c r="A7393">
        <f t="shared" si="161"/>
        <v>7391</v>
      </c>
    </row>
    <row r="7394" spans="1:1">
      <c r="A7394">
        <f t="shared" si="161"/>
        <v>7392</v>
      </c>
    </row>
    <row r="7395" spans="1:1">
      <c r="A7395">
        <f t="shared" si="161"/>
        <v>7393</v>
      </c>
    </row>
    <row r="7396" spans="1:1">
      <c r="A7396">
        <f t="shared" ref="A7396:A7459" si="162">A7395+1</f>
        <v>7394</v>
      </c>
    </row>
    <row r="7397" spans="1:1">
      <c r="A7397">
        <f t="shared" si="162"/>
        <v>7395</v>
      </c>
    </row>
    <row r="7398" spans="1:1">
      <c r="A7398">
        <f t="shared" si="162"/>
        <v>7396</v>
      </c>
    </row>
    <row r="7399" spans="1:1">
      <c r="A7399">
        <f t="shared" si="162"/>
        <v>7397</v>
      </c>
    </row>
    <row r="7400" spans="1:1">
      <c r="A7400">
        <f t="shared" si="162"/>
        <v>7398</v>
      </c>
    </row>
    <row r="7401" spans="1:1">
      <c r="A7401">
        <f t="shared" si="162"/>
        <v>7399</v>
      </c>
    </row>
    <row r="7402" spans="1:1">
      <c r="A7402">
        <f t="shared" si="162"/>
        <v>7400</v>
      </c>
    </row>
    <row r="7403" spans="1:1">
      <c r="A7403">
        <f t="shared" si="162"/>
        <v>7401</v>
      </c>
    </row>
    <row r="7404" spans="1:1">
      <c r="A7404">
        <f t="shared" si="162"/>
        <v>7402</v>
      </c>
    </row>
    <row r="7405" spans="1:1">
      <c r="A7405">
        <f t="shared" si="162"/>
        <v>7403</v>
      </c>
    </row>
    <row r="7406" spans="1:1">
      <c r="A7406">
        <f t="shared" si="162"/>
        <v>7404</v>
      </c>
    </row>
    <row r="7407" spans="1:1">
      <c r="A7407">
        <f t="shared" si="162"/>
        <v>7405</v>
      </c>
    </row>
    <row r="7408" spans="1:1">
      <c r="A7408">
        <f t="shared" si="162"/>
        <v>7406</v>
      </c>
    </row>
    <row r="7409" spans="1:1">
      <c r="A7409">
        <f t="shared" si="162"/>
        <v>7407</v>
      </c>
    </row>
    <row r="7410" spans="1:1">
      <c r="A7410">
        <f t="shared" si="162"/>
        <v>7408</v>
      </c>
    </row>
    <row r="7411" spans="1:1">
      <c r="A7411">
        <f t="shared" si="162"/>
        <v>7409</v>
      </c>
    </row>
    <row r="7412" spans="1:1">
      <c r="A7412">
        <f t="shared" si="162"/>
        <v>7410</v>
      </c>
    </row>
    <row r="7413" spans="1:1">
      <c r="A7413">
        <f t="shared" si="162"/>
        <v>7411</v>
      </c>
    </row>
    <row r="7414" spans="1:1">
      <c r="A7414">
        <f t="shared" si="162"/>
        <v>7412</v>
      </c>
    </row>
    <row r="7415" spans="1:1">
      <c r="A7415">
        <f t="shared" si="162"/>
        <v>7413</v>
      </c>
    </row>
    <row r="7416" spans="1:1">
      <c r="A7416">
        <f t="shared" si="162"/>
        <v>7414</v>
      </c>
    </row>
    <row r="7417" spans="1:1">
      <c r="A7417">
        <f t="shared" si="162"/>
        <v>7415</v>
      </c>
    </row>
    <row r="7418" spans="1:1">
      <c r="A7418">
        <f t="shared" si="162"/>
        <v>7416</v>
      </c>
    </row>
    <row r="7419" spans="1:1">
      <c r="A7419">
        <f t="shared" si="162"/>
        <v>7417</v>
      </c>
    </row>
    <row r="7420" spans="1:1">
      <c r="A7420">
        <f t="shared" si="162"/>
        <v>7418</v>
      </c>
    </row>
    <row r="7421" spans="1:1">
      <c r="A7421">
        <f t="shared" si="162"/>
        <v>7419</v>
      </c>
    </row>
    <row r="7422" spans="1:1">
      <c r="A7422">
        <f t="shared" si="162"/>
        <v>7420</v>
      </c>
    </row>
    <row r="7423" spans="1:1">
      <c r="A7423">
        <f t="shared" si="162"/>
        <v>7421</v>
      </c>
    </row>
    <row r="7424" spans="1:1">
      <c r="A7424">
        <f t="shared" si="162"/>
        <v>7422</v>
      </c>
    </row>
    <row r="7425" spans="1:1">
      <c r="A7425">
        <f t="shared" si="162"/>
        <v>7423</v>
      </c>
    </row>
    <row r="7426" spans="1:1">
      <c r="A7426">
        <f t="shared" si="162"/>
        <v>7424</v>
      </c>
    </row>
    <row r="7427" spans="1:1">
      <c r="A7427">
        <f t="shared" si="162"/>
        <v>7425</v>
      </c>
    </row>
    <row r="7428" spans="1:1">
      <c r="A7428">
        <f t="shared" si="162"/>
        <v>7426</v>
      </c>
    </row>
    <row r="7429" spans="1:1">
      <c r="A7429">
        <f t="shared" si="162"/>
        <v>7427</v>
      </c>
    </row>
    <row r="7430" spans="1:1">
      <c r="A7430">
        <f t="shared" si="162"/>
        <v>7428</v>
      </c>
    </row>
    <row r="7431" spans="1:1">
      <c r="A7431">
        <f t="shared" si="162"/>
        <v>7429</v>
      </c>
    </row>
    <row r="7432" spans="1:1">
      <c r="A7432">
        <f t="shared" si="162"/>
        <v>7430</v>
      </c>
    </row>
    <row r="7433" spans="1:1">
      <c r="A7433">
        <f t="shared" si="162"/>
        <v>7431</v>
      </c>
    </row>
    <row r="7434" spans="1:1">
      <c r="A7434">
        <f t="shared" si="162"/>
        <v>7432</v>
      </c>
    </row>
    <row r="7435" spans="1:1">
      <c r="A7435">
        <f t="shared" si="162"/>
        <v>7433</v>
      </c>
    </row>
    <row r="7436" spans="1:1">
      <c r="A7436">
        <f t="shared" si="162"/>
        <v>7434</v>
      </c>
    </row>
    <row r="7437" spans="1:1">
      <c r="A7437">
        <f t="shared" si="162"/>
        <v>7435</v>
      </c>
    </row>
    <row r="7438" spans="1:1">
      <c r="A7438">
        <f t="shared" si="162"/>
        <v>7436</v>
      </c>
    </row>
    <row r="7439" spans="1:1">
      <c r="A7439">
        <f t="shared" si="162"/>
        <v>7437</v>
      </c>
    </row>
    <row r="7440" spans="1:1">
      <c r="A7440">
        <f t="shared" si="162"/>
        <v>7438</v>
      </c>
    </row>
    <row r="7441" spans="1:1">
      <c r="A7441">
        <f t="shared" si="162"/>
        <v>7439</v>
      </c>
    </row>
    <row r="7442" spans="1:1">
      <c r="A7442">
        <f t="shared" si="162"/>
        <v>7440</v>
      </c>
    </row>
    <row r="7443" spans="1:1">
      <c r="A7443">
        <f t="shared" si="162"/>
        <v>7441</v>
      </c>
    </row>
    <row r="7444" spans="1:1">
      <c r="A7444">
        <f t="shared" si="162"/>
        <v>7442</v>
      </c>
    </row>
    <row r="7445" spans="1:1">
      <c r="A7445">
        <f t="shared" si="162"/>
        <v>7443</v>
      </c>
    </row>
    <row r="7446" spans="1:1">
      <c r="A7446">
        <f t="shared" si="162"/>
        <v>7444</v>
      </c>
    </row>
    <row r="7447" spans="1:1">
      <c r="A7447">
        <f t="shared" si="162"/>
        <v>7445</v>
      </c>
    </row>
    <row r="7448" spans="1:1">
      <c r="A7448">
        <f t="shared" si="162"/>
        <v>7446</v>
      </c>
    </row>
    <row r="7449" spans="1:1">
      <c r="A7449">
        <f t="shared" si="162"/>
        <v>7447</v>
      </c>
    </row>
    <row r="7450" spans="1:1">
      <c r="A7450">
        <f t="shared" si="162"/>
        <v>7448</v>
      </c>
    </row>
    <row r="7451" spans="1:1">
      <c r="A7451">
        <f t="shared" si="162"/>
        <v>7449</v>
      </c>
    </row>
    <row r="7452" spans="1:1">
      <c r="A7452">
        <f t="shared" si="162"/>
        <v>7450</v>
      </c>
    </row>
    <row r="7453" spans="1:1">
      <c r="A7453">
        <f t="shared" si="162"/>
        <v>7451</v>
      </c>
    </row>
    <row r="7454" spans="1:1">
      <c r="A7454">
        <f t="shared" si="162"/>
        <v>7452</v>
      </c>
    </row>
    <row r="7455" spans="1:1">
      <c r="A7455">
        <f t="shared" si="162"/>
        <v>7453</v>
      </c>
    </row>
    <row r="7456" spans="1:1">
      <c r="A7456">
        <f t="shared" si="162"/>
        <v>7454</v>
      </c>
    </row>
    <row r="7457" spans="1:1">
      <c r="A7457">
        <f t="shared" si="162"/>
        <v>7455</v>
      </c>
    </row>
    <row r="7458" spans="1:1">
      <c r="A7458">
        <f t="shared" si="162"/>
        <v>7456</v>
      </c>
    </row>
    <row r="7459" spans="1:1">
      <c r="A7459">
        <f t="shared" si="162"/>
        <v>7457</v>
      </c>
    </row>
    <row r="7460" spans="1:1">
      <c r="A7460">
        <f t="shared" ref="A7460:A7523" si="163">A7459+1</f>
        <v>7458</v>
      </c>
    </row>
    <row r="7461" spans="1:1">
      <c r="A7461">
        <f t="shared" si="163"/>
        <v>7459</v>
      </c>
    </row>
    <row r="7462" spans="1:1">
      <c r="A7462">
        <f t="shared" si="163"/>
        <v>7460</v>
      </c>
    </row>
    <row r="7463" spans="1:1">
      <c r="A7463">
        <f t="shared" si="163"/>
        <v>7461</v>
      </c>
    </row>
    <row r="7464" spans="1:1">
      <c r="A7464">
        <f t="shared" si="163"/>
        <v>7462</v>
      </c>
    </row>
    <row r="7465" spans="1:1">
      <c r="A7465">
        <f t="shared" si="163"/>
        <v>7463</v>
      </c>
    </row>
    <row r="7466" spans="1:1">
      <c r="A7466">
        <f t="shared" si="163"/>
        <v>7464</v>
      </c>
    </row>
    <row r="7467" spans="1:1">
      <c r="A7467">
        <f t="shared" si="163"/>
        <v>7465</v>
      </c>
    </row>
    <row r="7468" spans="1:1">
      <c r="A7468">
        <f t="shared" si="163"/>
        <v>7466</v>
      </c>
    </row>
    <row r="7469" spans="1:1">
      <c r="A7469">
        <f t="shared" si="163"/>
        <v>7467</v>
      </c>
    </row>
    <row r="7470" spans="1:1">
      <c r="A7470">
        <f t="shared" si="163"/>
        <v>7468</v>
      </c>
    </row>
    <row r="7471" spans="1:1">
      <c r="A7471">
        <f t="shared" si="163"/>
        <v>7469</v>
      </c>
    </row>
    <row r="7472" spans="1:1">
      <c r="A7472">
        <f t="shared" si="163"/>
        <v>7470</v>
      </c>
    </row>
    <row r="7473" spans="1:1">
      <c r="A7473">
        <f t="shared" si="163"/>
        <v>7471</v>
      </c>
    </row>
    <row r="7474" spans="1:1">
      <c r="A7474">
        <f t="shared" si="163"/>
        <v>7472</v>
      </c>
    </row>
    <row r="7475" spans="1:1">
      <c r="A7475">
        <f t="shared" si="163"/>
        <v>7473</v>
      </c>
    </row>
    <row r="7476" spans="1:1">
      <c r="A7476">
        <f t="shared" si="163"/>
        <v>7474</v>
      </c>
    </row>
    <row r="7477" spans="1:1">
      <c r="A7477">
        <f t="shared" si="163"/>
        <v>7475</v>
      </c>
    </row>
    <row r="7478" spans="1:1">
      <c r="A7478">
        <f t="shared" si="163"/>
        <v>7476</v>
      </c>
    </row>
    <row r="7479" spans="1:1">
      <c r="A7479">
        <f t="shared" si="163"/>
        <v>7477</v>
      </c>
    </row>
    <row r="7480" spans="1:1">
      <c r="A7480">
        <f t="shared" si="163"/>
        <v>7478</v>
      </c>
    </row>
    <row r="7481" spans="1:1">
      <c r="A7481">
        <f t="shared" si="163"/>
        <v>7479</v>
      </c>
    </row>
    <row r="7482" spans="1:1">
      <c r="A7482">
        <f t="shared" si="163"/>
        <v>7480</v>
      </c>
    </row>
    <row r="7483" spans="1:1">
      <c r="A7483">
        <f t="shared" si="163"/>
        <v>7481</v>
      </c>
    </row>
    <row r="7484" spans="1:1">
      <c r="A7484">
        <f t="shared" si="163"/>
        <v>7482</v>
      </c>
    </row>
    <row r="7485" spans="1:1">
      <c r="A7485">
        <f t="shared" si="163"/>
        <v>7483</v>
      </c>
    </row>
    <row r="7486" spans="1:1">
      <c r="A7486">
        <f t="shared" si="163"/>
        <v>7484</v>
      </c>
    </row>
    <row r="7487" spans="1:1">
      <c r="A7487">
        <f t="shared" si="163"/>
        <v>7485</v>
      </c>
    </row>
    <row r="7488" spans="1:1">
      <c r="A7488">
        <f t="shared" si="163"/>
        <v>7486</v>
      </c>
    </row>
    <row r="7489" spans="1:1">
      <c r="A7489">
        <f t="shared" si="163"/>
        <v>7487</v>
      </c>
    </row>
    <row r="7490" spans="1:1">
      <c r="A7490">
        <f t="shared" si="163"/>
        <v>7488</v>
      </c>
    </row>
    <row r="7491" spans="1:1">
      <c r="A7491">
        <f t="shared" si="163"/>
        <v>7489</v>
      </c>
    </row>
    <row r="7492" spans="1:1">
      <c r="A7492">
        <f t="shared" si="163"/>
        <v>7490</v>
      </c>
    </row>
    <row r="7493" spans="1:1">
      <c r="A7493">
        <f t="shared" si="163"/>
        <v>7491</v>
      </c>
    </row>
    <row r="7494" spans="1:1">
      <c r="A7494">
        <f t="shared" si="163"/>
        <v>7492</v>
      </c>
    </row>
    <row r="7495" spans="1:1">
      <c r="A7495">
        <f t="shared" si="163"/>
        <v>7493</v>
      </c>
    </row>
    <row r="7496" spans="1:1">
      <c r="A7496">
        <f t="shared" si="163"/>
        <v>7494</v>
      </c>
    </row>
    <row r="7497" spans="1:1">
      <c r="A7497">
        <f t="shared" si="163"/>
        <v>7495</v>
      </c>
    </row>
    <row r="7498" spans="1:1">
      <c r="A7498">
        <f t="shared" si="163"/>
        <v>7496</v>
      </c>
    </row>
    <row r="7499" spans="1:1">
      <c r="A7499">
        <f t="shared" si="163"/>
        <v>7497</v>
      </c>
    </row>
    <row r="7500" spans="1:1">
      <c r="A7500">
        <f t="shared" si="163"/>
        <v>7498</v>
      </c>
    </row>
    <row r="7501" spans="1:1">
      <c r="A7501">
        <f t="shared" si="163"/>
        <v>7499</v>
      </c>
    </row>
    <row r="7502" spans="1:1">
      <c r="A7502">
        <f t="shared" si="163"/>
        <v>7500</v>
      </c>
    </row>
    <row r="7503" spans="1:1">
      <c r="A7503">
        <f t="shared" si="163"/>
        <v>7501</v>
      </c>
    </row>
    <row r="7504" spans="1:1">
      <c r="A7504">
        <f t="shared" si="163"/>
        <v>7502</v>
      </c>
    </row>
    <row r="7505" spans="1:1">
      <c r="A7505">
        <f t="shared" si="163"/>
        <v>7503</v>
      </c>
    </row>
    <row r="7506" spans="1:1">
      <c r="A7506">
        <f t="shared" si="163"/>
        <v>7504</v>
      </c>
    </row>
    <row r="7507" spans="1:1">
      <c r="A7507">
        <f t="shared" si="163"/>
        <v>7505</v>
      </c>
    </row>
    <row r="7508" spans="1:1">
      <c r="A7508">
        <f t="shared" si="163"/>
        <v>7506</v>
      </c>
    </row>
    <row r="7509" spans="1:1">
      <c r="A7509">
        <f t="shared" si="163"/>
        <v>7507</v>
      </c>
    </row>
    <row r="7510" spans="1:1">
      <c r="A7510">
        <f t="shared" si="163"/>
        <v>7508</v>
      </c>
    </row>
    <row r="7511" spans="1:1">
      <c r="A7511">
        <f t="shared" si="163"/>
        <v>7509</v>
      </c>
    </row>
    <row r="7512" spans="1:1">
      <c r="A7512">
        <f t="shared" si="163"/>
        <v>7510</v>
      </c>
    </row>
    <row r="7513" spans="1:1">
      <c r="A7513">
        <f t="shared" si="163"/>
        <v>7511</v>
      </c>
    </row>
    <row r="7514" spans="1:1">
      <c r="A7514">
        <f t="shared" si="163"/>
        <v>7512</v>
      </c>
    </row>
    <row r="7515" spans="1:1">
      <c r="A7515">
        <f t="shared" si="163"/>
        <v>7513</v>
      </c>
    </row>
    <row r="7516" spans="1:1">
      <c r="A7516">
        <f t="shared" si="163"/>
        <v>7514</v>
      </c>
    </row>
    <row r="7517" spans="1:1">
      <c r="A7517">
        <f t="shared" si="163"/>
        <v>7515</v>
      </c>
    </row>
    <row r="7518" spans="1:1">
      <c r="A7518">
        <f t="shared" si="163"/>
        <v>7516</v>
      </c>
    </row>
    <row r="7519" spans="1:1">
      <c r="A7519">
        <f t="shared" si="163"/>
        <v>7517</v>
      </c>
    </row>
    <row r="7520" spans="1:1">
      <c r="A7520">
        <f t="shared" si="163"/>
        <v>7518</v>
      </c>
    </row>
    <row r="7521" spans="1:1">
      <c r="A7521">
        <f t="shared" si="163"/>
        <v>7519</v>
      </c>
    </row>
    <row r="7522" spans="1:1">
      <c r="A7522">
        <f t="shared" si="163"/>
        <v>7520</v>
      </c>
    </row>
    <row r="7523" spans="1:1">
      <c r="A7523">
        <f t="shared" si="163"/>
        <v>7521</v>
      </c>
    </row>
    <row r="7524" spans="1:1">
      <c r="A7524">
        <f t="shared" ref="A7524:A7587" si="164">A7523+1</f>
        <v>7522</v>
      </c>
    </row>
    <row r="7525" spans="1:1">
      <c r="A7525">
        <f t="shared" si="164"/>
        <v>7523</v>
      </c>
    </row>
    <row r="7526" spans="1:1">
      <c r="A7526">
        <f t="shared" si="164"/>
        <v>7524</v>
      </c>
    </row>
    <row r="7527" spans="1:1">
      <c r="A7527">
        <f t="shared" si="164"/>
        <v>7525</v>
      </c>
    </row>
    <row r="7528" spans="1:1">
      <c r="A7528">
        <f t="shared" si="164"/>
        <v>7526</v>
      </c>
    </row>
    <row r="7529" spans="1:1">
      <c r="A7529">
        <f t="shared" si="164"/>
        <v>7527</v>
      </c>
    </row>
    <row r="7530" spans="1:1">
      <c r="A7530">
        <f t="shared" si="164"/>
        <v>7528</v>
      </c>
    </row>
    <row r="7531" spans="1:1">
      <c r="A7531">
        <f t="shared" si="164"/>
        <v>7529</v>
      </c>
    </row>
    <row r="7532" spans="1:1">
      <c r="A7532">
        <f t="shared" si="164"/>
        <v>7530</v>
      </c>
    </row>
    <row r="7533" spans="1:1">
      <c r="A7533">
        <f t="shared" si="164"/>
        <v>7531</v>
      </c>
    </row>
    <row r="7534" spans="1:1">
      <c r="A7534">
        <f t="shared" si="164"/>
        <v>7532</v>
      </c>
    </row>
    <row r="7535" spans="1:1">
      <c r="A7535">
        <f t="shared" si="164"/>
        <v>7533</v>
      </c>
    </row>
    <row r="7536" spans="1:1">
      <c r="A7536">
        <f t="shared" si="164"/>
        <v>7534</v>
      </c>
    </row>
    <row r="7537" spans="1:1">
      <c r="A7537">
        <f t="shared" si="164"/>
        <v>7535</v>
      </c>
    </row>
    <row r="7538" spans="1:1">
      <c r="A7538">
        <f t="shared" si="164"/>
        <v>7536</v>
      </c>
    </row>
    <row r="7539" spans="1:1">
      <c r="A7539">
        <f t="shared" si="164"/>
        <v>7537</v>
      </c>
    </row>
    <row r="7540" spans="1:1">
      <c r="A7540">
        <f t="shared" si="164"/>
        <v>7538</v>
      </c>
    </row>
    <row r="7541" spans="1:1">
      <c r="A7541">
        <f t="shared" si="164"/>
        <v>7539</v>
      </c>
    </row>
    <row r="7542" spans="1:1">
      <c r="A7542">
        <f t="shared" si="164"/>
        <v>7540</v>
      </c>
    </row>
    <row r="7543" spans="1:1">
      <c r="A7543">
        <f t="shared" si="164"/>
        <v>7541</v>
      </c>
    </row>
    <row r="7544" spans="1:1">
      <c r="A7544">
        <f t="shared" si="164"/>
        <v>7542</v>
      </c>
    </row>
    <row r="7545" spans="1:1">
      <c r="A7545">
        <f t="shared" si="164"/>
        <v>7543</v>
      </c>
    </row>
    <row r="7546" spans="1:1">
      <c r="A7546">
        <f t="shared" si="164"/>
        <v>7544</v>
      </c>
    </row>
    <row r="7547" spans="1:1">
      <c r="A7547">
        <f t="shared" si="164"/>
        <v>7545</v>
      </c>
    </row>
    <row r="7548" spans="1:1">
      <c r="A7548">
        <f t="shared" si="164"/>
        <v>7546</v>
      </c>
    </row>
    <row r="7549" spans="1:1">
      <c r="A7549">
        <f t="shared" si="164"/>
        <v>7547</v>
      </c>
    </row>
    <row r="7550" spans="1:1">
      <c r="A7550">
        <f t="shared" si="164"/>
        <v>7548</v>
      </c>
    </row>
    <row r="7551" spans="1:1">
      <c r="A7551">
        <f t="shared" si="164"/>
        <v>7549</v>
      </c>
    </row>
    <row r="7552" spans="1:1">
      <c r="A7552">
        <f t="shared" si="164"/>
        <v>7550</v>
      </c>
    </row>
    <row r="7553" spans="1:1">
      <c r="A7553">
        <f t="shared" si="164"/>
        <v>7551</v>
      </c>
    </row>
    <row r="7554" spans="1:1">
      <c r="A7554">
        <f t="shared" si="164"/>
        <v>7552</v>
      </c>
    </row>
    <row r="7555" spans="1:1">
      <c r="A7555">
        <f t="shared" si="164"/>
        <v>7553</v>
      </c>
    </row>
    <row r="7556" spans="1:1">
      <c r="A7556">
        <f t="shared" si="164"/>
        <v>7554</v>
      </c>
    </row>
    <row r="7557" spans="1:1">
      <c r="A7557">
        <f t="shared" si="164"/>
        <v>7555</v>
      </c>
    </row>
    <row r="7558" spans="1:1">
      <c r="A7558">
        <f t="shared" si="164"/>
        <v>7556</v>
      </c>
    </row>
    <row r="7559" spans="1:1">
      <c r="A7559">
        <f t="shared" si="164"/>
        <v>7557</v>
      </c>
    </row>
    <row r="7560" spans="1:1">
      <c r="A7560">
        <f t="shared" si="164"/>
        <v>7558</v>
      </c>
    </row>
    <row r="7561" spans="1:1">
      <c r="A7561">
        <f t="shared" si="164"/>
        <v>7559</v>
      </c>
    </row>
    <row r="7562" spans="1:1">
      <c r="A7562">
        <f t="shared" si="164"/>
        <v>7560</v>
      </c>
    </row>
    <row r="7563" spans="1:1">
      <c r="A7563">
        <f t="shared" si="164"/>
        <v>7561</v>
      </c>
    </row>
    <row r="7564" spans="1:1">
      <c r="A7564">
        <f t="shared" si="164"/>
        <v>7562</v>
      </c>
    </row>
    <row r="7565" spans="1:1">
      <c r="A7565">
        <f t="shared" si="164"/>
        <v>7563</v>
      </c>
    </row>
    <row r="7566" spans="1:1">
      <c r="A7566">
        <f t="shared" si="164"/>
        <v>7564</v>
      </c>
    </row>
    <row r="7567" spans="1:1">
      <c r="A7567">
        <f t="shared" si="164"/>
        <v>7565</v>
      </c>
    </row>
    <row r="7568" spans="1:1">
      <c r="A7568">
        <f t="shared" si="164"/>
        <v>7566</v>
      </c>
    </row>
    <row r="7569" spans="1:1">
      <c r="A7569">
        <f t="shared" si="164"/>
        <v>7567</v>
      </c>
    </row>
    <row r="7570" spans="1:1">
      <c r="A7570">
        <f t="shared" si="164"/>
        <v>7568</v>
      </c>
    </row>
    <row r="7571" spans="1:1">
      <c r="A7571">
        <f t="shared" si="164"/>
        <v>7569</v>
      </c>
    </row>
    <row r="7572" spans="1:1">
      <c r="A7572">
        <f t="shared" si="164"/>
        <v>7570</v>
      </c>
    </row>
    <row r="7573" spans="1:1">
      <c r="A7573">
        <f t="shared" si="164"/>
        <v>7571</v>
      </c>
    </row>
    <row r="7574" spans="1:1">
      <c r="A7574">
        <f t="shared" si="164"/>
        <v>7572</v>
      </c>
    </row>
    <row r="7575" spans="1:1">
      <c r="A7575">
        <f t="shared" si="164"/>
        <v>7573</v>
      </c>
    </row>
    <row r="7576" spans="1:1">
      <c r="A7576">
        <f t="shared" si="164"/>
        <v>7574</v>
      </c>
    </row>
    <row r="7577" spans="1:1">
      <c r="A7577">
        <f t="shared" si="164"/>
        <v>7575</v>
      </c>
    </row>
    <row r="7578" spans="1:1">
      <c r="A7578">
        <f t="shared" si="164"/>
        <v>7576</v>
      </c>
    </row>
    <row r="7579" spans="1:1">
      <c r="A7579">
        <f t="shared" si="164"/>
        <v>7577</v>
      </c>
    </row>
    <row r="7580" spans="1:1">
      <c r="A7580">
        <f t="shared" si="164"/>
        <v>7578</v>
      </c>
    </row>
    <row r="7581" spans="1:1">
      <c r="A7581">
        <f t="shared" si="164"/>
        <v>7579</v>
      </c>
    </row>
    <row r="7582" spans="1:1">
      <c r="A7582">
        <f t="shared" si="164"/>
        <v>7580</v>
      </c>
    </row>
    <row r="7583" spans="1:1">
      <c r="A7583">
        <f t="shared" si="164"/>
        <v>7581</v>
      </c>
    </row>
    <row r="7584" spans="1:1">
      <c r="A7584">
        <f t="shared" si="164"/>
        <v>7582</v>
      </c>
    </row>
    <row r="7585" spans="1:1">
      <c r="A7585">
        <f t="shared" si="164"/>
        <v>7583</v>
      </c>
    </row>
    <row r="7586" spans="1:1">
      <c r="A7586">
        <f t="shared" si="164"/>
        <v>7584</v>
      </c>
    </row>
    <row r="7587" spans="1:1">
      <c r="A7587">
        <f t="shared" si="164"/>
        <v>7585</v>
      </c>
    </row>
    <row r="7588" spans="1:1">
      <c r="A7588">
        <f t="shared" ref="A7588:A7651" si="165">A7587+1</f>
        <v>7586</v>
      </c>
    </row>
    <row r="7589" spans="1:1">
      <c r="A7589">
        <f t="shared" si="165"/>
        <v>7587</v>
      </c>
    </row>
    <row r="7590" spans="1:1">
      <c r="A7590">
        <f t="shared" si="165"/>
        <v>7588</v>
      </c>
    </row>
    <row r="7591" spans="1:1">
      <c r="A7591">
        <f t="shared" si="165"/>
        <v>7589</v>
      </c>
    </row>
    <row r="7592" spans="1:1">
      <c r="A7592">
        <f t="shared" si="165"/>
        <v>7590</v>
      </c>
    </row>
    <row r="7593" spans="1:1">
      <c r="A7593">
        <f t="shared" si="165"/>
        <v>7591</v>
      </c>
    </row>
    <row r="7594" spans="1:1">
      <c r="A7594">
        <f t="shared" si="165"/>
        <v>7592</v>
      </c>
    </row>
    <row r="7595" spans="1:1">
      <c r="A7595">
        <f t="shared" si="165"/>
        <v>7593</v>
      </c>
    </row>
    <row r="7596" spans="1:1">
      <c r="A7596">
        <f t="shared" si="165"/>
        <v>7594</v>
      </c>
    </row>
    <row r="7597" spans="1:1">
      <c r="A7597">
        <f t="shared" si="165"/>
        <v>7595</v>
      </c>
    </row>
    <row r="7598" spans="1:1">
      <c r="A7598">
        <f t="shared" si="165"/>
        <v>7596</v>
      </c>
    </row>
    <row r="7599" spans="1:1">
      <c r="A7599">
        <f t="shared" si="165"/>
        <v>7597</v>
      </c>
    </row>
    <row r="7600" spans="1:1">
      <c r="A7600">
        <f t="shared" si="165"/>
        <v>7598</v>
      </c>
    </row>
    <row r="7601" spans="1:1">
      <c r="A7601">
        <f t="shared" si="165"/>
        <v>7599</v>
      </c>
    </row>
    <row r="7602" spans="1:1">
      <c r="A7602">
        <f t="shared" si="165"/>
        <v>7600</v>
      </c>
    </row>
    <row r="7603" spans="1:1">
      <c r="A7603">
        <f t="shared" si="165"/>
        <v>7601</v>
      </c>
    </row>
    <row r="7604" spans="1:1">
      <c r="A7604">
        <f t="shared" si="165"/>
        <v>7602</v>
      </c>
    </row>
    <row r="7605" spans="1:1">
      <c r="A7605">
        <f t="shared" si="165"/>
        <v>7603</v>
      </c>
    </row>
    <row r="7606" spans="1:1">
      <c r="A7606">
        <f t="shared" si="165"/>
        <v>7604</v>
      </c>
    </row>
    <row r="7607" spans="1:1">
      <c r="A7607">
        <f t="shared" si="165"/>
        <v>7605</v>
      </c>
    </row>
    <row r="7608" spans="1:1">
      <c r="A7608">
        <f t="shared" si="165"/>
        <v>7606</v>
      </c>
    </row>
    <row r="7609" spans="1:1">
      <c r="A7609">
        <f t="shared" si="165"/>
        <v>7607</v>
      </c>
    </row>
    <row r="7610" spans="1:1">
      <c r="A7610">
        <f t="shared" si="165"/>
        <v>7608</v>
      </c>
    </row>
    <row r="7611" spans="1:1">
      <c r="A7611">
        <f t="shared" si="165"/>
        <v>7609</v>
      </c>
    </row>
    <row r="7612" spans="1:1">
      <c r="A7612">
        <f t="shared" si="165"/>
        <v>7610</v>
      </c>
    </row>
    <row r="7613" spans="1:1">
      <c r="A7613">
        <f t="shared" si="165"/>
        <v>7611</v>
      </c>
    </row>
    <row r="7614" spans="1:1">
      <c r="A7614">
        <f t="shared" si="165"/>
        <v>7612</v>
      </c>
    </row>
    <row r="7615" spans="1:1">
      <c r="A7615">
        <f t="shared" si="165"/>
        <v>7613</v>
      </c>
    </row>
    <row r="7616" spans="1:1">
      <c r="A7616">
        <f t="shared" si="165"/>
        <v>7614</v>
      </c>
    </row>
    <row r="7617" spans="1:1">
      <c r="A7617">
        <f t="shared" si="165"/>
        <v>7615</v>
      </c>
    </row>
    <row r="7618" spans="1:1">
      <c r="A7618">
        <f t="shared" si="165"/>
        <v>7616</v>
      </c>
    </row>
    <row r="7619" spans="1:1">
      <c r="A7619">
        <f t="shared" si="165"/>
        <v>7617</v>
      </c>
    </row>
    <row r="7620" spans="1:1">
      <c r="A7620">
        <f t="shared" si="165"/>
        <v>7618</v>
      </c>
    </row>
    <row r="7621" spans="1:1">
      <c r="A7621">
        <f t="shared" si="165"/>
        <v>7619</v>
      </c>
    </row>
    <row r="7622" spans="1:1">
      <c r="A7622">
        <f t="shared" si="165"/>
        <v>7620</v>
      </c>
    </row>
    <row r="7623" spans="1:1">
      <c r="A7623">
        <f t="shared" si="165"/>
        <v>7621</v>
      </c>
    </row>
    <row r="7624" spans="1:1">
      <c r="A7624">
        <f t="shared" si="165"/>
        <v>7622</v>
      </c>
    </row>
    <row r="7625" spans="1:1">
      <c r="A7625">
        <f t="shared" si="165"/>
        <v>7623</v>
      </c>
    </row>
    <row r="7626" spans="1:1">
      <c r="A7626">
        <f t="shared" si="165"/>
        <v>7624</v>
      </c>
    </row>
    <row r="7627" spans="1:1">
      <c r="A7627">
        <f t="shared" si="165"/>
        <v>7625</v>
      </c>
    </row>
    <row r="7628" spans="1:1">
      <c r="A7628">
        <f t="shared" si="165"/>
        <v>7626</v>
      </c>
    </row>
    <row r="7629" spans="1:1">
      <c r="A7629">
        <f t="shared" si="165"/>
        <v>7627</v>
      </c>
    </row>
    <row r="7630" spans="1:1">
      <c r="A7630">
        <f t="shared" si="165"/>
        <v>7628</v>
      </c>
    </row>
    <row r="7631" spans="1:1">
      <c r="A7631">
        <f t="shared" si="165"/>
        <v>7629</v>
      </c>
    </row>
    <row r="7632" spans="1:1">
      <c r="A7632">
        <f t="shared" si="165"/>
        <v>7630</v>
      </c>
    </row>
    <row r="7633" spans="1:1">
      <c r="A7633">
        <f t="shared" si="165"/>
        <v>7631</v>
      </c>
    </row>
    <row r="7634" spans="1:1">
      <c r="A7634">
        <f t="shared" si="165"/>
        <v>7632</v>
      </c>
    </row>
    <row r="7635" spans="1:1">
      <c r="A7635">
        <f t="shared" si="165"/>
        <v>7633</v>
      </c>
    </row>
    <row r="7636" spans="1:1">
      <c r="A7636">
        <f t="shared" si="165"/>
        <v>7634</v>
      </c>
    </row>
    <row r="7637" spans="1:1">
      <c r="A7637">
        <f t="shared" si="165"/>
        <v>7635</v>
      </c>
    </row>
    <row r="7638" spans="1:1">
      <c r="A7638">
        <f t="shared" si="165"/>
        <v>7636</v>
      </c>
    </row>
    <row r="7639" spans="1:1">
      <c r="A7639">
        <f t="shared" si="165"/>
        <v>7637</v>
      </c>
    </row>
    <row r="7640" spans="1:1">
      <c r="A7640">
        <f t="shared" si="165"/>
        <v>7638</v>
      </c>
    </row>
    <row r="7641" spans="1:1">
      <c r="A7641">
        <f t="shared" si="165"/>
        <v>7639</v>
      </c>
    </row>
    <row r="7642" spans="1:1">
      <c r="A7642">
        <f t="shared" si="165"/>
        <v>7640</v>
      </c>
    </row>
    <row r="7643" spans="1:1">
      <c r="A7643">
        <f t="shared" si="165"/>
        <v>7641</v>
      </c>
    </row>
    <row r="7644" spans="1:1">
      <c r="A7644">
        <f t="shared" si="165"/>
        <v>7642</v>
      </c>
    </row>
    <row r="7645" spans="1:1">
      <c r="A7645">
        <f t="shared" si="165"/>
        <v>7643</v>
      </c>
    </row>
    <row r="7646" spans="1:1">
      <c r="A7646">
        <f t="shared" si="165"/>
        <v>7644</v>
      </c>
    </row>
    <row r="7647" spans="1:1">
      <c r="A7647">
        <f t="shared" si="165"/>
        <v>7645</v>
      </c>
    </row>
    <row r="7648" spans="1:1">
      <c r="A7648">
        <f t="shared" si="165"/>
        <v>7646</v>
      </c>
    </row>
    <row r="7649" spans="1:1">
      <c r="A7649">
        <f t="shared" si="165"/>
        <v>7647</v>
      </c>
    </row>
    <row r="7650" spans="1:1">
      <c r="A7650">
        <f t="shared" si="165"/>
        <v>7648</v>
      </c>
    </row>
    <row r="7651" spans="1:1">
      <c r="A7651">
        <f t="shared" si="165"/>
        <v>7649</v>
      </c>
    </row>
    <row r="7652" spans="1:1">
      <c r="A7652">
        <f t="shared" ref="A7652:A7715" si="166">A7651+1</f>
        <v>7650</v>
      </c>
    </row>
    <row r="7653" spans="1:1">
      <c r="A7653">
        <f t="shared" si="166"/>
        <v>7651</v>
      </c>
    </row>
    <row r="7654" spans="1:1">
      <c r="A7654">
        <f t="shared" si="166"/>
        <v>7652</v>
      </c>
    </row>
    <row r="7655" spans="1:1">
      <c r="A7655">
        <f t="shared" si="166"/>
        <v>7653</v>
      </c>
    </row>
    <row r="7656" spans="1:1">
      <c r="A7656">
        <f t="shared" si="166"/>
        <v>7654</v>
      </c>
    </row>
    <row r="7657" spans="1:1">
      <c r="A7657">
        <f t="shared" si="166"/>
        <v>7655</v>
      </c>
    </row>
    <row r="7658" spans="1:1">
      <c r="A7658">
        <f t="shared" si="166"/>
        <v>7656</v>
      </c>
    </row>
    <row r="7659" spans="1:1">
      <c r="A7659">
        <f t="shared" si="166"/>
        <v>7657</v>
      </c>
    </row>
    <row r="7660" spans="1:1">
      <c r="A7660">
        <f t="shared" si="166"/>
        <v>7658</v>
      </c>
    </row>
    <row r="7661" spans="1:1">
      <c r="A7661">
        <f t="shared" si="166"/>
        <v>7659</v>
      </c>
    </row>
    <row r="7662" spans="1:1">
      <c r="A7662">
        <f t="shared" si="166"/>
        <v>7660</v>
      </c>
    </row>
    <row r="7663" spans="1:1">
      <c r="A7663">
        <f t="shared" si="166"/>
        <v>7661</v>
      </c>
    </row>
    <row r="7664" spans="1:1">
      <c r="A7664">
        <f t="shared" si="166"/>
        <v>7662</v>
      </c>
    </row>
    <row r="7665" spans="1:1">
      <c r="A7665">
        <f t="shared" si="166"/>
        <v>7663</v>
      </c>
    </row>
    <row r="7666" spans="1:1">
      <c r="A7666">
        <f t="shared" si="166"/>
        <v>7664</v>
      </c>
    </row>
    <row r="7667" spans="1:1">
      <c r="A7667">
        <f t="shared" si="166"/>
        <v>7665</v>
      </c>
    </row>
    <row r="7668" spans="1:1">
      <c r="A7668">
        <f t="shared" si="166"/>
        <v>7666</v>
      </c>
    </row>
    <row r="7669" spans="1:1">
      <c r="A7669">
        <f t="shared" si="166"/>
        <v>7667</v>
      </c>
    </row>
    <row r="7670" spans="1:1">
      <c r="A7670">
        <f t="shared" si="166"/>
        <v>7668</v>
      </c>
    </row>
    <row r="7671" spans="1:1">
      <c r="A7671">
        <f t="shared" si="166"/>
        <v>7669</v>
      </c>
    </row>
    <row r="7672" spans="1:1">
      <c r="A7672">
        <f t="shared" si="166"/>
        <v>7670</v>
      </c>
    </row>
    <row r="7673" spans="1:1">
      <c r="A7673">
        <f t="shared" si="166"/>
        <v>7671</v>
      </c>
    </row>
    <row r="7674" spans="1:1">
      <c r="A7674">
        <f t="shared" si="166"/>
        <v>7672</v>
      </c>
    </row>
    <row r="7675" spans="1:1">
      <c r="A7675">
        <f t="shared" si="166"/>
        <v>7673</v>
      </c>
    </row>
    <row r="7676" spans="1:1">
      <c r="A7676">
        <f t="shared" si="166"/>
        <v>7674</v>
      </c>
    </row>
    <row r="7677" spans="1:1">
      <c r="A7677">
        <f t="shared" si="166"/>
        <v>7675</v>
      </c>
    </row>
    <row r="7678" spans="1:1">
      <c r="A7678">
        <f t="shared" si="166"/>
        <v>7676</v>
      </c>
    </row>
    <row r="7679" spans="1:1">
      <c r="A7679">
        <f t="shared" si="166"/>
        <v>7677</v>
      </c>
    </row>
    <row r="7680" spans="1:1">
      <c r="A7680">
        <f t="shared" si="166"/>
        <v>7678</v>
      </c>
    </row>
    <row r="7681" spans="1:1">
      <c r="A7681">
        <f t="shared" si="166"/>
        <v>7679</v>
      </c>
    </row>
    <row r="7682" spans="1:1">
      <c r="A7682">
        <f t="shared" si="166"/>
        <v>7680</v>
      </c>
    </row>
    <row r="7683" spans="1:1">
      <c r="A7683">
        <f t="shared" si="166"/>
        <v>7681</v>
      </c>
    </row>
    <row r="7684" spans="1:1">
      <c r="A7684">
        <f t="shared" si="166"/>
        <v>7682</v>
      </c>
    </row>
    <row r="7685" spans="1:1">
      <c r="A7685">
        <f t="shared" si="166"/>
        <v>7683</v>
      </c>
    </row>
    <row r="7686" spans="1:1">
      <c r="A7686">
        <f t="shared" si="166"/>
        <v>7684</v>
      </c>
    </row>
    <row r="7687" spans="1:1">
      <c r="A7687">
        <f t="shared" si="166"/>
        <v>7685</v>
      </c>
    </row>
    <row r="7688" spans="1:1">
      <c r="A7688">
        <f t="shared" si="166"/>
        <v>7686</v>
      </c>
    </row>
    <row r="7689" spans="1:1">
      <c r="A7689">
        <f t="shared" si="166"/>
        <v>7687</v>
      </c>
    </row>
    <row r="7690" spans="1:1">
      <c r="A7690">
        <f t="shared" si="166"/>
        <v>7688</v>
      </c>
    </row>
    <row r="7691" spans="1:1">
      <c r="A7691">
        <f t="shared" si="166"/>
        <v>7689</v>
      </c>
    </row>
    <row r="7692" spans="1:1">
      <c r="A7692">
        <f t="shared" si="166"/>
        <v>7690</v>
      </c>
    </row>
    <row r="7693" spans="1:1">
      <c r="A7693">
        <f t="shared" si="166"/>
        <v>7691</v>
      </c>
    </row>
    <row r="7694" spans="1:1">
      <c r="A7694">
        <f t="shared" si="166"/>
        <v>7692</v>
      </c>
    </row>
    <row r="7695" spans="1:1">
      <c r="A7695">
        <f t="shared" si="166"/>
        <v>7693</v>
      </c>
    </row>
    <row r="7696" spans="1:1">
      <c r="A7696">
        <f t="shared" si="166"/>
        <v>7694</v>
      </c>
    </row>
    <row r="7697" spans="1:1">
      <c r="A7697">
        <f t="shared" si="166"/>
        <v>7695</v>
      </c>
    </row>
    <row r="7698" spans="1:1">
      <c r="A7698">
        <f t="shared" si="166"/>
        <v>7696</v>
      </c>
    </row>
    <row r="7699" spans="1:1">
      <c r="A7699">
        <f t="shared" si="166"/>
        <v>7697</v>
      </c>
    </row>
    <row r="7700" spans="1:1">
      <c r="A7700">
        <f t="shared" si="166"/>
        <v>7698</v>
      </c>
    </row>
    <row r="7701" spans="1:1">
      <c r="A7701">
        <f t="shared" si="166"/>
        <v>7699</v>
      </c>
    </row>
    <row r="7702" spans="1:1">
      <c r="A7702">
        <f t="shared" si="166"/>
        <v>7700</v>
      </c>
    </row>
    <row r="7703" spans="1:1">
      <c r="A7703">
        <f t="shared" si="166"/>
        <v>7701</v>
      </c>
    </row>
    <row r="7704" spans="1:1">
      <c r="A7704">
        <f t="shared" si="166"/>
        <v>7702</v>
      </c>
    </row>
    <row r="7705" spans="1:1">
      <c r="A7705">
        <f t="shared" si="166"/>
        <v>7703</v>
      </c>
    </row>
    <row r="7706" spans="1:1">
      <c r="A7706">
        <f t="shared" si="166"/>
        <v>7704</v>
      </c>
    </row>
    <row r="7707" spans="1:1">
      <c r="A7707">
        <f t="shared" si="166"/>
        <v>7705</v>
      </c>
    </row>
    <row r="7708" spans="1:1">
      <c r="A7708">
        <f t="shared" si="166"/>
        <v>7706</v>
      </c>
    </row>
    <row r="7709" spans="1:1">
      <c r="A7709">
        <f t="shared" si="166"/>
        <v>7707</v>
      </c>
    </row>
    <row r="7710" spans="1:1">
      <c r="A7710">
        <f t="shared" si="166"/>
        <v>7708</v>
      </c>
    </row>
    <row r="7711" spans="1:1">
      <c r="A7711">
        <f t="shared" si="166"/>
        <v>7709</v>
      </c>
    </row>
    <row r="7712" spans="1:1">
      <c r="A7712">
        <f t="shared" si="166"/>
        <v>7710</v>
      </c>
    </row>
    <row r="7713" spans="1:1">
      <c r="A7713">
        <f t="shared" si="166"/>
        <v>7711</v>
      </c>
    </row>
    <row r="7714" spans="1:1">
      <c r="A7714">
        <f t="shared" si="166"/>
        <v>7712</v>
      </c>
    </row>
    <row r="7715" spans="1:1">
      <c r="A7715">
        <f t="shared" si="166"/>
        <v>7713</v>
      </c>
    </row>
    <row r="7716" spans="1:1">
      <c r="A7716">
        <f t="shared" ref="A7716:A7779" si="167">A7715+1</f>
        <v>7714</v>
      </c>
    </row>
    <row r="7717" spans="1:1">
      <c r="A7717">
        <f t="shared" si="167"/>
        <v>7715</v>
      </c>
    </row>
    <row r="7718" spans="1:1">
      <c r="A7718">
        <f t="shared" si="167"/>
        <v>7716</v>
      </c>
    </row>
    <row r="7719" spans="1:1">
      <c r="A7719">
        <f t="shared" si="167"/>
        <v>7717</v>
      </c>
    </row>
    <row r="7720" spans="1:1">
      <c r="A7720">
        <f t="shared" si="167"/>
        <v>7718</v>
      </c>
    </row>
    <row r="7721" spans="1:1">
      <c r="A7721">
        <f t="shared" si="167"/>
        <v>7719</v>
      </c>
    </row>
    <row r="7722" spans="1:1">
      <c r="A7722">
        <f t="shared" si="167"/>
        <v>7720</v>
      </c>
    </row>
    <row r="7723" spans="1:1">
      <c r="A7723">
        <f t="shared" si="167"/>
        <v>7721</v>
      </c>
    </row>
    <row r="7724" spans="1:1">
      <c r="A7724">
        <f t="shared" si="167"/>
        <v>7722</v>
      </c>
    </row>
    <row r="7725" spans="1:1">
      <c r="A7725">
        <f t="shared" si="167"/>
        <v>7723</v>
      </c>
    </row>
    <row r="7726" spans="1:1">
      <c r="A7726">
        <f t="shared" si="167"/>
        <v>7724</v>
      </c>
    </row>
    <row r="7727" spans="1:1">
      <c r="A7727">
        <f t="shared" si="167"/>
        <v>7725</v>
      </c>
    </row>
    <row r="7728" spans="1:1">
      <c r="A7728">
        <f t="shared" si="167"/>
        <v>7726</v>
      </c>
    </row>
    <row r="7729" spans="1:1">
      <c r="A7729">
        <f t="shared" si="167"/>
        <v>7727</v>
      </c>
    </row>
    <row r="7730" spans="1:1">
      <c r="A7730">
        <f t="shared" si="167"/>
        <v>7728</v>
      </c>
    </row>
    <row r="7731" spans="1:1">
      <c r="A7731">
        <f t="shared" si="167"/>
        <v>7729</v>
      </c>
    </row>
    <row r="7732" spans="1:1">
      <c r="A7732">
        <f t="shared" si="167"/>
        <v>7730</v>
      </c>
    </row>
    <row r="7733" spans="1:1">
      <c r="A7733">
        <f t="shared" si="167"/>
        <v>7731</v>
      </c>
    </row>
    <row r="7734" spans="1:1">
      <c r="A7734">
        <f t="shared" si="167"/>
        <v>7732</v>
      </c>
    </row>
    <row r="7735" spans="1:1">
      <c r="A7735">
        <f t="shared" si="167"/>
        <v>7733</v>
      </c>
    </row>
    <row r="7736" spans="1:1">
      <c r="A7736">
        <f t="shared" si="167"/>
        <v>7734</v>
      </c>
    </row>
    <row r="7737" spans="1:1">
      <c r="A7737">
        <f t="shared" si="167"/>
        <v>7735</v>
      </c>
    </row>
    <row r="7738" spans="1:1">
      <c r="A7738">
        <f t="shared" si="167"/>
        <v>7736</v>
      </c>
    </row>
    <row r="7739" spans="1:1">
      <c r="A7739">
        <f t="shared" si="167"/>
        <v>7737</v>
      </c>
    </row>
    <row r="7740" spans="1:1">
      <c r="A7740">
        <f t="shared" si="167"/>
        <v>7738</v>
      </c>
    </row>
    <row r="7741" spans="1:1">
      <c r="A7741">
        <f t="shared" si="167"/>
        <v>7739</v>
      </c>
    </row>
    <row r="7742" spans="1:1">
      <c r="A7742">
        <f t="shared" si="167"/>
        <v>7740</v>
      </c>
    </row>
    <row r="7743" spans="1:1">
      <c r="A7743">
        <f t="shared" si="167"/>
        <v>7741</v>
      </c>
    </row>
    <row r="7744" spans="1:1">
      <c r="A7744">
        <f t="shared" si="167"/>
        <v>7742</v>
      </c>
    </row>
    <row r="7745" spans="1:1">
      <c r="A7745">
        <f t="shared" si="167"/>
        <v>7743</v>
      </c>
    </row>
    <row r="7746" spans="1:1">
      <c r="A7746">
        <f t="shared" si="167"/>
        <v>7744</v>
      </c>
    </row>
    <row r="7747" spans="1:1">
      <c r="A7747">
        <f t="shared" si="167"/>
        <v>7745</v>
      </c>
    </row>
    <row r="7748" spans="1:1">
      <c r="A7748">
        <f t="shared" si="167"/>
        <v>7746</v>
      </c>
    </row>
    <row r="7749" spans="1:1">
      <c r="A7749">
        <f t="shared" si="167"/>
        <v>7747</v>
      </c>
    </row>
    <row r="7750" spans="1:1">
      <c r="A7750">
        <f t="shared" si="167"/>
        <v>7748</v>
      </c>
    </row>
    <row r="7751" spans="1:1">
      <c r="A7751">
        <f t="shared" si="167"/>
        <v>7749</v>
      </c>
    </row>
    <row r="7752" spans="1:1">
      <c r="A7752">
        <f t="shared" si="167"/>
        <v>7750</v>
      </c>
    </row>
    <row r="7753" spans="1:1">
      <c r="A7753">
        <f t="shared" si="167"/>
        <v>7751</v>
      </c>
    </row>
    <row r="7754" spans="1:1">
      <c r="A7754">
        <f t="shared" si="167"/>
        <v>7752</v>
      </c>
    </row>
    <row r="7755" spans="1:1">
      <c r="A7755">
        <f t="shared" si="167"/>
        <v>7753</v>
      </c>
    </row>
    <row r="7756" spans="1:1">
      <c r="A7756">
        <f t="shared" si="167"/>
        <v>7754</v>
      </c>
    </row>
    <row r="7757" spans="1:1">
      <c r="A7757">
        <f t="shared" si="167"/>
        <v>7755</v>
      </c>
    </row>
    <row r="7758" spans="1:1">
      <c r="A7758">
        <f t="shared" si="167"/>
        <v>7756</v>
      </c>
    </row>
    <row r="7759" spans="1:1">
      <c r="A7759">
        <f t="shared" si="167"/>
        <v>7757</v>
      </c>
    </row>
    <row r="7760" spans="1:1">
      <c r="A7760">
        <f t="shared" si="167"/>
        <v>7758</v>
      </c>
    </row>
    <row r="7761" spans="1:1">
      <c r="A7761">
        <f t="shared" si="167"/>
        <v>7759</v>
      </c>
    </row>
    <row r="7762" spans="1:1">
      <c r="A7762">
        <f t="shared" si="167"/>
        <v>7760</v>
      </c>
    </row>
    <row r="7763" spans="1:1">
      <c r="A7763">
        <f t="shared" si="167"/>
        <v>7761</v>
      </c>
    </row>
    <row r="7764" spans="1:1">
      <c r="A7764">
        <f t="shared" si="167"/>
        <v>7762</v>
      </c>
    </row>
    <row r="7765" spans="1:1">
      <c r="A7765">
        <f t="shared" si="167"/>
        <v>7763</v>
      </c>
    </row>
    <row r="7766" spans="1:1">
      <c r="A7766">
        <f t="shared" si="167"/>
        <v>7764</v>
      </c>
    </row>
    <row r="7767" spans="1:1">
      <c r="A7767">
        <f t="shared" si="167"/>
        <v>7765</v>
      </c>
    </row>
    <row r="7768" spans="1:1">
      <c r="A7768">
        <f t="shared" si="167"/>
        <v>7766</v>
      </c>
    </row>
    <row r="7769" spans="1:1">
      <c r="A7769">
        <f t="shared" si="167"/>
        <v>7767</v>
      </c>
    </row>
    <row r="7770" spans="1:1">
      <c r="A7770">
        <f t="shared" si="167"/>
        <v>7768</v>
      </c>
    </row>
    <row r="7771" spans="1:1">
      <c r="A7771">
        <f t="shared" si="167"/>
        <v>7769</v>
      </c>
    </row>
    <row r="7772" spans="1:1">
      <c r="A7772">
        <f t="shared" si="167"/>
        <v>7770</v>
      </c>
    </row>
    <row r="7773" spans="1:1">
      <c r="A7773">
        <f t="shared" si="167"/>
        <v>7771</v>
      </c>
    </row>
    <row r="7774" spans="1:1">
      <c r="A7774">
        <f t="shared" si="167"/>
        <v>7772</v>
      </c>
    </row>
    <row r="7775" spans="1:1">
      <c r="A7775">
        <f t="shared" si="167"/>
        <v>7773</v>
      </c>
    </row>
    <row r="7776" spans="1:1">
      <c r="A7776">
        <f t="shared" si="167"/>
        <v>7774</v>
      </c>
    </row>
    <row r="7777" spans="1:1">
      <c r="A7777">
        <f t="shared" si="167"/>
        <v>7775</v>
      </c>
    </row>
    <row r="7778" spans="1:1">
      <c r="A7778">
        <f t="shared" si="167"/>
        <v>7776</v>
      </c>
    </row>
    <row r="7779" spans="1:1">
      <c r="A7779">
        <f t="shared" si="167"/>
        <v>7777</v>
      </c>
    </row>
    <row r="7780" spans="1:1">
      <c r="A7780">
        <f t="shared" ref="A7780:A7843" si="168">A7779+1</f>
        <v>7778</v>
      </c>
    </row>
    <row r="7781" spans="1:1">
      <c r="A7781">
        <f t="shared" si="168"/>
        <v>7779</v>
      </c>
    </row>
    <row r="7782" spans="1:1">
      <c r="A7782">
        <f t="shared" si="168"/>
        <v>7780</v>
      </c>
    </row>
    <row r="7783" spans="1:1">
      <c r="A7783">
        <f t="shared" si="168"/>
        <v>7781</v>
      </c>
    </row>
    <row r="7784" spans="1:1">
      <c r="A7784">
        <f t="shared" si="168"/>
        <v>7782</v>
      </c>
    </row>
    <row r="7785" spans="1:1">
      <c r="A7785">
        <f t="shared" si="168"/>
        <v>7783</v>
      </c>
    </row>
    <row r="7786" spans="1:1">
      <c r="A7786">
        <f t="shared" si="168"/>
        <v>7784</v>
      </c>
    </row>
    <row r="7787" spans="1:1">
      <c r="A7787">
        <f t="shared" si="168"/>
        <v>7785</v>
      </c>
    </row>
    <row r="7788" spans="1:1">
      <c r="A7788">
        <f t="shared" si="168"/>
        <v>7786</v>
      </c>
    </row>
    <row r="7789" spans="1:1">
      <c r="A7789">
        <f t="shared" si="168"/>
        <v>7787</v>
      </c>
    </row>
    <row r="7790" spans="1:1">
      <c r="A7790">
        <f t="shared" si="168"/>
        <v>7788</v>
      </c>
    </row>
    <row r="7791" spans="1:1">
      <c r="A7791">
        <f t="shared" si="168"/>
        <v>7789</v>
      </c>
    </row>
    <row r="7792" spans="1:1">
      <c r="A7792">
        <f t="shared" si="168"/>
        <v>7790</v>
      </c>
    </row>
    <row r="7793" spans="1:1">
      <c r="A7793">
        <f t="shared" si="168"/>
        <v>7791</v>
      </c>
    </row>
    <row r="7794" spans="1:1">
      <c r="A7794">
        <f t="shared" si="168"/>
        <v>7792</v>
      </c>
    </row>
    <row r="7795" spans="1:1">
      <c r="A7795">
        <f t="shared" si="168"/>
        <v>7793</v>
      </c>
    </row>
    <row r="7796" spans="1:1">
      <c r="A7796">
        <f t="shared" si="168"/>
        <v>7794</v>
      </c>
    </row>
    <row r="7797" spans="1:1">
      <c r="A7797">
        <f t="shared" si="168"/>
        <v>7795</v>
      </c>
    </row>
    <row r="7798" spans="1:1">
      <c r="A7798">
        <f t="shared" si="168"/>
        <v>7796</v>
      </c>
    </row>
    <row r="7799" spans="1:1">
      <c r="A7799">
        <f t="shared" si="168"/>
        <v>7797</v>
      </c>
    </row>
    <row r="7800" spans="1:1">
      <c r="A7800">
        <f t="shared" si="168"/>
        <v>7798</v>
      </c>
    </row>
    <row r="7801" spans="1:1">
      <c r="A7801">
        <f t="shared" si="168"/>
        <v>7799</v>
      </c>
    </row>
    <row r="7802" spans="1:1">
      <c r="A7802">
        <f t="shared" si="168"/>
        <v>7800</v>
      </c>
    </row>
    <row r="7803" spans="1:1">
      <c r="A7803">
        <f t="shared" si="168"/>
        <v>7801</v>
      </c>
    </row>
    <row r="7804" spans="1:1">
      <c r="A7804">
        <f t="shared" si="168"/>
        <v>7802</v>
      </c>
    </row>
    <row r="7805" spans="1:1">
      <c r="A7805">
        <f t="shared" si="168"/>
        <v>7803</v>
      </c>
    </row>
    <row r="7806" spans="1:1">
      <c r="A7806">
        <f t="shared" si="168"/>
        <v>7804</v>
      </c>
    </row>
    <row r="7807" spans="1:1">
      <c r="A7807">
        <f t="shared" si="168"/>
        <v>7805</v>
      </c>
    </row>
    <row r="7808" spans="1:1">
      <c r="A7808">
        <f t="shared" si="168"/>
        <v>7806</v>
      </c>
    </row>
    <row r="7809" spans="1:1">
      <c r="A7809">
        <f t="shared" si="168"/>
        <v>7807</v>
      </c>
    </row>
    <row r="7810" spans="1:1">
      <c r="A7810">
        <f t="shared" si="168"/>
        <v>7808</v>
      </c>
    </row>
    <row r="7811" spans="1:1">
      <c r="A7811">
        <f t="shared" si="168"/>
        <v>7809</v>
      </c>
    </row>
    <row r="7812" spans="1:1">
      <c r="A7812">
        <f t="shared" si="168"/>
        <v>7810</v>
      </c>
    </row>
    <row r="7813" spans="1:1">
      <c r="A7813">
        <f t="shared" si="168"/>
        <v>7811</v>
      </c>
    </row>
    <row r="7814" spans="1:1">
      <c r="A7814">
        <f t="shared" si="168"/>
        <v>7812</v>
      </c>
    </row>
    <row r="7815" spans="1:1">
      <c r="A7815">
        <f t="shared" si="168"/>
        <v>7813</v>
      </c>
    </row>
    <row r="7816" spans="1:1">
      <c r="A7816">
        <f t="shared" si="168"/>
        <v>7814</v>
      </c>
    </row>
    <row r="7817" spans="1:1">
      <c r="A7817">
        <f t="shared" si="168"/>
        <v>7815</v>
      </c>
    </row>
    <row r="7818" spans="1:1">
      <c r="A7818">
        <f t="shared" si="168"/>
        <v>7816</v>
      </c>
    </row>
    <row r="7819" spans="1:1">
      <c r="A7819">
        <f t="shared" si="168"/>
        <v>7817</v>
      </c>
    </row>
    <row r="7820" spans="1:1">
      <c r="A7820">
        <f t="shared" si="168"/>
        <v>7818</v>
      </c>
    </row>
    <row r="7821" spans="1:1">
      <c r="A7821">
        <f t="shared" si="168"/>
        <v>7819</v>
      </c>
    </row>
    <row r="7822" spans="1:1">
      <c r="A7822">
        <f t="shared" si="168"/>
        <v>7820</v>
      </c>
    </row>
    <row r="7823" spans="1:1">
      <c r="A7823">
        <f t="shared" si="168"/>
        <v>7821</v>
      </c>
    </row>
    <row r="7824" spans="1:1">
      <c r="A7824">
        <f t="shared" si="168"/>
        <v>7822</v>
      </c>
    </row>
    <row r="7825" spans="1:1">
      <c r="A7825">
        <f t="shared" si="168"/>
        <v>7823</v>
      </c>
    </row>
    <row r="7826" spans="1:1">
      <c r="A7826">
        <f t="shared" si="168"/>
        <v>7824</v>
      </c>
    </row>
    <row r="7827" spans="1:1">
      <c r="A7827">
        <f t="shared" si="168"/>
        <v>7825</v>
      </c>
    </row>
    <row r="7828" spans="1:1">
      <c r="A7828">
        <f t="shared" si="168"/>
        <v>7826</v>
      </c>
    </row>
    <row r="7829" spans="1:1">
      <c r="A7829">
        <f t="shared" si="168"/>
        <v>7827</v>
      </c>
    </row>
    <row r="7830" spans="1:1">
      <c r="A7830">
        <f t="shared" si="168"/>
        <v>7828</v>
      </c>
    </row>
    <row r="7831" spans="1:1">
      <c r="A7831">
        <f t="shared" si="168"/>
        <v>7829</v>
      </c>
    </row>
    <row r="7832" spans="1:1">
      <c r="A7832">
        <f t="shared" si="168"/>
        <v>7830</v>
      </c>
    </row>
    <row r="7833" spans="1:1">
      <c r="A7833">
        <f t="shared" si="168"/>
        <v>7831</v>
      </c>
    </row>
    <row r="7834" spans="1:1">
      <c r="A7834">
        <f t="shared" si="168"/>
        <v>7832</v>
      </c>
    </row>
    <row r="7835" spans="1:1">
      <c r="A7835">
        <f t="shared" si="168"/>
        <v>7833</v>
      </c>
    </row>
    <row r="7836" spans="1:1">
      <c r="A7836">
        <f t="shared" si="168"/>
        <v>7834</v>
      </c>
    </row>
    <row r="7837" spans="1:1">
      <c r="A7837">
        <f t="shared" si="168"/>
        <v>7835</v>
      </c>
    </row>
    <row r="7838" spans="1:1">
      <c r="A7838">
        <f t="shared" si="168"/>
        <v>7836</v>
      </c>
    </row>
    <row r="7839" spans="1:1">
      <c r="A7839">
        <f t="shared" si="168"/>
        <v>7837</v>
      </c>
    </row>
    <row r="7840" spans="1:1">
      <c r="A7840">
        <f t="shared" si="168"/>
        <v>7838</v>
      </c>
    </row>
    <row r="7841" spans="1:1">
      <c r="A7841">
        <f t="shared" si="168"/>
        <v>7839</v>
      </c>
    </row>
    <row r="7842" spans="1:1">
      <c r="A7842">
        <f t="shared" si="168"/>
        <v>7840</v>
      </c>
    </row>
    <row r="7843" spans="1:1">
      <c r="A7843">
        <f t="shared" si="168"/>
        <v>7841</v>
      </c>
    </row>
    <row r="7844" spans="1:1">
      <c r="A7844">
        <f t="shared" ref="A7844:A7907" si="169">A7843+1</f>
        <v>7842</v>
      </c>
    </row>
    <row r="7845" spans="1:1">
      <c r="A7845">
        <f t="shared" si="169"/>
        <v>7843</v>
      </c>
    </row>
    <row r="7846" spans="1:1">
      <c r="A7846">
        <f t="shared" si="169"/>
        <v>7844</v>
      </c>
    </row>
    <row r="7847" spans="1:1">
      <c r="A7847">
        <f t="shared" si="169"/>
        <v>7845</v>
      </c>
    </row>
    <row r="7848" spans="1:1">
      <c r="A7848">
        <f t="shared" si="169"/>
        <v>7846</v>
      </c>
    </row>
    <row r="7849" spans="1:1">
      <c r="A7849">
        <f t="shared" si="169"/>
        <v>7847</v>
      </c>
    </row>
    <row r="7850" spans="1:1">
      <c r="A7850">
        <f t="shared" si="169"/>
        <v>7848</v>
      </c>
    </row>
    <row r="7851" spans="1:1">
      <c r="A7851">
        <f t="shared" si="169"/>
        <v>7849</v>
      </c>
    </row>
    <row r="7852" spans="1:1">
      <c r="A7852">
        <f t="shared" si="169"/>
        <v>7850</v>
      </c>
    </row>
    <row r="7853" spans="1:1">
      <c r="A7853">
        <f t="shared" si="169"/>
        <v>7851</v>
      </c>
    </row>
    <row r="7854" spans="1:1">
      <c r="A7854">
        <f t="shared" si="169"/>
        <v>7852</v>
      </c>
    </row>
    <row r="7855" spans="1:1">
      <c r="A7855">
        <f t="shared" si="169"/>
        <v>7853</v>
      </c>
    </row>
    <row r="7856" spans="1:1">
      <c r="A7856">
        <f t="shared" si="169"/>
        <v>7854</v>
      </c>
    </row>
    <row r="7857" spans="1:1">
      <c r="A7857">
        <f t="shared" si="169"/>
        <v>7855</v>
      </c>
    </row>
    <row r="7858" spans="1:1">
      <c r="A7858">
        <f t="shared" si="169"/>
        <v>7856</v>
      </c>
    </row>
    <row r="7859" spans="1:1">
      <c r="A7859">
        <f t="shared" si="169"/>
        <v>7857</v>
      </c>
    </row>
    <row r="7860" spans="1:1">
      <c r="A7860">
        <f t="shared" si="169"/>
        <v>7858</v>
      </c>
    </row>
    <row r="7861" spans="1:1">
      <c r="A7861">
        <f t="shared" si="169"/>
        <v>7859</v>
      </c>
    </row>
    <row r="7862" spans="1:1">
      <c r="A7862">
        <f t="shared" si="169"/>
        <v>7860</v>
      </c>
    </row>
    <row r="7863" spans="1:1">
      <c r="A7863">
        <f t="shared" si="169"/>
        <v>7861</v>
      </c>
    </row>
    <row r="7864" spans="1:1">
      <c r="A7864">
        <f t="shared" si="169"/>
        <v>7862</v>
      </c>
    </row>
    <row r="7865" spans="1:1">
      <c r="A7865">
        <f t="shared" si="169"/>
        <v>7863</v>
      </c>
    </row>
    <row r="7866" spans="1:1">
      <c r="A7866">
        <f t="shared" si="169"/>
        <v>7864</v>
      </c>
    </row>
    <row r="7867" spans="1:1">
      <c r="A7867">
        <f t="shared" si="169"/>
        <v>7865</v>
      </c>
    </row>
    <row r="7868" spans="1:1">
      <c r="A7868">
        <f t="shared" si="169"/>
        <v>7866</v>
      </c>
    </row>
    <row r="7869" spans="1:1">
      <c r="A7869">
        <f t="shared" si="169"/>
        <v>7867</v>
      </c>
    </row>
    <row r="7870" spans="1:1">
      <c r="A7870">
        <f t="shared" si="169"/>
        <v>7868</v>
      </c>
    </row>
    <row r="7871" spans="1:1">
      <c r="A7871">
        <f t="shared" si="169"/>
        <v>7869</v>
      </c>
    </row>
    <row r="7872" spans="1:1">
      <c r="A7872">
        <f t="shared" si="169"/>
        <v>7870</v>
      </c>
    </row>
    <row r="7873" spans="1:1">
      <c r="A7873">
        <f t="shared" si="169"/>
        <v>7871</v>
      </c>
    </row>
    <row r="7874" spans="1:1">
      <c r="A7874">
        <f t="shared" si="169"/>
        <v>7872</v>
      </c>
    </row>
    <row r="7875" spans="1:1">
      <c r="A7875">
        <f t="shared" si="169"/>
        <v>7873</v>
      </c>
    </row>
    <row r="7876" spans="1:1">
      <c r="A7876">
        <f t="shared" si="169"/>
        <v>7874</v>
      </c>
    </row>
    <row r="7877" spans="1:1">
      <c r="A7877">
        <f t="shared" si="169"/>
        <v>7875</v>
      </c>
    </row>
    <row r="7878" spans="1:1">
      <c r="A7878">
        <f t="shared" si="169"/>
        <v>7876</v>
      </c>
    </row>
    <row r="7879" spans="1:1">
      <c r="A7879">
        <f t="shared" si="169"/>
        <v>7877</v>
      </c>
    </row>
    <row r="7880" spans="1:1">
      <c r="A7880">
        <f t="shared" si="169"/>
        <v>7878</v>
      </c>
    </row>
    <row r="7881" spans="1:1">
      <c r="A7881">
        <f t="shared" si="169"/>
        <v>7879</v>
      </c>
    </row>
    <row r="7882" spans="1:1">
      <c r="A7882">
        <f t="shared" si="169"/>
        <v>7880</v>
      </c>
    </row>
    <row r="7883" spans="1:1">
      <c r="A7883">
        <f t="shared" si="169"/>
        <v>7881</v>
      </c>
    </row>
    <row r="7884" spans="1:1">
      <c r="A7884">
        <f t="shared" si="169"/>
        <v>7882</v>
      </c>
    </row>
    <row r="7885" spans="1:1">
      <c r="A7885">
        <f t="shared" si="169"/>
        <v>7883</v>
      </c>
    </row>
    <row r="7886" spans="1:1">
      <c r="A7886">
        <f t="shared" si="169"/>
        <v>7884</v>
      </c>
    </row>
    <row r="7887" spans="1:1">
      <c r="A7887">
        <f t="shared" si="169"/>
        <v>7885</v>
      </c>
    </row>
    <row r="7888" spans="1:1">
      <c r="A7888">
        <f t="shared" si="169"/>
        <v>7886</v>
      </c>
    </row>
    <row r="7889" spans="1:1">
      <c r="A7889">
        <f t="shared" si="169"/>
        <v>7887</v>
      </c>
    </row>
    <row r="7890" spans="1:1">
      <c r="A7890">
        <f t="shared" si="169"/>
        <v>7888</v>
      </c>
    </row>
    <row r="7891" spans="1:1">
      <c r="A7891">
        <f t="shared" si="169"/>
        <v>7889</v>
      </c>
    </row>
    <row r="7892" spans="1:1">
      <c r="A7892">
        <f t="shared" si="169"/>
        <v>7890</v>
      </c>
    </row>
    <row r="7893" spans="1:1">
      <c r="A7893">
        <f t="shared" si="169"/>
        <v>7891</v>
      </c>
    </row>
    <row r="7894" spans="1:1">
      <c r="A7894">
        <f t="shared" si="169"/>
        <v>7892</v>
      </c>
    </row>
    <row r="7895" spans="1:1">
      <c r="A7895">
        <f t="shared" si="169"/>
        <v>7893</v>
      </c>
    </row>
    <row r="7896" spans="1:1">
      <c r="A7896">
        <f t="shared" si="169"/>
        <v>7894</v>
      </c>
    </row>
    <row r="7897" spans="1:1">
      <c r="A7897">
        <f t="shared" si="169"/>
        <v>7895</v>
      </c>
    </row>
    <row r="7898" spans="1:1">
      <c r="A7898">
        <f t="shared" si="169"/>
        <v>7896</v>
      </c>
    </row>
    <row r="7899" spans="1:1">
      <c r="A7899">
        <f t="shared" si="169"/>
        <v>7897</v>
      </c>
    </row>
    <row r="7900" spans="1:1">
      <c r="A7900">
        <f t="shared" si="169"/>
        <v>7898</v>
      </c>
    </row>
    <row r="7901" spans="1:1">
      <c r="A7901">
        <f t="shared" si="169"/>
        <v>7899</v>
      </c>
    </row>
    <row r="7902" spans="1:1">
      <c r="A7902">
        <f t="shared" si="169"/>
        <v>7900</v>
      </c>
    </row>
    <row r="7903" spans="1:1">
      <c r="A7903">
        <f t="shared" si="169"/>
        <v>7901</v>
      </c>
    </row>
    <row r="7904" spans="1:1">
      <c r="A7904">
        <f t="shared" si="169"/>
        <v>7902</v>
      </c>
    </row>
    <row r="7905" spans="1:1">
      <c r="A7905">
        <f t="shared" si="169"/>
        <v>7903</v>
      </c>
    </row>
    <row r="7906" spans="1:1">
      <c r="A7906">
        <f t="shared" si="169"/>
        <v>7904</v>
      </c>
    </row>
    <row r="7907" spans="1:1">
      <c r="A7907">
        <f t="shared" si="169"/>
        <v>7905</v>
      </c>
    </row>
    <row r="7908" spans="1:1">
      <c r="A7908">
        <f t="shared" ref="A7908:A7971" si="170">A7907+1</f>
        <v>7906</v>
      </c>
    </row>
    <row r="7909" spans="1:1">
      <c r="A7909">
        <f t="shared" si="170"/>
        <v>7907</v>
      </c>
    </row>
    <row r="7910" spans="1:1">
      <c r="A7910">
        <f t="shared" si="170"/>
        <v>7908</v>
      </c>
    </row>
    <row r="7911" spans="1:1">
      <c r="A7911">
        <f t="shared" si="170"/>
        <v>7909</v>
      </c>
    </row>
    <row r="7912" spans="1:1">
      <c r="A7912">
        <f t="shared" si="170"/>
        <v>7910</v>
      </c>
    </row>
    <row r="7913" spans="1:1">
      <c r="A7913">
        <f t="shared" si="170"/>
        <v>7911</v>
      </c>
    </row>
    <row r="7914" spans="1:1">
      <c r="A7914">
        <f t="shared" si="170"/>
        <v>7912</v>
      </c>
    </row>
    <row r="7915" spans="1:1">
      <c r="A7915">
        <f t="shared" si="170"/>
        <v>7913</v>
      </c>
    </row>
    <row r="7916" spans="1:1">
      <c r="A7916">
        <f t="shared" si="170"/>
        <v>7914</v>
      </c>
    </row>
    <row r="7917" spans="1:1">
      <c r="A7917">
        <f t="shared" si="170"/>
        <v>7915</v>
      </c>
    </row>
    <row r="7918" spans="1:1">
      <c r="A7918">
        <f t="shared" si="170"/>
        <v>7916</v>
      </c>
    </row>
    <row r="7919" spans="1:1">
      <c r="A7919">
        <f t="shared" si="170"/>
        <v>7917</v>
      </c>
    </row>
    <row r="7920" spans="1:1">
      <c r="A7920">
        <f t="shared" si="170"/>
        <v>7918</v>
      </c>
    </row>
    <row r="7921" spans="1:1">
      <c r="A7921">
        <f t="shared" si="170"/>
        <v>7919</v>
      </c>
    </row>
    <row r="7922" spans="1:1">
      <c r="A7922">
        <f t="shared" si="170"/>
        <v>7920</v>
      </c>
    </row>
    <row r="7923" spans="1:1">
      <c r="A7923">
        <f t="shared" si="170"/>
        <v>7921</v>
      </c>
    </row>
    <row r="7924" spans="1:1">
      <c r="A7924">
        <f t="shared" si="170"/>
        <v>7922</v>
      </c>
    </row>
    <row r="7925" spans="1:1">
      <c r="A7925">
        <f t="shared" si="170"/>
        <v>7923</v>
      </c>
    </row>
    <row r="7926" spans="1:1">
      <c r="A7926">
        <f t="shared" si="170"/>
        <v>7924</v>
      </c>
    </row>
    <row r="7927" spans="1:1">
      <c r="A7927">
        <f t="shared" si="170"/>
        <v>7925</v>
      </c>
    </row>
    <row r="7928" spans="1:1">
      <c r="A7928">
        <f t="shared" si="170"/>
        <v>7926</v>
      </c>
    </row>
    <row r="7929" spans="1:1">
      <c r="A7929">
        <f t="shared" si="170"/>
        <v>7927</v>
      </c>
    </row>
    <row r="7930" spans="1:1">
      <c r="A7930">
        <f t="shared" si="170"/>
        <v>7928</v>
      </c>
    </row>
    <row r="7931" spans="1:1">
      <c r="A7931">
        <f t="shared" si="170"/>
        <v>7929</v>
      </c>
    </row>
    <row r="7932" spans="1:1">
      <c r="A7932">
        <f t="shared" si="170"/>
        <v>7930</v>
      </c>
    </row>
    <row r="7933" spans="1:1">
      <c r="A7933">
        <f t="shared" si="170"/>
        <v>7931</v>
      </c>
    </row>
    <row r="7934" spans="1:1">
      <c r="A7934">
        <f t="shared" si="170"/>
        <v>7932</v>
      </c>
    </row>
    <row r="7935" spans="1:1">
      <c r="A7935">
        <f t="shared" si="170"/>
        <v>7933</v>
      </c>
    </row>
    <row r="7936" spans="1:1">
      <c r="A7936">
        <f t="shared" si="170"/>
        <v>7934</v>
      </c>
    </row>
    <row r="7937" spans="1:1">
      <c r="A7937">
        <f t="shared" si="170"/>
        <v>7935</v>
      </c>
    </row>
    <row r="7938" spans="1:1">
      <c r="A7938">
        <f t="shared" si="170"/>
        <v>7936</v>
      </c>
    </row>
    <row r="7939" spans="1:1">
      <c r="A7939">
        <f t="shared" si="170"/>
        <v>7937</v>
      </c>
    </row>
    <row r="7940" spans="1:1">
      <c r="A7940">
        <f t="shared" si="170"/>
        <v>7938</v>
      </c>
    </row>
    <row r="7941" spans="1:1">
      <c r="A7941">
        <f t="shared" si="170"/>
        <v>7939</v>
      </c>
    </row>
    <row r="7942" spans="1:1">
      <c r="A7942">
        <f t="shared" si="170"/>
        <v>7940</v>
      </c>
    </row>
    <row r="7943" spans="1:1">
      <c r="A7943">
        <f t="shared" si="170"/>
        <v>7941</v>
      </c>
    </row>
    <row r="7944" spans="1:1">
      <c r="A7944">
        <f t="shared" si="170"/>
        <v>7942</v>
      </c>
    </row>
    <row r="7945" spans="1:1">
      <c r="A7945">
        <f t="shared" si="170"/>
        <v>7943</v>
      </c>
    </row>
    <row r="7946" spans="1:1">
      <c r="A7946">
        <f t="shared" si="170"/>
        <v>7944</v>
      </c>
    </row>
    <row r="7947" spans="1:1">
      <c r="A7947">
        <f t="shared" si="170"/>
        <v>7945</v>
      </c>
    </row>
    <row r="7948" spans="1:1">
      <c r="A7948">
        <f t="shared" si="170"/>
        <v>7946</v>
      </c>
    </row>
    <row r="7949" spans="1:1">
      <c r="A7949">
        <f t="shared" si="170"/>
        <v>7947</v>
      </c>
    </row>
    <row r="7950" spans="1:1">
      <c r="A7950">
        <f t="shared" si="170"/>
        <v>7948</v>
      </c>
    </row>
    <row r="7951" spans="1:1">
      <c r="A7951">
        <f t="shared" si="170"/>
        <v>7949</v>
      </c>
    </row>
    <row r="7952" spans="1:1">
      <c r="A7952">
        <f t="shared" si="170"/>
        <v>7950</v>
      </c>
    </row>
    <row r="7953" spans="1:1">
      <c r="A7953">
        <f t="shared" si="170"/>
        <v>7951</v>
      </c>
    </row>
    <row r="7954" spans="1:1">
      <c r="A7954">
        <f t="shared" si="170"/>
        <v>7952</v>
      </c>
    </row>
    <row r="7955" spans="1:1">
      <c r="A7955">
        <f t="shared" si="170"/>
        <v>7953</v>
      </c>
    </row>
    <row r="7956" spans="1:1">
      <c r="A7956">
        <f t="shared" si="170"/>
        <v>7954</v>
      </c>
    </row>
    <row r="7957" spans="1:1">
      <c r="A7957">
        <f t="shared" si="170"/>
        <v>7955</v>
      </c>
    </row>
    <row r="7958" spans="1:1">
      <c r="A7958">
        <f t="shared" si="170"/>
        <v>7956</v>
      </c>
    </row>
    <row r="7959" spans="1:1">
      <c r="A7959">
        <f t="shared" si="170"/>
        <v>7957</v>
      </c>
    </row>
    <row r="7960" spans="1:1">
      <c r="A7960">
        <f t="shared" si="170"/>
        <v>7958</v>
      </c>
    </row>
    <row r="7961" spans="1:1">
      <c r="A7961">
        <f t="shared" si="170"/>
        <v>7959</v>
      </c>
    </row>
    <row r="7962" spans="1:1">
      <c r="A7962">
        <f t="shared" si="170"/>
        <v>7960</v>
      </c>
    </row>
    <row r="7963" spans="1:1">
      <c r="A7963">
        <f t="shared" si="170"/>
        <v>7961</v>
      </c>
    </row>
    <row r="7964" spans="1:1">
      <c r="A7964">
        <f t="shared" si="170"/>
        <v>7962</v>
      </c>
    </row>
    <row r="7965" spans="1:1">
      <c r="A7965">
        <f t="shared" si="170"/>
        <v>7963</v>
      </c>
    </row>
    <row r="7966" spans="1:1">
      <c r="A7966">
        <f t="shared" si="170"/>
        <v>7964</v>
      </c>
    </row>
    <row r="7967" spans="1:1">
      <c r="A7967">
        <f t="shared" si="170"/>
        <v>7965</v>
      </c>
    </row>
    <row r="7968" spans="1:1">
      <c r="A7968">
        <f t="shared" si="170"/>
        <v>7966</v>
      </c>
    </row>
    <row r="7969" spans="1:1">
      <c r="A7969">
        <f t="shared" si="170"/>
        <v>7967</v>
      </c>
    </row>
    <row r="7970" spans="1:1">
      <c r="A7970">
        <f t="shared" si="170"/>
        <v>7968</v>
      </c>
    </row>
    <row r="7971" spans="1:1">
      <c r="A7971">
        <f t="shared" si="170"/>
        <v>7969</v>
      </c>
    </row>
    <row r="7972" spans="1:1">
      <c r="A7972">
        <f t="shared" ref="A7972:A8035" si="171">A7971+1</f>
        <v>7970</v>
      </c>
    </row>
    <row r="7973" spans="1:1">
      <c r="A7973">
        <f t="shared" si="171"/>
        <v>7971</v>
      </c>
    </row>
    <row r="7974" spans="1:1">
      <c r="A7974">
        <f t="shared" si="171"/>
        <v>7972</v>
      </c>
    </row>
    <row r="7975" spans="1:1">
      <c r="A7975">
        <f t="shared" si="171"/>
        <v>7973</v>
      </c>
    </row>
    <row r="7976" spans="1:1">
      <c r="A7976">
        <f t="shared" si="171"/>
        <v>7974</v>
      </c>
    </row>
    <row r="7977" spans="1:1">
      <c r="A7977">
        <f t="shared" si="171"/>
        <v>7975</v>
      </c>
    </row>
    <row r="7978" spans="1:1">
      <c r="A7978">
        <f t="shared" si="171"/>
        <v>7976</v>
      </c>
    </row>
    <row r="7979" spans="1:1">
      <c r="A7979">
        <f t="shared" si="171"/>
        <v>7977</v>
      </c>
    </row>
    <row r="7980" spans="1:1">
      <c r="A7980">
        <f t="shared" si="171"/>
        <v>7978</v>
      </c>
    </row>
    <row r="7981" spans="1:1">
      <c r="A7981">
        <f t="shared" si="171"/>
        <v>7979</v>
      </c>
    </row>
    <row r="7982" spans="1:1">
      <c r="A7982">
        <f t="shared" si="171"/>
        <v>7980</v>
      </c>
    </row>
    <row r="7983" spans="1:1">
      <c r="A7983">
        <f t="shared" si="171"/>
        <v>7981</v>
      </c>
    </row>
    <row r="7984" spans="1:1">
      <c r="A7984">
        <f t="shared" si="171"/>
        <v>7982</v>
      </c>
    </row>
    <row r="7985" spans="1:1">
      <c r="A7985">
        <f t="shared" si="171"/>
        <v>7983</v>
      </c>
    </row>
    <row r="7986" spans="1:1">
      <c r="A7986">
        <f t="shared" si="171"/>
        <v>7984</v>
      </c>
    </row>
    <row r="7987" spans="1:1">
      <c r="A7987">
        <f t="shared" si="171"/>
        <v>7985</v>
      </c>
    </row>
    <row r="7988" spans="1:1">
      <c r="A7988">
        <f t="shared" si="171"/>
        <v>7986</v>
      </c>
    </row>
    <row r="7989" spans="1:1">
      <c r="A7989">
        <f t="shared" si="171"/>
        <v>7987</v>
      </c>
    </row>
    <row r="7990" spans="1:1">
      <c r="A7990">
        <f t="shared" si="171"/>
        <v>7988</v>
      </c>
    </row>
    <row r="7991" spans="1:1">
      <c r="A7991">
        <f t="shared" si="171"/>
        <v>7989</v>
      </c>
    </row>
    <row r="7992" spans="1:1">
      <c r="A7992">
        <f t="shared" si="171"/>
        <v>7990</v>
      </c>
    </row>
    <row r="7993" spans="1:1">
      <c r="A7993">
        <f t="shared" si="171"/>
        <v>7991</v>
      </c>
    </row>
    <row r="7994" spans="1:1">
      <c r="A7994">
        <f t="shared" si="171"/>
        <v>7992</v>
      </c>
    </row>
    <row r="7995" spans="1:1">
      <c r="A7995">
        <f t="shared" si="171"/>
        <v>7993</v>
      </c>
    </row>
    <row r="7996" spans="1:1">
      <c r="A7996">
        <f t="shared" si="171"/>
        <v>7994</v>
      </c>
    </row>
    <row r="7997" spans="1:1">
      <c r="A7997">
        <f t="shared" si="171"/>
        <v>7995</v>
      </c>
    </row>
    <row r="7998" spans="1:1">
      <c r="A7998">
        <f t="shared" si="171"/>
        <v>7996</v>
      </c>
    </row>
    <row r="7999" spans="1:1">
      <c r="A7999">
        <f t="shared" si="171"/>
        <v>7997</v>
      </c>
    </row>
    <row r="8000" spans="1:1">
      <c r="A8000">
        <f t="shared" si="171"/>
        <v>7998</v>
      </c>
    </row>
    <row r="8001" spans="1:1">
      <c r="A8001">
        <f t="shared" si="171"/>
        <v>7999</v>
      </c>
    </row>
    <row r="8002" spans="1:1">
      <c r="A8002">
        <f t="shared" si="171"/>
        <v>8000</v>
      </c>
    </row>
    <row r="8003" spans="1:1">
      <c r="A8003">
        <f t="shared" si="171"/>
        <v>8001</v>
      </c>
    </row>
    <row r="8004" spans="1:1">
      <c r="A8004">
        <f t="shared" si="171"/>
        <v>8002</v>
      </c>
    </row>
    <row r="8005" spans="1:1">
      <c r="A8005">
        <f t="shared" si="171"/>
        <v>8003</v>
      </c>
    </row>
    <row r="8006" spans="1:1">
      <c r="A8006">
        <f t="shared" si="171"/>
        <v>8004</v>
      </c>
    </row>
    <row r="8007" spans="1:1">
      <c r="A8007">
        <f t="shared" si="171"/>
        <v>8005</v>
      </c>
    </row>
    <row r="8008" spans="1:1">
      <c r="A8008">
        <f t="shared" si="171"/>
        <v>8006</v>
      </c>
    </row>
    <row r="8009" spans="1:1">
      <c r="A8009">
        <f t="shared" si="171"/>
        <v>8007</v>
      </c>
    </row>
    <row r="8010" spans="1:1">
      <c r="A8010">
        <f t="shared" si="171"/>
        <v>8008</v>
      </c>
    </row>
    <row r="8011" spans="1:1">
      <c r="A8011">
        <f t="shared" si="171"/>
        <v>8009</v>
      </c>
    </row>
    <row r="8012" spans="1:1">
      <c r="A8012">
        <f t="shared" si="171"/>
        <v>8010</v>
      </c>
    </row>
    <row r="8013" spans="1:1">
      <c r="A8013">
        <f t="shared" si="171"/>
        <v>8011</v>
      </c>
    </row>
    <row r="8014" spans="1:1">
      <c r="A8014">
        <f t="shared" si="171"/>
        <v>8012</v>
      </c>
    </row>
    <row r="8015" spans="1:1">
      <c r="A8015">
        <f t="shared" si="171"/>
        <v>8013</v>
      </c>
    </row>
    <row r="8016" spans="1:1">
      <c r="A8016">
        <f t="shared" si="171"/>
        <v>8014</v>
      </c>
    </row>
    <row r="8017" spans="1:1">
      <c r="A8017">
        <f t="shared" si="171"/>
        <v>8015</v>
      </c>
    </row>
    <row r="8018" spans="1:1">
      <c r="A8018">
        <f t="shared" si="171"/>
        <v>8016</v>
      </c>
    </row>
    <row r="8019" spans="1:1">
      <c r="A8019">
        <f t="shared" si="171"/>
        <v>8017</v>
      </c>
    </row>
    <row r="8020" spans="1:1">
      <c r="A8020">
        <f t="shared" si="171"/>
        <v>8018</v>
      </c>
    </row>
    <row r="8021" spans="1:1">
      <c r="A8021">
        <f t="shared" si="171"/>
        <v>8019</v>
      </c>
    </row>
    <row r="8022" spans="1:1">
      <c r="A8022">
        <f t="shared" si="171"/>
        <v>8020</v>
      </c>
    </row>
    <row r="8023" spans="1:1">
      <c r="A8023">
        <f t="shared" si="171"/>
        <v>8021</v>
      </c>
    </row>
    <row r="8024" spans="1:1">
      <c r="A8024">
        <f t="shared" si="171"/>
        <v>8022</v>
      </c>
    </row>
    <row r="8025" spans="1:1">
      <c r="A8025">
        <f t="shared" si="171"/>
        <v>8023</v>
      </c>
    </row>
    <row r="8026" spans="1:1">
      <c r="A8026">
        <f t="shared" si="171"/>
        <v>8024</v>
      </c>
    </row>
    <row r="8027" spans="1:1">
      <c r="A8027">
        <f t="shared" si="171"/>
        <v>8025</v>
      </c>
    </row>
    <row r="8028" spans="1:1">
      <c r="A8028">
        <f t="shared" si="171"/>
        <v>8026</v>
      </c>
    </row>
    <row r="8029" spans="1:1">
      <c r="A8029">
        <f t="shared" si="171"/>
        <v>8027</v>
      </c>
    </row>
    <row r="8030" spans="1:1">
      <c r="A8030">
        <f t="shared" si="171"/>
        <v>8028</v>
      </c>
    </row>
    <row r="8031" spans="1:1">
      <c r="A8031">
        <f t="shared" si="171"/>
        <v>8029</v>
      </c>
    </row>
    <row r="8032" spans="1:1">
      <c r="A8032">
        <f t="shared" si="171"/>
        <v>8030</v>
      </c>
    </row>
    <row r="8033" spans="1:1">
      <c r="A8033">
        <f t="shared" si="171"/>
        <v>8031</v>
      </c>
    </row>
    <row r="8034" spans="1:1">
      <c r="A8034">
        <f t="shared" si="171"/>
        <v>8032</v>
      </c>
    </row>
    <row r="8035" spans="1:1">
      <c r="A8035">
        <f t="shared" si="171"/>
        <v>8033</v>
      </c>
    </row>
    <row r="8036" spans="1:1">
      <c r="A8036">
        <f t="shared" ref="A8036:A8099" si="172">A8035+1</f>
        <v>8034</v>
      </c>
    </row>
    <row r="8037" spans="1:1">
      <c r="A8037">
        <f t="shared" si="172"/>
        <v>8035</v>
      </c>
    </row>
    <row r="8038" spans="1:1">
      <c r="A8038">
        <f t="shared" si="172"/>
        <v>8036</v>
      </c>
    </row>
    <row r="8039" spans="1:1">
      <c r="A8039">
        <f t="shared" si="172"/>
        <v>8037</v>
      </c>
    </row>
    <row r="8040" spans="1:1">
      <c r="A8040">
        <f t="shared" si="172"/>
        <v>8038</v>
      </c>
    </row>
    <row r="8041" spans="1:1">
      <c r="A8041">
        <f t="shared" si="172"/>
        <v>8039</v>
      </c>
    </row>
    <row r="8042" spans="1:1">
      <c r="A8042">
        <f t="shared" si="172"/>
        <v>8040</v>
      </c>
    </row>
    <row r="8043" spans="1:1">
      <c r="A8043">
        <f t="shared" si="172"/>
        <v>8041</v>
      </c>
    </row>
    <row r="8044" spans="1:1">
      <c r="A8044">
        <f t="shared" si="172"/>
        <v>8042</v>
      </c>
    </row>
    <row r="8045" spans="1:1">
      <c r="A8045">
        <f t="shared" si="172"/>
        <v>8043</v>
      </c>
    </row>
    <row r="8046" spans="1:1">
      <c r="A8046">
        <f t="shared" si="172"/>
        <v>8044</v>
      </c>
    </row>
    <row r="8047" spans="1:1">
      <c r="A8047">
        <f t="shared" si="172"/>
        <v>8045</v>
      </c>
    </row>
    <row r="8048" spans="1:1">
      <c r="A8048">
        <f t="shared" si="172"/>
        <v>8046</v>
      </c>
    </row>
    <row r="8049" spans="1:1">
      <c r="A8049">
        <f t="shared" si="172"/>
        <v>8047</v>
      </c>
    </row>
    <row r="8050" spans="1:1">
      <c r="A8050">
        <f t="shared" si="172"/>
        <v>8048</v>
      </c>
    </row>
    <row r="8051" spans="1:1">
      <c r="A8051">
        <f t="shared" si="172"/>
        <v>8049</v>
      </c>
    </row>
    <row r="8052" spans="1:1">
      <c r="A8052">
        <f t="shared" si="172"/>
        <v>8050</v>
      </c>
    </row>
    <row r="8053" spans="1:1">
      <c r="A8053">
        <f t="shared" si="172"/>
        <v>8051</v>
      </c>
    </row>
    <row r="8054" spans="1:1">
      <c r="A8054">
        <f t="shared" si="172"/>
        <v>8052</v>
      </c>
    </row>
    <row r="8055" spans="1:1">
      <c r="A8055">
        <f t="shared" si="172"/>
        <v>8053</v>
      </c>
    </row>
    <row r="8056" spans="1:1">
      <c r="A8056">
        <f t="shared" si="172"/>
        <v>8054</v>
      </c>
    </row>
    <row r="8057" spans="1:1">
      <c r="A8057">
        <f t="shared" si="172"/>
        <v>8055</v>
      </c>
    </row>
    <row r="8058" spans="1:1">
      <c r="A8058">
        <f t="shared" si="172"/>
        <v>8056</v>
      </c>
    </row>
    <row r="8059" spans="1:1">
      <c r="A8059">
        <f t="shared" si="172"/>
        <v>8057</v>
      </c>
    </row>
    <row r="8060" spans="1:1">
      <c r="A8060">
        <f t="shared" si="172"/>
        <v>8058</v>
      </c>
    </row>
    <row r="8061" spans="1:1">
      <c r="A8061">
        <f t="shared" si="172"/>
        <v>8059</v>
      </c>
    </row>
    <row r="8062" spans="1:1">
      <c r="A8062">
        <f t="shared" si="172"/>
        <v>8060</v>
      </c>
    </row>
    <row r="8063" spans="1:1">
      <c r="A8063">
        <f t="shared" si="172"/>
        <v>8061</v>
      </c>
    </row>
    <row r="8064" spans="1:1">
      <c r="A8064">
        <f t="shared" si="172"/>
        <v>8062</v>
      </c>
    </row>
    <row r="8065" spans="1:1">
      <c r="A8065">
        <f t="shared" si="172"/>
        <v>8063</v>
      </c>
    </row>
    <row r="8066" spans="1:1">
      <c r="A8066">
        <f t="shared" si="172"/>
        <v>8064</v>
      </c>
    </row>
    <row r="8067" spans="1:1">
      <c r="A8067">
        <f t="shared" si="172"/>
        <v>8065</v>
      </c>
    </row>
    <row r="8068" spans="1:1">
      <c r="A8068">
        <f t="shared" si="172"/>
        <v>8066</v>
      </c>
    </row>
    <row r="8069" spans="1:1">
      <c r="A8069">
        <f t="shared" si="172"/>
        <v>8067</v>
      </c>
    </row>
    <row r="8070" spans="1:1">
      <c r="A8070">
        <f t="shared" si="172"/>
        <v>8068</v>
      </c>
    </row>
    <row r="8071" spans="1:1">
      <c r="A8071">
        <f t="shared" si="172"/>
        <v>8069</v>
      </c>
    </row>
    <row r="8072" spans="1:1">
      <c r="A8072">
        <f t="shared" si="172"/>
        <v>8070</v>
      </c>
    </row>
    <row r="8073" spans="1:1">
      <c r="A8073">
        <f t="shared" si="172"/>
        <v>8071</v>
      </c>
    </row>
    <row r="8074" spans="1:1">
      <c r="A8074">
        <f t="shared" si="172"/>
        <v>8072</v>
      </c>
    </row>
    <row r="8075" spans="1:1">
      <c r="A8075">
        <f t="shared" si="172"/>
        <v>8073</v>
      </c>
    </row>
    <row r="8076" spans="1:1">
      <c r="A8076">
        <f t="shared" si="172"/>
        <v>8074</v>
      </c>
    </row>
    <row r="8077" spans="1:1">
      <c r="A8077">
        <f t="shared" si="172"/>
        <v>8075</v>
      </c>
    </row>
    <row r="8078" spans="1:1">
      <c r="A8078">
        <f t="shared" si="172"/>
        <v>8076</v>
      </c>
    </row>
    <row r="8079" spans="1:1">
      <c r="A8079">
        <f t="shared" si="172"/>
        <v>8077</v>
      </c>
    </row>
    <row r="8080" spans="1:1">
      <c r="A8080">
        <f t="shared" si="172"/>
        <v>8078</v>
      </c>
    </row>
    <row r="8081" spans="1:1">
      <c r="A8081">
        <f t="shared" si="172"/>
        <v>8079</v>
      </c>
    </row>
    <row r="8082" spans="1:1">
      <c r="A8082">
        <f t="shared" si="172"/>
        <v>8080</v>
      </c>
    </row>
    <row r="8083" spans="1:1">
      <c r="A8083">
        <f t="shared" si="172"/>
        <v>8081</v>
      </c>
    </row>
    <row r="8084" spans="1:1">
      <c r="A8084">
        <f t="shared" si="172"/>
        <v>8082</v>
      </c>
    </row>
    <row r="8085" spans="1:1">
      <c r="A8085">
        <f t="shared" si="172"/>
        <v>8083</v>
      </c>
    </row>
    <row r="8086" spans="1:1">
      <c r="A8086">
        <f t="shared" si="172"/>
        <v>8084</v>
      </c>
    </row>
    <row r="8087" spans="1:1">
      <c r="A8087">
        <f t="shared" si="172"/>
        <v>8085</v>
      </c>
    </row>
    <row r="8088" spans="1:1">
      <c r="A8088">
        <f t="shared" si="172"/>
        <v>8086</v>
      </c>
    </row>
    <row r="8089" spans="1:1">
      <c r="A8089">
        <f t="shared" si="172"/>
        <v>8087</v>
      </c>
    </row>
    <row r="8090" spans="1:1">
      <c r="A8090">
        <f t="shared" si="172"/>
        <v>8088</v>
      </c>
    </row>
    <row r="8091" spans="1:1">
      <c r="A8091">
        <f t="shared" si="172"/>
        <v>8089</v>
      </c>
    </row>
    <row r="8092" spans="1:1">
      <c r="A8092">
        <f t="shared" si="172"/>
        <v>8090</v>
      </c>
    </row>
    <row r="8093" spans="1:1">
      <c r="A8093">
        <f t="shared" si="172"/>
        <v>8091</v>
      </c>
    </row>
    <row r="8094" spans="1:1">
      <c r="A8094">
        <f t="shared" si="172"/>
        <v>8092</v>
      </c>
    </row>
    <row r="8095" spans="1:1">
      <c r="A8095">
        <f t="shared" si="172"/>
        <v>8093</v>
      </c>
    </row>
    <row r="8096" spans="1:1">
      <c r="A8096">
        <f t="shared" si="172"/>
        <v>8094</v>
      </c>
    </row>
    <row r="8097" spans="1:1">
      <c r="A8097">
        <f t="shared" si="172"/>
        <v>8095</v>
      </c>
    </row>
    <row r="8098" spans="1:1">
      <c r="A8098">
        <f t="shared" si="172"/>
        <v>8096</v>
      </c>
    </row>
    <row r="8099" spans="1:1">
      <c r="A8099">
        <f t="shared" si="172"/>
        <v>8097</v>
      </c>
    </row>
    <row r="8100" spans="1:1">
      <c r="A8100">
        <f t="shared" ref="A8100:A8163" si="173">A8099+1</f>
        <v>8098</v>
      </c>
    </row>
    <row r="8101" spans="1:1">
      <c r="A8101">
        <f t="shared" si="173"/>
        <v>8099</v>
      </c>
    </row>
    <row r="8102" spans="1:1">
      <c r="A8102">
        <f t="shared" si="173"/>
        <v>8100</v>
      </c>
    </row>
    <row r="8103" spans="1:1">
      <c r="A8103">
        <f t="shared" si="173"/>
        <v>8101</v>
      </c>
    </row>
    <row r="8104" spans="1:1">
      <c r="A8104">
        <f t="shared" si="173"/>
        <v>8102</v>
      </c>
    </row>
    <row r="8105" spans="1:1">
      <c r="A8105">
        <f t="shared" si="173"/>
        <v>8103</v>
      </c>
    </row>
    <row r="8106" spans="1:1">
      <c r="A8106">
        <f t="shared" si="173"/>
        <v>8104</v>
      </c>
    </row>
    <row r="8107" spans="1:1">
      <c r="A8107">
        <f t="shared" si="173"/>
        <v>8105</v>
      </c>
    </row>
    <row r="8108" spans="1:1">
      <c r="A8108">
        <f t="shared" si="173"/>
        <v>8106</v>
      </c>
    </row>
    <row r="8109" spans="1:1">
      <c r="A8109">
        <f t="shared" si="173"/>
        <v>8107</v>
      </c>
    </row>
    <row r="8110" spans="1:1">
      <c r="A8110">
        <f t="shared" si="173"/>
        <v>8108</v>
      </c>
    </row>
    <row r="8111" spans="1:1">
      <c r="A8111">
        <f t="shared" si="173"/>
        <v>8109</v>
      </c>
    </row>
    <row r="8112" spans="1:1">
      <c r="A8112">
        <f t="shared" si="173"/>
        <v>8110</v>
      </c>
    </row>
    <row r="8113" spans="1:1">
      <c r="A8113">
        <f t="shared" si="173"/>
        <v>8111</v>
      </c>
    </row>
    <row r="8114" spans="1:1">
      <c r="A8114">
        <f t="shared" si="173"/>
        <v>8112</v>
      </c>
    </row>
    <row r="8115" spans="1:1">
      <c r="A8115">
        <f t="shared" si="173"/>
        <v>8113</v>
      </c>
    </row>
    <row r="8116" spans="1:1">
      <c r="A8116">
        <f t="shared" si="173"/>
        <v>8114</v>
      </c>
    </row>
    <row r="8117" spans="1:1">
      <c r="A8117">
        <f t="shared" si="173"/>
        <v>8115</v>
      </c>
    </row>
    <row r="8118" spans="1:1">
      <c r="A8118">
        <f t="shared" si="173"/>
        <v>8116</v>
      </c>
    </row>
    <row r="8119" spans="1:1">
      <c r="A8119">
        <f t="shared" si="173"/>
        <v>8117</v>
      </c>
    </row>
    <row r="8120" spans="1:1">
      <c r="A8120">
        <f t="shared" si="173"/>
        <v>8118</v>
      </c>
    </row>
    <row r="8121" spans="1:1">
      <c r="A8121">
        <f t="shared" si="173"/>
        <v>8119</v>
      </c>
    </row>
    <row r="8122" spans="1:1">
      <c r="A8122">
        <f t="shared" si="173"/>
        <v>8120</v>
      </c>
    </row>
    <row r="8123" spans="1:1">
      <c r="A8123">
        <f t="shared" si="173"/>
        <v>8121</v>
      </c>
    </row>
    <row r="8124" spans="1:1">
      <c r="A8124">
        <f t="shared" si="173"/>
        <v>8122</v>
      </c>
    </row>
    <row r="8125" spans="1:1">
      <c r="A8125">
        <f t="shared" si="173"/>
        <v>8123</v>
      </c>
    </row>
    <row r="8126" spans="1:1">
      <c r="A8126">
        <f t="shared" si="173"/>
        <v>8124</v>
      </c>
    </row>
    <row r="8127" spans="1:1">
      <c r="A8127">
        <f t="shared" si="173"/>
        <v>8125</v>
      </c>
    </row>
    <row r="8128" spans="1:1">
      <c r="A8128">
        <f t="shared" si="173"/>
        <v>8126</v>
      </c>
    </row>
    <row r="8129" spans="1:1">
      <c r="A8129">
        <f t="shared" si="173"/>
        <v>8127</v>
      </c>
    </row>
    <row r="8130" spans="1:1">
      <c r="A8130">
        <f t="shared" si="173"/>
        <v>8128</v>
      </c>
    </row>
    <row r="8131" spans="1:1">
      <c r="A8131">
        <f t="shared" si="173"/>
        <v>8129</v>
      </c>
    </row>
    <row r="8132" spans="1:1">
      <c r="A8132">
        <f t="shared" si="173"/>
        <v>8130</v>
      </c>
    </row>
    <row r="8133" spans="1:1">
      <c r="A8133">
        <f t="shared" si="173"/>
        <v>8131</v>
      </c>
    </row>
    <row r="8134" spans="1:1">
      <c r="A8134">
        <f t="shared" si="173"/>
        <v>8132</v>
      </c>
    </row>
    <row r="8135" spans="1:1">
      <c r="A8135">
        <f t="shared" si="173"/>
        <v>8133</v>
      </c>
    </row>
    <row r="8136" spans="1:1">
      <c r="A8136">
        <f t="shared" si="173"/>
        <v>8134</v>
      </c>
    </row>
    <row r="8137" spans="1:1">
      <c r="A8137">
        <f t="shared" si="173"/>
        <v>8135</v>
      </c>
    </row>
    <row r="8138" spans="1:1">
      <c r="A8138">
        <f t="shared" si="173"/>
        <v>8136</v>
      </c>
    </row>
    <row r="8139" spans="1:1">
      <c r="A8139">
        <f t="shared" si="173"/>
        <v>8137</v>
      </c>
    </row>
    <row r="8140" spans="1:1">
      <c r="A8140">
        <f t="shared" si="173"/>
        <v>8138</v>
      </c>
    </row>
    <row r="8141" spans="1:1">
      <c r="A8141">
        <f t="shared" si="173"/>
        <v>8139</v>
      </c>
    </row>
    <row r="8142" spans="1:1">
      <c r="A8142">
        <f t="shared" si="173"/>
        <v>8140</v>
      </c>
    </row>
    <row r="8143" spans="1:1">
      <c r="A8143">
        <f t="shared" si="173"/>
        <v>8141</v>
      </c>
    </row>
    <row r="8144" spans="1:1">
      <c r="A8144">
        <f t="shared" si="173"/>
        <v>8142</v>
      </c>
    </row>
    <row r="8145" spans="1:1">
      <c r="A8145">
        <f t="shared" si="173"/>
        <v>8143</v>
      </c>
    </row>
    <row r="8146" spans="1:1">
      <c r="A8146">
        <f t="shared" si="173"/>
        <v>8144</v>
      </c>
    </row>
    <row r="8147" spans="1:1">
      <c r="A8147">
        <f t="shared" si="173"/>
        <v>8145</v>
      </c>
    </row>
    <row r="8148" spans="1:1">
      <c r="A8148">
        <f t="shared" si="173"/>
        <v>8146</v>
      </c>
    </row>
    <row r="8149" spans="1:1">
      <c r="A8149">
        <f t="shared" si="173"/>
        <v>8147</v>
      </c>
    </row>
    <row r="8150" spans="1:1">
      <c r="A8150">
        <f t="shared" si="173"/>
        <v>8148</v>
      </c>
    </row>
    <row r="8151" spans="1:1">
      <c r="A8151">
        <f t="shared" si="173"/>
        <v>8149</v>
      </c>
    </row>
    <row r="8152" spans="1:1">
      <c r="A8152">
        <f t="shared" si="173"/>
        <v>8150</v>
      </c>
    </row>
    <row r="8153" spans="1:1">
      <c r="A8153">
        <f t="shared" si="173"/>
        <v>8151</v>
      </c>
    </row>
    <row r="8154" spans="1:1">
      <c r="A8154">
        <f t="shared" si="173"/>
        <v>8152</v>
      </c>
    </row>
    <row r="8155" spans="1:1">
      <c r="A8155">
        <f t="shared" si="173"/>
        <v>8153</v>
      </c>
    </row>
    <row r="8156" spans="1:1">
      <c r="A8156">
        <f t="shared" si="173"/>
        <v>8154</v>
      </c>
    </row>
    <row r="8157" spans="1:1">
      <c r="A8157">
        <f t="shared" si="173"/>
        <v>8155</v>
      </c>
    </row>
    <row r="8158" spans="1:1">
      <c r="A8158">
        <f t="shared" si="173"/>
        <v>8156</v>
      </c>
    </row>
    <row r="8159" spans="1:1">
      <c r="A8159">
        <f t="shared" si="173"/>
        <v>8157</v>
      </c>
    </row>
    <row r="8160" spans="1:1">
      <c r="A8160">
        <f t="shared" si="173"/>
        <v>8158</v>
      </c>
    </row>
    <row r="8161" spans="1:1">
      <c r="A8161">
        <f t="shared" si="173"/>
        <v>8159</v>
      </c>
    </row>
    <row r="8162" spans="1:1">
      <c r="A8162">
        <f t="shared" si="173"/>
        <v>8160</v>
      </c>
    </row>
    <row r="8163" spans="1:1">
      <c r="A8163">
        <f t="shared" si="173"/>
        <v>8161</v>
      </c>
    </row>
    <row r="8164" spans="1:1">
      <c r="A8164">
        <f t="shared" ref="A8164:A8227" si="174">A8163+1</f>
        <v>8162</v>
      </c>
    </row>
    <row r="8165" spans="1:1">
      <c r="A8165">
        <f t="shared" si="174"/>
        <v>8163</v>
      </c>
    </row>
    <row r="8166" spans="1:1">
      <c r="A8166">
        <f t="shared" si="174"/>
        <v>8164</v>
      </c>
    </row>
    <row r="8167" spans="1:1">
      <c r="A8167">
        <f t="shared" si="174"/>
        <v>8165</v>
      </c>
    </row>
    <row r="8168" spans="1:1">
      <c r="A8168">
        <f t="shared" si="174"/>
        <v>8166</v>
      </c>
    </row>
    <row r="8169" spans="1:1">
      <c r="A8169">
        <f t="shared" si="174"/>
        <v>8167</v>
      </c>
    </row>
    <row r="8170" spans="1:1">
      <c r="A8170">
        <f t="shared" si="174"/>
        <v>8168</v>
      </c>
    </row>
    <row r="8171" spans="1:1">
      <c r="A8171">
        <f t="shared" si="174"/>
        <v>8169</v>
      </c>
    </row>
    <row r="8172" spans="1:1">
      <c r="A8172">
        <f t="shared" si="174"/>
        <v>8170</v>
      </c>
    </row>
    <row r="8173" spans="1:1">
      <c r="A8173">
        <f t="shared" si="174"/>
        <v>8171</v>
      </c>
    </row>
    <row r="8174" spans="1:1">
      <c r="A8174">
        <f t="shared" si="174"/>
        <v>8172</v>
      </c>
    </row>
    <row r="8175" spans="1:1">
      <c r="A8175">
        <f t="shared" si="174"/>
        <v>8173</v>
      </c>
    </row>
    <row r="8176" spans="1:1">
      <c r="A8176">
        <f t="shared" si="174"/>
        <v>8174</v>
      </c>
    </row>
    <row r="8177" spans="1:1">
      <c r="A8177">
        <f t="shared" si="174"/>
        <v>8175</v>
      </c>
    </row>
    <row r="8178" spans="1:1">
      <c r="A8178">
        <f t="shared" si="174"/>
        <v>8176</v>
      </c>
    </row>
    <row r="8179" spans="1:1">
      <c r="A8179">
        <f t="shared" si="174"/>
        <v>8177</v>
      </c>
    </row>
    <row r="8180" spans="1:1">
      <c r="A8180">
        <f t="shared" si="174"/>
        <v>8178</v>
      </c>
    </row>
    <row r="8181" spans="1:1">
      <c r="A8181">
        <f t="shared" si="174"/>
        <v>8179</v>
      </c>
    </row>
    <row r="8182" spans="1:1">
      <c r="A8182">
        <f t="shared" si="174"/>
        <v>8180</v>
      </c>
    </row>
    <row r="8183" spans="1:1">
      <c r="A8183">
        <f t="shared" si="174"/>
        <v>8181</v>
      </c>
    </row>
    <row r="8184" spans="1:1">
      <c r="A8184">
        <f t="shared" si="174"/>
        <v>8182</v>
      </c>
    </row>
    <row r="8185" spans="1:1">
      <c r="A8185">
        <f t="shared" si="174"/>
        <v>8183</v>
      </c>
    </row>
    <row r="8186" spans="1:1">
      <c r="A8186">
        <f t="shared" si="174"/>
        <v>8184</v>
      </c>
    </row>
    <row r="8187" spans="1:1">
      <c r="A8187">
        <f t="shared" si="174"/>
        <v>8185</v>
      </c>
    </row>
    <row r="8188" spans="1:1">
      <c r="A8188">
        <f t="shared" si="174"/>
        <v>8186</v>
      </c>
    </row>
    <row r="8189" spans="1:1">
      <c r="A8189">
        <f t="shared" si="174"/>
        <v>8187</v>
      </c>
    </row>
    <row r="8190" spans="1:1">
      <c r="A8190">
        <f t="shared" si="174"/>
        <v>8188</v>
      </c>
    </row>
    <row r="8191" spans="1:1">
      <c r="A8191">
        <f t="shared" si="174"/>
        <v>8189</v>
      </c>
    </row>
    <row r="8192" spans="1:1">
      <c r="A8192">
        <f t="shared" si="174"/>
        <v>8190</v>
      </c>
    </row>
    <row r="8193" spans="1:1">
      <c r="A8193">
        <f t="shared" si="174"/>
        <v>8191</v>
      </c>
    </row>
    <row r="8194" spans="1:1">
      <c r="A8194">
        <f t="shared" si="174"/>
        <v>8192</v>
      </c>
    </row>
    <row r="8195" spans="1:1">
      <c r="A8195">
        <f t="shared" si="174"/>
        <v>8193</v>
      </c>
    </row>
    <row r="8196" spans="1:1">
      <c r="A8196">
        <f t="shared" si="174"/>
        <v>8194</v>
      </c>
    </row>
    <row r="8197" spans="1:1">
      <c r="A8197">
        <f t="shared" si="174"/>
        <v>8195</v>
      </c>
    </row>
    <row r="8198" spans="1:1">
      <c r="A8198">
        <f t="shared" si="174"/>
        <v>8196</v>
      </c>
    </row>
    <row r="8199" spans="1:1">
      <c r="A8199">
        <f t="shared" si="174"/>
        <v>8197</v>
      </c>
    </row>
    <row r="8200" spans="1:1">
      <c r="A8200">
        <f t="shared" si="174"/>
        <v>8198</v>
      </c>
    </row>
    <row r="8201" spans="1:1">
      <c r="A8201">
        <f t="shared" si="174"/>
        <v>8199</v>
      </c>
    </row>
    <row r="8202" spans="1:1">
      <c r="A8202">
        <f t="shared" si="174"/>
        <v>8200</v>
      </c>
    </row>
    <row r="8203" spans="1:1">
      <c r="A8203">
        <f t="shared" si="174"/>
        <v>8201</v>
      </c>
    </row>
    <row r="8204" spans="1:1">
      <c r="A8204">
        <f t="shared" si="174"/>
        <v>8202</v>
      </c>
    </row>
    <row r="8205" spans="1:1">
      <c r="A8205">
        <f t="shared" si="174"/>
        <v>8203</v>
      </c>
    </row>
    <row r="8206" spans="1:1">
      <c r="A8206">
        <f t="shared" si="174"/>
        <v>8204</v>
      </c>
    </row>
    <row r="8207" spans="1:1">
      <c r="A8207">
        <f t="shared" si="174"/>
        <v>8205</v>
      </c>
    </row>
    <row r="8208" spans="1:1">
      <c r="A8208">
        <f t="shared" si="174"/>
        <v>8206</v>
      </c>
    </row>
    <row r="8209" spans="1:1">
      <c r="A8209">
        <f t="shared" si="174"/>
        <v>8207</v>
      </c>
    </row>
    <row r="8210" spans="1:1">
      <c r="A8210">
        <f t="shared" si="174"/>
        <v>8208</v>
      </c>
    </row>
    <row r="8211" spans="1:1">
      <c r="A8211">
        <f t="shared" si="174"/>
        <v>8209</v>
      </c>
    </row>
    <row r="8212" spans="1:1">
      <c r="A8212">
        <f t="shared" si="174"/>
        <v>8210</v>
      </c>
    </row>
    <row r="8213" spans="1:1">
      <c r="A8213">
        <f t="shared" si="174"/>
        <v>8211</v>
      </c>
    </row>
    <row r="8214" spans="1:1">
      <c r="A8214">
        <f t="shared" si="174"/>
        <v>8212</v>
      </c>
    </row>
    <row r="8215" spans="1:1">
      <c r="A8215">
        <f t="shared" si="174"/>
        <v>8213</v>
      </c>
    </row>
    <row r="8216" spans="1:1">
      <c r="A8216">
        <f t="shared" si="174"/>
        <v>8214</v>
      </c>
    </row>
    <row r="8217" spans="1:1">
      <c r="A8217">
        <f t="shared" si="174"/>
        <v>8215</v>
      </c>
    </row>
    <row r="8218" spans="1:1">
      <c r="A8218">
        <f t="shared" si="174"/>
        <v>8216</v>
      </c>
    </row>
    <row r="8219" spans="1:1">
      <c r="A8219">
        <f t="shared" si="174"/>
        <v>8217</v>
      </c>
    </row>
    <row r="8220" spans="1:1">
      <c r="A8220">
        <f t="shared" si="174"/>
        <v>8218</v>
      </c>
    </row>
    <row r="8221" spans="1:1">
      <c r="A8221">
        <f t="shared" si="174"/>
        <v>8219</v>
      </c>
    </row>
    <row r="8222" spans="1:1">
      <c r="A8222">
        <f t="shared" si="174"/>
        <v>8220</v>
      </c>
    </row>
    <row r="8223" spans="1:1">
      <c r="A8223">
        <f t="shared" si="174"/>
        <v>8221</v>
      </c>
    </row>
    <row r="8224" spans="1:1">
      <c r="A8224">
        <f t="shared" si="174"/>
        <v>8222</v>
      </c>
    </row>
    <row r="8225" spans="1:1">
      <c r="A8225">
        <f t="shared" si="174"/>
        <v>8223</v>
      </c>
    </row>
    <row r="8226" spans="1:1">
      <c r="A8226">
        <f t="shared" si="174"/>
        <v>8224</v>
      </c>
    </row>
    <row r="8227" spans="1:1">
      <c r="A8227">
        <f t="shared" si="174"/>
        <v>8225</v>
      </c>
    </row>
    <row r="8228" spans="1:1">
      <c r="A8228">
        <f t="shared" ref="A8228:A8291" si="175">A8227+1</f>
        <v>8226</v>
      </c>
    </row>
    <row r="8229" spans="1:1">
      <c r="A8229">
        <f t="shared" si="175"/>
        <v>8227</v>
      </c>
    </row>
    <row r="8230" spans="1:1">
      <c r="A8230">
        <f t="shared" si="175"/>
        <v>8228</v>
      </c>
    </row>
    <row r="8231" spans="1:1">
      <c r="A8231">
        <f t="shared" si="175"/>
        <v>8229</v>
      </c>
    </row>
    <row r="8232" spans="1:1">
      <c r="A8232">
        <f t="shared" si="175"/>
        <v>8230</v>
      </c>
    </row>
    <row r="8233" spans="1:1">
      <c r="A8233">
        <f t="shared" si="175"/>
        <v>8231</v>
      </c>
    </row>
    <row r="8234" spans="1:1">
      <c r="A8234">
        <f t="shared" si="175"/>
        <v>8232</v>
      </c>
    </row>
    <row r="8235" spans="1:1">
      <c r="A8235">
        <f t="shared" si="175"/>
        <v>8233</v>
      </c>
    </row>
    <row r="8236" spans="1:1">
      <c r="A8236">
        <f t="shared" si="175"/>
        <v>8234</v>
      </c>
    </row>
    <row r="8237" spans="1:1">
      <c r="A8237">
        <f t="shared" si="175"/>
        <v>8235</v>
      </c>
    </row>
    <row r="8238" spans="1:1">
      <c r="A8238">
        <f t="shared" si="175"/>
        <v>8236</v>
      </c>
    </row>
    <row r="8239" spans="1:1">
      <c r="A8239">
        <f t="shared" si="175"/>
        <v>8237</v>
      </c>
    </row>
    <row r="8240" spans="1:1">
      <c r="A8240">
        <f t="shared" si="175"/>
        <v>8238</v>
      </c>
    </row>
    <row r="8241" spans="1:1">
      <c r="A8241">
        <f t="shared" si="175"/>
        <v>8239</v>
      </c>
    </row>
    <row r="8242" spans="1:1">
      <c r="A8242">
        <f t="shared" si="175"/>
        <v>8240</v>
      </c>
    </row>
    <row r="8243" spans="1:1">
      <c r="A8243">
        <f t="shared" si="175"/>
        <v>8241</v>
      </c>
    </row>
    <row r="8244" spans="1:1">
      <c r="A8244">
        <f t="shared" si="175"/>
        <v>8242</v>
      </c>
    </row>
    <row r="8245" spans="1:1">
      <c r="A8245">
        <f t="shared" si="175"/>
        <v>8243</v>
      </c>
    </row>
    <row r="8246" spans="1:1">
      <c r="A8246">
        <f t="shared" si="175"/>
        <v>8244</v>
      </c>
    </row>
    <row r="8247" spans="1:1">
      <c r="A8247">
        <f t="shared" si="175"/>
        <v>8245</v>
      </c>
    </row>
    <row r="8248" spans="1:1">
      <c r="A8248">
        <f t="shared" si="175"/>
        <v>8246</v>
      </c>
    </row>
    <row r="8249" spans="1:1">
      <c r="A8249">
        <f t="shared" si="175"/>
        <v>8247</v>
      </c>
    </row>
    <row r="8250" spans="1:1">
      <c r="A8250">
        <f t="shared" si="175"/>
        <v>8248</v>
      </c>
    </row>
    <row r="8251" spans="1:1">
      <c r="A8251">
        <f t="shared" si="175"/>
        <v>8249</v>
      </c>
    </row>
    <row r="8252" spans="1:1">
      <c r="A8252">
        <f t="shared" si="175"/>
        <v>8250</v>
      </c>
    </row>
    <row r="8253" spans="1:1">
      <c r="A8253">
        <f t="shared" si="175"/>
        <v>8251</v>
      </c>
    </row>
    <row r="8254" spans="1:1">
      <c r="A8254">
        <f t="shared" si="175"/>
        <v>8252</v>
      </c>
    </row>
    <row r="8255" spans="1:1">
      <c r="A8255">
        <f t="shared" si="175"/>
        <v>8253</v>
      </c>
    </row>
    <row r="8256" spans="1:1">
      <c r="A8256">
        <f t="shared" si="175"/>
        <v>8254</v>
      </c>
    </row>
    <row r="8257" spans="1:1">
      <c r="A8257">
        <f t="shared" si="175"/>
        <v>8255</v>
      </c>
    </row>
    <row r="8258" spans="1:1">
      <c r="A8258">
        <f t="shared" si="175"/>
        <v>8256</v>
      </c>
    </row>
    <row r="8259" spans="1:1">
      <c r="A8259">
        <f t="shared" si="175"/>
        <v>8257</v>
      </c>
    </row>
    <row r="8260" spans="1:1">
      <c r="A8260">
        <f t="shared" si="175"/>
        <v>8258</v>
      </c>
    </row>
    <row r="8261" spans="1:1">
      <c r="A8261">
        <f t="shared" si="175"/>
        <v>8259</v>
      </c>
    </row>
    <row r="8262" spans="1:1">
      <c r="A8262">
        <f t="shared" si="175"/>
        <v>8260</v>
      </c>
    </row>
    <row r="8263" spans="1:1">
      <c r="A8263">
        <f t="shared" si="175"/>
        <v>8261</v>
      </c>
    </row>
    <row r="8264" spans="1:1">
      <c r="A8264">
        <f t="shared" si="175"/>
        <v>8262</v>
      </c>
    </row>
    <row r="8265" spans="1:1">
      <c r="A8265">
        <f t="shared" si="175"/>
        <v>8263</v>
      </c>
    </row>
    <row r="8266" spans="1:1">
      <c r="A8266">
        <f t="shared" si="175"/>
        <v>8264</v>
      </c>
    </row>
    <row r="8267" spans="1:1">
      <c r="A8267">
        <f t="shared" si="175"/>
        <v>8265</v>
      </c>
    </row>
    <row r="8268" spans="1:1">
      <c r="A8268">
        <f t="shared" si="175"/>
        <v>8266</v>
      </c>
    </row>
    <row r="8269" spans="1:1">
      <c r="A8269">
        <f t="shared" si="175"/>
        <v>8267</v>
      </c>
    </row>
    <row r="8270" spans="1:1">
      <c r="A8270">
        <f t="shared" si="175"/>
        <v>8268</v>
      </c>
    </row>
    <row r="8271" spans="1:1">
      <c r="A8271">
        <f t="shared" si="175"/>
        <v>8269</v>
      </c>
    </row>
    <row r="8272" spans="1:1">
      <c r="A8272">
        <f t="shared" si="175"/>
        <v>8270</v>
      </c>
    </row>
    <row r="8273" spans="1:1">
      <c r="A8273">
        <f t="shared" si="175"/>
        <v>8271</v>
      </c>
    </row>
    <row r="8274" spans="1:1">
      <c r="A8274">
        <f t="shared" si="175"/>
        <v>8272</v>
      </c>
    </row>
    <row r="8275" spans="1:1">
      <c r="A8275">
        <f t="shared" si="175"/>
        <v>8273</v>
      </c>
    </row>
    <row r="8276" spans="1:1">
      <c r="A8276">
        <f t="shared" si="175"/>
        <v>8274</v>
      </c>
    </row>
    <row r="8277" spans="1:1">
      <c r="A8277">
        <f t="shared" si="175"/>
        <v>8275</v>
      </c>
    </row>
    <row r="8278" spans="1:1">
      <c r="A8278">
        <f t="shared" si="175"/>
        <v>8276</v>
      </c>
    </row>
    <row r="8279" spans="1:1">
      <c r="A8279">
        <f t="shared" si="175"/>
        <v>8277</v>
      </c>
    </row>
    <row r="8280" spans="1:1">
      <c r="A8280">
        <f t="shared" si="175"/>
        <v>8278</v>
      </c>
    </row>
    <row r="8281" spans="1:1">
      <c r="A8281">
        <f t="shared" si="175"/>
        <v>8279</v>
      </c>
    </row>
    <row r="8282" spans="1:1">
      <c r="A8282">
        <f t="shared" si="175"/>
        <v>8280</v>
      </c>
    </row>
    <row r="8283" spans="1:1">
      <c r="A8283">
        <f t="shared" si="175"/>
        <v>8281</v>
      </c>
    </row>
    <row r="8284" spans="1:1">
      <c r="A8284">
        <f t="shared" si="175"/>
        <v>8282</v>
      </c>
    </row>
    <row r="8285" spans="1:1">
      <c r="A8285">
        <f t="shared" si="175"/>
        <v>8283</v>
      </c>
    </row>
    <row r="8286" spans="1:1">
      <c r="A8286">
        <f t="shared" si="175"/>
        <v>8284</v>
      </c>
    </row>
    <row r="8287" spans="1:1">
      <c r="A8287">
        <f t="shared" si="175"/>
        <v>8285</v>
      </c>
    </row>
    <row r="8288" spans="1:1">
      <c r="A8288">
        <f t="shared" si="175"/>
        <v>8286</v>
      </c>
    </row>
    <row r="8289" spans="1:1">
      <c r="A8289">
        <f t="shared" si="175"/>
        <v>8287</v>
      </c>
    </row>
    <row r="8290" spans="1:1">
      <c r="A8290">
        <f t="shared" si="175"/>
        <v>8288</v>
      </c>
    </row>
    <row r="8291" spans="1:1">
      <c r="A8291">
        <f t="shared" si="175"/>
        <v>8289</v>
      </c>
    </row>
    <row r="8292" spans="1:1">
      <c r="A8292">
        <f t="shared" ref="A8292:A8355" si="176">A8291+1</f>
        <v>8290</v>
      </c>
    </row>
    <row r="8293" spans="1:1">
      <c r="A8293">
        <f t="shared" si="176"/>
        <v>8291</v>
      </c>
    </row>
    <row r="8294" spans="1:1">
      <c r="A8294">
        <f t="shared" si="176"/>
        <v>8292</v>
      </c>
    </row>
    <row r="8295" spans="1:1">
      <c r="A8295">
        <f t="shared" si="176"/>
        <v>8293</v>
      </c>
    </row>
    <row r="8296" spans="1:1">
      <c r="A8296">
        <f t="shared" si="176"/>
        <v>8294</v>
      </c>
    </row>
    <row r="8297" spans="1:1">
      <c r="A8297">
        <f t="shared" si="176"/>
        <v>8295</v>
      </c>
    </row>
    <row r="8298" spans="1:1">
      <c r="A8298">
        <f t="shared" si="176"/>
        <v>8296</v>
      </c>
    </row>
    <row r="8299" spans="1:1">
      <c r="A8299">
        <f t="shared" si="176"/>
        <v>8297</v>
      </c>
    </row>
    <row r="8300" spans="1:1">
      <c r="A8300">
        <f t="shared" si="176"/>
        <v>8298</v>
      </c>
    </row>
    <row r="8301" spans="1:1">
      <c r="A8301">
        <f t="shared" si="176"/>
        <v>8299</v>
      </c>
    </row>
    <row r="8302" spans="1:1">
      <c r="A8302">
        <f t="shared" si="176"/>
        <v>8300</v>
      </c>
    </row>
    <row r="8303" spans="1:1">
      <c r="A8303">
        <f t="shared" si="176"/>
        <v>8301</v>
      </c>
    </row>
    <row r="8304" spans="1:1">
      <c r="A8304">
        <f t="shared" si="176"/>
        <v>8302</v>
      </c>
    </row>
    <row r="8305" spans="1:1">
      <c r="A8305">
        <f t="shared" si="176"/>
        <v>8303</v>
      </c>
    </row>
    <row r="8306" spans="1:1">
      <c r="A8306">
        <f t="shared" si="176"/>
        <v>8304</v>
      </c>
    </row>
    <row r="8307" spans="1:1">
      <c r="A8307">
        <f t="shared" si="176"/>
        <v>8305</v>
      </c>
    </row>
    <row r="8308" spans="1:1">
      <c r="A8308">
        <f t="shared" si="176"/>
        <v>8306</v>
      </c>
    </row>
    <row r="8309" spans="1:1">
      <c r="A8309">
        <f t="shared" si="176"/>
        <v>8307</v>
      </c>
    </row>
    <row r="8310" spans="1:1">
      <c r="A8310">
        <f t="shared" si="176"/>
        <v>8308</v>
      </c>
    </row>
    <row r="8311" spans="1:1">
      <c r="A8311">
        <f t="shared" si="176"/>
        <v>8309</v>
      </c>
    </row>
    <row r="8312" spans="1:1">
      <c r="A8312">
        <f t="shared" si="176"/>
        <v>8310</v>
      </c>
    </row>
    <row r="8313" spans="1:1">
      <c r="A8313">
        <f t="shared" si="176"/>
        <v>8311</v>
      </c>
    </row>
    <row r="8314" spans="1:1">
      <c r="A8314">
        <f t="shared" si="176"/>
        <v>8312</v>
      </c>
    </row>
    <row r="8315" spans="1:1">
      <c r="A8315">
        <f t="shared" si="176"/>
        <v>8313</v>
      </c>
    </row>
    <row r="8316" spans="1:1">
      <c r="A8316">
        <f t="shared" si="176"/>
        <v>8314</v>
      </c>
    </row>
    <row r="8317" spans="1:1">
      <c r="A8317">
        <f t="shared" si="176"/>
        <v>8315</v>
      </c>
    </row>
    <row r="8318" spans="1:1">
      <c r="A8318">
        <f t="shared" si="176"/>
        <v>8316</v>
      </c>
    </row>
    <row r="8319" spans="1:1">
      <c r="A8319">
        <f t="shared" si="176"/>
        <v>8317</v>
      </c>
    </row>
    <row r="8320" spans="1:1">
      <c r="A8320">
        <f t="shared" si="176"/>
        <v>8318</v>
      </c>
    </row>
    <row r="8321" spans="1:1">
      <c r="A8321">
        <f t="shared" si="176"/>
        <v>8319</v>
      </c>
    </row>
    <row r="8322" spans="1:1">
      <c r="A8322">
        <f t="shared" si="176"/>
        <v>8320</v>
      </c>
    </row>
    <row r="8323" spans="1:1">
      <c r="A8323">
        <f t="shared" si="176"/>
        <v>8321</v>
      </c>
    </row>
    <row r="8324" spans="1:1">
      <c r="A8324">
        <f t="shared" si="176"/>
        <v>8322</v>
      </c>
    </row>
    <row r="8325" spans="1:1">
      <c r="A8325">
        <f t="shared" si="176"/>
        <v>8323</v>
      </c>
    </row>
    <row r="8326" spans="1:1">
      <c r="A8326">
        <f t="shared" si="176"/>
        <v>8324</v>
      </c>
    </row>
    <row r="8327" spans="1:1">
      <c r="A8327">
        <f t="shared" si="176"/>
        <v>8325</v>
      </c>
    </row>
    <row r="8328" spans="1:1">
      <c r="A8328">
        <f t="shared" si="176"/>
        <v>8326</v>
      </c>
    </row>
    <row r="8329" spans="1:1">
      <c r="A8329">
        <f t="shared" si="176"/>
        <v>8327</v>
      </c>
    </row>
    <row r="8330" spans="1:1">
      <c r="A8330">
        <f t="shared" si="176"/>
        <v>8328</v>
      </c>
    </row>
    <row r="8331" spans="1:1">
      <c r="A8331">
        <f t="shared" si="176"/>
        <v>8329</v>
      </c>
    </row>
    <row r="8332" spans="1:1">
      <c r="A8332">
        <f t="shared" si="176"/>
        <v>8330</v>
      </c>
    </row>
    <row r="8333" spans="1:1">
      <c r="A8333">
        <f t="shared" si="176"/>
        <v>8331</v>
      </c>
    </row>
    <row r="8334" spans="1:1">
      <c r="A8334">
        <f t="shared" si="176"/>
        <v>8332</v>
      </c>
    </row>
    <row r="8335" spans="1:1">
      <c r="A8335">
        <f t="shared" si="176"/>
        <v>8333</v>
      </c>
    </row>
    <row r="8336" spans="1:1">
      <c r="A8336">
        <f t="shared" si="176"/>
        <v>8334</v>
      </c>
    </row>
    <row r="8337" spans="1:1">
      <c r="A8337">
        <f t="shared" si="176"/>
        <v>8335</v>
      </c>
    </row>
    <row r="8338" spans="1:1">
      <c r="A8338">
        <f t="shared" si="176"/>
        <v>8336</v>
      </c>
    </row>
    <row r="8339" spans="1:1">
      <c r="A8339">
        <f t="shared" si="176"/>
        <v>8337</v>
      </c>
    </row>
    <row r="8340" spans="1:1">
      <c r="A8340">
        <f t="shared" si="176"/>
        <v>8338</v>
      </c>
    </row>
    <row r="8341" spans="1:1">
      <c r="A8341">
        <f t="shared" si="176"/>
        <v>8339</v>
      </c>
    </row>
    <row r="8342" spans="1:1">
      <c r="A8342">
        <f t="shared" si="176"/>
        <v>8340</v>
      </c>
    </row>
    <row r="8343" spans="1:1">
      <c r="A8343">
        <f t="shared" si="176"/>
        <v>8341</v>
      </c>
    </row>
    <row r="8344" spans="1:1">
      <c r="A8344">
        <f t="shared" si="176"/>
        <v>8342</v>
      </c>
    </row>
    <row r="8345" spans="1:1">
      <c r="A8345">
        <f t="shared" si="176"/>
        <v>8343</v>
      </c>
    </row>
    <row r="8346" spans="1:1">
      <c r="A8346">
        <f t="shared" si="176"/>
        <v>8344</v>
      </c>
    </row>
    <row r="8347" spans="1:1">
      <c r="A8347">
        <f t="shared" si="176"/>
        <v>8345</v>
      </c>
    </row>
    <row r="8348" spans="1:1">
      <c r="A8348">
        <f t="shared" si="176"/>
        <v>8346</v>
      </c>
    </row>
    <row r="8349" spans="1:1">
      <c r="A8349">
        <f t="shared" si="176"/>
        <v>8347</v>
      </c>
    </row>
    <row r="8350" spans="1:1">
      <c r="A8350">
        <f t="shared" si="176"/>
        <v>8348</v>
      </c>
    </row>
    <row r="8351" spans="1:1">
      <c r="A8351">
        <f t="shared" si="176"/>
        <v>8349</v>
      </c>
    </row>
    <row r="8352" spans="1:1">
      <c r="A8352">
        <f t="shared" si="176"/>
        <v>8350</v>
      </c>
    </row>
    <row r="8353" spans="1:1">
      <c r="A8353">
        <f t="shared" si="176"/>
        <v>8351</v>
      </c>
    </row>
    <row r="8354" spans="1:1">
      <c r="A8354">
        <f t="shared" si="176"/>
        <v>8352</v>
      </c>
    </row>
    <row r="8355" spans="1:1">
      <c r="A8355">
        <f t="shared" si="176"/>
        <v>8353</v>
      </c>
    </row>
    <row r="8356" spans="1:1">
      <c r="A8356">
        <f t="shared" ref="A8356:A8419" si="177">A8355+1</f>
        <v>8354</v>
      </c>
    </row>
    <row r="8357" spans="1:1">
      <c r="A8357">
        <f t="shared" si="177"/>
        <v>8355</v>
      </c>
    </row>
    <row r="8358" spans="1:1">
      <c r="A8358">
        <f t="shared" si="177"/>
        <v>8356</v>
      </c>
    </row>
    <row r="8359" spans="1:1">
      <c r="A8359">
        <f t="shared" si="177"/>
        <v>8357</v>
      </c>
    </row>
    <row r="8360" spans="1:1">
      <c r="A8360">
        <f t="shared" si="177"/>
        <v>8358</v>
      </c>
    </row>
    <row r="8361" spans="1:1">
      <c r="A8361">
        <f t="shared" si="177"/>
        <v>8359</v>
      </c>
    </row>
    <row r="8362" spans="1:1">
      <c r="A8362">
        <f t="shared" si="177"/>
        <v>8360</v>
      </c>
    </row>
    <row r="8363" spans="1:1">
      <c r="A8363">
        <f t="shared" si="177"/>
        <v>8361</v>
      </c>
    </row>
    <row r="8364" spans="1:1">
      <c r="A8364">
        <f t="shared" si="177"/>
        <v>8362</v>
      </c>
    </row>
    <row r="8365" spans="1:1">
      <c r="A8365">
        <f t="shared" si="177"/>
        <v>8363</v>
      </c>
    </row>
    <row r="8366" spans="1:1">
      <c r="A8366">
        <f t="shared" si="177"/>
        <v>8364</v>
      </c>
    </row>
    <row r="8367" spans="1:1">
      <c r="A8367">
        <f t="shared" si="177"/>
        <v>8365</v>
      </c>
    </row>
    <row r="8368" spans="1:1">
      <c r="A8368">
        <f t="shared" si="177"/>
        <v>8366</v>
      </c>
    </row>
    <row r="8369" spans="1:1">
      <c r="A8369">
        <f t="shared" si="177"/>
        <v>8367</v>
      </c>
    </row>
    <row r="8370" spans="1:1">
      <c r="A8370">
        <f t="shared" si="177"/>
        <v>8368</v>
      </c>
    </row>
    <row r="8371" spans="1:1">
      <c r="A8371">
        <f t="shared" si="177"/>
        <v>8369</v>
      </c>
    </row>
    <row r="8372" spans="1:1">
      <c r="A8372">
        <f t="shared" si="177"/>
        <v>8370</v>
      </c>
    </row>
    <row r="8373" spans="1:1">
      <c r="A8373">
        <f t="shared" si="177"/>
        <v>8371</v>
      </c>
    </row>
    <row r="8374" spans="1:1">
      <c r="A8374">
        <f t="shared" si="177"/>
        <v>8372</v>
      </c>
    </row>
    <row r="8375" spans="1:1">
      <c r="A8375">
        <f t="shared" si="177"/>
        <v>8373</v>
      </c>
    </row>
    <row r="8376" spans="1:1">
      <c r="A8376">
        <f t="shared" si="177"/>
        <v>8374</v>
      </c>
    </row>
    <row r="8377" spans="1:1">
      <c r="A8377">
        <f t="shared" si="177"/>
        <v>8375</v>
      </c>
    </row>
    <row r="8378" spans="1:1">
      <c r="A8378">
        <f t="shared" si="177"/>
        <v>8376</v>
      </c>
    </row>
    <row r="8379" spans="1:1">
      <c r="A8379">
        <f t="shared" si="177"/>
        <v>8377</v>
      </c>
    </row>
    <row r="8380" spans="1:1">
      <c r="A8380">
        <f t="shared" si="177"/>
        <v>8378</v>
      </c>
    </row>
    <row r="8381" spans="1:1">
      <c r="A8381">
        <f t="shared" si="177"/>
        <v>8379</v>
      </c>
    </row>
    <row r="8382" spans="1:1">
      <c r="A8382">
        <f t="shared" si="177"/>
        <v>8380</v>
      </c>
    </row>
    <row r="8383" spans="1:1">
      <c r="A8383">
        <f t="shared" si="177"/>
        <v>8381</v>
      </c>
    </row>
    <row r="8384" spans="1:1">
      <c r="A8384">
        <f t="shared" si="177"/>
        <v>8382</v>
      </c>
    </row>
    <row r="8385" spans="1:1">
      <c r="A8385">
        <f t="shared" si="177"/>
        <v>8383</v>
      </c>
    </row>
    <row r="8386" spans="1:1">
      <c r="A8386">
        <f t="shared" si="177"/>
        <v>8384</v>
      </c>
    </row>
    <row r="8387" spans="1:1">
      <c r="A8387">
        <f t="shared" si="177"/>
        <v>8385</v>
      </c>
    </row>
    <row r="8388" spans="1:1">
      <c r="A8388">
        <f t="shared" si="177"/>
        <v>8386</v>
      </c>
    </row>
    <row r="8389" spans="1:1">
      <c r="A8389">
        <f t="shared" si="177"/>
        <v>8387</v>
      </c>
    </row>
    <row r="8390" spans="1:1">
      <c r="A8390">
        <f t="shared" si="177"/>
        <v>8388</v>
      </c>
    </row>
    <row r="8391" spans="1:1">
      <c r="A8391">
        <f t="shared" si="177"/>
        <v>8389</v>
      </c>
    </row>
    <row r="8392" spans="1:1">
      <c r="A8392">
        <f t="shared" si="177"/>
        <v>8390</v>
      </c>
    </row>
    <row r="8393" spans="1:1">
      <c r="A8393">
        <f t="shared" si="177"/>
        <v>8391</v>
      </c>
    </row>
    <row r="8394" spans="1:1">
      <c r="A8394">
        <f t="shared" si="177"/>
        <v>8392</v>
      </c>
    </row>
    <row r="8395" spans="1:1">
      <c r="A8395">
        <f t="shared" si="177"/>
        <v>8393</v>
      </c>
    </row>
    <row r="8396" spans="1:1">
      <c r="A8396">
        <f t="shared" si="177"/>
        <v>8394</v>
      </c>
    </row>
    <row r="8397" spans="1:1">
      <c r="A8397">
        <f t="shared" si="177"/>
        <v>8395</v>
      </c>
    </row>
    <row r="8398" spans="1:1">
      <c r="A8398">
        <f t="shared" si="177"/>
        <v>8396</v>
      </c>
    </row>
    <row r="8399" spans="1:1">
      <c r="A8399">
        <f t="shared" si="177"/>
        <v>8397</v>
      </c>
    </row>
    <row r="8400" spans="1:1">
      <c r="A8400">
        <f t="shared" si="177"/>
        <v>8398</v>
      </c>
    </row>
    <row r="8401" spans="1:1">
      <c r="A8401">
        <f t="shared" si="177"/>
        <v>8399</v>
      </c>
    </row>
    <row r="8402" spans="1:1">
      <c r="A8402">
        <f t="shared" si="177"/>
        <v>8400</v>
      </c>
    </row>
    <row r="8403" spans="1:1">
      <c r="A8403">
        <f t="shared" si="177"/>
        <v>8401</v>
      </c>
    </row>
    <row r="8404" spans="1:1">
      <c r="A8404">
        <f t="shared" si="177"/>
        <v>8402</v>
      </c>
    </row>
    <row r="8405" spans="1:1">
      <c r="A8405">
        <f t="shared" si="177"/>
        <v>8403</v>
      </c>
    </row>
    <row r="8406" spans="1:1">
      <c r="A8406">
        <f t="shared" si="177"/>
        <v>8404</v>
      </c>
    </row>
    <row r="8407" spans="1:1">
      <c r="A8407">
        <f t="shared" si="177"/>
        <v>8405</v>
      </c>
    </row>
    <row r="8408" spans="1:1">
      <c r="A8408">
        <f t="shared" si="177"/>
        <v>8406</v>
      </c>
    </row>
    <row r="8409" spans="1:1">
      <c r="A8409">
        <f t="shared" si="177"/>
        <v>8407</v>
      </c>
    </row>
    <row r="8410" spans="1:1">
      <c r="A8410">
        <f t="shared" si="177"/>
        <v>8408</v>
      </c>
    </row>
    <row r="8411" spans="1:1">
      <c r="A8411">
        <f t="shared" si="177"/>
        <v>8409</v>
      </c>
    </row>
    <row r="8412" spans="1:1">
      <c r="A8412">
        <f t="shared" si="177"/>
        <v>8410</v>
      </c>
    </row>
    <row r="8413" spans="1:1">
      <c r="A8413">
        <f t="shared" si="177"/>
        <v>8411</v>
      </c>
    </row>
    <row r="8414" spans="1:1">
      <c r="A8414">
        <f t="shared" si="177"/>
        <v>8412</v>
      </c>
    </row>
    <row r="8415" spans="1:1">
      <c r="A8415">
        <f t="shared" si="177"/>
        <v>8413</v>
      </c>
    </row>
    <row r="8416" spans="1:1">
      <c r="A8416">
        <f t="shared" si="177"/>
        <v>8414</v>
      </c>
    </row>
    <row r="8417" spans="1:1">
      <c r="A8417">
        <f t="shared" si="177"/>
        <v>8415</v>
      </c>
    </row>
    <row r="8418" spans="1:1">
      <c r="A8418">
        <f t="shared" si="177"/>
        <v>8416</v>
      </c>
    </row>
    <row r="8419" spans="1:1">
      <c r="A8419">
        <f t="shared" si="177"/>
        <v>8417</v>
      </c>
    </row>
    <row r="8420" spans="1:1">
      <c r="A8420">
        <f t="shared" ref="A8420:A8483" si="178">A8419+1</f>
        <v>8418</v>
      </c>
    </row>
    <row r="8421" spans="1:1">
      <c r="A8421">
        <f t="shared" si="178"/>
        <v>8419</v>
      </c>
    </row>
    <row r="8422" spans="1:1">
      <c r="A8422">
        <f t="shared" si="178"/>
        <v>8420</v>
      </c>
    </row>
    <row r="8423" spans="1:1">
      <c r="A8423">
        <f t="shared" si="178"/>
        <v>8421</v>
      </c>
    </row>
    <row r="8424" spans="1:1">
      <c r="A8424">
        <f t="shared" si="178"/>
        <v>8422</v>
      </c>
    </row>
    <row r="8425" spans="1:1">
      <c r="A8425">
        <f t="shared" si="178"/>
        <v>8423</v>
      </c>
    </row>
    <row r="8426" spans="1:1">
      <c r="A8426">
        <f t="shared" si="178"/>
        <v>8424</v>
      </c>
    </row>
    <row r="8427" spans="1:1">
      <c r="A8427">
        <f t="shared" si="178"/>
        <v>8425</v>
      </c>
    </row>
    <row r="8428" spans="1:1">
      <c r="A8428">
        <f t="shared" si="178"/>
        <v>8426</v>
      </c>
    </row>
    <row r="8429" spans="1:1">
      <c r="A8429">
        <f t="shared" si="178"/>
        <v>8427</v>
      </c>
    </row>
    <row r="8430" spans="1:1">
      <c r="A8430">
        <f t="shared" si="178"/>
        <v>8428</v>
      </c>
    </row>
    <row r="8431" spans="1:1">
      <c r="A8431">
        <f t="shared" si="178"/>
        <v>8429</v>
      </c>
    </row>
    <row r="8432" spans="1:1">
      <c r="A8432">
        <f t="shared" si="178"/>
        <v>8430</v>
      </c>
    </row>
    <row r="8433" spans="1:1">
      <c r="A8433">
        <f t="shared" si="178"/>
        <v>8431</v>
      </c>
    </row>
    <row r="8434" spans="1:1">
      <c r="A8434">
        <f t="shared" si="178"/>
        <v>8432</v>
      </c>
    </row>
    <row r="8435" spans="1:1">
      <c r="A8435">
        <f t="shared" si="178"/>
        <v>8433</v>
      </c>
    </row>
    <row r="8436" spans="1:1">
      <c r="A8436">
        <f t="shared" si="178"/>
        <v>8434</v>
      </c>
    </row>
    <row r="8437" spans="1:1">
      <c r="A8437">
        <f t="shared" si="178"/>
        <v>8435</v>
      </c>
    </row>
    <row r="8438" spans="1:1">
      <c r="A8438">
        <f t="shared" si="178"/>
        <v>8436</v>
      </c>
    </row>
    <row r="8439" spans="1:1">
      <c r="A8439">
        <f t="shared" si="178"/>
        <v>8437</v>
      </c>
    </row>
    <row r="8440" spans="1:1">
      <c r="A8440">
        <f t="shared" si="178"/>
        <v>8438</v>
      </c>
    </row>
    <row r="8441" spans="1:1">
      <c r="A8441">
        <f t="shared" si="178"/>
        <v>8439</v>
      </c>
    </row>
    <row r="8442" spans="1:1">
      <c r="A8442">
        <f t="shared" si="178"/>
        <v>8440</v>
      </c>
    </row>
    <row r="8443" spans="1:1">
      <c r="A8443">
        <f t="shared" si="178"/>
        <v>8441</v>
      </c>
    </row>
    <row r="8444" spans="1:1">
      <c r="A8444">
        <f t="shared" si="178"/>
        <v>8442</v>
      </c>
    </row>
    <row r="8445" spans="1:1">
      <c r="A8445">
        <f t="shared" si="178"/>
        <v>8443</v>
      </c>
    </row>
    <row r="8446" spans="1:1">
      <c r="A8446">
        <f t="shared" si="178"/>
        <v>8444</v>
      </c>
    </row>
    <row r="8447" spans="1:1">
      <c r="A8447">
        <f t="shared" si="178"/>
        <v>8445</v>
      </c>
    </row>
    <row r="8448" spans="1:1">
      <c r="A8448">
        <f t="shared" si="178"/>
        <v>8446</v>
      </c>
    </row>
    <row r="8449" spans="1:1">
      <c r="A8449">
        <f t="shared" si="178"/>
        <v>8447</v>
      </c>
    </row>
    <row r="8450" spans="1:1">
      <c r="A8450">
        <f t="shared" si="178"/>
        <v>8448</v>
      </c>
    </row>
    <row r="8451" spans="1:1">
      <c r="A8451">
        <f t="shared" si="178"/>
        <v>8449</v>
      </c>
    </row>
    <row r="8452" spans="1:1">
      <c r="A8452">
        <f t="shared" si="178"/>
        <v>8450</v>
      </c>
    </row>
    <row r="8453" spans="1:1">
      <c r="A8453">
        <f t="shared" si="178"/>
        <v>8451</v>
      </c>
    </row>
    <row r="8454" spans="1:1">
      <c r="A8454">
        <f t="shared" si="178"/>
        <v>8452</v>
      </c>
    </row>
    <row r="8455" spans="1:1">
      <c r="A8455">
        <f t="shared" si="178"/>
        <v>8453</v>
      </c>
    </row>
    <row r="8456" spans="1:1">
      <c r="A8456">
        <f t="shared" si="178"/>
        <v>8454</v>
      </c>
    </row>
    <row r="8457" spans="1:1">
      <c r="A8457">
        <f t="shared" si="178"/>
        <v>8455</v>
      </c>
    </row>
    <row r="8458" spans="1:1">
      <c r="A8458">
        <f t="shared" si="178"/>
        <v>8456</v>
      </c>
    </row>
    <row r="8459" spans="1:1">
      <c r="A8459">
        <f t="shared" si="178"/>
        <v>8457</v>
      </c>
    </row>
    <row r="8460" spans="1:1">
      <c r="A8460">
        <f t="shared" si="178"/>
        <v>8458</v>
      </c>
    </row>
    <row r="8461" spans="1:1">
      <c r="A8461">
        <f t="shared" si="178"/>
        <v>8459</v>
      </c>
    </row>
    <row r="8462" spans="1:1">
      <c r="A8462">
        <f t="shared" si="178"/>
        <v>8460</v>
      </c>
    </row>
    <row r="8463" spans="1:1">
      <c r="A8463">
        <f t="shared" si="178"/>
        <v>8461</v>
      </c>
    </row>
    <row r="8464" spans="1:1">
      <c r="A8464">
        <f t="shared" si="178"/>
        <v>8462</v>
      </c>
    </row>
    <row r="8465" spans="1:1">
      <c r="A8465">
        <f t="shared" si="178"/>
        <v>8463</v>
      </c>
    </row>
    <row r="8466" spans="1:1">
      <c r="A8466">
        <f t="shared" si="178"/>
        <v>8464</v>
      </c>
    </row>
    <row r="8467" spans="1:1">
      <c r="A8467">
        <f t="shared" si="178"/>
        <v>8465</v>
      </c>
    </row>
    <row r="8468" spans="1:1">
      <c r="A8468">
        <f t="shared" si="178"/>
        <v>8466</v>
      </c>
    </row>
    <row r="8469" spans="1:1">
      <c r="A8469">
        <f t="shared" si="178"/>
        <v>8467</v>
      </c>
    </row>
    <row r="8470" spans="1:1">
      <c r="A8470">
        <f t="shared" si="178"/>
        <v>8468</v>
      </c>
    </row>
    <row r="8471" spans="1:1">
      <c r="A8471">
        <f t="shared" si="178"/>
        <v>8469</v>
      </c>
    </row>
    <row r="8472" spans="1:1">
      <c r="A8472">
        <f t="shared" si="178"/>
        <v>8470</v>
      </c>
    </row>
    <row r="8473" spans="1:1">
      <c r="A8473">
        <f t="shared" si="178"/>
        <v>8471</v>
      </c>
    </row>
    <row r="8474" spans="1:1">
      <c r="A8474">
        <f t="shared" si="178"/>
        <v>8472</v>
      </c>
    </row>
    <row r="8475" spans="1:1">
      <c r="A8475">
        <f t="shared" si="178"/>
        <v>8473</v>
      </c>
    </row>
    <row r="8476" spans="1:1">
      <c r="A8476">
        <f t="shared" si="178"/>
        <v>8474</v>
      </c>
    </row>
    <row r="8477" spans="1:1">
      <c r="A8477">
        <f t="shared" si="178"/>
        <v>8475</v>
      </c>
    </row>
    <row r="8478" spans="1:1">
      <c r="A8478">
        <f t="shared" si="178"/>
        <v>8476</v>
      </c>
    </row>
    <row r="8479" spans="1:1">
      <c r="A8479">
        <f t="shared" si="178"/>
        <v>8477</v>
      </c>
    </row>
    <row r="8480" spans="1:1">
      <c r="A8480">
        <f t="shared" si="178"/>
        <v>8478</v>
      </c>
    </row>
    <row r="8481" spans="1:1">
      <c r="A8481">
        <f t="shared" si="178"/>
        <v>8479</v>
      </c>
    </row>
    <row r="8482" spans="1:1">
      <c r="A8482">
        <f t="shared" si="178"/>
        <v>8480</v>
      </c>
    </row>
    <row r="8483" spans="1:1">
      <c r="A8483">
        <f t="shared" si="178"/>
        <v>8481</v>
      </c>
    </row>
    <row r="8484" spans="1:1">
      <c r="A8484">
        <f t="shared" ref="A8484:A8547" si="179">A8483+1</f>
        <v>8482</v>
      </c>
    </row>
    <row r="8485" spans="1:1">
      <c r="A8485">
        <f t="shared" si="179"/>
        <v>8483</v>
      </c>
    </row>
    <row r="8486" spans="1:1">
      <c r="A8486">
        <f t="shared" si="179"/>
        <v>8484</v>
      </c>
    </row>
    <row r="8487" spans="1:1">
      <c r="A8487">
        <f t="shared" si="179"/>
        <v>8485</v>
      </c>
    </row>
    <row r="8488" spans="1:1">
      <c r="A8488">
        <f t="shared" si="179"/>
        <v>8486</v>
      </c>
    </row>
    <row r="8489" spans="1:1">
      <c r="A8489">
        <f t="shared" si="179"/>
        <v>8487</v>
      </c>
    </row>
    <row r="8490" spans="1:1">
      <c r="A8490">
        <f t="shared" si="179"/>
        <v>8488</v>
      </c>
    </row>
    <row r="8491" spans="1:1">
      <c r="A8491">
        <f t="shared" si="179"/>
        <v>8489</v>
      </c>
    </row>
    <row r="8492" spans="1:1">
      <c r="A8492">
        <f t="shared" si="179"/>
        <v>8490</v>
      </c>
    </row>
    <row r="8493" spans="1:1">
      <c r="A8493">
        <f t="shared" si="179"/>
        <v>8491</v>
      </c>
    </row>
    <row r="8494" spans="1:1">
      <c r="A8494">
        <f t="shared" si="179"/>
        <v>8492</v>
      </c>
    </row>
    <row r="8495" spans="1:1">
      <c r="A8495">
        <f t="shared" si="179"/>
        <v>8493</v>
      </c>
    </row>
    <row r="8496" spans="1:1">
      <c r="A8496">
        <f t="shared" si="179"/>
        <v>8494</v>
      </c>
    </row>
    <row r="8497" spans="1:1">
      <c r="A8497">
        <f t="shared" si="179"/>
        <v>8495</v>
      </c>
    </row>
    <row r="8498" spans="1:1">
      <c r="A8498">
        <f t="shared" si="179"/>
        <v>8496</v>
      </c>
    </row>
    <row r="8499" spans="1:1">
      <c r="A8499">
        <f t="shared" si="179"/>
        <v>8497</v>
      </c>
    </row>
    <row r="8500" spans="1:1">
      <c r="A8500">
        <f t="shared" si="179"/>
        <v>8498</v>
      </c>
    </row>
    <row r="8501" spans="1:1">
      <c r="A8501">
        <f t="shared" si="179"/>
        <v>8499</v>
      </c>
    </row>
    <row r="8502" spans="1:1">
      <c r="A8502">
        <f t="shared" si="179"/>
        <v>8500</v>
      </c>
    </row>
    <row r="8503" spans="1:1">
      <c r="A8503">
        <f t="shared" si="179"/>
        <v>8501</v>
      </c>
    </row>
    <row r="8504" spans="1:1">
      <c r="A8504">
        <f t="shared" si="179"/>
        <v>8502</v>
      </c>
    </row>
    <row r="8505" spans="1:1">
      <c r="A8505">
        <f t="shared" si="179"/>
        <v>8503</v>
      </c>
    </row>
    <row r="8506" spans="1:1">
      <c r="A8506">
        <f t="shared" si="179"/>
        <v>8504</v>
      </c>
    </row>
    <row r="8507" spans="1:1">
      <c r="A8507">
        <f t="shared" si="179"/>
        <v>8505</v>
      </c>
    </row>
    <row r="8508" spans="1:1">
      <c r="A8508">
        <f t="shared" si="179"/>
        <v>8506</v>
      </c>
    </row>
    <row r="8509" spans="1:1">
      <c r="A8509">
        <f t="shared" si="179"/>
        <v>8507</v>
      </c>
    </row>
    <row r="8510" spans="1:1">
      <c r="A8510">
        <f t="shared" si="179"/>
        <v>8508</v>
      </c>
    </row>
    <row r="8511" spans="1:1">
      <c r="A8511">
        <f t="shared" si="179"/>
        <v>8509</v>
      </c>
    </row>
    <row r="8512" spans="1:1">
      <c r="A8512">
        <f t="shared" si="179"/>
        <v>8510</v>
      </c>
    </row>
    <row r="8513" spans="1:1">
      <c r="A8513">
        <f t="shared" si="179"/>
        <v>8511</v>
      </c>
    </row>
    <row r="8514" spans="1:1">
      <c r="A8514">
        <f t="shared" si="179"/>
        <v>8512</v>
      </c>
    </row>
    <row r="8515" spans="1:1">
      <c r="A8515">
        <f t="shared" si="179"/>
        <v>8513</v>
      </c>
    </row>
    <row r="8516" spans="1:1">
      <c r="A8516">
        <f t="shared" si="179"/>
        <v>8514</v>
      </c>
    </row>
    <row r="8517" spans="1:1">
      <c r="A8517">
        <f t="shared" si="179"/>
        <v>8515</v>
      </c>
    </row>
    <row r="8518" spans="1:1">
      <c r="A8518">
        <f t="shared" si="179"/>
        <v>8516</v>
      </c>
    </row>
    <row r="8519" spans="1:1">
      <c r="A8519">
        <f t="shared" si="179"/>
        <v>8517</v>
      </c>
    </row>
    <row r="8520" spans="1:1">
      <c r="A8520">
        <f t="shared" si="179"/>
        <v>8518</v>
      </c>
    </row>
    <row r="8521" spans="1:1">
      <c r="A8521">
        <f t="shared" si="179"/>
        <v>8519</v>
      </c>
    </row>
    <row r="8522" spans="1:1">
      <c r="A8522">
        <f t="shared" si="179"/>
        <v>8520</v>
      </c>
    </row>
    <row r="8523" spans="1:1">
      <c r="A8523">
        <f t="shared" si="179"/>
        <v>8521</v>
      </c>
    </row>
    <row r="8524" spans="1:1">
      <c r="A8524">
        <f t="shared" si="179"/>
        <v>8522</v>
      </c>
    </row>
    <row r="8525" spans="1:1">
      <c r="A8525">
        <f t="shared" si="179"/>
        <v>8523</v>
      </c>
    </row>
    <row r="8526" spans="1:1">
      <c r="A8526">
        <f t="shared" si="179"/>
        <v>8524</v>
      </c>
    </row>
    <row r="8527" spans="1:1">
      <c r="A8527">
        <f t="shared" si="179"/>
        <v>8525</v>
      </c>
    </row>
    <row r="8528" spans="1:1">
      <c r="A8528">
        <f t="shared" si="179"/>
        <v>8526</v>
      </c>
    </row>
    <row r="8529" spans="1:1">
      <c r="A8529">
        <f t="shared" si="179"/>
        <v>8527</v>
      </c>
    </row>
    <row r="8530" spans="1:1">
      <c r="A8530">
        <f t="shared" si="179"/>
        <v>8528</v>
      </c>
    </row>
    <row r="8531" spans="1:1">
      <c r="A8531">
        <f t="shared" si="179"/>
        <v>8529</v>
      </c>
    </row>
    <row r="8532" spans="1:1">
      <c r="A8532">
        <f t="shared" si="179"/>
        <v>8530</v>
      </c>
    </row>
    <row r="8533" spans="1:1">
      <c r="A8533">
        <f t="shared" si="179"/>
        <v>8531</v>
      </c>
    </row>
    <row r="8534" spans="1:1">
      <c r="A8534">
        <f t="shared" si="179"/>
        <v>8532</v>
      </c>
    </row>
    <row r="8535" spans="1:1">
      <c r="A8535">
        <f t="shared" si="179"/>
        <v>8533</v>
      </c>
    </row>
    <row r="8536" spans="1:1">
      <c r="A8536">
        <f t="shared" si="179"/>
        <v>8534</v>
      </c>
    </row>
    <row r="8537" spans="1:1">
      <c r="A8537">
        <f t="shared" si="179"/>
        <v>8535</v>
      </c>
    </row>
    <row r="8538" spans="1:1">
      <c r="A8538">
        <f t="shared" si="179"/>
        <v>8536</v>
      </c>
    </row>
    <row r="8539" spans="1:1">
      <c r="A8539">
        <f t="shared" si="179"/>
        <v>8537</v>
      </c>
    </row>
    <row r="8540" spans="1:1">
      <c r="A8540">
        <f t="shared" si="179"/>
        <v>8538</v>
      </c>
    </row>
    <row r="8541" spans="1:1">
      <c r="A8541">
        <f t="shared" si="179"/>
        <v>8539</v>
      </c>
    </row>
    <row r="8542" spans="1:1">
      <c r="A8542">
        <f t="shared" si="179"/>
        <v>8540</v>
      </c>
    </row>
    <row r="8543" spans="1:1">
      <c r="A8543">
        <f t="shared" si="179"/>
        <v>8541</v>
      </c>
    </row>
    <row r="8544" spans="1:1">
      <c r="A8544">
        <f t="shared" si="179"/>
        <v>8542</v>
      </c>
    </row>
    <row r="8545" spans="1:1">
      <c r="A8545">
        <f t="shared" si="179"/>
        <v>8543</v>
      </c>
    </row>
    <row r="8546" spans="1:1">
      <c r="A8546">
        <f t="shared" si="179"/>
        <v>8544</v>
      </c>
    </row>
    <row r="8547" spans="1:1">
      <c r="A8547">
        <f t="shared" si="179"/>
        <v>8545</v>
      </c>
    </row>
    <row r="8548" spans="1:1">
      <c r="A8548">
        <f t="shared" ref="A8548:A8611" si="180">A8547+1</f>
        <v>8546</v>
      </c>
    </row>
    <row r="8549" spans="1:1">
      <c r="A8549">
        <f t="shared" si="180"/>
        <v>8547</v>
      </c>
    </row>
    <row r="8550" spans="1:1">
      <c r="A8550">
        <f t="shared" si="180"/>
        <v>8548</v>
      </c>
    </row>
    <row r="8551" spans="1:1">
      <c r="A8551">
        <f t="shared" si="180"/>
        <v>8549</v>
      </c>
    </row>
    <row r="8552" spans="1:1">
      <c r="A8552">
        <f t="shared" si="180"/>
        <v>8550</v>
      </c>
    </row>
    <row r="8553" spans="1:1">
      <c r="A8553">
        <f t="shared" si="180"/>
        <v>8551</v>
      </c>
    </row>
    <row r="8554" spans="1:1">
      <c r="A8554">
        <f t="shared" si="180"/>
        <v>8552</v>
      </c>
    </row>
    <row r="8555" spans="1:1">
      <c r="A8555">
        <f t="shared" si="180"/>
        <v>8553</v>
      </c>
    </row>
    <row r="8556" spans="1:1">
      <c r="A8556">
        <f t="shared" si="180"/>
        <v>8554</v>
      </c>
    </row>
    <row r="8557" spans="1:1">
      <c r="A8557">
        <f t="shared" si="180"/>
        <v>8555</v>
      </c>
    </row>
    <row r="8558" spans="1:1">
      <c r="A8558">
        <f t="shared" si="180"/>
        <v>8556</v>
      </c>
    </row>
    <row r="8559" spans="1:1">
      <c r="A8559">
        <f t="shared" si="180"/>
        <v>8557</v>
      </c>
    </row>
    <row r="8560" spans="1:1">
      <c r="A8560">
        <f t="shared" si="180"/>
        <v>8558</v>
      </c>
    </row>
    <row r="8561" spans="1:1">
      <c r="A8561">
        <f t="shared" si="180"/>
        <v>8559</v>
      </c>
    </row>
    <row r="8562" spans="1:1">
      <c r="A8562">
        <f t="shared" si="180"/>
        <v>8560</v>
      </c>
    </row>
    <row r="8563" spans="1:1">
      <c r="A8563">
        <f t="shared" si="180"/>
        <v>8561</v>
      </c>
    </row>
    <row r="8564" spans="1:1">
      <c r="A8564">
        <f t="shared" si="180"/>
        <v>8562</v>
      </c>
    </row>
    <row r="8565" spans="1:1">
      <c r="A8565">
        <f t="shared" si="180"/>
        <v>8563</v>
      </c>
    </row>
    <row r="8566" spans="1:1">
      <c r="A8566">
        <f t="shared" si="180"/>
        <v>8564</v>
      </c>
    </row>
    <row r="8567" spans="1:1">
      <c r="A8567">
        <f t="shared" si="180"/>
        <v>8565</v>
      </c>
    </row>
    <row r="8568" spans="1:1">
      <c r="A8568">
        <f t="shared" si="180"/>
        <v>8566</v>
      </c>
    </row>
    <row r="8569" spans="1:1">
      <c r="A8569">
        <f t="shared" si="180"/>
        <v>8567</v>
      </c>
    </row>
    <row r="8570" spans="1:1">
      <c r="A8570">
        <f t="shared" si="180"/>
        <v>8568</v>
      </c>
    </row>
    <row r="8571" spans="1:1">
      <c r="A8571">
        <f t="shared" si="180"/>
        <v>8569</v>
      </c>
    </row>
    <row r="8572" spans="1:1">
      <c r="A8572">
        <f t="shared" si="180"/>
        <v>8570</v>
      </c>
    </row>
    <row r="8573" spans="1:1">
      <c r="A8573">
        <f t="shared" si="180"/>
        <v>8571</v>
      </c>
    </row>
    <row r="8574" spans="1:1">
      <c r="A8574">
        <f t="shared" si="180"/>
        <v>8572</v>
      </c>
    </row>
    <row r="8575" spans="1:1">
      <c r="A8575">
        <f t="shared" si="180"/>
        <v>8573</v>
      </c>
    </row>
    <row r="8576" spans="1:1">
      <c r="A8576">
        <f t="shared" si="180"/>
        <v>8574</v>
      </c>
    </row>
    <row r="8577" spans="1:1">
      <c r="A8577">
        <f t="shared" si="180"/>
        <v>8575</v>
      </c>
    </row>
    <row r="8578" spans="1:1">
      <c r="A8578">
        <f t="shared" si="180"/>
        <v>8576</v>
      </c>
    </row>
    <row r="8579" spans="1:1">
      <c r="A8579">
        <f t="shared" si="180"/>
        <v>8577</v>
      </c>
    </row>
    <row r="8580" spans="1:1">
      <c r="A8580">
        <f t="shared" si="180"/>
        <v>8578</v>
      </c>
    </row>
    <row r="8581" spans="1:1">
      <c r="A8581">
        <f t="shared" si="180"/>
        <v>8579</v>
      </c>
    </row>
    <row r="8582" spans="1:1">
      <c r="A8582">
        <f t="shared" si="180"/>
        <v>8580</v>
      </c>
    </row>
    <row r="8583" spans="1:1">
      <c r="A8583">
        <f t="shared" si="180"/>
        <v>8581</v>
      </c>
    </row>
    <row r="8584" spans="1:1">
      <c r="A8584">
        <f t="shared" si="180"/>
        <v>8582</v>
      </c>
    </row>
    <row r="8585" spans="1:1">
      <c r="A8585">
        <f t="shared" si="180"/>
        <v>8583</v>
      </c>
    </row>
    <row r="8586" spans="1:1">
      <c r="A8586">
        <f t="shared" si="180"/>
        <v>8584</v>
      </c>
    </row>
    <row r="8587" spans="1:1">
      <c r="A8587">
        <f t="shared" si="180"/>
        <v>8585</v>
      </c>
    </row>
    <row r="8588" spans="1:1">
      <c r="A8588">
        <f t="shared" si="180"/>
        <v>8586</v>
      </c>
    </row>
    <row r="8589" spans="1:1">
      <c r="A8589">
        <f t="shared" si="180"/>
        <v>8587</v>
      </c>
    </row>
    <row r="8590" spans="1:1">
      <c r="A8590">
        <f t="shared" si="180"/>
        <v>8588</v>
      </c>
    </row>
    <row r="8591" spans="1:1">
      <c r="A8591">
        <f t="shared" si="180"/>
        <v>8589</v>
      </c>
    </row>
    <row r="8592" spans="1:1">
      <c r="A8592">
        <f t="shared" si="180"/>
        <v>8590</v>
      </c>
    </row>
    <row r="8593" spans="1:1">
      <c r="A8593">
        <f t="shared" si="180"/>
        <v>8591</v>
      </c>
    </row>
    <row r="8594" spans="1:1">
      <c r="A8594">
        <f t="shared" si="180"/>
        <v>8592</v>
      </c>
    </row>
    <row r="8595" spans="1:1">
      <c r="A8595">
        <f t="shared" si="180"/>
        <v>8593</v>
      </c>
    </row>
    <row r="8596" spans="1:1">
      <c r="A8596">
        <f t="shared" si="180"/>
        <v>8594</v>
      </c>
    </row>
    <row r="8597" spans="1:1">
      <c r="A8597">
        <f t="shared" si="180"/>
        <v>8595</v>
      </c>
    </row>
    <row r="8598" spans="1:1">
      <c r="A8598">
        <f t="shared" si="180"/>
        <v>8596</v>
      </c>
    </row>
    <row r="8599" spans="1:1">
      <c r="A8599">
        <f t="shared" si="180"/>
        <v>8597</v>
      </c>
    </row>
    <row r="8600" spans="1:1">
      <c r="A8600">
        <f t="shared" si="180"/>
        <v>8598</v>
      </c>
    </row>
    <row r="8601" spans="1:1">
      <c r="A8601">
        <f t="shared" si="180"/>
        <v>8599</v>
      </c>
    </row>
    <row r="8602" spans="1:1">
      <c r="A8602">
        <f t="shared" si="180"/>
        <v>8600</v>
      </c>
    </row>
    <row r="8603" spans="1:1">
      <c r="A8603">
        <f t="shared" si="180"/>
        <v>8601</v>
      </c>
    </row>
    <row r="8604" spans="1:1">
      <c r="A8604">
        <f t="shared" si="180"/>
        <v>8602</v>
      </c>
    </row>
    <row r="8605" spans="1:1">
      <c r="A8605">
        <f t="shared" si="180"/>
        <v>8603</v>
      </c>
    </row>
    <row r="8606" spans="1:1">
      <c r="A8606">
        <f t="shared" si="180"/>
        <v>8604</v>
      </c>
    </row>
    <row r="8607" spans="1:1">
      <c r="A8607">
        <f t="shared" si="180"/>
        <v>8605</v>
      </c>
    </row>
    <row r="8608" spans="1:1">
      <c r="A8608">
        <f t="shared" si="180"/>
        <v>8606</v>
      </c>
    </row>
    <row r="8609" spans="1:1">
      <c r="A8609">
        <f t="shared" si="180"/>
        <v>8607</v>
      </c>
    </row>
    <row r="8610" spans="1:1">
      <c r="A8610">
        <f t="shared" si="180"/>
        <v>8608</v>
      </c>
    </row>
    <row r="8611" spans="1:1">
      <c r="A8611">
        <f t="shared" si="180"/>
        <v>8609</v>
      </c>
    </row>
    <row r="8612" spans="1:1">
      <c r="A8612">
        <f t="shared" ref="A8612:A8675" si="181">A8611+1</f>
        <v>8610</v>
      </c>
    </row>
    <row r="8613" spans="1:1">
      <c r="A8613">
        <f t="shared" si="181"/>
        <v>8611</v>
      </c>
    </row>
    <row r="8614" spans="1:1">
      <c r="A8614">
        <f t="shared" si="181"/>
        <v>8612</v>
      </c>
    </row>
    <row r="8615" spans="1:1">
      <c r="A8615">
        <f t="shared" si="181"/>
        <v>8613</v>
      </c>
    </row>
    <row r="8616" spans="1:1">
      <c r="A8616">
        <f t="shared" si="181"/>
        <v>8614</v>
      </c>
    </row>
    <row r="8617" spans="1:1">
      <c r="A8617">
        <f t="shared" si="181"/>
        <v>8615</v>
      </c>
    </row>
    <row r="8618" spans="1:1">
      <c r="A8618">
        <f t="shared" si="181"/>
        <v>8616</v>
      </c>
    </row>
    <row r="8619" spans="1:1">
      <c r="A8619">
        <f t="shared" si="181"/>
        <v>8617</v>
      </c>
    </row>
    <row r="8620" spans="1:1">
      <c r="A8620">
        <f t="shared" si="181"/>
        <v>8618</v>
      </c>
    </row>
    <row r="8621" spans="1:1">
      <c r="A8621">
        <f t="shared" si="181"/>
        <v>8619</v>
      </c>
    </row>
    <row r="8622" spans="1:1">
      <c r="A8622">
        <f t="shared" si="181"/>
        <v>8620</v>
      </c>
    </row>
    <row r="8623" spans="1:1">
      <c r="A8623">
        <f t="shared" si="181"/>
        <v>8621</v>
      </c>
    </row>
    <row r="8624" spans="1:1">
      <c r="A8624">
        <f t="shared" si="181"/>
        <v>8622</v>
      </c>
    </row>
    <row r="8625" spans="1:1">
      <c r="A8625">
        <f t="shared" si="181"/>
        <v>8623</v>
      </c>
    </row>
    <row r="8626" spans="1:1">
      <c r="A8626">
        <f t="shared" si="181"/>
        <v>8624</v>
      </c>
    </row>
    <row r="8627" spans="1:1">
      <c r="A8627">
        <f t="shared" si="181"/>
        <v>8625</v>
      </c>
    </row>
    <row r="8628" spans="1:1">
      <c r="A8628">
        <f t="shared" si="181"/>
        <v>8626</v>
      </c>
    </row>
    <row r="8629" spans="1:1">
      <c r="A8629">
        <f t="shared" si="181"/>
        <v>8627</v>
      </c>
    </row>
    <row r="8630" spans="1:1">
      <c r="A8630">
        <f t="shared" si="181"/>
        <v>8628</v>
      </c>
    </row>
    <row r="8631" spans="1:1">
      <c r="A8631">
        <f t="shared" si="181"/>
        <v>8629</v>
      </c>
    </row>
    <row r="8632" spans="1:1">
      <c r="A8632">
        <f t="shared" si="181"/>
        <v>8630</v>
      </c>
    </row>
    <row r="8633" spans="1:1">
      <c r="A8633">
        <f t="shared" si="181"/>
        <v>8631</v>
      </c>
    </row>
    <row r="8634" spans="1:1">
      <c r="A8634">
        <f t="shared" si="181"/>
        <v>8632</v>
      </c>
    </row>
    <row r="8635" spans="1:1">
      <c r="A8635">
        <f t="shared" si="181"/>
        <v>8633</v>
      </c>
    </row>
    <row r="8636" spans="1:1">
      <c r="A8636">
        <f t="shared" si="181"/>
        <v>8634</v>
      </c>
    </row>
    <row r="8637" spans="1:1">
      <c r="A8637">
        <f t="shared" si="181"/>
        <v>8635</v>
      </c>
    </row>
    <row r="8638" spans="1:1">
      <c r="A8638">
        <f t="shared" si="181"/>
        <v>8636</v>
      </c>
    </row>
    <row r="8639" spans="1:1">
      <c r="A8639">
        <f t="shared" si="181"/>
        <v>8637</v>
      </c>
    </row>
    <row r="8640" spans="1:1">
      <c r="A8640">
        <f t="shared" si="181"/>
        <v>8638</v>
      </c>
    </row>
    <row r="8641" spans="1:1">
      <c r="A8641">
        <f t="shared" si="181"/>
        <v>8639</v>
      </c>
    </row>
    <row r="8642" spans="1:1">
      <c r="A8642">
        <f t="shared" si="181"/>
        <v>8640</v>
      </c>
    </row>
    <row r="8643" spans="1:1">
      <c r="A8643">
        <f t="shared" si="181"/>
        <v>8641</v>
      </c>
    </row>
    <row r="8644" spans="1:1">
      <c r="A8644">
        <f t="shared" si="181"/>
        <v>8642</v>
      </c>
    </row>
    <row r="8645" spans="1:1">
      <c r="A8645">
        <f t="shared" si="181"/>
        <v>8643</v>
      </c>
    </row>
    <row r="8646" spans="1:1">
      <c r="A8646">
        <f t="shared" si="181"/>
        <v>8644</v>
      </c>
    </row>
    <row r="8647" spans="1:1">
      <c r="A8647">
        <f t="shared" si="181"/>
        <v>8645</v>
      </c>
    </row>
    <row r="8648" spans="1:1">
      <c r="A8648">
        <f t="shared" si="181"/>
        <v>8646</v>
      </c>
    </row>
    <row r="8649" spans="1:1">
      <c r="A8649">
        <f t="shared" si="181"/>
        <v>8647</v>
      </c>
    </row>
    <row r="8650" spans="1:1">
      <c r="A8650">
        <f t="shared" si="181"/>
        <v>8648</v>
      </c>
    </row>
    <row r="8651" spans="1:1">
      <c r="A8651">
        <f t="shared" si="181"/>
        <v>8649</v>
      </c>
    </row>
    <row r="8652" spans="1:1">
      <c r="A8652">
        <f t="shared" si="181"/>
        <v>8650</v>
      </c>
    </row>
    <row r="8653" spans="1:1">
      <c r="A8653">
        <f t="shared" si="181"/>
        <v>8651</v>
      </c>
    </row>
    <row r="8654" spans="1:1">
      <c r="A8654">
        <f t="shared" si="181"/>
        <v>8652</v>
      </c>
    </row>
    <row r="8655" spans="1:1">
      <c r="A8655">
        <f t="shared" si="181"/>
        <v>8653</v>
      </c>
    </row>
    <row r="8656" spans="1:1">
      <c r="A8656">
        <f t="shared" si="181"/>
        <v>8654</v>
      </c>
    </row>
    <row r="8657" spans="1:1">
      <c r="A8657">
        <f t="shared" si="181"/>
        <v>8655</v>
      </c>
    </row>
    <row r="8658" spans="1:1">
      <c r="A8658">
        <f t="shared" si="181"/>
        <v>8656</v>
      </c>
    </row>
    <row r="8659" spans="1:1">
      <c r="A8659">
        <f t="shared" si="181"/>
        <v>8657</v>
      </c>
    </row>
    <row r="8660" spans="1:1">
      <c r="A8660">
        <f t="shared" si="181"/>
        <v>8658</v>
      </c>
    </row>
    <row r="8661" spans="1:1">
      <c r="A8661">
        <f t="shared" si="181"/>
        <v>8659</v>
      </c>
    </row>
    <row r="8662" spans="1:1">
      <c r="A8662">
        <f t="shared" si="181"/>
        <v>8660</v>
      </c>
    </row>
    <row r="8663" spans="1:1">
      <c r="A8663">
        <f t="shared" si="181"/>
        <v>8661</v>
      </c>
    </row>
    <row r="8664" spans="1:1">
      <c r="A8664">
        <f t="shared" si="181"/>
        <v>8662</v>
      </c>
    </row>
    <row r="8665" spans="1:1">
      <c r="A8665">
        <f t="shared" si="181"/>
        <v>8663</v>
      </c>
    </row>
    <row r="8666" spans="1:1">
      <c r="A8666">
        <f t="shared" si="181"/>
        <v>8664</v>
      </c>
    </row>
    <row r="8667" spans="1:1">
      <c r="A8667">
        <f t="shared" si="181"/>
        <v>8665</v>
      </c>
    </row>
    <row r="8668" spans="1:1">
      <c r="A8668">
        <f t="shared" si="181"/>
        <v>8666</v>
      </c>
    </row>
    <row r="8669" spans="1:1">
      <c r="A8669">
        <f t="shared" si="181"/>
        <v>8667</v>
      </c>
    </row>
    <row r="8670" spans="1:1">
      <c r="A8670">
        <f t="shared" si="181"/>
        <v>8668</v>
      </c>
    </row>
    <row r="8671" spans="1:1">
      <c r="A8671">
        <f t="shared" si="181"/>
        <v>8669</v>
      </c>
    </row>
    <row r="8672" spans="1:1">
      <c r="A8672">
        <f t="shared" si="181"/>
        <v>8670</v>
      </c>
    </row>
    <row r="8673" spans="1:1">
      <c r="A8673">
        <f t="shared" si="181"/>
        <v>8671</v>
      </c>
    </row>
    <row r="8674" spans="1:1">
      <c r="A8674">
        <f t="shared" si="181"/>
        <v>8672</v>
      </c>
    </row>
    <row r="8675" spans="1:1">
      <c r="A8675">
        <f t="shared" si="181"/>
        <v>8673</v>
      </c>
    </row>
    <row r="8676" spans="1:1">
      <c r="A8676">
        <f t="shared" ref="A8676:A8739" si="182">A8675+1</f>
        <v>8674</v>
      </c>
    </row>
    <row r="8677" spans="1:1">
      <c r="A8677">
        <f t="shared" si="182"/>
        <v>8675</v>
      </c>
    </row>
    <row r="8678" spans="1:1">
      <c r="A8678">
        <f t="shared" si="182"/>
        <v>8676</v>
      </c>
    </row>
    <row r="8679" spans="1:1">
      <c r="A8679">
        <f t="shared" si="182"/>
        <v>8677</v>
      </c>
    </row>
    <row r="8680" spans="1:1">
      <c r="A8680">
        <f t="shared" si="182"/>
        <v>8678</v>
      </c>
    </row>
    <row r="8681" spans="1:1">
      <c r="A8681">
        <f t="shared" si="182"/>
        <v>8679</v>
      </c>
    </row>
    <row r="8682" spans="1:1">
      <c r="A8682">
        <f t="shared" si="182"/>
        <v>8680</v>
      </c>
    </row>
    <row r="8683" spans="1:1">
      <c r="A8683">
        <f t="shared" si="182"/>
        <v>8681</v>
      </c>
    </row>
    <row r="8684" spans="1:1">
      <c r="A8684">
        <f t="shared" si="182"/>
        <v>8682</v>
      </c>
    </row>
    <row r="8685" spans="1:1">
      <c r="A8685">
        <f t="shared" si="182"/>
        <v>8683</v>
      </c>
    </row>
    <row r="8686" spans="1:1">
      <c r="A8686">
        <f t="shared" si="182"/>
        <v>8684</v>
      </c>
    </row>
    <row r="8687" spans="1:1">
      <c r="A8687">
        <f t="shared" si="182"/>
        <v>8685</v>
      </c>
    </row>
    <row r="8688" spans="1:1">
      <c r="A8688">
        <f t="shared" si="182"/>
        <v>8686</v>
      </c>
    </row>
    <row r="8689" spans="1:1">
      <c r="A8689">
        <f t="shared" si="182"/>
        <v>8687</v>
      </c>
    </row>
    <row r="8690" spans="1:1">
      <c r="A8690">
        <f t="shared" si="182"/>
        <v>8688</v>
      </c>
    </row>
    <row r="8691" spans="1:1">
      <c r="A8691">
        <f t="shared" si="182"/>
        <v>8689</v>
      </c>
    </row>
    <row r="8692" spans="1:1">
      <c r="A8692">
        <f t="shared" si="182"/>
        <v>8690</v>
      </c>
    </row>
    <row r="8693" spans="1:1">
      <c r="A8693">
        <f t="shared" si="182"/>
        <v>8691</v>
      </c>
    </row>
    <row r="8694" spans="1:1">
      <c r="A8694">
        <f t="shared" si="182"/>
        <v>8692</v>
      </c>
    </row>
    <row r="8695" spans="1:1">
      <c r="A8695">
        <f t="shared" si="182"/>
        <v>8693</v>
      </c>
    </row>
    <row r="8696" spans="1:1">
      <c r="A8696">
        <f t="shared" si="182"/>
        <v>8694</v>
      </c>
    </row>
    <row r="8697" spans="1:1">
      <c r="A8697">
        <f t="shared" si="182"/>
        <v>8695</v>
      </c>
    </row>
    <row r="8698" spans="1:1">
      <c r="A8698">
        <f t="shared" si="182"/>
        <v>8696</v>
      </c>
    </row>
    <row r="8699" spans="1:1">
      <c r="A8699">
        <f t="shared" si="182"/>
        <v>8697</v>
      </c>
    </row>
    <row r="8700" spans="1:1">
      <c r="A8700">
        <f t="shared" si="182"/>
        <v>8698</v>
      </c>
    </row>
    <row r="8701" spans="1:1">
      <c r="A8701">
        <f t="shared" si="182"/>
        <v>8699</v>
      </c>
    </row>
    <row r="8702" spans="1:1">
      <c r="A8702">
        <f t="shared" si="182"/>
        <v>8700</v>
      </c>
    </row>
    <row r="8703" spans="1:1">
      <c r="A8703">
        <f t="shared" si="182"/>
        <v>8701</v>
      </c>
    </row>
    <row r="8704" spans="1:1">
      <c r="A8704">
        <f t="shared" si="182"/>
        <v>8702</v>
      </c>
    </row>
    <row r="8705" spans="1:1">
      <c r="A8705">
        <f t="shared" si="182"/>
        <v>8703</v>
      </c>
    </row>
    <row r="8706" spans="1:1">
      <c r="A8706">
        <f t="shared" si="182"/>
        <v>8704</v>
      </c>
    </row>
    <row r="8707" spans="1:1">
      <c r="A8707">
        <f t="shared" si="182"/>
        <v>8705</v>
      </c>
    </row>
    <row r="8708" spans="1:1">
      <c r="A8708">
        <f t="shared" si="182"/>
        <v>8706</v>
      </c>
    </row>
    <row r="8709" spans="1:1">
      <c r="A8709">
        <f t="shared" si="182"/>
        <v>8707</v>
      </c>
    </row>
    <row r="8710" spans="1:1">
      <c r="A8710">
        <f t="shared" si="182"/>
        <v>8708</v>
      </c>
    </row>
    <row r="8711" spans="1:1">
      <c r="A8711">
        <f t="shared" si="182"/>
        <v>8709</v>
      </c>
    </row>
    <row r="8712" spans="1:1">
      <c r="A8712">
        <f t="shared" si="182"/>
        <v>8710</v>
      </c>
    </row>
    <row r="8713" spans="1:1">
      <c r="A8713">
        <f t="shared" si="182"/>
        <v>8711</v>
      </c>
    </row>
    <row r="8714" spans="1:1">
      <c r="A8714">
        <f t="shared" si="182"/>
        <v>8712</v>
      </c>
    </row>
    <row r="8715" spans="1:1">
      <c r="A8715">
        <f t="shared" si="182"/>
        <v>8713</v>
      </c>
    </row>
    <row r="8716" spans="1:1">
      <c r="A8716">
        <f t="shared" si="182"/>
        <v>8714</v>
      </c>
    </row>
    <row r="8717" spans="1:1">
      <c r="A8717">
        <f t="shared" si="182"/>
        <v>8715</v>
      </c>
    </row>
    <row r="8718" spans="1:1">
      <c r="A8718">
        <f t="shared" si="182"/>
        <v>8716</v>
      </c>
    </row>
    <row r="8719" spans="1:1">
      <c r="A8719">
        <f t="shared" si="182"/>
        <v>8717</v>
      </c>
    </row>
    <row r="8720" spans="1:1">
      <c r="A8720">
        <f t="shared" si="182"/>
        <v>8718</v>
      </c>
    </row>
    <row r="8721" spans="1:1">
      <c r="A8721">
        <f t="shared" si="182"/>
        <v>8719</v>
      </c>
    </row>
    <row r="8722" spans="1:1">
      <c r="A8722">
        <f t="shared" si="182"/>
        <v>8720</v>
      </c>
    </row>
    <row r="8723" spans="1:1">
      <c r="A8723">
        <f t="shared" si="182"/>
        <v>8721</v>
      </c>
    </row>
    <row r="8724" spans="1:1">
      <c r="A8724">
        <f t="shared" si="182"/>
        <v>8722</v>
      </c>
    </row>
    <row r="8725" spans="1:1">
      <c r="A8725">
        <f t="shared" si="182"/>
        <v>8723</v>
      </c>
    </row>
    <row r="8726" spans="1:1">
      <c r="A8726">
        <f t="shared" si="182"/>
        <v>8724</v>
      </c>
    </row>
    <row r="8727" spans="1:1">
      <c r="A8727">
        <f t="shared" si="182"/>
        <v>8725</v>
      </c>
    </row>
    <row r="8728" spans="1:1">
      <c r="A8728">
        <f t="shared" si="182"/>
        <v>8726</v>
      </c>
    </row>
    <row r="8729" spans="1:1">
      <c r="A8729">
        <f t="shared" si="182"/>
        <v>8727</v>
      </c>
    </row>
    <row r="8730" spans="1:1">
      <c r="A8730">
        <f t="shared" si="182"/>
        <v>8728</v>
      </c>
    </row>
    <row r="8731" spans="1:1">
      <c r="A8731">
        <f t="shared" si="182"/>
        <v>8729</v>
      </c>
    </row>
    <row r="8732" spans="1:1">
      <c r="A8732">
        <f t="shared" si="182"/>
        <v>8730</v>
      </c>
    </row>
    <row r="8733" spans="1:1">
      <c r="A8733">
        <f t="shared" si="182"/>
        <v>8731</v>
      </c>
    </row>
    <row r="8734" spans="1:1">
      <c r="A8734">
        <f t="shared" si="182"/>
        <v>8732</v>
      </c>
    </row>
    <row r="8735" spans="1:1">
      <c r="A8735">
        <f t="shared" si="182"/>
        <v>8733</v>
      </c>
    </row>
    <row r="8736" spans="1:1">
      <c r="A8736">
        <f t="shared" si="182"/>
        <v>8734</v>
      </c>
    </row>
    <row r="8737" spans="1:1">
      <c r="A8737">
        <f t="shared" si="182"/>
        <v>8735</v>
      </c>
    </row>
    <row r="8738" spans="1:1">
      <c r="A8738">
        <f t="shared" si="182"/>
        <v>8736</v>
      </c>
    </row>
    <row r="8739" spans="1:1">
      <c r="A8739">
        <f t="shared" si="182"/>
        <v>8737</v>
      </c>
    </row>
    <row r="8740" spans="1:1">
      <c r="A8740">
        <f t="shared" ref="A8740:A8803" si="183">A8739+1</f>
        <v>8738</v>
      </c>
    </row>
    <row r="8741" spans="1:1">
      <c r="A8741">
        <f t="shared" si="183"/>
        <v>8739</v>
      </c>
    </row>
    <row r="8742" spans="1:1">
      <c r="A8742">
        <f t="shared" si="183"/>
        <v>8740</v>
      </c>
    </row>
    <row r="8743" spans="1:1">
      <c r="A8743">
        <f t="shared" si="183"/>
        <v>8741</v>
      </c>
    </row>
    <row r="8744" spans="1:1">
      <c r="A8744">
        <f t="shared" si="183"/>
        <v>8742</v>
      </c>
    </row>
    <row r="8745" spans="1:1">
      <c r="A8745">
        <f t="shared" si="183"/>
        <v>8743</v>
      </c>
    </row>
    <row r="8746" spans="1:1">
      <c r="A8746">
        <f t="shared" si="183"/>
        <v>8744</v>
      </c>
    </row>
    <row r="8747" spans="1:1">
      <c r="A8747">
        <f t="shared" si="183"/>
        <v>8745</v>
      </c>
    </row>
    <row r="8748" spans="1:1">
      <c r="A8748">
        <f t="shared" si="183"/>
        <v>8746</v>
      </c>
    </row>
    <row r="8749" spans="1:1">
      <c r="A8749">
        <f t="shared" si="183"/>
        <v>8747</v>
      </c>
    </row>
    <row r="8750" spans="1:1">
      <c r="A8750">
        <f t="shared" si="183"/>
        <v>8748</v>
      </c>
    </row>
    <row r="8751" spans="1:1">
      <c r="A8751">
        <f t="shared" si="183"/>
        <v>8749</v>
      </c>
    </row>
    <row r="8752" spans="1:1">
      <c r="A8752">
        <f t="shared" si="183"/>
        <v>8750</v>
      </c>
    </row>
    <row r="8753" spans="1:1">
      <c r="A8753">
        <f t="shared" si="183"/>
        <v>8751</v>
      </c>
    </row>
    <row r="8754" spans="1:1">
      <c r="A8754">
        <f t="shared" si="183"/>
        <v>8752</v>
      </c>
    </row>
    <row r="8755" spans="1:1">
      <c r="A8755">
        <f t="shared" si="183"/>
        <v>8753</v>
      </c>
    </row>
    <row r="8756" spans="1:1">
      <c r="A8756">
        <f t="shared" si="183"/>
        <v>8754</v>
      </c>
    </row>
    <row r="8757" spans="1:1">
      <c r="A8757">
        <f t="shared" si="183"/>
        <v>8755</v>
      </c>
    </row>
    <row r="8758" spans="1:1">
      <c r="A8758">
        <f t="shared" si="183"/>
        <v>8756</v>
      </c>
    </row>
    <row r="8759" spans="1:1">
      <c r="A8759">
        <f t="shared" si="183"/>
        <v>8757</v>
      </c>
    </row>
    <row r="8760" spans="1:1">
      <c r="A8760">
        <f t="shared" si="183"/>
        <v>8758</v>
      </c>
    </row>
    <row r="8761" spans="1:1">
      <c r="A8761">
        <f t="shared" si="183"/>
        <v>8759</v>
      </c>
    </row>
    <row r="8762" spans="1:1">
      <c r="A8762">
        <f t="shared" si="183"/>
        <v>8760</v>
      </c>
    </row>
    <row r="8763" spans="1:1">
      <c r="A8763">
        <f t="shared" si="183"/>
        <v>8761</v>
      </c>
    </row>
    <row r="8764" spans="1:1">
      <c r="A8764">
        <f t="shared" si="183"/>
        <v>8762</v>
      </c>
    </row>
    <row r="8765" spans="1:1">
      <c r="A8765">
        <f t="shared" si="183"/>
        <v>8763</v>
      </c>
    </row>
    <row r="8766" spans="1:1">
      <c r="A8766">
        <f t="shared" si="183"/>
        <v>8764</v>
      </c>
    </row>
    <row r="8767" spans="1:1">
      <c r="A8767">
        <f t="shared" si="183"/>
        <v>8765</v>
      </c>
    </row>
    <row r="8768" spans="1:1">
      <c r="A8768">
        <f t="shared" si="183"/>
        <v>8766</v>
      </c>
    </row>
    <row r="8769" spans="1:1">
      <c r="A8769">
        <f t="shared" si="183"/>
        <v>8767</v>
      </c>
    </row>
    <row r="8770" spans="1:1">
      <c r="A8770">
        <f t="shared" si="183"/>
        <v>8768</v>
      </c>
    </row>
    <row r="8771" spans="1:1">
      <c r="A8771">
        <f t="shared" si="183"/>
        <v>8769</v>
      </c>
    </row>
    <row r="8772" spans="1:1">
      <c r="A8772">
        <f t="shared" si="183"/>
        <v>8770</v>
      </c>
    </row>
    <row r="8773" spans="1:1">
      <c r="A8773">
        <f t="shared" si="183"/>
        <v>8771</v>
      </c>
    </row>
    <row r="8774" spans="1:1">
      <c r="A8774">
        <f t="shared" si="183"/>
        <v>8772</v>
      </c>
    </row>
    <row r="8775" spans="1:1">
      <c r="A8775">
        <f t="shared" si="183"/>
        <v>8773</v>
      </c>
    </row>
    <row r="8776" spans="1:1">
      <c r="A8776">
        <f t="shared" si="183"/>
        <v>8774</v>
      </c>
    </row>
    <row r="8777" spans="1:1">
      <c r="A8777">
        <f t="shared" si="183"/>
        <v>8775</v>
      </c>
    </row>
    <row r="8778" spans="1:1">
      <c r="A8778">
        <f t="shared" si="183"/>
        <v>8776</v>
      </c>
    </row>
    <row r="8779" spans="1:1">
      <c r="A8779">
        <f t="shared" si="183"/>
        <v>8777</v>
      </c>
    </row>
    <row r="8780" spans="1:1">
      <c r="A8780">
        <f t="shared" si="183"/>
        <v>8778</v>
      </c>
    </row>
    <row r="8781" spans="1:1">
      <c r="A8781">
        <f t="shared" si="183"/>
        <v>8779</v>
      </c>
    </row>
    <row r="8782" spans="1:1">
      <c r="A8782">
        <f t="shared" si="183"/>
        <v>8780</v>
      </c>
    </row>
    <row r="8783" spans="1:1">
      <c r="A8783">
        <f t="shared" si="183"/>
        <v>8781</v>
      </c>
    </row>
    <row r="8784" spans="1:1">
      <c r="A8784">
        <f t="shared" si="183"/>
        <v>8782</v>
      </c>
    </row>
    <row r="8785" spans="1:1">
      <c r="A8785">
        <f t="shared" si="183"/>
        <v>8783</v>
      </c>
    </row>
    <row r="8786" spans="1:1">
      <c r="A8786">
        <f t="shared" si="183"/>
        <v>8784</v>
      </c>
    </row>
    <row r="8787" spans="1:1">
      <c r="A8787">
        <f t="shared" si="183"/>
        <v>8785</v>
      </c>
    </row>
    <row r="8788" spans="1:1">
      <c r="A8788">
        <f t="shared" si="183"/>
        <v>8786</v>
      </c>
    </row>
    <row r="8789" spans="1:1">
      <c r="A8789">
        <f t="shared" si="183"/>
        <v>8787</v>
      </c>
    </row>
    <row r="8790" spans="1:1">
      <c r="A8790">
        <f t="shared" si="183"/>
        <v>8788</v>
      </c>
    </row>
    <row r="8791" spans="1:1">
      <c r="A8791">
        <f t="shared" si="183"/>
        <v>8789</v>
      </c>
    </row>
    <row r="8792" spans="1:1">
      <c r="A8792">
        <f t="shared" si="183"/>
        <v>8790</v>
      </c>
    </row>
    <row r="8793" spans="1:1">
      <c r="A8793">
        <f t="shared" si="183"/>
        <v>8791</v>
      </c>
    </row>
    <row r="8794" spans="1:1">
      <c r="A8794">
        <f t="shared" si="183"/>
        <v>8792</v>
      </c>
    </row>
    <row r="8795" spans="1:1">
      <c r="A8795">
        <f t="shared" si="183"/>
        <v>8793</v>
      </c>
    </row>
    <row r="8796" spans="1:1">
      <c r="A8796">
        <f t="shared" si="183"/>
        <v>8794</v>
      </c>
    </row>
    <row r="8797" spans="1:1">
      <c r="A8797">
        <f t="shared" si="183"/>
        <v>8795</v>
      </c>
    </row>
    <row r="8798" spans="1:1">
      <c r="A8798">
        <f t="shared" si="183"/>
        <v>8796</v>
      </c>
    </row>
    <row r="8799" spans="1:1">
      <c r="A8799">
        <f t="shared" si="183"/>
        <v>8797</v>
      </c>
    </row>
    <row r="8800" spans="1:1">
      <c r="A8800">
        <f t="shared" si="183"/>
        <v>8798</v>
      </c>
    </row>
    <row r="8801" spans="1:1">
      <c r="A8801">
        <f t="shared" si="183"/>
        <v>8799</v>
      </c>
    </row>
    <row r="8802" spans="1:1">
      <c r="A8802">
        <f t="shared" si="183"/>
        <v>8800</v>
      </c>
    </row>
    <row r="8803" spans="1:1">
      <c r="A8803">
        <f t="shared" si="183"/>
        <v>8801</v>
      </c>
    </row>
    <row r="8804" spans="1:1">
      <c r="A8804">
        <f t="shared" ref="A8804:A8867" si="184">A8803+1</f>
        <v>8802</v>
      </c>
    </row>
    <row r="8805" spans="1:1">
      <c r="A8805">
        <f t="shared" si="184"/>
        <v>8803</v>
      </c>
    </row>
    <row r="8806" spans="1:1">
      <c r="A8806">
        <f t="shared" si="184"/>
        <v>8804</v>
      </c>
    </row>
    <row r="8807" spans="1:1">
      <c r="A8807">
        <f t="shared" si="184"/>
        <v>8805</v>
      </c>
    </row>
    <row r="8808" spans="1:1">
      <c r="A8808">
        <f t="shared" si="184"/>
        <v>8806</v>
      </c>
    </row>
    <row r="8809" spans="1:1">
      <c r="A8809">
        <f t="shared" si="184"/>
        <v>8807</v>
      </c>
    </row>
    <row r="8810" spans="1:1">
      <c r="A8810">
        <f t="shared" si="184"/>
        <v>8808</v>
      </c>
    </row>
    <row r="8811" spans="1:1">
      <c r="A8811">
        <f t="shared" si="184"/>
        <v>8809</v>
      </c>
    </row>
    <row r="8812" spans="1:1">
      <c r="A8812">
        <f t="shared" si="184"/>
        <v>8810</v>
      </c>
    </row>
    <row r="8813" spans="1:1">
      <c r="A8813">
        <f t="shared" si="184"/>
        <v>8811</v>
      </c>
    </row>
    <row r="8814" spans="1:1">
      <c r="A8814">
        <f t="shared" si="184"/>
        <v>8812</v>
      </c>
    </row>
    <row r="8815" spans="1:1">
      <c r="A8815">
        <f t="shared" si="184"/>
        <v>8813</v>
      </c>
    </row>
    <row r="8816" spans="1:1">
      <c r="A8816">
        <f t="shared" si="184"/>
        <v>8814</v>
      </c>
    </row>
    <row r="8817" spans="1:1">
      <c r="A8817">
        <f t="shared" si="184"/>
        <v>8815</v>
      </c>
    </row>
    <row r="8818" spans="1:1">
      <c r="A8818">
        <f t="shared" si="184"/>
        <v>8816</v>
      </c>
    </row>
    <row r="8819" spans="1:1">
      <c r="A8819">
        <f t="shared" si="184"/>
        <v>8817</v>
      </c>
    </row>
    <row r="8820" spans="1:1">
      <c r="A8820">
        <f t="shared" si="184"/>
        <v>8818</v>
      </c>
    </row>
    <row r="8821" spans="1:1">
      <c r="A8821">
        <f t="shared" si="184"/>
        <v>8819</v>
      </c>
    </row>
    <row r="8822" spans="1:1">
      <c r="A8822">
        <f t="shared" si="184"/>
        <v>8820</v>
      </c>
    </row>
    <row r="8823" spans="1:1">
      <c r="A8823">
        <f t="shared" si="184"/>
        <v>8821</v>
      </c>
    </row>
    <row r="8824" spans="1:1">
      <c r="A8824">
        <f t="shared" si="184"/>
        <v>8822</v>
      </c>
    </row>
    <row r="8825" spans="1:1">
      <c r="A8825">
        <f t="shared" si="184"/>
        <v>8823</v>
      </c>
    </row>
    <row r="8826" spans="1:1">
      <c r="A8826">
        <f t="shared" si="184"/>
        <v>8824</v>
      </c>
    </row>
    <row r="8827" spans="1:1">
      <c r="A8827">
        <f t="shared" si="184"/>
        <v>8825</v>
      </c>
    </row>
    <row r="8828" spans="1:1">
      <c r="A8828">
        <f t="shared" si="184"/>
        <v>8826</v>
      </c>
    </row>
    <row r="8829" spans="1:1">
      <c r="A8829">
        <f t="shared" si="184"/>
        <v>8827</v>
      </c>
    </row>
    <row r="8830" spans="1:1">
      <c r="A8830">
        <f t="shared" si="184"/>
        <v>8828</v>
      </c>
    </row>
    <row r="8831" spans="1:1">
      <c r="A8831">
        <f t="shared" si="184"/>
        <v>8829</v>
      </c>
    </row>
    <row r="8832" spans="1:1">
      <c r="A8832">
        <f t="shared" si="184"/>
        <v>8830</v>
      </c>
    </row>
    <row r="8833" spans="1:1">
      <c r="A8833">
        <f t="shared" si="184"/>
        <v>8831</v>
      </c>
    </row>
    <row r="8834" spans="1:1">
      <c r="A8834">
        <f t="shared" si="184"/>
        <v>8832</v>
      </c>
    </row>
    <row r="8835" spans="1:1">
      <c r="A8835">
        <f t="shared" si="184"/>
        <v>8833</v>
      </c>
    </row>
    <row r="8836" spans="1:1">
      <c r="A8836">
        <f t="shared" si="184"/>
        <v>8834</v>
      </c>
    </row>
    <row r="8837" spans="1:1">
      <c r="A8837">
        <f t="shared" si="184"/>
        <v>8835</v>
      </c>
    </row>
    <row r="8838" spans="1:1">
      <c r="A8838">
        <f t="shared" si="184"/>
        <v>8836</v>
      </c>
    </row>
    <row r="8839" spans="1:1">
      <c r="A8839">
        <f t="shared" si="184"/>
        <v>8837</v>
      </c>
    </row>
    <row r="8840" spans="1:1">
      <c r="A8840">
        <f t="shared" si="184"/>
        <v>8838</v>
      </c>
    </row>
    <row r="8841" spans="1:1">
      <c r="A8841">
        <f t="shared" si="184"/>
        <v>8839</v>
      </c>
    </row>
    <row r="8842" spans="1:1">
      <c r="A8842">
        <f t="shared" si="184"/>
        <v>8840</v>
      </c>
    </row>
    <row r="8843" spans="1:1">
      <c r="A8843">
        <f t="shared" si="184"/>
        <v>8841</v>
      </c>
    </row>
    <row r="8844" spans="1:1">
      <c r="A8844">
        <f t="shared" si="184"/>
        <v>8842</v>
      </c>
    </row>
    <row r="8845" spans="1:1">
      <c r="A8845">
        <f t="shared" si="184"/>
        <v>8843</v>
      </c>
    </row>
    <row r="8846" spans="1:1">
      <c r="A8846">
        <f t="shared" si="184"/>
        <v>8844</v>
      </c>
    </row>
    <row r="8847" spans="1:1">
      <c r="A8847">
        <f t="shared" si="184"/>
        <v>8845</v>
      </c>
    </row>
    <row r="8848" spans="1:1">
      <c r="A8848">
        <f t="shared" si="184"/>
        <v>8846</v>
      </c>
    </row>
    <row r="8849" spans="1:1">
      <c r="A8849">
        <f t="shared" si="184"/>
        <v>8847</v>
      </c>
    </row>
    <row r="8850" spans="1:1">
      <c r="A8850">
        <f t="shared" si="184"/>
        <v>8848</v>
      </c>
    </row>
    <row r="8851" spans="1:1">
      <c r="A8851">
        <f t="shared" si="184"/>
        <v>8849</v>
      </c>
    </row>
    <row r="8852" spans="1:1">
      <c r="A8852">
        <f t="shared" si="184"/>
        <v>8850</v>
      </c>
    </row>
    <row r="8853" spans="1:1">
      <c r="A8853">
        <f t="shared" si="184"/>
        <v>8851</v>
      </c>
    </row>
    <row r="8854" spans="1:1">
      <c r="A8854">
        <f t="shared" si="184"/>
        <v>8852</v>
      </c>
    </row>
    <row r="8855" spans="1:1">
      <c r="A8855">
        <f t="shared" si="184"/>
        <v>8853</v>
      </c>
    </row>
    <row r="8856" spans="1:1">
      <c r="A8856">
        <f t="shared" si="184"/>
        <v>8854</v>
      </c>
    </row>
    <row r="8857" spans="1:1">
      <c r="A8857">
        <f t="shared" si="184"/>
        <v>8855</v>
      </c>
    </row>
    <row r="8858" spans="1:1">
      <c r="A8858">
        <f t="shared" si="184"/>
        <v>8856</v>
      </c>
    </row>
    <row r="8859" spans="1:1">
      <c r="A8859">
        <f t="shared" si="184"/>
        <v>8857</v>
      </c>
    </row>
    <row r="8860" spans="1:1">
      <c r="A8860">
        <f t="shared" si="184"/>
        <v>8858</v>
      </c>
    </row>
    <row r="8861" spans="1:1">
      <c r="A8861">
        <f t="shared" si="184"/>
        <v>8859</v>
      </c>
    </row>
    <row r="8862" spans="1:1">
      <c r="A8862">
        <f t="shared" si="184"/>
        <v>8860</v>
      </c>
    </row>
    <row r="8863" spans="1:1">
      <c r="A8863">
        <f t="shared" si="184"/>
        <v>8861</v>
      </c>
    </row>
    <row r="8864" spans="1:1">
      <c r="A8864">
        <f t="shared" si="184"/>
        <v>8862</v>
      </c>
    </row>
    <row r="8865" spans="1:1">
      <c r="A8865">
        <f t="shared" si="184"/>
        <v>8863</v>
      </c>
    </row>
    <row r="8866" spans="1:1">
      <c r="A8866">
        <f t="shared" si="184"/>
        <v>8864</v>
      </c>
    </row>
    <row r="8867" spans="1:1">
      <c r="A8867">
        <f t="shared" si="184"/>
        <v>8865</v>
      </c>
    </row>
    <row r="8868" spans="1:1">
      <c r="A8868">
        <f t="shared" ref="A8868:A8931" si="185">A8867+1</f>
        <v>8866</v>
      </c>
    </row>
    <row r="8869" spans="1:1">
      <c r="A8869">
        <f t="shared" si="185"/>
        <v>8867</v>
      </c>
    </row>
    <row r="8870" spans="1:1">
      <c r="A8870">
        <f t="shared" si="185"/>
        <v>8868</v>
      </c>
    </row>
    <row r="8871" spans="1:1">
      <c r="A8871">
        <f t="shared" si="185"/>
        <v>8869</v>
      </c>
    </row>
    <row r="8872" spans="1:1">
      <c r="A8872">
        <f t="shared" si="185"/>
        <v>8870</v>
      </c>
    </row>
    <row r="8873" spans="1:1">
      <c r="A8873">
        <f t="shared" si="185"/>
        <v>8871</v>
      </c>
    </row>
    <row r="8874" spans="1:1">
      <c r="A8874">
        <f t="shared" si="185"/>
        <v>8872</v>
      </c>
    </row>
    <row r="8875" spans="1:1">
      <c r="A8875">
        <f t="shared" si="185"/>
        <v>8873</v>
      </c>
    </row>
    <row r="8876" spans="1:1">
      <c r="A8876">
        <f t="shared" si="185"/>
        <v>8874</v>
      </c>
    </row>
    <row r="8877" spans="1:1">
      <c r="A8877">
        <f t="shared" si="185"/>
        <v>8875</v>
      </c>
    </row>
    <row r="8878" spans="1:1">
      <c r="A8878">
        <f t="shared" si="185"/>
        <v>8876</v>
      </c>
    </row>
    <row r="8879" spans="1:1">
      <c r="A8879">
        <f t="shared" si="185"/>
        <v>8877</v>
      </c>
    </row>
    <row r="8880" spans="1:1">
      <c r="A8880">
        <f t="shared" si="185"/>
        <v>8878</v>
      </c>
    </row>
    <row r="8881" spans="1:1">
      <c r="A8881">
        <f t="shared" si="185"/>
        <v>8879</v>
      </c>
    </row>
    <row r="8882" spans="1:1">
      <c r="A8882">
        <f t="shared" si="185"/>
        <v>8880</v>
      </c>
    </row>
    <row r="8883" spans="1:1">
      <c r="A8883">
        <f t="shared" si="185"/>
        <v>8881</v>
      </c>
    </row>
    <row r="8884" spans="1:1">
      <c r="A8884">
        <f t="shared" si="185"/>
        <v>8882</v>
      </c>
    </row>
    <row r="8885" spans="1:1">
      <c r="A8885">
        <f t="shared" si="185"/>
        <v>8883</v>
      </c>
    </row>
    <row r="8886" spans="1:1">
      <c r="A8886">
        <f t="shared" si="185"/>
        <v>8884</v>
      </c>
    </row>
    <row r="8887" spans="1:1">
      <c r="A8887">
        <f t="shared" si="185"/>
        <v>8885</v>
      </c>
    </row>
    <row r="8888" spans="1:1">
      <c r="A8888">
        <f t="shared" si="185"/>
        <v>8886</v>
      </c>
    </row>
    <row r="8889" spans="1:1">
      <c r="A8889">
        <f t="shared" si="185"/>
        <v>8887</v>
      </c>
    </row>
    <row r="8890" spans="1:1">
      <c r="A8890">
        <f t="shared" si="185"/>
        <v>8888</v>
      </c>
    </row>
    <row r="8891" spans="1:1">
      <c r="A8891">
        <f t="shared" si="185"/>
        <v>8889</v>
      </c>
    </row>
    <row r="8892" spans="1:1">
      <c r="A8892">
        <f t="shared" si="185"/>
        <v>8890</v>
      </c>
    </row>
    <row r="8893" spans="1:1">
      <c r="A8893">
        <f t="shared" si="185"/>
        <v>8891</v>
      </c>
    </row>
    <row r="8894" spans="1:1">
      <c r="A8894">
        <f t="shared" si="185"/>
        <v>8892</v>
      </c>
    </row>
    <row r="8895" spans="1:1">
      <c r="A8895">
        <f t="shared" si="185"/>
        <v>8893</v>
      </c>
    </row>
    <row r="8896" spans="1:1">
      <c r="A8896">
        <f t="shared" si="185"/>
        <v>8894</v>
      </c>
    </row>
    <row r="8897" spans="1:1">
      <c r="A8897">
        <f t="shared" si="185"/>
        <v>8895</v>
      </c>
    </row>
    <row r="8898" spans="1:1">
      <c r="A8898">
        <f t="shared" si="185"/>
        <v>8896</v>
      </c>
    </row>
    <row r="8899" spans="1:1">
      <c r="A8899">
        <f t="shared" si="185"/>
        <v>8897</v>
      </c>
    </row>
    <row r="8900" spans="1:1">
      <c r="A8900">
        <f t="shared" si="185"/>
        <v>8898</v>
      </c>
    </row>
    <row r="8901" spans="1:1">
      <c r="A8901">
        <f t="shared" si="185"/>
        <v>8899</v>
      </c>
    </row>
    <row r="8902" spans="1:1">
      <c r="A8902">
        <f t="shared" si="185"/>
        <v>8900</v>
      </c>
    </row>
    <row r="8903" spans="1:1">
      <c r="A8903">
        <f t="shared" si="185"/>
        <v>8901</v>
      </c>
    </row>
    <row r="8904" spans="1:1">
      <c r="A8904">
        <f t="shared" si="185"/>
        <v>8902</v>
      </c>
    </row>
    <row r="8905" spans="1:1">
      <c r="A8905">
        <f t="shared" si="185"/>
        <v>8903</v>
      </c>
    </row>
    <row r="8906" spans="1:1">
      <c r="A8906">
        <f t="shared" si="185"/>
        <v>8904</v>
      </c>
    </row>
    <row r="8907" spans="1:1">
      <c r="A8907">
        <f t="shared" si="185"/>
        <v>8905</v>
      </c>
    </row>
    <row r="8908" spans="1:1">
      <c r="A8908">
        <f t="shared" si="185"/>
        <v>8906</v>
      </c>
    </row>
    <row r="8909" spans="1:1">
      <c r="A8909">
        <f t="shared" si="185"/>
        <v>8907</v>
      </c>
    </row>
    <row r="8910" spans="1:1">
      <c r="A8910">
        <f t="shared" si="185"/>
        <v>8908</v>
      </c>
    </row>
    <row r="8911" spans="1:1">
      <c r="A8911">
        <f t="shared" si="185"/>
        <v>8909</v>
      </c>
    </row>
    <row r="8912" spans="1:1">
      <c r="A8912">
        <f t="shared" si="185"/>
        <v>8910</v>
      </c>
    </row>
    <row r="8913" spans="1:1">
      <c r="A8913">
        <f t="shared" si="185"/>
        <v>8911</v>
      </c>
    </row>
    <row r="8914" spans="1:1">
      <c r="A8914">
        <f t="shared" si="185"/>
        <v>8912</v>
      </c>
    </row>
    <row r="8915" spans="1:1">
      <c r="A8915">
        <f t="shared" si="185"/>
        <v>8913</v>
      </c>
    </row>
    <row r="8916" spans="1:1">
      <c r="A8916">
        <f t="shared" si="185"/>
        <v>8914</v>
      </c>
    </row>
    <row r="8917" spans="1:1">
      <c r="A8917">
        <f t="shared" si="185"/>
        <v>8915</v>
      </c>
    </row>
    <row r="8918" spans="1:1">
      <c r="A8918">
        <f t="shared" si="185"/>
        <v>8916</v>
      </c>
    </row>
    <row r="8919" spans="1:1">
      <c r="A8919">
        <f t="shared" si="185"/>
        <v>8917</v>
      </c>
    </row>
    <row r="8920" spans="1:1">
      <c r="A8920">
        <f t="shared" si="185"/>
        <v>8918</v>
      </c>
    </row>
    <row r="8921" spans="1:1">
      <c r="A8921">
        <f t="shared" si="185"/>
        <v>8919</v>
      </c>
    </row>
    <row r="8922" spans="1:1">
      <c r="A8922">
        <f t="shared" si="185"/>
        <v>8920</v>
      </c>
    </row>
    <row r="8923" spans="1:1">
      <c r="A8923">
        <f t="shared" si="185"/>
        <v>8921</v>
      </c>
    </row>
    <row r="8924" spans="1:1">
      <c r="A8924">
        <f t="shared" si="185"/>
        <v>8922</v>
      </c>
    </row>
    <row r="8925" spans="1:1">
      <c r="A8925">
        <f t="shared" si="185"/>
        <v>8923</v>
      </c>
    </row>
    <row r="8926" spans="1:1">
      <c r="A8926">
        <f t="shared" si="185"/>
        <v>8924</v>
      </c>
    </row>
    <row r="8927" spans="1:1">
      <c r="A8927">
        <f t="shared" si="185"/>
        <v>8925</v>
      </c>
    </row>
    <row r="8928" spans="1:1">
      <c r="A8928">
        <f t="shared" si="185"/>
        <v>8926</v>
      </c>
    </row>
    <row r="8929" spans="1:1">
      <c r="A8929">
        <f t="shared" si="185"/>
        <v>8927</v>
      </c>
    </row>
    <row r="8930" spans="1:1">
      <c r="A8930">
        <f t="shared" si="185"/>
        <v>8928</v>
      </c>
    </row>
    <row r="8931" spans="1:1">
      <c r="A8931">
        <f t="shared" si="185"/>
        <v>8929</v>
      </c>
    </row>
    <row r="8932" spans="1:1">
      <c r="A8932">
        <f t="shared" ref="A8932:A8995" si="186">A8931+1</f>
        <v>8930</v>
      </c>
    </row>
    <row r="8933" spans="1:1">
      <c r="A8933">
        <f t="shared" si="186"/>
        <v>8931</v>
      </c>
    </row>
    <row r="8934" spans="1:1">
      <c r="A8934">
        <f t="shared" si="186"/>
        <v>8932</v>
      </c>
    </row>
    <row r="8935" spans="1:1">
      <c r="A8935">
        <f t="shared" si="186"/>
        <v>8933</v>
      </c>
    </row>
    <row r="8936" spans="1:1">
      <c r="A8936">
        <f t="shared" si="186"/>
        <v>8934</v>
      </c>
    </row>
    <row r="8937" spans="1:1">
      <c r="A8937">
        <f t="shared" si="186"/>
        <v>8935</v>
      </c>
    </row>
    <row r="8938" spans="1:1">
      <c r="A8938">
        <f t="shared" si="186"/>
        <v>8936</v>
      </c>
    </row>
    <row r="8939" spans="1:1">
      <c r="A8939">
        <f t="shared" si="186"/>
        <v>8937</v>
      </c>
    </row>
    <row r="8940" spans="1:1">
      <c r="A8940">
        <f t="shared" si="186"/>
        <v>8938</v>
      </c>
    </row>
    <row r="8941" spans="1:1">
      <c r="A8941">
        <f t="shared" si="186"/>
        <v>8939</v>
      </c>
    </row>
    <row r="8942" spans="1:1">
      <c r="A8942">
        <f t="shared" si="186"/>
        <v>8940</v>
      </c>
    </row>
    <row r="8943" spans="1:1">
      <c r="A8943">
        <f t="shared" si="186"/>
        <v>8941</v>
      </c>
    </row>
    <row r="8944" spans="1:1">
      <c r="A8944">
        <f t="shared" si="186"/>
        <v>8942</v>
      </c>
    </row>
    <row r="8945" spans="1:1">
      <c r="A8945">
        <f t="shared" si="186"/>
        <v>8943</v>
      </c>
    </row>
    <row r="8946" spans="1:1">
      <c r="A8946">
        <f t="shared" si="186"/>
        <v>8944</v>
      </c>
    </row>
    <row r="8947" spans="1:1">
      <c r="A8947">
        <f t="shared" si="186"/>
        <v>8945</v>
      </c>
    </row>
    <row r="8948" spans="1:1">
      <c r="A8948">
        <f t="shared" si="186"/>
        <v>8946</v>
      </c>
    </row>
    <row r="8949" spans="1:1">
      <c r="A8949">
        <f t="shared" si="186"/>
        <v>8947</v>
      </c>
    </row>
    <row r="8950" spans="1:1">
      <c r="A8950">
        <f t="shared" si="186"/>
        <v>8948</v>
      </c>
    </row>
    <row r="8951" spans="1:1">
      <c r="A8951">
        <f t="shared" si="186"/>
        <v>8949</v>
      </c>
    </row>
    <row r="8952" spans="1:1">
      <c r="A8952">
        <f t="shared" si="186"/>
        <v>8950</v>
      </c>
    </row>
    <row r="8953" spans="1:1">
      <c r="A8953">
        <f t="shared" si="186"/>
        <v>8951</v>
      </c>
    </row>
    <row r="8954" spans="1:1">
      <c r="A8954">
        <f t="shared" si="186"/>
        <v>8952</v>
      </c>
    </row>
    <row r="8955" spans="1:1">
      <c r="A8955">
        <f t="shared" si="186"/>
        <v>8953</v>
      </c>
    </row>
    <row r="8956" spans="1:1">
      <c r="A8956">
        <f t="shared" si="186"/>
        <v>8954</v>
      </c>
    </row>
    <row r="8957" spans="1:1">
      <c r="A8957">
        <f t="shared" si="186"/>
        <v>8955</v>
      </c>
    </row>
    <row r="8958" spans="1:1">
      <c r="A8958">
        <f t="shared" si="186"/>
        <v>8956</v>
      </c>
    </row>
    <row r="8959" spans="1:1">
      <c r="A8959">
        <f t="shared" si="186"/>
        <v>8957</v>
      </c>
    </row>
    <row r="8960" spans="1:1">
      <c r="A8960">
        <f t="shared" si="186"/>
        <v>8958</v>
      </c>
    </row>
    <row r="8961" spans="1:1">
      <c r="A8961">
        <f t="shared" si="186"/>
        <v>8959</v>
      </c>
    </row>
    <row r="8962" spans="1:1">
      <c r="A8962">
        <f t="shared" si="186"/>
        <v>8960</v>
      </c>
    </row>
    <row r="8963" spans="1:1">
      <c r="A8963">
        <f t="shared" si="186"/>
        <v>8961</v>
      </c>
    </row>
    <row r="8964" spans="1:1">
      <c r="A8964">
        <f t="shared" si="186"/>
        <v>8962</v>
      </c>
    </row>
    <row r="8965" spans="1:1">
      <c r="A8965">
        <f t="shared" si="186"/>
        <v>8963</v>
      </c>
    </row>
    <row r="8966" spans="1:1">
      <c r="A8966">
        <f t="shared" si="186"/>
        <v>8964</v>
      </c>
    </row>
    <row r="8967" spans="1:1">
      <c r="A8967">
        <f t="shared" si="186"/>
        <v>8965</v>
      </c>
    </row>
    <row r="8968" spans="1:1">
      <c r="A8968">
        <f t="shared" si="186"/>
        <v>8966</v>
      </c>
    </row>
    <row r="8969" spans="1:1">
      <c r="A8969">
        <f t="shared" si="186"/>
        <v>8967</v>
      </c>
    </row>
    <row r="8970" spans="1:1">
      <c r="A8970">
        <f t="shared" si="186"/>
        <v>8968</v>
      </c>
    </row>
    <row r="8971" spans="1:1">
      <c r="A8971">
        <f t="shared" si="186"/>
        <v>8969</v>
      </c>
    </row>
    <row r="8972" spans="1:1">
      <c r="A8972">
        <f t="shared" si="186"/>
        <v>8970</v>
      </c>
    </row>
    <row r="8973" spans="1:1">
      <c r="A8973">
        <f t="shared" si="186"/>
        <v>8971</v>
      </c>
    </row>
    <row r="8974" spans="1:1">
      <c r="A8974">
        <f t="shared" si="186"/>
        <v>8972</v>
      </c>
    </row>
    <row r="8975" spans="1:1">
      <c r="A8975">
        <f t="shared" si="186"/>
        <v>8973</v>
      </c>
    </row>
    <row r="8976" spans="1:1">
      <c r="A8976">
        <f t="shared" si="186"/>
        <v>8974</v>
      </c>
    </row>
    <row r="8977" spans="1:1">
      <c r="A8977">
        <f t="shared" si="186"/>
        <v>8975</v>
      </c>
    </row>
    <row r="8978" spans="1:1">
      <c r="A8978">
        <f t="shared" si="186"/>
        <v>8976</v>
      </c>
    </row>
    <row r="8979" spans="1:1">
      <c r="A8979">
        <f t="shared" si="186"/>
        <v>8977</v>
      </c>
    </row>
    <row r="8980" spans="1:1">
      <c r="A8980">
        <f t="shared" si="186"/>
        <v>8978</v>
      </c>
    </row>
    <row r="8981" spans="1:1">
      <c r="A8981">
        <f t="shared" si="186"/>
        <v>8979</v>
      </c>
    </row>
    <row r="8982" spans="1:1">
      <c r="A8982">
        <f t="shared" si="186"/>
        <v>8980</v>
      </c>
    </row>
    <row r="8983" spans="1:1">
      <c r="A8983">
        <f t="shared" si="186"/>
        <v>8981</v>
      </c>
    </row>
    <row r="8984" spans="1:1">
      <c r="A8984">
        <f t="shared" si="186"/>
        <v>8982</v>
      </c>
    </row>
    <row r="8985" spans="1:1">
      <c r="A8985">
        <f t="shared" si="186"/>
        <v>8983</v>
      </c>
    </row>
    <row r="8986" spans="1:1">
      <c r="A8986">
        <f t="shared" si="186"/>
        <v>8984</v>
      </c>
    </row>
    <row r="8987" spans="1:1">
      <c r="A8987">
        <f t="shared" si="186"/>
        <v>8985</v>
      </c>
    </row>
    <row r="8988" spans="1:1">
      <c r="A8988">
        <f t="shared" si="186"/>
        <v>8986</v>
      </c>
    </row>
    <row r="8989" spans="1:1">
      <c r="A8989">
        <f t="shared" si="186"/>
        <v>8987</v>
      </c>
    </row>
    <row r="8990" spans="1:1">
      <c r="A8990">
        <f t="shared" si="186"/>
        <v>8988</v>
      </c>
    </row>
    <row r="8991" spans="1:1">
      <c r="A8991">
        <f t="shared" si="186"/>
        <v>8989</v>
      </c>
    </row>
    <row r="8992" spans="1:1">
      <c r="A8992">
        <f t="shared" si="186"/>
        <v>8990</v>
      </c>
    </row>
    <row r="8993" spans="1:1">
      <c r="A8993">
        <f t="shared" si="186"/>
        <v>8991</v>
      </c>
    </row>
    <row r="8994" spans="1:1">
      <c r="A8994">
        <f t="shared" si="186"/>
        <v>8992</v>
      </c>
    </row>
    <row r="8995" spans="1:1">
      <c r="A8995">
        <f t="shared" si="186"/>
        <v>8993</v>
      </c>
    </row>
    <row r="8996" spans="1:1">
      <c r="A8996">
        <f t="shared" ref="A8996:A9059" si="187">A8995+1</f>
        <v>8994</v>
      </c>
    </row>
    <row r="8997" spans="1:1">
      <c r="A8997">
        <f t="shared" si="187"/>
        <v>8995</v>
      </c>
    </row>
    <row r="8998" spans="1:1">
      <c r="A8998">
        <f t="shared" si="187"/>
        <v>8996</v>
      </c>
    </row>
    <row r="8999" spans="1:1">
      <c r="A8999">
        <f t="shared" si="187"/>
        <v>8997</v>
      </c>
    </row>
    <row r="9000" spans="1:1">
      <c r="A9000">
        <f t="shared" si="187"/>
        <v>8998</v>
      </c>
    </row>
    <row r="9001" spans="1:1">
      <c r="A9001">
        <f t="shared" si="187"/>
        <v>8999</v>
      </c>
    </row>
    <row r="9002" spans="1:1">
      <c r="A9002">
        <f t="shared" si="187"/>
        <v>9000</v>
      </c>
    </row>
    <row r="9003" spans="1:1">
      <c r="A9003">
        <f t="shared" si="187"/>
        <v>9001</v>
      </c>
    </row>
    <row r="9004" spans="1:1">
      <c r="A9004">
        <f t="shared" si="187"/>
        <v>9002</v>
      </c>
    </row>
    <row r="9005" spans="1:1">
      <c r="A9005">
        <f t="shared" si="187"/>
        <v>9003</v>
      </c>
    </row>
    <row r="9006" spans="1:1">
      <c r="A9006">
        <f t="shared" si="187"/>
        <v>9004</v>
      </c>
    </row>
    <row r="9007" spans="1:1">
      <c r="A9007">
        <f t="shared" si="187"/>
        <v>9005</v>
      </c>
    </row>
    <row r="9008" spans="1:1">
      <c r="A9008">
        <f t="shared" si="187"/>
        <v>9006</v>
      </c>
    </row>
    <row r="9009" spans="1:1">
      <c r="A9009">
        <f t="shared" si="187"/>
        <v>9007</v>
      </c>
    </row>
    <row r="9010" spans="1:1">
      <c r="A9010">
        <f t="shared" si="187"/>
        <v>9008</v>
      </c>
    </row>
    <row r="9011" spans="1:1">
      <c r="A9011">
        <f t="shared" si="187"/>
        <v>9009</v>
      </c>
    </row>
    <row r="9012" spans="1:1">
      <c r="A9012">
        <f t="shared" si="187"/>
        <v>9010</v>
      </c>
    </row>
    <row r="9013" spans="1:1">
      <c r="A9013">
        <f t="shared" si="187"/>
        <v>9011</v>
      </c>
    </row>
    <row r="9014" spans="1:1">
      <c r="A9014">
        <f t="shared" si="187"/>
        <v>9012</v>
      </c>
    </row>
    <row r="9015" spans="1:1">
      <c r="A9015">
        <f t="shared" si="187"/>
        <v>9013</v>
      </c>
    </row>
    <row r="9016" spans="1:1">
      <c r="A9016">
        <f t="shared" si="187"/>
        <v>9014</v>
      </c>
    </row>
    <row r="9017" spans="1:1">
      <c r="A9017">
        <f t="shared" si="187"/>
        <v>9015</v>
      </c>
    </row>
    <row r="9018" spans="1:1">
      <c r="A9018">
        <f t="shared" si="187"/>
        <v>9016</v>
      </c>
    </row>
    <row r="9019" spans="1:1">
      <c r="A9019">
        <f t="shared" si="187"/>
        <v>9017</v>
      </c>
    </row>
    <row r="9020" spans="1:1">
      <c r="A9020">
        <f t="shared" si="187"/>
        <v>9018</v>
      </c>
    </row>
    <row r="9021" spans="1:1">
      <c r="A9021">
        <f t="shared" si="187"/>
        <v>9019</v>
      </c>
    </row>
    <row r="9022" spans="1:1">
      <c r="A9022">
        <f t="shared" si="187"/>
        <v>9020</v>
      </c>
    </row>
    <row r="9023" spans="1:1">
      <c r="A9023">
        <f t="shared" si="187"/>
        <v>9021</v>
      </c>
    </row>
    <row r="9024" spans="1:1">
      <c r="A9024">
        <f t="shared" si="187"/>
        <v>9022</v>
      </c>
    </row>
    <row r="9025" spans="1:1">
      <c r="A9025">
        <f t="shared" si="187"/>
        <v>9023</v>
      </c>
    </row>
    <row r="9026" spans="1:1">
      <c r="A9026">
        <f t="shared" si="187"/>
        <v>9024</v>
      </c>
    </row>
    <row r="9027" spans="1:1">
      <c r="A9027">
        <f t="shared" si="187"/>
        <v>9025</v>
      </c>
    </row>
    <row r="9028" spans="1:1">
      <c r="A9028">
        <f t="shared" si="187"/>
        <v>9026</v>
      </c>
    </row>
    <row r="9029" spans="1:1">
      <c r="A9029">
        <f t="shared" si="187"/>
        <v>9027</v>
      </c>
    </row>
    <row r="9030" spans="1:1">
      <c r="A9030">
        <f t="shared" si="187"/>
        <v>9028</v>
      </c>
    </row>
    <row r="9031" spans="1:1">
      <c r="A9031">
        <f t="shared" si="187"/>
        <v>9029</v>
      </c>
    </row>
    <row r="9032" spans="1:1">
      <c r="A9032">
        <f t="shared" si="187"/>
        <v>9030</v>
      </c>
    </row>
    <row r="9033" spans="1:1">
      <c r="A9033">
        <f t="shared" si="187"/>
        <v>9031</v>
      </c>
    </row>
    <row r="9034" spans="1:1">
      <c r="A9034">
        <f t="shared" si="187"/>
        <v>9032</v>
      </c>
    </row>
    <row r="9035" spans="1:1">
      <c r="A9035">
        <f t="shared" si="187"/>
        <v>9033</v>
      </c>
    </row>
    <row r="9036" spans="1:1">
      <c r="A9036">
        <f t="shared" si="187"/>
        <v>9034</v>
      </c>
    </row>
    <row r="9037" spans="1:1">
      <c r="A9037">
        <f t="shared" si="187"/>
        <v>9035</v>
      </c>
    </row>
    <row r="9038" spans="1:1">
      <c r="A9038">
        <f t="shared" si="187"/>
        <v>9036</v>
      </c>
    </row>
    <row r="9039" spans="1:1">
      <c r="A9039">
        <f t="shared" si="187"/>
        <v>9037</v>
      </c>
    </row>
    <row r="9040" spans="1:1">
      <c r="A9040">
        <f t="shared" si="187"/>
        <v>9038</v>
      </c>
    </row>
    <row r="9041" spans="1:1">
      <c r="A9041">
        <f t="shared" si="187"/>
        <v>9039</v>
      </c>
    </row>
    <row r="9042" spans="1:1">
      <c r="A9042">
        <f t="shared" si="187"/>
        <v>9040</v>
      </c>
    </row>
    <row r="9043" spans="1:1">
      <c r="A9043">
        <f t="shared" si="187"/>
        <v>9041</v>
      </c>
    </row>
    <row r="9044" spans="1:1">
      <c r="A9044">
        <f t="shared" si="187"/>
        <v>9042</v>
      </c>
    </row>
    <row r="9045" spans="1:1">
      <c r="A9045">
        <f t="shared" si="187"/>
        <v>9043</v>
      </c>
    </row>
    <row r="9046" spans="1:1">
      <c r="A9046">
        <f t="shared" si="187"/>
        <v>9044</v>
      </c>
    </row>
    <row r="9047" spans="1:1">
      <c r="A9047">
        <f t="shared" si="187"/>
        <v>9045</v>
      </c>
    </row>
    <row r="9048" spans="1:1">
      <c r="A9048">
        <f t="shared" si="187"/>
        <v>9046</v>
      </c>
    </row>
    <row r="9049" spans="1:1">
      <c r="A9049">
        <f t="shared" si="187"/>
        <v>9047</v>
      </c>
    </row>
    <row r="9050" spans="1:1">
      <c r="A9050">
        <f t="shared" si="187"/>
        <v>9048</v>
      </c>
    </row>
    <row r="9051" spans="1:1">
      <c r="A9051">
        <f t="shared" si="187"/>
        <v>9049</v>
      </c>
    </row>
    <row r="9052" spans="1:1">
      <c r="A9052">
        <f t="shared" si="187"/>
        <v>9050</v>
      </c>
    </row>
    <row r="9053" spans="1:1">
      <c r="A9053">
        <f t="shared" si="187"/>
        <v>9051</v>
      </c>
    </row>
    <row r="9054" spans="1:1">
      <c r="A9054">
        <f t="shared" si="187"/>
        <v>9052</v>
      </c>
    </row>
    <row r="9055" spans="1:1">
      <c r="A9055">
        <f t="shared" si="187"/>
        <v>9053</v>
      </c>
    </row>
    <row r="9056" spans="1:1">
      <c r="A9056">
        <f t="shared" si="187"/>
        <v>9054</v>
      </c>
    </row>
    <row r="9057" spans="1:1">
      <c r="A9057">
        <f t="shared" si="187"/>
        <v>9055</v>
      </c>
    </row>
    <row r="9058" spans="1:1">
      <c r="A9058">
        <f t="shared" si="187"/>
        <v>9056</v>
      </c>
    </row>
    <row r="9059" spans="1:1">
      <c r="A9059">
        <f t="shared" si="187"/>
        <v>9057</v>
      </c>
    </row>
    <row r="9060" spans="1:1">
      <c r="A9060">
        <f t="shared" ref="A9060:A9123" si="188">A9059+1</f>
        <v>9058</v>
      </c>
    </row>
    <row r="9061" spans="1:1">
      <c r="A9061">
        <f t="shared" si="188"/>
        <v>9059</v>
      </c>
    </row>
    <row r="9062" spans="1:1">
      <c r="A9062">
        <f t="shared" si="188"/>
        <v>9060</v>
      </c>
    </row>
    <row r="9063" spans="1:1">
      <c r="A9063">
        <f t="shared" si="188"/>
        <v>9061</v>
      </c>
    </row>
    <row r="9064" spans="1:1">
      <c r="A9064">
        <f t="shared" si="188"/>
        <v>9062</v>
      </c>
    </row>
    <row r="9065" spans="1:1">
      <c r="A9065">
        <f t="shared" si="188"/>
        <v>9063</v>
      </c>
    </row>
    <row r="9066" spans="1:1">
      <c r="A9066">
        <f t="shared" si="188"/>
        <v>9064</v>
      </c>
    </row>
    <row r="9067" spans="1:1">
      <c r="A9067">
        <f t="shared" si="188"/>
        <v>9065</v>
      </c>
    </row>
    <row r="9068" spans="1:1">
      <c r="A9068">
        <f t="shared" si="188"/>
        <v>9066</v>
      </c>
    </row>
    <row r="9069" spans="1:1">
      <c r="A9069">
        <f t="shared" si="188"/>
        <v>9067</v>
      </c>
    </row>
    <row r="9070" spans="1:1">
      <c r="A9070">
        <f t="shared" si="188"/>
        <v>9068</v>
      </c>
    </row>
    <row r="9071" spans="1:1">
      <c r="A9071">
        <f t="shared" si="188"/>
        <v>9069</v>
      </c>
    </row>
    <row r="9072" spans="1:1">
      <c r="A9072">
        <f t="shared" si="188"/>
        <v>9070</v>
      </c>
    </row>
    <row r="9073" spans="1:1">
      <c r="A9073">
        <f t="shared" si="188"/>
        <v>9071</v>
      </c>
    </row>
    <row r="9074" spans="1:1">
      <c r="A9074">
        <f t="shared" si="188"/>
        <v>9072</v>
      </c>
    </row>
    <row r="9075" spans="1:1">
      <c r="A9075">
        <f t="shared" si="188"/>
        <v>9073</v>
      </c>
    </row>
    <row r="9076" spans="1:1">
      <c r="A9076">
        <f t="shared" si="188"/>
        <v>9074</v>
      </c>
    </row>
    <row r="9077" spans="1:1">
      <c r="A9077">
        <f t="shared" si="188"/>
        <v>9075</v>
      </c>
    </row>
    <row r="9078" spans="1:1">
      <c r="A9078">
        <f t="shared" si="188"/>
        <v>9076</v>
      </c>
    </row>
    <row r="9079" spans="1:1">
      <c r="A9079">
        <f t="shared" si="188"/>
        <v>9077</v>
      </c>
    </row>
    <row r="9080" spans="1:1">
      <c r="A9080">
        <f t="shared" si="188"/>
        <v>9078</v>
      </c>
    </row>
    <row r="9081" spans="1:1">
      <c r="A9081">
        <f t="shared" si="188"/>
        <v>9079</v>
      </c>
    </row>
    <row r="9082" spans="1:1">
      <c r="A9082">
        <f t="shared" si="188"/>
        <v>9080</v>
      </c>
    </row>
    <row r="9083" spans="1:1">
      <c r="A9083">
        <f t="shared" si="188"/>
        <v>9081</v>
      </c>
    </row>
    <row r="9084" spans="1:1">
      <c r="A9084">
        <f t="shared" si="188"/>
        <v>9082</v>
      </c>
    </row>
    <row r="9085" spans="1:1">
      <c r="A9085">
        <f t="shared" si="188"/>
        <v>9083</v>
      </c>
    </row>
    <row r="9086" spans="1:1">
      <c r="A9086">
        <f t="shared" si="188"/>
        <v>9084</v>
      </c>
    </row>
    <row r="9087" spans="1:1">
      <c r="A9087">
        <f t="shared" si="188"/>
        <v>9085</v>
      </c>
    </row>
    <row r="9088" spans="1:1">
      <c r="A9088">
        <f t="shared" si="188"/>
        <v>9086</v>
      </c>
    </row>
    <row r="9089" spans="1:1">
      <c r="A9089">
        <f t="shared" si="188"/>
        <v>9087</v>
      </c>
    </row>
    <row r="9090" spans="1:1">
      <c r="A9090">
        <f t="shared" si="188"/>
        <v>9088</v>
      </c>
    </row>
    <row r="9091" spans="1:1">
      <c r="A9091">
        <f t="shared" si="188"/>
        <v>9089</v>
      </c>
    </row>
    <row r="9092" spans="1:1">
      <c r="A9092">
        <f t="shared" si="188"/>
        <v>9090</v>
      </c>
    </row>
    <row r="9093" spans="1:1">
      <c r="A9093">
        <f t="shared" si="188"/>
        <v>9091</v>
      </c>
    </row>
    <row r="9094" spans="1:1">
      <c r="A9094">
        <f t="shared" si="188"/>
        <v>9092</v>
      </c>
    </row>
    <row r="9095" spans="1:1">
      <c r="A9095">
        <f t="shared" si="188"/>
        <v>9093</v>
      </c>
    </row>
    <row r="9096" spans="1:1">
      <c r="A9096">
        <f t="shared" si="188"/>
        <v>9094</v>
      </c>
    </row>
    <row r="9097" spans="1:1">
      <c r="A9097">
        <f t="shared" si="188"/>
        <v>9095</v>
      </c>
    </row>
    <row r="9098" spans="1:1">
      <c r="A9098">
        <f t="shared" si="188"/>
        <v>9096</v>
      </c>
    </row>
    <row r="9099" spans="1:1">
      <c r="A9099">
        <f t="shared" si="188"/>
        <v>9097</v>
      </c>
    </row>
    <row r="9100" spans="1:1">
      <c r="A9100">
        <f t="shared" si="188"/>
        <v>9098</v>
      </c>
    </row>
    <row r="9101" spans="1:1">
      <c r="A9101">
        <f t="shared" si="188"/>
        <v>9099</v>
      </c>
    </row>
    <row r="9102" spans="1:1">
      <c r="A9102">
        <f t="shared" si="188"/>
        <v>9100</v>
      </c>
    </row>
    <row r="9103" spans="1:1">
      <c r="A9103">
        <f t="shared" si="188"/>
        <v>9101</v>
      </c>
    </row>
    <row r="9104" spans="1:1">
      <c r="A9104">
        <f t="shared" si="188"/>
        <v>9102</v>
      </c>
    </row>
    <row r="9105" spans="1:1">
      <c r="A9105">
        <f t="shared" si="188"/>
        <v>9103</v>
      </c>
    </row>
    <row r="9106" spans="1:1">
      <c r="A9106">
        <f t="shared" si="188"/>
        <v>9104</v>
      </c>
    </row>
    <row r="9107" spans="1:1">
      <c r="A9107">
        <f t="shared" si="188"/>
        <v>9105</v>
      </c>
    </row>
    <row r="9108" spans="1:1">
      <c r="A9108">
        <f t="shared" si="188"/>
        <v>9106</v>
      </c>
    </row>
    <row r="9109" spans="1:1">
      <c r="A9109">
        <f t="shared" si="188"/>
        <v>9107</v>
      </c>
    </row>
    <row r="9110" spans="1:1">
      <c r="A9110">
        <f t="shared" si="188"/>
        <v>9108</v>
      </c>
    </row>
    <row r="9111" spans="1:1">
      <c r="A9111">
        <f t="shared" si="188"/>
        <v>9109</v>
      </c>
    </row>
    <row r="9112" spans="1:1">
      <c r="A9112">
        <f t="shared" si="188"/>
        <v>9110</v>
      </c>
    </row>
    <row r="9113" spans="1:1">
      <c r="A9113">
        <f t="shared" si="188"/>
        <v>9111</v>
      </c>
    </row>
    <row r="9114" spans="1:1">
      <c r="A9114">
        <f t="shared" si="188"/>
        <v>9112</v>
      </c>
    </row>
    <row r="9115" spans="1:1">
      <c r="A9115">
        <f t="shared" si="188"/>
        <v>9113</v>
      </c>
    </row>
    <row r="9116" spans="1:1">
      <c r="A9116">
        <f t="shared" si="188"/>
        <v>9114</v>
      </c>
    </row>
    <row r="9117" spans="1:1">
      <c r="A9117">
        <f t="shared" si="188"/>
        <v>9115</v>
      </c>
    </row>
    <row r="9118" spans="1:1">
      <c r="A9118">
        <f t="shared" si="188"/>
        <v>9116</v>
      </c>
    </row>
    <row r="9119" spans="1:1">
      <c r="A9119">
        <f t="shared" si="188"/>
        <v>9117</v>
      </c>
    </row>
    <row r="9120" spans="1:1">
      <c r="A9120">
        <f t="shared" si="188"/>
        <v>9118</v>
      </c>
    </row>
    <row r="9121" spans="1:1">
      <c r="A9121">
        <f t="shared" si="188"/>
        <v>9119</v>
      </c>
    </row>
    <row r="9122" spans="1:1">
      <c r="A9122">
        <f t="shared" si="188"/>
        <v>9120</v>
      </c>
    </row>
    <row r="9123" spans="1:1">
      <c r="A9123">
        <f t="shared" si="188"/>
        <v>9121</v>
      </c>
    </row>
    <row r="9124" spans="1:1">
      <c r="A9124">
        <f t="shared" ref="A9124:A9187" si="189">A9123+1</f>
        <v>9122</v>
      </c>
    </row>
    <row r="9125" spans="1:1">
      <c r="A9125">
        <f t="shared" si="189"/>
        <v>9123</v>
      </c>
    </row>
    <row r="9126" spans="1:1">
      <c r="A9126">
        <f t="shared" si="189"/>
        <v>9124</v>
      </c>
    </row>
    <row r="9127" spans="1:1">
      <c r="A9127">
        <f t="shared" si="189"/>
        <v>9125</v>
      </c>
    </row>
    <row r="9128" spans="1:1">
      <c r="A9128">
        <f t="shared" si="189"/>
        <v>9126</v>
      </c>
    </row>
    <row r="9129" spans="1:1">
      <c r="A9129">
        <f t="shared" si="189"/>
        <v>9127</v>
      </c>
    </row>
    <row r="9130" spans="1:1">
      <c r="A9130">
        <f t="shared" si="189"/>
        <v>9128</v>
      </c>
    </row>
    <row r="9131" spans="1:1">
      <c r="A9131">
        <f t="shared" si="189"/>
        <v>9129</v>
      </c>
    </row>
    <row r="9132" spans="1:1">
      <c r="A9132">
        <f t="shared" si="189"/>
        <v>9130</v>
      </c>
    </row>
    <row r="9133" spans="1:1">
      <c r="A9133">
        <f t="shared" si="189"/>
        <v>9131</v>
      </c>
    </row>
    <row r="9134" spans="1:1">
      <c r="A9134">
        <f t="shared" si="189"/>
        <v>9132</v>
      </c>
    </row>
    <row r="9135" spans="1:1">
      <c r="A9135">
        <f t="shared" si="189"/>
        <v>9133</v>
      </c>
    </row>
    <row r="9136" spans="1:1">
      <c r="A9136">
        <f t="shared" si="189"/>
        <v>9134</v>
      </c>
    </row>
    <row r="9137" spans="1:1">
      <c r="A9137">
        <f t="shared" si="189"/>
        <v>9135</v>
      </c>
    </row>
    <row r="9138" spans="1:1">
      <c r="A9138">
        <f t="shared" si="189"/>
        <v>9136</v>
      </c>
    </row>
    <row r="9139" spans="1:1">
      <c r="A9139">
        <f t="shared" si="189"/>
        <v>9137</v>
      </c>
    </row>
    <row r="9140" spans="1:1">
      <c r="A9140">
        <f t="shared" si="189"/>
        <v>9138</v>
      </c>
    </row>
    <row r="9141" spans="1:1">
      <c r="A9141">
        <f t="shared" si="189"/>
        <v>9139</v>
      </c>
    </row>
    <row r="9142" spans="1:1">
      <c r="A9142">
        <f t="shared" si="189"/>
        <v>9140</v>
      </c>
    </row>
    <row r="9143" spans="1:1">
      <c r="A9143">
        <f t="shared" si="189"/>
        <v>9141</v>
      </c>
    </row>
    <row r="9144" spans="1:1">
      <c r="A9144">
        <f t="shared" si="189"/>
        <v>9142</v>
      </c>
    </row>
    <row r="9145" spans="1:1">
      <c r="A9145">
        <f t="shared" si="189"/>
        <v>9143</v>
      </c>
    </row>
    <row r="9146" spans="1:1">
      <c r="A9146">
        <f t="shared" si="189"/>
        <v>9144</v>
      </c>
    </row>
    <row r="9147" spans="1:1">
      <c r="A9147">
        <f t="shared" si="189"/>
        <v>9145</v>
      </c>
    </row>
    <row r="9148" spans="1:1">
      <c r="A9148">
        <f t="shared" si="189"/>
        <v>9146</v>
      </c>
    </row>
    <row r="9149" spans="1:1">
      <c r="A9149">
        <f t="shared" si="189"/>
        <v>9147</v>
      </c>
    </row>
    <row r="9150" spans="1:1">
      <c r="A9150">
        <f t="shared" si="189"/>
        <v>9148</v>
      </c>
    </row>
    <row r="9151" spans="1:1">
      <c r="A9151">
        <f t="shared" si="189"/>
        <v>9149</v>
      </c>
    </row>
    <row r="9152" spans="1:1">
      <c r="A9152">
        <f t="shared" si="189"/>
        <v>9150</v>
      </c>
    </row>
    <row r="9153" spans="1:1">
      <c r="A9153">
        <f t="shared" si="189"/>
        <v>9151</v>
      </c>
    </row>
    <row r="9154" spans="1:1">
      <c r="A9154">
        <f t="shared" si="189"/>
        <v>9152</v>
      </c>
    </row>
    <row r="9155" spans="1:1">
      <c r="A9155">
        <f t="shared" si="189"/>
        <v>9153</v>
      </c>
    </row>
    <row r="9156" spans="1:1">
      <c r="A9156">
        <f t="shared" si="189"/>
        <v>9154</v>
      </c>
    </row>
    <row r="9157" spans="1:1">
      <c r="A9157">
        <f t="shared" si="189"/>
        <v>9155</v>
      </c>
    </row>
    <row r="9158" spans="1:1">
      <c r="A9158">
        <f t="shared" si="189"/>
        <v>9156</v>
      </c>
    </row>
    <row r="9159" spans="1:1">
      <c r="A9159">
        <f t="shared" si="189"/>
        <v>9157</v>
      </c>
    </row>
    <row r="9160" spans="1:1">
      <c r="A9160">
        <f t="shared" si="189"/>
        <v>9158</v>
      </c>
    </row>
    <row r="9161" spans="1:1">
      <c r="A9161">
        <f t="shared" si="189"/>
        <v>9159</v>
      </c>
    </row>
    <row r="9162" spans="1:1">
      <c r="A9162">
        <f t="shared" si="189"/>
        <v>9160</v>
      </c>
    </row>
    <row r="9163" spans="1:1">
      <c r="A9163">
        <f t="shared" si="189"/>
        <v>9161</v>
      </c>
    </row>
    <row r="9164" spans="1:1">
      <c r="A9164">
        <f t="shared" si="189"/>
        <v>9162</v>
      </c>
    </row>
    <row r="9165" spans="1:1">
      <c r="A9165">
        <f t="shared" si="189"/>
        <v>9163</v>
      </c>
    </row>
    <row r="9166" spans="1:1">
      <c r="A9166">
        <f t="shared" si="189"/>
        <v>9164</v>
      </c>
    </row>
    <row r="9167" spans="1:1">
      <c r="A9167">
        <f t="shared" si="189"/>
        <v>9165</v>
      </c>
    </row>
    <row r="9168" spans="1:1">
      <c r="A9168">
        <f t="shared" si="189"/>
        <v>9166</v>
      </c>
    </row>
    <row r="9169" spans="1:1">
      <c r="A9169">
        <f t="shared" si="189"/>
        <v>9167</v>
      </c>
    </row>
    <row r="9170" spans="1:1">
      <c r="A9170">
        <f t="shared" si="189"/>
        <v>9168</v>
      </c>
    </row>
    <row r="9171" spans="1:1">
      <c r="A9171">
        <f t="shared" si="189"/>
        <v>9169</v>
      </c>
    </row>
    <row r="9172" spans="1:1">
      <c r="A9172">
        <f t="shared" si="189"/>
        <v>9170</v>
      </c>
    </row>
    <row r="9173" spans="1:1">
      <c r="A9173">
        <f t="shared" si="189"/>
        <v>9171</v>
      </c>
    </row>
    <row r="9174" spans="1:1">
      <c r="A9174">
        <f t="shared" si="189"/>
        <v>9172</v>
      </c>
    </row>
    <row r="9175" spans="1:1">
      <c r="A9175">
        <f t="shared" si="189"/>
        <v>9173</v>
      </c>
    </row>
    <row r="9176" spans="1:1">
      <c r="A9176">
        <f t="shared" si="189"/>
        <v>9174</v>
      </c>
    </row>
    <row r="9177" spans="1:1">
      <c r="A9177">
        <f t="shared" si="189"/>
        <v>9175</v>
      </c>
    </row>
    <row r="9178" spans="1:1">
      <c r="A9178">
        <f t="shared" si="189"/>
        <v>9176</v>
      </c>
    </row>
    <row r="9179" spans="1:1">
      <c r="A9179">
        <f t="shared" si="189"/>
        <v>9177</v>
      </c>
    </row>
    <row r="9180" spans="1:1">
      <c r="A9180">
        <f t="shared" si="189"/>
        <v>9178</v>
      </c>
    </row>
    <row r="9181" spans="1:1">
      <c r="A9181">
        <f t="shared" si="189"/>
        <v>9179</v>
      </c>
    </row>
    <row r="9182" spans="1:1">
      <c r="A9182">
        <f t="shared" si="189"/>
        <v>9180</v>
      </c>
    </row>
    <row r="9183" spans="1:1">
      <c r="A9183">
        <f t="shared" si="189"/>
        <v>9181</v>
      </c>
    </row>
    <row r="9184" spans="1:1">
      <c r="A9184">
        <f t="shared" si="189"/>
        <v>9182</v>
      </c>
    </row>
    <row r="9185" spans="1:1">
      <c r="A9185">
        <f t="shared" si="189"/>
        <v>9183</v>
      </c>
    </row>
    <row r="9186" spans="1:1">
      <c r="A9186">
        <f t="shared" si="189"/>
        <v>9184</v>
      </c>
    </row>
    <row r="9187" spans="1:1">
      <c r="A9187">
        <f t="shared" si="189"/>
        <v>9185</v>
      </c>
    </row>
    <row r="9188" spans="1:1">
      <c r="A9188">
        <f t="shared" ref="A9188:A9251" si="190">A9187+1</f>
        <v>9186</v>
      </c>
    </row>
    <row r="9189" spans="1:1">
      <c r="A9189">
        <f t="shared" si="190"/>
        <v>9187</v>
      </c>
    </row>
    <row r="9190" spans="1:1">
      <c r="A9190">
        <f t="shared" si="190"/>
        <v>9188</v>
      </c>
    </row>
    <row r="9191" spans="1:1">
      <c r="A9191">
        <f t="shared" si="190"/>
        <v>9189</v>
      </c>
    </row>
    <row r="9192" spans="1:1">
      <c r="A9192">
        <f t="shared" si="190"/>
        <v>9190</v>
      </c>
    </row>
    <row r="9193" spans="1:1">
      <c r="A9193">
        <f t="shared" si="190"/>
        <v>9191</v>
      </c>
    </row>
    <row r="9194" spans="1:1">
      <c r="A9194">
        <f t="shared" si="190"/>
        <v>9192</v>
      </c>
    </row>
    <row r="9195" spans="1:1">
      <c r="A9195">
        <f t="shared" si="190"/>
        <v>9193</v>
      </c>
    </row>
    <row r="9196" spans="1:1">
      <c r="A9196">
        <f t="shared" si="190"/>
        <v>9194</v>
      </c>
    </row>
    <row r="9197" spans="1:1">
      <c r="A9197">
        <f t="shared" si="190"/>
        <v>9195</v>
      </c>
    </row>
    <row r="9198" spans="1:1">
      <c r="A9198">
        <f t="shared" si="190"/>
        <v>9196</v>
      </c>
    </row>
    <row r="9199" spans="1:1">
      <c r="A9199">
        <f t="shared" si="190"/>
        <v>9197</v>
      </c>
    </row>
    <row r="9200" spans="1:1">
      <c r="A9200">
        <f t="shared" si="190"/>
        <v>9198</v>
      </c>
    </row>
    <row r="9201" spans="1:1">
      <c r="A9201">
        <f t="shared" si="190"/>
        <v>9199</v>
      </c>
    </row>
    <row r="9202" spans="1:1">
      <c r="A9202">
        <f t="shared" si="190"/>
        <v>9200</v>
      </c>
    </row>
    <row r="9203" spans="1:1">
      <c r="A9203">
        <f t="shared" si="190"/>
        <v>9201</v>
      </c>
    </row>
    <row r="9204" spans="1:1">
      <c r="A9204">
        <f t="shared" si="190"/>
        <v>9202</v>
      </c>
    </row>
    <row r="9205" spans="1:1">
      <c r="A9205">
        <f t="shared" si="190"/>
        <v>9203</v>
      </c>
    </row>
    <row r="9206" spans="1:1">
      <c r="A9206">
        <f t="shared" si="190"/>
        <v>9204</v>
      </c>
    </row>
    <row r="9207" spans="1:1">
      <c r="A9207">
        <f t="shared" si="190"/>
        <v>9205</v>
      </c>
    </row>
    <row r="9208" spans="1:1">
      <c r="A9208">
        <f t="shared" si="190"/>
        <v>9206</v>
      </c>
    </row>
    <row r="9209" spans="1:1">
      <c r="A9209">
        <f t="shared" si="190"/>
        <v>9207</v>
      </c>
    </row>
    <row r="9210" spans="1:1">
      <c r="A9210">
        <f t="shared" si="190"/>
        <v>9208</v>
      </c>
    </row>
    <row r="9211" spans="1:1">
      <c r="A9211">
        <f t="shared" si="190"/>
        <v>9209</v>
      </c>
    </row>
    <row r="9212" spans="1:1">
      <c r="A9212">
        <f t="shared" si="190"/>
        <v>9210</v>
      </c>
    </row>
    <row r="9213" spans="1:1">
      <c r="A9213">
        <f t="shared" si="190"/>
        <v>9211</v>
      </c>
    </row>
    <row r="9214" spans="1:1">
      <c r="A9214">
        <f t="shared" si="190"/>
        <v>9212</v>
      </c>
    </row>
    <row r="9215" spans="1:1">
      <c r="A9215">
        <f t="shared" si="190"/>
        <v>9213</v>
      </c>
    </row>
    <row r="9216" spans="1:1">
      <c r="A9216">
        <f t="shared" si="190"/>
        <v>9214</v>
      </c>
    </row>
    <row r="9217" spans="1:1">
      <c r="A9217">
        <f t="shared" si="190"/>
        <v>9215</v>
      </c>
    </row>
    <row r="9218" spans="1:1">
      <c r="A9218">
        <f t="shared" si="190"/>
        <v>9216</v>
      </c>
    </row>
    <row r="9219" spans="1:1">
      <c r="A9219">
        <f t="shared" si="190"/>
        <v>9217</v>
      </c>
    </row>
    <row r="9220" spans="1:1">
      <c r="A9220">
        <f t="shared" si="190"/>
        <v>9218</v>
      </c>
    </row>
    <row r="9221" spans="1:1">
      <c r="A9221">
        <f t="shared" si="190"/>
        <v>9219</v>
      </c>
    </row>
    <row r="9222" spans="1:1">
      <c r="A9222">
        <f t="shared" si="190"/>
        <v>9220</v>
      </c>
    </row>
    <row r="9223" spans="1:1">
      <c r="A9223">
        <f t="shared" si="190"/>
        <v>9221</v>
      </c>
    </row>
    <row r="9224" spans="1:1">
      <c r="A9224">
        <f t="shared" si="190"/>
        <v>9222</v>
      </c>
    </row>
    <row r="9225" spans="1:1">
      <c r="A9225">
        <f t="shared" si="190"/>
        <v>9223</v>
      </c>
    </row>
    <row r="9226" spans="1:1">
      <c r="A9226">
        <f t="shared" si="190"/>
        <v>9224</v>
      </c>
    </row>
    <row r="9227" spans="1:1">
      <c r="A9227">
        <f t="shared" si="190"/>
        <v>9225</v>
      </c>
    </row>
    <row r="9228" spans="1:1">
      <c r="A9228">
        <f t="shared" si="190"/>
        <v>9226</v>
      </c>
    </row>
    <row r="9229" spans="1:1">
      <c r="A9229">
        <f t="shared" si="190"/>
        <v>9227</v>
      </c>
    </row>
    <row r="9230" spans="1:1">
      <c r="A9230">
        <f t="shared" si="190"/>
        <v>9228</v>
      </c>
    </row>
    <row r="9231" spans="1:1">
      <c r="A9231">
        <f t="shared" si="190"/>
        <v>9229</v>
      </c>
    </row>
    <row r="9232" spans="1:1">
      <c r="A9232">
        <f t="shared" si="190"/>
        <v>9230</v>
      </c>
    </row>
    <row r="9233" spans="1:1">
      <c r="A9233">
        <f t="shared" si="190"/>
        <v>9231</v>
      </c>
    </row>
    <row r="9234" spans="1:1">
      <c r="A9234">
        <f t="shared" si="190"/>
        <v>9232</v>
      </c>
    </row>
    <row r="9235" spans="1:1">
      <c r="A9235">
        <f t="shared" si="190"/>
        <v>9233</v>
      </c>
    </row>
    <row r="9236" spans="1:1">
      <c r="A9236">
        <f t="shared" si="190"/>
        <v>9234</v>
      </c>
    </row>
    <row r="9237" spans="1:1">
      <c r="A9237">
        <f t="shared" si="190"/>
        <v>9235</v>
      </c>
    </row>
    <row r="9238" spans="1:1">
      <c r="A9238">
        <f t="shared" si="190"/>
        <v>9236</v>
      </c>
    </row>
    <row r="9239" spans="1:1">
      <c r="A9239">
        <f t="shared" si="190"/>
        <v>9237</v>
      </c>
    </row>
    <row r="9240" spans="1:1">
      <c r="A9240">
        <f t="shared" si="190"/>
        <v>9238</v>
      </c>
    </row>
    <row r="9241" spans="1:1">
      <c r="A9241">
        <f t="shared" si="190"/>
        <v>9239</v>
      </c>
    </row>
    <row r="9242" spans="1:1">
      <c r="A9242">
        <f t="shared" si="190"/>
        <v>9240</v>
      </c>
    </row>
    <row r="9243" spans="1:1">
      <c r="A9243">
        <f t="shared" si="190"/>
        <v>9241</v>
      </c>
    </row>
    <row r="9244" spans="1:1">
      <c r="A9244">
        <f t="shared" si="190"/>
        <v>9242</v>
      </c>
    </row>
    <row r="9245" spans="1:1">
      <c r="A9245">
        <f t="shared" si="190"/>
        <v>9243</v>
      </c>
    </row>
    <row r="9246" spans="1:1">
      <c r="A9246">
        <f t="shared" si="190"/>
        <v>9244</v>
      </c>
    </row>
    <row r="9247" spans="1:1">
      <c r="A9247">
        <f t="shared" si="190"/>
        <v>9245</v>
      </c>
    </row>
    <row r="9248" spans="1:1">
      <c r="A9248">
        <f t="shared" si="190"/>
        <v>9246</v>
      </c>
    </row>
    <row r="9249" spans="1:1">
      <c r="A9249">
        <f t="shared" si="190"/>
        <v>9247</v>
      </c>
    </row>
    <row r="9250" spans="1:1">
      <c r="A9250">
        <f t="shared" si="190"/>
        <v>9248</v>
      </c>
    </row>
    <row r="9251" spans="1:1">
      <c r="A9251">
        <f t="shared" si="190"/>
        <v>9249</v>
      </c>
    </row>
    <row r="9252" spans="1:1">
      <c r="A9252">
        <f t="shared" ref="A9252:A9315" si="191">A9251+1</f>
        <v>9250</v>
      </c>
    </row>
    <row r="9253" spans="1:1">
      <c r="A9253">
        <f t="shared" si="191"/>
        <v>9251</v>
      </c>
    </row>
    <row r="9254" spans="1:1">
      <c r="A9254">
        <f t="shared" si="191"/>
        <v>9252</v>
      </c>
    </row>
    <row r="9255" spans="1:1">
      <c r="A9255">
        <f t="shared" si="191"/>
        <v>9253</v>
      </c>
    </row>
    <row r="9256" spans="1:1">
      <c r="A9256">
        <f t="shared" si="191"/>
        <v>9254</v>
      </c>
    </row>
    <row r="9257" spans="1:1">
      <c r="A9257">
        <f t="shared" si="191"/>
        <v>9255</v>
      </c>
    </row>
    <row r="9258" spans="1:1">
      <c r="A9258">
        <f t="shared" si="191"/>
        <v>9256</v>
      </c>
    </row>
    <row r="9259" spans="1:1">
      <c r="A9259">
        <f t="shared" si="191"/>
        <v>9257</v>
      </c>
    </row>
    <row r="9260" spans="1:1">
      <c r="A9260">
        <f t="shared" si="191"/>
        <v>9258</v>
      </c>
    </row>
    <row r="9261" spans="1:1">
      <c r="A9261">
        <f t="shared" si="191"/>
        <v>9259</v>
      </c>
    </row>
    <row r="9262" spans="1:1">
      <c r="A9262">
        <f t="shared" si="191"/>
        <v>9260</v>
      </c>
    </row>
    <row r="9263" spans="1:1">
      <c r="A9263">
        <f t="shared" si="191"/>
        <v>9261</v>
      </c>
    </row>
    <row r="9264" spans="1:1">
      <c r="A9264">
        <f t="shared" si="191"/>
        <v>9262</v>
      </c>
    </row>
    <row r="9265" spans="1:1">
      <c r="A9265">
        <f t="shared" si="191"/>
        <v>9263</v>
      </c>
    </row>
    <row r="9266" spans="1:1">
      <c r="A9266">
        <f t="shared" si="191"/>
        <v>9264</v>
      </c>
    </row>
    <row r="9267" spans="1:1">
      <c r="A9267">
        <f t="shared" si="191"/>
        <v>9265</v>
      </c>
    </row>
    <row r="9268" spans="1:1">
      <c r="A9268">
        <f t="shared" si="191"/>
        <v>9266</v>
      </c>
    </row>
    <row r="9269" spans="1:1">
      <c r="A9269">
        <f t="shared" si="191"/>
        <v>9267</v>
      </c>
    </row>
    <row r="9270" spans="1:1">
      <c r="A9270">
        <f t="shared" si="191"/>
        <v>9268</v>
      </c>
    </row>
    <row r="9271" spans="1:1">
      <c r="A9271">
        <f t="shared" si="191"/>
        <v>9269</v>
      </c>
    </row>
    <row r="9272" spans="1:1">
      <c r="A9272">
        <f t="shared" si="191"/>
        <v>9270</v>
      </c>
    </row>
    <row r="9273" spans="1:1">
      <c r="A9273">
        <f t="shared" si="191"/>
        <v>9271</v>
      </c>
    </row>
    <row r="9274" spans="1:1">
      <c r="A9274">
        <f t="shared" si="191"/>
        <v>9272</v>
      </c>
    </row>
    <row r="9275" spans="1:1">
      <c r="A9275">
        <f t="shared" si="191"/>
        <v>9273</v>
      </c>
    </row>
    <row r="9276" spans="1:1">
      <c r="A9276">
        <f t="shared" si="191"/>
        <v>9274</v>
      </c>
    </row>
    <row r="9277" spans="1:1">
      <c r="A9277">
        <f t="shared" si="191"/>
        <v>9275</v>
      </c>
    </row>
    <row r="9278" spans="1:1">
      <c r="A9278">
        <f t="shared" si="191"/>
        <v>9276</v>
      </c>
    </row>
    <row r="9279" spans="1:1">
      <c r="A9279">
        <f t="shared" si="191"/>
        <v>9277</v>
      </c>
    </row>
    <row r="9280" spans="1:1">
      <c r="A9280">
        <f t="shared" si="191"/>
        <v>9278</v>
      </c>
    </row>
    <row r="9281" spans="1:1">
      <c r="A9281">
        <f t="shared" si="191"/>
        <v>9279</v>
      </c>
    </row>
    <row r="9282" spans="1:1">
      <c r="A9282">
        <f t="shared" si="191"/>
        <v>9280</v>
      </c>
    </row>
    <row r="9283" spans="1:1">
      <c r="A9283">
        <f t="shared" si="191"/>
        <v>9281</v>
      </c>
    </row>
    <row r="9284" spans="1:1">
      <c r="A9284">
        <f t="shared" si="191"/>
        <v>9282</v>
      </c>
    </row>
    <row r="9285" spans="1:1">
      <c r="A9285">
        <f t="shared" si="191"/>
        <v>9283</v>
      </c>
    </row>
    <row r="9286" spans="1:1">
      <c r="A9286">
        <f t="shared" si="191"/>
        <v>9284</v>
      </c>
    </row>
    <row r="9287" spans="1:1">
      <c r="A9287">
        <f t="shared" si="191"/>
        <v>9285</v>
      </c>
    </row>
    <row r="9288" spans="1:1">
      <c r="A9288">
        <f t="shared" si="191"/>
        <v>9286</v>
      </c>
    </row>
    <row r="9289" spans="1:1">
      <c r="A9289">
        <f t="shared" si="191"/>
        <v>9287</v>
      </c>
    </row>
    <row r="9290" spans="1:1">
      <c r="A9290">
        <f t="shared" si="191"/>
        <v>9288</v>
      </c>
    </row>
    <row r="9291" spans="1:1">
      <c r="A9291">
        <f t="shared" si="191"/>
        <v>9289</v>
      </c>
    </row>
    <row r="9292" spans="1:1">
      <c r="A9292">
        <f t="shared" si="191"/>
        <v>9290</v>
      </c>
    </row>
    <row r="9293" spans="1:1">
      <c r="A9293">
        <f t="shared" si="191"/>
        <v>9291</v>
      </c>
    </row>
    <row r="9294" spans="1:1">
      <c r="A9294">
        <f t="shared" si="191"/>
        <v>9292</v>
      </c>
    </row>
    <row r="9295" spans="1:1">
      <c r="A9295">
        <f t="shared" si="191"/>
        <v>9293</v>
      </c>
    </row>
    <row r="9296" spans="1:1">
      <c r="A9296">
        <f t="shared" si="191"/>
        <v>9294</v>
      </c>
    </row>
    <row r="9297" spans="1:1">
      <c r="A9297">
        <f t="shared" si="191"/>
        <v>9295</v>
      </c>
    </row>
    <row r="9298" spans="1:1">
      <c r="A9298">
        <f t="shared" si="191"/>
        <v>9296</v>
      </c>
    </row>
    <row r="9299" spans="1:1">
      <c r="A9299">
        <f t="shared" si="191"/>
        <v>9297</v>
      </c>
    </row>
    <row r="9300" spans="1:1">
      <c r="A9300">
        <f t="shared" si="191"/>
        <v>9298</v>
      </c>
    </row>
    <row r="9301" spans="1:1">
      <c r="A9301">
        <f t="shared" si="191"/>
        <v>9299</v>
      </c>
    </row>
    <row r="9302" spans="1:1">
      <c r="A9302">
        <f t="shared" si="191"/>
        <v>9300</v>
      </c>
    </row>
    <row r="9303" spans="1:1">
      <c r="A9303">
        <f t="shared" si="191"/>
        <v>9301</v>
      </c>
    </row>
    <row r="9304" spans="1:1">
      <c r="A9304">
        <f t="shared" si="191"/>
        <v>9302</v>
      </c>
    </row>
    <row r="9305" spans="1:1">
      <c r="A9305">
        <f t="shared" si="191"/>
        <v>9303</v>
      </c>
    </row>
    <row r="9306" spans="1:1">
      <c r="A9306">
        <f t="shared" si="191"/>
        <v>9304</v>
      </c>
    </row>
    <row r="9307" spans="1:1">
      <c r="A9307">
        <f t="shared" si="191"/>
        <v>9305</v>
      </c>
    </row>
    <row r="9308" spans="1:1">
      <c r="A9308">
        <f t="shared" si="191"/>
        <v>9306</v>
      </c>
    </row>
    <row r="9309" spans="1:1">
      <c r="A9309">
        <f t="shared" si="191"/>
        <v>9307</v>
      </c>
    </row>
    <row r="9310" spans="1:1">
      <c r="A9310">
        <f t="shared" si="191"/>
        <v>9308</v>
      </c>
    </row>
    <row r="9311" spans="1:1">
      <c r="A9311">
        <f t="shared" si="191"/>
        <v>9309</v>
      </c>
    </row>
    <row r="9312" spans="1:1">
      <c r="A9312">
        <f t="shared" si="191"/>
        <v>9310</v>
      </c>
    </row>
    <row r="9313" spans="1:1">
      <c r="A9313">
        <f t="shared" si="191"/>
        <v>9311</v>
      </c>
    </row>
    <row r="9314" spans="1:1">
      <c r="A9314">
        <f t="shared" si="191"/>
        <v>9312</v>
      </c>
    </row>
    <row r="9315" spans="1:1">
      <c r="A9315">
        <f t="shared" si="191"/>
        <v>9313</v>
      </c>
    </row>
    <row r="9316" spans="1:1">
      <c r="A9316">
        <f t="shared" ref="A9316:A9379" si="192">A9315+1</f>
        <v>9314</v>
      </c>
    </row>
    <row r="9317" spans="1:1">
      <c r="A9317">
        <f t="shared" si="192"/>
        <v>9315</v>
      </c>
    </row>
    <row r="9318" spans="1:1">
      <c r="A9318">
        <f t="shared" si="192"/>
        <v>9316</v>
      </c>
    </row>
    <row r="9319" spans="1:1">
      <c r="A9319">
        <f t="shared" si="192"/>
        <v>9317</v>
      </c>
    </row>
    <row r="9320" spans="1:1">
      <c r="A9320">
        <f t="shared" si="192"/>
        <v>9318</v>
      </c>
    </row>
    <row r="9321" spans="1:1">
      <c r="A9321">
        <f t="shared" si="192"/>
        <v>9319</v>
      </c>
    </row>
    <row r="9322" spans="1:1">
      <c r="A9322">
        <f t="shared" si="192"/>
        <v>9320</v>
      </c>
    </row>
    <row r="9323" spans="1:1">
      <c r="A9323">
        <f t="shared" si="192"/>
        <v>9321</v>
      </c>
    </row>
    <row r="9324" spans="1:1">
      <c r="A9324">
        <f t="shared" si="192"/>
        <v>9322</v>
      </c>
    </row>
    <row r="9325" spans="1:1">
      <c r="A9325">
        <f t="shared" si="192"/>
        <v>9323</v>
      </c>
    </row>
    <row r="9326" spans="1:1">
      <c r="A9326">
        <f t="shared" si="192"/>
        <v>9324</v>
      </c>
    </row>
    <row r="9327" spans="1:1">
      <c r="A9327">
        <f t="shared" si="192"/>
        <v>9325</v>
      </c>
    </row>
    <row r="9328" spans="1:1">
      <c r="A9328">
        <f t="shared" si="192"/>
        <v>9326</v>
      </c>
    </row>
    <row r="9329" spans="1:1">
      <c r="A9329">
        <f t="shared" si="192"/>
        <v>9327</v>
      </c>
    </row>
    <row r="9330" spans="1:1">
      <c r="A9330">
        <f t="shared" si="192"/>
        <v>9328</v>
      </c>
    </row>
    <row r="9331" spans="1:1">
      <c r="A9331">
        <f t="shared" si="192"/>
        <v>9329</v>
      </c>
    </row>
    <row r="9332" spans="1:1">
      <c r="A9332">
        <f t="shared" si="192"/>
        <v>9330</v>
      </c>
    </row>
    <row r="9333" spans="1:1">
      <c r="A9333">
        <f t="shared" si="192"/>
        <v>9331</v>
      </c>
    </row>
    <row r="9334" spans="1:1">
      <c r="A9334">
        <f t="shared" si="192"/>
        <v>9332</v>
      </c>
    </row>
    <row r="9335" spans="1:1">
      <c r="A9335">
        <f t="shared" si="192"/>
        <v>9333</v>
      </c>
    </row>
    <row r="9336" spans="1:1">
      <c r="A9336">
        <f t="shared" si="192"/>
        <v>9334</v>
      </c>
    </row>
    <row r="9337" spans="1:1">
      <c r="A9337">
        <f t="shared" si="192"/>
        <v>9335</v>
      </c>
    </row>
    <row r="9338" spans="1:1">
      <c r="A9338">
        <f t="shared" si="192"/>
        <v>9336</v>
      </c>
    </row>
    <row r="9339" spans="1:1">
      <c r="A9339">
        <f t="shared" si="192"/>
        <v>9337</v>
      </c>
    </row>
    <row r="9340" spans="1:1">
      <c r="A9340">
        <f t="shared" si="192"/>
        <v>9338</v>
      </c>
    </row>
    <row r="9341" spans="1:1">
      <c r="A9341">
        <f t="shared" si="192"/>
        <v>9339</v>
      </c>
    </row>
    <row r="9342" spans="1:1">
      <c r="A9342">
        <f t="shared" si="192"/>
        <v>9340</v>
      </c>
    </row>
    <row r="9343" spans="1:1">
      <c r="A9343">
        <f t="shared" si="192"/>
        <v>9341</v>
      </c>
    </row>
    <row r="9344" spans="1:1">
      <c r="A9344">
        <f t="shared" si="192"/>
        <v>9342</v>
      </c>
    </row>
    <row r="9345" spans="1:1">
      <c r="A9345">
        <f t="shared" si="192"/>
        <v>9343</v>
      </c>
    </row>
    <row r="9346" spans="1:1">
      <c r="A9346">
        <f t="shared" si="192"/>
        <v>9344</v>
      </c>
    </row>
    <row r="9347" spans="1:1">
      <c r="A9347">
        <f t="shared" si="192"/>
        <v>9345</v>
      </c>
    </row>
    <row r="9348" spans="1:1">
      <c r="A9348">
        <f t="shared" si="192"/>
        <v>9346</v>
      </c>
    </row>
    <row r="9349" spans="1:1">
      <c r="A9349">
        <f t="shared" si="192"/>
        <v>9347</v>
      </c>
    </row>
    <row r="9350" spans="1:1">
      <c r="A9350">
        <f t="shared" si="192"/>
        <v>9348</v>
      </c>
    </row>
    <row r="9351" spans="1:1">
      <c r="A9351">
        <f t="shared" si="192"/>
        <v>9349</v>
      </c>
    </row>
    <row r="9352" spans="1:1">
      <c r="A9352">
        <f t="shared" si="192"/>
        <v>9350</v>
      </c>
    </row>
    <row r="9353" spans="1:1">
      <c r="A9353">
        <f t="shared" si="192"/>
        <v>9351</v>
      </c>
    </row>
    <row r="9354" spans="1:1">
      <c r="A9354">
        <f t="shared" si="192"/>
        <v>9352</v>
      </c>
    </row>
    <row r="9355" spans="1:1">
      <c r="A9355">
        <f t="shared" si="192"/>
        <v>9353</v>
      </c>
    </row>
    <row r="9356" spans="1:1">
      <c r="A9356">
        <f t="shared" si="192"/>
        <v>9354</v>
      </c>
    </row>
    <row r="9357" spans="1:1">
      <c r="A9357">
        <f t="shared" si="192"/>
        <v>9355</v>
      </c>
    </row>
    <row r="9358" spans="1:1">
      <c r="A9358">
        <f t="shared" si="192"/>
        <v>9356</v>
      </c>
    </row>
    <row r="9359" spans="1:1">
      <c r="A9359">
        <f t="shared" si="192"/>
        <v>9357</v>
      </c>
    </row>
    <row r="9360" spans="1:1">
      <c r="A9360">
        <f t="shared" si="192"/>
        <v>9358</v>
      </c>
    </row>
    <row r="9361" spans="1:1">
      <c r="A9361">
        <f t="shared" si="192"/>
        <v>9359</v>
      </c>
    </row>
    <row r="9362" spans="1:1">
      <c r="A9362">
        <f t="shared" si="192"/>
        <v>9360</v>
      </c>
    </row>
    <row r="9363" spans="1:1">
      <c r="A9363">
        <f t="shared" si="192"/>
        <v>9361</v>
      </c>
    </row>
    <row r="9364" spans="1:1">
      <c r="A9364">
        <f t="shared" si="192"/>
        <v>9362</v>
      </c>
    </row>
    <row r="9365" spans="1:1">
      <c r="A9365">
        <f t="shared" si="192"/>
        <v>9363</v>
      </c>
    </row>
    <row r="9366" spans="1:1">
      <c r="A9366">
        <f t="shared" si="192"/>
        <v>9364</v>
      </c>
    </row>
    <row r="9367" spans="1:1">
      <c r="A9367">
        <f t="shared" si="192"/>
        <v>9365</v>
      </c>
    </row>
    <row r="9368" spans="1:1">
      <c r="A9368">
        <f t="shared" si="192"/>
        <v>9366</v>
      </c>
    </row>
    <row r="9369" spans="1:1">
      <c r="A9369">
        <f t="shared" si="192"/>
        <v>9367</v>
      </c>
    </row>
    <row r="9370" spans="1:1">
      <c r="A9370">
        <f t="shared" si="192"/>
        <v>9368</v>
      </c>
    </row>
    <row r="9371" spans="1:1">
      <c r="A9371">
        <f t="shared" si="192"/>
        <v>9369</v>
      </c>
    </row>
    <row r="9372" spans="1:1">
      <c r="A9372">
        <f t="shared" si="192"/>
        <v>9370</v>
      </c>
    </row>
    <row r="9373" spans="1:1">
      <c r="A9373">
        <f t="shared" si="192"/>
        <v>9371</v>
      </c>
    </row>
    <row r="9374" spans="1:1">
      <c r="A9374">
        <f t="shared" si="192"/>
        <v>9372</v>
      </c>
    </row>
    <row r="9375" spans="1:1">
      <c r="A9375">
        <f t="shared" si="192"/>
        <v>9373</v>
      </c>
    </row>
    <row r="9376" spans="1:1">
      <c r="A9376">
        <f t="shared" si="192"/>
        <v>9374</v>
      </c>
    </row>
    <row r="9377" spans="1:1">
      <c r="A9377">
        <f t="shared" si="192"/>
        <v>9375</v>
      </c>
    </row>
    <row r="9378" spans="1:1">
      <c r="A9378">
        <f t="shared" si="192"/>
        <v>9376</v>
      </c>
    </row>
    <row r="9379" spans="1:1">
      <c r="A9379">
        <f t="shared" si="192"/>
        <v>9377</v>
      </c>
    </row>
    <row r="9380" spans="1:1">
      <c r="A9380">
        <f t="shared" ref="A9380:A9443" si="193">A9379+1</f>
        <v>9378</v>
      </c>
    </row>
    <row r="9381" spans="1:1">
      <c r="A9381">
        <f t="shared" si="193"/>
        <v>9379</v>
      </c>
    </row>
    <row r="9382" spans="1:1">
      <c r="A9382">
        <f t="shared" si="193"/>
        <v>9380</v>
      </c>
    </row>
    <row r="9383" spans="1:1">
      <c r="A9383">
        <f t="shared" si="193"/>
        <v>9381</v>
      </c>
    </row>
    <row r="9384" spans="1:1">
      <c r="A9384">
        <f t="shared" si="193"/>
        <v>9382</v>
      </c>
    </row>
    <row r="9385" spans="1:1">
      <c r="A9385">
        <f t="shared" si="193"/>
        <v>9383</v>
      </c>
    </row>
    <row r="9386" spans="1:1">
      <c r="A9386">
        <f t="shared" si="193"/>
        <v>9384</v>
      </c>
    </row>
    <row r="9387" spans="1:1">
      <c r="A9387">
        <f t="shared" si="193"/>
        <v>9385</v>
      </c>
    </row>
    <row r="9388" spans="1:1">
      <c r="A9388">
        <f t="shared" si="193"/>
        <v>9386</v>
      </c>
    </row>
    <row r="9389" spans="1:1">
      <c r="A9389">
        <f t="shared" si="193"/>
        <v>9387</v>
      </c>
    </row>
    <row r="9390" spans="1:1">
      <c r="A9390">
        <f t="shared" si="193"/>
        <v>9388</v>
      </c>
    </row>
    <row r="9391" spans="1:1">
      <c r="A9391">
        <f t="shared" si="193"/>
        <v>9389</v>
      </c>
    </row>
    <row r="9392" spans="1:1">
      <c r="A9392">
        <f t="shared" si="193"/>
        <v>9390</v>
      </c>
    </row>
    <row r="9393" spans="1:1">
      <c r="A9393">
        <f t="shared" si="193"/>
        <v>9391</v>
      </c>
    </row>
    <row r="9394" spans="1:1">
      <c r="A9394">
        <f t="shared" si="193"/>
        <v>9392</v>
      </c>
    </row>
    <row r="9395" spans="1:1">
      <c r="A9395">
        <f t="shared" si="193"/>
        <v>9393</v>
      </c>
    </row>
    <row r="9396" spans="1:1">
      <c r="A9396">
        <f t="shared" si="193"/>
        <v>9394</v>
      </c>
    </row>
    <row r="9397" spans="1:1">
      <c r="A9397">
        <f t="shared" si="193"/>
        <v>9395</v>
      </c>
    </row>
    <row r="9398" spans="1:1">
      <c r="A9398">
        <f t="shared" si="193"/>
        <v>9396</v>
      </c>
    </row>
    <row r="9399" spans="1:1">
      <c r="A9399">
        <f t="shared" si="193"/>
        <v>9397</v>
      </c>
    </row>
    <row r="9400" spans="1:1">
      <c r="A9400">
        <f t="shared" si="193"/>
        <v>9398</v>
      </c>
    </row>
    <row r="9401" spans="1:1">
      <c r="A9401">
        <f t="shared" si="193"/>
        <v>9399</v>
      </c>
    </row>
    <row r="9402" spans="1:1">
      <c r="A9402">
        <f t="shared" si="193"/>
        <v>9400</v>
      </c>
    </row>
    <row r="9403" spans="1:1">
      <c r="A9403">
        <f t="shared" si="193"/>
        <v>9401</v>
      </c>
    </row>
    <row r="9404" spans="1:1">
      <c r="A9404">
        <f t="shared" si="193"/>
        <v>9402</v>
      </c>
    </row>
    <row r="9405" spans="1:1">
      <c r="A9405">
        <f t="shared" si="193"/>
        <v>9403</v>
      </c>
    </row>
    <row r="9406" spans="1:1">
      <c r="A9406">
        <f t="shared" si="193"/>
        <v>9404</v>
      </c>
    </row>
    <row r="9407" spans="1:1">
      <c r="A9407">
        <f t="shared" si="193"/>
        <v>9405</v>
      </c>
    </row>
    <row r="9408" spans="1:1">
      <c r="A9408">
        <f t="shared" si="193"/>
        <v>9406</v>
      </c>
    </row>
    <row r="9409" spans="1:1">
      <c r="A9409">
        <f t="shared" si="193"/>
        <v>9407</v>
      </c>
    </row>
    <row r="9410" spans="1:1">
      <c r="A9410">
        <f t="shared" si="193"/>
        <v>9408</v>
      </c>
    </row>
    <row r="9411" spans="1:1">
      <c r="A9411">
        <f t="shared" si="193"/>
        <v>9409</v>
      </c>
    </row>
    <row r="9412" spans="1:1">
      <c r="A9412">
        <f t="shared" si="193"/>
        <v>9410</v>
      </c>
    </row>
    <row r="9413" spans="1:1">
      <c r="A9413">
        <f t="shared" si="193"/>
        <v>9411</v>
      </c>
    </row>
    <row r="9414" spans="1:1">
      <c r="A9414">
        <f t="shared" si="193"/>
        <v>9412</v>
      </c>
    </row>
    <row r="9415" spans="1:1">
      <c r="A9415">
        <f t="shared" si="193"/>
        <v>9413</v>
      </c>
    </row>
    <row r="9416" spans="1:1">
      <c r="A9416">
        <f t="shared" si="193"/>
        <v>9414</v>
      </c>
    </row>
    <row r="9417" spans="1:1">
      <c r="A9417">
        <f t="shared" si="193"/>
        <v>9415</v>
      </c>
    </row>
    <row r="9418" spans="1:1">
      <c r="A9418">
        <f t="shared" si="193"/>
        <v>9416</v>
      </c>
    </row>
    <row r="9419" spans="1:1">
      <c r="A9419">
        <f t="shared" si="193"/>
        <v>9417</v>
      </c>
    </row>
    <row r="9420" spans="1:1">
      <c r="A9420">
        <f t="shared" si="193"/>
        <v>9418</v>
      </c>
    </row>
    <row r="9421" spans="1:1">
      <c r="A9421">
        <f t="shared" si="193"/>
        <v>9419</v>
      </c>
    </row>
    <row r="9422" spans="1:1">
      <c r="A9422">
        <f t="shared" si="193"/>
        <v>9420</v>
      </c>
    </row>
    <row r="9423" spans="1:1">
      <c r="A9423">
        <f t="shared" si="193"/>
        <v>9421</v>
      </c>
    </row>
    <row r="9424" spans="1:1">
      <c r="A9424">
        <f t="shared" si="193"/>
        <v>9422</v>
      </c>
    </row>
    <row r="9425" spans="1:1">
      <c r="A9425">
        <f t="shared" si="193"/>
        <v>9423</v>
      </c>
    </row>
    <row r="9426" spans="1:1">
      <c r="A9426">
        <f t="shared" si="193"/>
        <v>9424</v>
      </c>
    </row>
    <row r="9427" spans="1:1">
      <c r="A9427">
        <f t="shared" si="193"/>
        <v>9425</v>
      </c>
    </row>
    <row r="9428" spans="1:1">
      <c r="A9428">
        <f t="shared" si="193"/>
        <v>9426</v>
      </c>
    </row>
    <row r="9429" spans="1:1">
      <c r="A9429">
        <f t="shared" si="193"/>
        <v>9427</v>
      </c>
    </row>
    <row r="9430" spans="1:1">
      <c r="A9430">
        <f t="shared" si="193"/>
        <v>9428</v>
      </c>
    </row>
    <row r="9431" spans="1:1">
      <c r="A9431">
        <f t="shared" si="193"/>
        <v>9429</v>
      </c>
    </row>
    <row r="9432" spans="1:1">
      <c r="A9432">
        <f t="shared" si="193"/>
        <v>9430</v>
      </c>
    </row>
    <row r="9433" spans="1:1">
      <c r="A9433">
        <f t="shared" si="193"/>
        <v>9431</v>
      </c>
    </row>
    <row r="9434" spans="1:1">
      <c r="A9434">
        <f t="shared" si="193"/>
        <v>9432</v>
      </c>
    </row>
    <row r="9435" spans="1:1">
      <c r="A9435">
        <f t="shared" si="193"/>
        <v>9433</v>
      </c>
    </row>
    <row r="9436" spans="1:1">
      <c r="A9436">
        <f t="shared" si="193"/>
        <v>9434</v>
      </c>
    </row>
    <row r="9437" spans="1:1">
      <c r="A9437">
        <f t="shared" si="193"/>
        <v>9435</v>
      </c>
    </row>
    <row r="9438" spans="1:1">
      <c r="A9438">
        <f t="shared" si="193"/>
        <v>9436</v>
      </c>
    </row>
    <row r="9439" spans="1:1">
      <c r="A9439">
        <f t="shared" si="193"/>
        <v>9437</v>
      </c>
    </row>
    <row r="9440" spans="1:1">
      <c r="A9440">
        <f t="shared" si="193"/>
        <v>9438</v>
      </c>
    </row>
    <row r="9441" spans="1:1">
      <c r="A9441">
        <f t="shared" si="193"/>
        <v>9439</v>
      </c>
    </row>
    <row r="9442" spans="1:1">
      <c r="A9442">
        <f t="shared" si="193"/>
        <v>9440</v>
      </c>
    </row>
    <row r="9443" spans="1:1">
      <c r="A9443">
        <f t="shared" si="193"/>
        <v>9441</v>
      </c>
    </row>
    <row r="9444" spans="1:1">
      <c r="A9444">
        <f t="shared" ref="A9444:A9507" si="194">A9443+1</f>
        <v>9442</v>
      </c>
    </row>
    <row r="9445" spans="1:1">
      <c r="A9445">
        <f t="shared" si="194"/>
        <v>9443</v>
      </c>
    </row>
    <row r="9446" spans="1:1">
      <c r="A9446">
        <f t="shared" si="194"/>
        <v>9444</v>
      </c>
    </row>
    <row r="9447" spans="1:1">
      <c r="A9447">
        <f t="shared" si="194"/>
        <v>9445</v>
      </c>
    </row>
    <row r="9448" spans="1:1">
      <c r="A9448">
        <f t="shared" si="194"/>
        <v>9446</v>
      </c>
    </row>
    <row r="9449" spans="1:1">
      <c r="A9449">
        <f t="shared" si="194"/>
        <v>9447</v>
      </c>
    </row>
    <row r="9450" spans="1:1">
      <c r="A9450">
        <f t="shared" si="194"/>
        <v>9448</v>
      </c>
    </row>
    <row r="9451" spans="1:1">
      <c r="A9451">
        <f t="shared" si="194"/>
        <v>9449</v>
      </c>
    </row>
    <row r="9452" spans="1:1">
      <c r="A9452">
        <f t="shared" si="194"/>
        <v>9450</v>
      </c>
    </row>
    <row r="9453" spans="1:1">
      <c r="A9453">
        <f t="shared" si="194"/>
        <v>9451</v>
      </c>
    </row>
    <row r="9454" spans="1:1">
      <c r="A9454">
        <f t="shared" si="194"/>
        <v>9452</v>
      </c>
    </row>
    <row r="9455" spans="1:1">
      <c r="A9455">
        <f t="shared" si="194"/>
        <v>9453</v>
      </c>
    </row>
    <row r="9456" spans="1:1">
      <c r="A9456">
        <f t="shared" si="194"/>
        <v>9454</v>
      </c>
    </row>
    <row r="9457" spans="1:1">
      <c r="A9457">
        <f t="shared" si="194"/>
        <v>9455</v>
      </c>
    </row>
    <row r="9458" spans="1:1">
      <c r="A9458">
        <f t="shared" si="194"/>
        <v>9456</v>
      </c>
    </row>
    <row r="9459" spans="1:1">
      <c r="A9459">
        <f t="shared" si="194"/>
        <v>9457</v>
      </c>
    </row>
    <row r="9460" spans="1:1">
      <c r="A9460">
        <f t="shared" si="194"/>
        <v>9458</v>
      </c>
    </row>
    <row r="9461" spans="1:1">
      <c r="A9461">
        <f t="shared" si="194"/>
        <v>9459</v>
      </c>
    </row>
    <row r="9462" spans="1:1">
      <c r="A9462">
        <f t="shared" si="194"/>
        <v>9460</v>
      </c>
    </row>
    <row r="9463" spans="1:1">
      <c r="A9463">
        <f t="shared" si="194"/>
        <v>9461</v>
      </c>
    </row>
    <row r="9464" spans="1:1">
      <c r="A9464">
        <f t="shared" si="194"/>
        <v>9462</v>
      </c>
    </row>
    <row r="9465" spans="1:1">
      <c r="A9465">
        <f t="shared" si="194"/>
        <v>9463</v>
      </c>
    </row>
    <row r="9466" spans="1:1">
      <c r="A9466">
        <f t="shared" si="194"/>
        <v>9464</v>
      </c>
    </row>
    <row r="9467" spans="1:1">
      <c r="A9467">
        <f t="shared" si="194"/>
        <v>9465</v>
      </c>
    </row>
    <row r="9468" spans="1:1">
      <c r="A9468">
        <f t="shared" si="194"/>
        <v>9466</v>
      </c>
    </row>
    <row r="9469" spans="1:1">
      <c r="A9469">
        <f t="shared" si="194"/>
        <v>9467</v>
      </c>
    </row>
    <row r="9470" spans="1:1">
      <c r="A9470">
        <f t="shared" si="194"/>
        <v>9468</v>
      </c>
    </row>
    <row r="9471" spans="1:1">
      <c r="A9471">
        <f t="shared" si="194"/>
        <v>9469</v>
      </c>
    </row>
    <row r="9472" spans="1:1">
      <c r="A9472">
        <f t="shared" si="194"/>
        <v>9470</v>
      </c>
    </row>
    <row r="9473" spans="1:1">
      <c r="A9473">
        <f t="shared" si="194"/>
        <v>9471</v>
      </c>
    </row>
    <row r="9474" spans="1:1">
      <c r="A9474">
        <f t="shared" si="194"/>
        <v>9472</v>
      </c>
    </row>
    <row r="9475" spans="1:1">
      <c r="A9475">
        <f t="shared" si="194"/>
        <v>9473</v>
      </c>
    </row>
    <row r="9476" spans="1:1">
      <c r="A9476">
        <f t="shared" si="194"/>
        <v>9474</v>
      </c>
    </row>
    <row r="9477" spans="1:1">
      <c r="A9477">
        <f t="shared" si="194"/>
        <v>9475</v>
      </c>
    </row>
    <row r="9478" spans="1:1">
      <c r="A9478">
        <f t="shared" si="194"/>
        <v>9476</v>
      </c>
    </row>
    <row r="9479" spans="1:1">
      <c r="A9479">
        <f t="shared" si="194"/>
        <v>9477</v>
      </c>
    </row>
    <row r="9480" spans="1:1">
      <c r="A9480">
        <f t="shared" si="194"/>
        <v>9478</v>
      </c>
    </row>
    <row r="9481" spans="1:1">
      <c r="A9481">
        <f t="shared" si="194"/>
        <v>9479</v>
      </c>
    </row>
    <row r="9482" spans="1:1">
      <c r="A9482">
        <f t="shared" si="194"/>
        <v>9480</v>
      </c>
    </row>
    <row r="9483" spans="1:1">
      <c r="A9483">
        <f t="shared" si="194"/>
        <v>9481</v>
      </c>
    </row>
    <row r="9484" spans="1:1">
      <c r="A9484">
        <f t="shared" si="194"/>
        <v>9482</v>
      </c>
    </row>
    <row r="9485" spans="1:1">
      <c r="A9485">
        <f t="shared" si="194"/>
        <v>9483</v>
      </c>
    </row>
    <row r="9486" spans="1:1">
      <c r="A9486">
        <f t="shared" si="194"/>
        <v>9484</v>
      </c>
    </row>
    <row r="9487" spans="1:1">
      <c r="A9487">
        <f t="shared" si="194"/>
        <v>9485</v>
      </c>
    </row>
    <row r="9488" spans="1:1">
      <c r="A9488">
        <f t="shared" si="194"/>
        <v>9486</v>
      </c>
    </row>
    <row r="9489" spans="1:1">
      <c r="A9489">
        <f t="shared" si="194"/>
        <v>9487</v>
      </c>
    </row>
    <row r="9490" spans="1:1">
      <c r="A9490">
        <f t="shared" si="194"/>
        <v>9488</v>
      </c>
    </row>
    <row r="9491" spans="1:1">
      <c r="A9491">
        <f t="shared" si="194"/>
        <v>9489</v>
      </c>
    </row>
    <row r="9492" spans="1:1">
      <c r="A9492">
        <f t="shared" si="194"/>
        <v>9490</v>
      </c>
    </row>
    <row r="9493" spans="1:1">
      <c r="A9493">
        <f t="shared" si="194"/>
        <v>9491</v>
      </c>
    </row>
    <row r="9494" spans="1:1">
      <c r="A9494">
        <f t="shared" si="194"/>
        <v>9492</v>
      </c>
    </row>
    <row r="9495" spans="1:1">
      <c r="A9495">
        <f t="shared" si="194"/>
        <v>9493</v>
      </c>
    </row>
    <row r="9496" spans="1:1">
      <c r="A9496">
        <f t="shared" si="194"/>
        <v>9494</v>
      </c>
    </row>
    <row r="9497" spans="1:1">
      <c r="A9497">
        <f t="shared" si="194"/>
        <v>9495</v>
      </c>
    </row>
    <row r="9498" spans="1:1">
      <c r="A9498">
        <f t="shared" si="194"/>
        <v>9496</v>
      </c>
    </row>
    <row r="9499" spans="1:1">
      <c r="A9499">
        <f t="shared" si="194"/>
        <v>9497</v>
      </c>
    </row>
    <row r="9500" spans="1:1">
      <c r="A9500">
        <f t="shared" si="194"/>
        <v>9498</v>
      </c>
    </row>
    <row r="9501" spans="1:1">
      <c r="A9501">
        <f t="shared" si="194"/>
        <v>9499</v>
      </c>
    </row>
    <row r="9502" spans="1:1">
      <c r="A9502">
        <f t="shared" si="194"/>
        <v>9500</v>
      </c>
    </row>
    <row r="9503" spans="1:1">
      <c r="A9503">
        <f t="shared" si="194"/>
        <v>9501</v>
      </c>
    </row>
    <row r="9504" spans="1:1">
      <c r="A9504">
        <f t="shared" si="194"/>
        <v>9502</v>
      </c>
    </row>
    <row r="9505" spans="1:1">
      <c r="A9505">
        <f t="shared" si="194"/>
        <v>9503</v>
      </c>
    </row>
    <row r="9506" spans="1:1">
      <c r="A9506">
        <f t="shared" si="194"/>
        <v>9504</v>
      </c>
    </row>
    <row r="9507" spans="1:1">
      <c r="A9507">
        <f t="shared" si="194"/>
        <v>9505</v>
      </c>
    </row>
    <row r="9508" spans="1:1">
      <c r="A9508">
        <f t="shared" ref="A9508:A9571" si="195">A9507+1</f>
        <v>9506</v>
      </c>
    </row>
    <row r="9509" spans="1:1">
      <c r="A9509">
        <f t="shared" si="195"/>
        <v>9507</v>
      </c>
    </row>
    <row r="9510" spans="1:1">
      <c r="A9510">
        <f t="shared" si="195"/>
        <v>9508</v>
      </c>
    </row>
    <row r="9511" spans="1:1">
      <c r="A9511">
        <f t="shared" si="195"/>
        <v>9509</v>
      </c>
    </row>
    <row r="9512" spans="1:1">
      <c r="A9512">
        <f t="shared" si="195"/>
        <v>9510</v>
      </c>
    </row>
    <row r="9513" spans="1:1">
      <c r="A9513">
        <f t="shared" si="195"/>
        <v>9511</v>
      </c>
    </row>
    <row r="9514" spans="1:1">
      <c r="A9514">
        <f t="shared" si="195"/>
        <v>9512</v>
      </c>
    </row>
    <row r="9515" spans="1:1">
      <c r="A9515">
        <f t="shared" si="195"/>
        <v>9513</v>
      </c>
    </row>
    <row r="9516" spans="1:1">
      <c r="A9516">
        <f t="shared" si="195"/>
        <v>9514</v>
      </c>
    </row>
    <row r="9517" spans="1:1">
      <c r="A9517">
        <f t="shared" si="195"/>
        <v>9515</v>
      </c>
    </row>
    <row r="9518" spans="1:1">
      <c r="A9518">
        <f t="shared" si="195"/>
        <v>9516</v>
      </c>
    </row>
    <row r="9519" spans="1:1">
      <c r="A9519">
        <f t="shared" si="195"/>
        <v>9517</v>
      </c>
    </row>
    <row r="9520" spans="1:1">
      <c r="A9520">
        <f t="shared" si="195"/>
        <v>9518</v>
      </c>
    </row>
    <row r="9521" spans="1:1">
      <c r="A9521">
        <f t="shared" si="195"/>
        <v>9519</v>
      </c>
    </row>
    <row r="9522" spans="1:1">
      <c r="A9522">
        <f t="shared" si="195"/>
        <v>9520</v>
      </c>
    </row>
    <row r="9523" spans="1:1">
      <c r="A9523">
        <f t="shared" si="195"/>
        <v>9521</v>
      </c>
    </row>
    <row r="9524" spans="1:1">
      <c r="A9524">
        <f t="shared" si="195"/>
        <v>9522</v>
      </c>
    </row>
    <row r="9525" spans="1:1">
      <c r="A9525">
        <f t="shared" si="195"/>
        <v>9523</v>
      </c>
    </row>
    <row r="9526" spans="1:1">
      <c r="A9526">
        <f t="shared" si="195"/>
        <v>9524</v>
      </c>
    </row>
    <row r="9527" spans="1:1">
      <c r="A9527">
        <f t="shared" si="195"/>
        <v>9525</v>
      </c>
    </row>
    <row r="9528" spans="1:1">
      <c r="A9528">
        <f t="shared" si="195"/>
        <v>9526</v>
      </c>
    </row>
    <row r="9529" spans="1:1">
      <c r="A9529">
        <f t="shared" si="195"/>
        <v>9527</v>
      </c>
    </row>
    <row r="9530" spans="1:1">
      <c r="A9530">
        <f t="shared" si="195"/>
        <v>9528</v>
      </c>
    </row>
    <row r="9531" spans="1:1">
      <c r="A9531">
        <f t="shared" si="195"/>
        <v>9529</v>
      </c>
    </row>
    <row r="9532" spans="1:1">
      <c r="A9532">
        <f t="shared" si="195"/>
        <v>9530</v>
      </c>
    </row>
    <row r="9533" spans="1:1">
      <c r="A9533">
        <f t="shared" si="195"/>
        <v>9531</v>
      </c>
    </row>
    <row r="9534" spans="1:1">
      <c r="A9534">
        <f t="shared" si="195"/>
        <v>9532</v>
      </c>
    </row>
    <row r="9535" spans="1:1">
      <c r="A9535">
        <f t="shared" si="195"/>
        <v>9533</v>
      </c>
    </row>
    <row r="9536" spans="1:1">
      <c r="A9536">
        <f t="shared" si="195"/>
        <v>9534</v>
      </c>
    </row>
    <row r="9537" spans="1:1">
      <c r="A9537">
        <f t="shared" si="195"/>
        <v>9535</v>
      </c>
    </row>
    <row r="9538" spans="1:1">
      <c r="A9538">
        <f t="shared" si="195"/>
        <v>9536</v>
      </c>
    </row>
    <row r="9539" spans="1:1">
      <c r="A9539">
        <f t="shared" si="195"/>
        <v>9537</v>
      </c>
    </row>
    <row r="9540" spans="1:1">
      <c r="A9540">
        <f t="shared" si="195"/>
        <v>9538</v>
      </c>
    </row>
    <row r="9541" spans="1:1">
      <c r="A9541">
        <f t="shared" si="195"/>
        <v>9539</v>
      </c>
    </row>
    <row r="9542" spans="1:1">
      <c r="A9542">
        <f t="shared" si="195"/>
        <v>9540</v>
      </c>
    </row>
    <row r="9543" spans="1:1">
      <c r="A9543">
        <f t="shared" si="195"/>
        <v>9541</v>
      </c>
    </row>
    <row r="9544" spans="1:1">
      <c r="A9544">
        <f t="shared" si="195"/>
        <v>9542</v>
      </c>
    </row>
    <row r="9545" spans="1:1">
      <c r="A9545">
        <f t="shared" si="195"/>
        <v>9543</v>
      </c>
    </row>
    <row r="9546" spans="1:1">
      <c r="A9546">
        <f t="shared" si="195"/>
        <v>9544</v>
      </c>
    </row>
    <row r="9547" spans="1:1">
      <c r="A9547">
        <f t="shared" si="195"/>
        <v>9545</v>
      </c>
    </row>
    <row r="9548" spans="1:1">
      <c r="A9548">
        <f t="shared" si="195"/>
        <v>9546</v>
      </c>
    </row>
    <row r="9549" spans="1:1">
      <c r="A9549">
        <f t="shared" si="195"/>
        <v>9547</v>
      </c>
    </row>
    <row r="9550" spans="1:1">
      <c r="A9550">
        <f t="shared" si="195"/>
        <v>9548</v>
      </c>
    </row>
    <row r="9551" spans="1:1">
      <c r="A9551">
        <f t="shared" si="195"/>
        <v>9549</v>
      </c>
    </row>
    <row r="9552" spans="1:1">
      <c r="A9552">
        <f t="shared" si="195"/>
        <v>9550</v>
      </c>
    </row>
    <row r="9553" spans="1:1">
      <c r="A9553">
        <f t="shared" si="195"/>
        <v>9551</v>
      </c>
    </row>
    <row r="9554" spans="1:1">
      <c r="A9554">
        <f t="shared" si="195"/>
        <v>9552</v>
      </c>
    </row>
    <row r="9555" spans="1:1">
      <c r="A9555">
        <f t="shared" si="195"/>
        <v>9553</v>
      </c>
    </row>
    <row r="9556" spans="1:1">
      <c r="A9556">
        <f t="shared" si="195"/>
        <v>9554</v>
      </c>
    </row>
    <row r="9557" spans="1:1">
      <c r="A9557">
        <f t="shared" si="195"/>
        <v>9555</v>
      </c>
    </row>
    <row r="9558" spans="1:1">
      <c r="A9558">
        <f t="shared" si="195"/>
        <v>9556</v>
      </c>
    </row>
    <row r="9559" spans="1:1">
      <c r="A9559">
        <f t="shared" si="195"/>
        <v>9557</v>
      </c>
    </row>
    <row r="9560" spans="1:1">
      <c r="A9560">
        <f t="shared" si="195"/>
        <v>9558</v>
      </c>
    </row>
    <row r="9561" spans="1:1">
      <c r="A9561">
        <f t="shared" si="195"/>
        <v>9559</v>
      </c>
    </row>
    <row r="9562" spans="1:1">
      <c r="A9562">
        <f t="shared" si="195"/>
        <v>9560</v>
      </c>
    </row>
    <row r="9563" spans="1:1">
      <c r="A9563">
        <f t="shared" si="195"/>
        <v>9561</v>
      </c>
    </row>
    <row r="9564" spans="1:1">
      <c r="A9564">
        <f t="shared" si="195"/>
        <v>9562</v>
      </c>
    </row>
    <row r="9565" spans="1:1">
      <c r="A9565">
        <f t="shared" si="195"/>
        <v>9563</v>
      </c>
    </row>
    <row r="9566" spans="1:1">
      <c r="A9566">
        <f t="shared" si="195"/>
        <v>9564</v>
      </c>
    </row>
    <row r="9567" spans="1:1">
      <c r="A9567">
        <f t="shared" si="195"/>
        <v>9565</v>
      </c>
    </row>
    <row r="9568" spans="1:1">
      <c r="A9568">
        <f t="shared" si="195"/>
        <v>9566</v>
      </c>
    </row>
    <row r="9569" spans="1:1">
      <c r="A9569">
        <f t="shared" si="195"/>
        <v>9567</v>
      </c>
    </row>
    <row r="9570" spans="1:1">
      <c r="A9570">
        <f t="shared" si="195"/>
        <v>9568</v>
      </c>
    </row>
    <row r="9571" spans="1:1">
      <c r="A9571">
        <f t="shared" si="195"/>
        <v>9569</v>
      </c>
    </row>
    <row r="9572" spans="1:1">
      <c r="A9572">
        <f t="shared" ref="A9572:A9635" si="196">A9571+1</f>
        <v>9570</v>
      </c>
    </row>
    <row r="9573" spans="1:1">
      <c r="A9573">
        <f t="shared" si="196"/>
        <v>9571</v>
      </c>
    </row>
    <row r="9574" spans="1:1">
      <c r="A9574">
        <f t="shared" si="196"/>
        <v>9572</v>
      </c>
    </row>
    <row r="9575" spans="1:1">
      <c r="A9575">
        <f t="shared" si="196"/>
        <v>9573</v>
      </c>
    </row>
    <row r="9576" spans="1:1">
      <c r="A9576">
        <f t="shared" si="196"/>
        <v>9574</v>
      </c>
    </row>
    <row r="9577" spans="1:1">
      <c r="A9577">
        <f t="shared" si="196"/>
        <v>9575</v>
      </c>
    </row>
    <row r="9578" spans="1:1">
      <c r="A9578">
        <f t="shared" si="196"/>
        <v>9576</v>
      </c>
    </row>
    <row r="9579" spans="1:1">
      <c r="A9579">
        <f t="shared" si="196"/>
        <v>9577</v>
      </c>
    </row>
    <row r="9580" spans="1:1">
      <c r="A9580">
        <f t="shared" si="196"/>
        <v>9578</v>
      </c>
    </row>
    <row r="9581" spans="1:1">
      <c r="A9581">
        <f t="shared" si="196"/>
        <v>9579</v>
      </c>
    </row>
    <row r="9582" spans="1:1">
      <c r="A9582">
        <f t="shared" si="196"/>
        <v>9580</v>
      </c>
    </row>
    <row r="9583" spans="1:1">
      <c r="A9583">
        <f t="shared" si="196"/>
        <v>9581</v>
      </c>
    </row>
    <row r="9584" spans="1:1">
      <c r="A9584">
        <f t="shared" si="196"/>
        <v>9582</v>
      </c>
    </row>
    <row r="9585" spans="1:1">
      <c r="A9585">
        <f t="shared" si="196"/>
        <v>9583</v>
      </c>
    </row>
    <row r="9586" spans="1:1">
      <c r="A9586">
        <f t="shared" si="196"/>
        <v>9584</v>
      </c>
    </row>
    <row r="9587" spans="1:1">
      <c r="A9587">
        <f t="shared" si="196"/>
        <v>9585</v>
      </c>
    </row>
    <row r="9588" spans="1:1">
      <c r="A9588">
        <f t="shared" si="196"/>
        <v>9586</v>
      </c>
    </row>
    <row r="9589" spans="1:1">
      <c r="A9589">
        <f t="shared" si="196"/>
        <v>9587</v>
      </c>
    </row>
    <row r="9590" spans="1:1">
      <c r="A9590">
        <f t="shared" si="196"/>
        <v>9588</v>
      </c>
    </row>
    <row r="9591" spans="1:1">
      <c r="A9591">
        <f t="shared" si="196"/>
        <v>9589</v>
      </c>
    </row>
    <row r="9592" spans="1:1">
      <c r="A9592">
        <f t="shared" si="196"/>
        <v>9590</v>
      </c>
    </row>
    <row r="9593" spans="1:1">
      <c r="A9593">
        <f t="shared" si="196"/>
        <v>9591</v>
      </c>
    </row>
    <row r="9594" spans="1:1">
      <c r="A9594">
        <f t="shared" si="196"/>
        <v>9592</v>
      </c>
    </row>
    <row r="9595" spans="1:1">
      <c r="A9595">
        <f t="shared" si="196"/>
        <v>9593</v>
      </c>
    </row>
    <row r="9596" spans="1:1">
      <c r="A9596">
        <f t="shared" si="196"/>
        <v>9594</v>
      </c>
    </row>
    <row r="9597" spans="1:1">
      <c r="A9597">
        <f t="shared" si="196"/>
        <v>9595</v>
      </c>
    </row>
    <row r="9598" spans="1:1">
      <c r="A9598">
        <f t="shared" si="196"/>
        <v>9596</v>
      </c>
    </row>
    <row r="9599" spans="1:1">
      <c r="A9599">
        <f t="shared" si="196"/>
        <v>9597</v>
      </c>
    </row>
    <row r="9600" spans="1:1">
      <c r="A9600">
        <f t="shared" si="196"/>
        <v>9598</v>
      </c>
    </row>
    <row r="9601" spans="1:1">
      <c r="A9601">
        <f t="shared" si="196"/>
        <v>9599</v>
      </c>
    </row>
    <row r="9602" spans="1:1">
      <c r="A9602">
        <f t="shared" si="196"/>
        <v>9600</v>
      </c>
    </row>
    <row r="9603" spans="1:1">
      <c r="A9603">
        <f t="shared" si="196"/>
        <v>9601</v>
      </c>
    </row>
    <row r="9604" spans="1:1">
      <c r="A9604">
        <f t="shared" si="196"/>
        <v>9602</v>
      </c>
    </row>
    <row r="9605" spans="1:1">
      <c r="A9605">
        <f t="shared" si="196"/>
        <v>9603</v>
      </c>
    </row>
    <row r="9606" spans="1:1">
      <c r="A9606">
        <f t="shared" si="196"/>
        <v>9604</v>
      </c>
    </row>
    <row r="9607" spans="1:1">
      <c r="A9607">
        <f t="shared" si="196"/>
        <v>9605</v>
      </c>
    </row>
    <row r="9608" spans="1:1">
      <c r="A9608">
        <f t="shared" si="196"/>
        <v>9606</v>
      </c>
    </row>
    <row r="9609" spans="1:1">
      <c r="A9609">
        <f t="shared" si="196"/>
        <v>9607</v>
      </c>
    </row>
    <row r="9610" spans="1:1">
      <c r="A9610">
        <f t="shared" si="196"/>
        <v>9608</v>
      </c>
    </row>
    <row r="9611" spans="1:1">
      <c r="A9611">
        <f t="shared" si="196"/>
        <v>9609</v>
      </c>
    </row>
    <row r="9612" spans="1:1">
      <c r="A9612">
        <f t="shared" si="196"/>
        <v>9610</v>
      </c>
    </row>
    <row r="9613" spans="1:1">
      <c r="A9613">
        <f t="shared" si="196"/>
        <v>9611</v>
      </c>
    </row>
    <row r="9614" spans="1:1">
      <c r="A9614">
        <f t="shared" si="196"/>
        <v>9612</v>
      </c>
    </row>
    <row r="9615" spans="1:1">
      <c r="A9615">
        <f t="shared" si="196"/>
        <v>9613</v>
      </c>
    </row>
    <row r="9616" spans="1:1">
      <c r="A9616">
        <f t="shared" si="196"/>
        <v>9614</v>
      </c>
    </row>
    <row r="9617" spans="1:1">
      <c r="A9617">
        <f t="shared" si="196"/>
        <v>9615</v>
      </c>
    </row>
    <row r="9618" spans="1:1">
      <c r="A9618">
        <f t="shared" si="196"/>
        <v>9616</v>
      </c>
    </row>
    <row r="9619" spans="1:1">
      <c r="A9619">
        <f t="shared" si="196"/>
        <v>9617</v>
      </c>
    </row>
    <row r="9620" spans="1:1">
      <c r="A9620">
        <f t="shared" si="196"/>
        <v>9618</v>
      </c>
    </row>
    <row r="9621" spans="1:1">
      <c r="A9621">
        <f t="shared" si="196"/>
        <v>9619</v>
      </c>
    </row>
    <row r="9622" spans="1:1">
      <c r="A9622">
        <f t="shared" si="196"/>
        <v>9620</v>
      </c>
    </row>
    <row r="9623" spans="1:1">
      <c r="A9623">
        <f t="shared" si="196"/>
        <v>9621</v>
      </c>
    </row>
    <row r="9624" spans="1:1">
      <c r="A9624">
        <f t="shared" si="196"/>
        <v>9622</v>
      </c>
    </row>
    <row r="9625" spans="1:1">
      <c r="A9625">
        <f t="shared" si="196"/>
        <v>9623</v>
      </c>
    </row>
    <row r="9626" spans="1:1">
      <c r="A9626">
        <f t="shared" si="196"/>
        <v>9624</v>
      </c>
    </row>
    <row r="9627" spans="1:1">
      <c r="A9627">
        <f t="shared" si="196"/>
        <v>9625</v>
      </c>
    </row>
    <row r="9628" spans="1:1">
      <c r="A9628">
        <f t="shared" si="196"/>
        <v>9626</v>
      </c>
    </row>
    <row r="9629" spans="1:1">
      <c r="A9629">
        <f t="shared" si="196"/>
        <v>9627</v>
      </c>
    </row>
    <row r="9630" spans="1:1">
      <c r="A9630">
        <f t="shared" si="196"/>
        <v>9628</v>
      </c>
    </row>
    <row r="9631" spans="1:1">
      <c r="A9631">
        <f t="shared" si="196"/>
        <v>9629</v>
      </c>
    </row>
    <row r="9632" spans="1:1">
      <c r="A9632">
        <f t="shared" si="196"/>
        <v>9630</v>
      </c>
    </row>
    <row r="9633" spans="1:1">
      <c r="A9633">
        <f t="shared" si="196"/>
        <v>9631</v>
      </c>
    </row>
    <row r="9634" spans="1:1">
      <c r="A9634">
        <f t="shared" si="196"/>
        <v>9632</v>
      </c>
    </row>
    <row r="9635" spans="1:1">
      <c r="A9635">
        <f t="shared" si="196"/>
        <v>9633</v>
      </c>
    </row>
    <row r="9636" spans="1:1">
      <c r="A9636">
        <f t="shared" ref="A9636:A9699" si="197">A9635+1</f>
        <v>9634</v>
      </c>
    </row>
    <row r="9637" spans="1:1">
      <c r="A9637">
        <f t="shared" si="197"/>
        <v>9635</v>
      </c>
    </row>
    <row r="9638" spans="1:1">
      <c r="A9638">
        <f t="shared" si="197"/>
        <v>9636</v>
      </c>
    </row>
    <row r="9639" spans="1:1">
      <c r="A9639">
        <f t="shared" si="197"/>
        <v>9637</v>
      </c>
    </row>
    <row r="9640" spans="1:1">
      <c r="A9640">
        <f t="shared" si="197"/>
        <v>9638</v>
      </c>
    </row>
    <row r="9641" spans="1:1">
      <c r="A9641">
        <f t="shared" si="197"/>
        <v>9639</v>
      </c>
    </row>
    <row r="9642" spans="1:1">
      <c r="A9642">
        <f t="shared" si="197"/>
        <v>9640</v>
      </c>
    </row>
    <row r="9643" spans="1:1">
      <c r="A9643">
        <f t="shared" si="197"/>
        <v>9641</v>
      </c>
    </row>
    <row r="9644" spans="1:1">
      <c r="A9644">
        <f t="shared" si="197"/>
        <v>9642</v>
      </c>
    </row>
    <row r="9645" spans="1:1">
      <c r="A9645">
        <f t="shared" si="197"/>
        <v>9643</v>
      </c>
    </row>
    <row r="9646" spans="1:1">
      <c r="A9646">
        <f t="shared" si="197"/>
        <v>9644</v>
      </c>
    </row>
    <row r="9647" spans="1:1">
      <c r="A9647">
        <f t="shared" si="197"/>
        <v>9645</v>
      </c>
    </row>
    <row r="9648" spans="1:1">
      <c r="A9648">
        <f t="shared" si="197"/>
        <v>9646</v>
      </c>
    </row>
    <row r="9649" spans="1:1">
      <c r="A9649">
        <f t="shared" si="197"/>
        <v>9647</v>
      </c>
    </row>
    <row r="9650" spans="1:1">
      <c r="A9650">
        <f t="shared" si="197"/>
        <v>9648</v>
      </c>
    </row>
    <row r="9651" spans="1:1">
      <c r="A9651">
        <f t="shared" si="197"/>
        <v>9649</v>
      </c>
    </row>
    <row r="9652" spans="1:1">
      <c r="A9652">
        <f t="shared" si="197"/>
        <v>9650</v>
      </c>
    </row>
    <row r="9653" spans="1:1">
      <c r="A9653">
        <f t="shared" si="197"/>
        <v>9651</v>
      </c>
    </row>
    <row r="9654" spans="1:1">
      <c r="A9654">
        <f t="shared" si="197"/>
        <v>9652</v>
      </c>
    </row>
    <row r="9655" spans="1:1">
      <c r="A9655">
        <f t="shared" si="197"/>
        <v>9653</v>
      </c>
    </row>
    <row r="9656" spans="1:1">
      <c r="A9656">
        <f t="shared" si="197"/>
        <v>9654</v>
      </c>
    </row>
    <row r="9657" spans="1:1">
      <c r="A9657">
        <f t="shared" si="197"/>
        <v>9655</v>
      </c>
    </row>
    <row r="9658" spans="1:1">
      <c r="A9658">
        <f t="shared" si="197"/>
        <v>9656</v>
      </c>
    </row>
    <row r="9659" spans="1:1">
      <c r="A9659">
        <f t="shared" si="197"/>
        <v>9657</v>
      </c>
    </row>
    <row r="9660" spans="1:1">
      <c r="A9660">
        <f t="shared" si="197"/>
        <v>9658</v>
      </c>
    </row>
    <row r="9661" spans="1:1">
      <c r="A9661">
        <f t="shared" si="197"/>
        <v>9659</v>
      </c>
    </row>
    <row r="9662" spans="1:1">
      <c r="A9662">
        <f t="shared" si="197"/>
        <v>9660</v>
      </c>
    </row>
    <row r="9663" spans="1:1">
      <c r="A9663">
        <f t="shared" si="197"/>
        <v>9661</v>
      </c>
    </row>
    <row r="9664" spans="1:1">
      <c r="A9664">
        <f t="shared" si="197"/>
        <v>9662</v>
      </c>
    </row>
    <row r="9665" spans="1:1">
      <c r="A9665">
        <f t="shared" si="197"/>
        <v>9663</v>
      </c>
    </row>
    <row r="9666" spans="1:1">
      <c r="A9666">
        <f t="shared" si="197"/>
        <v>9664</v>
      </c>
    </row>
    <row r="9667" spans="1:1">
      <c r="A9667">
        <f t="shared" si="197"/>
        <v>9665</v>
      </c>
    </row>
    <row r="9668" spans="1:1">
      <c r="A9668">
        <f t="shared" si="197"/>
        <v>9666</v>
      </c>
    </row>
    <row r="9669" spans="1:1">
      <c r="A9669">
        <f t="shared" si="197"/>
        <v>9667</v>
      </c>
    </row>
    <row r="9670" spans="1:1">
      <c r="A9670">
        <f t="shared" si="197"/>
        <v>9668</v>
      </c>
    </row>
    <row r="9671" spans="1:1">
      <c r="A9671">
        <f t="shared" si="197"/>
        <v>9669</v>
      </c>
    </row>
    <row r="9672" spans="1:1">
      <c r="A9672">
        <f t="shared" si="197"/>
        <v>9670</v>
      </c>
    </row>
    <row r="9673" spans="1:1">
      <c r="A9673">
        <f t="shared" si="197"/>
        <v>9671</v>
      </c>
    </row>
    <row r="9674" spans="1:1">
      <c r="A9674">
        <f t="shared" si="197"/>
        <v>9672</v>
      </c>
    </row>
    <row r="9675" spans="1:1">
      <c r="A9675">
        <f t="shared" si="197"/>
        <v>9673</v>
      </c>
    </row>
    <row r="9676" spans="1:1">
      <c r="A9676">
        <f t="shared" si="197"/>
        <v>9674</v>
      </c>
    </row>
    <row r="9677" spans="1:1">
      <c r="A9677">
        <f t="shared" si="197"/>
        <v>9675</v>
      </c>
    </row>
    <row r="9678" spans="1:1">
      <c r="A9678">
        <f t="shared" si="197"/>
        <v>9676</v>
      </c>
    </row>
    <row r="9679" spans="1:1">
      <c r="A9679">
        <f t="shared" si="197"/>
        <v>9677</v>
      </c>
    </row>
    <row r="9680" spans="1:1">
      <c r="A9680">
        <f t="shared" si="197"/>
        <v>9678</v>
      </c>
    </row>
    <row r="9681" spans="1:1">
      <c r="A9681">
        <f t="shared" si="197"/>
        <v>9679</v>
      </c>
    </row>
    <row r="9682" spans="1:1">
      <c r="A9682">
        <f t="shared" si="197"/>
        <v>9680</v>
      </c>
    </row>
    <row r="9683" spans="1:1">
      <c r="A9683">
        <f t="shared" si="197"/>
        <v>9681</v>
      </c>
    </row>
    <row r="9684" spans="1:1">
      <c r="A9684">
        <f t="shared" si="197"/>
        <v>9682</v>
      </c>
    </row>
    <row r="9685" spans="1:1">
      <c r="A9685">
        <f t="shared" si="197"/>
        <v>9683</v>
      </c>
    </row>
    <row r="9686" spans="1:1">
      <c r="A9686">
        <f t="shared" si="197"/>
        <v>9684</v>
      </c>
    </row>
    <row r="9687" spans="1:1">
      <c r="A9687">
        <f t="shared" si="197"/>
        <v>9685</v>
      </c>
    </row>
    <row r="9688" spans="1:1">
      <c r="A9688">
        <f t="shared" si="197"/>
        <v>9686</v>
      </c>
    </row>
    <row r="9689" spans="1:1">
      <c r="A9689">
        <f t="shared" si="197"/>
        <v>9687</v>
      </c>
    </row>
    <row r="9690" spans="1:1">
      <c r="A9690">
        <f t="shared" si="197"/>
        <v>9688</v>
      </c>
    </row>
    <row r="9691" spans="1:1">
      <c r="A9691">
        <f t="shared" si="197"/>
        <v>9689</v>
      </c>
    </row>
    <row r="9692" spans="1:1">
      <c r="A9692">
        <f t="shared" si="197"/>
        <v>9690</v>
      </c>
    </row>
    <row r="9693" spans="1:1">
      <c r="A9693">
        <f t="shared" si="197"/>
        <v>9691</v>
      </c>
    </row>
    <row r="9694" spans="1:1">
      <c r="A9694">
        <f t="shared" si="197"/>
        <v>9692</v>
      </c>
    </row>
    <row r="9695" spans="1:1">
      <c r="A9695">
        <f t="shared" si="197"/>
        <v>9693</v>
      </c>
    </row>
    <row r="9696" spans="1:1">
      <c r="A9696">
        <f t="shared" si="197"/>
        <v>9694</v>
      </c>
    </row>
    <row r="9697" spans="1:1">
      <c r="A9697">
        <f t="shared" si="197"/>
        <v>9695</v>
      </c>
    </row>
    <row r="9698" spans="1:1">
      <c r="A9698">
        <f t="shared" si="197"/>
        <v>9696</v>
      </c>
    </row>
    <row r="9699" spans="1:1">
      <c r="A9699">
        <f t="shared" si="197"/>
        <v>9697</v>
      </c>
    </row>
    <row r="9700" spans="1:1">
      <c r="A9700">
        <f t="shared" ref="A9700:A9763" si="198">A9699+1</f>
        <v>9698</v>
      </c>
    </row>
    <row r="9701" spans="1:1">
      <c r="A9701">
        <f t="shared" si="198"/>
        <v>9699</v>
      </c>
    </row>
    <row r="9702" spans="1:1">
      <c r="A9702">
        <f t="shared" si="198"/>
        <v>9700</v>
      </c>
    </row>
    <row r="9703" spans="1:1">
      <c r="A9703">
        <f t="shared" si="198"/>
        <v>9701</v>
      </c>
    </row>
    <row r="9704" spans="1:1">
      <c r="A9704">
        <f t="shared" si="198"/>
        <v>9702</v>
      </c>
    </row>
    <row r="9705" spans="1:1">
      <c r="A9705">
        <f t="shared" si="198"/>
        <v>9703</v>
      </c>
    </row>
    <row r="9706" spans="1:1">
      <c r="A9706">
        <f t="shared" si="198"/>
        <v>9704</v>
      </c>
    </row>
    <row r="9707" spans="1:1">
      <c r="A9707">
        <f t="shared" si="198"/>
        <v>9705</v>
      </c>
    </row>
    <row r="9708" spans="1:1">
      <c r="A9708">
        <f t="shared" si="198"/>
        <v>9706</v>
      </c>
    </row>
    <row r="9709" spans="1:1">
      <c r="A9709">
        <f t="shared" si="198"/>
        <v>9707</v>
      </c>
    </row>
    <row r="9710" spans="1:1">
      <c r="A9710">
        <f t="shared" si="198"/>
        <v>9708</v>
      </c>
    </row>
    <row r="9711" spans="1:1">
      <c r="A9711">
        <f t="shared" si="198"/>
        <v>9709</v>
      </c>
    </row>
    <row r="9712" spans="1:1">
      <c r="A9712">
        <f t="shared" si="198"/>
        <v>9710</v>
      </c>
    </row>
    <row r="9713" spans="1:1">
      <c r="A9713">
        <f t="shared" si="198"/>
        <v>9711</v>
      </c>
    </row>
    <row r="9714" spans="1:1">
      <c r="A9714">
        <f t="shared" si="198"/>
        <v>9712</v>
      </c>
    </row>
    <row r="9715" spans="1:1">
      <c r="A9715">
        <f t="shared" si="198"/>
        <v>9713</v>
      </c>
    </row>
    <row r="9716" spans="1:1">
      <c r="A9716">
        <f t="shared" si="198"/>
        <v>9714</v>
      </c>
    </row>
    <row r="9717" spans="1:1">
      <c r="A9717">
        <f t="shared" si="198"/>
        <v>9715</v>
      </c>
    </row>
    <row r="9718" spans="1:1">
      <c r="A9718">
        <f t="shared" si="198"/>
        <v>9716</v>
      </c>
    </row>
    <row r="9719" spans="1:1">
      <c r="A9719">
        <f t="shared" si="198"/>
        <v>9717</v>
      </c>
    </row>
    <row r="9720" spans="1:1">
      <c r="A9720">
        <f t="shared" si="198"/>
        <v>9718</v>
      </c>
    </row>
    <row r="9721" spans="1:1">
      <c r="A9721">
        <f t="shared" si="198"/>
        <v>9719</v>
      </c>
    </row>
    <row r="9722" spans="1:1">
      <c r="A9722">
        <f t="shared" si="198"/>
        <v>9720</v>
      </c>
    </row>
    <row r="9723" spans="1:1">
      <c r="A9723">
        <f t="shared" si="198"/>
        <v>9721</v>
      </c>
    </row>
    <row r="9724" spans="1:1">
      <c r="A9724">
        <f t="shared" si="198"/>
        <v>9722</v>
      </c>
    </row>
    <row r="9725" spans="1:1">
      <c r="A9725">
        <f t="shared" si="198"/>
        <v>9723</v>
      </c>
    </row>
    <row r="9726" spans="1:1">
      <c r="A9726">
        <f t="shared" si="198"/>
        <v>9724</v>
      </c>
    </row>
    <row r="9727" spans="1:1">
      <c r="A9727">
        <f t="shared" si="198"/>
        <v>9725</v>
      </c>
    </row>
    <row r="9728" spans="1:1">
      <c r="A9728">
        <f t="shared" si="198"/>
        <v>9726</v>
      </c>
    </row>
    <row r="9729" spans="1:1">
      <c r="A9729">
        <f t="shared" si="198"/>
        <v>9727</v>
      </c>
    </row>
    <row r="9730" spans="1:1">
      <c r="A9730">
        <f t="shared" si="198"/>
        <v>9728</v>
      </c>
    </row>
    <row r="9731" spans="1:1">
      <c r="A9731">
        <f t="shared" si="198"/>
        <v>9729</v>
      </c>
    </row>
    <row r="9732" spans="1:1">
      <c r="A9732">
        <f t="shared" si="198"/>
        <v>9730</v>
      </c>
    </row>
    <row r="9733" spans="1:1">
      <c r="A9733">
        <f t="shared" si="198"/>
        <v>9731</v>
      </c>
    </row>
    <row r="9734" spans="1:1">
      <c r="A9734">
        <f t="shared" si="198"/>
        <v>9732</v>
      </c>
    </row>
    <row r="9735" spans="1:1">
      <c r="A9735">
        <f t="shared" si="198"/>
        <v>9733</v>
      </c>
    </row>
    <row r="9736" spans="1:1">
      <c r="A9736">
        <f t="shared" si="198"/>
        <v>9734</v>
      </c>
    </row>
    <row r="9737" spans="1:1">
      <c r="A9737">
        <f t="shared" si="198"/>
        <v>9735</v>
      </c>
    </row>
    <row r="9738" spans="1:1">
      <c r="A9738">
        <f t="shared" si="198"/>
        <v>9736</v>
      </c>
    </row>
    <row r="9739" spans="1:1">
      <c r="A9739">
        <f t="shared" si="198"/>
        <v>9737</v>
      </c>
    </row>
    <row r="9740" spans="1:1">
      <c r="A9740">
        <f t="shared" si="198"/>
        <v>9738</v>
      </c>
    </row>
    <row r="9741" spans="1:1">
      <c r="A9741">
        <f t="shared" si="198"/>
        <v>9739</v>
      </c>
    </row>
    <row r="9742" spans="1:1">
      <c r="A9742">
        <f t="shared" si="198"/>
        <v>9740</v>
      </c>
    </row>
    <row r="9743" spans="1:1">
      <c r="A9743">
        <f t="shared" si="198"/>
        <v>9741</v>
      </c>
    </row>
    <row r="9744" spans="1:1">
      <c r="A9744">
        <f t="shared" si="198"/>
        <v>9742</v>
      </c>
    </row>
    <row r="9745" spans="1:1">
      <c r="A9745">
        <f t="shared" si="198"/>
        <v>9743</v>
      </c>
    </row>
    <row r="9746" spans="1:1">
      <c r="A9746">
        <f t="shared" si="198"/>
        <v>9744</v>
      </c>
    </row>
    <row r="9747" spans="1:1">
      <c r="A9747">
        <f t="shared" si="198"/>
        <v>9745</v>
      </c>
    </row>
    <row r="9748" spans="1:1">
      <c r="A9748">
        <f t="shared" si="198"/>
        <v>9746</v>
      </c>
    </row>
    <row r="9749" spans="1:1">
      <c r="A9749">
        <f t="shared" si="198"/>
        <v>9747</v>
      </c>
    </row>
    <row r="9750" spans="1:1">
      <c r="A9750">
        <f t="shared" si="198"/>
        <v>9748</v>
      </c>
    </row>
    <row r="9751" spans="1:1">
      <c r="A9751">
        <f t="shared" si="198"/>
        <v>9749</v>
      </c>
    </row>
    <row r="9752" spans="1:1">
      <c r="A9752">
        <f t="shared" si="198"/>
        <v>9750</v>
      </c>
    </row>
    <row r="9753" spans="1:1">
      <c r="A9753">
        <f t="shared" si="198"/>
        <v>9751</v>
      </c>
    </row>
    <row r="9754" spans="1:1">
      <c r="A9754">
        <f t="shared" si="198"/>
        <v>9752</v>
      </c>
    </row>
    <row r="9755" spans="1:1">
      <c r="A9755">
        <f t="shared" si="198"/>
        <v>9753</v>
      </c>
    </row>
    <row r="9756" spans="1:1">
      <c r="A9756">
        <f t="shared" si="198"/>
        <v>9754</v>
      </c>
    </row>
    <row r="9757" spans="1:1">
      <c r="A9757">
        <f t="shared" si="198"/>
        <v>9755</v>
      </c>
    </row>
    <row r="9758" spans="1:1">
      <c r="A9758">
        <f t="shared" si="198"/>
        <v>9756</v>
      </c>
    </row>
    <row r="9759" spans="1:1">
      <c r="A9759">
        <f t="shared" si="198"/>
        <v>9757</v>
      </c>
    </row>
    <row r="9760" spans="1:1">
      <c r="A9760">
        <f t="shared" si="198"/>
        <v>9758</v>
      </c>
    </row>
    <row r="9761" spans="1:1">
      <c r="A9761">
        <f t="shared" si="198"/>
        <v>9759</v>
      </c>
    </row>
    <row r="9762" spans="1:1">
      <c r="A9762">
        <f t="shared" si="198"/>
        <v>9760</v>
      </c>
    </row>
    <row r="9763" spans="1:1">
      <c r="A9763">
        <f t="shared" si="198"/>
        <v>9761</v>
      </c>
    </row>
    <row r="9764" spans="1:1">
      <c r="A9764">
        <f t="shared" ref="A9764:A9827" si="199">A9763+1</f>
        <v>9762</v>
      </c>
    </row>
    <row r="9765" spans="1:1">
      <c r="A9765">
        <f t="shared" si="199"/>
        <v>9763</v>
      </c>
    </row>
    <row r="9766" spans="1:1">
      <c r="A9766">
        <f t="shared" si="199"/>
        <v>9764</v>
      </c>
    </row>
    <row r="9767" spans="1:1">
      <c r="A9767">
        <f t="shared" si="199"/>
        <v>9765</v>
      </c>
    </row>
    <row r="9768" spans="1:1">
      <c r="A9768">
        <f t="shared" si="199"/>
        <v>9766</v>
      </c>
    </row>
    <row r="9769" spans="1:1">
      <c r="A9769">
        <f t="shared" si="199"/>
        <v>9767</v>
      </c>
    </row>
    <row r="9770" spans="1:1">
      <c r="A9770">
        <f t="shared" si="199"/>
        <v>9768</v>
      </c>
    </row>
    <row r="9771" spans="1:1">
      <c r="A9771">
        <f t="shared" si="199"/>
        <v>9769</v>
      </c>
    </row>
    <row r="9772" spans="1:1">
      <c r="A9772">
        <f t="shared" si="199"/>
        <v>9770</v>
      </c>
    </row>
    <row r="9773" spans="1:1">
      <c r="A9773">
        <f t="shared" si="199"/>
        <v>9771</v>
      </c>
    </row>
    <row r="9774" spans="1:1">
      <c r="A9774">
        <f t="shared" si="199"/>
        <v>9772</v>
      </c>
    </row>
    <row r="9775" spans="1:1">
      <c r="A9775">
        <f t="shared" si="199"/>
        <v>9773</v>
      </c>
    </row>
    <row r="9776" spans="1:1">
      <c r="A9776">
        <f t="shared" si="199"/>
        <v>9774</v>
      </c>
    </row>
    <row r="9777" spans="1:1">
      <c r="A9777">
        <f t="shared" si="199"/>
        <v>9775</v>
      </c>
    </row>
    <row r="9778" spans="1:1">
      <c r="A9778">
        <f t="shared" si="199"/>
        <v>9776</v>
      </c>
    </row>
    <row r="9779" spans="1:1">
      <c r="A9779">
        <f t="shared" si="199"/>
        <v>9777</v>
      </c>
    </row>
    <row r="9780" spans="1:1">
      <c r="A9780">
        <f t="shared" si="199"/>
        <v>9778</v>
      </c>
    </row>
    <row r="9781" spans="1:1">
      <c r="A9781">
        <f t="shared" si="199"/>
        <v>9779</v>
      </c>
    </row>
    <row r="9782" spans="1:1">
      <c r="A9782">
        <f t="shared" si="199"/>
        <v>9780</v>
      </c>
    </row>
    <row r="9783" spans="1:1">
      <c r="A9783">
        <f t="shared" si="199"/>
        <v>9781</v>
      </c>
    </row>
    <row r="9784" spans="1:1">
      <c r="A9784">
        <f t="shared" si="199"/>
        <v>9782</v>
      </c>
    </row>
    <row r="9785" spans="1:1">
      <c r="A9785">
        <f t="shared" si="199"/>
        <v>9783</v>
      </c>
    </row>
    <row r="9786" spans="1:1">
      <c r="A9786">
        <f t="shared" si="199"/>
        <v>9784</v>
      </c>
    </row>
    <row r="9787" spans="1:1">
      <c r="A9787">
        <f t="shared" si="199"/>
        <v>9785</v>
      </c>
    </row>
    <row r="9788" spans="1:1">
      <c r="A9788">
        <f t="shared" si="199"/>
        <v>9786</v>
      </c>
    </row>
    <row r="9789" spans="1:1">
      <c r="A9789">
        <f t="shared" si="199"/>
        <v>9787</v>
      </c>
    </row>
    <row r="9790" spans="1:1">
      <c r="A9790">
        <f t="shared" si="199"/>
        <v>9788</v>
      </c>
    </row>
    <row r="9791" spans="1:1">
      <c r="A9791">
        <f t="shared" si="199"/>
        <v>9789</v>
      </c>
    </row>
    <row r="9792" spans="1:1">
      <c r="A9792">
        <f t="shared" si="199"/>
        <v>9790</v>
      </c>
    </row>
    <row r="9793" spans="1:1">
      <c r="A9793">
        <f t="shared" si="199"/>
        <v>9791</v>
      </c>
    </row>
    <row r="9794" spans="1:1">
      <c r="A9794">
        <f t="shared" si="199"/>
        <v>9792</v>
      </c>
    </row>
    <row r="9795" spans="1:1">
      <c r="A9795">
        <f t="shared" si="199"/>
        <v>9793</v>
      </c>
    </row>
    <row r="9796" spans="1:1">
      <c r="A9796">
        <f t="shared" si="199"/>
        <v>9794</v>
      </c>
    </row>
    <row r="9797" spans="1:1">
      <c r="A9797">
        <f t="shared" si="199"/>
        <v>9795</v>
      </c>
    </row>
    <row r="9798" spans="1:1">
      <c r="A9798">
        <f t="shared" si="199"/>
        <v>9796</v>
      </c>
    </row>
    <row r="9799" spans="1:1">
      <c r="A9799">
        <f t="shared" si="199"/>
        <v>9797</v>
      </c>
    </row>
    <row r="9800" spans="1:1">
      <c r="A9800">
        <f t="shared" si="199"/>
        <v>9798</v>
      </c>
    </row>
    <row r="9801" spans="1:1">
      <c r="A9801">
        <f t="shared" si="199"/>
        <v>9799</v>
      </c>
    </row>
    <row r="9802" spans="1:1">
      <c r="A9802">
        <f t="shared" si="199"/>
        <v>9800</v>
      </c>
    </row>
    <row r="9803" spans="1:1">
      <c r="A9803">
        <f t="shared" si="199"/>
        <v>9801</v>
      </c>
    </row>
    <row r="9804" spans="1:1">
      <c r="A9804">
        <f t="shared" si="199"/>
        <v>9802</v>
      </c>
    </row>
    <row r="9805" spans="1:1">
      <c r="A9805">
        <f t="shared" si="199"/>
        <v>9803</v>
      </c>
    </row>
    <row r="9806" spans="1:1">
      <c r="A9806">
        <f t="shared" si="199"/>
        <v>9804</v>
      </c>
    </row>
    <row r="9807" spans="1:1">
      <c r="A9807">
        <f t="shared" si="199"/>
        <v>9805</v>
      </c>
    </row>
    <row r="9808" spans="1:1">
      <c r="A9808">
        <f t="shared" si="199"/>
        <v>9806</v>
      </c>
    </row>
    <row r="9809" spans="1:1">
      <c r="A9809">
        <f t="shared" si="199"/>
        <v>9807</v>
      </c>
    </row>
    <row r="9810" spans="1:1">
      <c r="A9810">
        <f t="shared" si="199"/>
        <v>9808</v>
      </c>
    </row>
    <row r="9811" spans="1:1">
      <c r="A9811">
        <f t="shared" si="199"/>
        <v>9809</v>
      </c>
    </row>
    <row r="9812" spans="1:1">
      <c r="A9812">
        <f t="shared" si="199"/>
        <v>9810</v>
      </c>
    </row>
    <row r="9813" spans="1:1">
      <c r="A9813">
        <f t="shared" si="199"/>
        <v>9811</v>
      </c>
    </row>
    <row r="9814" spans="1:1">
      <c r="A9814">
        <f t="shared" si="199"/>
        <v>9812</v>
      </c>
    </row>
    <row r="9815" spans="1:1">
      <c r="A9815">
        <f t="shared" si="199"/>
        <v>9813</v>
      </c>
    </row>
    <row r="9816" spans="1:1">
      <c r="A9816">
        <f t="shared" si="199"/>
        <v>9814</v>
      </c>
    </row>
    <row r="9817" spans="1:1">
      <c r="A9817">
        <f t="shared" si="199"/>
        <v>9815</v>
      </c>
    </row>
    <row r="9818" spans="1:1">
      <c r="A9818">
        <f t="shared" si="199"/>
        <v>9816</v>
      </c>
    </row>
    <row r="9819" spans="1:1">
      <c r="A9819">
        <f t="shared" si="199"/>
        <v>9817</v>
      </c>
    </row>
    <row r="9820" spans="1:1">
      <c r="A9820">
        <f t="shared" si="199"/>
        <v>9818</v>
      </c>
    </row>
    <row r="9821" spans="1:1">
      <c r="A9821">
        <f t="shared" si="199"/>
        <v>9819</v>
      </c>
    </row>
    <row r="9822" spans="1:1">
      <c r="A9822">
        <f t="shared" si="199"/>
        <v>9820</v>
      </c>
    </row>
    <row r="9823" spans="1:1">
      <c r="A9823">
        <f t="shared" si="199"/>
        <v>9821</v>
      </c>
    </row>
    <row r="9824" spans="1:1">
      <c r="A9824">
        <f t="shared" si="199"/>
        <v>9822</v>
      </c>
    </row>
    <row r="9825" spans="1:1">
      <c r="A9825">
        <f t="shared" si="199"/>
        <v>9823</v>
      </c>
    </row>
    <row r="9826" spans="1:1">
      <c r="A9826">
        <f t="shared" si="199"/>
        <v>9824</v>
      </c>
    </row>
    <row r="9827" spans="1:1">
      <c r="A9827">
        <f t="shared" si="199"/>
        <v>9825</v>
      </c>
    </row>
    <row r="9828" spans="1:1">
      <c r="A9828">
        <f t="shared" ref="A9828:A9891" si="200">A9827+1</f>
        <v>9826</v>
      </c>
    </row>
    <row r="9829" spans="1:1">
      <c r="A9829">
        <f t="shared" si="200"/>
        <v>9827</v>
      </c>
    </row>
    <row r="9830" spans="1:1">
      <c r="A9830">
        <f t="shared" si="200"/>
        <v>9828</v>
      </c>
    </row>
    <row r="9831" spans="1:1">
      <c r="A9831">
        <f t="shared" si="200"/>
        <v>9829</v>
      </c>
    </row>
    <row r="9832" spans="1:1">
      <c r="A9832">
        <f t="shared" si="200"/>
        <v>9830</v>
      </c>
    </row>
    <row r="9833" spans="1:1">
      <c r="A9833">
        <f t="shared" si="200"/>
        <v>9831</v>
      </c>
    </row>
    <row r="9834" spans="1:1">
      <c r="A9834">
        <f t="shared" si="200"/>
        <v>9832</v>
      </c>
    </row>
    <row r="9835" spans="1:1">
      <c r="A9835">
        <f t="shared" si="200"/>
        <v>9833</v>
      </c>
    </row>
    <row r="9836" spans="1:1">
      <c r="A9836">
        <f t="shared" si="200"/>
        <v>9834</v>
      </c>
    </row>
    <row r="9837" spans="1:1">
      <c r="A9837">
        <f t="shared" si="200"/>
        <v>9835</v>
      </c>
    </row>
    <row r="9838" spans="1:1">
      <c r="A9838">
        <f t="shared" si="200"/>
        <v>9836</v>
      </c>
    </row>
    <row r="9839" spans="1:1">
      <c r="A9839">
        <f t="shared" si="200"/>
        <v>9837</v>
      </c>
    </row>
    <row r="9840" spans="1:1">
      <c r="A9840">
        <f t="shared" si="200"/>
        <v>9838</v>
      </c>
    </row>
    <row r="9841" spans="1:1">
      <c r="A9841">
        <f t="shared" si="200"/>
        <v>9839</v>
      </c>
    </row>
    <row r="9842" spans="1:1">
      <c r="A9842">
        <f t="shared" si="200"/>
        <v>9840</v>
      </c>
    </row>
    <row r="9843" spans="1:1">
      <c r="A9843">
        <f t="shared" si="200"/>
        <v>9841</v>
      </c>
    </row>
    <row r="9844" spans="1:1">
      <c r="A9844">
        <f t="shared" si="200"/>
        <v>9842</v>
      </c>
    </row>
    <row r="9845" spans="1:1">
      <c r="A9845">
        <f t="shared" si="200"/>
        <v>9843</v>
      </c>
    </row>
    <row r="9846" spans="1:1">
      <c r="A9846">
        <f t="shared" si="200"/>
        <v>9844</v>
      </c>
    </row>
    <row r="9847" spans="1:1">
      <c r="A9847">
        <f t="shared" si="200"/>
        <v>9845</v>
      </c>
    </row>
    <row r="9848" spans="1:1">
      <c r="A9848">
        <f t="shared" si="200"/>
        <v>9846</v>
      </c>
    </row>
    <row r="9849" spans="1:1">
      <c r="A9849">
        <f t="shared" si="200"/>
        <v>9847</v>
      </c>
    </row>
    <row r="9850" spans="1:1">
      <c r="A9850">
        <f t="shared" si="200"/>
        <v>9848</v>
      </c>
    </row>
    <row r="9851" spans="1:1">
      <c r="A9851">
        <f t="shared" si="200"/>
        <v>9849</v>
      </c>
    </row>
    <row r="9852" spans="1:1">
      <c r="A9852">
        <f t="shared" si="200"/>
        <v>9850</v>
      </c>
    </row>
    <row r="9853" spans="1:1">
      <c r="A9853">
        <f t="shared" si="200"/>
        <v>9851</v>
      </c>
    </row>
    <row r="9854" spans="1:1">
      <c r="A9854">
        <f t="shared" si="200"/>
        <v>9852</v>
      </c>
    </row>
    <row r="9855" spans="1:1">
      <c r="A9855">
        <f t="shared" si="200"/>
        <v>9853</v>
      </c>
    </row>
    <row r="9856" spans="1:1">
      <c r="A9856">
        <f t="shared" si="200"/>
        <v>9854</v>
      </c>
    </row>
    <row r="9857" spans="1:1">
      <c r="A9857">
        <f t="shared" si="200"/>
        <v>9855</v>
      </c>
    </row>
    <row r="9858" spans="1:1">
      <c r="A9858">
        <f t="shared" si="200"/>
        <v>9856</v>
      </c>
    </row>
    <row r="9859" spans="1:1">
      <c r="A9859">
        <f t="shared" si="200"/>
        <v>9857</v>
      </c>
    </row>
    <row r="9860" spans="1:1">
      <c r="A9860">
        <f t="shared" si="200"/>
        <v>9858</v>
      </c>
    </row>
    <row r="9861" spans="1:1">
      <c r="A9861">
        <f t="shared" si="200"/>
        <v>9859</v>
      </c>
    </row>
    <row r="9862" spans="1:1">
      <c r="A9862">
        <f t="shared" si="200"/>
        <v>9860</v>
      </c>
    </row>
    <row r="9863" spans="1:1">
      <c r="A9863">
        <f t="shared" si="200"/>
        <v>9861</v>
      </c>
    </row>
    <row r="9864" spans="1:1">
      <c r="A9864">
        <f t="shared" si="200"/>
        <v>9862</v>
      </c>
    </row>
    <row r="9865" spans="1:1">
      <c r="A9865">
        <f t="shared" si="200"/>
        <v>9863</v>
      </c>
    </row>
    <row r="9866" spans="1:1">
      <c r="A9866">
        <f t="shared" si="200"/>
        <v>9864</v>
      </c>
    </row>
    <row r="9867" spans="1:1">
      <c r="A9867">
        <f t="shared" si="200"/>
        <v>9865</v>
      </c>
    </row>
    <row r="9868" spans="1:1">
      <c r="A9868">
        <f t="shared" si="200"/>
        <v>9866</v>
      </c>
    </row>
    <row r="9869" spans="1:1">
      <c r="A9869">
        <f t="shared" si="200"/>
        <v>9867</v>
      </c>
    </row>
    <row r="9870" spans="1:1">
      <c r="A9870">
        <f t="shared" si="200"/>
        <v>9868</v>
      </c>
    </row>
    <row r="9871" spans="1:1">
      <c r="A9871">
        <f t="shared" si="200"/>
        <v>9869</v>
      </c>
    </row>
    <row r="9872" spans="1:1">
      <c r="A9872">
        <f t="shared" si="200"/>
        <v>9870</v>
      </c>
    </row>
    <row r="9873" spans="1:1">
      <c r="A9873">
        <f t="shared" si="200"/>
        <v>9871</v>
      </c>
    </row>
    <row r="9874" spans="1:1">
      <c r="A9874">
        <f t="shared" si="200"/>
        <v>9872</v>
      </c>
    </row>
    <row r="9875" spans="1:1">
      <c r="A9875">
        <f t="shared" si="200"/>
        <v>9873</v>
      </c>
    </row>
    <row r="9876" spans="1:1">
      <c r="A9876">
        <f t="shared" si="200"/>
        <v>9874</v>
      </c>
    </row>
    <row r="9877" spans="1:1">
      <c r="A9877">
        <f t="shared" si="200"/>
        <v>9875</v>
      </c>
    </row>
    <row r="9878" spans="1:1">
      <c r="A9878">
        <f t="shared" si="200"/>
        <v>9876</v>
      </c>
    </row>
    <row r="9879" spans="1:1">
      <c r="A9879">
        <f t="shared" si="200"/>
        <v>9877</v>
      </c>
    </row>
    <row r="9880" spans="1:1">
      <c r="A9880">
        <f t="shared" si="200"/>
        <v>9878</v>
      </c>
    </row>
    <row r="9881" spans="1:1">
      <c r="A9881">
        <f t="shared" si="200"/>
        <v>9879</v>
      </c>
    </row>
    <row r="9882" spans="1:1">
      <c r="A9882">
        <f t="shared" si="200"/>
        <v>9880</v>
      </c>
    </row>
    <row r="9883" spans="1:1">
      <c r="A9883">
        <f t="shared" si="200"/>
        <v>9881</v>
      </c>
    </row>
    <row r="9884" spans="1:1">
      <c r="A9884">
        <f t="shared" si="200"/>
        <v>9882</v>
      </c>
    </row>
    <row r="9885" spans="1:1">
      <c r="A9885">
        <f t="shared" si="200"/>
        <v>9883</v>
      </c>
    </row>
    <row r="9886" spans="1:1">
      <c r="A9886">
        <f t="shared" si="200"/>
        <v>9884</v>
      </c>
    </row>
    <row r="9887" spans="1:1">
      <c r="A9887">
        <f t="shared" si="200"/>
        <v>9885</v>
      </c>
    </row>
    <row r="9888" spans="1:1">
      <c r="A9888">
        <f t="shared" si="200"/>
        <v>9886</v>
      </c>
    </row>
    <row r="9889" spans="1:1">
      <c r="A9889">
        <f t="shared" si="200"/>
        <v>9887</v>
      </c>
    </row>
    <row r="9890" spans="1:1">
      <c r="A9890">
        <f t="shared" si="200"/>
        <v>9888</v>
      </c>
    </row>
    <row r="9891" spans="1:1">
      <c r="A9891">
        <f t="shared" si="200"/>
        <v>9889</v>
      </c>
    </row>
    <row r="9892" spans="1:1">
      <c r="A9892">
        <f t="shared" ref="A9892:A9955" si="201">A9891+1</f>
        <v>9890</v>
      </c>
    </row>
    <row r="9893" spans="1:1">
      <c r="A9893">
        <f t="shared" si="201"/>
        <v>9891</v>
      </c>
    </row>
    <row r="9894" spans="1:1">
      <c r="A9894">
        <f t="shared" si="201"/>
        <v>9892</v>
      </c>
    </row>
    <row r="9895" spans="1:1">
      <c r="A9895">
        <f t="shared" si="201"/>
        <v>9893</v>
      </c>
    </row>
    <row r="9896" spans="1:1">
      <c r="A9896">
        <f t="shared" si="201"/>
        <v>9894</v>
      </c>
    </row>
    <row r="9897" spans="1:1">
      <c r="A9897">
        <f t="shared" si="201"/>
        <v>9895</v>
      </c>
    </row>
    <row r="9898" spans="1:1">
      <c r="A9898">
        <f t="shared" si="201"/>
        <v>9896</v>
      </c>
    </row>
    <row r="9899" spans="1:1">
      <c r="A9899">
        <f t="shared" si="201"/>
        <v>9897</v>
      </c>
    </row>
    <row r="9900" spans="1:1">
      <c r="A9900">
        <f t="shared" si="201"/>
        <v>9898</v>
      </c>
    </row>
    <row r="9901" spans="1:1">
      <c r="A9901">
        <f t="shared" si="201"/>
        <v>9899</v>
      </c>
    </row>
    <row r="9902" spans="1:1">
      <c r="A9902">
        <f t="shared" si="201"/>
        <v>9900</v>
      </c>
    </row>
    <row r="9903" spans="1:1">
      <c r="A9903">
        <f t="shared" si="201"/>
        <v>9901</v>
      </c>
    </row>
    <row r="9904" spans="1:1">
      <c r="A9904">
        <f t="shared" si="201"/>
        <v>9902</v>
      </c>
    </row>
    <row r="9905" spans="1:1">
      <c r="A9905">
        <f t="shared" si="201"/>
        <v>9903</v>
      </c>
    </row>
    <row r="9906" spans="1:1">
      <c r="A9906">
        <f t="shared" si="201"/>
        <v>9904</v>
      </c>
    </row>
    <row r="9907" spans="1:1">
      <c r="A9907">
        <f t="shared" si="201"/>
        <v>9905</v>
      </c>
    </row>
    <row r="9908" spans="1:1">
      <c r="A9908">
        <f t="shared" si="201"/>
        <v>9906</v>
      </c>
    </row>
    <row r="9909" spans="1:1">
      <c r="A9909">
        <f t="shared" si="201"/>
        <v>9907</v>
      </c>
    </row>
    <row r="9910" spans="1:1">
      <c r="A9910">
        <f t="shared" si="201"/>
        <v>9908</v>
      </c>
    </row>
    <row r="9911" spans="1:1">
      <c r="A9911">
        <f t="shared" si="201"/>
        <v>9909</v>
      </c>
    </row>
    <row r="9912" spans="1:1">
      <c r="A9912">
        <f t="shared" si="201"/>
        <v>9910</v>
      </c>
    </row>
    <row r="9913" spans="1:1">
      <c r="A9913">
        <f t="shared" si="201"/>
        <v>9911</v>
      </c>
    </row>
    <row r="9914" spans="1:1">
      <c r="A9914">
        <f t="shared" si="201"/>
        <v>9912</v>
      </c>
    </row>
    <row r="9915" spans="1:1">
      <c r="A9915">
        <f t="shared" si="201"/>
        <v>9913</v>
      </c>
    </row>
    <row r="9916" spans="1:1">
      <c r="A9916">
        <f t="shared" si="201"/>
        <v>9914</v>
      </c>
    </row>
    <row r="9917" spans="1:1">
      <c r="A9917">
        <f t="shared" si="201"/>
        <v>9915</v>
      </c>
    </row>
    <row r="9918" spans="1:1">
      <c r="A9918">
        <f t="shared" si="201"/>
        <v>9916</v>
      </c>
    </row>
    <row r="9919" spans="1:1">
      <c r="A9919">
        <f t="shared" si="201"/>
        <v>9917</v>
      </c>
    </row>
    <row r="9920" spans="1:1">
      <c r="A9920">
        <f t="shared" si="201"/>
        <v>9918</v>
      </c>
    </row>
    <row r="9921" spans="1:1">
      <c r="A9921">
        <f t="shared" si="201"/>
        <v>9919</v>
      </c>
    </row>
    <row r="9922" spans="1:1">
      <c r="A9922">
        <f t="shared" si="201"/>
        <v>9920</v>
      </c>
    </row>
    <row r="9923" spans="1:1">
      <c r="A9923">
        <f t="shared" si="201"/>
        <v>9921</v>
      </c>
    </row>
    <row r="9924" spans="1:1">
      <c r="A9924">
        <f t="shared" si="201"/>
        <v>9922</v>
      </c>
    </row>
    <row r="9925" spans="1:1">
      <c r="A9925">
        <f t="shared" si="201"/>
        <v>9923</v>
      </c>
    </row>
    <row r="9926" spans="1:1">
      <c r="A9926">
        <f t="shared" si="201"/>
        <v>9924</v>
      </c>
    </row>
    <row r="9927" spans="1:1">
      <c r="A9927">
        <f t="shared" si="201"/>
        <v>9925</v>
      </c>
    </row>
    <row r="9928" spans="1:1">
      <c r="A9928">
        <f t="shared" si="201"/>
        <v>9926</v>
      </c>
    </row>
    <row r="9929" spans="1:1">
      <c r="A9929">
        <f t="shared" si="201"/>
        <v>9927</v>
      </c>
    </row>
    <row r="9930" spans="1:1">
      <c r="A9930">
        <f t="shared" si="201"/>
        <v>9928</v>
      </c>
    </row>
    <row r="9931" spans="1:1">
      <c r="A9931">
        <f t="shared" si="201"/>
        <v>9929</v>
      </c>
    </row>
    <row r="9932" spans="1:1">
      <c r="A9932">
        <f t="shared" si="201"/>
        <v>9930</v>
      </c>
    </row>
    <row r="9933" spans="1:1">
      <c r="A9933">
        <f t="shared" si="201"/>
        <v>9931</v>
      </c>
    </row>
    <row r="9934" spans="1:1">
      <c r="A9934">
        <f t="shared" si="201"/>
        <v>9932</v>
      </c>
    </row>
    <row r="9935" spans="1:1">
      <c r="A9935">
        <f t="shared" si="201"/>
        <v>9933</v>
      </c>
    </row>
    <row r="9936" spans="1:1">
      <c r="A9936">
        <f t="shared" si="201"/>
        <v>9934</v>
      </c>
    </row>
    <row r="9937" spans="1:1">
      <c r="A9937">
        <f t="shared" si="201"/>
        <v>9935</v>
      </c>
    </row>
    <row r="9938" spans="1:1">
      <c r="A9938">
        <f t="shared" si="201"/>
        <v>9936</v>
      </c>
    </row>
    <row r="9939" spans="1:1">
      <c r="A9939">
        <f t="shared" si="201"/>
        <v>9937</v>
      </c>
    </row>
    <row r="9940" spans="1:1">
      <c r="A9940">
        <f t="shared" si="201"/>
        <v>9938</v>
      </c>
    </row>
    <row r="9941" spans="1:1">
      <c r="A9941">
        <f t="shared" si="201"/>
        <v>9939</v>
      </c>
    </row>
    <row r="9942" spans="1:1">
      <c r="A9942">
        <f t="shared" si="201"/>
        <v>9940</v>
      </c>
    </row>
    <row r="9943" spans="1:1">
      <c r="A9943">
        <f t="shared" si="201"/>
        <v>9941</v>
      </c>
    </row>
    <row r="9944" spans="1:1">
      <c r="A9944">
        <f t="shared" si="201"/>
        <v>9942</v>
      </c>
    </row>
    <row r="9945" spans="1:1">
      <c r="A9945">
        <f t="shared" si="201"/>
        <v>9943</v>
      </c>
    </row>
    <row r="9946" spans="1:1">
      <c r="A9946">
        <f t="shared" si="201"/>
        <v>9944</v>
      </c>
    </row>
    <row r="9947" spans="1:1">
      <c r="A9947">
        <f t="shared" si="201"/>
        <v>9945</v>
      </c>
    </row>
    <row r="9948" spans="1:1">
      <c r="A9948">
        <f t="shared" si="201"/>
        <v>9946</v>
      </c>
    </row>
    <row r="9949" spans="1:1">
      <c r="A9949">
        <f t="shared" si="201"/>
        <v>9947</v>
      </c>
    </row>
    <row r="9950" spans="1:1">
      <c r="A9950">
        <f t="shared" si="201"/>
        <v>9948</v>
      </c>
    </row>
    <row r="9951" spans="1:1">
      <c r="A9951">
        <f t="shared" si="201"/>
        <v>9949</v>
      </c>
    </row>
    <row r="9952" spans="1:1">
      <c r="A9952">
        <f t="shared" si="201"/>
        <v>9950</v>
      </c>
    </row>
    <row r="9953" spans="1:1">
      <c r="A9953">
        <f t="shared" si="201"/>
        <v>9951</v>
      </c>
    </row>
    <row r="9954" spans="1:1">
      <c r="A9954">
        <f t="shared" si="201"/>
        <v>9952</v>
      </c>
    </row>
    <row r="9955" spans="1:1">
      <c r="A9955">
        <f t="shared" si="201"/>
        <v>9953</v>
      </c>
    </row>
    <row r="9956" spans="1:1">
      <c r="A9956">
        <f t="shared" ref="A9956:A10002" si="202">A9955+1</f>
        <v>9954</v>
      </c>
    </row>
    <row r="9957" spans="1:1">
      <c r="A9957">
        <f t="shared" si="202"/>
        <v>9955</v>
      </c>
    </row>
    <row r="9958" spans="1:1">
      <c r="A9958">
        <f t="shared" si="202"/>
        <v>9956</v>
      </c>
    </row>
    <row r="9959" spans="1:1">
      <c r="A9959">
        <f t="shared" si="202"/>
        <v>9957</v>
      </c>
    </row>
    <row r="9960" spans="1:1">
      <c r="A9960">
        <f t="shared" si="202"/>
        <v>9958</v>
      </c>
    </row>
    <row r="9961" spans="1:1">
      <c r="A9961">
        <f t="shared" si="202"/>
        <v>9959</v>
      </c>
    </row>
    <row r="9962" spans="1:1">
      <c r="A9962">
        <f t="shared" si="202"/>
        <v>9960</v>
      </c>
    </row>
    <row r="9963" spans="1:1">
      <c r="A9963">
        <f t="shared" si="202"/>
        <v>9961</v>
      </c>
    </row>
    <row r="9964" spans="1:1">
      <c r="A9964">
        <f t="shared" si="202"/>
        <v>9962</v>
      </c>
    </row>
    <row r="9965" spans="1:1">
      <c r="A9965">
        <f t="shared" si="202"/>
        <v>9963</v>
      </c>
    </row>
    <row r="9966" spans="1:1">
      <c r="A9966">
        <f t="shared" si="202"/>
        <v>9964</v>
      </c>
    </row>
    <row r="9967" spans="1:1">
      <c r="A9967">
        <f t="shared" si="202"/>
        <v>9965</v>
      </c>
    </row>
    <row r="9968" spans="1:1">
      <c r="A9968">
        <f t="shared" si="202"/>
        <v>9966</v>
      </c>
    </row>
    <row r="9969" spans="1:1">
      <c r="A9969">
        <f t="shared" si="202"/>
        <v>9967</v>
      </c>
    </row>
    <row r="9970" spans="1:1">
      <c r="A9970">
        <f t="shared" si="202"/>
        <v>9968</v>
      </c>
    </row>
    <row r="9971" spans="1:1">
      <c r="A9971">
        <f t="shared" si="202"/>
        <v>9969</v>
      </c>
    </row>
    <row r="9972" spans="1:1">
      <c r="A9972">
        <f t="shared" si="202"/>
        <v>9970</v>
      </c>
    </row>
    <row r="9973" spans="1:1">
      <c r="A9973">
        <f t="shared" si="202"/>
        <v>9971</v>
      </c>
    </row>
    <row r="9974" spans="1:1">
      <c r="A9974">
        <f t="shared" si="202"/>
        <v>9972</v>
      </c>
    </row>
    <row r="9975" spans="1:1">
      <c r="A9975">
        <f t="shared" si="202"/>
        <v>9973</v>
      </c>
    </row>
    <row r="9976" spans="1:1">
      <c r="A9976">
        <f t="shared" si="202"/>
        <v>9974</v>
      </c>
    </row>
    <row r="9977" spans="1:1">
      <c r="A9977">
        <f t="shared" si="202"/>
        <v>9975</v>
      </c>
    </row>
    <row r="9978" spans="1:1">
      <c r="A9978">
        <f t="shared" si="202"/>
        <v>9976</v>
      </c>
    </row>
    <row r="9979" spans="1:1">
      <c r="A9979">
        <f t="shared" si="202"/>
        <v>9977</v>
      </c>
    </row>
    <row r="9980" spans="1:1">
      <c r="A9980">
        <f t="shared" si="202"/>
        <v>9978</v>
      </c>
    </row>
    <row r="9981" spans="1:1">
      <c r="A9981">
        <f t="shared" si="202"/>
        <v>9979</v>
      </c>
    </row>
    <row r="9982" spans="1:1">
      <c r="A9982">
        <f t="shared" si="202"/>
        <v>9980</v>
      </c>
    </row>
    <row r="9983" spans="1:1">
      <c r="A9983">
        <f t="shared" si="202"/>
        <v>9981</v>
      </c>
    </row>
    <row r="9984" spans="1:1">
      <c r="A9984">
        <f t="shared" si="202"/>
        <v>9982</v>
      </c>
    </row>
    <row r="9985" spans="1:1">
      <c r="A9985">
        <f t="shared" si="202"/>
        <v>9983</v>
      </c>
    </row>
    <row r="9986" spans="1:1">
      <c r="A9986">
        <f t="shared" si="202"/>
        <v>9984</v>
      </c>
    </row>
    <row r="9987" spans="1:1">
      <c r="A9987">
        <f t="shared" si="202"/>
        <v>9985</v>
      </c>
    </row>
    <row r="9988" spans="1:1">
      <c r="A9988">
        <f t="shared" si="202"/>
        <v>9986</v>
      </c>
    </row>
    <row r="9989" spans="1:1">
      <c r="A9989">
        <f t="shared" si="202"/>
        <v>9987</v>
      </c>
    </row>
    <row r="9990" spans="1:1">
      <c r="A9990">
        <f t="shared" si="202"/>
        <v>9988</v>
      </c>
    </row>
    <row r="9991" spans="1:1">
      <c r="A9991">
        <f t="shared" si="202"/>
        <v>9989</v>
      </c>
    </row>
    <row r="9992" spans="1:1">
      <c r="A9992">
        <f t="shared" si="202"/>
        <v>9990</v>
      </c>
    </row>
    <row r="9993" spans="1:1">
      <c r="A9993">
        <f t="shared" si="202"/>
        <v>9991</v>
      </c>
    </row>
    <row r="9994" spans="1:1">
      <c r="A9994">
        <f t="shared" si="202"/>
        <v>9992</v>
      </c>
    </row>
    <row r="9995" spans="1:1">
      <c r="A9995">
        <f t="shared" si="202"/>
        <v>9993</v>
      </c>
    </row>
    <row r="9996" spans="1:1">
      <c r="A9996">
        <f t="shared" si="202"/>
        <v>9994</v>
      </c>
    </row>
    <row r="9997" spans="1:1">
      <c r="A9997">
        <f t="shared" si="202"/>
        <v>9995</v>
      </c>
    </row>
    <row r="9998" spans="1:1">
      <c r="A9998">
        <f t="shared" si="202"/>
        <v>9996</v>
      </c>
    </row>
    <row r="9999" spans="1:1">
      <c r="A9999">
        <f t="shared" si="202"/>
        <v>9997</v>
      </c>
    </row>
    <row r="10000" spans="1:1">
      <c r="A10000">
        <f t="shared" si="202"/>
        <v>9998</v>
      </c>
    </row>
    <row r="10001" spans="1:1">
      <c r="A10001">
        <f t="shared" si="202"/>
        <v>9999</v>
      </c>
    </row>
    <row r="10002" spans="1:1">
      <c r="A10002">
        <f t="shared" si="202"/>
        <v>10000</v>
      </c>
    </row>
  </sheetData>
  <phoneticPr fontId="9"/>
  <printOptions gridLinesSet="0"/>
  <pageMargins left="0.78700000000000003" right="0.78700000000000003" top="0.98399999999999999" bottom="0.98399999999999999" header="0.5" footer="0.5"/>
  <headerFooter alignWithMargins="0">
    <oddHeader>&amp;A</oddHeader>
    <oddFooter>- &amp;P -</oddFooter>
  </headerFooter>
  <drawing r:id="rId1"/>
</worksheet>
</file>

<file path=xl/worksheets/sheet19.xml><?xml version="1.0" encoding="utf-8"?>
<worksheet xmlns="http://schemas.openxmlformats.org/spreadsheetml/2006/main" xmlns:r="http://schemas.openxmlformats.org/officeDocument/2006/relationships">
  <dimension ref="A3:P32"/>
  <sheetViews>
    <sheetView topLeftCell="A3" zoomScale="80" workbookViewId="0">
      <selection activeCell="D30" sqref="D30"/>
    </sheetView>
  </sheetViews>
  <sheetFormatPr defaultRowHeight="13.5"/>
  <cols>
    <col min="1" max="1" width="4.625" style="29" customWidth="1"/>
    <col min="2" max="2" width="3.625" style="20" customWidth="1"/>
    <col min="3" max="15" width="8.625" style="20" customWidth="1"/>
    <col min="16" max="16384" width="9" style="20"/>
  </cols>
  <sheetData>
    <row r="3" spans="1:15">
      <c r="A3" s="20"/>
      <c r="B3" s="17" t="s">
        <v>36</v>
      </c>
      <c r="C3" s="46">
        <v>0</v>
      </c>
      <c r="D3" s="46">
        <v>1</v>
      </c>
      <c r="E3" s="46">
        <v>2</v>
      </c>
      <c r="F3" s="46">
        <v>3</v>
      </c>
      <c r="G3" s="46">
        <v>4</v>
      </c>
      <c r="H3" s="46">
        <v>5</v>
      </c>
      <c r="I3" s="46">
        <v>6</v>
      </c>
      <c r="J3" s="46">
        <v>7</v>
      </c>
      <c r="K3" s="46">
        <v>8</v>
      </c>
      <c r="L3" s="46">
        <v>9</v>
      </c>
      <c r="M3" s="46">
        <v>10</v>
      </c>
      <c r="N3" s="46">
        <v>11</v>
      </c>
      <c r="O3" s="46">
        <v>12</v>
      </c>
    </row>
    <row r="4" spans="1:15">
      <c r="A4" s="20"/>
      <c r="B4" s="17" t="s">
        <v>37</v>
      </c>
      <c r="C4" s="46">
        <f>Def!$D$12*C$3</f>
        <v>0</v>
      </c>
      <c r="D4" s="46">
        <f>Def!$D$12*D$3</f>
        <v>0.25</v>
      </c>
      <c r="E4" s="46">
        <f>Def!$D$12*E$3</f>
        <v>0.5</v>
      </c>
      <c r="F4" s="46">
        <f>Def!$D$12*F$3</f>
        <v>0.75</v>
      </c>
      <c r="G4" s="46">
        <f>Def!$D$12*G$3</f>
        <v>1</v>
      </c>
      <c r="H4" s="46">
        <f>Def!$D$12*H$3</f>
        <v>1.25</v>
      </c>
      <c r="I4" s="46">
        <f>Def!$D$12*I$3</f>
        <v>1.5</v>
      </c>
      <c r="J4" s="46">
        <f>Def!$D$12*J$3</f>
        <v>1.75</v>
      </c>
      <c r="K4" s="46">
        <f>Def!$D$12*K$3</f>
        <v>2</v>
      </c>
      <c r="L4" s="46">
        <f>Def!$D$12*L$3</f>
        <v>2.25</v>
      </c>
      <c r="M4" s="46">
        <f>Def!$D$12*M$3</f>
        <v>2.5</v>
      </c>
      <c r="N4" s="46">
        <f>Def!$D$12*N$3</f>
        <v>2.75</v>
      </c>
      <c r="O4" s="46">
        <f>Def!$D$12*O$3</f>
        <v>3</v>
      </c>
    </row>
    <row r="5" spans="1:15">
      <c r="A5" s="17" t="s">
        <v>29</v>
      </c>
    </row>
    <row r="7" spans="1:15">
      <c r="A7" s="20"/>
      <c r="I7" s="42"/>
      <c r="J7" s="42"/>
      <c r="K7" s="42"/>
      <c r="L7" s="42"/>
      <c r="M7" s="42"/>
      <c r="N7" s="42"/>
      <c r="O7" s="42"/>
    </row>
    <row r="8" spans="1:15">
      <c r="A8" s="46">
        <f t="shared" ref="A8:A19" si="0">A9+1</f>
        <v>12</v>
      </c>
      <c r="C8" s="71"/>
      <c r="D8" s="71"/>
      <c r="E8" s="71"/>
      <c r="F8" s="71"/>
      <c r="G8" s="71"/>
      <c r="H8" s="71"/>
      <c r="I8" s="101"/>
      <c r="J8" s="101"/>
      <c r="K8" s="101"/>
      <c r="L8" s="101"/>
      <c r="M8" s="101"/>
      <c r="N8" s="101"/>
      <c r="O8" s="102"/>
    </row>
    <row r="9" spans="1:15">
      <c r="A9" s="46">
        <f t="shared" si="0"/>
        <v>11</v>
      </c>
      <c r="C9" s="71"/>
      <c r="D9" s="71"/>
      <c r="E9" s="71"/>
      <c r="F9" s="71"/>
      <c r="G9" s="71"/>
      <c r="H9" s="71"/>
      <c r="I9" s="101"/>
      <c r="J9" s="101"/>
      <c r="K9" s="101"/>
      <c r="L9" s="101"/>
      <c r="M9" s="101"/>
      <c r="N9" s="102"/>
      <c r="O9" s="102"/>
    </row>
    <row r="10" spans="1:15">
      <c r="A10" s="46">
        <f t="shared" si="0"/>
        <v>10</v>
      </c>
      <c r="C10" s="71"/>
      <c r="D10" s="71"/>
      <c r="E10" s="71"/>
      <c r="F10" s="71"/>
      <c r="G10" s="71"/>
      <c r="H10" s="71"/>
      <c r="I10" s="101"/>
      <c r="J10" s="101"/>
      <c r="K10" s="101"/>
      <c r="L10" s="101"/>
      <c r="M10" s="102"/>
      <c r="N10" s="102"/>
      <c r="O10" s="102"/>
    </row>
    <row r="11" spans="1:15">
      <c r="A11" s="46">
        <f t="shared" si="0"/>
        <v>9</v>
      </c>
      <c r="C11" s="71"/>
      <c r="D11" s="71"/>
      <c r="E11" s="71"/>
      <c r="F11" s="71"/>
      <c r="G11" s="71"/>
      <c r="H11" s="71"/>
      <c r="I11" s="101"/>
      <c r="J11" s="101"/>
      <c r="K11" s="101"/>
      <c r="L11" s="102"/>
      <c r="M11" s="102"/>
      <c r="N11" s="102"/>
      <c r="O11" s="102"/>
    </row>
    <row r="12" spans="1:15">
      <c r="A12" s="46">
        <f t="shared" si="0"/>
        <v>8</v>
      </c>
      <c r="C12" s="71"/>
      <c r="D12" s="71"/>
      <c r="E12" s="71"/>
      <c r="F12" s="71"/>
      <c r="G12" s="71"/>
      <c r="H12" s="71"/>
      <c r="I12" s="101"/>
      <c r="J12" s="101"/>
      <c r="K12" s="103"/>
      <c r="L12" s="102"/>
      <c r="M12" s="103"/>
      <c r="N12" s="104"/>
      <c r="O12" s="102"/>
    </row>
    <row r="13" spans="1:15">
      <c r="A13" s="46">
        <f t="shared" si="0"/>
        <v>7</v>
      </c>
      <c r="C13" s="71"/>
      <c r="D13" s="71"/>
      <c r="E13" s="71"/>
      <c r="F13" s="71"/>
      <c r="G13" s="71"/>
      <c r="H13" s="71"/>
      <c r="I13" s="101"/>
      <c r="J13" s="102"/>
      <c r="K13" s="103"/>
      <c r="L13" s="102"/>
      <c r="M13" s="103"/>
      <c r="N13" s="104"/>
      <c r="O13" s="102"/>
    </row>
    <row r="14" spans="1:15">
      <c r="A14" s="46">
        <f t="shared" si="0"/>
        <v>6</v>
      </c>
      <c r="C14" s="71"/>
      <c r="D14" s="71"/>
      <c r="E14" s="71"/>
      <c r="F14" s="71"/>
      <c r="G14" s="71"/>
      <c r="H14" s="71"/>
      <c r="I14" s="103"/>
      <c r="J14" s="102"/>
      <c r="K14" s="103"/>
      <c r="L14" s="102"/>
      <c r="M14" s="103"/>
      <c r="N14" s="104"/>
      <c r="O14" s="102"/>
    </row>
    <row r="15" spans="1:15">
      <c r="A15" s="46">
        <f t="shared" si="0"/>
        <v>5</v>
      </c>
      <c r="E15" s="106"/>
      <c r="F15" s="53"/>
      <c r="G15" s="101"/>
      <c r="H15" s="102"/>
      <c r="I15" s="103"/>
      <c r="J15" s="102"/>
      <c r="K15" s="103"/>
      <c r="L15" s="102"/>
      <c r="M15" s="103"/>
      <c r="N15" s="104"/>
      <c r="O15" s="102"/>
    </row>
    <row r="16" spans="1:15">
      <c r="A16" s="46">
        <f t="shared" si="0"/>
        <v>4</v>
      </c>
      <c r="C16" s="107" t="s">
        <v>42</v>
      </c>
      <c r="D16" s="118">
        <v>81.335465399999805</v>
      </c>
      <c r="E16" s="101"/>
      <c r="F16" s="101"/>
      <c r="G16" s="103"/>
      <c r="H16" s="102"/>
      <c r="I16" s="103"/>
      <c r="J16" s="102"/>
      <c r="K16" s="103"/>
      <c r="L16" s="102"/>
      <c r="M16" s="103"/>
      <c r="N16" s="104"/>
      <c r="O16" s="102"/>
    </row>
    <row r="17" spans="1:16">
      <c r="A17" s="46">
        <f t="shared" si="0"/>
        <v>3</v>
      </c>
      <c r="C17" s="71"/>
      <c r="D17" s="101"/>
      <c r="E17" s="101"/>
      <c r="F17" s="102"/>
      <c r="G17" s="103"/>
      <c r="H17" s="102"/>
      <c r="I17" s="103"/>
      <c r="J17" s="102"/>
      <c r="K17" s="103"/>
      <c r="L17" s="102"/>
      <c r="M17" s="103"/>
      <c r="N17" s="104"/>
      <c r="O17" s="102"/>
    </row>
    <row r="18" spans="1:16">
      <c r="A18" s="46">
        <f t="shared" si="0"/>
        <v>2</v>
      </c>
      <c r="C18" s="71"/>
      <c r="D18" s="101"/>
      <c r="E18" s="103"/>
      <c r="F18" s="102"/>
      <c r="G18" s="103"/>
      <c r="H18" s="102"/>
      <c r="I18" s="103"/>
      <c r="J18" s="102"/>
      <c r="K18" s="103"/>
      <c r="L18" s="102"/>
      <c r="M18" s="103"/>
      <c r="N18" s="104"/>
      <c r="O18" s="102"/>
    </row>
    <row r="19" spans="1:16">
      <c r="A19" s="46">
        <f t="shared" si="0"/>
        <v>1</v>
      </c>
      <c r="C19" s="71"/>
      <c r="D19" s="102"/>
      <c r="E19" s="105"/>
      <c r="F19" s="102"/>
      <c r="G19" s="103"/>
      <c r="H19" s="102"/>
      <c r="I19" s="103"/>
      <c r="J19" s="102"/>
      <c r="K19" s="103"/>
      <c r="L19" s="102"/>
      <c r="M19" s="103"/>
      <c r="N19" s="104"/>
      <c r="O19" s="102"/>
    </row>
    <row r="20" spans="1:16">
      <c r="A20" s="46">
        <v>0</v>
      </c>
      <c r="C20" s="113"/>
      <c r="D20" s="113"/>
      <c r="E20" s="113"/>
      <c r="F20" s="113"/>
      <c r="G20" s="113">
        <v>-12.655959599999766</v>
      </c>
      <c r="H20" s="113"/>
      <c r="I20" s="113">
        <v>8.1177222000006211</v>
      </c>
      <c r="J20" s="113"/>
      <c r="K20" s="113">
        <v>34.241971799999774</v>
      </c>
      <c r="L20" s="113"/>
      <c r="M20" s="113">
        <v>51.631730999999178</v>
      </c>
      <c r="N20" s="113"/>
      <c r="O20" s="113"/>
    </row>
    <row r="21" spans="1:16">
      <c r="A21" s="46">
        <f t="shared" ref="A21:A32" si="1">A20-1</f>
        <v>-1</v>
      </c>
      <c r="C21" s="71"/>
      <c r="D21" s="102"/>
      <c r="E21" s="105"/>
      <c r="F21" s="102"/>
      <c r="G21" s="105"/>
      <c r="H21" s="102"/>
      <c r="I21" s="105"/>
      <c r="J21" s="102"/>
      <c r="K21" s="105"/>
      <c r="L21" s="102"/>
      <c r="M21" s="103"/>
      <c r="N21" s="104"/>
      <c r="O21" s="102"/>
      <c r="P21" s="42"/>
    </row>
    <row r="22" spans="1:16">
      <c r="A22" s="46">
        <f t="shared" si="1"/>
        <v>-2</v>
      </c>
      <c r="C22" s="71"/>
      <c r="D22" s="101"/>
      <c r="E22" s="105"/>
      <c r="F22" s="102"/>
      <c r="G22" s="105"/>
      <c r="H22" s="102"/>
      <c r="I22" s="105"/>
      <c r="J22" s="102"/>
      <c r="K22" s="105"/>
      <c r="L22" s="102"/>
      <c r="M22" s="105"/>
      <c r="N22" s="104"/>
      <c r="O22" s="102"/>
      <c r="P22" s="42"/>
    </row>
    <row r="23" spans="1:16">
      <c r="A23" s="46">
        <f t="shared" si="1"/>
        <v>-3</v>
      </c>
      <c r="C23" s="71"/>
      <c r="D23" s="101"/>
      <c r="E23" s="101"/>
      <c r="F23" s="102"/>
      <c r="G23" s="105"/>
      <c r="H23" s="102"/>
      <c r="I23" s="105"/>
      <c r="J23" s="102"/>
      <c r="K23" s="105"/>
      <c r="L23" s="102"/>
      <c r="M23" s="105"/>
      <c r="N23" s="104"/>
      <c r="O23" s="102"/>
      <c r="P23" s="42"/>
    </row>
    <row r="24" spans="1:16" ht="14.25" thickBot="1">
      <c r="A24" s="46">
        <f t="shared" si="1"/>
        <v>-4</v>
      </c>
      <c r="C24" s="71"/>
      <c r="D24" s="71"/>
      <c r="E24" s="71"/>
      <c r="F24" s="71"/>
      <c r="G24" s="105"/>
      <c r="H24" s="102"/>
      <c r="I24" s="105"/>
      <c r="J24" s="102"/>
      <c r="K24" s="105"/>
      <c r="L24" s="102"/>
      <c r="M24" s="105"/>
      <c r="N24" s="104"/>
      <c r="O24" s="102"/>
    </row>
    <row r="25" spans="1:16">
      <c r="A25" s="46">
        <f t="shared" si="1"/>
        <v>-5</v>
      </c>
      <c r="C25" s="71"/>
      <c r="D25" s="71"/>
      <c r="E25" s="71"/>
      <c r="F25" s="129" t="s">
        <v>43</v>
      </c>
      <c r="G25" s="130"/>
      <c r="H25" s="114">
        <v>3.0134891154280849E-2</v>
      </c>
      <c r="I25" s="105"/>
      <c r="J25" s="102"/>
      <c r="K25" s="105"/>
      <c r="L25" s="102"/>
      <c r="M25" s="105"/>
      <c r="N25" s="104"/>
      <c r="O25" s="102"/>
    </row>
    <row r="26" spans="1:16">
      <c r="A26" s="46">
        <f t="shared" si="1"/>
        <v>-6</v>
      </c>
      <c r="C26" s="71"/>
      <c r="D26" s="71"/>
      <c r="E26" s="71"/>
      <c r="F26" s="131" t="s">
        <v>44</v>
      </c>
      <c r="G26" s="132"/>
      <c r="H26" s="108">
        <f>Future_swap(H25)</f>
        <v>3.246731143343503E-8</v>
      </c>
      <c r="I26" s="105"/>
      <c r="J26" s="102"/>
      <c r="K26" s="105"/>
      <c r="L26" s="102"/>
      <c r="M26" s="105"/>
      <c r="N26" s="104"/>
      <c r="O26" s="102"/>
    </row>
    <row r="27" spans="1:16" ht="14.25" thickBot="1">
      <c r="A27" s="46">
        <f t="shared" si="1"/>
        <v>-7</v>
      </c>
      <c r="C27" s="71"/>
      <c r="D27" s="71"/>
      <c r="E27" s="71"/>
      <c r="F27" s="133" t="s">
        <v>45</v>
      </c>
      <c r="G27" s="134"/>
      <c r="H27" s="109">
        <f>H26*H26</f>
        <v>1.054126311715661E-15</v>
      </c>
      <c r="I27" s="101"/>
      <c r="J27" s="102"/>
      <c r="K27" s="105"/>
      <c r="L27" s="102"/>
      <c r="M27" s="105"/>
      <c r="N27" s="104"/>
      <c r="O27" s="102"/>
    </row>
    <row r="28" spans="1:16">
      <c r="A28" s="46">
        <f t="shared" si="1"/>
        <v>-8</v>
      </c>
      <c r="C28" s="71"/>
      <c r="D28" s="71"/>
      <c r="E28" s="71"/>
      <c r="F28" s="71"/>
      <c r="G28" s="101"/>
      <c r="H28" s="101"/>
      <c r="I28" s="101"/>
      <c r="J28" s="101"/>
      <c r="K28" s="105"/>
      <c r="L28" s="102"/>
      <c r="M28" s="105"/>
      <c r="N28" s="104"/>
      <c r="O28" s="102"/>
    </row>
    <row r="29" spans="1:16">
      <c r="A29" s="46">
        <f t="shared" si="1"/>
        <v>-9</v>
      </c>
      <c r="C29" s="71"/>
      <c r="D29" s="71"/>
      <c r="E29" s="71"/>
      <c r="F29" s="71"/>
      <c r="G29" s="101"/>
      <c r="H29" s="101"/>
      <c r="I29" s="101"/>
      <c r="J29" s="101"/>
      <c r="K29" s="101"/>
      <c r="L29" s="102"/>
      <c r="M29" s="102"/>
      <c r="N29" s="102"/>
      <c r="O29" s="102"/>
    </row>
    <row r="30" spans="1:16">
      <c r="A30" s="46">
        <f t="shared" si="1"/>
        <v>-10</v>
      </c>
      <c r="C30" s="71"/>
      <c r="D30" s="71"/>
      <c r="E30" s="71"/>
      <c r="F30" s="71"/>
      <c r="G30" s="101"/>
      <c r="H30" s="101"/>
      <c r="I30" s="101"/>
      <c r="J30" s="101"/>
      <c r="K30" s="101"/>
      <c r="L30" s="101"/>
      <c r="M30" s="102"/>
      <c r="N30" s="102"/>
      <c r="O30" s="102"/>
    </row>
    <row r="31" spans="1:16">
      <c r="A31" s="46">
        <f t="shared" si="1"/>
        <v>-11</v>
      </c>
      <c r="C31" s="71"/>
      <c r="D31" s="71"/>
      <c r="E31" s="71"/>
      <c r="F31" s="71"/>
      <c r="G31" s="101"/>
      <c r="H31" s="101"/>
      <c r="I31" s="101"/>
      <c r="J31" s="101"/>
      <c r="K31" s="101"/>
      <c r="L31" s="101"/>
      <c r="M31" s="101"/>
      <c r="N31" s="102"/>
      <c r="O31" s="102"/>
    </row>
    <row r="32" spans="1:16">
      <c r="A32" s="46">
        <f t="shared" si="1"/>
        <v>-12</v>
      </c>
      <c r="C32" s="71"/>
      <c r="D32" s="71"/>
      <c r="E32" s="71"/>
      <c r="F32" s="71"/>
      <c r="G32" s="101"/>
      <c r="H32" s="101"/>
      <c r="I32" s="101"/>
      <c r="J32" s="101"/>
      <c r="K32" s="101"/>
      <c r="L32" s="101"/>
      <c r="M32" s="101"/>
      <c r="N32" s="101"/>
      <c r="O32" s="102"/>
    </row>
  </sheetData>
  <phoneticPr fontId="9"/>
  <printOptions gridLinesSet="0"/>
  <pageMargins left="0" right="0" top="0" bottom="0" header="0" footer="0"/>
  <pageSetup paperSize="9" scale="80" pageOrder="overThenDown" orientation="landscape" horizontalDpi="4294967292" verticalDpi="0" r:id="rId1"/>
  <headerFooter alignWithMargins="0">
    <oddHeader>&amp;A</oddHeader>
    <oddFooter>- &amp;P -</oddFooter>
  </headerFooter>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19</vt:i4>
      </vt:variant>
    </vt:vector>
  </HeadingPairs>
  <TitlesOfParts>
    <vt:vector size="19" baseType="lpstr">
      <vt:lpstr>このシートについて</vt:lpstr>
      <vt:lpstr>Def</vt:lpstr>
      <vt:lpstr>Pricing</vt:lpstr>
      <vt:lpstr>Pnorm</vt:lpstr>
      <vt:lpstr>Pjmax</vt:lpstr>
      <vt:lpstr>Pjmin</vt:lpstr>
      <vt:lpstr>CurveData</vt:lpstr>
      <vt:lpstr>Market_P</vt:lpstr>
      <vt:lpstr>ArrowDeb</vt:lpstr>
      <vt:lpstr>Alpha</vt:lpstr>
      <vt:lpstr>Prob</vt:lpstr>
      <vt:lpstr>ShortRate</vt:lpstr>
      <vt:lpstr>TreeView</vt:lpstr>
      <vt:lpstr>RefRate</vt:lpstr>
      <vt:lpstr>DF</vt:lpstr>
      <vt:lpstr>Backward</vt:lpstr>
      <vt:lpstr>MonteCarlo</vt:lpstr>
      <vt:lpstr>MC_Result</vt:lpstr>
      <vt:lpstr>Analytical</vt:lpstr>
    </vt:vector>
  </TitlesOfParts>
  <Company>あおぞら銀行</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リスク統括部</dc:creator>
  <cp:lastModifiedBy>u0298</cp:lastModifiedBy>
  <dcterms:created xsi:type="dcterms:W3CDTF">2004-04-12T04:50:20Z</dcterms:created>
  <dcterms:modified xsi:type="dcterms:W3CDTF">2012-02-06T04:15:52Z</dcterms:modified>
</cp:coreProperties>
</file>