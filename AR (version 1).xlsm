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eepg\Desktop\"/>
    </mc:Choice>
  </mc:AlternateContent>
  <xr:revisionPtr revIDLastSave="0" documentId="13_ncr:1_{7D28EF9A-6AB5-4A31-92D1-D7B8534C2CB5}" xr6:coauthVersionLast="47" xr6:coauthVersionMax="47" xr10:uidLastSave="{00000000-0000-0000-0000-000000000000}"/>
  <bookViews>
    <workbookView xWindow="57480" yWindow="7515" windowWidth="29040" windowHeight="15720" activeTab="1" xr2:uid="{DC280BAD-9C6C-4A60-8A94-16828DAD45F6}"/>
  </bookViews>
  <sheets>
    <sheet name="conf" sheetId="1" r:id="rId1"/>
    <sheet name="arparams" sheetId="3" r:id="rId2"/>
    <sheet name="TIBOR-JGB SPREAD" sheetId="4" r:id="rId3"/>
    <sheet name="新規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4" l="1"/>
  <c r="N2" i="4"/>
  <c r="M2" i="4"/>
  <c r="L2" i="4"/>
  <c r="K2" i="4"/>
  <c r="J2" i="4"/>
  <c r="I2" i="4"/>
  <c r="H2" i="4"/>
  <c r="G2" i="4"/>
  <c r="F2" i="4"/>
  <c r="E2" i="4"/>
  <c r="D2" i="4"/>
  <c r="C2" i="4"/>
  <c r="B2" i="4"/>
  <c r="R31" i="3"/>
  <c r="R30" i="3"/>
  <c r="R29" i="3"/>
  <c r="R28" i="3"/>
  <c r="R27" i="3"/>
  <c r="R26" i="3"/>
  <c r="R25" i="3"/>
  <c r="R24" i="3"/>
  <c r="R23" i="3"/>
  <c r="R22" i="3"/>
  <c r="R21" i="3"/>
  <c r="R20" i="3"/>
  <c r="O31" i="3"/>
  <c r="O30" i="3"/>
  <c r="O29" i="3"/>
  <c r="O28" i="3"/>
  <c r="O27" i="3"/>
  <c r="O26" i="3"/>
  <c r="O25" i="3"/>
  <c r="O24" i="3"/>
  <c r="O23" i="3"/>
  <c r="O22" i="3"/>
  <c r="O21" i="3"/>
  <c r="O20" i="3"/>
  <c r="Q17" i="3"/>
  <c r="Q16" i="3"/>
  <c r="Q15" i="3"/>
  <c r="Q14" i="3"/>
  <c r="Q13" i="3"/>
  <c r="Q12" i="3"/>
  <c r="Q11" i="3"/>
  <c r="Q10" i="3"/>
  <c r="Q9" i="3"/>
  <c r="Q8" i="3"/>
  <c r="Q7" i="3"/>
  <c r="Q6" i="3"/>
</calcChain>
</file>

<file path=xl/sharedStrings.xml><?xml version="1.0" encoding="utf-8"?>
<sst xmlns="http://schemas.openxmlformats.org/spreadsheetml/2006/main" count="109" uniqueCount="49">
  <si>
    <t>L</t>
    <phoneticPr fontId="1"/>
  </si>
  <si>
    <t>mean</t>
    <phoneticPr fontId="1"/>
  </si>
  <si>
    <t>std</t>
    <phoneticPr fontId="1"/>
  </si>
  <si>
    <t>S</t>
    <phoneticPr fontId="1"/>
  </si>
  <si>
    <t>C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</si>
  <si>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</si>
  <si>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</si>
  <si>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戦略変更対象</t>
    <rPh sb="0" eb="2">
      <t>センリャク</t>
    </rPh>
    <rPh sb="2" eb="4">
      <t>ヘンコウ</t>
    </rPh>
    <rPh sb="4" eb="6">
      <t>タイショウ</t>
    </rPh>
    <phoneticPr fontId="1"/>
  </si>
  <si>
    <t>AND</t>
  </si>
  <si>
    <t>&gt;=</t>
  </si>
  <si>
    <t>開始日（B列）</t>
    <rPh sb="0" eb="3">
      <t>カイシビ</t>
    </rPh>
    <rPh sb="5" eb="6">
      <t>レツ</t>
    </rPh>
    <phoneticPr fontId="1"/>
  </si>
  <si>
    <t>終了日（C列）</t>
    <rPh sb="0" eb="3">
      <t>シュウリョウビ</t>
    </rPh>
    <rPh sb="5" eb="6">
      <t>レツ</t>
    </rPh>
    <phoneticPr fontId="1"/>
  </si>
  <si>
    <t>固定/変動</t>
    <rPh sb="0" eb="2">
      <t>コテイ</t>
    </rPh>
    <rPh sb="3" eb="5">
      <t>ヘンドウ</t>
    </rPh>
    <phoneticPr fontId="1"/>
  </si>
  <si>
    <t>固定区分</t>
    <rPh sb="0" eb="2">
      <t>コテイ</t>
    </rPh>
    <rPh sb="2" eb="4">
      <t>クブン</t>
    </rPh>
    <phoneticPr fontId="1"/>
  </si>
  <si>
    <t>SWAP</t>
    <phoneticPr fontId="1"/>
  </si>
  <si>
    <t>変動区分</t>
    <rPh sb="0" eb="2">
      <t>ヘンドウ</t>
    </rPh>
    <rPh sb="2" eb="4">
      <t>クブン</t>
    </rPh>
    <phoneticPr fontId="1"/>
  </si>
  <si>
    <t>固定レート</t>
    <rPh sb="0" eb="2">
      <t>コテイ</t>
    </rPh>
    <phoneticPr fontId="1"/>
  </si>
  <si>
    <t>変動レート</t>
    <rPh sb="0" eb="2">
      <t>ヘンドウ</t>
    </rPh>
    <phoneticPr fontId="1"/>
  </si>
  <si>
    <t>固定</t>
    <rPh sb="0" eb="2">
      <t>コテイ</t>
    </rPh>
    <phoneticPr fontId="1"/>
  </si>
  <si>
    <t>変動</t>
    <rPh sb="0" eb="2">
      <t>ヘンドウ</t>
    </rPh>
    <phoneticPr fontId="1"/>
  </si>
  <si>
    <t>L_intercept</t>
    <phoneticPr fontId="1"/>
  </si>
  <si>
    <t>S_intercept</t>
    <phoneticPr fontId="1"/>
  </si>
  <si>
    <t>C_intercept</t>
    <phoneticPr fontId="1"/>
  </si>
  <si>
    <t>L_coeff</t>
    <phoneticPr fontId="1"/>
  </si>
  <si>
    <t>S_coeff</t>
    <phoneticPr fontId="1"/>
  </si>
  <si>
    <t>C_coeff</t>
    <phoneticPr fontId="1"/>
  </si>
  <si>
    <t>LS_cov</t>
    <phoneticPr fontId="1"/>
  </si>
  <si>
    <t>LC_cov</t>
    <phoneticPr fontId="1"/>
  </si>
  <si>
    <t>SC_cov</t>
    <phoneticPr fontId="1"/>
  </si>
  <si>
    <t>L_sigma_daily</t>
    <phoneticPr fontId="1"/>
  </si>
  <si>
    <t>S_sigma_daily</t>
    <phoneticPr fontId="1"/>
  </si>
  <si>
    <t>C_sigma_daily</t>
    <phoneticPr fontId="1"/>
  </si>
  <si>
    <t xml:space="preserve"> as double</t>
    <phoneticPr fontId="1"/>
  </si>
  <si>
    <t>CoeffOfL</t>
    <phoneticPr fontId="1"/>
  </si>
  <si>
    <t>CoeffOfS</t>
    <phoneticPr fontId="1"/>
  </si>
  <si>
    <t>CoeffOfC</t>
    <phoneticPr fontId="1"/>
  </si>
  <si>
    <t>InterceptOfL</t>
    <phoneticPr fontId="1"/>
  </si>
  <si>
    <t>InterceptOfS</t>
    <phoneticPr fontId="1"/>
  </si>
  <si>
    <t>InterceptOfC</t>
    <phoneticPr fontId="1"/>
  </si>
  <si>
    <t>DailySigmaOfL</t>
    <phoneticPr fontId="1"/>
  </si>
  <si>
    <t>DailySigmaOfS</t>
    <phoneticPr fontId="1"/>
  </si>
  <si>
    <t>DailySigmaOfC</t>
    <phoneticPr fontId="1"/>
  </si>
  <si>
    <t>CovLS</t>
    <phoneticPr fontId="1"/>
  </si>
  <si>
    <t>CovLC</t>
    <phoneticPr fontId="1"/>
  </si>
  <si>
    <t>CovSc</t>
    <phoneticPr fontId="1"/>
  </si>
  <si>
    <t>Private p</t>
    <phoneticPr fontId="1"/>
  </si>
  <si>
    <t xml:space="preserve">Public Property Get </t>
    <phoneticPr fontId="1"/>
  </si>
  <si>
    <t>() as Double</t>
    <phoneticPr fontId="1"/>
  </si>
  <si>
    <t>sim interval(day)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</si>
</sst>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476250</xdr:colOff>
          <xdr:row>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462B1-B771-4475-B954-100D559EDF49}">
  <sheetPr codeName="Sheet1"/>
  <dimension ref="A2:C5"/>
  <sheetViews>
    <sheetView workbookViewId="0">
      <selection activeCell="A2" sqref="A2:C5"/>
    </sheetView>
  </sheetViews>
  <sheetFormatPr defaultRowHeight="18.75" x14ac:dyDescent="0.4"/>
  <sheetData>
    <row r="2" spans="1:3" x14ac:dyDescent="0.4">
      <c r="B2" t="s">
        <v>1</v>
      </c>
      <c r="C2" t="s">
        <v>2</v>
      </c>
    </row>
    <row r="3" spans="1:3" x14ac:dyDescent="0.4">
      <c r="A3" t="s">
        <v>0</v>
      </c>
      <c r="B3">
        <v>1.2E-2</v>
      </c>
      <c r="C3">
        <v>0.36</v>
      </c>
    </row>
    <row r="4" spans="1:3" x14ac:dyDescent="0.4">
      <c r="A4" t="s">
        <v>3</v>
      </c>
      <c r="B4">
        <v>0.44</v>
      </c>
      <c r="C4">
        <v>0.23</v>
      </c>
    </row>
    <row r="5" spans="1:3" x14ac:dyDescent="0.4">
      <c r="A5" t="s">
        <v>4</v>
      </c>
      <c r="B5">
        <v>0.223</v>
      </c>
      <c r="C5">
        <v>0.76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2831-1006-4C37-9A6F-9A1A8676BDE5}">
  <sheetPr codeName="Sheet3"/>
  <dimension ref="A1:R31"/>
  <sheetViews>
    <sheetView tabSelected="1" workbookViewId="0">
      <selection activeCell="N2" sqref="N2"/>
    </sheetView>
  </sheetViews>
  <sheetFormatPr defaultRowHeight="18.75" x14ac:dyDescent="0.4"/>
  <cols>
    <col min="14" max="14" width="19.5" bestFit="1" customWidth="1"/>
  </cols>
  <sheetData>
    <row r="1" spans="1:17" x14ac:dyDescent="0.4"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29</v>
      </c>
      <c r="I1" t="s">
        <v>30</v>
      </c>
      <c r="J1" t="s">
        <v>31</v>
      </c>
      <c r="K1" t="s">
        <v>26</v>
      </c>
      <c r="L1" t="s">
        <v>27</v>
      </c>
      <c r="M1" t="s">
        <v>28</v>
      </c>
      <c r="N1" t="s">
        <v>48</v>
      </c>
    </row>
    <row r="2" spans="1:17" x14ac:dyDescent="0.4">
      <c r="A2">
        <v>1</v>
      </c>
      <c r="B2">
        <v>8.9999999999999998E-4</v>
      </c>
      <c r="C2">
        <v>-2.2000000000000001E-3</v>
      </c>
      <c r="D2">
        <v>-1.5699999999999999E-2</v>
      </c>
      <c r="E2">
        <v>0.99970000000000003</v>
      </c>
      <c r="F2">
        <v>0.99909999999999999</v>
      </c>
      <c r="G2">
        <v>0.99319999999999997</v>
      </c>
      <c r="H2">
        <v>3.5972753043248401E-2</v>
      </c>
      <c r="I2">
        <v>3.6076437232281003E-2</v>
      </c>
      <c r="J2">
        <v>9.3628026436979095E-2</v>
      </c>
      <c r="K2">
        <v>-0.97478571999999997</v>
      </c>
      <c r="L2">
        <v>-0.66796484</v>
      </c>
      <c r="M2">
        <v>0.64379017999999999</v>
      </c>
      <c r="N2">
        <v>30</v>
      </c>
    </row>
    <row r="6" spans="1:17" x14ac:dyDescent="0.4">
      <c r="J6" t="s">
        <v>36</v>
      </c>
      <c r="N6" t="s">
        <v>45</v>
      </c>
      <c r="O6" t="s">
        <v>32</v>
      </c>
      <c r="Q6" t="str">
        <f>N6&amp;J6&amp;O6</f>
        <v>Private pInterceptOfL as double</v>
      </c>
    </row>
    <row r="7" spans="1:17" x14ac:dyDescent="0.4">
      <c r="J7" t="s">
        <v>37</v>
      </c>
      <c r="N7" t="s">
        <v>45</v>
      </c>
      <c r="O7" t="s">
        <v>32</v>
      </c>
      <c r="Q7" t="str">
        <f t="shared" ref="Q7:Q17" si="0">N7&amp;J7&amp;O7</f>
        <v>Private pInterceptOfS as double</v>
      </c>
    </row>
    <row r="8" spans="1:17" x14ac:dyDescent="0.4">
      <c r="J8" t="s">
        <v>38</v>
      </c>
      <c r="N8" t="s">
        <v>45</v>
      </c>
      <c r="O8" t="s">
        <v>32</v>
      </c>
      <c r="Q8" t="str">
        <f t="shared" si="0"/>
        <v>Private pInterceptOfC as double</v>
      </c>
    </row>
    <row r="9" spans="1:17" x14ac:dyDescent="0.4">
      <c r="J9" t="s">
        <v>33</v>
      </c>
      <c r="N9" t="s">
        <v>45</v>
      </c>
      <c r="O9" t="s">
        <v>32</v>
      </c>
      <c r="Q9" t="str">
        <f t="shared" si="0"/>
        <v>Private pCoeffOfL as double</v>
      </c>
    </row>
    <row r="10" spans="1:17" x14ac:dyDescent="0.4">
      <c r="J10" t="s">
        <v>34</v>
      </c>
      <c r="N10" t="s">
        <v>45</v>
      </c>
      <c r="O10" t="s">
        <v>32</v>
      </c>
      <c r="Q10" t="str">
        <f t="shared" si="0"/>
        <v>Private pCoeffOfS as double</v>
      </c>
    </row>
    <row r="11" spans="1:17" x14ac:dyDescent="0.4">
      <c r="J11" t="s">
        <v>35</v>
      </c>
      <c r="N11" t="s">
        <v>45</v>
      </c>
      <c r="O11" t="s">
        <v>32</v>
      </c>
      <c r="Q11" t="str">
        <f t="shared" si="0"/>
        <v>Private pCoeffOfC as double</v>
      </c>
    </row>
    <row r="12" spans="1:17" x14ac:dyDescent="0.4">
      <c r="J12" t="s">
        <v>39</v>
      </c>
      <c r="N12" t="s">
        <v>45</v>
      </c>
      <c r="O12" t="s">
        <v>32</v>
      </c>
      <c r="Q12" t="str">
        <f t="shared" si="0"/>
        <v>Private pDailySigmaOfL as double</v>
      </c>
    </row>
    <row r="13" spans="1:17" x14ac:dyDescent="0.4">
      <c r="J13" t="s">
        <v>40</v>
      </c>
      <c r="N13" t="s">
        <v>45</v>
      </c>
      <c r="O13" t="s">
        <v>32</v>
      </c>
      <c r="Q13" t="str">
        <f t="shared" si="0"/>
        <v>Private pDailySigmaOfS as double</v>
      </c>
    </row>
    <row r="14" spans="1:17" x14ac:dyDescent="0.4">
      <c r="J14" t="s">
        <v>41</v>
      </c>
      <c r="N14" t="s">
        <v>45</v>
      </c>
      <c r="O14" t="s">
        <v>32</v>
      </c>
      <c r="Q14" t="str">
        <f t="shared" si="0"/>
        <v>Private pDailySigmaOfC as double</v>
      </c>
    </row>
    <row r="15" spans="1:17" x14ac:dyDescent="0.4">
      <c r="J15" t="s">
        <v>42</v>
      </c>
      <c r="N15" t="s">
        <v>45</v>
      </c>
      <c r="O15" t="s">
        <v>32</v>
      </c>
      <c r="Q15" t="str">
        <f t="shared" si="0"/>
        <v>Private pCovLS as double</v>
      </c>
    </row>
    <row r="16" spans="1:17" x14ac:dyDescent="0.4">
      <c r="J16" t="s">
        <v>43</v>
      </c>
      <c r="N16" t="s">
        <v>45</v>
      </c>
      <c r="O16" t="s">
        <v>32</v>
      </c>
      <c r="Q16" t="str">
        <f t="shared" si="0"/>
        <v>Private pCovLC as double</v>
      </c>
    </row>
    <row r="17" spans="10:18" x14ac:dyDescent="0.4">
      <c r="J17" t="s">
        <v>44</v>
      </c>
      <c r="N17" t="s">
        <v>45</v>
      </c>
      <c r="O17" t="s">
        <v>32</v>
      </c>
      <c r="Q17" t="str">
        <f t="shared" si="0"/>
        <v>Private pCovSc as double</v>
      </c>
    </row>
    <row r="20" spans="10:18" x14ac:dyDescent="0.4">
      <c r="J20" t="s">
        <v>36</v>
      </c>
      <c r="N20" t="s">
        <v>46</v>
      </c>
      <c r="O20" t="str">
        <f>N20&amp;J20</f>
        <v>Public Property Get InterceptOfL</v>
      </c>
      <c r="P20" t="s">
        <v>47</v>
      </c>
      <c r="R20" t="str">
        <f>O20&amp;P20</f>
        <v>Public Property Get InterceptOfL() as Double</v>
      </c>
    </row>
    <row r="21" spans="10:18" x14ac:dyDescent="0.4">
      <c r="J21" t="s">
        <v>37</v>
      </c>
      <c r="N21" t="s">
        <v>46</v>
      </c>
      <c r="O21" t="str">
        <f t="shared" ref="O21:O31" si="1">N21&amp;J21</f>
        <v>Public Property Get InterceptOfS</v>
      </c>
      <c r="P21" t="s">
        <v>47</v>
      </c>
      <c r="R21" t="str">
        <f t="shared" ref="R21:R31" si="2">O21&amp;P21</f>
        <v>Public Property Get InterceptOfS() as Double</v>
      </c>
    </row>
    <row r="22" spans="10:18" x14ac:dyDescent="0.4">
      <c r="J22" t="s">
        <v>38</v>
      </c>
      <c r="N22" t="s">
        <v>46</v>
      </c>
      <c r="O22" t="str">
        <f t="shared" si="1"/>
        <v>Public Property Get InterceptOfC</v>
      </c>
      <c r="P22" t="s">
        <v>47</v>
      </c>
      <c r="R22" t="str">
        <f t="shared" si="2"/>
        <v>Public Property Get InterceptOfC() as Double</v>
      </c>
    </row>
    <row r="23" spans="10:18" x14ac:dyDescent="0.4">
      <c r="J23" t="s">
        <v>33</v>
      </c>
      <c r="N23" t="s">
        <v>46</v>
      </c>
      <c r="O23" t="str">
        <f t="shared" si="1"/>
        <v>Public Property Get CoeffOfL</v>
      </c>
      <c r="P23" t="s">
        <v>47</v>
      </c>
      <c r="R23" t="str">
        <f t="shared" si="2"/>
        <v>Public Property Get CoeffOfL() as Double</v>
      </c>
    </row>
    <row r="24" spans="10:18" x14ac:dyDescent="0.4">
      <c r="J24" t="s">
        <v>34</v>
      </c>
      <c r="N24" t="s">
        <v>46</v>
      </c>
      <c r="O24" t="str">
        <f t="shared" si="1"/>
        <v>Public Property Get CoeffOfS</v>
      </c>
      <c r="P24" t="s">
        <v>47</v>
      </c>
      <c r="R24" t="str">
        <f t="shared" si="2"/>
        <v>Public Property Get CoeffOfS() as Double</v>
      </c>
    </row>
    <row r="25" spans="10:18" x14ac:dyDescent="0.4">
      <c r="J25" t="s">
        <v>35</v>
      </c>
      <c r="N25" t="s">
        <v>46</v>
      </c>
      <c r="O25" t="str">
        <f t="shared" si="1"/>
        <v>Public Property Get CoeffOfC</v>
      </c>
      <c r="P25" t="s">
        <v>47</v>
      </c>
      <c r="R25" t="str">
        <f t="shared" si="2"/>
        <v>Public Property Get CoeffOfC() as Double</v>
      </c>
    </row>
    <row r="26" spans="10:18" x14ac:dyDescent="0.4">
      <c r="J26" t="s">
        <v>39</v>
      </c>
      <c r="N26" t="s">
        <v>46</v>
      </c>
      <c r="O26" t="str">
        <f t="shared" si="1"/>
        <v>Public Property Get DailySigmaOfL</v>
      </c>
      <c r="P26" t="s">
        <v>47</v>
      </c>
      <c r="R26" t="str">
        <f t="shared" si="2"/>
        <v>Public Property Get DailySigmaOfL() as Double</v>
      </c>
    </row>
    <row r="27" spans="10:18" x14ac:dyDescent="0.4">
      <c r="J27" t="s">
        <v>40</v>
      </c>
      <c r="N27" t="s">
        <v>46</v>
      </c>
      <c r="O27" t="str">
        <f t="shared" si="1"/>
        <v>Public Property Get DailySigmaOfS</v>
      </c>
      <c r="P27" t="s">
        <v>47</v>
      </c>
      <c r="R27" t="str">
        <f t="shared" si="2"/>
        <v>Public Property Get DailySigmaOfS() as Double</v>
      </c>
    </row>
    <row r="28" spans="10:18" x14ac:dyDescent="0.4">
      <c r="J28" t="s">
        <v>41</v>
      </c>
      <c r="N28" t="s">
        <v>46</v>
      </c>
      <c r="O28" t="str">
        <f t="shared" si="1"/>
        <v>Public Property Get DailySigmaOfC</v>
      </c>
      <c r="P28" t="s">
        <v>47</v>
      </c>
      <c r="R28" t="str">
        <f t="shared" si="2"/>
        <v>Public Property Get DailySigmaOfC() as Double</v>
      </c>
    </row>
    <row r="29" spans="10:18" x14ac:dyDescent="0.4">
      <c r="J29" t="s">
        <v>42</v>
      </c>
      <c r="N29" t="s">
        <v>46</v>
      </c>
      <c r="O29" t="str">
        <f t="shared" si="1"/>
        <v>Public Property Get CovLS</v>
      </c>
      <c r="P29" t="s">
        <v>47</v>
      </c>
      <c r="R29" t="str">
        <f t="shared" si="2"/>
        <v>Public Property Get CovLS() as Double</v>
      </c>
    </row>
    <row r="30" spans="10:18" x14ac:dyDescent="0.4">
      <c r="J30" t="s">
        <v>43</v>
      </c>
      <c r="N30" t="s">
        <v>46</v>
      </c>
      <c r="O30" t="str">
        <f t="shared" si="1"/>
        <v>Public Property Get CovLC</v>
      </c>
      <c r="P30" t="s">
        <v>47</v>
      </c>
      <c r="R30" t="str">
        <f t="shared" si="2"/>
        <v>Public Property Get CovLC() as Double</v>
      </c>
    </row>
    <row r="31" spans="10:18" x14ac:dyDescent="0.4">
      <c r="J31" t="s">
        <v>44</v>
      </c>
      <c r="N31" t="s">
        <v>46</v>
      </c>
      <c r="O31" t="str">
        <f t="shared" si="1"/>
        <v>Public Property Get CovSc</v>
      </c>
      <c r="P31" t="s">
        <v>47</v>
      </c>
      <c r="R31" t="str">
        <f t="shared" si="2"/>
        <v>Public Property Get CovSc() as Double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7EFB5-737F-431E-BBFB-16C4C3A14E01}">
  <sheetPr codeName="Sheet4"/>
  <dimension ref="B1:O2"/>
  <sheetViews>
    <sheetView workbookViewId="0"/>
  </sheetViews>
  <sheetFormatPr defaultRowHeight="18.75" x14ac:dyDescent="0.4"/>
  <sheetData>
    <row r="1" spans="2:15" x14ac:dyDescent="0.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15</v>
      </c>
      <c r="M1">
        <v>20</v>
      </c>
      <c r="N1">
        <v>25</v>
      </c>
      <c r="O1">
        <v>30</v>
      </c>
    </row>
    <row r="2" spans="2:15" x14ac:dyDescent="0.4">
      <c r="B2">
        <f>B1+100</f>
        <v>101</v>
      </c>
      <c r="C2">
        <f t="shared" ref="C2:O2" si="0">C1+100</f>
        <v>102</v>
      </c>
      <c r="D2">
        <f t="shared" si="0"/>
        <v>103</v>
      </c>
      <c r="E2">
        <f t="shared" si="0"/>
        <v>104</v>
      </c>
      <c r="F2">
        <f t="shared" si="0"/>
        <v>105</v>
      </c>
      <c r="G2">
        <f t="shared" si="0"/>
        <v>106</v>
      </c>
      <c r="H2">
        <f t="shared" si="0"/>
        <v>107</v>
      </c>
      <c r="I2">
        <f t="shared" si="0"/>
        <v>108</v>
      </c>
      <c r="J2">
        <f t="shared" si="0"/>
        <v>109</v>
      </c>
      <c r="K2">
        <f t="shared" si="0"/>
        <v>110</v>
      </c>
      <c r="L2">
        <f t="shared" si="0"/>
        <v>115</v>
      </c>
      <c r="M2">
        <f t="shared" si="0"/>
        <v>120</v>
      </c>
      <c r="N2">
        <f t="shared" si="0"/>
        <v>125</v>
      </c>
      <c r="O2">
        <f t="shared" si="0"/>
        <v>130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A8AF-5B7A-4E1E-AE36-4DCD6667C76A}">
  <sheetPr codeName="Sheet2"/>
  <dimension ref="B1:O14"/>
  <sheetViews>
    <sheetView workbookViewId="0">
      <selection activeCell="H17" sqref="H17"/>
    </sheetView>
  </sheetViews>
  <sheetFormatPr defaultRowHeight="18.75" x14ac:dyDescent="0.4"/>
  <cols>
    <col min="1" max="1" width="12.375" customWidth="1"/>
    <col min="2" max="2" width="11.375" customWidth="1"/>
    <col min="3" max="3" width="11.375" bestFit="1" customWidth="1"/>
    <col min="4" max="4" width="9.875" bestFit="1" customWidth="1"/>
    <col min="6" max="6" width="11" bestFit="1" customWidth="1"/>
    <col min="8" max="8" width="11" bestFit="1" customWidth="1"/>
    <col min="9" max="10" width="13" bestFit="1" customWidth="1"/>
    <col min="13" max="13" width="14.375" bestFit="1" customWidth="1"/>
    <col min="14" max="14" width="5.5" bestFit="1" customWidth="1"/>
    <col min="15" max="15" width="14.375" customWidth="1"/>
    <col min="16" max="16" width="14" bestFit="1" customWidth="1"/>
  </cols>
  <sheetData>
    <row r="1" spans="2:15" x14ac:dyDescent="0.4">
      <c r="B1" t="s">
        <v>5</v>
      </c>
      <c r="C1" t="s">
        <v>6</v>
      </c>
      <c r="D1" t="s">
        <v>12</v>
      </c>
      <c r="E1" t="s">
        <v>13</v>
      </c>
      <c r="F1" t="s">
        <v>16</v>
      </c>
      <c r="G1" t="s">
        <v>15</v>
      </c>
      <c r="H1" t="s">
        <v>17</v>
      </c>
      <c r="I1" t="s">
        <v>7</v>
      </c>
    </row>
    <row r="2" spans="2:15" x14ac:dyDescent="0.4">
      <c r="B2" s="1">
        <v>45901</v>
      </c>
      <c r="C2" s="1">
        <v>46022</v>
      </c>
      <c r="D2" t="s">
        <v>18</v>
      </c>
      <c r="E2" t="s">
        <v>14</v>
      </c>
      <c r="F2">
        <v>0.2</v>
      </c>
      <c r="G2" t="s">
        <v>14</v>
      </c>
      <c r="H2">
        <v>0.15</v>
      </c>
      <c r="I2" t="b">
        <v>0</v>
      </c>
    </row>
    <row r="3" spans="2:15" x14ac:dyDescent="0.4">
      <c r="B3" s="1">
        <v>46266</v>
      </c>
      <c r="C3" s="1">
        <v>49674</v>
      </c>
      <c r="D3" t="s">
        <v>19</v>
      </c>
      <c r="E3" t="s">
        <v>14</v>
      </c>
      <c r="F3">
        <v>0.1</v>
      </c>
      <c r="G3" t="s">
        <v>14</v>
      </c>
      <c r="H3">
        <v>0.12</v>
      </c>
      <c r="I3" t="b">
        <v>1</v>
      </c>
      <c r="M3" s="2" t="s">
        <v>10</v>
      </c>
      <c r="N3" s="2" t="s">
        <v>9</v>
      </c>
      <c r="O3" s="4">
        <v>46256</v>
      </c>
    </row>
    <row r="4" spans="2:15" x14ac:dyDescent="0.4">
      <c r="B4" s="1"/>
      <c r="N4" s="3" t="s">
        <v>8</v>
      </c>
    </row>
    <row r="5" spans="2:15" x14ac:dyDescent="0.4">
      <c r="B5" s="1"/>
      <c r="M5" s="2" t="s">
        <v>11</v>
      </c>
      <c r="N5" s="2" t="s">
        <v>9</v>
      </c>
      <c r="O5" s="4"/>
    </row>
    <row r="6" spans="2:15" x14ac:dyDescent="0.4">
      <c r="B6" s="1"/>
    </row>
    <row r="7" spans="2:15" x14ac:dyDescent="0.4">
      <c r="B7" s="1"/>
    </row>
    <row r="8" spans="2:15" x14ac:dyDescent="0.4">
      <c r="B8" s="1"/>
    </row>
    <row r="9" spans="2:15" x14ac:dyDescent="0.4">
      <c r="B9" s="1"/>
    </row>
    <row r="10" spans="2:15" x14ac:dyDescent="0.4">
      <c r="B10" s="1"/>
    </row>
    <row r="11" spans="2:15" x14ac:dyDescent="0.4">
      <c r="B11" s="1"/>
    </row>
    <row r="12" spans="2:15" x14ac:dyDescent="0.4">
      <c r="B12" s="1"/>
    </row>
    <row r="13" spans="2:15" x14ac:dyDescent="0.4">
      <c r="B13" s="1"/>
    </row>
    <row r="14" spans="2:15" x14ac:dyDescent="0.4">
      <c r="B14" s="1"/>
    </row>
  </sheetData>
  <phoneticPr fontId="1"/>
  <dataValidations disablePrompts="1" count="3">
    <dataValidation type="list" allowBlank="1" showInputMessage="1" showErrorMessage="1" sqref="N4" xr:uid="{FB9E058D-414E-4D57-9B94-7642B41B8DEF}">
      <formula1>"OR, AND"</formula1>
    </dataValidation>
    <dataValidation type="list" allowBlank="1" showInputMessage="1" showErrorMessage="1" sqref="N3 N5" xr:uid="{AB6B0B76-9BED-45D9-AB10-B61456CC5134}">
      <formula1>"&gt;=, &lt;="</formula1>
    </dataValidation>
    <dataValidation type="date" allowBlank="1" showInputMessage="1" showErrorMessage="1" sqref="O5 O3" xr:uid="{5E779C15-A729-458C-901F-73A608565184}">
      <formula1>1</formula1>
      <formula2>73050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reateStrategyFlag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476250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conf</vt:lpstr>
      <vt:lpstr>arparams</vt:lpstr>
      <vt:lpstr>TIBOR-JGB SPREAD</vt:lpstr>
      <vt:lpstr>新規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I</dc:creator>
  <cp:lastModifiedBy>Y I</cp:lastModifiedBy>
  <dcterms:created xsi:type="dcterms:W3CDTF">2025-08-27T08:51:00Z</dcterms:created>
  <dcterms:modified xsi:type="dcterms:W3CDTF">2025-09-12T15:25:49Z</dcterms:modified>
</cp:coreProperties>
</file>