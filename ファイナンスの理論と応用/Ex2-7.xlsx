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11"/>
  <workbookPr filterPrivacy="1" codeName="ThisWorkbook"/>
  <xr:revisionPtr revIDLastSave="0" documentId="8_{4E780442-C479-4F7F-A73E-5C1D946DB36E}" xr6:coauthVersionLast="35" xr6:coauthVersionMax="35" xr10:uidLastSave="{00000000-0000-0000-0000-000000000000}"/>
  <bookViews>
    <workbookView xWindow="0" yWindow="0" windowWidth="19170" windowHeight="17505" tabRatio="912" xr2:uid="{00000000-000D-0000-FFFF-FFFF00000000}"/>
  </bookViews>
  <sheets>
    <sheet name="演習14(問題)" sheetId="19" r:id="rId1"/>
    <sheet name="演習14(解答例)" sheetId="16" r:id="rId2"/>
    <sheet name="演習15(問題)" sheetId="20" r:id="rId3"/>
    <sheet name="演習15(解答例)" sheetId="18" r:id="rId4"/>
    <sheet name="演習15(解答例・図)" sheetId="17" r:id="rId5"/>
  </sheets>
  <definedNames>
    <definedName name="_xlnm.Print_Area" localSheetId="3">'演習15(解答例)'!$A$1:$P$320</definedName>
    <definedName name="_xlnm.Print_Area" localSheetId="2">'演習15(問題)'!$A$1:$P$320</definedName>
    <definedName name="solver_adj" localSheetId="1" hidden="1">'演習14(解答例)'!$A$10</definedName>
    <definedName name="solver_adj" localSheetId="0" hidden="1">'演習14(問題)'!$A$10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1</definedName>
    <definedName name="solver_eng" localSheetId="0" hidden="1">1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0</definedName>
    <definedName name="solver_num" localSheetId="0" hidden="1">0</definedName>
    <definedName name="solver_nwt" localSheetId="1" hidden="1">1</definedName>
    <definedName name="solver_nwt" localSheetId="0" hidden="1">1</definedName>
    <definedName name="solver_opt" localSheetId="1" hidden="1">'演習14(解答例)'!$A$13</definedName>
    <definedName name="solver_opt" localSheetId="0" hidden="1">'演習14(問題)'!$A$13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3</definedName>
    <definedName name="solver_typ" localSheetId="0" hidden="1">3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79020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0" l="1"/>
  <c r="E8" i="20"/>
  <c r="B5" i="20"/>
  <c r="C5" i="20"/>
  <c r="B9" i="20"/>
  <c r="C8" i="20"/>
  <c r="D5" i="20"/>
  <c r="D3" i="20"/>
  <c r="E12" i="20"/>
  <c r="D11" i="20"/>
  <c r="F8" i="20"/>
  <c r="B8" i="20"/>
  <c r="F13" i="20"/>
  <c r="D8" i="20"/>
  <c r="C10" i="20"/>
  <c r="B10" i="19"/>
  <c r="C10" i="19"/>
  <c r="D10" i="19"/>
  <c r="A13" i="19"/>
  <c r="B5" i="18"/>
  <c r="C5" i="18"/>
  <c r="B9" i="18"/>
  <c r="E12" i="18"/>
  <c r="C3" i="18"/>
  <c r="E8" i="18"/>
  <c r="C8" i="18"/>
  <c r="B18" i="18" a="1"/>
  <c r="D5" i="18"/>
  <c r="I12" i="18"/>
  <c r="D3" i="18"/>
  <c r="O9" i="18"/>
  <c r="D317" i="18"/>
  <c r="E316" i="18"/>
  <c r="F315" i="18"/>
  <c r="B315" i="18"/>
  <c r="C314" i="18"/>
  <c r="D313" i="18"/>
  <c r="E312" i="18"/>
  <c r="F311" i="18"/>
  <c r="B311" i="18"/>
  <c r="C310" i="18"/>
  <c r="C317" i="18"/>
  <c r="C316" i="18"/>
  <c r="C315" i="18"/>
  <c r="B314" i="18"/>
  <c r="B313" i="18"/>
  <c r="B312" i="18"/>
  <c r="F310" i="18"/>
  <c r="F309" i="18"/>
  <c r="B309" i="18"/>
  <c r="C308" i="18"/>
  <c r="D307" i="18"/>
  <c r="E306" i="18"/>
  <c r="F305" i="18"/>
  <c r="B305" i="18"/>
  <c r="C304" i="18"/>
  <c r="D303" i="18"/>
  <c r="E302" i="18"/>
  <c r="F301" i="18"/>
  <c r="B301" i="18"/>
  <c r="C300" i="18"/>
  <c r="D299" i="18"/>
  <c r="E298" i="18"/>
  <c r="F297" i="18"/>
  <c r="B297" i="18"/>
  <c r="C296" i="18"/>
  <c r="D295" i="18"/>
  <c r="E294" i="18"/>
  <c r="F293" i="18"/>
  <c r="B293" i="18"/>
  <c r="C292" i="18"/>
  <c r="D291" i="18"/>
  <c r="E290" i="18"/>
  <c r="F289" i="18"/>
  <c r="B289" i="18"/>
  <c r="C288" i="18"/>
  <c r="D287" i="18"/>
  <c r="E286" i="18"/>
  <c r="F285" i="18"/>
  <c r="B285" i="18"/>
  <c r="C284" i="18"/>
  <c r="D283" i="18"/>
  <c r="E282" i="18"/>
  <c r="F281" i="18"/>
  <c r="B281" i="18"/>
  <c r="C280" i="18"/>
  <c r="D279" i="18"/>
  <c r="E278" i="18"/>
  <c r="F277" i="18"/>
  <c r="B277" i="18"/>
  <c r="C276" i="18"/>
  <c r="D275" i="18"/>
  <c r="E274" i="18"/>
  <c r="F273" i="18"/>
  <c r="B273" i="18"/>
  <c r="C272" i="18"/>
  <c r="D271" i="18"/>
  <c r="E270" i="18"/>
  <c r="F269" i="18"/>
  <c r="B269" i="18"/>
  <c r="C268" i="18"/>
  <c r="D267" i="18"/>
  <c r="E266" i="18"/>
  <c r="F265" i="18"/>
  <c r="B265" i="18"/>
  <c r="C264" i="18"/>
  <c r="D263" i="18"/>
  <c r="E262" i="18"/>
  <c r="F261" i="18"/>
  <c r="B261" i="18"/>
  <c r="C260" i="18"/>
  <c r="D259" i="18"/>
  <c r="E258" i="18"/>
  <c r="F257" i="18"/>
  <c r="B257" i="18"/>
  <c r="C256" i="18"/>
  <c r="D255" i="18"/>
  <c r="E254" i="18"/>
  <c r="F253" i="18"/>
  <c r="B253" i="18"/>
  <c r="C252" i="18"/>
  <c r="D251" i="18"/>
  <c r="E250" i="18"/>
  <c r="F249" i="18"/>
  <c r="B249" i="18"/>
  <c r="C248" i="18"/>
  <c r="D247" i="18"/>
  <c r="E246" i="18"/>
  <c r="F245" i="18"/>
  <c r="B245" i="18"/>
  <c r="C244" i="18"/>
  <c r="D243" i="18"/>
  <c r="E242" i="18"/>
  <c r="F241" i="18"/>
  <c r="B241" i="18"/>
  <c r="C240" i="18"/>
  <c r="D239" i="18"/>
  <c r="E238" i="18"/>
  <c r="F237" i="18"/>
  <c r="B237" i="18"/>
  <c r="C236" i="18"/>
  <c r="D235" i="18"/>
  <c r="E234" i="18"/>
  <c r="F233" i="18"/>
  <c r="B233" i="18"/>
  <c r="C232" i="18"/>
  <c r="D231" i="18"/>
  <c r="E230" i="18"/>
  <c r="F229" i="18"/>
  <c r="B229" i="18"/>
  <c r="C228" i="18"/>
  <c r="D227" i="18"/>
  <c r="E226" i="18"/>
  <c r="F225" i="18"/>
  <c r="B225" i="18"/>
  <c r="C224" i="18"/>
  <c r="D223" i="18"/>
  <c r="E222" i="18"/>
  <c r="F221" i="18"/>
  <c r="B221" i="18"/>
  <c r="C220" i="18"/>
  <c r="D219" i="18"/>
  <c r="E218" i="18"/>
  <c r="F217" i="18"/>
  <c r="B217" i="18"/>
  <c r="C216" i="18"/>
  <c r="D215" i="18"/>
  <c r="E214" i="18"/>
  <c r="F213" i="18"/>
  <c r="B213" i="18"/>
  <c r="C212" i="18"/>
  <c r="D211" i="18"/>
  <c r="E210" i="18"/>
  <c r="F209" i="18"/>
  <c r="B209" i="18"/>
  <c r="C208" i="18"/>
  <c r="D207" i="18"/>
  <c r="E206" i="18"/>
  <c r="F205" i="18"/>
  <c r="B205" i="18"/>
  <c r="C204" i="18"/>
  <c r="D203" i="18"/>
  <c r="E202" i="18"/>
  <c r="F201" i="18"/>
  <c r="B201" i="18"/>
  <c r="C200" i="18"/>
  <c r="D199" i="18"/>
  <c r="E198" i="18"/>
  <c r="F197" i="18"/>
  <c r="B197" i="18"/>
  <c r="C196" i="18"/>
  <c r="D195" i="18"/>
  <c r="E194" i="18"/>
  <c r="F193" i="18"/>
  <c r="B193" i="18"/>
  <c r="C192" i="18"/>
  <c r="D191" i="18"/>
  <c r="E190" i="18"/>
  <c r="B317" i="18"/>
  <c r="B316" i="18"/>
  <c r="F314" i="18"/>
  <c r="F313" i="18"/>
  <c r="F312" i="18"/>
  <c r="E311" i="18"/>
  <c r="E310" i="18"/>
  <c r="E309" i="18"/>
  <c r="F308" i="18"/>
  <c r="B308" i="18"/>
  <c r="C307" i="18"/>
  <c r="D306" i="18"/>
  <c r="E305" i="18"/>
  <c r="F304" i="18"/>
  <c r="B304" i="18"/>
  <c r="C303" i="18"/>
  <c r="D302" i="18"/>
  <c r="E301" i="18"/>
  <c r="F300" i="18"/>
  <c r="B300" i="18"/>
  <c r="C299" i="18"/>
  <c r="D298" i="18"/>
  <c r="E297" i="18"/>
  <c r="F296" i="18"/>
  <c r="B296" i="18"/>
  <c r="C295" i="18"/>
  <c r="D294" i="18"/>
  <c r="E293" i="18"/>
  <c r="F292" i="18"/>
  <c r="B292" i="18"/>
  <c r="C291" i="18"/>
  <c r="D290" i="18"/>
  <c r="E289" i="18"/>
  <c r="F288" i="18"/>
  <c r="B288" i="18"/>
  <c r="C287" i="18"/>
  <c r="D286" i="18"/>
  <c r="E285" i="18"/>
  <c r="F284" i="18"/>
  <c r="B284" i="18"/>
  <c r="C283" i="18"/>
  <c r="D282" i="18"/>
  <c r="E281" i="18"/>
  <c r="F280" i="18"/>
  <c r="B280" i="18"/>
  <c r="C279" i="18"/>
  <c r="D278" i="18"/>
  <c r="E277" i="18"/>
  <c r="F276" i="18"/>
  <c r="B276" i="18"/>
  <c r="C275" i="18"/>
  <c r="D274" i="18"/>
  <c r="E273" i="18"/>
  <c r="F272" i="18"/>
  <c r="B272" i="18"/>
  <c r="C271" i="18"/>
  <c r="D270" i="18"/>
  <c r="E269" i="18"/>
  <c r="F268" i="18"/>
  <c r="B268" i="18"/>
  <c r="C267" i="18"/>
  <c r="D266" i="18"/>
  <c r="E265" i="18"/>
  <c r="F264" i="18"/>
  <c r="B264" i="18"/>
  <c r="C263" i="18"/>
  <c r="D262" i="18"/>
  <c r="E261" i="18"/>
  <c r="F260" i="18"/>
  <c r="B260" i="18"/>
  <c r="C259" i="18"/>
  <c r="D258" i="18"/>
  <c r="E257" i="18"/>
  <c r="F256" i="18"/>
  <c r="B256" i="18"/>
  <c r="C255" i="18"/>
  <c r="D254" i="18"/>
  <c r="E253" i="18"/>
  <c r="F252" i="18"/>
  <c r="B252" i="18"/>
  <c r="C251" i="18"/>
  <c r="D250" i="18"/>
  <c r="E249" i="18"/>
  <c r="F248" i="18"/>
  <c r="B248" i="18"/>
  <c r="C247" i="18"/>
  <c r="D246" i="18"/>
  <c r="E245" i="18"/>
  <c r="F244" i="18"/>
  <c r="B244" i="18"/>
  <c r="C243" i="18"/>
  <c r="D242" i="18"/>
  <c r="E241" i="18"/>
  <c r="F240" i="18"/>
  <c r="B240" i="18"/>
  <c r="C239" i="18"/>
  <c r="D238" i="18"/>
  <c r="E237" i="18"/>
  <c r="F236" i="18"/>
  <c r="B236" i="18"/>
  <c r="C235" i="18"/>
  <c r="D234" i="18"/>
  <c r="E233" i="18"/>
  <c r="F232" i="18"/>
  <c r="B232" i="18"/>
  <c r="C231" i="18"/>
  <c r="D230" i="18"/>
  <c r="E229" i="18"/>
  <c r="F228" i="18"/>
  <c r="B228" i="18"/>
  <c r="C227" i="18"/>
  <c r="D226" i="18"/>
  <c r="E225" i="18"/>
  <c r="F224" i="18"/>
  <c r="B224" i="18"/>
  <c r="C223" i="18"/>
  <c r="D222" i="18"/>
  <c r="E221" i="18"/>
  <c r="F220" i="18"/>
  <c r="B220" i="18"/>
  <c r="C219" i="18"/>
  <c r="D218" i="18"/>
  <c r="E217" i="18"/>
  <c r="F216" i="18"/>
  <c r="B216" i="18"/>
  <c r="C215" i="18"/>
  <c r="D214" i="18"/>
  <c r="E213" i="18"/>
  <c r="F212" i="18"/>
  <c r="B212" i="18"/>
  <c r="C211" i="18"/>
  <c r="D210" i="18"/>
  <c r="E209" i="18"/>
  <c r="F208" i="18"/>
  <c r="B208" i="18"/>
  <c r="C207" i="18"/>
  <c r="D206" i="18"/>
  <c r="E205" i="18"/>
  <c r="F204" i="18"/>
  <c r="B204" i="18"/>
  <c r="C203" i="18"/>
  <c r="D202" i="18"/>
  <c r="E201" i="18"/>
  <c r="F200" i="18"/>
  <c r="B200" i="18"/>
  <c r="C199" i="18"/>
  <c r="D198" i="18"/>
  <c r="E197" i="18"/>
  <c r="F196" i="18"/>
  <c r="B196" i="18"/>
  <c r="C195" i="18"/>
  <c r="D194" i="18"/>
  <c r="E193" i="18"/>
  <c r="F192" i="18"/>
  <c r="B192" i="18"/>
  <c r="C191" i="18"/>
  <c r="D190" i="18"/>
  <c r="E189" i="18"/>
  <c r="F188" i="18"/>
  <c r="B188" i="18"/>
  <c r="C187" i="18"/>
  <c r="D186" i="18"/>
  <c r="E185" i="18"/>
  <c r="F184" i="18"/>
  <c r="B184" i="18"/>
  <c r="C183" i="18"/>
  <c r="D182" i="18"/>
  <c r="E181" i="18"/>
  <c r="F180" i="18"/>
  <c r="B180" i="18"/>
  <c r="C179" i="18"/>
  <c r="D178" i="18"/>
  <c r="E177" i="18"/>
  <c r="F176" i="18"/>
  <c r="B176" i="18"/>
  <c r="C175" i="18"/>
  <c r="D174" i="18"/>
  <c r="E173" i="18"/>
  <c r="F172" i="18"/>
  <c r="B172" i="18"/>
  <c r="C171" i="18"/>
  <c r="D170" i="18"/>
  <c r="E169" i="18"/>
  <c r="F168" i="18"/>
  <c r="B168" i="18"/>
  <c r="C167" i="18"/>
  <c r="D166" i="18"/>
  <c r="E165" i="18"/>
  <c r="F164" i="18"/>
  <c r="B164" i="18"/>
  <c r="C163" i="18"/>
  <c r="D162" i="18"/>
  <c r="E161" i="18"/>
  <c r="F160" i="18"/>
  <c r="B160" i="18"/>
  <c r="C159" i="18"/>
  <c r="D158" i="18"/>
  <c r="E157" i="18"/>
  <c r="F156" i="18"/>
  <c r="B156" i="18"/>
  <c r="C155" i="18"/>
  <c r="D154" i="18"/>
  <c r="E153" i="18"/>
  <c r="F152" i="18"/>
  <c r="B152" i="18"/>
  <c r="C151" i="18"/>
  <c r="D150" i="18"/>
  <c r="E149" i="18"/>
  <c r="F148" i="18"/>
  <c r="B148" i="18"/>
  <c r="C147" i="18"/>
  <c r="D146" i="18"/>
  <c r="E145" i="18"/>
  <c r="F144" i="18"/>
  <c r="B144" i="18"/>
  <c r="C143" i="18"/>
  <c r="D142" i="18"/>
  <c r="E141" i="18"/>
  <c r="F140" i="18"/>
  <c r="B140" i="18"/>
  <c r="C139" i="18"/>
  <c r="D138" i="18"/>
  <c r="E137" i="18"/>
  <c r="F136" i="18"/>
  <c r="B136" i="18"/>
  <c r="C135" i="18"/>
  <c r="D134" i="18"/>
  <c r="E133" i="18"/>
  <c r="F132" i="18"/>
  <c r="B132" i="18"/>
  <c r="C131" i="18"/>
  <c r="D130" i="18"/>
  <c r="E129" i="18"/>
  <c r="F128" i="18"/>
  <c r="B128" i="18"/>
  <c r="C127" i="18"/>
  <c r="D126" i="18"/>
  <c r="E125" i="18"/>
  <c r="F124" i="18"/>
  <c r="B124" i="18"/>
  <c r="C123" i="18"/>
  <c r="D122" i="18"/>
  <c r="E121" i="18"/>
  <c r="F120" i="18"/>
  <c r="B120" i="18"/>
  <c r="C119" i="18"/>
  <c r="D118" i="18"/>
  <c r="E117" i="18"/>
  <c r="F116" i="18"/>
  <c r="B116" i="18"/>
  <c r="C115" i="18"/>
  <c r="D114" i="18"/>
  <c r="E113" i="18"/>
  <c r="F112" i="18"/>
  <c r="B112" i="18"/>
  <c r="C111" i="18"/>
  <c r="D110" i="18"/>
  <c r="E109" i="18"/>
  <c r="F108" i="18"/>
  <c r="B108" i="18"/>
  <c r="C107" i="18"/>
  <c r="D106" i="18"/>
  <c r="E105" i="18"/>
  <c r="F104" i="18"/>
  <c r="B104" i="18"/>
  <c r="C103" i="18"/>
  <c r="D102" i="18"/>
  <c r="E101" i="18"/>
  <c r="F100" i="18"/>
  <c r="B100" i="18"/>
  <c r="C99" i="18"/>
  <c r="D98" i="18"/>
  <c r="E97" i="18"/>
  <c r="F96" i="18"/>
  <c r="B96" i="18"/>
  <c r="C95" i="18"/>
  <c r="D94" i="18"/>
  <c r="E93" i="18"/>
  <c r="F92" i="18"/>
  <c r="B92" i="18"/>
  <c r="C91" i="18"/>
  <c r="D90" i="18"/>
  <c r="E89" i="18"/>
  <c r="F88" i="18"/>
  <c r="B88" i="18"/>
  <c r="C87" i="18"/>
  <c r="D86" i="18"/>
  <c r="E85" i="18"/>
  <c r="F84" i="18"/>
  <c r="B84" i="18"/>
  <c r="C83" i="18"/>
  <c r="D82" i="18"/>
  <c r="E81" i="18"/>
  <c r="F80" i="18"/>
  <c r="B80" i="18"/>
  <c r="C79" i="18"/>
  <c r="D78" i="18"/>
  <c r="E77" i="18"/>
  <c r="F76" i="18"/>
  <c r="B76" i="18"/>
  <c r="C75" i="18"/>
  <c r="D74" i="18"/>
  <c r="E73" i="18"/>
  <c r="F72" i="18"/>
  <c r="B72" i="18"/>
  <c r="C71" i="18"/>
  <c r="D70" i="18"/>
  <c r="E69" i="18"/>
  <c r="F68" i="18"/>
  <c r="B68" i="18"/>
  <c r="C67" i="18"/>
  <c r="D66" i="18"/>
  <c r="E65" i="18"/>
  <c r="F64" i="18"/>
  <c r="B64" i="18"/>
  <c r="C63" i="18"/>
  <c r="D62" i="18"/>
  <c r="E61" i="18"/>
  <c r="F60" i="18"/>
  <c r="B60" i="18"/>
  <c r="C59" i="18"/>
  <c r="D58" i="18"/>
  <c r="E57" i="18"/>
  <c r="F56" i="18"/>
  <c r="B56" i="18"/>
  <c r="C55" i="18"/>
  <c r="D54" i="18"/>
  <c r="E53" i="18"/>
  <c r="F52" i="18"/>
  <c r="B52" i="18"/>
  <c r="C51" i="18"/>
  <c r="D50" i="18"/>
  <c r="E49" i="18"/>
  <c r="F48" i="18"/>
  <c r="B48" i="18"/>
  <c r="C47" i="18"/>
  <c r="D46" i="18"/>
  <c r="E45" i="18"/>
  <c r="F44" i="18"/>
  <c r="B44" i="18"/>
  <c r="C43" i="18"/>
  <c r="D42" i="18"/>
  <c r="E41" i="18"/>
  <c r="F40" i="18"/>
  <c r="B40" i="18"/>
  <c r="C39" i="18"/>
  <c r="D38" i="18"/>
  <c r="E37" i="18"/>
  <c r="F36" i="18"/>
  <c r="B36" i="18"/>
  <c r="C35" i="18"/>
  <c r="D34" i="18"/>
  <c r="E33" i="18"/>
  <c r="F32" i="18"/>
  <c r="B32" i="18"/>
  <c r="C31" i="18"/>
  <c r="D30" i="18"/>
  <c r="E29" i="18"/>
  <c r="F28" i="18"/>
  <c r="B28" i="18"/>
  <c r="C27" i="18"/>
  <c r="D26" i="18"/>
  <c r="E25" i="18"/>
  <c r="F24" i="18"/>
  <c r="B24" i="18"/>
  <c r="C23" i="18"/>
  <c r="D22" i="18"/>
  <c r="E21" i="18"/>
  <c r="F20" i="18"/>
  <c r="B20" i="18"/>
  <c r="C19" i="18"/>
  <c r="D18" i="18"/>
  <c r="D316" i="18"/>
  <c r="D314" i="18"/>
  <c r="C312" i="18"/>
  <c r="B310" i="18"/>
  <c r="D308" i="18"/>
  <c r="F306" i="18"/>
  <c r="C305" i="18"/>
  <c r="E303" i="18"/>
  <c r="B302" i="18"/>
  <c r="D300" i="18"/>
  <c r="F298" i="18"/>
  <c r="C297" i="18"/>
  <c r="E295" i="18"/>
  <c r="B294" i="18"/>
  <c r="D292" i="18"/>
  <c r="F290" i="18"/>
  <c r="C289" i="18"/>
  <c r="E287" i="18"/>
  <c r="B286" i="18"/>
  <c r="D284" i="18"/>
  <c r="F282" i="18"/>
  <c r="C281" i="18"/>
  <c r="E279" i="18"/>
  <c r="B278" i="18"/>
  <c r="D276" i="18"/>
  <c r="F274" i="18"/>
  <c r="C273" i="18"/>
  <c r="E271" i="18"/>
  <c r="B270" i="18"/>
  <c r="D268" i="18"/>
  <c r="F266" i="18"/>
  <c r="C265" i="18"/>
  <c r="E263" i="18"/>
  <c r="B262" i="18"/>
  <c r="D260" i="18"/>
  <c r="F258" i="18"/>
  <c r="C257" i="18"/>
  <c r="E255" i="18"/>
  <c r="B254" i="18"/>
  <c r="D252" i="18"/>
  <c r="F250" i="18"/>
  <c r="C249" i="18"/>
  <c r="E247" i="18"/>
  <c r="B246" i="18"/>
  <c r="D244" i="18"/>
  <c r="F242" i="18"/>
  <c r="C241" i="18"/>
  <c r="E239" i="18"/>
  <c r="B238" i="18"/>
  <c r="D236" i="18"/>
  <c r="F234" i="18"/>
  <c r="C233" i="18"/>
  <c r="E231" i="18"/>
  <c r="B230" i="18"/>
  <c r="D228" i="18"/>
  <c r="F226" i="18"/>
  <c r="C225" i="18"/>
  <c r="E223" i="18"/>
  <c r="B222" i="18"/>
  <c r="D220" i="18"/>
  <c r="F218" i="18"/>
  <c r="C217" i="18"/>
  <c r="E215" i="18"/>
  <c r="B214" i="18"/>
  <c r="D212" i="18"/>
  <c r="F210" i="18"/>
  <c r="C209" i="18"/>
  <c r="E207" i="18"/>
  <c r="B206" i="18"/>
  <c r="D204" i="18"/>
  <c r="F202" i="18"/>
  <c r="C201" i="18"/>
  <c r="E199" i="18"/>
  <c r="B198" i="18"/>
  <c r="D196" i="18"/>
  <c r="F194" i="18"/>
  <c r="C193" i="18"/>
  <c r="E191" i="18"/>
  <c r="B190" i="18"/>
  <c r="B189" i="18"/>
  <c r="F187" i="18"/>
  <c r="F186" i="18"/>
  <c r="F185" i="18"/>
  <c r="E184" i="18"/>
  <c r="E183" i="18"/>
  <c r="E182" i="18"/>
  <c r="D181" i="18"/>
  <c r="D180" i="18"/>
  <c r="D179" i="18"/>
  <c r="C178" i="18"/>
  <c r="C177" i="18"/>
  <c r="C176" i="18"/>
  <c r="B175" i="18"/>
  <c r="B174" i="18"/>
  <c r="B173" i="18"/>
  <c r="F171" i="18"/>
  <c r="F170" i="18"/>
  <c r="F169" i="18"/>
  <c r="E168" i="18"/>
  <c r="E167" i="18"/>
  <c r="E166" i="18"/>
  <c r="D165" i="18"/>
  <c r="D164" i="18"/>
  <c r="D163" i="18"/>
  <c r="C162" i="18"/>
  <c r="C161" i="18"/>
  <c r="C160" i="18"/>
  <c r="B159" i="18"/>
  <c r="B158" i="18"/>
  <c r="B157" i="18"/>
  <c r="F155" i="18"/>
  <c r="F154" i="18"/>
  <c r="F153" i="18"/>
  <c r="E152" i="18"/>
  <c r="E151" i="18"/>
  <c r="E150" i="18"/>
  <c r="D149" i="18"/>
  <c r="D148" i="18"/>
  <c r="D147" i="18"/>
  <c r="C146" i="18"/>
  <c r="C145" i="18"/>
  <c r="C144" i="18"/>
  <c r="B143" i="18"/>
  <c r="B142" i="18"/>
  <c r="B141" i="18"/>
  <c r="F139" i="18"/>
  <c r="F138" i="18"/>
  <c r="F137" i="18"/>
  <c r="E136" i="18"/>
  <c r="E135" i="18"/>
  <c r="E134" i="18"/>
  <c r="D133" i="18"/>
  <c r="D132" i="18"/>
  <c r="D131" i="18"/>
  <c r="C130" i="18"/>
  <c r="C129" i="18"/>
  <c r="C128" i="18"/>
  <c r="B127" i="18"/>
  <c r="B126" i="18"/>
  <c r="B125" i="18"/>
  <c r="F123" i="18"/>
  <c r="F122" i="18"/>
  <c r="F121" i="18"/>
  <c r="E120" i="18"/>
  <c r="E119" i="18"/>
  <c r="E118" i="18"/>
  <c r="D117" i="18"/>
  <c r="D116" i="18"/>
  <c r="D115" i="18"/>
  <c r="C114" i="18"/>
  <c r="C113" i="18"/>
  <c r="C112" i="18"/>
  <c r="B111" i="18"/>
  <c r="B110" i="18"/>
  <c r="B109" i="18"/>
  <c r="F107" i="18"/>
  <c r="F106" i="18"/>
  <c r="F105" i="18"/>
  <c r="E104" i="18"/>
  <c r="E103" i="18"/>
  <c r="E102" i="18"/>
  <c r="D101" i="18"/>
  <c r="D100" i="18"/>
  <c r="D99" i="18"/>
  <c r="C98" i="18"/>
  <c r="C97" i="18"/>
  <c r="C96" i="18"/>
  <c r="B95" i="18"/>
  <c r="B94" i="18"/>
  <c r="B93" i="18"/>
  <c r="F91" i="18"/>
  <c r="F90" i="18"/>
  <c r="F89" i="18"/>
  <c r="E88" i="18"/>
  <c r="E87" i="18"/>
  <c r="E86" i="18"/>
  <c r="D85" i="18"/>
  <c r="D84" i="18"/>
  <c r="D83" i="18"/>
  <c r="C82" i="18"/>
  <c r="C81" i="18"/>
  <c r="C80" i="18"/>
  <c r="B79" i="18"/>
  <c r="B78" i="18"/>
  <c r="B77" i="18"/>
  <c r="F75" i="18"/>
  <c r="F74" i="18"/>
  <c r="F73" i="18"/>
  <c r="E72" i="18"/>
  <c r="E71" i="18"/>
  <c r="E70" i="18"/>
  <c r="D69" i="18"/>
  <c r="D68" i="18"/>
  <c r="D67" i="18"/>
  <c r="C66" i="18"/>
  <c r="C65" i="18"/>
  <c r="C64" i="18"/>
  <c r="B63" i="18"/>
  <c r="B62" i="18"/>
  <c r="B61" i="18"/>
  <c r="F59" i="18"/>
  <c r="F58" i="18"/>
  <c r="F57" i="18"/>
  <c r="E56" i="18"/>
  <c r="E55" i="18"/>
  <c r="E54" i="18"/>
  <c r="D53" i="18"/>
  <c r="D52" i="18"/>
  <c r="D51" i="18"/>
  <c r="C50" i="18"/>
  <c r="C49" i="18"/>
  <c r="C48" i="18"/>
  <c r="B47" i="18"/>
  <c r="B46" i="18"/>
  <c r="B45" i="18"/>
  <c r="F43" i="18"/>
  <c r="F42" i="18"/>
  <c r="F41" i="18"/>
  <c r="E40" i="18"/>
  <c r="E39" i="18"/>
  <c r="E38" i="18"/>
  <c r="D37" i="18"/>
  <c r="D36" i="18"/>
  <c r="D35" i="18"/>
  <c r="C34" i="18"/>
  <c r="C33" i="18"/>
  <c r="C32" i="18"/>
  <c r="B31" i="18"/>
  <c r="B30" i="18"/>
  <c r="B29" i="18"/>
  <c r="F27" i="18"/>
  <c r="F26" i="18"/>
  <c r="F25" i="18"/>
  <c r="E24" i="18"/>
  <c r="E23" i="18"/>
  <c r="E22" i="18"/>
  <c r="D21" i="18"/>
  <c r="D20" i="18"/>
  <c r="D19" i="18"/>
  <c r="C18" i="18"/>
  <c r="E283" i="18"/>
  <c r="F262" i="18"/>
  <c r="B250" i="18"/>
  <c r="F238" i="18"/>
  <c r="C229" i="18"/>
  <c r="C221" i="18"/>
  <c r="F214" i="18"/>
  <c r="B210" i="18"/>
  <c r="C205" i="18"/>
  <c r="D200" i="18"/>
  <c r="C197" i="18"/>
  <c r="D192" i="18"/>
  <c r="D188" i="18"/>
  <c r="C186" i="18"/>
  <c r="C184" i="18"/>
  <c r="B182" i="18"/>
  <c r="F179" i="18"/>
  <c r="F177" i="18"/>
  <c r="E175" i="18"/>
  <c r="D173" i="18"/>
  <c r="D171" i="18"/>
  <c r="C169" i="18"/>
  <c r="B167" i="18"/>
  <c r="B165" i="18"/>
  <c r="F161" i="18"/>
  <c r="E159" i="18"/>
  <c r="D157" i="18"/>
  <c r="D155" i="18"/>
  <c r="C153" i="18"/>
  <c r="B150" i="18"/>
  <c r="F147" i="18"/>
  <c r="F145" i="18"/>
  <c r="E143" i="18"/>
  <c r="D141" i="18"/>
  <c r="D139" i="18"/>
  <c r="C136" i="18"/>
  <c r="B134" i="18"/>
  <c r="F131" i="18"/>
  <c r="F129" i="18"/>
  <c r="E127" i="18"/>
  <c r="D125" i="18"/>
  <c r="D123" i="18"/>
  <c r="C121" i="18"/>
  <c r="B119" i="18"/>
  <c r="F115" i="18"/>
  <c r="F113" i="18"/>
  <c r="E111" i="18"/>
  <c r="D108" i="18"/>
  <c r="C106" i="18"/>
  <c r="C104" i="18"/>
  <c r="B102" i="18"/>
  <c r="F98" i="18"/>
  <c r="E95" i="18"/>
  <c r="D92" i="18"/>
  <c r="C90" i="18"/>
  <c r="C88" i="18"/>
  <c r="B86" i="18"/>
  <c r="F83" i="18"/>
  <c r="E80" i="18"/>
  <c r="E78" i="18"/>
  <c r="D75" i="18"/>
  <c r="C73" i="18"/>
  <c r="B71" i="18"/>
  <c r="F67" i="18"/>
  <c r="E64" i="18"/>
  <c r="E62" i="18"/>
  <c r="D59" i="18"/>
  <c r="C56" i="18"/>
  <c r="B54" i="18"/>
  <c r="F51" i="18"/>
  <c r="F49" i="18"/>
  <c r="E47" i="18"/>
  <c r="D44" i="18"/>
  <c r="C42" i="18"/>
  <c r="C40" i="18"/>
  <c r="B38" i="18"/>
  <c r="F34" i="18"/>
  <c r="E32" i="18"/>
  <c r="E30" i="18"/>
  <c r="D28" i="18"/>
  <c r="C26" i="18"/>
  <c r="C24" i="18"/>
  <c r="B22" i="18"/>
  <c r="F19" i="18"/>
  <c r="F316" i="18"/>
  <c r="E314" i="18"/>
  <c r="D312" i="18"/>
  <c r="E308" i="18"/>
  <c r="B307" i="18"/>
  <c r="F303" i="18"/>
  <c r="C302" i="18"/>
  <c r="B299" i="18"/>
  <c r="F295" i="18"/>
  <c r="E292" i="18"/>
  <c r="D289" i="18"/>
  <c r="C286" i="18"/>
  <c r="D281" i="18"/>
  <c r="C278" i="18"/>
  <c r="B275" i="18"/>
  <c r="F271" i="18"/>
  <c r="E268" i="18"/>
  <c r="D265" i="18"/>
  <c r="F263" i="18"/>
  <c r="E260" i="18"/>
  <c r="D257" i="18"/>
  <c r="C254" i="18"/>
  <c r="B251" i="18"/>
  <c r="F247" i="18"/>
  <c r="E244" i="18"/>
  <c r="D241" i="18"/>
  <c r="C238" i="18"/>
  <c r="E236" i="18"/>
  <c r="D233" i="18"/>
  <c r="C230" i="18"/>
  <c r="B227" i="18"/>
  <c r="D225" i="18"/>
  <c r="C222" i="18"/>
  <c r="B219" i="18"/>
  <c r="F215" i="18"/>
  <c r="E212" i="18"/>
  <c r="D209" i="18"/>
  <c r="C206" i="18"/>
  <c r="B203" i="18"/>
  <c r="F199" i="18"/>
  <c r="E196" i="18"/>
  <c r="D193" i="18"/>
  <c r="C190" i="18"/>
  <c r="C188" i="18"/>
  <c r="B186" i="18"/>
  <c r="F183" i="18"/>
  <c r="F181" i="18"/>
  <c r="E179" i="18"/>
  <c r="D177" i="18"/>
  <c r="D175" i="18"/>
  <c r="C173" i="18"/>
  <c r="B171" i="18"/>
  <c r="B169" i="18"/>
  <c r="F166" i="18"/>
  <c r="E164" i="18"/>
  <c r="E163" i="18"/>
  <c r="D161" i="18"/>
  <c r="D159" i="18"/>
  <c r="C157" i="18"/>
  <c r="B155" i="18"/>
  <c r="B154" i="18"/>
  <c r="F151" i="18"/>
  <c r="F149" i="18"/>
  <c r="E147" i="18"/>
  <c r="D145" i="18"/>
  <c r="D143" i="18"/>
  <c r="C141" i="18"/>
  <c r="C140" i="18"/>
  <c r="B138" i="18"/>
  <c r="F135" i="18"/>
  <c r="F133" i="18"/>
  <c r="E132" i="18"/>
  <c r="E130" i="18"/>
  <c r="D128" i="18"/>
  <c r="C126" i="18"/>
  <c r="C124" i="18"/>
  <c r="B122" i="18"/>
  <c r="F119" i="18"/>
  <c r="F117" i="18"/>
  <c r="E115" i="18"/>
  <c r="D113" i="18"/>
  <c r="D112" i="18"/>
  <c r="C110" i="18"/>
  <c r="C108" i="18"/>
  <c r="B106" i="18"/>
  <c r="F103" i="18"/>
  <c r="F101" i="18"/>
  <c r="E99" i="18"/>
  <c r="D97" i="18"/>
  <c r="D95" i="18"/>
  <c r="C93" i="18"/>
  <c r="B91" i="18"/>
  <c r="B89" i="18"/>
  <c r="F86" i="18"/>
  <c r="E84" i="18"/>
  <c r="E82" i="18"/>
  <c r="D80" i="18"/>
  <c r="C78" i="18"/>
  <c r="F317" i="18"/>
  <c r="E315" i="18"/>
  <c r="E313" i="18"/>
  <c r="D311" i="18"/>
  <c r="D309" i="18"/>
  <c r="F307" i="18"/>
  <c r="C306" i="18"/>
  <c r="E304" i="18"/>
  <c r="B303" i="18"/>
  <c r="D301" i="18"/>
  <c r="F299" i="18"/>
  <c r="C298" i="18"/>
  <c r="E296" i="18"/>
  <c r="B295" i="18"/>
  <c r="D293" i="18"/>
  <c r="F291" i="18"/>
  <c r="C290" i="18"/>
  <c r="E288" i="18"/>
  <c r="B287" i="18"/>
  <c r="D285" i="18"/>
  <c r="F283" i="18"/>
  <c r="C282" i="18"/>
  <c r="E280" i="18"/>
  <c r="B279" i="18"/>
  <c r="D277" i="18"/>
  <c r="F275" i="18"/>
  <c r="C274" i="18"/>
  <c r="E272" i="18"/>
  <c r="B271" i="18"/>
  <c r="D269" i="18"/>
  <c r="F267" i="18"/>
  <c r="C266" i="18"/>
  <c r="E264" i="18"/>
  <c r="B263" i="18"/>
  <c r="D261" i="18"/>
  <c r="F259" i="18"/>
  <c r="C258" i="18"/>
  <c r="E256" i="18"/>
  <c r="B255" i="18"/>
  <c r="D253" i="18"/>
  <c r="F251" i="18"/>
  <c r="C250" i="18"/>
  <c r="E248" i="18"/>
  <c r="B247" i="18"/>
  <c r="G247" i="18"/>
  <c r="D245" i="18"/>
  <c r="F243" i="18"/>
  <c r="C242" i="18"/>
  <c r="E240" i="18"/>
  <c r="B239" i="18"/>
  <c r="D237" i="18"/>
  <c r="F235" i="18"/>
  <c r="C234" i="18"/>
  <c r="E232" i="18"/>
  <c r="B231" i="18"/>
  <c r="D229" i="18"/>
  <c r="F227" i="18"/>
  <c r="C226" i="18"/>
  <c r="E224" i="18"/>
  <c r="B223" i="18"/>
  <c r="D221" i="18"/>
  <c r="F219" i="18"/>
  <c r="C218" i="18"/>
  <c r="E216" i="18"/>
  <c r="B215" i="18"/>
  <c r="G215" i="18"/>
  <c r="D213" i="18"/>
  <c r="F211" i="18"/>
  <c r="C210" i="18"/>
  <c r="E208" i="18"/>
  <c r="B207" i="18"/>
  <c r="D205" i="18"/>
  <c r="F203" i="18"/>
  <c r="C202" i="18"/>
  <c r="E200" i="18"/>
  <c r="B199" i="18"/>
  <c r="G199" i="18"/>
  <c r="D197" i="18"/>
  <c r="F195" i="18"/>
  <c r="C194" i="18"/>
  <c r="E192" i="18"/>
  <c r="B191" i="18"/>
  <c r="F189" i="18"/>
  <c r="E188" i="18"/>
  <c r="E187" i="18"/>
  <c r="E186" i="18"/>
  <c r="D185" i="18"/>
  <c r="D184" i="18"/>
  <c r="D183" i="18"/>
  <c r="C182" i="18"/>
  <c r="C181" i="18"/>
  <c r="C180" i="18"/>
  <c r="B179" i="18"/>
  <c r="G179" i="18"/>
  <c r="B178" i="18"/>
  <c r="B177" i="18"/>
  <c r="G177" i="18"/>
  <c r="F175" i="18"/>
  <c r="F174" i="18"/>
  <c r="F173" i="18"/>
  <c r="E172" i="18"/>
  <c r="E171" i="18"/>
  <c r="E170" i="18"/>
  <c r="D169" i="18"/>
  <c r="D168" i="18"/>
  <c r="D167" i="18"/>
  <c r="C166" i="18"/>
  <c r="C165" i="18"/>
  <c r="C164" i="18"/>
  <c r="B163" i="18"/>
  <c r="B162" i="18"/>
  <c r="B161" i="18"/>
  <c r="G161" i="18"/>
  <c r="F159" i="18"/>
  <c r="F158" i="18"/>
  <c r="F157" i="18"/>
  <c r="E156" i="18"/>
  <c r="E155" i="18"/>
  <c r="E154" i="18"/>
  <c r="D153" i="18"/>
  <c r="D152" i="18"/>
  <c r="D151" i="18"/>
  <c r="C150" i="18"/>
  <c r="C149" i="18"/>
  <c r="C148" i="18"/>
  <c r="B147" i="18"/>
  <c r="G147" i="18"/>
  <c r="B146" i="18"/>
  <c r="B145" i="18"/>
  <c r="G145" i="18"/>
  <c r="F143" i="18"/>
  <c r="F142" i="18"/>
  <c r="F141" i="18"/>
  <c r="E140" i="18"/>
  <c r="E139" i="18"/>
  <c r="E138" i="18"/>
  <c r="D137" i="18"/>
  <c r="D136" i="18"/>
  <c r="D135" i="18"/>
  <c r="C134" i="18"/>
  <c r="C133" i="18"/>
  <c r="C132" i="18"/>
  <c r="B131" i="18"/>
  <c r="B130" i="18"/>
  <c r="G130" i="18"/>
  <c r="B129" i="18"/>
  <c r="F127" i="18"/>
  <c r="F126" i="18"/>
  <c r="F125" i="18"/>
  <c r="E124" i="18"/>
  <c r="E123" i="18"/>
  <c r="E122" i="18"/>
  <c r="D121" i="18"/>
  <c r="D120" i="18"/>
  <c r="D119" i="18"/>
  <c r="C118" i="18"/>
  <c r="C117" i="18"/>
  <c r="C116" i="18"/>
  <c r="B115" i="18"/>
  <c r="G115" i="18"/>
  <c r="B114" i="18"/>
  <c r="B113" i="18"/>
  <c r="G113" i="18"/>
  <c r="F111" i="18"/>
  <c r="F110" i="18"/>
  <c r="F109" i="18"/>
  <c r="E108" i="18"/>
  <c r="E107" i="18"/>
  <c r="E106" i="18"/>
  <c r="D105" i="18"/>
  <c r="D104" i="18"/>
  <c r="D103" i="18"/>
  <c r="C102" i="18"/>
  <c r="C101" i="18"/>
  <c r="C100" i="18"/>
  <c r="B99" i="18"/>
  <c r="B98" i="18"/>
  <c r="B97" i="18"/>
  <c r="F95" i="18"/>
  <c r="F94" i="18"/>
  <c r="F93" i="18"/>
  <c r="E92" i="18"/>
  <c r="E91" i="18"/>
  <c r="E90" i="18"/>
  <c r="D89" i="18"/>
  <c r="D88" i="18"/>
  <c r="D87" i="18"/>
  <c r="C86" i="18"/>
  <c r="C85" i="18"/>
  <c r="C84" i="18"/>
  <c r="B83" i="18"/>
  <c r="B82" i="18"/>
  <c r="B81" i="18"/>
  <c r="F79" i="18"/>
  <c r="F78" i="18"/>
  <c r="F77" i="18"/>
  <c r="E76" i="18"/>
  <c r="E75" i="18"/>
  <c r="E74" i="18"/>
  <c r="D73" i="18"/>
  <c r="D72" i="18"/>
  <c r="D71" i="18"/>
  <c r="C70" i="18"/>
  <c r="C69" i="18"/>
  <c r="C68" i="18"/>
  <c r="B67" i="18"/>
  <c r="B66" i="18"/>
  <c r="B65" i="18"/>
  <c r="F63" i="18"/>
  <c r="F62" i="18"/>
  <c r="F61" i="18"/>
  <c r="E60" i="18"/>
  <c r="E59" i="18"/>
  <c r="E58" i="18"/>
  <c r="D57" i="18"/>
  <c r="D56" i="18"/>
  <c r="D55" i="18"/>
  <c r="C54" i="18"/>
  <c r="C53" i="18"/>
  <c r="C52" i="18"/>
  <c r="B51" i="18"/>
  <c r="B50" i="18"/>
  <c r="B49" i="18"/>
  <c r="F47" i="18"/>
  <c r="F46" i="18"/>
  <c r="F45" i="18"/>
  <c r="E44" i="18"/>
  <c r="E43" i="18"/>
  <c r="E42" i="18"/>
  <c r="D41" i="18"/>
  <c r="D40" i="18"/>
  <c r="D39" i="18"/>
  <c r="C38" i="18"/>
  <c r="C37" i="18"/>
  <c r="C36" i="18"/>
  <c r="B35" i="18"/>
  <c r="B34" i="18"/>
  <c r="B33" i="18"/>
  <c r="F31" i="18"/>
  <c r="F30" i="18"/>
  <c r="F29" i="18"/>
  <c r="E28" i="18"/>
  <c r="E27" i="18"/>
  <c r="E26" i="18"/>
  <c r="D25" i="18"/>
  <c r="D24" i="18"/>
  <c r="D23" i="18"/>
  <c r="C22" i="18"/>
  <c r="C21" i="18"/>
  <c r="C20" i="18"/>
  <c r="B19" i="18"/>
  <c r="G19" i="18"/>
  <c r="B18" i="18"/>
  <c r="E317" i="18"/>
  <c r="D315" i="18"/>
  <c r="C313" i="18"/>
  <c r="C311" i="18"/>
  <c r="C309" i="18"/>
  <c r="E307" i="18"/>
  <c r="B306" i="18"/>
  <c r="D304" i="18"/>
  <c r="F302" i="18"/>
  <c r="C301" i="18"/>
  <c r="E299" i="18"/>
  <c r="B298" i="18"/>
  <c r="D296" i="18"/>
  <c r="F294" i="18"/>
  <c r="C293" i="18"/>
  <c r="E291" i="18"/>
  <c r="B290" i="18"/>
  <c r="D288" i="18"/>
  <c r="F286" i="18"/>
  <c r="C285" i="18"/>
  <c r="B282" i="18"/>
  <c r="D280" i="18"/>
  <c r="F278" i="18"/>
  <c r="C277" i="18"/>
  <c r="E275" i="18"/>
  <c r="B274" i="18"/>
  <c r="D272" i="18"/>
  <c r="F270" i="18"/>
  <c r="C269" i="18"/>
  <c r="E267" i="18"/>
  <c r="B266" i="18"/>
  <c r="D264" i="18"/>
  <c r="C261" i="18"/>
  <c r="E259" i="18"/>
  <c r="B258" i="18"/>
  <c r="D256" i="18"/>
  <c r="F254" i="18"/>
  <c r="C253" i="18"/>
  <c r="E251" i="18"/>
  <c r="D248" i="18"/>
  <c r="F246" i="18"/>
  <c r="C245" i="18"/>
  <c r="E243" i="18"/>
  <c r="B242" i="18"/>
  <c r="G242" i="18"/>
  <c r="D240" i="18"/>
  <c r="C237" i="18"/>
  <c r="E235" i="18"/>
  <c r="B234" i="18"/>
  <c r="D232" i="18"/>
  <c r="F230" i="18"/>
  <c r="E227" i="18"/>
  <c r="B226" i="18"/>
  <c r="G226" i="18"/>
  <c r="D224" i="18"/>
  <c r="F222" i="18"/>
  <c r="E219" i="18"/>
  <c r="B218" i="18"/>
  <c r="G218" i="18"/>
  <c r="D216" i="18"/>
  <c r="C213" i="18"/>
  <c r="E211" i="18"/>
  <c r="D208" i="18"/>
  <c r="F206" i="18"/>
  <c r="E203" i="18"/>
  <c r="B202" i="18"/>
  <c r="G202" i="18"/>
  <c r="F198" i="18"/>
  <c r="E195" i="18"/>
  <c r="B194" i="18"/>
  <c r="G194" i="18"/>
  <c r="F190" i="18"/>
  <c r="D189" i="18"/>
  <c r="D187" i="18"/>
  <c r="C185" i="18"/>
  <c r="B183" i="18"/>
  <c r="G183" i="18"/>
  <c r="B181" i="18"/>
  <c r="F178" i="18"/>
  <c r="E176" i="18"/>
  <c r="E174" i="18"/>
  <c r="D172" i="18"/>
  <c r="C170" i="18"/>
  <c r="C168" i="18"/>
  <c r="B166" i="18"/>
  <c r="G166" i="18"/>
  <c r="F163" i="18"/>
  <c r="F162" i="18"/>
  <c r="E160" i="18"/>
  <c r="E158" i="18"/>
  <c r="D156" i="18"/>
  <c r="C154" i="18"/>
  <c r="C152" i="18"/>
  <c r="B151" i="18"/>
  <c r="G151" i="18"/>
  <c r="B149" i="18"/>
  <c r="G149" i="18"/>
  <c r="F146" i="18"/>
  <c r="E144" i="18"/>
  <c r="E142" i="18"/>
  <c r="D140" i="18"/>
  <c r="C138" i="18"/>
  <c r="C137" i="18"/>
  <c r="B135" i="18"/>
  <c r="G135" i="18"/>
  <c r="B133" i="18"/>
  <c r="G133" i="18"/>
  <c r="F130" i="18"/>
  <c r="E128" i="18"/>
  <c r="E126" i="18"/>
  <c r="D124" i="18"/>
  <c r="C122" i="18"/>
  <c r="C120" i="18"/>
  <c r="B118" i="18"/>
  <c r="G118" i="18"/>
  <c r="B117" i="18"/>
  <c r="F114" i="18"/>
  <c r="E112" i="18"/>
  <c r="E110" i="18"/>
  <c r="D109" i="18"/>
  <c r="D107" i="18"/>
  <c r="C105" i="18"/>
  <c r="B103" i="18"/>
  <c r="G103" i="18"/>
  <c r="B101" i="18"/>
  <c r="G101" i="18"/>
  <c r="F99" i="18"/>
  <c r="F97" i="18"/>
  <c r="E96" i="18"/>
  <c r="E94" i="18"/>
  <c r="D93" i="18"/>
  <c r="D91" i="18"/>
  <c r="C89" i="18"/>
  <c r="B87" i="18"/>
  <c r="B85" i="18"/>
  <c r="F82" i="18"/>
  <c r="F81" i="18"/>
  <c r="E79" i="18"/>
  <c r="D77" i="18"/>
  <c r="D76" i="18"/>
  <c r="C74" i="18"/>
  <c r="C72" i="18"/>
  <c r="B70" i="18"/>
  <c r="B69" i="18"/>
  <c r="F66" i="18"/>
  <c r="F65" i="18"/>
  <c r="E63" i="18"/>
  <c r="D61" i="18"/>
  <c r="D60" i="18"/>
  <c r="C58" i="18"/>
  <c r="C57" i="18"/>
  <c r="B55" i="18"/>
  <c r="B53" i="18"/>
  <c r="G53" i="18"/>
  <c r="F50" i="18"/>
  <c r="E48" i="18"/>
  <c r="E46" i="18"/>
  <c r="D45" i="18"/>
  <c r="D43" i="18"/>
  <c r="C41" i="18"/>
  <c r="B39" i="18"/>
  <c r="B37" i="18"/>
  <c r="G37" i="18"/>
  <c r="F35" i="18"/>
  <c r="F33" i="18"/>
  <c r="E31" i="18"/>
  <c r="D29" i="18"/>
  <c r="D27" i="18"/>
  <c r="C25" i="18"/>
  <c r="B23" i="18"/>
  <c r="B21" i="18"/>
  <c r="G21" i="18"/>
  <c r="F18" i="18"/>
  <c r="D310" i="18"/>
  <c r="D305" i="18"/>
  <c r="E300" i="18"/>
  <c r="D297" i="18"/>
  <c r="C294" i="18"/>
  <c r="B291" i="18"/>
  <c r="F287" i="18"/>
  <c r="E284" i="18"/>
  <c r="B283" i="18"/>
  <c r="F279" i="18"/>
  <c r="E276" i="18"/>
  <c r="D273" i="18"/>
  <c r="C270" i="18"/>
  <c r="B267" i="18"/>
  <c r="C262" i="18"/>
  <c r="B259" i="18"/>
  <c r="F255" i="18"/>
  <c r="E252" i="18"/>
  <c r="D249" i="18"/>
  <c r="C246" i="18"/>
  <c r="B243" i="18"/>
  <c r="F239" i="18"/>
  <c r="B235" i="18"/>
  <c r="G235" i="18"/>
  <c r="F231" i="18"/>
  <c r="E228" i="18"/>
  <c r="F223" i="18"/>
  <c r="E220" i="18"/>
  <c r="D217" i="18"/>
  <c r="C214" i="18"/>
  <c r="B211" i="18"/>
  <c r="F207" i="18"/>
  <c r="E204" i="18"/>
  <c r="D201" i="18"/>
  <c r="C198" i="18"/>
  <c r="B195" i="18"/>
  <c r="G195" i="18"/>
  <c r="F191" i="18"/>
  <c r="C189" i="18"/>
  <c r="B187" i="18"/>
  <c r="G187" i="18"/>
  <c r="B185" i="18"/>
  <c r="G185" i="18"/>
  <c r="F182" i="18"/>
  <c r="E180" i="18"/>
  <c r="E178" i="18"/>
  <c r="D176" i="18"/>
  <c r="C174" i="18"/>
  <c r="C172" i="18"/>
  <c r="B170" i="18"/>
  <c r="G170" i="18"/>
  <c r="F167" i="18"/>
  <c r="F165" i="18"/>
  <c r="E162" i="18"/>
  <c r="D160" i="18"/>
  <c r="C158" i="18"/>
  <c r="C156" i="18"/>
  <c r="B153" i="18"/>
  <c r="G153" i="18"/>
  <c r="F150" i="18"/>
  <c r="E148" i="18"/>
  <c r="E146" i="18"/>
  <c r="D144" i="18"/>
  <c r="C142" i="18"/>
  <c r="B139" i="18"/>
  <c r="G139" i="18"/>
  <c r="B137" i="18"/>
  <c r="G137" i="18"/>
  <c r="F134" i="18"/>
  <c r="E131" i="18"/>
  <c r="D129" i="18"/>
  <c r="D127" i="18"/>
  <c r="C125" i="18"/>
  <c r="B123" i="18"/>
  <c r="G123" i="18"/>
  <c r="B121" i="18"/>
  <c r="G121" i="18"/>
  <c r="F118" i="18"/>
  <c r="E116" i="18"/>
  <c r="E114" i="18"/>
  <c r="D111" i="18"/>
  <c r="C109" i="18"/>
  <c r="B107" i="18"/>
  <c r="G107" i="18"/>
  <c r="B105" i="18"/>
  <c r="G105" i="18"/>
  <c r="F102" i="18"/>
  <c r="E100" i="18"/>
  <c r="E98" i="18"/>
  <c r="D96" i="18"/>
  <c r="C94" i="18"/>
  <c r="C92" i="18"/>
  <c r="B90" i="18"/>
  <c r="G90" i="18"/>
  <c r="F87" i="18"/>
  <c r="F85" i="18"/>
  <c r="E83" i="18"/>
  <c r="D81" i="18"/>
  <c r="D79" i="18"/>
  <c r="C76" i="18"/>
  <c r="F71" i="18"/>
  <c r="E67" i="18"/>
  <c r="D63" i="18"/>
  <c r="B59" i="18"/>
  <c r="G59" i="18"/>
  <c r="F54" i="18"/>
  <c r="E50" i="18"/>
  <c r="C46" i="18"/>
  <c r="B42" i="18"/>
  <c r="G42" i="18"/>
  <c r="F37" i="18"/>
  <c r="D33" i="18"/>
  <c r="C29" i="18"/>
  <c r="B25" i="18"/>
  <c r="G25" i="18"/>
  <c r="E20" i="18"/>
  <c r="B75" i="18"/>
  <c r="G75" i="18"/>
  <c r="F70" i="18"/>
  <c r="E66" i="18"/>
  <c r="C62" i="18"/>
  <c r="B58" i="18"/>
  <c r="G58" i="18"/>
  <c r="F53" i="18"/>
  <c r="D49" i="18"/>
  <c r="C45" i="18"/>
  <c r="B41" i="18"/>
  <c r="G41" i="18"/>
  <c r="E36" i="18"/>
  <c r="D32" i="18"/>
  <c r="C28" i="18"/>
  <c r="F23" i="18"/>
  <c r="E19" i="18"/>
  <c r="B74" i="18"/>
  <c r="G74" i="18"/>
  <c r="F69" i="18"/>
  <c r="D65" i="18"/>
  <c r="C61" i="18"/>
  <c r="B57" i="18"/>
  <c r="G57" i="18"/>
  <c r="E52" i="18"/>
  <c r="D48" i="18"/>
  <c r="C44" i="18"/>
  <c r="F39" i="18"/>
  <c r="E35" i="18"/>
  <c r="D31" i="18"/>
  <c r="B27" i="18"/>
  <c r="F22" i="18"/>
  <c r="E18" i="18"/>
  <c r="C77" i="18"/>
  <c r="B73" i="18"/>
  <c r="G73" i="18"/>
  <c r="E68" i="18"/>
  <c r="D64" i="18"/>
  <c r="C60" i="18"/>
  <c r="F55" i="18"/>
  <c r="E51" i="18"/>
  <c r="D47" i="18"/>
  <c r="B43" i="18"/>
  <c r="G43" i="18"/>
  <c r="F38" i="18"/>
  <c r="E34" i="18"/>
  <c r="C30" i="18"/>
  <c r="B26" i="18"/>
  <c r="G26" i="18"/>
  <c r="F21" i="18"/>
  <c r="F13" i="18"/>
  <c r="D11" i="18"/>
  <c r="C10" i="18"/>
  <c r="F8" i="18"/>
  <c r="B8" i="18"/>
  <c r="D8" i="18"/>
  <c r="G27" i="18"/>
  <c r="G211" i="18"/>
  <c r="G23" i="18"/>
  <c r="G39" i="18"/>
  <c r="G55" i="18"/>
  <c r="G69" i="18"/>
  <c r="G33" i="18"/>
  <c r="G50" i="18"/>
  <c r="G67" i="18"/>
  <c r="G97" i="18"/>
  <c r="G114" i="18"/>
  <c r="G131" i="18"/>
  <c r="G178" i="18"/>
  <c r="G191" i="18"/>
  <c r="G223" i="18"/>
  <c r="G255" i="18"/>
  <c r="G89" i="18"/>
  <c r="G106" i="18"/>
  <c r="G122" i="18"/>
  <c r="G138" i="18"/>
  <c r="G154" i="18"/>
  <c r="G169" i="18"/>
  <c r="G186" i="18"/>
  <c r="G54" i="18"/>
  <c r="G86" i="18"/>
  <c r="G134" i="18"/>
  <c r="G30" i="18"/>
  <c r="G47" i="18"/>
  <c r="G77" i="18"/>
  <c r="G94" i="18"/>
  <c r="G111" i="18"/>
  <c r="G141" i="18"/>
  <c r="G158" i="18"/>
  <c r="G175" i="18"/>
  <c r="G206" i="18"/>
  <c r="G238" i="18"/>
  <c r="G24" i="18"/>
  <c r="G40" i="18"/>
  <c r="G56" i="18"/>
  <c r="G72" i="18"/>
  <c r="G88" i="18"/>
  <c r="G104" i="18"/>
  <c r="G120" i="18"/>
  <c r="G136" i="18"/>
  <c r="G152" i="18"/>
  <c r="G168" i="18"/>
  <c r="G184" i="18"/>
  <c r="G200" i="18"/>
  <c r="G216" i="18"/>
  <c r="G232" i="18"/>
  <c r="G248" i="18"/>
  <c r="G193" i="18"/>
  <c r="G209" i="18"/>
  <c r="G225" i="18"/>
  <c r="G241" i="18"/>
  <c r="G257" i="18"/>
  <c r="G243" i="18"/>
  <c r="G70" i="18"/>
  <c r="G85" i="18"/>
  <c r="G34" i="18"/>
  <c r="G51" i="18"/>
  <c r="G81" i="18"/>
  <c r="G98" i="18"/>
  <c r="G162" i="18"/>
  <c r="G231" i="18"/>
  <c r="G91" i="18"/>
  <c r="G155" i="18"/>
  <c r="G171" i="18"/>
  <c r="G38" i="18"/>
  <c r="G119" i="18"/>
  <c r="G165" i="18"/>
  <c r="G182" i="18"/>
  <c r="G210" i="18"/>
  <c r="G31" i="18"/>
  <c r="G61" i="18"/>
  <c r="G78" i="18"/>
  <c r="G95" i="18"/>
  <c r="G125" i="18"/>
  <c r="G142" i="18"/>
  <c r="G159" i="18"/>
  <c r="G189" i="18"/>
  <c r="G214" i="18"/>
  <c r="G246" i="18"/>
  <c r="G28" i="18"/>
  <c r="G44" i="18"/>
  <c r="G60" i="18"/>
  <c r="G76" i="18"/>
  <c r="G92" i="18"/>
  <c r="G108" i="18"/>
  <c r="G124" i="18"/>
  <c r="G140" i="18"/>
  <c r="G156" i="18"/>
  <c r="G172" i="18"/>
  <c r="G188" i="18"/>
  <c r="G204" i="18"/>
  <c r="G220" i="18"/>
  <c r="G236" i="18"/>
  <c r="G252" i="18"/>
  <c r="G197" i="18"/>
  <c r="G213" i="18"/>
  <c r="G229" i="18"/>
  <c r="G245" i="18"/>
  <c r="G87" i="18"/>
  <c r="G117" i="18"/>
  <c r="G181" i="18"/>
  <c r="G234" i="18"/>
  <c r="G35" i="18"/>
  <c r="G65" i="18"/>
  <c r="G82" i="18"/>
  <c r="G99" i="18"/>
  <c r="G129" i="18"/>
  <c r="G146" i="18"/>
  <c r="G163" i="18"/>
  <c r="G207" i="18"/>
  <c r="G239" i="18"/>
  <c r="G203" i="18"/>
  <c r="G227" i="18"/>
  <c r="G251" i="18"/>
  <c r="G22" i="18"/>
  <c r="G71" i="18"/>
  <c r="G102" i="18"/>
  <c r="G167" i="18"/>
  <c r="G250" i="18"/>
  <c r="G45" i="18"/>
  <c r="G62" i="18"/>
  <c r="G79" i="18"/>
  <c r="G109" i="18"/>
  <c r="G126" i="18"/>
  <c r="G143" i="18"/>
  <c r="G173" i="18"/>
  <c r="G190" i="18"/>
  <c r="G222" i="18"/>
  <c r="G254" i="18"/>
  <c r="G32" i="18"/>
  <c r="G48" i="18"/>
  <c r="G64" i="18"/>
  <c r="G80" i="18"/>
  <c r="G96" i="18"/>
  <c r="G112" i="18"/>
  <c r="G128" i="18"/>
  <c r="G144" i="18"/>
  <c r="G160" i="18"/>
  <c r="G176" i="18"/>
  <c r="G192" i="18"/>
  <c r="G208" i="18"/>
  <c r="G224" i="18"/>
  <c r="G240" i="18"/>
  <c r="G256" i="18"/>
  <c r="G201" i="18"/>
  <c r="G217" i="18"/>
  <c r="G233" i="18"/>
  <c r="G249" i="18"/>
  <c r="G49" i="18"/>
  <c r="G66" i="18"/>
  <c r="G83" i="18"/>
  <c r="G219" i="18"/>
  <c r="G150" i="18"/>
  <c r="G29" i="18"/>
  <c r="G46" i="18"/>
  <c r="G63" i="18"/>
  <c r="G93" i="18"/>
  <c r="G110" i="18"/>
  <c r="G127" i="18"/>
  <c r="G157" i="18"/>
  <c r="G174" i="18"/>
  <c r="G198" i="18"/>
  <c r="G230" i="18"/>
  <c r="G20" i="18"/>
  <c r="G36" i="18"/>
  <c r="G52" i="18"/>
  <c r="G68" i="18"/>
  <c r="G84" i="18"/>
  <c r="G100" i="18"/>
  <c r="G116" i="18"/>
  <c r="G132" i="18"/>
  <c r="G148" i="18"/>
  <c r="G164" i="18"/>
  <c r="G180" i="18"/>
  <c r="G196" i="18"/>
  <c r="G212" i="18"/>
  <c r="G228" i="18"/>
  <c r="G244" i="18"/>
  <c r="G205" i="18"/>
  <c r="G221" i="18"/>
  <c r="G237" i="18"/>
  <c r="G253" i="18"/>
  <c r="C319" i="18"/>
  <c r="C318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76" i="18"/>
  <c r="K77" i="18"/>
  <c r="K78" i="18"/>
  <c r="K79" i="18"/>
  <c r="K80" i="18"/>
  <c r="K81" i="18"/>
  <c r="K82" i="18"/>
  <c r="K83" i="18"/>
  <c r="K84" i="18"/>
  <c r="K85" i="18"/>
  <c r="K86" i="18"/>
  <c r="K87" i="18"/>
  <c r="K88" i="18"/>
  <c r="K89" i="18"/>
  <c r="K90" i="18"/>
  <c r="K91" i="18"/>
  <c r="K92" i="18"/>
  <c r="K93" i="18"/>
  <c r="K94" i="18"/>
  <c r="K95" i="18"/>
  <c r="K96" i="18"/>
  <c r="K97" i="18"/>
  <c r="K98" i="18"/>
  <c r="K99" i="18"/>
  <c r="K100" i="18"/>
  <c r="K101" i="18"/>
  <c r="K102" i="18"/>
  <c r="K103" i="18"/>
  <c r="K104" i="18"/>
  <c r="K105" i="18"/>
  <c r="K106" i="18"/>
  <c r="K107" i="18"/>
  <c r="K108" i="18"/>
  <c r="K109" i="18"/>
  <c r="K110" i="18"/>
  <c r="K111" i="18"/>
  <c r="K112" i="18"/>
  <c r="K113" i="18"/>
  <c r="K114" i="18"/>
  <c r="K115" i="18"/>
  <c r="K116" i="18"/>
  <c r="K117" i="18"/>
  <c r="K118" i="18"/>
  <c r="K119" i="18"/>
  <c r="K120" i="18"/>
  <c r="K121" i="18"/>
  <c r="K122" i="18"/>
  <c r="K123" i="18"/>
  <c r="K124" i="18"/>
  <c r="K125" i="18"/>
  <c r="K126" i="18"/>
  <c r="K127" i="18"/>
  <c r="K128" i="18"/>
  <c r="K129" i="18"/>
  <c r="K130" i="18"/>
  <c r="K131" i="18"/>
  <c r="K132" i="18"/>
  <c r="K133" i="18"/>
  <c r="K134" i="18"/>
  <c r="K135" i="18"/>
  <c r="K136" i="18"/>
  <c r="K137" i="18"/>
  <c r="K138" i="18"/>
  <c r="K139" i="18"/>
  <c r="K140" i="18"/>
  <c r="K141" i="18"/>
  <c r="K142" i="18"/>
  <c r="K143" i="18"/>
  <c r="K144" i="18"/>
  <c r="K145" i="18"/>
  <c r="K146" i="18"/>
  <c r="K147" i="18"/>
  <c r="K148" i="18"/>
  <c r="K149" i="18"/>
  <c r="K150" i="18"/>
  <c r="K151" i="18"/>
  <c r="K152" i="18"/>
  <c r="K153" i="18"/>
  <c r="K154" i="18"/>
  <c r="K155" i="18"/>
  <c r="K156" i="18"/>
  <c r="K157" i="18"/>
  <c r="K158" i="18"/>
  <c r="K159" i="18"/>
  <c r="K160" i="18"/>
  <c r="K161" i="18"/>
  <c r="K162" i="18"/>
  <c r="K163" i="18"/>
  <c r="K164" i="18"/>
  <c r="K165" i="18"/>
  <c r="K166" i="18"/>
  <c r="K167" i="18"/>
  <c r="K168" i="18"/>
  <c r="K169" i="18"/>
  <c r="K170" i="18"/>
  <c r="K171" i="18"/>
  <c r="K172" i="18"/>
  <c r="K173" i="18"/>
  <c r="K174" i="18"/>
  <c r="K175" i="18"/>
  <c r="K176" i="18"/>
  <c r="K177" i="18"/>
  <c r="K178" i="18"/>
  <c r="K179" i="18"/>
  <c r="K180" i="18"/>
  <c r="K181" i="18"/>
  <c r="K182" i="18"/>
  <c r="K183" i="18"/>
  <c r="K184" i="18"/>
  <c r="K185" i="18"/>
  <c r="K186" i="18"/>
  <c r="K187" i="18"/>
  <c r="K188" i="18"/>
  <c r="K189" i="18"/>
  <c r="K190" i="18"/>
  <c r="K191" i="18"/>
  <c r="K192" i="18"/>
  <c r="K193" i="18"/>
  <c r="K194" i="18"/>
  <c r="K195" i="18"/>
  <c r="K196" i="18"/>
  <c r="K197" i="18"/>
  <c r="K198" i="18"/>
  <c r="K199" i="18"/>
  <c r="K200" i="18"/>
  <c r="K201" i="18"/>
  <c r="K202" i="18"/>
  <c r="K203" i="18"/>
  <c r="K204" i="18"/>
  <c r="K205" i="18"/>
  <c r="K206" i="18"/>
  <c r="K207" i="18"/>
  <c r="K208" i="18"/>
  <c r="K209" i="18"/>
  <c r="K210" i="18"/>
  <c r="K211" i="18"/>
  <c r="K212" i="18"/>
  <c r="K213" i="18"/>
  <c r="K214" i="18"/>
  <c r="K215" i="18"/>
  <c r="K216" i="18"/>
  <c r="K217" i="18"/>
  <c r="K218" i="18"/>
  <c r="K219" i="18"/>
  <c r="K220" i="18"/>
  <c r="K221" i="18"/>
  <c r="K222" i="18"/>
  <c r="K223" i="18"/>
  <c r="K224" i="18"/>
  <c r="K225" i="18"/>
  <c r="K226" i="18"/>
  <c r="K227" i="18"/>
  <c r="K228" i="18"/>
  <c r="K229" i="18"/>
  <c r="K230" i="18"/>
  <c r="K231" i="18"/>
  <c r="K232" i="18"/>
  <c r="K233" i="18"/>
  <c r="K234" i="18"/>
  <c r="K235" i="18"/>
  <c r="K236" i="18"/>
  <c r="K237" i="18"/>
  <c r="K238" i="18"/>
  <c r="K239" i="18"/>
  <c r="K240" i="18"/>
  <c r="K241" i="18"/>
  <c r="K242" i="18"/>
  <c r="K243" i="18"/>
  <c r="K244" i="18"/>
  <c r="K245" i="18"/>
  <c r="K246" i="18"/>
  <c r="K247" i="18"/>
  <c r="K248" i="18"/>
  <c r="K249" i="18"/>
  <c r="K250" i="18"/>
  <c r="K251" i="18"/>
  <c r="K252" i="18"/>
  <c r="K253" i="18"/>
  <c r="K254" i="18"/>
  <c r="K255" i="18"/>
  <c r="K256" i="18"/>
  <c r="K257" i="18"/>
  <c r="K258" i="18"/>
  <c r="K259" i="18"/>
  <c r="K260" i="18"/>
  <c r="K261" i="18"/>
  <c r="K262" i="18"/>
  <c r="K263" i="18"/>
  <c r="K264" i="18"/>
  <c r="K265" i="18"/>
  <c r="K266" i="18"/>
  <c r="K267" i="18"/>
  <c r="K268" i="18"/>
  <c r="K269" i="18"/>
  <c r="K270" i="18"/>
  <c r="K271" i="18"/>
  <c r="K272" i="18"/>
  <c r="K273" i="18"/>
  <c r="K274" i="18"/>
  <c r="K275" i="18"/>
  <c r="K276" i="18"/>
  <c r="K277" i="18"/>
  <c r="K278" i="18"/>
  <c r="K279" i="18"/>
  <c r="K280" i="18"/>
  <c r="K281" i="18"/>
  <c r="K282" i="18"/>
  <c r="K283" i="18"/>
  <c r="K284" i="18"/>
  <c r="K285" i="18"/>
  <c r="K286" i="18"/>
  <c r="K287" i="18"/>
  <c r="K288" i="18"/>
  <c r="K289" i="18"/>
  <c r="K290" i="18"/>
  <c r="K291" i="18"/>
  <c r="K292" i="18"/>
  <c r="K293" i="18"/>
  <c r="K294" i="18"/>
  <c r="K295" i="18"/>
  <c r="K296" i="18"/>
  <c r="K297" i="18"/>
  <c r="K298" i="18"/>
  <c r="K299" i="18"/>
  <c r="K300" i="18"/>
  <c r="K301" i="18"/>
  <c r="K302" i="18"/>
  <c r="K303" i="18"/>
  <c r="K304" i="18"/>
  <c r="K305" i="18"/>
  <c r="K306" i="18"/>
  <c r="K307" i="18"/>
  <c r="K308" i="18"/>
  <c r="K309" i="18"/>
  <c r="K310" i="18"/>
  <c r="K311" i="18"/>
  <c r="K312" i="18"/>
  <c r="K313" i="18"/>
  <c r="K314" i="18"/>
  <c r="K315" i="18"/>
  <c r="K316" i="18"/>
  <c r="K317" i="18"/>
  <c r="D318" i="18"/>
  <c r="D319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9" i="18"/>
  <c r="L120" i="18"/>
  <c r="L121" i="18"/>
  <c r="L122" i="18"/>
  <c r="L123" i="18"/>
  <c r="L124" i="18"/>
  <c r="L125" i="18"/>
  <c r="L126" i="18"/>
  <c r="L127" i="18"/>
  <c r="L128" i="18"/>
  <c r="L129" i="18"/>
  <c r="L130" i="18"/>
  <c r="L131" i="18"/>
  <c r="L132" i="18"/>
  <c r="L133" i="18"/>
  <c r="L134" i="18"/>
  <c r="L135" i="18"/>
  <c r="L136" i="18"/>
  <c r="L137" i="18"/>
  <c r="L138" i="18"/>
  <c r="L139" i="18"/>
  <c r="L140" i="18"/>
  <c r="L141" i="18"/>
  <c r="L142" i="18"/>
  <c r="L143" i="18"/>
  <c r="L144" i="18"/>
  <c r="L145" i="18"/>
  <c r="L146" i="18"/>
  <c r="L147" i="18"/>
  <c r="L148" i="18"/>
  <c r="L149" i="18"/>
  <c r="L150" i="18"/>
  <c r="L151" i="18"/>
  <c r="L152" i="18"/>
  <c r="L153" i="18"/>
  <c r="L154" i="18"/>
  <c r="L155" i="18"/>
  <c r="L156" i="18"/>
  <c r="L157" i="18"/>
  <c r="L158" i="18"/>
  <c r="L159" i="18"/>
  <c r="L160" i="18"/>
  <c r="L161" i="18"/>
  <c r="L162" i="18"/>
  <c r="L163" i="18"/>
  <c r="L164" i="18"/>
  <c r="L165" i="18"/>
  <c r="L166" i="18"/>
  <c r="L167" i="18"/>
  <c r="L168" i="18"/>
  <c r="L169" i="18"/>
  <c r="L170" i="18"/>
  <c r="L171" i="18"/>
  <c r="L172" i="18"/>
  <c r="L173" i="18"/>
  <c r="L174" i="18"/>
  <c r="L175" i="18"/>
  <c r="L176" i="18"/>
  <c r="L177" i="18"/>
  <c r="L178" i="18"/>
  <c r="L179" i="18"/>
  <c r="L180" i="18"/>
  <c r="L181" i="18"/>
  <c r="L182" i="18"/>
  <c r="L183" i="18"/>
  <c r="L184" i="18"/>
  <c r="L185" i="18"/>
  <c r="L186" i="18"/>
  <c r="L187" i="18"/>
  <c r="L188" i="18"/>
  <c r="L189" i="18"/>
  <c r="L190" i="18"/>
  <c r="L191" i="18"/>
  <c r="L192" i="18"/>
  <c r="L193" i="18"/>
  <c r="L194" i="18"/>
  <c r="L195" i="18"/>
  <c r="L196" i="18"/>
  <c r="L197" i="18"/>
  <c r="L198" i="18"/>
  <c r="L199" i="18"/>
  <c r="L200" i="18"/>
  <c r="L201" i="18"/>
  <c r="L202" i="18"/>
  <c r="L203" i="18"/>
  <c r="L204" i="18"/>
  <c r="L205" i="18"/>
  <c r="L206" i="18"/>
  <c r="L207" i="18"/>
  <c r="L208" i="18"/>
  <c r="L209" i="18"/>
  <c r="L210" i="18"/>
  <c r="L211" i="18"/>
  <c r="L212" i="18"/>
  <c r="L213" i="18"/>
  <c r="L214" i="18"/>
  <c r="L215" i="18"/>
  <c r="L216" i="18"/>
  <c r="L217" i="18"/>
  <c r="L218" i="18"/>
  <c r="L219" i="18"/>
  <c r="L220" i="18"/>
  <c r="L221" i="18"/>
  <c r="L222" i="18"/>
  <c r="L223" i="18"/>
  <c r="L224" i="18"/>
  <c r="L225" i="18"/>
  <c r="L226" i="18"/>
  <c r="L227" i="18"/>
  <c r="L228" i="18"/>
  <c r="L229" i="18"/>
  <c r="L230" i="18"/>
  <c r="L231" i="18"/>
  <c r="L232" i="18"/>
  <c r="L233" i="18"/>
  <c r="L234" i="18"/>
  <c r="L235" i="18"/>
  <c r="L236" i="18"/>
  <c r="L237" i="18"/>
  <c r="L238" i="18"/>
  <c r="L239" i="18"/>
  <c r="L240" i="18"/>
  <c r="L241" i="18"/>
  <c r="L242" i="18"/>
  <c r="L243" i="18"/>
  <c r="L244" i="18"/>
  <c r="L245" i="18"/>
  <c r="L246" i="18"/>
  <c r="L247" i="18"/>
  <c r="L248" i="18"/>
  <c r="L249" i="18"/>
  <c r="L250" i="18"/>
  <c r="L251" i="18"/>
  <c r="L252" i="18"/>
  <c r="L253" i="18"/>
  <c r="L254" i="18"/>
  <c r="L255" i="18"/>
  <c r="L256" i="18"/>
  <c r="L257" i="18"/>
  <c r="L258" i="18"/>
  <c r="L259" i="18"/>
  <c r="L260" i="18"/>
  <c r="L261" i="18"/>
  <c r="L262" i="18"/>
  <c r="L263" i="18"/>
  <c r="L264" i="18"/>
  <c r="L265" i="18"/>
  <c r="L266" i="18"/>
  <c r="L267" i="18"/>
  <c r="L268" i="18"/>
  <c r="L269" i="18"/>
  <c r="L270" i="18"/>
  <c r="L271" i="18"/>
  <c r="L272" i="18"/>
  <c r="L273" i="18"/>
  <c r="L274" i="18"/>
  <c r="L275" i="18"/>
  <c r="L276" i="18"/>
  <c r="L277" i="18"/>
  <c r="L278" i="18"/>
  <c r="L279" i="18"/>
  <c r="L280" i="18"/>
  <c r="L281" i="18"/>
  <c r="L282" i="18"/>
  <c r="L283" i="18"/>
  <c r="L284" i="18"/>
  <c r="L285" i="18"/>
  <c r="L286" i="18"/>
  <c r="L287" i="18"/>
  <c r="L288" i="18"/>
  <c r="L289" i="18"/>
  <c r="L290" i="18"/>
  <c r="L291" i="18"/>
  <c r="L292" i="18"/>
  <c r="L293" i="18"/>
  <c r="L294" i="18"/>
  <c r="L295" i="18"/>
  <c r="L296" i="18"/>
  <c r="L297" i="18"/>
  <c r="L298" i="18"/>
  <c r="L299" i="18"/>
  <c r="L300" i="18"/>
  <c r="L301" i="18"/>
  <c r="L302" i="18"/>
  <c r="L303" i="18"/>
  <c r="L304" i="18"/>
  <c r="L305" i="18"/>
  <c r="L306" i="18"/>
  <c r="L307" i="18"/>
  <c r="L308" i="18"/>
  <c r="L309" i="18"/>
  <c r="L310" i="18"/>
  <c r="L311" i="18"/>
  <c r="L312" i="18"/>
  <c r="L313" i="18"/>
  <c r="L314" i="18"/>
  <c r="L315" i="18"/>
  <c r="L316" i="18"/>
  <c r="L317" i="18"/>
  <c r="E318" i="18"/>
  <c r="E319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7" i="18"/>
  <c r="M38" i="18"/>
  <c r="M39" i="18"/>
  <c r="M40" i="18"/>
  <c r="M41" i="18"/>
  <c r="M42" i="18"/>
  <c r="M43" i="18"/>
  <c r="M44" i="18"/>
  <c r="M45" i="18"/>
  <c r="M46" i="18"/>
  <c r="M47" i="18"/>
  <c r="M48" i="18"/>
  <c r="M49" i="18"/>
  <c r="M50" i="18"/>
  <c r="M51" i="18"/>
  <c r="M52" i="18"/>
  <c r="M53" i="18"/>
  <c r="M54" i="18"/>
  <c r="M55" i="18"/>
  <c r="M56" i="18"/>
  <c r="M57" i="18"/>
  <c r="M58" i="18"/>
  <c r="M59" i="18"/>
  <c r="M60" i="18"/>
  <c r="M61" i="18"/>
  <c r="M62" i="18"/>
  <c r="M63" i="18"/>
  <c r="M64" i="18"/>
  <c r="M65" i="18"/>
  <c r="M66" i="18"/>
  <c r="M67" i="18"/>
  <c r="M68" i="18"/>
  <c r="M69" i="18"/>
  <c r="M70" i="18"/>
  <c r="M71" i="18"/>
  <c r="M72" i="18"/>
  <c r="M73" i="18"/>
  <c r="M74" i="18"/>
  <c r="M75" i="18"/>
  <c r="M76" i="18"/>
  <c r="M77" i="18"/>
  <c r="M78" i="18"/>
  <c r="M79" i="18"/>
  <c r="M80" i="18"/>
  <c r="M81" i="18"/>
  <c r="M82" i="18"/>
  <c r="M83" i="18"/>
  <c r="M84" i="18"/>
  <c r="M85" i="18"/>
  <c r="M86" i="18"/>
  <c r="M87" i="18"/>
  <c r="M88" i="18"/>
  <c r="M89" i="18"/>
  <c r="M90" i="18"/>
  <c r="M91" i="18"/>
  <c r="M92" i="18"/>
  <c r="M93" i="18"/>
  <c r="M94" i="18"/>
  <c r="M95" i="18"/>
  <c r="M96" i="18"/>
  <c r="M97" i="18"/>
  <c r="M98" i="18"/>
  <c r="M99" i="18"/>
  <c r="M100" i="18"/>
  <c r="M101" i="18"/>
  <c r="M102" i="18"/>
  <c r="M103" i="18"/>
  <c r="M104" i="18"/>
  <c r="M105" i="18"/>
  <c r="M106" i="18"/>
  <c r="M107" i="18"/>
  <c r="M108" i="18"/>
  <c r="M109" i="18"/>
  <c r="M110" i="18"/>
  <c r="M111" i="18"/>
  <c r="M112" i="18"/>
  <c r="M113" i="18"/>
  <c r="M114" i="18"/>
  <c r="M115" i="18"/>
  <c r="M116" i="18"/>
  <c r="M117" i="18"/>
  <c r="M118" i="18"/>
  <c r="M119" i="18"/>
  <c r="M120" i="18"/>
  <c r="M121" i="18"/>
  <c r="M122" i="18"/>
  <c r="M123" i="18"/>
  <c r="M124" i="18"/>
  <c r="M125" i="18"/>
  <c r="M126" i="18"/>
  <c r="M127" i="18"/>
  <c r="M128" i="18"/>
  <c r="M129" i="18"/>
  <c r="M130" i="18"/>
  <c r="M131" i="18"/>
  <c r="M132" i="18"/>
  <c r="M133" i="18"/>
  <c r="M134" i="18"/>
  <c r="M135" i="18"/>
  <c r="M136" i="18"/>
  <c r="M137" i="18"/>
  <c r="M138" i="18"/>
  <c r="M139" i="18"/>
  <c r="M140" i="18"/>
  <c r="M141" i="18"/>
  <c r="M142" i="18"/>
  <c r="M143" i="18"/>
  <c r="M144" i="18"/>
  <c r="M145" i="18"/>
  <c r="M146" i="18"/>
  <c r="M147" i="18"/>
  <c r="M148" i="18"/>
  <c r="M149" i="18"/>
  <c r="M150" i="18"/>
  <c r="M151" i="18"/>
  <c r="M152" i="18"/>
  <c r="M153" i="18"/>
  <c r="M154" i="18"/>
  <c r="M155" i="18"/>
  <c r="M156" i="18"/>
  <c r="M157" i="18"/>
  <c r="M158" i="18"/>
  <c r="M159" i="18"/>
  <c r="M160" i="18"/>
  <c r="M161" i="18"/>
  <c r="M162" i="18"/>
  <c r="M163" i="18"/>
  <c r="M164" i="18"/>
  <c r="M165" i="18"/>
  <c r="M166" i="18"/>
  <c r="M167" i="18"/>
  <c r="M168" i="18"/>
  <c r="M169" i="18"/>
  <c r="M170" i="18"/>
  <c r="M171" i="18"/>
  <c r="M172" i="18"/>
  <c r="M173" i="18"/>
  <c r="M174" i="18"/>
  <c r="M175" i="18"/>
  <c r="M176" i="18"/>
  <c r="M177" i="18"/>
  <c r="M178" i="18"/>
  <c r="M179" i="18"/>
  <c r="M180" i="18"/>
  <c r="M181" i="18"/>
  <c r="M182" i="18"/>
  <c r="M183" i="18"/>
  <c r="M184" i="18"/>
  <c r="M185" i="18"/>
  <c r="M186" i="18"/>
  <c r="M187" i="18"/>
  <c r="M188" i="18"/>
  <c r="M189" i="18"/>
  <c r="M190" i="18"/>
  <c r="M191" i="18"/>
  <c r="M192" i="18"/>
  <c r="M193" i="18"/>
  <c r="M194" i="18"/>
  <c r="M195" i="18"/>
  <c r="M196" i="18"/>
  <c r="M197" i="18"/>
  <c r="M198" i="18"/>
  <c r="M199" i="18"/>
  <c r="M200" i="18"/>
  <c r="M201" i="18"/>
  <c r="M202" i="18"/>
  <c r="M203" i="18"/>
  <c r="M204" i="18"/>
  <c r="M205" i="18"/>
  <c r="M206" i="18"/>
  <c r="M207" i="18"/>
  <c r="M208" i="18"/>
  <c r="M209" i="18"/>
  <c r="M210" i="18"/>
  <c r="M211" i="18"/>
  <c r="M212" i="18"/>
  <c r="M213" i="18"/>
  <c r="M214" i="18"/>
  <c r="M215" i="18"/>
  <c r="M216" i="18"/>
  <c r="M217" i="18"/>
  <c r="M218" i="18"/>
  <c r="M219" i="18"/>
  <c r="M220" i="18"/>
  <c r="M221" i="18"/>
  <c r="M222" i="18"/>
  <c r="M223" i="18"/>
  <c r="M224" i="18"/>
  <c r="M225" i="18"/>
  <c r="M226" i="18"/>
  <c r="M227" i="18"/>
  <c r="M228" i="18"/>
  <c r="M229" i="18"/>
  <c r="M230" i="18"/>
  <c r="M231" i="18"/>
  <c r="M232" i="18"/>
  <c r="M233" i="18"/>
  <c r="M234" i="18"/>
  <c r="M235" i="18"/>
  <c r="M236" i="18"/>
  <c r="M237" i="18"/>
  <c r="M238" i="18"/>
  <c r="M239" i="18"/>
  <c r="M240" i="18"/>
  <c r="M241" i="18"/>
  <c r="M242" i="18"/>
  <c r="M243" i="18"/>
  <c r="M244" i="18"/>
  <c r="M245" i="18"/>
  <c r="M246" i="18"/>
  <c r="M247" i="18"/>
  <c r="M248" i="18"/>
  <c r="M249" i="18"/>
  <c r="M250" i="18"/>
  <c r="M251" i="18"/>
  <c r="M252" i="18"/>
  <c r="M253" i="18"/>
  <c r="M254" i="18"/>
  <c r="M255" i="18"/>
  <c r="M256" i="18"/>
  <c r="M257" i="18"/>
  <c r="M258" i="18"/>
  <c r="M259" i="18"/>
  <c r="M260" i="18"/>
  <c r="M261" i="18"/>
  <c r="M262" i="18"/>
  <c r="M263" i="18"/>
  <c r="M264" i="18"/>
  <c r="M265" i="18"/>
  <c r="M266" i="18"/>
  <c r="M267" i="18"/>
  <c r="M268" i="18"/>
  <c r="M269" i="18"/>
  <c r="M270" i="18"/>
  <c r="M271" i="18"/>
  <c r="M272" i="18"/>
  <c r="M273" i="18"/>
  <c r="M274" i="18"/>
  <c r="M275" i="18"/>
  <c r="M276" i="18"/>
  <c r="M277" i="18"/>
  <c r="M278" i="18"/>
  <c r="M279" i="18"/>
  <c r="M280" i="18"/>
  <c r="M281" i="18"/>
  <c r="M282" i="18"/>
  <c r="M283" i="18"/>
  <c r="M284" i="18"/>
  <c r="M285" i="18"/>
  <c r="M286" i="18"/>
  <c r="M287" i="18"/>
  <c r="M288" i="18"/>
  <c r="M289" i="18"/>
  <c r="M290" i="18"/>
  <c r="M291" i="18"/>
  <c r="M292" i="18"/>
  <c r="M293" i="18"/>
  <c r="M294" i="18"/>
  <c r="M295" i="18"/>
  <c r="M296" i="18"/>
  <c r="M297" i="18"/>
  <c r="M298" i="18"/>
  <c r="M299" i="18"/>
  <c r="M300" i="18"/>
  <c r="M301" i="18"/>
  <c r="M302" i="18"/>
  <c r="M303" i="18"/>
  <c r="M304" i="18"/>
  <c r="M305" i="18"/>
  <c r="M306" i="18"/>
  <c r="M307" i="18"/>
  <c r="M308" i="18"/>
  <c r="M309" i="18"/>
  <c r="M310" i="18"/>
  <c r="M311" i="18"/>
  <c r="M312" i="18"/>
  <c r="M313" i="18"/>
  <c r="M314" i="18"/>
  <c r="M315" i="18"/>
  <c r="M316" i="18"/>
  <c r="M317" i="18"/>
  <c r="F319" i="18"/>
  <c r="F318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48" i="18"/>
  <c r="N49" i="18"/>
  <c r="N50" i="18"/>
  <c r="N51" i="18"/>
  <c r="N52" i="18"/>
  <c r="N53" i="18"/>
  <c r="N54" i="18"/>
  <c r="N55" i="18"/>
  <c r="N56" i="18"/>
  <c r="N57" i="18"/>
  <c r="N58" i="18"/>
  <c r="N59" i="18"/>
  <c r="N60" i="18"/>
  <c r="N61" i="18"/>
  <c r="N62" i="18"/>
  <c r="N63" i="18"/>
  <c r="N64" i="18"/>
  <c r="N65" i="18"/>
  <c r="N66" i="18"/>
  <c r="N67" i="18"/>
  <c r="N68" i="18"/>
  <c r="N69" i="18"/>
  <c r="N70" i="18"/>
  <c r="N71" i="18"/>
  <c r="N72" i="18"/>
  <c r="N73" i="18"/>
  <c r="N74" i="18"/>
  <c r="N75" i="18"/>
  <c r="N76" i="18"/>
  <c r="N77" i="18"/>
  <c r="N78" i="18"/>
  <c r="N79" i="18"/>
  <c r="N80" i="18"/>
  <c r="N81" i="18"/>
  <c r="N82" i="18"/>
  <c r="N83" i="18"/>
  <c r="N84" i="18"/>
  <c r="N85" i="18"/>
  <c r="N86" i="18"/>
  <c r="N87" i="18"/>
  <c r="N88" i="18"/>
  <c r="N89" i="18"/>
  <c r="N90" i="18"/>
  <c r="N91" i="18"/>
  <c r="N92" i="18"/>
  <c r="N93" i="18"/>
  <c r="N94" i="18"/>
  <c r="N95" i="18"/>
  <c r="N96" i="18"/>
  <c r="N97" i="18"/>
  <c r="N98" i="18"/>
  <c r="N99" i="18"/>
  <c r="N100" i="18"/>
  <c r="N101" i="18"/>
  <c r="N102" i="18"/>
  <c r="N103" i="18"/>
  <c r="N104" i="18"/>
  <c r="N105" i="18"/>
  <c r="N106" i="18"/>
  <c r="N107" i="18"/>
  <c r="N108" i="18"/>
  <c r="N109" i="18"/>
  <c r="N110" i="18"/>
  <c r="N111" i="18"/>
  <c r="N112" i="18"/>
  <c r="N113" i="18"/>
  <c r="N114" i="18"/>
  <c r="N115" i="18"/>
  <c r="N116" i="18"/>
  <c r="N117" i="18"/>
  <c r="N118" i="18"/>
  <c r="N119" i="18"/>
  <c r="N120" i="18"/>
  <c r="N121" i="18"/>
  <c r="N122" i="18"/>
  <c r="N123" i="18"/>
  <c r="N124" i="18"/>
  <c r="N125" i="18"/>
  <c r="N126" i="18"/>
  <c r="N127" i="18"/>
  <c r="N128" i="18"/>
  <c r="N129" i="18"/>
  <c r="N130" i="18"/>
  <c r="N131" i="18"/>
  <c r="N132" i="18"/>
  <c r="N133" i="18"/>
  <c r="N134" i="18"/>
  <c r="N135" i="18"/>
  <c r="N136" i="18"/>
  <c r="N137" i="18"/>
  <c r="N138" i="18"/>
  <c r="N139" i="18"/>
  <c r="N140" i="18"/>
  <c r="N141" i="18"/>
  <c r="N142" i="18"/>
  <c r="N143" i="18"/>
  <c r="N144" i="18"/>
  <c r="N145" i="18"/>
  <c r="N146" i="18"/>
  <c r="N147" i="18"/>
  <c r="N148" i="18"/>
  <c r="N149" i="18"/>
  <c r="N150" i="18"/>
  <c r="N151" i="18"/>
  <c r="N152" i="18"/>
  <c r="N153" i="18"/>
  <c r="N154" i="18"/>
  <c r="N155" i="18"/>
  <c r="N156" i="18"/>
  <c r="N157" i="18"/>
  <c r="N158" i="18"/>
  <c r="N159" i="18"/>
  <c r="N160" i="18"/>
  <c r="N161" i="18"/>
  <c r="N162" i="18"/>
  <c r="N163" i="18"/>
  <c r="N164" i="18"/>
  <c r="N165" i="18"/>
  <c r="N166" i="18"/>
  <c r="N167" i="18"/>
  <c r="N168" i="18"/>
  <c r="N169" i="18"/>
  <c r="N170" i="18"/>
  <c r="N171" i="18"/>
  <c r="N172" i="18"/>
  <c r="N173" i="18"/>
  <c r="N174" i="18"/>
  <c r="N175" i="18"/>
  <c r="N176" i="18"/>
  <c r="N177" i="18"/>
  <c r="N178" i="18"/>
  <c r="N179" i="18"/>
  <c r="N180" i="18"/>
  <c r="N181" i="18"/>
  <c r="N182" i="18"/>
  <c r="N183" i="18"/>
  <c r="N184" i="18"/>
  <c r="N185" i="18"/>
  <c r="N186" i="18"/>
  <c r="N187" i="18"/>
  <c r="N188" i="18"/>
  <c r="N189" i="18"/>
  <c r="N190" i="18"/>
  <c r="N191" i="18"/>
  <c r="N192" i="18"/>
  <c r="N193" i="18"/>
  <c r="N194" i="18"/>
  <c r="N195" i="18"/>
  <c r="N196" i="18"/>
  <c r="N197" i="18"/>
  <c r="N198" i="18"/>
  <c r="N199" i="18"/>
  <c r="N200" i="18"/>
  <c r="N201" i="18"/>
  <c r="N202" i="18"/>
  <c r="N203" i="18"/>
  <c r="N204" i="18"/>
  <c r="N205" i="18"/>
  <c r="N206" i="18"/>
  <c r="N207" i="18"/>
  <c r="N208" i="18"/>
  <c r="N209" i="18"/>
  <c r="N210" i="18"/>
  <c r="N211" i="18"/>
  <c r="N212" i="18"/>
  <c r="N213" i="18"/>
  <c r="N214" i="18"/>
  <c r="N215" i="18"/>
  <c r="N216" i="18"/>
  <c r="N217" i="18"/>
  <c r="N218" i="18"/>
  <c r="N219" i="18"/>
  <c r="N220" i="18"/>
  <c r="N221" i="18"/>
  <c r="N222" i="18"/>
  <c r="N223" i="18"/>
  <c r="N224" i="18"/>
  <c r="N225" i="18"/>
  <c r="N226" i="18"/>
  <c r="N227" i="18"/>
  <c r="N228" i="18"/>
  <c r="N229" i="18"/>
  <c r="N230" i="18"/>
  <c r="N231" i="18"/>
  <c r="N232" i="18"/>
  <c r="N233" i="18"/>
  <c r="N234" i="18"/>
  <c r="N235" i="18"/>
  <c r="N236" i="18"/>
  <c r="N237" i="18"/>
  <c r="N238" i="18"/>
  <c r="N239" i="18"/>
  <c r="N240" i="18"/>
  <c r="N241" i="18"/>
  <c r="N242" i="18"/>
  <c r="N243" i="18"/>
  <c r="N244" i="18"/>
  <c r="N245" i="18"/>
  <c r="N246" i="18"/>
  <c r="N247" i="18"/>
  <c r="N248" i="18"/>
  <c r="N249" i="18"/>
  <c r="N250" i="18"/>
  <c r="N251" i="18"/>
  <c r="N252" i="18"/>
  <c r="N253" i="18"/>
  <c r="N254" i="18"/>
  <c r="N255" i="18"/>
  <c r="N256" i="18"/>
  <c r="N257" i="18"/>
  <c r="N258" i="18"/>
  <c r="N259" i="18"/>
  <c r="N260" i="18"/>
  <c r="N261" i="18"/>
  <c r="N262" i="18"/>
  <c r="N263" i="18"/>
  <c r="N264" i="18"/>
  <c r="N265" i="18"/>
  <c r="N266" i="18"/>
  <c r="N267" i="18"/>
  <c r="N268" i="18"/>
  <c r="N269" i="18"/>
  <c r="N270" i="18"/>
  <c r="N271" i="18"/>
  <c r="N272" i="18"/>
  <c r="N273" i="18"/>
  <c r="N274" i="18"/>
  <c r="N275" i="18"/>
  <c r="N276" i="18"/>
  <c r="N277" i="18"/>
  <c r="N278" i="18"/>
  <c r="N279" i="18"/>
  <c r="N280" i="18"/>
  <c r="N281" i="18"/>
  <c r="N282" i="18"/>
  <c r="N283" i="18"/>
  <c r="N284" i="18"/>
  <c r="N285" i="18"/>
  <c r="N286" i="18"/>
  <c r="N287" i="18"/>
  <c r="N288" i="18"/>
  <c r="N289" i="18"/>
  <c r="N290" i="18"/>
  <c r="N291" i="18"/>
  <c r="N292" i="18"/>
  <c r="N293" i="18"/>
  <c r="N294" i="18"/>
  <c r="N295" i="18"/>
  <c r="N296" i="18"/>
  <c r="N297" i="18"/>
  <c r="N298" i="18"/>
  <c r="N299" i="18"/>
  <c r="N300" i="18"/>
  <c r="N301" i="18"/>
  <c r="N302" i="18"/>
  <c r="N303" i="18"/>
  <c r="N304" i="18"/>
  <c r="N305" i="18"/>
  <c r="N306" i="18"/>
  <c r="N307" i="18"/>
  <c r="N308" i="18"/>
  <c r="N309" i="18"/>
  <c r="N310" i="18"/>
  <c r="N311" i="18"/>
  <c r="N312" i="18"/>
  <c r="N313" i="18"/>
  <c r="N314" i="18"/>
  <c r="N315" i="18"/>
  <c r="N316" i="18"/>
  <c r="N317" i="18"/>
  <c r="B319" i="18"/>
  <c r="B318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53" i="18"/>
  <c r="J54" i="18"/>
  <c r="J55" i="18"/>
  <c r="J56" i="18"/>
  <c r="J57" i="18"/>
  <c r="J58" i="18"/>
  <c r="J59" i="18"/>
  <c r="J60" i="18"/>
  <c r="J61" i="18"/>
  <c r="J62" i="18"/>
  <c r="J63" i="18"/>
  <c r="J64" i="18"/>
  <c r="J65" i="18"/>
  <c r="J66" i="18"/>
  <c r="J67" i="18"/>
  <c r="J68" i="18"/>
  <c r="J69" i="18"/>
  <c r="J70" i="18"/>
  <c r="J71" i="18"/>
  <c r="J72" i="18"/>
  <c r="J73" i="18"/>
  <c r="J74" i="18"/>
  <c r="J75" i="18"/>
  <c r="J76" i="18"/>
  <c r="J77" i="18"/>
  <c r="J78" i="18"/>
  <c r="J79" i="18"/>
  <c r="J80" i="18"/>
  <c r="J81" i="18"/>
  <c r="J82" i="18"/>
  <c r="J83" i="18"/>
  <c r="J84" i="18"/>
  <c r="J85" i="18"/>
  <c r="J86" i="18"/>
  <c r="J87" i="18"/>
  <c r="J88" i="18"/>
  <c r="J89" i="18"/>
  <c r="J90" i="18"/>
  <c r="J91" i="18"/>
  <c r="J92" i="18"/>
  <c r="J93" i="18"/>
  <c r="J94" i="18"/>
  <c r="J95" i="18"/>
  <c r="J96" i="18"/>
  <c r="J97" i="18"/>
  <c r="J98" i="18"/>
  <c r="J99" i="18"/>
  <c r="J100" i="18"/>
  <c r="J101" i="18"/>
  <c r="J102" i="18"/>
  <c r="J103" i="18"/>
  <c r="J104" i="18"/>
  <c r="J105" i="18"/>
  <c r="J106" i="18"/>
  <c r="J107" i="18"/>
  <c r="J108" i="18"/>
  <c r="J109" i="18"/>
  <c r="J110" i="18"/>
  <c r="J111" i="18"/>
  <c r="J112" i="18"/>
  <c r="J113" i="18"/>
  <c r="J114" i="18"/>
  <c r="J115" i="18"/>
  <c r="J116" i="18"/>
  <c r="J117" i="18"/>
  <c r="J118" i="18"/>
  <c r="J119" i="18"/>
  <c r="J120" i="18"/>
  <c r="J121" i="18"/>
  <c r="J122" i="18"/>
  <c r="J123" i="18"/>
  <c r="J124" i="18"/>
  <c r="J125" i="18"/>
  <c r="J126" i="18"/>
  <c r="J127" i="18"/>
  <c r="J128" i="18"/>
  <c r="J129" i="18"/>
  <c r="J130" i="18"/>
  <c r="J131" i="18"/>
  <c r="J132" i="18"/>
  <c r="J133" i="18"/>
  <c r="J134" i="18"/>
  <c r="J135" i="18"/>
  <c r="J136" i="18"/>
  <c r="J137" i="18"/>
  <c r="J138" i="18"/>
  <c r="J139" i="18"/>
  <c r="J140" i="18"/>
  <c r="J141" i="18"/>
  <c r="J142" i="18"/>
  <c r="J143" i="18"/>
  <c r="J144" i="18"/>
  <c r="J145" i="18"/>
  <c r="J146" i="18"/>
  <c r="J147" i="18"/>
  <c r="J148" i="18"/>
  <c r="J149" i="18"/>
  <c r="J150" i="18"/>
  <c r="J151" i="18"/>
  <c r="J152" i="18"/>
  <c r="J153" i="18"/>
  <c r="J154" i="18"/>
  <c r="J155" i="18"/>
  <c r="J156" i="18"/>
  <c r="J157" i="18"/>
  <c r="J158" i="18"/>
  <c r="J159" i="18"/>
  <c r="J160" i="18"/>
  <c r="J161" i="18"/>
  <c r="J162" i="18"/>
  <c r="J163" i="18"/>
  <c r="J164" i="18"/>
  <c r="J165" i="18"/>
  <c r="J166" i="18"/>
  <c r="J167" i="18"/>
  <c r="J168" i="18"/>
  <c r="J169" i="18"/>
  <c r="J170" i="18"/>
  <c r="J171" i="18"/>
  <c r="J172" i="18"/>
  <c r="J173" i="18"/>
  <c r="J174" i="18"/>
  <c r="J175" i="18"/>
  <c r="J176" i="18"/>
  <c r="J177" i="18"/>
  <c r="J178" i="18"/>
  <c r="J179" i="18"/>
  <c r="J180" i="18"/>
  <c r="J181" i="18"/>
  <c r="J182" i="18"/>
  <c r="J183" i="18"/>
  <c r="J184" i="18"/>
  <c r="J185" i="18"/>
  <c r="J186" i="18"/>
  <c r="J187" i="18"/>
  <c r="J188" i="18"/>
  <c r="J189" i="18"/>
  <c r="J190" i="18"/>
  <c r="J191" i="18"/>
  <c r="J192" i="18"/>
  <c r="J193" i="18"/>
  <c r="J194" i="18"/>
  <c r="J195" i="18"/>
  <c r="J196" i="18"/>
  <c r="J197" i="18"/>
  <c r="J198" i="18"/>
  <c r="J199" i="18"/>
  <c r="J200" i="18"/>
  <c r="J201" i="18"/>
  <c r="J202" i="18"/>
  <c r="J203" i="18"/>
  <c r="J204" i="18"/>
  <c r="J205" i="18"/>
  <c r="J206" i="18"/>
  <c r="J207" i="18"/>
  <c r="J208" i="18"/>
  <c r="J209" i="18"/>
  <c r="J210" i="18"/>
  <c r="J211" i="18"/>
  <c r="J212" i="18"/>
  <c r="J213" i="18"/>
  <c r="J214" i="18"/>
  <c r="J215" i="18"/>
  <c r="J216" i="18"/>
  <c r="J217" i="18"/>
  <c r="J218" i="18"/>
  <c r="J219" i="18"/>
  <c r="J220" i="18"/>
  <c r="J221" i="18"/>
  <c r="J222" i="18"/>
  <c r="J223" i="18"/>
  <c r="J224" i="18"/>
  <c r="J225" i="18"/>
  <c r="J226" i="18"/>
  <c r="J227" i="18"/>
  <c r="J228" i="18"/>
  <c r="J229" i="18"/>
  <c r="J230" i="18"/>
  <c r="J231" i="18"/>
  <c r="J232" i="18"/>
  <c r="J233" i="18"/>
  <c r="J234" i="18"/>
  <c r="J235" i="18"/>
  <c r="J236" i="18"/>
  <c r="J237" i="18"/>
  <c r="J238" i="18"/>
  <c r="J239" i="18"/>
  <c r="J240" i="18"/>
  <c r="J241" i="18"/>
  <c r="J242" i="18"/>
  <c r="J243" i="18"/>
  <c r="J244" i="18"/>
  <c r="J245" i="18"/>
  <c r="J246" i="18"/>
  <c r="J247" i="18"/>
  <c r="J248" i="18"/>
  <c r="J249" i="18"/>
  <c r="J250" i="18"/>
  <c r="J251" i="18"/>
  <c r="J252" i="18"/>
  <c r="J253" i="18"/>
  <c r="J254" i="18"/>
  <c r="J255" i="18"/>
  <c r="J256" i="18"/>
  <c r="J257" i="18"/>
  <c r="J258" i="18"/>
  <c r="J259" i="18"/>
  <c r="J260" i="18"/>
  <c r="J261" i="18"/>
  <c r="J262" i="18"/>
  <c r="J263" i="18"/>
  <c r="J264" i="18"/>
  <c r="J265" i="18"/>
  <c r="J266" i="18"/>
  <c r="J267" i="18"/>
  <c r="J268" i="18"/>
  <c r="J269" i="18"/>
  <c r="J270" i="18"/>
  <c r="J271" i="18"/>
  <c r="J272" i="18"/>
  <c r="J273" i="18"/>
  <c r="J274" i="18"/>
  <c r="J275" i="18"/>
  <c r="J276" i="18"/>
  <c r="J277" i="18"/>
  <c r="J278" i="18"/>
  <c r="J279" i="18"/>
  <c r="J280" i="18"/>
  <c r="J281" i="18"/>
  <c r="J282" i="18"/>
  <c r="J283" i="18"/>
  <c r="J284" i="18"/>
  <c r="J285" i="18"/>
  <c r="J286" i="18"/>
  <c r="J287" i="18"/>
  <c r="J288" i="18"/>
  <c r="J289" i="18"/>
  <c r="J290" i="18"/>
  <c r="J291" i="18"/>
  <c r="J292" i="18"/>
  <c r="J293" i="18"/>
  <c r="J294" i="18"/>
  <c r="J295" i="18"/>
  <c r="J296" i="18"/>
  <c r="J297" i="18"/>
  <c r="J298" i="18"/>
  <c r="J299" i="18"/>
  <c r="J300" i="18"/>
  <c r="J301" i="18"/>
  <c r="J302" i="18"/>
  <c r="J303" i="18"/>
  <c r="J304" i="18"/>
  <c r="J305" i="18"/>
  <c r="J306" i="18"/>
  <c r="J307" i="18"/>
  <c r="J308" i="18"/>
  <c r="J309" i="18"/>
  <c r="J310" i="18"/>
  <c r="J311" i="18"/>
  <c r="J312" i="18"/>
  <c r="J313" i="18"/>
  <c r="J314" i="18"/>
  <c r="J315" i="18"/>
  <c r="J316" i="18"/>
  <c r="J317" i="18"/>
  <c r="G18" i="18"/>
  <c r="G258" i="18"/>
  <c r="G259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158" i="18"/>
  <c r="O159" i="18"/>
  <c r="O160" i="18"/>
  <c r="O161" i="18"/>
  <c r="O162" i="18"/>
  <c r="O163" i="18"/>
  <c r="O164" i="18"/>
  <c r="O165" i="18"/>
  <c r="O166" i="18"/>
  <c r="O167" i="18"/>
  <c r="O168" i="18"/>
  <c r="O169" i="18"/>
  <c r="O170" i="18"/>
  <c r="O171" i="18"/>
  <c r="O172" i="18"/>
  <c r="O173" i="18"/>
  <c r="O174" i="18"/>
  <c r="O175" i="18"/>
  <c r="O176" i="18"/>
  <c r="O177" i="18"/>
  <c r="O178" i="18"/>
  <c r="O179" i="18"/>
  <c r="O180" i="18"/>
  <c r="O181" i="18"/>
  <c r="O182" i="18"/>
  <c r="O183" i="18"/>
  <c r="O184" i="18"/>
  <c r="O185" i="18"/>
  <c r="O186" i="18"/>
  <c r="O187" i="18"/>
  <c r="O188" i="18"/>
  <c r="O189" i="18"/>
  <c r="O190" i="18"/>
  <c r="O191" i="18"/>
  <c r="O192" i="18"/>
  <c r="O193" i="18"/>
  <c r="O194" i="18"/>
  <c r="O195" i="18"/>
  <c r="O196" i="18"/>
  <c r="O197" i="18"/>
  <c r="O198" i="18"/>
  <c r="O199" i="18"/>
  <c r="O200" i="18"/>
  <c r="O201" i="18"/>
  <c r="O202" i="18"/>
  <c r="O203" i="18"/>
  <c r="O204" i="18"/>
  <c r="O205" i="18"/>
  <c r="O206" i="18"/>
  <c r="O207" i="18"/>
  <c r="O208" i="18"/>
  <c r="O209" i="18"/>
  <c r="O210" i="18"/>
  <c r="O211" i="18"/>
  <c r="O212" i="18"/>
  <c r="O213" i="18"/>
  <c r="O214" i="18"/>
  <c r="O215" i="18"/>
  <c r="O216" i="18"/>
  <c r="O217" i="18"/>
  <c r="O218" i="18"/>
  <c r="O219" i="18"/>
  <c r="O220" i="18"/>
  <c r="O221" i="18"/>
  <c r="O222" i="18"/>
  <c r="O223" i="18"/>
  <c r="O224" i="18"/>
  <c r="O225" i="18"/>
  <c r="O226" i="18"/>
  <c r="O227" i="18"/>
  <c r="O228" i="18"/>
  <c r="O229" i="18"/>
  <c r="O230" i="18"/>
  <c r="O231" i="18"/>
  <c r="O232" i="18"/>
  <c r="O233" i="18"/>
  <c r="O234" i="18"/>
  <c r="O235" i="18"/>
  <c r="O236" i="18"/>
  <c r="O237" i="18"/>
  <c r="O238" i="18"/>
  <c r="O239" i="18"/>
  <c r="O240" i="18"/>
  <c r="O241" i="18"/>
  <c r="O242" i="18"/>
  <c r="O243" i="18"/>
  <c r="O244" i="18"/>
  <c r="O245" i="18"/>
  <c r="O246" i="18"/>
  <c r="O247" i="18"/>
  <c r="O248" i="18"/>
  <c r="O249" i="18"/>
  <c r="O250" i="18"/>
  <c r="O251" i="18"/>
  <c r="O252" i="18"/>
  <c r="O253" i="18"/>
  <c r="O254" i="18"/>
  <c r="O255" i="18"/>
  <c r="O256" i="18"/>
  <c r="O257" i="18"/>
  <c r="O258" i="18"/>
  <c r="O259" i="18"/>
  <c r="G261" i="18"/>
  <c r="G260" i="18"/>
  <c r="G263" i="18"/>
  <c r="B10" i="16"/>
  <c r="C10" i="16"/>
  <c r="D10" i="16"/>
  <c r="A13" i="16"/>
  <c r="O260" i="18"/>
  <c r="O261" i="18"/>
  <c r="G262" i="18"/>
  <c r="G264" i="18"/>
  <c r="G265" i="18"/>
  <c r="O262" i="18"/>
  <c r="O263" i="18"/>
  <c r="O264" i="18"/>
  <c r="G267" i="18"/>
  <c r="O265" i="18"/>
  <c r="G266" i="18"/>
  <c r="G269" i="18"/>
  <c r="O266" i="18"/>
  <c r="O267" i="18"/>
  <c r="G268" i="18"/>
  <c r="G270" i="18"/>
  <c r="G271" i="18"/>
  <c r="G273" i="18"/>
  <c r="G275" i="18"/>
  <c r="G272" i="18"/>
  <c r="G274" i="18"/>
  <c r="G276" i="18"/>
  <c r="G278" i="18"/>
  <c r="O268" i="18"/>
  <c r="O269" i="18"/>
  <c r="O270" i="18"/>
  <c r="G277" i="18"/>
  <c r="G279" i="18"/>
  <c r="G281" i="18"/>
  <c r="O271" i="18"/>
  <c r="O272" i="18"/>
  <c r="O273" i="18"/>
  <c r="O274" i="18"/>
  <c r="O275" i="18"/>
  <c r="O276" i="18"/>
  <c r="O277" i="18"/>
  <c r="O278" i="18"/>
  <c r="O279" i="18"/>
  <c r="G280" i="18"/>
  <c r="G282" i="18"/>
  <c r="G284" i="18"/>
  <c r="G283" i="18"/>
  <c r="G285" i="18"/>
  <c r="G287" i="18"/>
  <c r="O280" i="18"/>
  <c r="O281" i="18"/>
  <c r="O282" i="18"/>
  <c r="O283" i="18"/>
  <c r="O284" i="18"/>
  <c r="O285" i="18"/>
  <c r="G286" i="18"/>
  <c r="G288" i="18"/>
  <c r="G290" i="18"/>
  <c r="G292" i="18"/>
  <c r="O286" i="18"/>
  <c r="O287" i="18"/>
  <c r="G289" i="18"/>
  <c r="O288" i="18"/>
  <c r="O289" i="18"/>
  <c r="O290" i="18"/>
  <c r="G291" i="18"/>
  <c r="G293" i="18"/>
  <c r="G295" i="18"/>
  <c r="O291" i="18"/>
  <c r="O292" i="18"/>
  <c r="O293" i="18"/>
  <c r="G294" i="18"/>
  <c r="G296" i="18"/>
  <c r="G298" i="18"/>
  <c r="O294" i="18"/>
  <c r="O295" i="18"/>
  <c r="O296" i="18"/>
  <c r="G297" i="18"/>
  <c r="G299" i="18"/>
  <c r="G301" i="18"/>
  <c r="O297" i="18"/>
  <c r="O298" i="18"/>
  <c r="O299" i="18"/>
  <c r="G300" i="18"/>
  <c r="G302" i="18"/>
  <c r="G304" i="18"/>
  <c r="O300" i="18"/>
  <c r="O301" i="18"/>
  <c r="O302" i="18"/>
  <c r="G303" i="18"/>
  <c r="G305" i="18"/>
  <c r="G307" i="18"/>
  <c r="O303" i="18"/>
  <c r="O304" i="18"/>
  <c r="O305" i="18"/>
  <c r="G306" i="18"/>
  <c r="G308" i="18"/>
  <c r="G310" i="18"/>
  <c r="G309" i="18"/>
  <c r="G311" i="18"/>
  <c r="G313" i="18"/>
  <c r="O306" i="18"/>
  <c r="O307" i="18"/>
  <c r="O308" i="18"/>
  <c r="O309" i="18"/>
  <c r="O310" i="18"/>
  <c r="O311" i="18"/>
  <c r="G312" i="18"/>
  <c r="O312" i="18"/>
  <c r="O313" i="18"/>
  <c r="G314" i="18"/>
  <c r="O314" i="18"/>
  <c r="G315" i="18"/>
  <c r="G317" i="18"/>
  <c r="O315" i="18"/>
  <c r="G316" i="18"/>
  <c r="G318" i="18"/>
  <c r="G319" i="18"/>
  <c r="O316" i="18"/>
  <c r="O317" i="18"/>
</calcChain>
</file>

<file path=xl/sharedStrings.xml><?xml version="1.0" encoding="utf-8"?>
<sst xmlns="http://schemas.openxmlformats.org/spreadsheetml/2006/main" count="105" uniqueCount="38">
  <si>
    <r>
      <t>[A] BS</t>
    </r>
    <r>
      <rPr>
        <sz val="11"/>
        <rFont val="ＭＳ Ｐゴシック"/>
        <family val="3"/>
        <charset val="128"/>
      </rPr>
      <t>公式のパラメータ</t>
    </r>
    <rPh sb="6" eb="8">
      <t>コウシキ</t>
    </rPh>
    <phoneticPr fontId="5"/>
  </si>
  <si>
    <r>
      <t>S</t>
    </r>
    <r>
      <rPr>
        <vertAlign val="subscript"/>
        <sz val="11"/>
        <rFont val="Calibri"/>
        <family val="2"/>
      </rPr>
      <t>0</t>
    </r>
    <r>
      <rPr>
        <sz val="11"/>
        <rFont val="Calibri"/>
        <family val="2"/>
      </rPr>
      <t xml:space="preserve"> (</t>
    </r>
    <r>
      <rPr>
        <sz val="11"/>
        <rFont val="ＭＳ Ｐゴシック"/>
        <family val="3"/>
        <charset val="128"/>
      </rPr>
      <t xml:space="preserve">原資産
</t>
    </r>
    <r>
      <rPr>
        <sz val="11"/>
        <rFont val="Calibri"/>
        <family val="2"/>
      </rPr>
      <t xml:space="preserve">        </t>
    </r>
    <r>
      <rPr>
        <sz val="11"/>
        <rFont val="ＭＳ Ｐゴシック"/>
        <family val="3"/>
        <charset val="128"/>
      </rPr>
      <t>価格</t>
    </r>
    <r>
      <rPr>
        <sz val="11"/>
        <rFont val="Calibri"/>
        <family val="2"/>
      </rPr>
      <t>(</t>
    </r>
    <r>
      <rPr>
        <sz val="11"/>
        <rFont val="ＭＳ Ｐゴシック"/>
        <family val="3"/>
        <charset val="128"/>
      </rPr>
      <t>円</t>
    </r>
    <r>
      <rPr>
        <sz val="11"/>
        <rFont val="Calibri"/>
        <family val="2"/>
      </rPr>
      <t>))</t>
    </r>
    <rPh sb="4" eb="5">
      <t>ゲン</t>
    </rPh>
    <rPh sb="5" eb="7">
      <t>シサン</t>
    </rPh>
    <rPh sb="16" eb="18">
      <t>カカク</t>
    </rPh>
    <rPh sb="19" eb="20">
      <t>エン</t>
    </rPh>
    <phoneticPr fontId="5"/>
  </si>
  <si>
    <r>
      <t>K (</t>
    </r>
    <r>
      <rPr>
        <sz val="11"/>
        <rFont val="ＭＳ Ｐゴシック"/>
        <family val="3"/>
        <charset val="128"/>
      </rPr>
      <t xml:space="preserve">権利行使
</t>
    </r>
    <r>
      <rPr>
        <sz val="11"/>
        <rFont val="Calibri"/>
        <family val="2"/>
      </rPr>
      <t xml:space="preserve">    </t>
    </r>
    <r>
      <rPr>
        <sz val="11"/>
        <rFont val="ＭＳ Ｐゴシック"/>
        <family val="3"/>
        <charset val="128"/>
      </rPr>
      <t>価格</t>
    </r>
    <r>
      <rPr>
        <sz val="11"/>
        <rFont val="Calibri"/>
        <family val="2"/>
      </rPr>
      <t xml:space="preserve"> (</t>
    </r>
    <r>
      <rPr>
        <sz val="11"/>
        <rFont val="ＭＳ Ｐゴシック"/>
        <family val="3"/>
        <charset val="128"/>
      </rPr>
      <t>円</t>
    </r>
    <r>
      <rPr>
        <sz val="11"/>
        <rFont val="Calibri"/>
        <family val="2"/>
      </rPr>
      <t>))</t>
    </r>
    <rPh sb="3" eb="5">
      <t>ケンリ</t>
    </rPh>
    <rPh sb="5" eb="7">
      <t>コウシ</t>
    </rPh>
    <rPh sb="12" eb="14">
      <t>カカク</t>
    </rPh>
    <rPh sb="16" eb="17">
      <t>エン</t>
    </rPh>
    <phoneticPr fontId="5"/>
  </si>
  <si>
    <r>
      <t>r</t>
    </r>
    <r>
      <rPr>
        <vertAlign val="subscript"/>
        <sz val="11"/>
        <rFont val="Calibri"/>
        <family val="2"/>
      </rPr>
      <t>f</t>
    </r>
    <r>
      <rPr>
        <sz val="11"/>
        <rFont val="Calibri"/>
        <family val="2"/>
      </rPr>
      <t xml:space="preserve"> (</t>
    </r>
    <r>
      <rPr>
        <sz val="11"/>
        <rFont val="ＭＳ Ｐゴシック"/>
        <family val="3"/>
        <charset val="128"/>
      </rPr>
      <t xml:space="preserve">リスク・フリー・
</t>
    </r>
    <r>
      <rPr>
        <sz val="11"/>
        <rFont val="Calibri"/>
        <family val="2"/>
      </rPr>
      <t xml:space="preserve">    </t>
    </r>
    <r>
      <rPr>
        <sz val="11"/>
        <rFont val="ＭＳ Ｐゴシック"/>
        <family val="3"/>
        <charset val="128"/>
      </rPr>
      <t>レート</t>
    </r>
    <r>
      <rPr>
        <sz val="11"/>
        <rFont val="Calibri"/>
        <family val="2"/>
      </rPr>
      <t xml:space="preserve"> (</t>
    </r>
    <r>
      <rPr>
        <sz val="11"/>
        <rFont val="ＭＳ Ｐゴシック"/>
        <family val="3"/>
        <charset val="128"/>
      </rPr>
      <t>年率</t>
    </r>
    <r>
      <rPr>
        <sz val="11"/>
        <rFont val="Calibri"/>
        <family val="2"/>
      </rPr>
      <t>))</t>
    </r>
    <rPh sb="22" eb="24">
      <t>ネンリツ</t>
    </rPh>
    <phoneticPr fontId="5"/>
  </si>
  <si>
    <r>
      <t>T (</t>
    </r>
    <r>
      <rPr>
        <sz val="11"/>
        <rFont val="ＭＳ Ｐゴシック"/>
        <family val="3"/>
        <charset val="128"/>
      </rPr>
      <t>時点</t>
    </r>
    <r>
      <rPr>
        <sz val="11"/>
        <rFont val="Calibri"/>
        <family val="2"/>
      </rPr>
      <t>0</t>
    </r>
    <r>
      <rPr>
        <sz val="11"/>
        <rFont val="ＭＳ Ｐゴシック"/>
        <family val="3"/>
        <charset val="128"/>
      </rPr>
      <t xml:space="preserve">での
</t>
    </r>
    <r>
      <rPr>
        <sz val="11"/>
        <rFont val="Calibri"/>
        <family val="2"/>
      </rPr>
      <t xml:space="preserve">    </t>
    </r>
    <r>
      <rPr>
        <sz val="11"/>
        <rFont val="ＭＳ Ｐゴシック"/>
        <family val="3"/>
        <charset val="128"/>
      </rPr>
      <t xml:space="preserve">権利行使日
</t>
    </r>
    <r>
      <rPr>
        <sz val="11"/>
        <rFont val="Calibri"/>
        <family val="2"/>
      </rPr>
      <t xml:space="preserve">    </t>
    </r>
    <r>
      <rPr>
        <sz val="11"/>
        <rFont val="ＭＳ Ｐゴシック"/>
        <family val="3"/>
        <charset val="128"/>
      </rPr>
      <t>までの期間</t>
    </r>
    <r>
      <rPr>
        <sz val="11"/>
        <rFont val="Calibri"/>
        <family val="2"/>
      </rPr>
      <t xml:space="preserve"> (</t>
    </r>
    <r>
      <rPr>
        <sz val="11"/>
        <rFont val="ＭＳ Ｐゴシック"/>
        <family val="3"/>
        <charset val="128"/>
      </rPr>
      <t>年</t>
    </r>
    <r>
      <rPr>
        <sz val="11"/>
        <rFont val="Calibri"/>
        <family val="2"/>
      </rPr>
      <t>))</t>
    </r>
    <rPh sb="3" eb="5">
      <t>ジテン</t>
    </rPh>
    <rPh sb="13" eb="17">
      <t>ケンリコウシ</t>
    </rPh>
    <rPh sb="17" eb="18">
      <t>ビ</t>
    </rPh>
    <rPh sb="26" eb="28">
      <t>キカン</t>
    </rPh>
    <rPh sb="30" eb="31">
      <t>ネン</t>
    </rPh>
    <phoneticPr fontId="5"/>
  </si>
  <si>
    <r>
      <t>C</t>
    </r>
    <r>
      <rPr>
        <vertAlign val="subscript"/>
        <sz val="11"/>
        <rFont val="Calibri"/>
        <family val="2"/>
      </rPr>
      <t>0</t>
    </r>
    <r>
      <rPr>
        <sz val="11"/>
        <rFont val="Calibri"/>
        <family val="2"/>
      </rPr>
      <t xml:space="preserve"> (</t>
    </r>
    <r>
      <rPr>
        <sz val="11"/>
        <rFont val="ＭＳ Ｐゴシック"/>
        <family val="3"/>
        <charset val="128"/>
      </rPr>
      <t>市場での
コール価格</t>
    </r>
    <r>
      <rPr>
        <sz val="11"/>
        <rFont val="Calibri"/>
        <family val="2"/>
      </rPr>
      <t>(</t>
    </r>
    <r>
      <rPr>
        <sz val="11"/>
        <rFont val="ＭＳ Ｐゴシック"/>
        <family val="3"/>
        <charset val="128"/>
      </rPr>
      <t>円</t>
    </r>
    <r>
      <rPr>
        <sz val="11"/>
        <rFont val="Calibri"/>
        <family val="2"/>
      </rPr>
      <t>)</t>
    </r>
    <rPh sb="4" eb="6">
      <t>シジョウ</t>
    </rPh>
    <rPh sb="12" eb="14">
      <t>カカク</t>
    </rPh>
    <rPh sb="15" eb="16">
      <t>エン</t>
    </rPh>
    <phoneticPr fontId="5"/>
  </si>
  <si>
    <r>
      <t xml:space="preserve">[B] </t>
    </r>
    <r>
      <rPr>
        <sz val="11"/>
        <rFont val="ＭＳ Ｐゴシック"/>
        <family val="3"/>
        <charset val="128"/>
      </rPr>
      <t>インプライド・ボラティリティと</t>
    </r>
    <r>
      <rPr>
        <sz val="11"/>
        <rFont val="Calibri"/>
        <family val="2"/>
      </rPr>
      <t>BS</t>
    </r>
    <r>
      <rPr>
        <sz val="11"/>
        <rFont val="ＭＳ Ｐゴシック"/>
        <family val="3"/>
        <charset val="128"/>
      </rPr>
      <t>公式によるコール価格</t>
    </r>
    <rPh sb="21" eb="23">
      <t>コウシキ</t>
    </rPh>
    <rPh sb="29" eb="31">
      <t>カカク</t>
    </rPh>
    <phoneticPr fontId="5"/>
  </si>
  <si>
    <r>
      <rPr>
        <sz val="11"/>
        <rFont val="Symbol"/>
        <family val="1"/>
        <charset val="2"/>
      </rPr>
      <t>s</t>
    </r>
    <r>
      <rPr>
        <sz val="11"/>
        <rFont val="Calibri"/>
        <family val="2"/>
      </rPr>
      <t xml:space="preserve"> (</t>
    </r>
    <r>
      <rPr>
        <sz val="11"/>
        <rFont val="ＭＳ Ｐゴシック"/>
        <family val="3"/>
        <charset val="128"/>
      </rPr>
      <t>インプライド・
ボラ</t>
    </r>
    <r>
      <rPr>
        <sz val="11"/>
        <rFont val="Calibri"/>
        <family val="2"/>
      </rPr>
      <t xml:space="preserve"> (</t>
    </r>
    <r>
      <rPr>
        <sz val="11"/>
        <rFont val="ＭＳ Ｐゴシック"/>
        <family val="3"/>
        <charset val="128"/>
      </rPr>
      <t>年率</t>
    </r>
    <r>
      <rPr>
        <sz val="11"/>
        <rFont val="Calibri"/>
        <family val="2"/>
      </rPr>
      <t>))</t>
    </r>
    <rPh sb="15" eb="17">
      <t>ネンリツ</t>
    </rPh>
    <phoneticPr fontId="5"/>
  </si>
  <si>
    <r>
      <t xml:space="preserve"> d</t>
    </r>
    <r>
      <rPr>
        <vertAlign val="subscript"/>
        <sz val="11"/>
        <rFont val="Calibri"/>
        <family val="2"/>
      </rPr>
      <t>1</t>
    </r>
    <r>
      <rPr>
        <sz val="11"/>
        <rFont val="Calibri"/>
        <family val="2"/>
      </rPr>
      <t xml:space="preserve"> (</t>
    </r>
    <r>
      <rPr>
        <sz val="11"/>
        <rFont val="ＭＳ Ｐゴシック"/>
        <family val="3"/>
        <charset val="128"/>
      </rPr>
      <t>引数</t>
    </r>
    <r>
      <rPr>
        <sz val="11"/>
        <rFont val="Calibri"/>
        <family val="2"/>
      </rPr>
      <t>1)</t>
    </r>
    <rPh sb="5" eb="7">
      <t>ヒキスウ</t>
    </rPh>
    <phoneticPr fontId="5"/>
  </si>
  <si>
    <r>
      <t xml:space="preserve"> d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(</t>
    </r>
    <r>
      <rPr>
        <sz val="11"/>
        <rFont val="ＭＳ Ｐゴシック"/>
        <family val="3"/>
        <charset val="128"/>
      </rPr>
      <t>引数</t>
    </r>
    <r>
      <rPr>
        <sz val="11"/>
        <rFont val="Calibri"/>
        <family val="2"/>
      </rPr>
      <t>2)</t>
    </r>
    <rPh sb="5" eb="7">
      <t>ヒキスウ</t>
    </rPh>
    <phoneticPr fontId="5"/>
  </si>
  <si>
    <r>
      <t>C</t>
    </r>
    <r>
      <rPr>
        <vertAlign val="subscript"/>
        <sz val="11"/>
        <rFont val="Calibri"/>
        <family val="2"/>
      </rPr>
      <t>0</t>
    </r>
    <r>
      <rPr>
        <sz val="11"/>
        <rFont val="Calibri"/>
        <family val="2"/>
      </rPr>
      <t xml:space="preserve"> (BS</t>
    </r>
    <r>
      <rPr>
        <sz val="11"/>
        <rFont val="ＭＳ Ｐゴシック"/>
        <family val="3"/>
        <charset val="128"/>
      </rPr>
      <t>公式による
コール価格</t>
    </r>
    <r>
      <rPr>
        <sz val="11"/>
        <rFont val="Calibri"/>
        <family val="2"/>
      </rPr>
      <t xml:space="preserve"> (</t>
    </r>
    <r>
      <rPr>
        <sz val="11"/>
        <rFont val="ＭＳ Ｐゴシック"/>
        <family val="3"/>
        <charset val="128"/>
      </rPr>
      <t>円</t>
    </r>
    <r>
      <rPr>
        <sz val="11"/>
        <rFont val="Calibri"/>
        <family val="2"/>
      </rPr>
      <t>))</t>
    </r>
    <rPh sb="6" eb="8">
      <t>コウシキ</t>
    </rPh>
    <rPh sb="15" eb="17">
      <t>カカク</t>
    </rPh>
    <rPh sb="19" eb="20">
      <t>エン</t>
    </rPh>
    <phoneticPr fontId="5"/>
  </si>
  <si>
    <r>
      <t xml:space="preserve">[C] </t>
    </r>
    <r>
      <rPr>
        <sz val="11"/>
        <rFont val="ＭＳ Ｐゴシック"/>
        <family val="3"/>
        <charset val="128"/>
      </rPr>
      <t>市場でのコール価格と</t>
    </r>
    <r>
      <rPr>
        <sz val="11"/>
        <rFont val="Calibri"/>
        <family val="2"/>
      </rPr>
      <t>BS</t>
    </r>
    <r>
      <rPr>
        <sz val="11"/>
        <rFont val="ＭＳ Ｐゴシック"/>
        <family val="3"/>
        <charset val="128"/>
      </rPr>
      <t>公式によるコール価格との差</t>
    </r>
    <rPh sb="4" eb="6">
      <t>シジョウ</t>
    </rPh>
    <rPh sb="11" eb="13">
      <t>カカク</t>
    </rPh>
    <rPh sb="16" eb="18">
      <t>コウシキ</t>
    </rPh>
    <rPh sb="24" eb="26">
      <t>カカク</t>
    </rPh>
    <rPh sb="28" eb="29">
      <t>サ</t>
    </rPh>
    <phoneticPr fontId="5"/>
  </si>
  <si>
    <r>
      <t>ç</t>
    </r>
    <r>
      <rPr>
        <sz val="11"/>
        <rFont val="Calibri"/>
        <family val="2"/>
      </rPr>
      <t xml:space="preserve"> =B6-D10 </t>
    </r>
    <r>
      <rPr>
        <sz val="11"/>
        <rFont val="ＭＳ Ｐゴシック"/>
        <family val="3"/>
        <charset val="128"/>
      </rPr>
      <t>を入力</t>
    </r>
    <rPh sb="11" eb="13">
      <t>ニュウリョク</t>
    </rPh>
    <phoneticPr fontId="5"/>
  </si>
  <si>
    <r>
      <t>[</t>
    </r>
    <r>
      <rPr>
        <sz val="11"/>
        <color theme="1"/>
        <rFont val="ＭＳ Ｐゴシック"/>
        <family val="3"/>
        <charset val="128"/>
      </rPr>
      <t>パネル</t>
    </r>
    <r>
      <rPr>
        <sz val="11"/>
        <color theme="1"/>
        <rFont val="Calibri"/>
        <family val="2"/>
      </rPr>
      <t xml:space="preserve"> A] </t>
    </r>
    <r>
      <rPr>
        <sz val="11"/>
        <color theme="1"/>
        <rFont val="ＭＳ Ｐゴシック"/>
        <family val="3"/>
        <charset val="128"/>
      </rPr>
      <t>期待値ベクターと分散共分散行列の設定</t>
    </r>
    <rPh sb="8" eb="11">
      <t>キタイチ</t>
    </rPh>
    <rPh sb="16" eb="18">
      <t>ブンサン</t>
    </rPh>
    <rPh sb="18" eb="21">
      <t>キョウブンサン</t>
    </rPh>
    <rPh sb="21" eb="23">
      <t>ギョウレツ</t>
    </rPh>
    <rPh sb="24" eb="26">
      <t>セッテイ</t>
    </rPh>
    <phoneticPr fontId="11"/>
  </si>
  <si>
    <t>年次</t>
    <rPh sb="0" eb="2">
      <t>ネンジ</t>
    </rPh>
    <phoneticPr fontId="11"/>
  </si>
  <si>
    <t>月次</t>
    <rPh sb="0" eb="2">
      <t>ゲツジ</t>
    </rPh>
    <phoneticPr fontId="11"/>
  </si>
  <si>
    <r>
      <rPr>
        <sz val="11"/>
        <color theme="1"/>
        <rFont val="ＭＳ Ｐゴシック"/>
        <family val="3"/>
        <charset val="128"/>
        <scheme val="minor"/>
      </rPr>
      <t>期待値</t>
    </r>
    <r>
      <rPr>
        <sz val="11"/>
        <color theme="1"/>
        <rFont val="ＭＳ Ｐ明朝"/>
        <family val="1"/>
        <charset val="128"/>
      </rPr>
      <t xml:space="preserve"> </t>
    </r>
    <r>
      <rPr>
        <sz val="11"/>
        <color theme="1"/>
        <rFont val="Symbol"/>
        <family val="1"/>
        <charset val="2"/>
      </rPr>
      <t>m</t>
    </r>
    <r>
      <rPr>
        <vertAlign val="subscript"/>
        <sz val="11"/>
        <color theme="1"/>
        <rFont val="Calibri"/>
        <family val="2"/>
      </rPr>
      <t>i</t>
    </r>
    <rPh sb="0" eb="3">
      <t>キタイチ</t>
    </rPh>
    <phoneticPr fontId="11"/>
  </si>
  <si>
    <r>
      <rPr>
        <sz val="11"/>
        <color theme="1"/>
        <rFont val="ＭＳ Ｐゴシック"/>
        <family val="3"/>
        <charset val="128"/>
        <scheme val="minor"/>
      </rPr>
      <t>標準偏差</t>
    </r>
    <r>
      <rPr>
        <sz val="11"/>
        <color theme="1"/>
        <rFont val="ＭＳ Ｐ明朝"/>
        <family val="1"/>
        <charset val="128"/>
      </rPr>
      <t xml:space="preserve"> </t>
    </r>
    <r>
      <rPr>
        <sz val="11"/>
        <color theme="1"/>
        <rFont val="Symbol"/>
        <family val="1"/>
        <charset val="2"/>
      </rPr>
      <t>s</t>
    </r>
    <r>
      <rPr>
        <vertAlign val="subscript"/>
        <sz val="11"/>
        <color theme="1"/>
        <rFont val="Calibri"/>
        <family val="2"/>
      </rPr>
      <t>i</t>
    </r>
    <rPh sb="0" eb="2">
      <t>ヒョウジュン</t>
    </rPh>
    <rPh sb="2" eb="4">
      <t>ヘンサ</t>
    </rPh>
    <phoneticPr fontId="11"/>
  </si>
  <si>
    <r>
      <rPr>
        <sz val="11"/>
        <color theme="1"/>
        <rFont val="ＭＳ Ｐゴシック"/>
        <family val="3"/>
        <charset val="128"/>
      </rPr>
      <t xml:space="preserve">分散 </t>
    </r>
    <r>
      <rPr>
        <sz val="11"/>
        <color theme="1"/>
        <rFont val="Calibri"/>
        <family val="2"/>
      </rPr>
      <t>(</t>
    </r>
    <r>
      <rPr>
        <sz val="11"/>
        <color theme="1"/>
        <rFont val="Symbol"/>
        <family val="1"/>
        <charset val="2"/>
      </rPr>
      <t>s</t>
    </r>
    <r>
      <rPr>
        <vertAlign val="subscript"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>)</t>
    </r>
    <r>
      <rPr>
        <vertAlign val="superscript"/>
        <sz val="11"/>
        <color theme="1"/>
        <rFont val="Calibri"/>
        <family val="2"/>
      </rPr>
      <t>2</t>
    </r>
    <rPh sb="0" eb="2">
      <t>ブンサン</t>
    </rPh>
    <phoneticPr fontId="11"/>
  </si>
  <si>
    <r>
      <rPr>
        <sz val="11"/>
        <color theme="1"/>
        <rFont val="ＭＳ Ｐゴシック"/>
        <family val="3"/>
        <charset val="128"/>
      </rPr>
      <t>資産</t>
    </r>
    <r>
      <rPr>
        <sz val="11"/>
        <color theme="1"/>
        <rFont val="Calibri"/>
        <family val="2"/>
      </rPr>
      <t>1</t>
    </r>
    <rPh sb="0" eb="2">
      <t>シサン</t>
    </rPh>
    <phoneticPr fontId="11"/>
  </si>
  <si>
    <r>
      <rPr>
        <sz val="11"/>
        <color theme="1"/>
        <rFont val="ＭＳ Ｐゴシック"/>
        <family val="3"/>
        <charset val="128"/>
      </rPr>
      <t>資産</t>
    </r>
    <r>
      <rPr>
        <sz val="11"/>
        <color theme="1"/>
        <rFont val="Calibri"/>
        <family val="2"/>
      </rPr>
      <t>2</t>
    </r>
    <r>
      <rPr>
        <sz val="11"/>
        <rFont val="ＭＳ Ｐゴシック"/>
        <family val="3"/>
        <charset val="128"/>
      </rPr>
      <t/>
    </r>
    <rPh sb="0" eb="2">
      <t>シサン</t>
    </rPh>
    <phoneticPr fontId="11"/>
  </si>
  <si>
    <r>
      <rPr>
        <sz val="11"/>
        <color theme="1"/>
        <rFont val="ＭＳ Ｐゴシック"/>
        <family val="3"/>
        <charset val="128"/>
      </rPr>
      <t>資産</t>
    </r>
    <r>
      <rPr>
        <sz val="11"/>
        <color theme="1"/>
        <rFont val="Calibri"/>
        <family val="2"/>
      </rPr>
      <t>3</t>
    </r>
    <r>
      <rPr>
        <sz val="11"/>
        <rFont val="ＭＳ Ｐゴシック"/>
        <family val="3"/>
        <charset val="128"/>
      </rPr>
      <t/>
    </r>
    <rPh sb="0" eb="2">
      <t>シサン</t>
    </rPh>
    <phoneticPr fontId="11"/>
  </si>
  <si>
    <r>
      <rPr>
        <sz val="11"/>
        <color theme="1"/>
        <rFont val="ＭＳ Ｐゴシック"/>
        <family val="3"/>
        <charset val="128"/>
      </rPr>
      <t>資産</t>
    </r>
    <r>
      <rPr>
        <sz val="11"/>
        <color theme="1"/>
        <rFont val="Calibri"/>
        <family val="2"/>
      </rPr>
      <t>4</t>
    </r>
    <r>
      <rPr>
        <sz val="11"/>
        <rFont val="ＭＳ Ｐゴシック"/>
        <family val="3"/>
        <charset val="128"/>
      </rPr>
      <t/>
    </r>
    <rPh sb="0" eb="2">
      <t>シサン</t>
    </rPh>
    <phoneticPr fontId="11"/>
  </si>
  <si>
    <r>
      <rPr>
        <sz val="11"/>
        <color theme="1"/>
        <rFont val="ＭＳ Ｐゴシック"/>
        <family val="3"/>
        <charset val="128"/>
      </rPr>
      <t>資産</t>
    </r>
    <r>
      <rPr>
        <sz val="11"/>
        <color theme="1"/>
        <rFont val="Calibri"/>
        <family val="2"/>
      </rPr>
      <t>5</t>
    </r>
    <r>
      <rPr>
        <sz val="11"/>
        <rFont val="ＭＳ Ｐゴシック"/>
        <family val="3"/>
        <charset val="128"/>
      </rPr>
      <t/>
    </r>
    <rPh sb="0" eb="2">
      <t>シサン</t>
    </rPh>
    <phoneticPr fontId="11"/>
  </si>
  <si>
    <t>期待値ベクター</t>
    <rPh sb="0" eb="3">
      <t>キタイチ</t>
    </rPh>
    <phoneticPr fontId="11"/>
  </si>
  <si>
    <t>分散共分散行列</t>
    <rPh sb="0" eb="2">
      <t>ブンサン</t>
    </rPh>
    <rPh sb="2" eb="5">
      <t>キョウブンサン</t>
    </rPh>
    <rPh sb="5" eb="7">
      <t>ギョウレツ</t>
    </rPh>
    <phoneticPr fontId="11"/>
  </si>
  <si>
    <r>
      <t>[</t>
    </r>
    <r>
      <rPr>
        <sz val="11"/>
        <color theme="1"/>
        <rFont val="ＭＳ Ｐゴシック"/>
        <family val="3"/>
        <charset val="128"/>
      </rPr>
      <t>パネル</t>
    </r>
    <r>
      <rPr>
        <sz val="11"/>
        <color theme="1"/>
        <rFont val="Calibri"/>
        <family val="2"/>
      </rPr>
      <t xml:space="preserve"> B] </t>
    </r>
    <r>
      <rPr>
        <sz val="11"/>
        <color theme="1"/>
        <rFont val="ＭＳ Ｐゴシック"/>
        <family val="3"/>
        <charset val="128"/>
      </rPr>
      <t>多次元正規分布に従う乱数によるレート・リターンの生成</t>
    </r>
    <rPh sb="8" eb="11">
      <t>タジゲン</t>
    </rPh>
    <rPh sb="11" eb="13">
      <t>セイキ</t>
    </rPh>
    <rPh sb="13" eb="15">
      <t>ブンプ</t>
    </rPh>
    <rPh sb="16" eb="17">
      <t>シタガ</t>
    </rPh>
    <rPh sb="18" eb="20">
      <t>ランスウ</t>
    </rPh>
    <rPh sb="32" eb="34">
      <t>セイセイ</t>
    </rPh>
    <phoneticPr fontId="11"/>
  </si>
  <si>
    <r>
      <t>[</t>
    </r>
    <r>
      <rPr>
        <sz val="11"/>
        <color theme="1"/>
        <rFont val="ＭＳ Ｐゴシック"/>
        <family val="3"/>
        <charset val="128"/>
      </rPr>
      <t>パネル</t>
    </r>
    <r>
      <rPr>
        <sz val="11"/>
        <color theme="1"/>
        <rFont val="Calibri"/>
        <family val="2"/>
      </rPr>
      <t xml:space="preserve"> C] </t>
    </r>
    <r>
      <rPr>
        <sz val="11"/>
        <color theme="1"/>
        <rFont val="ＭＳ Ｐゴシック"/>
        <family val="3"/>
        <charset val="128"/>
      </rPr>
      <t>各資産・ポートの運用残高</t>
    </r>
    <rPh sb="8" eb="11">
      <t>カクシサン</t>
    </rPh>
    <rPh sb="16" eb="18">
      <t>ウンヨウ</t>
    </rPh>
    <rPh sb="18" eb="20">
      <t>ザンダカ</t>
    </rPh>
    <phoneticPr fontId="11"/>
  </si>
  <si>
    <t>期間</t>
    <rPh sb="0" eb="2">
      <t>キカン</t>
    </rPh>
    <phoneticPr fontId="11"/>
  </si>
  <si>
    <t>均等ポート</t>
    <rPh sb="0" eb="2">
      <t>キントウ</t>
    </rPh>
    <phoneticPr fontId="11"/>
  </si>
  <si>
    <r>
      <rPr>
        <sz val="11"/>
        <color theme="1"/>
        <rFont val="ＭＳ Ｐゴシック"/>
        <family val="3"/>
        <charset val="128"/>
      </rPr>
      <t>時点</t>
    </r>
    <rPh sb="0" eb="2">
      <t>ジテン</t>
    </rPh>
    <phoneticPr fontId="11"/>
  </si>
  <si>
    <t>平均</t>
    <rPh sb="0" eb="2">
      <t>ヘイキン</t>
    </rPh>
    <phoneticPr fontId="11"/>
  </si>
  <si>
    <t>標準偏差</t>
    <rPh sb="0" eb="4">
      <t>ヒョウジュンヘンサ</t>
    </rPh>
    <phoneticPr fontId="11"/>
  </si>
  <si>
    <r>
      <rPr>
        <sz val="11"/>
        <color theme="1"/>
        <rFont val="ＭＳ Ｐゴシック"/>
        <family val="3"/>
        <charset val="128"/>
      </rPr>
      <t>セル</t>
    </r>
    <r>
      <rPr>
        <sz val="11"/>
        <color theme="1"/>
        <rFont val="Calibri"/>
        <family val="2"/>
      </rPr>
      <t>O18</t>
    </r>
    <r>
      <rPr>
        <sz val="11"/>
        <color theme="1"/>
        <rFont val="ＭＳ Ｐゴシック"/>
        <family val="3"/>
        <charset val="128"/>
      </rPr>
      <t>の入力</t>
    </r>
    <rPh sb="6" eb="8">
      <t>ニュウリョク</t>
    </rPh>
    <phoneticPr fontId="5"/>
  </si>
  <si>
    <t>î</t>
    <phoneticPr fontId="5"/>
  </si>
  <si>
    <t>ê</t>
    <phoneticPr fontId="5"/>
  </si>
  <si>
    <r>
      <rPr>
        <sz val="11"/>
        <color theme="1"/>
        <rFont val="ＭＳ Ｐゴシック"/>
        <family val="3"/>
        <charset val="128"/>
      </rPr>
      <t>セル</t>
    </r>
    <r>
      <rPr>
        <sz val="11"/>
        <color theme="1"/>
        <rFont val="Calibri"/>
        <family val="2"/>
      </rPr>
      <t>G18</t>
    </r>
    <r>
      <rPr>
        <sz val="11"/>
        <color theme="1"/>
        <rFont val="ＭＳ Ｐゴシック"/>
        <family val="3"/>
        <charset val="128"/>
      </rPr>
      <t>の入力</t>
    </r>
    <rPh sb="6" eb="8">
      <t>ニュウリョク</t>
    </rPh>
    <phoneticPr fontId="5"/>
  </si>
  <si>
    <t>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</si>
</sst>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_ "/>
    <numFmt numFmtId="165" formatCode="0.0000"/>
    <numFmt numFmtId="166" formatCode="0.000"/>
    <numFmt numFmtId="167" formatCode="#,##0.0000;[Red]\-#,##0.0000"/>
    <numFmt numFmtId="168" formatCode="#,##0.0000_ "/>
    <numFmt numFmtId="169" formatCode="0.000000_ "/>
    <numFmt numFmtId="170" formatCode="#,##0.0_ "/>
    <numFmt numFmtId="171" formatCode="#,##0.0000_ ;[Red]\-#,##0.0000\ "/>
  </numFmts>
  <fonts count="1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Calibri"/>
      <family val="2"/>
    </font>
    <font>
      <sz val="6"/>
      <name val="ＭＳ Ｐゴシック"/>
      <family val="3"/>
      <charset val="128"/>
    </font>
    <font>
      <vertAlign val="subscript"/>
      <sz val="11"/>
      <name val="Calibri"/>
      <family val="2"/>
    </font>
    <font>
      <sz val="11"/>
      <name val="Symbol"/>
      <family val="1"/>
      <charset val="2"/>
    </font>
    <font>
      <sz val="11"/>
      <name val="Wingdings"/>
      <charset val="2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vertAlign val="subscript"/>
      <sz val="11"/>
      <color theme="1"/>
      <name val="Calibri"/>
      <family val="2"/>
    </font>
    <font>
      <sz val="11"/>
      <color theme="1"/>
      <name val="Symbol"/>
      <family val="1"/>
      <charset val="2"/>
    </font>
    <font>
      <vertAlign val="superscript"/>
      <sz val="11"/>
      <color theme="1"/>
      <name val="Calibri"/>
      <family val="2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9" fontId="4" fillId="2" borderId="0" xfId="3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/>
    </xf>
    <xf numFmtId="167" fontId="4" fillId="0" borderId="0" xfId="1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0" fontId="9" fillId="0" borderId="0" xfId="7" applyFont="1" applyAlignment="1">
      <alignment horizontal="center" vertical="center"/>
    </xf>
    <xf numFmtId="0" fontId="9" fillId="0" borderId="1" xfId="7" applyFont="1" applyBorder="1" applyAlignment="1">
      <alignment horizontal="center" vertical="center"/>
    </xf>
    <xf numFmtId="0" fontId="10" fillId="0" borderId="1" xfId="7" applyFont="1" applyBorder="1" applyAlignment="1">
      <alignment horizontal="center" vertical="center"/>
    </xf>
    <xf numFmtId="0" fontId="9" fillId="0" borderId="0" xfId="7" applyFont="1" applyAlignment="1">
      <alignment horizontal="center" vertical="center" wrapText="1"/>
    </xf>
    <xf numFmtId="164" fontId="9" fillId="0" borderId="0" xfId="7" applyNumberFormat="1" applyFont="1" applyAlignment="1">
      <alignment horizontal="center" vertical="center"/>
    </xf>
    <xf numFmtId="169" fontId="9" fillId="0" borderId="0" xfId="7" applyNumberFormat="1" applyFont="1" applyAlignment="1">
      <alignment horizontal="center" vertical="center"/>
    </xf>
    <xf numFmtId="0" fontId="10" fillId="0" borderId="0" xfId="7" applyFont="1" applyAlignment="1">
      <alignment horizontal="center" vertical="center"/>
    </xf>
    <xf numFmtId="170" fontId="9" fillId="0" borderId="0" xfId="8" applyNumberFormat="1" applyFont="1" applyAlignment="1">
      <alignment horizontal="center" vertical="center"/>
    </xf>
    <xf numFmtId="168" fontId="9" fillId="2" borderId="0" xfId="7" applyNumberFormat="1" applyFont="1" applyFill="1">
      <alignment vertical="center"/>
    </xf>
    <xf numFmtId="168" fontId="9" fillId="2" borderId="1" xfId="7" applyNumberFormat="1" applyFont="1" applyFill="1" applyBorder="1">
      <alignment vertical="center"/>
    </xf>
    <xf numFmtId="168" fontId="9" fillId="0" borderId="0" xfId="7" applyNumberFormat="1" applyFont="1" applyAlignment="1">
      <alignment horizontal="center" vertical="center"/>
    </xf>
    <xf numFmtId="170" fontId="9" fillId="0" borderId="0" xfId="7" applyNumberFormat="1" applyFont="1" applyAlignment="1">
      <alignment horizontal="center" vertical="center"/>
    </xf>
    <xf numFmtId="168" fontId="9" fillId="0" borderId="1" xfId="7" applyNumberFormat="1" applyFont="1" applyBorder="1" applyAlignment="1">
      <alignment horizontal="center" vertical="center"/>
    </xf>
    <xf numFmtId="170" fontId="9" fillId="0" borderId="1" xfId="7" applyNumberFormat="1" applyFont="1" applyBorder="1" applyAlignment="1">
      <alignment horizontal="center" vertical="center"/>
    </xf>
    <xf numFmtId="171" fontId="9" fillId="0" borderId="0" xfId="7" applyNumberFormat="1" applyFont="1" applyAlignment="1">
      <alignment horizontal="center" vertical="center"/>
    </xf>
    <xf numFmtId="0" fontId="9" fillId="0" borderId="0" xfId="7" applyFont="1" applyAlignment="1">
      <alignment horizontal="left" vertical="center"/>
    </xf>
    <xf numFmtId="0" fontId="17" fillId="0" borderId="0" xfId="7" applyFont="1" applyAlignment="1">
      <alignment horizontal="left" vertical="center"/>
    </xf>
    <xf numFmtId="0" fontId="9" fillId="0" borderId="0" xfId="7" applyFont="1" applyAlignment="1">
      <alignment horizontal="right" vertical="center"/>
    </xf>
    <xf numFmtId="168" fontId="9" fillId="3" borderId="0" xfId="7" applyNumberFormat="1" applyFont="1" applyFill="1" applyAlignment="1">
      <alignment horizontal="center" vertical="center"/>
    </xf>
    <xf numFmtId="168" fontId="9" fillId="3" borderId="1" xfId="7" applyNumberFormat="1" applyFont="1" applyFill="1" applyBorder="1" applyAlignment="1">
      <alignment horizontal="center" vertical="center"/>
    </xf>
    <xf numFmtId="171" fontId="9" fillId="3" borderId="0" xfId="7" applyNumberFormat="1" applyFont="1" applyFill="1" applyAlignment="1">
      <alignment horizontal="center" vertical="center"/>
    </xf>
    <xf numFmtId="170" fontId="9" fillId="3" borderId="0" xfId="8" applyNumberFormat="1" applyFont="1" applyFill="1" applyAlignment="1">
      <alignment horizontal="center" vertical="center"/>
    </xf>
    <xf numFmtId="170" fontId="9" fillId="3" borderId="0" xfId="7" applyNumberFormat="1" applyFont="1" applyFill="1" applyAlignment="1">
      <alignment horizontal="center" vertical="center"/>
    </xf>
    <xf numFmtId="170" fontId="9" fillId="3" borderId="1" xfId="7" applyNumberFormat="1" applyFont="1" applyFill="1" applyBorder="1" applyAlignment="1">
      <alignment horizontal="center" vertical="center"/>
    </xf>
    <xf numFmtId="0" fontId="9" fillId="0" borderId="1" xfId="7" applyFont="1" applyBorder="1" applyAlignment="1">
      <alignment horizontal="left" vertical="center"/>
    </xf>
    <xf numFmtId="0" fontId="9" fillId="0" borderId="0" xfId="7" applyFont="1" applyAlignment="1">
      <alignment horizontal="left" vertical="center"/>
    </xf>
  </cellXfs>
  <cellStyles count="9">
    <cellStyle name="Comma [0]" xfId="1" builtinId="6"/>
    <cellStyle name="Normal" xfId="0" builtinId="0"/>
    <cellStyle name="Percent" xfId="3" builtinId="5"/>
    <cellStyle name="パーセント 2" xfId="5" xr:uid="{00000000-0005-0000-0000-000001000000}"/>
    <cellStyle name="桁区切り 2" xfId="6" xr:uid="{00000000-0005-0000-0000-000003000000}"/>
    <cellStyle name="桁区切り 3" xfId="8" xr:uid="{00000000-0005-0000-0000-000004000000}"/>
    <cellStyle name="標準 2" xfId="2" xr:uid="{00000000-0005-0000-0000-000006000000}"/>
    <cellStyle name="標準 3" xfId="4" xr:uid="{00000000-0005-0000-0000-000007000000}"/>
    <cellStyle name="標準 4" xfId="7" xr:uid="{00000000-0005-0000-0000-000008000000}"/>
  </cellStyles>
  <dxfs count="0"/>
  <tableStyles count="0" defaultTableStyle="TableStyleMedium2" defaultPivotStyle="PivotStyleLight16"/>
  <colors>
    <mruColors>
      <color rgb="FFD9D9D9"/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'演習15(解答例)'!$J$16</c:f>
              <c:strCache>
                <c:ptCount val="1"/>
                <c:pt idx="0">
                  <c:v>資産1</c:v>
                </c:pt>
              </c:strCache>
            </c:strRef>
          </c:tx>
          <c:spPr>
            <a:ln w="95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'演習15(解答例)'!$I$17:$I$317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'演習15(解答例)'!$J$17:$J$317</c:f>
              <c:numCache>
                <c:formatCode>#,##0.0_ </c:formatCode>
                <c:ptCount val="30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6F-4CAB-8220-5F5217ACB8CF}"/>
            </c:ext>
          </c:extLst>
        </c:ser>
        <c:ser>
          <c:idx val="1"/>
          <c:order val="1"/>
          <c:tx>
            <c:strRef>
              <c:f>'演習15(解答例)'!$K$16</c:f>
              <c:strCache>
                <c:ptCount val="1"/>
                <c:pt idx="0">
                  <c:v>資産2</c:v>
                </c:pt>
              </c:strCache>
            </c:strRef>
          </c:tx>
          <c:spPr>
            <a:ln w="952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'演習15(解答例)'!$I$17:$I$317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'演習15(解答例)'!$K$17:$K$317</c:f>
              <c:numCache>
                <c:formatCode>#,##0.0_ </c:formatCode>
                <c:ptCount val="30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6F-4CAB-8220-5F5217ACB8CF}"/>
            </c:ext>
          </c:extLst>
        </c:ser>
        <c:ser>
          <c:idx val="2"/>
          <c:order val="2"/>
          <c:tx>
            <c:strRef>
              <c:f>'演習15(解答例)'!$L$16</c:f>
              <c:strCache>
                <c:ptCount val="1"/>
                <c:pt idx="0">
                  <c:v>資産3</c:v>
                </c:pt>
              </c:strCache>
            </c:strRef>
          </c:tx>
          <c:spPr>
            <a:ln w="9525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none"/>
          </c:marker>
          <c:cat>
            <c:numRef>
              <c:f>'演習15(解答例)'!$I$17:$I$317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'演習15(解答例)'!$L$17:$L$317</c:f>
              <c:numCache>
                <c:formatCode>#,##0.0_ </c:formatCode>
                <c:ptCount val="30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6F-4CAB-8220-5F5217ACB8CF}"/>
            </c:ext>
          </c:extLst>
        </c:ser>
        <c:ser>
          <c:idx val="3"/>
          <c:order val="3"/>
          <c:tx>
            <c:strRef>
              <c:f>'演習15(解答例)'!$M$16</c:f>
              <c:strCache>
                <c:ptCount val="1"/>
                <c:pt idx="0">
                  <c:v>資産4</c:v>
                </c:pt>
              </c:strCache>
            </c:strRef>
          </c:tx>
          <c:spPr>
            <a:ln w="9525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'演習15(解答例)'!$I$17:$I$317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'演習15(解答例)'!$M$17:$M$317</c:f>
              <c:numCache>
                <c:formatCode>#,##0.0_ </c:formatCode>
                <c:ptCount val="30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6F-4CAB-8220-5F5217ACB8CF}"/>
            </c:ext>
          </c:extLst>
        </c:ser>
        <c:ser>
          <c:idx val="4"/>
          <c:order val="4"/>
          <c:tx>
            <c:strRef>
              <c:f>'演習15(解答例)'!$N$16</c:f>
              <c:strCache>
                <c:ptCount val="1"/>
                <c:pt idx="0">
                  <c:v>資産5</c:v>
                </c:pt>
              </c:strCache>
            </c:strRef>
          </c:tx>
          <c:spPr>
            <a:ln w="9525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numRef>
              <c:f>'演習15(解答例)'!$I$17:$I$317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'演習15(解答例)'!$N$17:$N$317</c:f>
              <c:numCache>
                <c:formatCode>#,##0.0_ </c:formatCode>
                <c:ptCount val="30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6F-4CAB-8220-5F5217ACB8CF}"/>
            </c:ext>
          </c:extLst>
        </c:ser>
        <c:ser>
          <c:idx val="5"/>
          <c:order val="5"/>
          <c:tx>
            <c:strRef>
              <c:f>'演習15(解答例)'!$O$16</c:f>
              <c:strCache>
                <c:ptCount val="1"/>
                <c:pt idx="0">
                  <c:v>均等ポート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'演習15(解答例)'!$I$17:$I$317</c:f>
              <c:numCache>
                <c:formatCode>General</c:formatCode>
                <c:ptCount val="3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</c:numCache>
            </c:numRef>
          </c:cat>
          <c:val>
            <c:numRef>
              <c:f>'演習15(解答例)'!$O$17:$O$317</c:f>
              <c:numCache>
                <c:formatCode>#,##0.0_ </c:formatCode>
                <c:ptCount val="30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6F-4CAB-8220-5F5217ACB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212232"/>
        <c:axId val="855201648"/>
      </c:lineChart>
      <c:catAx>
        <c:axId val="8552122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01648"/>
        <c:crosses val="autoZero"/>
        <c:auto val="1"/>
        <c:lblAlgn val="ctr"/>
        <c:lblOffset val="100"/>
        <c:tickMarkSkip val="1"/>
        <c:noMultiLvlLbl val="0"/>
      </c:catAx>
      <c:valAx>
        <c:axId val="85520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212232"/>
        <c:crossesAt val="1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 codeName="Graph5"/>
  <sheetViews>
    <sheetView zoomScale="159" workbookViewId="0" zoomToFit="1" xr3:uid="{F9CF3CF3-643B-5BE6-8B46-32C596A47465}"/>
  </sheetViews>
  <pageMargins left="0.7" right="0.7" top="0.75" bottom="0.75" header="0.3" footer="0.3"/>
  <pageSetup paperSize="9" orientation="landscape" horizontalDpi="0" verticalDpi="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457214</xdr:colOff>
      <xdr:row>1</xdr:row>
      <xdr:rowOff>47632</xdr:rowOff>
    </xdr:from>
    <xdr:to>
      <xdr:col>11</xdr:col>
      <xdr:colOff>235747</xdr:colOff>
      <xdr:row>14</xdr:row>
      <xdr:rowOff>18566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4939" y="238132"/>
          <a:ext cx="3893333" cy="39333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742950</xdr:colOff>
      <xdr:row>2</xdr:row>
      <xdr:rowOff>95250</xdr:rowOff>
    </xdr:from>
    <xdr:ext cx="3877343" cy="82586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419725" y="476250"/>
          <a:ext cx="3877343" cy="8258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セル</a:t>
          </a:r>
          <a:r>
            <a:rPr kumimoji="1" lang="en-US" altLang="ja-JP" sz="1100"/>
            <a:t>O18</a:t>
          </a:r>
          <a:r>
            <a:rPr kumimoji="1" lang="ja-JP" altLang="en-US" sz="1100"/>
            <a:t>に入力する時点</a:t>
          </a:r>
          <a:r>
            <a:rPr kumimoji="1" lang="en-US" altLang="ja-JP" sz="1100"/>
            <a:t>1</a:t>
          </a:r>
          <a:r>
            <a:rPr kumimoji="1" lang="ja-JP" altLang="en-US" sz="1100"/>
            <a:t>での均等ポートの運用残高は，</a:t>
          </a:r>
          <a:endParaRPr kumimoji="1" lang="en-US" altLang="ja-JP" sz="1100"/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セル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O17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に入力する時点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における運用残高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"1"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に，</a:t>
          </a:r>
          <a:endParaRPr kumimoji="1" lang="en-US" altLang="ja-JP" sz="1100"/>
        </a:p>
        <a:p>
          <a:r>
            <a:rPr kumimoji="1" lang="ja-JP" altLang="en-US" sz="1100"/>
            <a:t>「「セル</a:t>
          </a:r>
          <a:r>
            <a:rPr kumimoji="1" lang="en-US" altLang="ja-JP" sz="1100"/>
            <a:t>G18</a:t>
          </a:r>
          <a:r>
            <a:rPr kumimoji="1" lang="ja-JP" altLang="en-US" sz="1100"/>
            <a:t>に入力する期間</a:t>
          </a:r>
          <a:r>
            <a:rPr kumimoji="1" lang="en-US" altLang="ja-JP" sz="1100"/>
            <a:t>1</a:t>
          </a:r>
          <a:r>
            <a:rPr kumimoji="1" lang="ja-JP" altLang="en-US" sz="1100"/>
            <a:t>における均等ポートの</a:t>
          </a:r>
          <a:endParaRPr kumimoji="1" lang="en-US" altLang="ja-JP" sz="1100"/>
        </a:p>
        <a:p>
          <a:r>
            <a:rPr kumimoji="1" lang="ja-JP" altLang="en-US" sz="1100"/>
            <a:t>レート・リターン」に</a:t>
          </a:r>
          <a:r>
            <a:rPr kumimoji="1" lang="en-US" altLang="ja-JP" sz="1100"/>
            <a:t>1</a:t>
          </a:r>
          <a:r>
            <a:rPr kumimoji="1" lang="ja-JP" altLang="en-US" sz="1100"/>
            <a:t>を加えたグロス・リターン」を掛けて求める．</a:t>
          </a:r>
        </a:p>
      </xdr:txBody>
    </xdr:sp>
    <xdr:clientData/>
  </xdr:oneCellAnchor>
  <xdr:twoCellAnchor>
    <xdr:from>
      <xdr:col>7</xdr:col>
      <xdr:colOff>9524</xdr:colOff>
      <xdr:row>2</xdr:row>
      <xdr:rowOff>19050</xdr:rowOff>
    </xdr:from>
    <xdr:to>
      <xdr:col>15</xdr:col>
      <xdr:colOff>28575</xdr:colOff>
      <xdr:row>9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448299" y="400050"/>
          <a:ext cx="4048126" cy="1371600"/>
        </a:xfrm>
        <a:prstGeom prst="rect">
          <a:avLst/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3349" cy="6074434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0.03833</cdr:x>
      <cdr:y>0.02277</cdr:y>
    </cdr:from>
    <cdr:to>
      <cdr:x>0.13664</cdr:x>
      <cdr:y>0.07093</cdr:y>
    </cdr:to>
    <cdr:sp macro="" textlink="">
      <cdr:nvSpPr>
        <cdr:cNvPr id="2" name="テキスト ボックス 1"/>
        <cdr:cNvSpPr txBox="1"/>
      </cdr:nvSpPr>
      <cdr:spPr>
        <a:xfrm xmlns:a="http://schemas.openxmlformats.org/drawingml/2006/main">
          <a:off x="356523" y="138352"/>
          <a:ext cx="914400" cy="2926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ja-JP" altLang="en-US" sz="1100"/>
            <a:t>運用残高</a:t>
          </a:r>
        </a:p>
      </cdr:txBody>
    </cdr:sp>
  </cdr:relSizeAnchor>
  <cdr:relSizeAnchor xmlns:cdr="http://schemas.openxmlformats.org/drawingml/2006/chartDrawing">
    <cdr:from>
      <cdr:x>0.03292</cdr:x>
      <cdr:y>0.89715</cdr:y>
    </cdr:from>
    <cdr:to>
      <cdr:x>0.13123</cdr:x>
      <cdr:y>0.94531</cdr:y>
    </cdr:to>
    <cdr:sp macro="" textlink="">
      <cdr:nvSpPr>
        <cdr:cNvPr id="3" name="テキスト ボックス 1"/>
        <cdr:cNvSpPr txBox="1"/>
      </cdr:nvSpPr>
      <cdr:spPr>
        <a:xfrm xmlns:a="http://schemas.openxmlformats.org/drawingml/2006/main">
          <a:off x="306219" y="5451848"/>
          <a:ext cx="914400" cy="2926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ja-JP" altLang="en-US" sz="1100"/>
            <a:t>時点 </a:t>
          </a:r>
          <a:r>
            <a:rPr lang="en-US" altLang="ja-JP" sz="1100"/>
            <a:t>(</a:t>
          </a:r>
          <a:r>
            <a:rPr lang="ja-JP" altLang="en-US" sz="1100"/>
            <a:t>月次</a:t>
          </a:r>
          <a:r>
            <a:rPr lang="en-US" altLang="ja-JP" sz="1100"/>
            <a:t>)</a:t>
          </a:r>
          <a:endParaRPr lang="ja-JP" altLang="en-US" sz="1100"/>
        </a:p>
      </cdr:txBody>
    </cdr:sp>
  </cdr:relSizeAnchor>
</c:userShap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3"/>
  <sheetViews>
    <sheetView showGridLines="0" tabSelected="1" zoomScaleNormal="100" zoomScaleSheetLayoutView="100" workbookViewId="0" xr3:uid="{AEA406A1-0E4B-5B11-9CD5-51D6E497D94C}"/>
  </sheetViews>
  <sheetFormatPr defaultColWidth="9" defaultRowHeight="15"/>
  <cols>
    <col min="1" max="1" width="16.75" style="1" bestFit="1" customWidth="1"/>
    <col min="2" max="3" width="9.75" style="1" bestFit="1" customWidth="1"/>
    <col min="4" max="4" width="15.25" style="1" bestFit="1" customWidth="1"/>
    <col min="5" max="5" width="9.625" style="1" bestFit="1" customWidth="1"/>
    <col min="6" max="16384" width="9" style="1"/>
  </cols>
  <sheetData>
    <row r="1" spans="1:4" s="4" customFormat="1">
      <c r="A1" s="3" t="s">
        <v>0</v>
      </c>
      <c r="B1" s="3"/>
    </row>
    <row r="2" spans="1:4" ht="33">
      <c r="A2" s="2" t="s">
        <v>1</v>
      </c>
      <c r="B2" s="6">
        <v>100</v>
      </c>
    </row>
    <row r="3" spans="1:4" ht="30">
      <c r="A3" s="2" t="s">
        <v>2</v>
      </c>
      <c r="B3" s="6">
        <v>100</v>
      </c>
    </row>
    <row r="4" spans="1:4" ht="33">
      <c r="A4" s="2" t="s">
        <v>3</v>
      </c>
      <c r="B4" s="6">
        <v>0.01</v>
      </c>
    </row>
    <row r="5" spans="1:4" ht="45">
      <c r="A5" s="2" t="s">
        <v>4</v>
      </c>
      <c r="B5" s="9">
        <v>0.25</v>
      </c>
    </row>
    <row r="6" spans="1:4" ht="33">
      <c r="A6" s="8" t="s">
        <v>5</v>
      </c>
      <c r="B6" s="10">
        <v>6.0967366044469031</v>
      </c>
    </row>
    <row r="7" spans="1:4">
      <c r="A7" s="5"/>
    </row>
    <row r="8" spans="1:4" s="4" customFormat="1">
      <c r="A8" s="3" t="s">
        <v>6</v>
      </c>
      <c r="B8" s="3"/>
      <c r="C8" s="3"/>
      <c r="D8" s="3"/>
    </row>
    <row r="9" spans="1:4" ht="33">
      <c r="A9" s="2" t="s">
        <v>7</v>
      </c>
      <c r="B9" s="2" t="s">
        <v>8</v>
      </c>
      <c r="C9" s="2" t="s">
        <v>9</v>
      </c>
      <c r="D9" s="2" t="s">
        <v>10</v>
      </c>
    </row>
    <row r="10" spans="1:4">
      <c r="A10" s="7">
        <v>0.1</v>
      </c>
      <c r="B10" s="13">
        <f t="shared" ref="B10" si="0">( LN($B$2/$B$3) + ($B$4+0.5*A10^2)*$B$5 )/A10/SQRT($B$5)</f>
        <v>7.4999999999999997E-2</v>
      </c>
      <c r="C10" s="14">
        <f t="shared" ref="C10" si="1">B10-A10*SQRT($B$5)</f>
        <v>2.4999999999999994E-2</v>
      </c>
      <c r="D10" s="15">
        <f t="shared" ref="D10" si="2">$B$2*_xlfn.NORM.S.DIST(B10,TRUE) - $B$3*EXP(-$B$4*$B$5)*_xlfn.NORM.S.DIST(C10, TRUE)</f>
        <v>2.1193464816249374</v>
      </c>
    </row>
    <row r="12" spans="1:4">
      <c r="A12" s="3" t="s">
        <v>11</v>
      </c>
      <c r="B12" s="11"/>
      <c r="C12" s="11"/>
      <c r="D12" s="11"/>
    </row>
    <row r="13" spans="1:4">
      <c r="A13" s="16">
        <f>B6-D10</f>
        <v>3.9773901228219657</v>
      </c>
      <c r="B13" s="12" t="s">
        <v>12</v>
      </c>
    </row>
  </sheetData>
  <phoneticPr fontId="5"/>
  <printOptions headings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3"/>
  <sheetViews>
    <sheetView showGridLines="0" zoomScaleNormal="100" zoomScaleSheetLayoutView="100" workbookViewId="0" xr3:uid="{958C4451-9541-5A59-BF78-D2F731DF1C81}"/>
  </sheetViews>
  <sheetFormatPr defaultColWidth="9" defaultRowHeight="15"/>
  <cols>
    <col min="1" max="1" width="16.75" style="1" bestFit="1" customWidth="1"/>
    <col min="2" max="3" width="9.75" style="1" bestFit="1" customWidth="1"/>
    <col min="4" max="4" width="15.25" style="1" bestFit="1" customWidth="1"/>
    <col min="5" max="5" width="9.625" style="1" bestFit="1" customWidth="1"/>
    <col min="6" max="16384" width="9" style="1"/>
  </cols>
  <sheetData>
    <row r="1" spans="1:4" s="4" customFormat="1">
      <c r="A1" s="3" t="s">
        <v>0</v>
      </c>
      <c r="B1" s="3"/>
    </row>
    <row r="2" spans="1:4" ht="33">
      <c r="A2" s="2" t="s">
        <v>1</v>
      </c>
      <c r="B2" s="6">
        <v>100</v>
      </c>
    </row>
    <row r="3" spans="1:4" ht="30">
      <c r="A3" s="2" t="s">
        <v>2</v>
      </c>
      <c r="B3" s="6">
        <v>100</v>
      </c>
    </row>
    <row r="4" spans="1:4" ht="33">
      <c r="A4" s="2" t="s">
        <v>3</v>
      </c>
      <c r="B4" s="6">
        <v>0.01</v>
      </c>
    </row>
    <row r="5" spans="1:4" ht="45">
      <c r="A5" s="2" t="s">
        <v>4</v>
      </c>
      <c r="B5" s="9">
        <v>0.25</v>
      </c>
    </row>
    <row r="6" spans="1:4" ht="33">
      <c r="A6" s="8" t="s">
        <v>5</v>
      </c>
      <c r="B6" s="10">
        <v>6.0967366044469031</v>
      </c>
    </row>
    <row r="7" spans="1:4">
      <c r="A7" s="5"/>
    </row>
    <row r="8" spans="1:4" s="4" customFormat="1">
      <c r="A8" s="3" t="s">
        <v>6</v>
      </c>
      <c r="B8" s="3"/>
      <c r="C8" s="3"/>
      <c r="D8" s="3"/>
    </row>
    <row r="9" spans="1:4" ht="33">
      <c r="A9" s="2" t="s">
        <v>7</v>
      </c>
      <c r="B9" s="2" t="s">
        <v>8</v>
      </c>
      <c r="C9" s="2" t="s">
        <v>9</v>
      </c>
      <c r="D9" s="2" t="s">
        <v>10</v>
      </c>
    </row>
    <row r="10" spans="1:4">
      <c r="A10" s="7">
        <v>0.30000006578043714</v>
      </c>
      <c r="B10" s="13">
        <f t="shared" ref="B10" si="0">( LN($B$2/$B$3) + ($B$4+0.5*A10^2)*$B$5 )/A10/SQRT($B$5)</f>
        <v>9.1666679457308026E-2</v>
      </c>
      <c r="C10" s="14">
        <f t="shared" ref="C10" si="1">B10-A10*SQRT($B$5)</f>
        <v>-5.8333353432910545E-2</v>
      </c>
      <c r="D10" s="15">
        <f t="shared" ref="D10" si="2">$B$2*_xlfn.NORM.S.DIST(B10,TRUE) - $B$3*EXP(-$B$4*$B$5)*_xlfn.NORM.S.DIST(C10, TRUE)</f>
        <v>6.0967379110755715</v>
      </c>
    </row>
    <row r="12" spans="1:4">
      <c r="A12" s="3" t="s">
        <v>11</v>
      </c>
      <c r="B12" s="11"/>
      <c r="C12" s="11"/>
      <c r="D12" s="11"/>
    </row>
    <row r="13" spans="1:4">
      <c r="A13" s="16">
        <f>B6-D10</f>
        <v>-1.3066286683738326E-6</v>
      </c>
      <c r="B13" s="12" t="s">
        <v>12</v>
      </c>
    </row>
  </sheetData>
  <phoneticPr fontId="5"/>
  <printOptions headings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colBreaks count="1" manualBreakCount="1">
    <brk id="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320"/>
  <sheetViews>
    <sheetView showGridLines="0" zoomScale="115" zoomScaleNormal="115" zoomScaleSheetLayoutView="70" workbookViewId="0" xr3:uid="{842E5F09-E766-5B8D-85AF-A39847EA96FD}">
      <selection sqref="A1:F1"/>
    </sheetView>
  </sheetViews>
  <sheetFormatPr defaultRowHeight="15"/>
  <cols>
    <col min="1" max="1" width="15.125" style="17" bestFit="1" customWidth="1"/>
    <col min="2" max="6" width="9.25" style="17" customWidth="1"/>
    <col min="7" max="7" width="10" style="17" bestFit="1" customWidth="1"/>
    <col min="8" max="8" width="3.875" style="17" bestFit="1" customWidth="1"/>
    <col min="9" max="11" width="6.25" style="17" customWidth="1"/>
    <col min="12" max="12" width="7.75" style="17" bestFit="1" customWidth="1"/>
    <col min="13" max="14" width="6.25" style="17" customWidth="1"/>
    <col min="15" max="15" width="11" style="17" customWidth="1"/>
    <col min="16" max="16" width="2.625" style="17" customWidth="1"/>
    <col min="17" max="16384" width="9" style="17"/>
  </cols>
  <sheetData>
    <row r="1" spans="1:16">
      <c r="A1" s="41" t="s">
        <v>13</v>
      </c>
      <c r="B1" s="41"/>
      <c r="C1" s="41"/>
      <c r="D1" s="41"/>
      <c r="E1" s="41"/>
      <c r="F1" s="41"/>
    </row>
    <row r="2" spans="1:16">
      <c r="A2" s="18"/>
      <c r="B2" s="19" t="s">
        <v>14</v>
      </c>
      <c r="C2" s="19" t="s">
        <v>15</v>
      </c>
    </row>
    <row r="3" spans="1:16" ht="18">
      <c r="A3" s="20" t="s">
        <v>16</v>
      </c>
      <c r="B3" s="17">
        <v>0.25</v>
      </c>
      <c r="C3" s="21">
        <f>B3/12</f>
        <v>2.0833333333333332E-2</v>
      </c>
      <c r="D3" s="17" t="str">
        <f ca="1">"← "&amp;_xlfn.FORMULATEXT(C3)</f>
        <v>← =B3/12</v>
      </c>
    </row>
    <row r="4" spans="1:16" ht="18">
      <c r="A4" s="20" t="s">
        <v>17</v>
      </c>
      <c r="B4" s="17">
        <v>0.3</v>
      </c>
      <c r="C4" s="22"/>
    </row>
    <row r="5" spans="1:16" ht="18">
      <c r="A5" s="17" t="s">
        <v>18</v>
      </c>
      <c r="B5" s="17">
        <f>B4^2</f>
        <v>0.09</v>
      </c>
      <c r="C5" s="21">
        <f>B5/12</f>
        <v>7.4999999999999997E-3</v>
      </c>
      <c r="D5" s="17" t="str">
        <f t="shared" ref="D5" ca="1" si="0">"← "&amp;_xlfn.FORMULATEXT(C5)</f>
        <v>← =B5/12</v>
      </c>
    </row>
    <row r="6" spans="1:16" ht="5.0999999999999996" customHeight="1">
      <c r="C6" s="22"/>
    </row>
    <row r="7" spans="1:16">
      <c r="A7" s="18"/>
      <c r="B7" s="18" t="s">
        <v>19</v>
      </c>
      <c r="C7" s="18" t="s">
        <v>20</v>
      </c>
      <c r="D7" s="18" t="s">
        <v>21</v>
      </c>
      <c r="E7" s="18" t="s">
        <v>22</v>
      </c>
      <c r="F7" s="18" t="s">
        <v>23</v>
      </c>
    </row>
    <row r="8" spans="1:16">
      <c r="A8" s="23" t="s">
        <v>24</v>
      </c>
      <c r="B8" s="21">
        <f>$C$3</f>
        <v>2.0833333333333332E-2</v>
      </c>
      <c r="C8" s="21">
        <f t="shared" ref="C8:F8" si="1">$C$3</f>
        <v>2.0833333333333332E-2</v>
      </c>
      <c r="D8" s="21">
        <f t="shared" si="1"/>
        <v>2.0833333333333332E-2</v>
      </c>
      <c r="E8" s="21">
        <f t="shared" si="1"/>
        <v>2.0833333333333332E-2</v>
      </c>
      <c r="F8" s="21">
        <f t="shared" si="1"/>
        <v>2.0833333333333332E-2</v>
      </c>
      <c r="O8" s="34"/>
    </row>
    <row r="9" spans="1:16">
      <c r="A9" s="23" t="s">
        <v>25</v>
      </c>
      <c r="B9" s="21">
        <f>$C$5</f>
        <v>7.4999999999999997E-3</v>
      </c>
      <c r="C9" s="17">
        <v>0</v>
      </c>
      <c r="D9" s="17">
        <v>0</v>
      </c>
      <c r="E9" s="17">
        <v>0</v>
      </c>
      <c r="F9" s="17">
        <v>0</v>
      </c>
      <c r="O9" s="34"/>
      <c r="P9" s="33"/>
    </row>
    <row r="10" spans="1:16">
      <c r="A10" s="23"/>
      <c r="B10" s="17">
        <v>0</v>
      </c>
      <c r="C10" s="21">
        <f>B9</f>
        <v>7.4999999999999997E-3</v>
      </c>
      <c r="D10" s="17">
        <v>0</v>
      </c>
      <c r="E10" s="17">
        <v>0</v>
      </c>
      <c r="F10" s="17">
        <v>0</v>
      </c>
      <c r="P10" s="33"/>
    </row>
    <row r="11" spans="1:16">
      <c r="A11" s="23"/>
      <c r="B11" s="17">
        <v>0</v>
      </c>
      <c r="C11" s="17">
        <v>0</v>
      </c>
      <c r="D11" s="21">
        <f>B9</f>
        <v>7.4999999999999997E-3</v>
      </c>
      <c r="E11" s="17">
        <v>0</v>
      </c>
      <c r="F11" s="17">
        <v>0</v>
      </c>
      <c r="I11" s="32"/>
      <c r="P11" s="33"/>
    </row>
    <row r="12" spans="1:16">
      <c r="A12" s="23"/>
      <c r="B12" s="17">
        <v>0</v>
      </c>
      <c r="C12" s="17">
        <v>0</v>
      </c>
      <c r="D12" s="17">
        <v>0</v>
      </c>
      <c r="E12" s="21">
        <f>B9</f>
        <v>7.4999999999999997E-3</v>
      </c>
      <c r="F12" s="17">
        <v>0</v>
      </c>
      <c r="H12" s="33"/>
      <c r="I12" s="32"/>
      <c r="P12" s="33"/>
    </row>
    <row r="13" spans="1:16">
      <c r="B13" s="17">
        <v>0</v>
      </c>
      <c r="C13" s="17">
        <v>0</v>
      </c>
      <c r="D13" s="17">
        <v>0</v>
      </c>
      <c r="E13" s="17">
        <v>0</v>
      </c>
      <c r="F13" s="21">
        <f>B9</f>
        <v>7.4999999999999997E-3</v>
      </c>
      <c r="H13" s="33"/>
      <c r="P13" s="33"/>
    </row>
    <row r="14" spans="1:16" ht="5.0999999999999996" customHeight="1">
      <c r="F14" s="22"/>
      <c r="H14" s="33"/>
      <c r="P14" s="33"/>
    </row>
    <row r="15" spans="1:16">
      <c r="A15" s="42" t="s">
        <v>26</v>
      </c>
      <c r="B15" s="42"/>
      <c r="C15" s="42"/>
      <c r="D15" s="42"/>
      <c r="E15" s="42"/>
      <c r="F15" s="42"/>
      <c r="G15" s="42"/>
      <c r="H15" s="33"/>
      <c r="I15" s="42" t="s">
        <v>27</v>
      </c>
      <c r="J15" s="42"/>
      <c r="K15" s="42"/>
      <c r="L15" s="42"/>
      <c r="M15" s="42"/>
      <c r="N15" s="42"/>
      <c r="O15" s="42"/>
      <c r="P15" s="33"/>
    </row>
    <row r="16" spans="1:16">
      <c r="A16" s="19" t="s">
        <v>28</v>
      </c>
      <c r="B16" s="18" t="s">
        <v>19</v>
      </c>
      <c r="C16" s="18" t="s">
        <v>20</v>
      </c>
      <c r="D16" s="18" t="s">
        <v>21</v>
      </c>
      <c r="E16" s="18" t="s">
        <v>22</v>
      </c>
      <c r="F16" s="18" t="s">
        <v>23</v>
      </c>
      <c r="G16" s="19" t="s">
        <v>29</v>
      </c>
      <c r="H16" s="33"/>
      <c r="I16" s="18" t="s">
        <v>30</v>
      </c>
      <c r="J16" s="18" t="s">
        <v>19</v>
      </c>
      <c r="K16" s="18" t="s">
        <v>20</v>
      </c>
      <c r="L16" s="18" t="s">
        <v>21</v>
      </c>
      <c r="M16" s="18" t="s">
        <v>22</v>
      </c>
      <c r="N16" s="18" t="s">
        <v>23</v>
      </c>
      <c r="O16" s="19" t="s">
        <v>29</v>
      </c>
      <c r="P16" s="33"/>
    </row>
    <row r="17" spans="1:16">
      <c r="H17" s="33"/>
      <c r="I17" s="17">
        <v>0</v>
      </c>
      <c r="J17" s="24">
        <v>1</v>
      </c>
      <c r="K17" s="24">
        <v>1</v>
      </c>
      <c r="L17" s="24">
        <v>1</v>
      </c>
      <c r="M17" s="24">
        <v>1</v>
      </c>
      <c r="N17" s="24">
        <v>1</v>
      </c>
      <c r="O17" s="24">
        <v>1</v>
      </c>
      <c r="P17" s="33"/>
    </row>
    <row r="18" spans="1:16">
      <c r="A18" s="17">
        <v>1</v>
      </c>
      <c r="B18" s="25"/>
      <c r="C18" s="25"/>
      <c r="D18" s="25"/>
      <c r="E18" s="25"/>
      <c r="F18" s="25"/>
      <c r="G18" s="35"/>
      <c r="H18" s="33"/>
      <c r="I18" s="17">
        <v>1</v>
      </c>
      <c r="J18" s="38"/>
      <c r="K18" s="38"/>
      <c r="L18" s="38"/>
      <c r="M18" s="38"/>
      <c r="N18" s="38"/>
      <c r="O18" s="38"/>
      <c r="P18" s="33"/>
    </row>
    <row r="19" spans="1:16">
      <c r="A19" s="17">
        <v>2</v>
      </c>
      <c r="B19" s="25"/>
      <c r="C19" s="25"/>
      <c r="D19" s="25"/>
      <c r="E19" s="25"/>
      <c r="F19" s="25"/>
      <c r="G19" s="35"/>
      <c r="I19" s="17">
        <v>2</v>
      </c>
      <c r="J19" s="38"/>
      <c r="K19" s="38"/>
      <c r="L19" s="38"/>
      <c r="M19" s="38"/>
      <c r="N19" s="38"/>
      <c r="O19" s="38"/>
    </row>
    <row r="20" spans="1:16">
      <c r="A20" s="17">
        <v>3</v>
      </c>
      <c r="B20" s="25"/>
      <c r="C20" s="25"/>
      <c r="D20" s="25"/>
      <c r="E20" s="25"/>
      <c r="F20" s="25"/>
      <c r="G20" s="35"/>
      <c r="I20" s="17">
        <v>3</v>
      </c>
      <c r="J20" s="38"/>
      <c r="K20" s="38"/>
      <c r="L20" s="38"/>
      <c r="M20" s="38"/>
      <c r="N20" s="38"/>
      <c r="O20" s="38"/>
    </row>
    <row r="21" spans="1:16">
      <c r="A21" s="17">
        <v>4</v>
      </c>
      <c r="B21" s="25"/>
      <c r="C21" s="25"/>
      <c r="D21" s="25"/>
      <c r="E21" s="25"/>
      <c r="F21" s="25"/>
      <c r="G21" s="35"/>
      <c r="I21" s="17">
        <v>4</v>
      </c>
      <c r="J21" s="38"/>
      <c r="K21" s="38"/>
      <c r="L21" s="38"/>
      <c r="M21" s="38"/>
      <c r="N21" s="38"/>
      <c r="O21" s="38"/>
    </row>
    <row r="22" spans="1:16">
      <c r="A22" s="17">
        <v>5</v>
      </c>
      <c r="B22" s="25"/>
      <c r="C22" s="25"/>
      <c r="D22" s="25"/>
      <c r="E22" s="25"/>
      <c r="F22" s="25"/>
      <c r="G22" s="35"/>
      <c r="I22" s="17">
        <v>5</v>
      </c>
      <c r="J22" s="38"/>
      <c r="K22" s="38"/>
      <c r="L22" s="38"/>
      <c r="M22" s="38"/>
      <c r="N22" s="38"/>
      <c r="O22" s="38"/>
    </row>
    <row r="23" spans="1:16">
      <c r="A23" s="17">
        <v>6</v>
      </c>
      <c r="B23" s="25"/>
      <c r="C23" s="25"/>
      <c r="D23" s="25"/>
      <c r="E23" s="25"/>
      <c r="F23" s="25"/>
      <c r="G23" s="35"/>
      <c r="I23" s="17">
        <v>6</v>
      </c>
      <c r="J23" s="38"/>
      <c r="K23" s="38"/>
      <c r="L23" s="38"/>
      <c r="M23" s="38"/>
      <c r="N23" s="38"/>
      <c r="O23" s="38"/>
    </row>
    <row r="24" spans="1:16">
      <c r="A24" s="17">
        <v>7</v>
      </c>
      <c r="B24" s="25"/>
      <c r="C24" s="25"/>
      <c r="D24" s="25"/>
      <c r="E24" s="25"/>
      <c r="F24" s="25"/>
      <c r="G24" s="35"/>
      <c r="I24" s="17">
        <v>7</v>
      </c>
      <c r="J24" s="38"/>
      <c r="K24" s="38"/>
      <c r="L24" s="38"/>
      <c r="M24" s="38"/>
      <c r="N24" s="38"/>
      <c r="O24" s="38"/>
    </row>
    <row r="25" spans="1:16">
      <c r="A25" s="17">
        <v>8</v>
      </c>
      <c r="B25" s="25"/>
      <c r="C25" s="25"/>
      <c r="D25" s="25"/>
      <c r="E25" s="25"/>
      <c r="F25" s="25"/>
      <c r="G25" s="35"/>
      <c r="I25" s="17">
        <v>8</v>
      </c>
      <c r="J25" s="38"/>
      <c r="K25" s="38"/>
      <c r="L25" s="38"/>
      <c r="M25" s="38"/>
      <c r="N25" s="38"/>
      <c r="O25" s="38"/>
    </row>
    <row r="26" spans="1:16">
      <c r="A26" s="17">
        <v>9</v>
      </c>
      <c r="B26" s="25"/>
      <c r="C26" s="25"/>
      <c r="D26" s="25"/>
      <c r="E26" s="25"/>
      <c r="F26" s="25"/>
      <c r="G26" s="35"/>
      <c r="I26" s="17">
        <v>9</v>
      </c>
      <c r="J26" s="38"/>
      <c r="K26" s="38"/>
      <c r="L26" s="38"/>
      <c r="M26" s="38"/>
      <c r="N26" s="38"/>
      <c r="O26" s="38"/>
    </row>
    <row r="27" spans="1:16">
      <c r="A27" s="17">
        <v>10</v>
      </c>
      <c r="B27" s="25"/>
      <c r="C27" s="25"/>
      <c r="D27" s="25"/>
      <c r="E27" s="25"/>
      <c r="F27" s="25"/>
      <c r="G27" s="35"/>
      <c r="I27" s="17">
        <v>10</v>
      </c>
      <c r="J27" s="38"/>
      <c r="K27" s="38"/>
      <c r="L27" s="38"/>
      <c r="M27" s="38"/>
      <c r="N27" s="38"/>
      <c r="O27" s="38"/>
    </row>
    <row r="28" spans="1:16">
      <c r="A28" s="17">
        <v>11</v>
      </c>
      <c r="B28" s="25"/>
      <c r="C28" s="25"/>
      <c r="D28" s="25"/>
      <c r="E28" s="25"/>
      <c r="F28" s="25"/>
      <c r="G28" s="35"/>
      <c r="I28" s="17">
        <v>11</v>
      </c>
      <c r="J28" s="38"/>
      <c r="K28" s="38"/>
      <c r="L28" s="38"/>
      <c r="M28" s="38"/>
      <c r="N28" s="38"/>
      <c r="O28" s="38"/>
    </row>
    <row r="29" spans="1:16">
      <c r="A29" s="17">
        <v>12</v>
      </c>
      <c r="B29" s="25"/>
      <c r="C29" s="25"/>
      <c r="D29" s="25"/>
      <c r="E29" s="25"/>
      <c r="F29" s="25"/>
      <c r="G29" s="35"/>
      <c r="I29" s="17">
        <v>12</v>
      </c>
      <c r="J29" s="38"/>
      <c r="K29" s="38"/>
      <c r="L29" s="38"/>
      <c r="M29" s="38"/>
      <c r="N29" s="38"/>
      <c r="O29" s="38"/>
    </row>
    <row r="30" spans="1:16">
      <c r="A30" s="17">
        <v>13</v>
      </c>
      <c r="B30" s="25"/>
      <c r="C30" s="25"/>
      <c r="D30" s="25"/>
      <c r="E30" s="25"/>
      <c r="F30" s="25"/>
      <c r="G30" s="35"/>
      <c r="I30" s="17">
        <v>13</v>
      </c>
      <c r="J30" s="38"/>
      <c r="K30" s="38"/>
      <c r="L30" s="38"/>
      <c r="M30" s="38"/>
      <c r="N30" s="38"/>
      <c r="O30" s="38"/>
    </row>
    <row r="31" spans="1:16">
      <c r="A31" s="17">
        <v>14</v>
      </c>
      <c r="B31" s="25"/>
      <c r="C31" s="25"/>
      <c r="D31" s="25"/>
      <c r="E31" s="25"/>
      <c r="F31" s="25"/>
      <c r="G31" s="35"/>
      <c r="I31" s="17">
        <v>14</v>
      </c>
      <c r="J31" s="38"/>
      <c r="K31" s="38"/>
      <c r="L31" s="38"/>
      <c r="M31" s="38"/>
      <c r="N31" s="38"/>
      <c r="O31" s="38"/>
    </row>
    <row r="32" spans="1:16">
      <c r="A32" s="17">
        <v>15</v>
      </c>
      <c r="B32" s="25"/>
      <c r="C32" s="25"/>
      <c r="D32" s="25"/>
      <c r="E32" s="25"/>
      <c r="F32" s="25"/>
      <c r="G32" s="35"/>
      <c r="I32" s="17">
        <v>15</v>
      </c>
      <c r="J32" s="38"/>
      <c r="K32" s="38"/>
      <c r="L32" s="38"/>
      <c r="M32" s="38"/>
      <c r="N32" s="38"/>
      <c r="O32" s="38"/>
    </row>
    <row r="33" spans="1:15">
      <c r="A33" s="17">
        <v>16</v>
      </c>
      <c r="B33" s="25"/>
      <c r="C33" s="25"/>
      <c r="D33" s="25"/>
      <c r="E33" s="25"/>
      <c r="F33" s="25"/>
      <c r="G33" s="35"/>
      <c r="I33" s="17">
        <v>16</v>
      </c>
      <c r="J33" s="38"/>
      <c r="K33" s="38"/>
      <c r="L33" s="38"/>
      <c r="M33" s="38"/>
      <c r="N33" s="38"/>
      <c r="O33" s="38"/>
    </row>
    <row r="34" spans="1:15">
      <c r="A34" s="17">
        <v>17</v>
      </c>
      <c r="B34" s="25"/>
      <c r="C34" s="25"/>
      <c r="D34" s="25"/>
      <c r="E34" s="25"/>
      <c r="F34" s="25"/>
      <c r="G34" s="35"/>
      <c r="I34" s="17">
        <v>17</v>
      </c>
      <c r="J34" s="38"/>
      <c r="K34" s="38"/>
      <c r="L34" s="38"/>
      <c r="M34" s="38"/>
      <c r="N34" s="38"/>
      <c r="O34" s="38"/>
    </row>
    <row r="35" spans="1:15">
      <c r="A35" s="17">
        <v>18</v>
      </c>
      <c r="B35" s="25"/>
      <c r="C35" s="25"/>
      <c r="D35" s="25"/>
      <c r="E35" s="25"/>
      <c r="F35" s="25"/>
      <c r="G35" s="35"/>
      <c r="I35" s="17">
        <v>18</v>
      </c>
      <c r="J35" s="38"/>
      <c r="K35" s="38"/>
      <c r="L35" s="38"/>
      <c r="M35" s="38"/>
      <c r="N35" s="38"/>
      <c r="O35" s="38"/>
    </row>
    <row r="36" spans="1:15">
      <c r="A36" s="17">
        <v>19</v>
      </c>
      <c r="B36" s="25"/>
      <c r="C36" s="25"/>
      <c r="D36" s="25"/>
      <c r="E36" s="25"/>
      <c r="F36" s="25"/>
      <c r="G36" s="35"/>
      <c r="I36" s="17">
        <v>19</v>
      </c>
      <c r="J36" s="38"/>
      <c r="K36" s="38"/>
      <c r="L36" s="38"/>
      <c r="M36" s="38"/>
      <c r="N36" s="38"/>
      <c r="O36" s="38"/>
    </row>
    <row r="37" spans="1:15">
      <c r="A37" s="17">
        <v>20</v>
      </c>
      <c r="B37" s="25"/>
      <c r="C37" s="25"/>
      <c r="D37" s="25"/>
      <c r="E37" s="25"/>
      <c r="F37" s="25"/>
      <c r="G37" s="35"/>
      <c r="I37" s="17">
        <v>20</v>
      </c>
      <c r="J37" s="38"/>
      <c r="K37" s="38"/>
      <c r="L37" s="38"/>
      <c r="M37" s="38"/>
      <c r="N37" s="38"/>
      <c r="O37" s="38"/>
    </row>
    <row r="38" spans="1:15">
      <c r="A38" s="17">
        <v>21</v>
      </c>
      <c r="B38" s="25"/>
      <c r="C38" s="25"/>
      <c r="D38" s="25"/>
      <c r="E38" s="25"/>
      <c r="F38" s="25"/>
      <c r="G38" s="35"/>
      <c r="I38" s="17">
        <v>21</v>
      </c>
      <c r="J38" s="38"/>
      <c r="K38" s="38"/>
      <c r="L38" s="38"/>
      <c r="M38" s="38"/>
      <c r="N38" s="38"/>
      <c r="O38" s="38"/>
    </row>
    <row r="39" spans="1:15">
      <c r="A39" s="17">
        <v>22</v>
      </c>
      <c r="B39" s="25"/>
      <c r="C39" s="25"/>
      <c r="D39" s="25"/>
      <c r="E39" s="25"/>
      <c r="F39" s="25"/>
      <c r="G39" s="35"/>
      <c r="I39" s="17">
        <v>22</v>
      </c>
      <c r="J39" s="38"/>
      <c r="K39" s="38"/>
      <c r="L39" s="38"/>
      <c r="M39" s="38"/>
      <c r="N39" s="38"/>
      <c r="O39" s="38"/>
    </row>
    <row r="40" spans="1:15">
      <c r="A40" s="17">
        <v>23</v>
      </c>
      <c r="B40" s="25"/>
      <c r="C40" s="25"/>
      <c r="D40" s="25"/>
      <c r="E40" s="25"/>
      <c r="F40" s="25"/>
      <c r="G40" s="35"/>
      <c r="I40" s="17">
        <v>23</v>
      </c>
      <c r="J40" s="38"/>
      <c r="K40" s="38"/>
      <c r="L40" s="38"/>
      <c r="M40" s="38"/>
      <c r="N40" s="38"/>
      <c r="O40" s="38"/>
    </row>
    <row r="41" spans="1:15">
      <c r="A41" s="17">
        <v>24</v>
      </c>
      <c r="B41" s="25"/>
      <c r="C41" s="25"/>
      <c r="D41" s="25"/>
      <c r="E41" s="25"/>
      <c r="F41" s="25"/>
      <c r="G41" s="35"/>
      <c r="I41" s="17">
        <v>24</v>
      </c>
      <c r="J41" s="38"/>
      <c r="K41" s="38"/>
      <c r="L41" s="38"/>
      <c r="M41" s="38"/>
      <c r="N41" s="38"/>
      <c r="O41" s="38"/>
    </row>
    <row r="42" spans="1:15">
      <c r="A42" s="17">
        <v>25</v>
      </c>
      <c r="B42" s="25"/>
      <c r="C42" s="25"/>
      <c r="D42" s="25"/>
      <c r="E42" s="25"/>
      <c r="F42" s="25"/>
      <c r="G42" s="35"/>
      <c r="I42" s="17">
        <v>25</v>
      </c>
      <c r="J42" s="38"/>
      <c r="K42" s="38"/>
      <c r="L42" s="38"/>
      <c r="M42" s="38"/>
      <c r="N42" s="38"/>
      <c r="O42" s="38"/>
    </row>
    <row r="43" spans="1:15">
      <c r="A43" s="17">
        <v>26</v>
      </c>
      <c r="B43" s="25"/>
      <c r="C43" s="25"/>
      <c r="D43" s="25"/>
      <c r="E43" s="25"/>
      <c r="F43" s="25"/>
      <c r="G43" s="35"/>
      <c r="I43" s="17">
        <v>26</v>
      </c>
      <c r="J43" s="38"/>
      <c r="K43" s="38"/>
      <c r="L43" s="38"/>
      <c r="M43" s="38"/>
      <c r="N43" s="38"/>
      <c r="O43" s="38"/>
    </row>
    <row r="44" spans="1:15">
      <c r="A44" s="17">
        <v>27</v>
      </c>
      <c r="B44" s="25"/>
      <c r="C44" s="25"/>
      <c r="D44" s="25"/>
      <c r="E44" s="25"/>
      <c r="F44" s="25"/>
      <c r="G44" s="35"/>
      <c r="I44" s="17">
        <v>27</v>
      </c>
      <c r="J44" s="38"/>
      <c r="K44" s="38"/>
      <c r="L44" s="38"/>
      <c r="M44" s="38"/>
      <c r="N44" s="38"/>
      <c r="O44" s="38"/>
    </row>
    <row r="45" spans="1:15">
      <c r="A45" s="17">
        <v>28</v>
      </c>
      <c r="B45" s="25"/>
      <c r="C45" s="25"/>
      <c r="D45" s="25"/>
      <c r="E45" s="25"/>
      <c r="F45" s="25"/>
      <c r="G45" s="35"/>
      <c r="I45" s="17">
        <v>28</v>
      </c>
      <c r="J45" s="38"/>
      <c r="K45" s="38"/>
      <c r="L45" s="38"/>
      <c r="M45" s="38"/>
      <c r="N45" s="38"/>
      <c r="O45" s="38"/>
    </row>
    <row r="46" spans="1:15">
      <c r="A46" s="17">
        <v>29</v>
      </c>
      <c r="B46" s="25"/>
      <c r="C46" s="25"/>
      <c r="D46" s="25"/>
      <c r="E46" s="25"/>
      <c r="F46" s="25"/>
      <c r="G46" s="35"/>
      <c r="I46" s="17">
        <v>29</v>
      </c>
      <c r="J46" s="38"/>
      <c r="K46" s="38"/>
      <c r="L46" s="38"/>
      <c r="M46" s="38"/>
      <c r="N46" s="38"/>
      <c r="O46" s="38"/>
    </row>
    <row r="47" spans="1:15">
      <c r="A47" s="17">
        <v>30</v>
      </c>
      <c r="B47" s="25"/>
      <c r="C47" s="25"/>
      <c r="D47" s="25"/>
      <c r="E47" s="25"/>
      <c r="F47" s="25"/>
      <c r="G47" s="35"/>
      <c r="I47" s="17">
        <v>30</v>
      </c>
      <c r="J47" s="38"/>
      <c r="K47" s="38"/>
      <c r="L47" s="38"/>
      <c r="M47" s="38"/>
      <c r="N47" s="38"/>
      <c r="O47" s="38"/>
    </row>
    <row r="48" spans="1:15">
      <c r="A48" s="17">
        <v>31</v>
      </c>
      <c r="B48" s="25"/>
      <c r="C48" s="25"/>
      <c r="D48" s="25"/>
      <c r="E48" s="25"/>
      <c r="F48" s="25"/>
      <c r="G48" s="35"/>
      <c r="I48" s="17">
        <v>31</v>
      </c>
      <c r="J48" s="38"/>
      <c r="K48" s="38"/>
      <c r="L48" s="38"/>
      <c r="M48" s="38"/>
      <c r="N48" s="38"/>
      <c r="O48" s="38"/>
    </row>
    <row r="49" spans="1:15">
      <c r="A49" s="17">
        <v>32</v>
      </c>
      <c r="B49" s="25"/>
      <c r="C49" s="25"/>
      <c r="D49" s="25"/>
      <c r="E49" s="25"/>
      <c r="F49" s="25"/>
      <c r="G49" s="35"/>
      <c r="I49" s="17">
        <v>32</v>
      </c>
      <c r="J49" s="38"/>
      <c r="K49" s="38"/>
      <c r="L49" s="38"/>
      <c r="M49" s="38"/>
      <c r="N49" s="38"/>
      <c r="O49" s="38"/>
    </row>
    <row r="50" spans="1:15">
      <c r="A50" s="17">
        <v>33</v>
      </c>
      <c r="B50" s="25"/>
      <c r="C50" s="25"/>
      <c r="D50" s="25"/>
      <c r="E50" s="25"/>
      <c r="F50" s="25"/>
      <c r="G50" s="35"/>
      <c r="I50" s="17">
        <v>33</v>
      </c>
      <c r="J50" s="38"/>
      <c r="K50" s="38"/>
      <c r="L50" s="38"/>
      <c r="M50" s="38"/>
      <c r="N50" s="38"/>
      <c r="O50" s="38"/>
    </row>
    <row r="51" spans="1:15">
      <c r="A51" s="17">
        <v>34</v>
      </c>
      <c r="B51" s="25"/>
      <c r="C51" s="25"/>
      <c r="D51" s="25"/>
      <c r="E51" s="25"/>
      <c r="F51" s="25"/>
      <c r="G51" s="35"/>
      <c r="I51" s="17">
        <v>34</v>
      </c>
      <c r="J51" s="38"/>
      <c r="K51" s="38"/>
      <c r="L51" s="38"/>
      <c r="M51" s="38"/>
      <c r="N51" s="38"/>
      <c r="O51" s="38"/>
    </row>
    <row r="52" spans="1:15">
      <c r="A52" s="17">
        <v>35</v>
      </c>
      <c r="B52" s="25"/>
      <c r="C52" s="25"/>
      <c r="D52" s="25"/>
      <c r="E52" s="25"/>
      <c r="F52" s="25"/>
      <c r="G52" s="35"/>
      <c r="I52" s="17">
        <v>35</v>
      </c>
      <c r="J52" s="38"/>
      <c r="K52" s="38"/>
      <c r="L52" s="38"/>
      <c r="M52" s="38"/>
      <c r="N52" s="38"/>
      <c r="O52" s="38"/>
    </row>
    <row r="53" spans="1:15">
      <c r="A53" s="17">
        <v>36</v>
      </c>
      <c r="B53" s="25"/>
      <c r="C53" s="25"/>
      <c r="D53" s="25"/>
      <c r="E53" s="25"/>
      <c r="F53" s="25"/>
      <c r="G53" s="35"/>
      <c r="I53" s="17">
        <v>36</v>
      </c>
      <c r="J53" s="38"/>
      <c r="K53" s="38"/>
      <c r="L53" s="38"/>
      <c r="M53" s="38"/>
      <c r="N53" s="38"/>
      <c r="O53" s="38"/>
    </row>
    <row r="54" spans="1:15">
      <c r="A54" s="17">
        <v>37</v>
      </c>
      <c r="B54" s="25"/>
      <c r="C54" s="25"/>
      <c r="D54" s="25"/>
      <c r="E54" s="25"/>
      <c r="F54" s="25"/>
      <c r="G54" s="35"/>
      <c r="I54" s="17">
        <v>37</v>
      </c>
      <c r="J54" s="38"/>
      <c r="K54" s="38"/>
      <c r="L54" s="38"/>
      <c r="M54" s="38"/>
      <c r="N54" s="38"/>
      <c r="O54" s="38"/>
    </row>
    <row r="55" spans="1:15">
      <c r="A55" s="17">
        <v>38</v>
      </c>
      <c r="B55" s="25"/>
      <c r="C55" s="25"/>
      <c r="D55" s="25"/>
      <c r="E55" s="25"/>
      <c r="F55" s="25"/>
      <c r="G55" s="35"/>
      <c r="I55" s="17">
        <v>38</v>
      </c>
      <c r="J55" s="38"/>
      <c r="K55" s="38"/>
      <c r="L55" s="38"/>
      <c r="M55" s="38"/>
      <c r="N55" s="38"/>
      <c r="O55" s="38"/>
    </row>
    <row r="56" spans="1:15">
      <c r="A56" s="17">
        <v>39</v>
      </c>
      <c r="B56" s="25"/>
      <c r="C56" s="25"/>
      <c r="D56" s="25"/>
      <c r="E56" s="25"/>
      <c r="F56" s="25"/>
      <c r="G56" s="35"/>
      <c r="I56" s="17">
        <v>39</v>
      </c>
      <c r="J56" s="38"/>
      <c r="K56" s="38"/>
      <c r="L56" s="38"/>
      <c r="M56" s="38"/>
      <c r="N56" s="38"/>
      <c r="O56" s="38"/>
    </row>
    <row r="57" spans="1:15">
      <c r="A57" s="17">
        <v>40</v>
      </c>
      <c r="B57" s="25"/>
      <c r="C57" s="25"/>
      <c r="D57" s="25"/>
      <c r="E57" s="25"/>
      <c r="F57" s="25"/>
      <c r="G57" s="35"/>
      <c r="I57" s="17">
        <v>40</v>
      </c>
      <c r="J57" s="38"/>
      <c r="K57" s="38"/>
      <c r="L57" s="38"/>
      <c r="M57" s="38"/>
      <c r="N57" s="38"/>
      <c r="O57" s="38"/>
    </row>
    <row r="58" spans="1:15">
      <c r="A58" s="17">
        <v>41</v>
      </c>
      <c r="B58" s="25"/>
      <c r="C58" s="25"/>
      <c r="D58" s="25"/>
      <c r="E58" s="25"/>
      <c r="F58" s="25"/>
      <c r="G58" s="35"/>
      <c r="I58" s="17">
        <v>41</v>
      </c>
      <c r="J58" s="38"/>
      <c r="K58" s="38"/>
      <c r="L58" s="38"/>
      <c r="M58" s="38"/>
      <c r="N58" s="38"/>
      <c r="O58" s="38"/>
    </row>
    <row r="59" spans="1:15">
      <c r="A59" s="17">
        <v>42</v>
      </c>
      <c r="B59" s="25"/>
      <c r="C59" s="25"/>
      <c r="D59" s="25"/>
      <c r="E59" s="25"/>
      <c r="F59" s="25"/>
      <c r="G59" s="35"/>
      <c r="I59" s="17">
        <v>42</v>
      </c>
      <c r="J59" s="38"/>
      <c r="K59" s="38"/>
      <c r="L59" s="38"/>
      <c r="M59" s="38"/>
      <c r="N59" s="38"/>
      <c r="O59" s="38"/>
    </row>
    <row r="60" spans="1:15">
      <c r="A60" s="17">
        <v>43</v>
      </c>
      <c r="B60" s="25"/>
      <c r="C60" s="25"/>
      <c r="D60" s="25"/>
      <c r="E60" s="25"/>
      <c r="F60" s="25"/>
      <c r="G60" s="35"/>
      <c r="I60" s="17">
        <v>43</v>
      </c>
      <c r="J60" s="38"/>
      <c r="K60" s="38"/>
      <c r="L60" s="38"/>
      <c r="M60" s="38"/>
      <c r="N60" s="38"/>
      <c r="O60" s="38"/>
    </row>
    <row r="61" spans="1:15">
      <c r="A61" s="17">
        <v>44</v>
      </c>
      <c r="B61" s="25"/>
      <c r="C61" s="25"/>
      <c r="D61" s="25"/>
      <c r="E61" s="25"/>
      <c r="F61" s="25"/>
      <c r="G61" s="35"/>
      <c r="I61" s="17">
        <v>44</v>
      </c>
      <c r="J61" s="38"/>
      <c r="K61" s="38"/>
      <c r="L61" s="38"/>
      <c r="M61" s="38"/>
      <c r="N61" s="38"/>
      <c r="O61" s="38"/>
    </row>
    <row r="62" spans="1:15">
      <c r="A62" s="17">
        <v>45</v>
      </c>
      <c r="B62" s="25"/>
      <c r="C62" s="25"/>
      <c r="D62" s="25"/>
      <c r="E62" s="25"/>
      <c r="F62" s="25"/>
      <c r="G62" s="35"/>
      <c r="I62" s="17">
        <v>45</v>
      </c>
      <c r="J62" s="38"/>
      <c r="K62" s="38"/>
      <c r="L62" s="38"/>
      <c r="M62" s="38"/>
      <c r="N62" s="38"/>
      <c r="O62" s="38"/>
    </row>
    <row r="63" spans="1:15">
      <c r="A63" s="17">
        <v>46</v>
      </c>
      <c r="B63" s="25"/>
      <c r="C63" s="25"/>
      <c r="D63" s="25"/>
      <c r="E63" s="25"/>
      <c r="F63" s="25"/>
      <c r="G63" s="35"/>
      <c r="I63" s="17">
        <v>46</v>
      </c>
      <c r="J63" s="38"/>
      <c r="K63" s="38"/>
      <c r="L63" s="38"/>
      <c r="M63" s="38"/>
      <c r="N63" s="38"/>
      <c r="O63" s="38"/>
    </row>
    <row r="64" spans="1:15">
      <c r="A64" s="17">
        <v>47</v>
      </c>
      <c r="B64" s="25"/>
      <c r="C64" s="25"/>
      <c r="D64" s="25"/>
      <c r="E64" s="25"/>
      <c r="F64" s="25"/>
      <c r="G64" s="35"/>
      <c r="I64" s="17">
        <v>47</v>
      </c>
      <c r="J64" s="38"/>
      <c r="K64" s="38"/>
      <c r="L64" s="38"/>
      <c r="M64" s="38"/>
      <c r="N64" s="38"/>
      <c r="O64" s="38"/>
    </row>
    <row r="65" spans="1:15">
      <c r="A65" s="17">
        <v>48</v>
      </c>
      <c r="B65" s="25"/>
      <c r="C65" s="25"/>
      <c r="D65" s="25"/>
      <c r="E65" s="25"/>
      <c r="F65" s="25"/>
      <c r="G65" s="35"/>
      <c r="I65" s="17">
        <v>48</v>
      </c>
      <c r="J65" s="38"/>
      <c r="K65" s="38"/>
      <c r="L65" s="38"/>
      <c r="M65" s="38"/>
      <c r="N65" s="38"/>
      <c r="O65" s="38"/>
    </row>
    <row r="66" spans="1:15">
      <c r="A66" s="17">
        <v>49</v>
      </c>
      <c r="B66" s="25"/>
      <c r="C66" s="25"/>
      <c r="D66" s="25"/>
      <c r="E66" s="25"/>
      <c r="F66" s="25"/>
      <c r="G66" s="35"/>
      <c r="I66" s="17">
        <v>49</v>
      </c>
      <c r="J66" s="38"/>
      <c r="K66" s="38"/>
      <c r="L66" s="38"/>
      <c r="M66" s="38"/>
      <c r="N66" s="38"/>
      <c r="O66" s="38"/>
    </row>
    <row r="67" spans="1:15">
      <c r="A67" s="17">
        <v>50</v>
      </c>
      <c r="B67" s="25"/>
      <c r="C67" s="25"/>
      <c r="D67" s="25"/>
      <c r="E67" s="25"/>
      <c r="F67" s="25"/>
      <c r="G67" s="35"/>
      <c r="I67" s="17">
        <v>50</v>
      </c>
      <c r="J67" s="38"/>
      <c r="K67" s="38"/>
      <c r="L67" s="38"/>
      <c r="M67" s="38"/>
      <c r="N67" s="38"/>
      <c r="O67" s="38"/>
    </row>
    <row r="68" spans="1:15">
      <c r="A68" s="17">
        <v>51</v>
      </c>
      <c r="B68" s="25"/>
      <c r="C68" s="25"/>
      <c r="D68" s="25"/>
      <c r="E68" s="25"/>
      <c r="F68" s="25"/>
      <c r="G68" s="35"/>
      <c r="I68" s="17">
        <v>51</v>
      </c>
      <c r="J68" s="38"/>
      <c r="K68" s="38"/>
      <c r="L68" s="38"/>
      <c r="M68" s="38"/>
      <c r="N68" s="38"/>
      <c r="O68" s="38"/>
    </row>
    <row r="69" spans="1:15">
      <c r="A69" s="17">
        <v>52</v>
      </c>
      <c r="B69" s="25"/>
      <c r="C69" s="25"/>
      <c r="D69" s="25"/>
      <c r="E69" s="25"/>
      <c r="F69" s="25"/>
      <c r="G69" s="35"/>
      <c r="I69" s="17">
        <v>52</v>
      </c>
      <c r="J69" s="38"/>
      <c r="K69" s="38"/>
      <c r="L69" s="38"/>
      <c r="M69" s="38"/>
      <c r="N69" s="38"/>
      <c r="O69" s="38"/>
    </row>
    <row r="70" spans="1:15">
      <c r="A70" s="17">
        <v>53</v>
      </c>
      <c r="B70" s="25"/>
      <c r="C70" s="25"/>
      <c r="D70" s="25"/>
      <c r="E70" s="25"/>
      <c r="F70" s="25"/>
      <c r="G70" s="35"/>
      <c r="I70" s="17">
        <v>53</v>
      </c>
      <c r="J70" s="38"/>
      <c r="K70" s="38"/>
      <c r="L70" s="38"/>
      <c r="M70" s="38"/>
      <c r="N70" s="38"/>
      <c r="O70" s="38"/>
    </row>
    <row r="71" spans="1:15">
      <c r="A71" s="17">
        <v>54</v>
      </c>
      <c r="B71" s="25"/>
      <c r="C71" s="25"/>
      <c r="D71" s="25"/>
      <c r="E71" s="25"/>
      <c r="F71" s="25"/>
      <c r="G71" s="35"/>
      <c r="I71" s="17">
        <v>54</v>
      </c>
      <c r="J71" s="38"/>
      <c r="K71" s="38"/>
      <c r="L71" s="38"/>
      <c r="M71" s="38"/>
      <c r="N71" s="38"/>
      <c r="O71" s="38"/>
    </row>
    <row r="72" spans="1:15">
      <c r="A72" s="17">
        <v>55</v>
      </c>
      <c r="B72" s="25"/>
      <c r="C72" s="25"/>
      <c r="D72" s="25"/>
      <c r="E72" s="25"/>
      <c r="F72" s="25"/>
      <c r="G72" s="35"/>
      <c r="I72" s="17">
        <v>55</v>
      </c>
      <c r="J72" s="38"/>
      <c r="K72" s="38"/>
      <c r="L72" s="38"/>
      <c r="M72" s="38"/>
      <c r="N72" s="38"/>
      <c r="O72" s="38"/>
    </row>
    <row r="73" spans="1:15">
      <c r="A73" s="17">
        <v>56</v>
      </c>
      <c r="B73" s="25"/>
      <c r="C73" s="25"/>
      <c r="D73" s="25"/>
      <c r="E73" s="25"/>
      <c r="F73" s="25"/>
      <c r="G73" s="35"/>
      <c r="I73" s="17">
        <v>56</v>
      </c>
      <c r="J73" s="38"/>
      <c r="K73" s="38"/>
      <c r="L73" s="38"/>
      <c r="M73" s="38"/>
      <c r="N73" s="38"/>
      <c r="O73" s="38"/>
    </row>
    <row r="74" spans="1:15">
      <c r="A74" s="17">
        <v>57</v>
      </c>
      <c r="B74" s="25"/>
      <c r="C74" s="25"/>
      <c r="D74" s="25"/>
      <c r="E74" s="25"/>
      <c r="F74" s="25"/>
      <c r="G74" s="35"/>
      <c r="I74" s="17">
        <v>57</v>
      </c>
      <c r="J74" s="38"/>
      <c r="K74" s="38"/>
      <c r="L74" s="38"/>
      <c r="M74" s="38"/>
      <c r="N74" s="38"/>
      <c r="O74" s="38"/>
    </row>
    <row r="75" spans="1:15">
      <c r="A75" s="17">
        <v>58</v>
      </c>
      <c r="B75" s="25"/>
      <c r="C75" s="25"/>
      <c r="D75" s="25"/>
      <c r="E75" s="25"/>
      <c r="F75" s="25"/>
      <c r="G75" s="35"/>
      <c r="I75" s="17">
        <v>58</v>
      </c>
      <c r="J75" s="38"/>
      <c r="K75" s="38"/>
      <c r="L75" s="38"/>
      <c r="M75" s="38"/>
      <c r="N75" s="38"/>
      <c r="O75" s="38"/>
    </row>
    <row r="76" spans="1:15">
      <c r="A76" s="17">
        <v>59</v>
      </c>
      <c r="B76" s="25"/>
      <c r="C76" s="25"/>
      <c r="D76" s="25"/>
      <c r="E76" s="25"/>
      <c r="F76" s="25"/>
      <c r="G76" s="35"/>
      <c r="I76" s="17">
        <v>59</v>
      </c>
      <c r="J76" s="38"/>
      <c r="K76" s="38"/>
      <c r="L76" s="38"/>
      <c r="M76" s="38"/>
      <c r="N76" s="38"/>
      <c r="O76" s="38"/>
    </row>
    <row r="77" spans="1:15">
      <c r="A77" s="17">
        <v>60</v>
      </c>
      <c r="B77" s="25"/>
      <c r="C77" s="25"/>
      <c r="D77" s="25"/>
      <c r="E77" s="25"/>
      <c r="F77" s="25"/>
      <c r="G77" s="35"/>
      <c r="I77" s="17">
        <v>60</v>
      </c>
      <c r="J77" s="38"/>
      <c r="K77" s="38"/>
      <c r="L77" s="38"/>
      <c r="M77" s="38"/>
      <c r="N77" s="38"/>
      <c r="O77" s="38"/>
    </row>
    <row r="78" spans="1:15">
      <c r="A78" s="17">
        <v>61</v>
      </c>
      <c r="B78" s="25"/>
      <c r="C78" s="25"/>
      <c r="D78" s="25"/>
      <c r="E78" s="25"/>
      <c r="F78" s="25"/>
      <c r="G78" s="35"/>
      <c r="I78" s="17">
        <v>61</v>
      </c>
      <c r="J78" s="38"/>
      <c r="K78" s="38"/>
      <c r="L78" s="38"/>
      <c r="M78" s="38"/>
      <c r="N78" s="38"/>
      <c r="O78" s="38"/>
    </row>
    <row r="79" spans="1:15">
      <c r="A79" s="17">
        <v>62</v>
      </c>
      <c r="B79" s="25"/>
      <c r="C79" s="25"/>
      <c r="D79" s="25"/>
      <c r="E79" s="25"/>
      <c r="F79" s="25"/>
      <c r="G79" s="35"/>
      <c r="I79" s="17">
        <v>62</v>
      </c>
      <c r="J79" s="38"/>
      <c r="K79" s="38"/>
      <c r="L79" s="38"/>
      <c r="M79" s="38"/>
      <c r="N79" s="38"/>
      <c r="O79" s="38"/>
    </row>
    <row r="80" spans="1:15">
      <c r="A80" s="17">
        <v>63</v>
      </c>
      <c r="B80" s="25"/>
      <c r="C80" s="25"/>
      <c r="D80" s="25"/>
      <c r="E80" s="25"/>
      <c r="F80" s="25"/>
      <c r="G80" s="35"/>
      <c r="I80" s="17">
        <v>63</v>
      </c>
      <c r="J80" s="38"/>
      <c r="K80" s="38"/>
      <c r="L80" s="38"/>
      <c r="M80" s="38"/>
      <c r="N80" s="38"/>
      <c r="O80" s="38"/>
    </row>
    <row r="81" spans="1:15">
      <c r="A81" s="17">
        <v>64</v>
      </c>
      <c r="B81" s="25"/>
      <c r="C81" s="25"/>
      <c r="D81" s="25"/>
      <c r="E81" s="25"/>
      <c r="F81" s="25"/>
      <c r="G81" s="35"/>
      <c r="I81" s="17">
        <v>64</v>
      </c>
      <c r="J81" s="38"/>
      <c r="K81" s="38"/>
      <c r="L81" s="38"/>
      <c r="M81" s="38"/>
      <c r="N81" s="38"/>
      <c r="O81" s="38"/>
    </row>
    <row r="82" spans="1:15">
      <c r="A82" s="17">
        <v>65</v>
      </c>
      <c r="B82" s="25"/>
      <c r="C82" s="25"/>
      <c r="D82" s="25"/>
      <c r="E82" s="25"/>
      <c r="F82" s="25"/>
      <c r="G82" s="35"/>
      <c r="I82" s="17">
        <v>65</v>
      </c>
      <c r="J82" s="38"/>
      <c r="K82" s="38"/>
      <c r="L82" s="38"/>
      <c r="M82" s="38"/>
      <c r="N82" s="38"/>
      <c r="O82" s="38"/>
    </row>
    <row r="83" spans="1:15">
      <c r="A83" s="17">
        <v>66</v>
      </c>
      <c r="B83" s="25"/>
      <c r="C83" s="25"/>
      <c r="D83" s="25"/>
      <c r="E83" s="25"/>
      <c r="F83" s="25"/>
      <c r="G83" s="35"/>
      <c r="I83" s="17">
        <v>66</v>
      </c>
      <c r="J83" s="38"/>
      <c r="K83" s="38"/>
      <c r="L83" s="38"/>
      <c r="M83" s="38"/>
      <c r="N83" s="38"/>
      <c r="O83" s="38"/>
    </row>
    <row r="84" spans="1:15">
      <c r="A84" s="17">
        <v>67</v>
      </c>
      <c r="B84" s="25"/>
      <c r="C84" s="25"/>
      <c r="D84" s="25"/>
      <c r="E84" s="25"/>
      <c r="F84" s="25"/>
      <c r="G84" s="35"/>
      <c r="I84" s="17">
        <v>67</v>
      </c>
      <c r="J84" s="38"/>
      <c r="K84" s="38"/>
      <c r="L84" s="38"/>
      <c r="M84" s="38"/>
      <c r="N84" s="38"/>
      <c r="O84" s="38"/>
    </row>
    <row r="85" spans="1:15">
      <c r="A85" s="17">
        <v>68</v>
      </c>
      <c r="B85" s="25"/>
      <c r="C85" s="25"/>
      <c r="D85" s="25"/>
      <c r="E85" s="25"/>
      <c r="F85" s="25"/>
      <c r="G85" s="35"/>
      <c r="I85" s="17">
        <v>68</v>
      </c>
      <c r="J85" s="38"/>
      <c r="K85" s="38"/>
      <c r="L85" s="38"/>
      <c r="M85" s="38"/>
      <c r="N85" s="38"/>
      <c r="O85" s="38"/>
    </row>
    <row r="86" spans="1:15">
      <c r="A86" s="17">
        <v>69</v>
      </c>
      <c r="B86" s="25"/>
      <c r="C86" s="25"/>
      <c r="D86" s="25"/>
      <c r="E86" s="25"/>
      <c r="F86" s="25"/>
      <c r="G86" s="35"/>
      <c r="I86" s="17">
        <v>69</v>
      </c>
      <c r="J86" s="38"/>
      <c r="K86" s="38"/>
      <c r="L86" s="38"/>
      <c r="M86" s="38"/>
      <c r="N86" s="38"/>
      <c r="O86" s="38"/>
    </row>
    <row r="87" spans="1:15">
      <c r="A87" s="17">
        <v>70</v>
      </c>
      <c r="B87" s="25"/>
      <c r="C87" s="25"/>
      <c r="D87" s="25"/>
      <c r="E87" s="25"/>
      <c r="F87" s="25"/>
      <c r="G87" s="35"/>
      <c r="I87" s="17">
        <v>70</v>
      </c>
      <c r="J87" s="38"/>
      <c r="K87" s="38"/>
      <c r="L87" s="38"/>
      <c r="M87" s="38"/>
      <c r="N87" s="38"/>
      <c r="O87" s="38"/>
    </row>
    <row r="88" spans="1:15">
      <c r="A88" s="17">
        <v>71</v>
      </c>
      <c r="B88" s="25"/>
      <c r="C88" s="25"/>
      <c r="D88" s="25"/>
      <c r="E88" s="25"/>
      <c r="F88" s="25"/>
      <c r="G88" s="35"/>
      <c r="I88" s="17">
        <v>71</v>
      </c>
      <c r="J88" s="38"/>
      <c r="K88" s="38"/>
      <c r="L88" s="38"/>
      <c r="M88" s="38"/>
      <c r="N88" s="38"/>
      <c r="O88" s="38"/>
    </row>
    <row r="89" spans="1:15">
      <c r="A89" s="17">
        <v>72</v>
      </c>
      <c r="B89" s="25"/>
      <c r="C89" s="25"/>
      <c r="D89" s="25"/>
      <c r="E89" s="25"/>
      <c r="F89" s="25"/>
      <c r="G89" s="35"/>
      <c r="I89" s="17">
        <v>72</v>
      </c>
      <c r="J89" s="38"/>
      <c r="K89" s="38"/>
      <c r="L89" s="38"/>
      <c r="M89" s="38"/>
      <c r="N89" s="38"/>
      <c r="O89" s="38"/>
    </row>
    <row r="90" spans="1:15">
      <c r="A90" s="17">
        <v>73</v>
      </c>
      <c r="B90" s="25"/>
      <c r="C90" s="25"/>
      <c r="D90" s="25"/>
      <c r="E90" s="25"/>
      <c r="F90" s="25"/>
      <c r="G90" s="35"/>
      <c r="I90" s="17">
        <v>73</v>
      </c>
      <c r="J90" s="38"/>
      <c r="K90" s="38"/>
      <c r="L90" s="38"/>
      <c r="M90" s="38"/>
      <c r="N90" s="38"/>
      <c r="O90" s="38"/>
    </row>
    <row r="91" spans="1:15">
      <c r="A91" s="17">
        <v>74</v>
      </c>
      <c r="B91" s="25"/>
      <c r="C91" s="25"/>
      <c r="D91" s="25"/>
      <c r="E91" s="25"/>
      <c r="F91" s="25"/>
      <c r="G91" s="35"/>
      <c r="I91" s="17">
        <v>74</v>
      </c>
      <c r="J91" s="38"/>
      <c r="K91" s="38"/>
      <c r="L91" s="38"/>
      <c r="M91" s="38"/>
      <c r="N91" s="38"/>
      <c r="O91" s="38"/>
    </row>
    <row r="92" spans="1:15">
      <c r="A92" s="17">
        <v>75</v>
      </c>
      <c r="B92" s="25"/>
      <c r="C92" s="25"/>
      <c r="D92" s="25"/>
      <c r="E92" s="25"/>
      <c r="F92" s="25"/>
      <c r="G92" s="35"/>
      <c r="I92" s="17">
        <v>75</v>
      </c>
      <c r="J92" s="38"/>
      <c r="K92" s="38"/>
      <c r="L92" s="38"/>
      <c r="M92" s="38"/>
      <c r="N92" s="38"/>
      <c r="O92" s="38"/>
    </row>
    <row r="93" spans="1:15">
      <c r="A93" s="17">
        <v>76</v>
      </c>
      <c r="B93" s="25"/>
      <c r="C93" s="25"/>
      <c r="D93" s="25"/>
      <c r="E93" s="25"/>
      <c r="F93" s="25"/>
      <c r="G93" s="35"/>
      <c r="I93" s="17">
        <v>76</v>
      </c>
      <c r="J93" s="38"/>
      <c r="K93" s="38"/>
      <c r="L93" s="38"/>
      <c r="M93" s="38"/>
      <c r="N93" s="38"/>
      <c r="O93" s="38"/>
    </row>
    <row r="94" spans="1:15">
      <c r="A94" s="17">
        <v>77</v>
      </c>
      <c r="B94" s="25"/>
      <c r="C94" s="25"/>
      <c r="D94" s="25"/>
      <c r="E94" s="25"/>
      <c r="F94" s="25"/>
      <c r="G94" s="35"/>
      <c r="I94" s="17">
        <v>77</v>
      </c>
      <c r="J94" s="38"/>
      <c r="K94" s="38"/>
      <c r="L94" s="38"/>
      <c r="M94" s="38"/>
      <c r="N94" s="38"/>
      <c r="O94" s="38"/>
    </row>
    <row r="95" spans="1:15">
      <c r="A95" s="17">
        <v>78</v>
      </c>
      <c r="B95" s="25"/>
      <c r="C95" s="25"/>
      <c r="D95" s="25"/>
      <c r="E95" s="25"/>
      <c r="F95" s="25"/>
      <c r="G95" s="35"/>
      <c r="I95" s="17">
        <v>78</v>
      </c>
      <c r="J95" s="38"/>
      <c r="K95" s="38"/>
      <c r="L95" s="38"/>
      <c r="M95" s="38"/>
      <c r="N95" s="38"/>
      <c r="O95" s="38"/>
    </row>
    <row r="96" spans="1:15">
      <c r="A96" s="17">
        <v>79</v>
      </c>
      <c r="B96" s="25"/>
      <c r="C96" s="25"/>
      <c r="D96" s="25"/>
      <c r="E96" s="25"/>
      <c r="F96" s="25"/>
      <c r="G96" s="35"/>
      <c r="I96" s="17">
        <v>79</v>
      </c>
      <c r="J96" s="38"/>
      <c r="K96" s="38"/>
      <c r="L96" s="38"/>
      <c r="M96" s="38"/>
      <c r="N96" s="38"/>
      <c r="O96" s="38"/>
    </row>
    <row r="97" spans="1:15">
      <c r="A97" s="17">
        <v>80</v>
      </c>
      <c r="B97" s="25"/>
      <c r="C97" s="25"/>
      <c r="D97" s="25"/>
      <c r="E97" s="25"/>
      <c r="F97" s="25"/>
      <c r="G97" s="35"/>
      <c r="I97" s="17">
        <v>80</v>
      </c>
      <c r="J97" s="38"/>
      <c r="K97" s="38"/>
      <c r="L97" s="38"/>
      <c r="M97" s="38"/>
      <c r="N97" s="38"/>
      <c r="O97" s="38"/>
    </row>
    <row r="98" spans="1:15">
      <c r="A98" s="17">
        <v>81</v>
      </c>
      <c r="B98" s="25"/>
      <c r="C98" s="25"/>
      <c r="D98" s="25"/>
      <c r="E98" s="25"/>
      <c r="F98" s="25"/>
      <c r="G98" s="35"/>
      <c r="I98" s="17">
        <v>81</v>
      </c>
      <c r="J98" s="38"/>
      <c r="K98" s="38"/>
      <c r="L98" s="38"/>
      <c r="M98" s="38"/>
      <c r="N98" s="38"/>
      <c r="O98" s="38"/>
    </row>
    <row r="99" spans="1:15">
      <c r="A99" s="17">
        <v>82</v>
      </c>
      <c r="B99" s="25"/>
      <c r="C99" s="25"/>
      <c r="D99" s="25"/>
      <c r="E99" s="25"/>
      <c r="F99" s="25"/>
      <c r="G99" s="35"/>
      <c r="I99" s="17">
        <v>82</v>
      </c>
      <c r="J99" s="38"/>
      <c r="K99" s="38"/>
      <c r="L99" s="38"/>
      <c r="M99" s="38"/>
      <c r="N99" s="38"/>
      <c r="O99" s="38"/>
    </row>
    <row r="100" spans="1:15">
      <c r="A100" s="17">
        <v>83</v>
      </c>
      <c r="B100" s="25"/>
      <c r="C100" s="25"/>
      <c r="D100" s="25"/>
      <c r="E100" s="25"/>
      <c r="F100" s="25"/>
      <c r="G100" s="35"/>
      <c r="I100" s="17">
        <v>83</v>
      </c>
      <c r="J100" s="38"/>
      <c r="K100" s="38"/>
      <c r="L100" s="38"/>
      <c r="M100" s="38"/>
      <c r="N100" s="38"/>
      <c r="O100" s="38"/>
    </row>
    <row r="101" spans="1:15">
      <c r="A101" s="17">
        <v>84</v>
      </c>
      <c r="B101" s="25"/>
      <c r="C101" s="25"/>
      <c r="D101" s="25"/>
      <c r="E101" s="25"/>
      <c r="F101" s="25"/>
      <c r="G101" s="35"/>
      <c r="I101" s="17">
        <v>84</v>
      </c>
      <c r="J101" s="38"/>
      <c r="K101" s="38"/>
      <c r="L101" s="38"/>
      <c r="M101" s="38"/>
      <c r="N101" s="38"/>
      <c r="O101" s="38"/>
    </row>
    <row r="102" spans="1:15">
      <c r="A102" s="17">
        <v>85</v>
      </c>
      <c r="B102" s="25"/>
      <c r="C102" s="25"/>
      <c r="D102" s="25"/>
      <c r="E102" s="25"/>
      <c r="F102" s="25"/>
      <c r="G102" s="35"/>
      <c r="I102" s="17">
        <v>85</v>
      </c>
      <c r="J102" s="38"/>
      <c r="K102" s="38"/>
      <c r="L102" s="38"/>
      <c r="M102" s="38"/>
      <c r="N102" s="38"/>
      <c r="O102" s="38"/>
    </row>
    <row r="103" spans="1:15">
      <c r="A103" s="17">
        <v>86</v>
      </c>
      <c r="B103" s="25"/>
      <c r="C103" s="25"/>
      <c r="D103" s="25"/>
      <c r="E103" s="25"/>
      <c r="F103" s="25"/>
      <c r="G103" s="35"/>
      <c r="I103" s="17">
        <v>86</v>
      </c>
      <c r="J103" s="38"/>
      <c r="K103" s="38"/>
      <c r="L103" s="38"/>
      <c r="M103" s="38"/>
      <c r="N103" s="38"/>
      <c r="O103" s="38"/>
    </row>
    <row r="104" spans="1:15">
      <c r="A104" s="17">
        <v>87</v>
      </c>
      <c r="B104" s="25"/>
      <c r="C104" s="25"/>
      <c r="D104" s="25"/>
      <c r="E104" s="25"/>
      <c r="F104" s="25"/>
      <c r="G104" s="35"/>
      <c r="I104" s="17">
        <v>87</v>
      </c>
      <c r="J104" s="38"/>
      <c r="K104" s="38"/>
      <c r="L104" s="38"/>
      <c r="M104" s="38"/>
      <c r="N104" s="38"/>
      <c r="O104" s="38"/>
    </row>
    <row r="105" spans="1:15">
      <c r="A105" s="17">
        <v>88</v>
      </c>
      <c r="B105" s="25"/>
      <c r="C105" s="25"/>
      <c r="D105" s="25"/>
      <c r="E105" s="25"/>
      <c r="F105" s="25"/>
      <c r="G105" s="35"/>
      <c r="I105" s="17">
        <v>88</v>
      </c>
      <c r="J105" s="38"/>
      <c r="K105" s="38"/>
      <c r="L105" s="38"/>
      <c r="M105" s="38"/>
      <c r="N105" s="38"/>
      <c r="O105" s="38"/>
    </row>
    <row r="106" spans="1:15">
      <c r="A106" s="17">
        <v>89</v>
      </c>
      <c r="B106" s="25"/>
      <c r="C106" s="25"/>
      <c r="D106" s="25"/>
      <c r="E106" s="25"/>
      <c r="F106" s="25"/>
      <c r="G106" s="35"/>
      <c r="I106" s="17">
        <v>89</v>
      </c>
      <c r="J106" s="38"/>
      <c r="K106" s="38"/>
      <c r="L106" s="38"/>
      <c r="M106" s="38"/>
      <c r="N106" s="38"/>
      <c r="O106" s="38"/>
    </row>
    <row r="107" spans="1:15">
      <c r="A107" s="17">
        <v>90</v>
      </c>
      <c r="B107" s="25"/>
      <c r="C107" s="25"/>
      <c r="D107" s="25"/>
      <c r="E107" s="25"/>
      <c r="F107" s="25"/>
      <c r="G107" s="35"/>
      <c r="I107" s="17">
        <v>90</v>
      </c>
      <c r="J107" s="38"/>
      <c r="K107" s="38"/>
      <c r="L107" s="38"/>
      <c r="M107" s="38"/>
      <c r="N107" s="38"/>
      <c r="O107" s="38"/>
    </row>
    <row r="108" spans="1:15">
      <c r="A108" s="17">
        <v>91</v>
      </c>
      <c r="B108" s="25"/>
      <c r="C108" s="25"/>
      <c r="D108" s="25"/>
      <c r="E108" s="25"/>
      <c r="F108" s="25"/>
      <c r="G108" s="35"/>
      <c r="I108" s="17">
        <v>91</v>
      </c>
      <c r="J108" s="38"/>
      <c r="K108" s="38"/>
      <c r="L108" s="38"/>
      <c r="M108" s="38"/>
      <c r="N108" s="38"/>
      <c r="O108" s="38"/>
    </row>
    <row r="109" spans="1:15">
      <c r="A109" s="17">
        <v>92</v>
      </c>
      <c r="B109" s="25"/>
      <c r="C109" s="25"/>
      <c r="D109" s="25"/>
      <c r="E109" s="25"/>
      <c r="F109" s="25"/>
      <c r="G109" s="35"/>
      <c r="I109" s="17">
        <v>92</v>
      </c>
      <c r="J109" s="38"/>
      <c r="K109" s="38"/>
      <c r="L109" s="38"/>
      <c r="M109" s="38"/>
      <c r="N109" s="38"/>
      <c r="O109" s="38"/>
    </row>
    <row r="110" spans="1:15">
      <c r="A110" s="17">
        <v>93</v>
      </c>
      <c r="B110" s="25"/>
      <c r="C110" s="25"/>
      <c r="D110" s="25"/>
      <c r="E110" s="25"/>
      <c r="F110" s="25"/>
      <c r="G110" s="35"/>
      <c r="I110" s="17">
        <v>93</v>
      </c>
      <c r="J110" s="38"/>
      <c r="K110" s="38"/>
      <c r="L110" s="38"/>
      <c r="M110" s="38"/>
      <c r="N110" s="38"/>
      <c r="O110" s="38"/>
    </row>
    <row r="111" spans="1:15">
      <c r="A111" s="17">
        <v>94</v>
      </c>
      <c r="B111" s="25"/>
      <c r="C111" s="25"/>
      <c r="D111" s="25"/>
      <c r="E111" s="25"/>
      <c r="F111" s="25"/>
      <c r="G111" s="35"/>
      <c r="I111" s="17">
        <v>94</v>
      </c>
      <c r="J111" s="38"/>
      <c r="K111" s="38"/>
      <c r="L111" s="38"/>
      <c r="M111" s="38"/>
      <c r="N111" s="38"/>
      <c r="O111" s="38"/>
    </row>
    <row r="112" spans="1:15">
      <c r="A112" s="17">
        <v>95</v>
      </c>
      <c r="B112" s="25"/>
      <c r="C112" s="25"/>
      <c r="D112" s="25"/>
      <c r="E112" s="25"/>
      <c r="F112" s="25"/>
      <c r="G112" s="35"/>
      <c r="I112" s="17">
        <v>95</v>
      </c>
      <c r="J112" s="38"/>
      <c r="K112" s="38"/>
      <c r="L112" s="38"/>
      <c r="M112" s="38"/>
      <c r="N112" s="38"/>
      <c r="O112" s="38"/>
    </row>
    <row r="113" spans="1:15">
      <c r="A113" s="17">
        <v>96</v>
      </c>
      <c r="B113" s="25"/>
      <c r="C113" s="25"/>
      <c r="D113" s="25"/>
      <c r="E113" s="25"/>
      <c r="F113" s="25"/>
      <c r="G113" s="35"/>
      <c r="I113" s="17">
        <v>96</v>
      </c>
      <c r="J113" s="38"/>
      <c r="K113" s="38"/>
      <c r="L113" s="38"/>
      <c r="M113" s="38"/>
      <c r="N113" s="38"/>
      <c r="O113" s="38"/>
    </row>
    <row r="114" spans="1:15">
      <c r="A114" s="17">
        <v>97</v>
      </c>
      <c r="B114" s="25"/>
      <c r="C114" s="25"/>
      <c r="D114" s="25"/>
      <c r="E114" s="25"/>
      <c r="F114" s="25"/>
      <c r="G114" s="35"/>
      <c r="I114" s="17">
        <v>97</v>
      </c>
      <c r="J114" s="38"/>
      <c r="K114" s="38"/>
      <c r="L114" s="38"/>
      <c r="M114" s="38"/>
      <c r="N114" s="38"/>
      <c r="O114" s="38"/>
    </row>
    <row r="115" spans="1:15">
      <c r="A115" s="17">
        <v>98</v>
      </c>
      <c r="B115" s="25"/>
      <c r="C115" s="25"/>
      <c r="D115" s="25"/>
      <c r="E115" s="25"/>
      <c r="F115" s="25"/>
      <c r="G115" s="35"/>
      <c r="I115" s="17">
        <v>98</v>
      </c>
      <c r="J115" s="38"/>
      <c r="K115" s="38"/>
      <c r="L115" s="38"/>
      <c r="M115" s="38"/>
      <c r="N115" s="38"/>
      <c r="O115" s="38"/>
    </row>
    <row r="116" spans="1:15">
      <c r="A116" s="17">
        <v>99</v>
      </c>
      <c r="B116" s="25"/>
      <c r="C116" s="25"/>
      <c r="D116" s="25"/>
      <c r="E116" s="25"/>
      <c r="F116" s="25"/>
      <c r="G116" s="35"/>
      <c r="I116" s="17">
        <v>99</v>
      </c>
      <c r="J116" s="38"/>
      <c r="K116" s="38"/>
      <c r="L116" s="38"/>
      <c r="M116" s="38"/>
      <c r="N116" s="38"/>
      <c r="O116" s="38"/>
    </row>
    <row r="117" spans="1:15">
      <c r="A117" s="17">
        <v>100</v>
      </c>
      <c r="B117" s="25"/>
      <c r="C117" s="25"/>
      <c r="D117" s="25"/>
      <c r="E117" s="25"/>
      <c r="F117" s="25"/>
      <c r="G117" s="35"/>
      <c r="I117" s="17">
        <v>100</v>
      </c>
      <c r="J117" s="38"/>
      <c r="K117" s="38"/>
      <c r="L117" s="38"/>
      <c r="M117" s="38"/>
      <c r="N117" s="38"/>
      <c r="O117" s="38"/>
    </row>
    <row r="118" spans="1:15">
      <c r="A118" s="17">
        <v>101</v>
      </c>
      <c r="B118" s="25"/>
      <c r="C118" s="25"/>
      <c r="D118" s="25"/>
      <c r="E118" s="25"/>
      <c r="F118" s="25"/>
      <c r="G118" s="35"/>
      <c r="I118" s="17">
        <v>101</v>
      </c>
      <c r="J118" s="39"/>
      <c r="K118" s="39"/>
      <c r="L118" s="39"/>
      <c r="M118" s="39"/>
      <c r="N118" s="39"/>
      <c r="O118" s="39"/>
    </row>
    <row r="119" spans="1:15">
      <c r="A119" s="17">
        <v>102</v>
      </c>
      <c r="B119" s="25"/>
      <c r="C119" s="25"/>
      <c r="D119" s="25"/>
      <c r="E119" s="25"/>
      <c r="F119" s="25"/>
      <c r="G119" s="35"/>
      <c r="I119" s="17">
        <v>102</v>
      </c>
      <c r="J119" s="39"/>
      <c r="K119" s="39"/>
      <c r="L119" s="39"/>
      <c r="M119" s="39"/>
      <c r="N119" s="39"/>
      <c r="O119" s="39"/>
    </row>
    <row r="120" spans="1:15">
      <c r="A120" s="17">
        <v>103</v>
      </c>
      <c r="B120" s="25"/>
      <c r="C120" s="25"/>
      <c r="D120" s="25"/>
      <c r="E120" s="25"/>
      <c r="F120" s="25"/>
      <c r="G120" s="35"/>
      <c r="I120" s="17">
        <v>103</v>
      </c>
      <c r="J120" s="39"/>
      <c r="K120" s="39"/>
      <c r="L120" s="39"/>
      <c r="M120" s="39"/>
      <c r="N120" s="39"/>
      <c r="O120" s="39"/>
    </row>
    <row r="121" spans="1:15">
      <c r="A121" s="17">
        <v>104</v>
      </c>
      <c r="B121" s="25"/>
      <c r="C121" s="25"/>
      <c r="D121" s="25"/>
      <c r="E121" s="25"/>
      <c r="F121" s="25"/>
      <c r="G121" s="35"/>
      <c r="I121" s="17">
        <v>104</v>
      </c>
      <c r="J121" s="39"/>
      <c r="K121" s="39"/>
      <c r="L121" s="39"/>
      <c r="M121" s="39"/>
      <c r="N121" s="39"/>
      <c r="O121" s="39"/>
    </row>
    <row r="122" spans="1:15">
      <c r="A122" s="17">
        <v>105</v>
      </c>
      <c r="B122" s="25"/>
      <c r="C122" s="25"/>
      <c r="D122" s="25"/>
      <c r="E122" s="25"/>
      <c r="F122" s="25"/>
      <c r="G122" s="35"/>
      <c r="I122" s="17">
        <v>105</v>
      </c>
      <c r="J122" s="39"/>
      <c r="K122" s="39"/>
      <c r="L122" s="39"/>
      <c r="M122" s="39"/>
      <c r="N122" s="39"/>
      <c r="O122" s="39"/>
    </row>
    <row r="123" spans="1:15">
      <c r="A123" s="17">
        <v>106</v>
      </c>
      <c r="B123" s="25"/>
      <c r="C123" s="25"/>
      <c r="D123" s="25"/>
      <c r="E123" s="25"/>
      <c r="F123" s="25"/>
      <c r="G123" s="35"/>
      <c r="I123" s="17">
        <v>106</v>
      </c>
      <c r="J123" s="39"/>
      <c r="K123" s="39"/>
      <c r="L123" s="39"/>
      <c r="M123" s="39"/>
      <c r="N123" s="39"/>
      <c r="O123" s="39"/>
    </row>
    <row r="124" spans="1:15">
      <c r="A124" s="17">
        <v>107</v>
      </c>
      <c r="B124" s="25"/>
      <c r="C124" s="25"/>
      <c r="D124" s="25"/>
      <c r="E124" s="25"/>
      <c r="F124" s="25"/>
      <c r="G124" s="35"/>
      <c r="I124" s="17">
        <v>107</v>
      </c>
      <c r="J124" s="39"/>
      <c r="K124" s="39"/>
      <c r="L124" s="39"/>
      <c r="M124" s="39"/>
      <c r="N124" s="39"/>
      <c r="O124" s="39"/>
    </row>
    <row r="125" spans="1:15">
      <c r="A125" s="17">
        <v>108</v>
      </c>
      <c r="B125" s="25"/>
      <c r="C125" s="25"/>
      <c r="D125" s="25"/>
      <c r="E125" s="25"/>
      <c r="F125" s="25"/>
      <c r="G125" s="35"/>
      <c r="I125" s="17">
        <v>108</v>
      </c>
      <c r="J125" s="39"/>
      <c r="K125" s="39"/>
      <c r="L125" s="39"/>
      <c r="M125" s="39"/>
      <c r="N125" s="39"/>
      <c r="O125" s="39"/>
    </row>
    <row r="126" spans="1:15">
      <c r="A126" s="17">
        <v>109</v>
      </c>
      <c r="B126" s="25"/>
      <c r="C126" s="25"/>
      <c r="D126" s="25"/>
      <c r="E126" s="25"/>
      <c r="F126" s="25"/>
      <c r="G126" s="35"/>
      <c r="I126" s="17">
        <v>109</v>
      </c>
      <c r="J126" s="39"/>
      <c r="K126" s="39"/>
      <c r="L126" s="39"/>
      <c r="M126" s="39"/>
      <c r="N126" s="39"/>
      <c r="O126" s="39"/>
    </row>
    <row r="127" spans="1:15">
      <c r="A127" s="17">
        <v>110</v>
      </c>
      <c r="B127" s="25"/>
      <c r="C127" s="25"/>
      <c r="D127" s="25"/>
      <c r="E127" s="25"/>
      <c r="F127" s="25"/>
      <c r="G127" s="35"/>
      <c r="I127" s="17">
        <v>110</v>
      </c>
      <c r="J127" s="39"/>
      <c r="K127" s="39"/>
      <c r="L127" s="39"/>
      <c r="M127" s="39"/>
      <c r="N127" s="39"/>
      <c r="O127" s="39"/>
    </row>
    <row r="128" spans="1:15">
      <c r="A128" s="17">
        <v>111</v>
      </c>
      <c r="B128" s="25"/>
      <c r="C128" s="25"/>
      <c r="D128" s="25"/>
      <c r="E128" s="25"/>
      <c r="F128" s="25"/>
      <c r="G128" s="35"/>
      <c r="I128" s="17">
        <v>111</v>
      </c>
      <c r="J128" s="39"/>
      <c r="K128" s="39"/>
      <c r="L128" s="39"/>
      <c r="M128" s="39"/>
      <c r="N128" s="39"/>
      <c r="O128" s="39"/>
    </row>
    <row r="129" spans="1:15">
      <c r="A129" s="17">
        <v>112</v>
      </c>
      <c r="B129" s="25"/>
      <c r="C129" s="25"/>
      <c r="D129" s="25"/>
      <c r="E129" s="25"/>
      <c r="F129" s="25"/>
      <c r="G129" s="35"/>
      <c r="I129" s="17">
        <v>112</v>
      </c>
      <c r="J129" s="39"/>
      <c r="K129" s="39"/>
      <c r="L129" s="39"/>
      <c r="M129" s="39"/>
      <c r="N129" s="39"/>
      <c r="O129" s="39"/>
    </row>
    <row r="130" spans="1:15">
      <c r="A130" s="17">
        <v>113</v>
      </c>
      <c r="B130" s="25"/>
      <c r="C130" s="25"/>
      <c r="D130" s="25"/>
      <c r="E130" s="25"/>
      <c r="F130" s="25"/>
      <c r="G130" s="35"/>
      <c r="I130" s="17">
        <v>113</v>
      </c>
      <c r="J130" s="39"/>
      <c r="K130" s="39"/>
      <c r="L130" s="39"/>
      <c r="M130" s="39"/>
      <c r="N130" s="39"/>
      <c r="O130" s="39"/>
    </row>
    <row r="131" spans="1:15">
      <c r="A131" s="17">
        <v>114</v>
      </c>
      <c r="B131" s="25"/>
      <c r="C131" s="25"/>
      <c r="D131" s="25"/>
      <c r="E131" s="25"/>
      <c r="F131" s="25"/>
      <c r="G131" s="35"/>
      <c r="I131" s="17">
        <v>114</v>
      </c>
      <c r="J131" s="39"/>
      <c r="K131" s="39"/>
      <c r="L131" s="39"/>
      <c r="M131" s="39"/>
      <c r="N131" s="39"/>
      <c r="O131" s="39"/>
    </row>
    <row r="132" spans="1:15">
      <c r="A132" s="17">
        <v>115</v>
      </c>
      <c r="B132" s="25"/>
      <c r="C132" s="25"/>
      <c r="D132" s="25"/>
      <c r="E132" s="25"/>
      <c r="F132" s="25"/>
      <c r="G132" s="35"/>
      <c r="I132" s="17">
        <v>115</v>
      </c>
      <c r="J132" s="39"/>
      <c r="K132" s="39"/>
      <c r="L132" s="39"/>
      <c r="M132" s="39"/>
      <c r="N132" s="39"/>
      <c r="O132" s="39"/>
    </row>
    <row r="133" spans="1:15">
      <c r="A133" s="17">
        <v>116</v>
      </c>
      <c r="B133" s="25"/>
      <c r="C133" s="25"/>
      <c r="D133" s="25"/>
      <c r="E133" s="25"/>
      <c r="F133" s="25"/>
      <c r="G133" s="35"/>
      <c r="I133" s="17">
        <v>116</v>
      </c>
      <c r="J133" s="39"/>
      <c r="K133" s="39"/>
      <c r="L133" s="39"/>
      <c r="M133" s="39"/>
      <c r="N133" s="39"/>
      <c r="O133" s="39"/>
    </row>
    <row r="134" spans="1:15">
      <c r="A134" s="17">
        <v>117</v>
      </c>
      <c r="B134" s="25"/>
      <c r="C134" s="25"/>
      <c r="D134" s="25"/>
      <c r="E134" s="25"/>
      <c r="F134" s="25"/>
      <c r="G134" s="35"/>
      <c r="I134" s="17">
        <v>117</v>
      </c>
      <c r="J134" s="39"/>
      <c r="K134" s="39"/>
      <c r="L134" s="39"/>
      <c r="M134" s="39"/>
      <c r="N134" s="39"/>
      <c r="O134" s="39"/>
    </row>
    <row r="135" spans="1:15">
      <c r="A135" s="17">
        <v>118</v>
      </c>
      <c r="B135" s="25"/>
      <c r="C135" s="25"/>
      <c r="D135" s="25"/>
      <c r="E135" s="25"/>
      <c r="F135" s="25"/>
      <c r="G135" s="35"/>
      <c r="I135" s="17">
        <v>118</v>
      </c>
      <c r="J135" s="39"/>
      <c r="K135" s="39"/>
      <c r="L135" s="39"/>
      <c r="M135" s="39"/>
      <c r="N135" s="39"/>
      <c r="O135" s="39"/>
    </row>
    <row r="136" spans="1:15">
      <c r="A136" s="17">
        <v>119</v>
      </c>
      <c r="B136" s="25"/>
      <c r="C136" s="25"/>
      <c r="D136" s="25"/>
      <c r="E136" s="25"/>
      <c r="F136" s="25"/>
      <c r="G136" s="35"/>
      <c r="I136" s="17">
        <v>119</v>
      </c>
      <c r="J136" s="39"/>
      <c r="K136" s="39"/>
      <c r="L136" s="39"/>
      <c r="M136" s="39"/>
      <c r="N136" s="39"/>
      <c r="O136" s="39"/>
    </row>
    <row r="137" spans="1:15">
      <c r="A137" s="17">
        <v>120</v>
      </c>
      <c r="B137" s="25"/>
      <c r="C137" s="25"/>
      <c r="D137" s="25"/>
      <c r="E137" s="25"/>
      <c r="F137" s="25"/>
      <c r="G137" s="35"/>
      <c r="I137" s="17">
        <v>120</v>
      </c>
      <c r="J137" s="39"/>
      <c r="K137" s="39"/>
      <c r="L137" s="39"/>
      <c r="M137" s="39"/>
      <c r="N137" s="39"/>
      <c r="O137" s="39"/>
    </row>
    <row r="138" spans="1:15">
      <c r="A138" s="17">
        <v>121</v>
      </c>
      <c r="B138" s="25"/>
      <c r="C138" s="25"/>
      <c r="D138" s="25"/>
      <c r="E138" s="25"/>
      <c r="F138" s="25"/>
      <c r="G138" s="35"/>
      <c r="I138" s="17">
        <v>121</v>
      </c>
      <c r="J138" s="39"/>
      <c r="K138" s="39"/>
      <c r="L138" s="39"/>
      <c r="M138" s="39"/>
      <c r="N138" s="39"/>
      <c r="O138" s="39"/>
    </row>
    <row r="139" spans="1:15">
      <c r="A139" s="17">
        <v>122</v>
      </c>
      <c r="B139" s="25"/>
      <c r="C139" s="25"/>
      <c r="D139" s="25"/>
      <c r="E139" s="25"/>
      <c r="F139" s="25"/>
      <c r="G139" s="35"/>
      <c r="I139" s="17">
        <v>122</v>
      </c>
      <c r="J139" s="39"/>
      <c r="K139" s="39"/>
      <c r="L139" s="39"/>
      <c r="M139" s="39"/>
      <c r="N139" s="39"/>
      <c r="O139" s="39"/>
    </row>
    <row r="140" spans="1:15">
      <c r="A140" s="17">
        <v>123</v>
      </c>
      <c r="B140" s="25"/>
      <c r="C140" s="25"/>
      <c r="D140" s="25"/>
      <c r="E140" s="25"/>
      <c r="F140" s="25"/>
      <c r="G140" s="35"/>
      <c r="I140" s="17">
        <v>123</v>
      </c>
      <c r="J140" s="39"/>
      <c r="K140" s="39"/>
      <c r="L140" s="39"/>
      <c r="M140" s="39"/>
      <c r="N140" s="39"/>
      <c r="O140" s="39"/>
    </row>
    <row r="141" spans="1:15">
      <c r="A141" s="17">
        <v>124</v>
      </c>
      <c r="B141" s="25"/>
      <c r="C141" s="25"/>
      <c r="D141" s="25"/>
      <c r="E141" s="25"/>
      <c r="F141" s="25"/>
      <c r="G141" s="35"/>
      <c r="I141" s="17">
        <v>124</v>
      </c>
      <c r="J141" s="39"/>
      <c r="K141" s="39"/>
      <c r="L141" s="39"/>
      <c r="M141" s="39"/>
      <c r="N141" s="39"/>
      <c r="O141" s="39"/>
    </row>
    <row r="142" spans="1:15">
      <c r="A142" s="17">
        <v>125</v>
      </c>
      <c r="B142" s="25"/>
      <c r="C142" s="25"/>
      <c r="D142" s="25"/>
      <c r="E142" s="25"/>
      <c r="F142" s="25"/>
      <c r="G142" s="35"/>
      <c r="I142" s="17">
        <v>125</v>
      </c>
      <c r="J142" s="39"/>
      <c r="K142" s="39"/>
      <c r="L142" s="39"/>
      <c r="M142" s="39"/>
      <c r="N142" s="39"/>
      <c r="O142" s="39"/>
    </row>
    <row r="143" spans="1:15">
      <c r="A143" s="17">
        <v>126</v>
      </c>
      <c r="B143" s="25"/>
      <c r="C143" s="25"/>
      <c r="D143" s="25"/>
      <c r="E143" s="25"/>
      <c r="F143" s="25"/>
      <c r="G143" s="35"/>
      <c r="I143" s="17">
        <v>126</v>
      </c>
      <c r="J143" s="39"/>
      <c r="K143" s="39"/>
      <c r="L143" s="39"/>
      <c r="M143" s="39"/>
      <c r="N143" s="39"/>
      <c r="O143" s="39"/>
    </row>
    <row r="144" spans="1:15">
      <c r="A144" s="17">
        <v>127</v>
      </c>
      <c r="B144" s="25"/>
      <c r="C144" s="25"/>
      <c r="D144" s="25"/>
      <c r="E144" s="25"/>
      <c r="F144" s="25"/>
      <c r="G144" s="35"/>
      <c r="I144" s="17">
        <v>127</v>
      </c>
      <c r="J144" s="39"/>
      <c r="K144" s="39"/>
      <c r="L144" s="39"/>
      <c r="M144" s="39"/>
      <c r="N144" s="39"/>
      <c r="O144" s="39"/>
    </row>
    <row r="145" spans="1:15">
      <c r="A145" s="17">
        <v>128</v>
      </c>
      <c r="B145" s="25"/>
      <c r="C145" s="25"/>
      <c r="D145" s="25"/>
      <c r="E145" s="25"/>
      <c r="F145" s="25"/>
      <c r="G145" s="35"/>
      <c r="I145" s="17">
        <v>128</v>
      </c>
      <c r="J145" s="39"/>
      <c r="K145" s="39"/>
      <c r="L145" s="39"/>
      <c r="M145" s="39"/>
      <c r="N145" s="39"/>
      <c r="O145" s="39"/>
    </row>
    <row r="146" spans="1:15">
      <c r="A146" s="17">
        <v>129</v>
      </c>
      <c r="B146" s="25"/>
      <c r="C146" s="25"/>
      <c r="D146" s="25"/>
      <c r="E146" s="25"/>
      <c r="F146" s="25"/>
      <c r="G146" s="35"/>
      <c r="I146" s="17">
        <v>129</v>
      </c>
      <c r="J146" s="39"/>
      <c r="K146" s="39"/>
      <c r="L146" s="39"/>
      <c r="M146" s="39"/>
      <c r="N146" s="39"/>
      <c r="O146" s="39"/>
    </row>
    <row r="147" spans="1:15">
      <c r="A147" s="17">
        <v>130</v>
      </c>
      <c r="B147" s="25"/>
      <c r="C147" s="25"/>
      <c r="D147" s="25"/>
      <c r="E147" s="25"/>
      <c r="F147" s="25"/>
      <c r="G147" s="35"/>
      <c r="I147" s="17">
        <v>130</v>
      </c>
      <c r="J147" s="39"/>
      <c r="K147" s="39"/>
      <c r="L147" s="39"/>
      <c r="M147" s="39"/>
      <c r="N147" s="39"/>
      <c r="O147" s="39"/>
    </row>
    <row r="148" spans="1:15">
      <c r="A148" s="17">
        <v>131</v>
      </c>
      <c r="B148" s="25"/>
      <c r="C148" s="25"/>
      <c r="D148" s="25"/>
      <c r="E148" s="25"/>
      <c r="F148" s="25"/>
      <c r="G148" s="35"/>
      <c r="I148" s="17">
        <v>131</v>
      </c>
      <c r="J148" s="39"/>
      <c r="K148" s="39"/>
      <c r="L148" s="39"/>
      <c r="M148" s="39"/>
      <c r="N148" s="39"/>
      <c r="O148" s="39"/>
    </row>
    <row r="149" spans="1:15">
      <c r="A149" s="17">
        <v>132</v>
      </c>
      <c r="B149" s="25"/>
      <c r="C149" s="25"/>
      <c r="D149" s="25"/>
      <c r="E149" s="25"/>
      <c r="F149" s="25"/>
      <c r="G149" s="35"/>
      <c r="I149" s="17">
        <v>132</v>
      </c>
      <c r="J149" s="39"/>
      <c r="K149" s="39"/>
      <c r="L149" s="39"/>
      <c r="M149" s="39"/>
      <c r="N149" s="39"/>
      <c r="O149" s="39"/>
    </row>
    <row r="150" spans="1:15">
      <c r="A150" s="17">
        <v>133</v>
      </c>
      <c r="B150" s="25"/>
      <c r="C150" s="25"/>
      <c r="D150" s="25"/>
      <c r="E150" s="25"/>
      <c r="F150" s="25"/>
      <c r="G150" s="35"/>
      <c r="I150" s="17">
        <v>133</v>
      </c>
      <c r="J150" s="39"/>
      <c r="K150" s="39"/>
      <c r="L150" s="39"/>
      <c r="M150" s="39"/>
      <c r="N150" s="39"/>
      <c r="O150" s="39"/>
    </row>
    <row r="151" spans="1:15">
      <c r="A151" s="17">
        <v>134</v>
      </c>
      <c r="B151" s="25"/>
      <c r="C151" s="25"/>
      <c r="D151" s="25"/>
      <c r="E151" s="25"/>
      <c r="F151" s="25"/>
      <c r="G151" s="35"/>
      <c r="I151" s="17">
        <v>134</v>
      </c>
      <c r="J151" s="39"/>
      <c r="K151" s="39"/>
      <c r="L151" s="39"/>
      <c r="M151" s="39"/>
      <c r="N151" s="39"/>
      <c r="O151" s="39"/>
    </row>
    <row r="152" spans="1:15">
      <c r="A152" s="17">
        <v>135</v>
      </c>
      <c r="B152" s="25"/>
      <c r="C152" s="25"/>
      <c r="D152" s="25"/>
      <c r="E152" s="25"/>
      <c r="F152" s="25"/>
      <c r="G152" s="35"/>
      <c r="I152" s="17">
        <v>135</v>
      </c>
      <c r="J152" s="39"/>
      <c r="K152" s="39"/>
      <c r="L152" s="39"/>
      <c r="M152" s="39"/>
      <c r="N152" s="39"/>
      <c r="O152" s="39"/>
    </row>
    <row r="153" spans="1:15">
      <c r="A153" s="17">
        <v>136</v>
      </c>
      <c r="B153" s="25"/>
      <c r="C153" s="25"/>
      <c r="D153" s="25"/>
      <c r="E153" s="25"/>
      <c r="F153" s="25"/>
      <c r="G153" s="35"/>
      <c r="I153" s="17">
        <v>136</v>
      </c>
      <c r="J153" s="39"/>
      <c r="K153" s="39"/>
      <c r="L153" s="39"/>
      <c r="M153" s="39"/>
      <c r="N153" s="39"/>
      <c r="O153" s="39"/>
    </row>
    <row r="154" spans="1:15">
      <c r="A154" s="17">
        <v>137</v>
      </c>
      <c r="B154" s="25"/>
      <c r="C154" s="25"/>
      <c r="D154" s="25"/>
      <c r="E154" s="25"/>
      <c r="F154" s="25"/>
      <c r="G154" s="35"/>
      <c r="I154" s="17">
        <v>137</v>
      </c>
      <c r="J154" s="39"/>
      <c r="K154" s="39"/>
      <c r="L154" s="39"/>
      <c r="M154" s="39"/>
      <c r="N154" s="39"/>
      <c r="O154" s="39"/>
    </row>
    <row r="155" spans="1:15">
      <c r="A155" s="17">
        <v>138</v>
      </c>
      <c r="B155" s="25"/>
      <c r="C155" s="25"/>
      <c r="D155" s="25"/>
      <c r="E155" s="25"/>
      <c r="F155" s="25"/>
      <c r="G155" s="35"/>
      <c r="I155" s="17">
        <v>138</v>
      </c>
      <c r="J155" s="39"/>
      <c r="K155" s="39"/>
      <c r="L155" s="39"/>
      <c r="M155" s="39"/>
      <c r="N155" s="39"/>
      <c r="O155" s="39"/>
    </row>
    <row r="156" spans="1:15">
      <c r="A156" s="17">
        <v>139</v>
      </c>
      <c r="B156" s="25"/>
      <c r="C156" s="25"/>
      <c r="D156" s="25"/>
      <c r="E156" s="25"/>
      <c r="F156" s="25"/>
      <c r="G156" s="35"/>
      <c r="I156" s="17">
        <v>139</v>
      </c>
      <c r="J156" s="39"/>
      <c r="K156" s="39"/>
      <c r="L156" s="39"/>
      <c r="M156" s="39"/>
      <c r="N156" s="39"/>
      <c r="O156" s="39"/>
    </row>
    <row r="157" spans="1:15">
      <c r="A157" s="17">
        <v>140</v>
      </c>
      <c r="B157" s="25"/>
      <c r="C157" s="25"/>
      <c r="D157" s="25"/>
      <c r="E157" s="25"/>
      <c r="F157" s="25"/>
      <c r="G157" s="35"/>
      <c r="I157" s="17">
        <v>140</v>
      </c>
      <c r="J157" s="39"/>
      <c r="K157" s="39"/>
      <c r="L157" s="39"/>
      <c r="M157" s="39"/>
      <c r="N157" s="39"/>
      <c r="O157" s="39"/>
    </row>
    <row r="158" spans="1:15">
      <c r="A158" s="17">
        <v>141</v>
      </c>
      <c r="B158" s="25"/>
      <c r="C158" s="25"/>
      <c r="D158" s="25"/>
      <c r="E158" s="25"/>
      <c r="F158" s="25"/>
      <c r="G158" s="35"/>
      <c r="I158" s="17">
        <v>141</v>
      </c>
      <c r="J158" s="39"/>
      <c r="K158" s="39"/>
      <c r="L158" s="39"/>
      <c r="M158" s="39"/>
      <c r="N158" s="39"/>
      <c r="O158" s="39"/>
    </row>
    <row r="159" spans="1:15">
      <c r="A159" s="17">
        <v>142</v>
      </c>
      <c r="B159" s="25"/>
      <c r="C159" s="25"/>
      <c r="D159" s="25"/>
      <c r="E159" s="25"/>
      <c r="F159" s="25"/>
      <c r="G159" s="35"/>
      <c r="I159" s="17">
        <v>142</v>
      </c>
      <c r="J159" s="39"/>
      <c r="K159" s="39"/>
      <c r="L159" s="39"/>
      <c r="M159" s="39"/>
      <c r="N159" s="39"/>
      <c r="O159" s="39"/>
    </row>
    <row r="160" spans="1:15">
      <c r="A160" s="17">
        <v>143</v>
      </c>
      <c r="B160" s="25"/>
      <c r="C160" s="25"/>
      <c r="D160" s="25"/>
      <c r="E160" s="25"/>
      <c r="F160" s="25"/>
      <c r="G160" s="35"/>
      <c r="I160" s="17">
        <v>143</v>
      </c>
      <c r="J160" s="39"/>
      <c r="K160" s="39"/>
      <c r="L160" s="39"/>
      <c r="M160" s="39"/>
      <c r="N160" s="39"/>
      <c r="O160" s="39"/>
    </row>
    <row r="161" spans="1:15">
      <c r="A161" s="17">
        <v>144</v>
      </c>
      <c r="B161" s="25"/>
      <c r="C161" s="25"/>
      <c r="D161" s="25"/>
      <c r="E161" s="25"/>
      <c r="F161" s="25"/>
      <c r="G161" s="35"/>
      <c r="I161" s="17">
        <v>144</v>
      </c>
      <c r="J161" s="39"/>
      <c r="K161" s="39"/>
      <c r="L161" s="39"/>
      <c r="M161" s="39"/>
      <c r="N161" s="39"/>
      <c r="O161" s="39"/>
    </row>
    <row r="162" spans="1:15">
      <c r="A162" s="17">
        <v>145</v>
      </c>
      <c r="B162" s="25"/>
      <c r="C162" s="25"/>
      <c r="D162" s="25"/>
      <c r="E162" s="25"/>
      <c r="F162" s="25"/>
      <c r="G162" s="35"/>
      <c r="I162" s="17">
        <v>145</v>
      </c>
      <c r="J162" s="39"/>
      <c r="K162" s="39"/>
      <c r="L162" s="39"/>
      <c r="M162" s="39"/>
      <c r="N162" s="39"/>
      <c r="O162" s="39"/>
    </row>
    <row r="163" spans="1:15">
      <c r="A163" s="17">
        <v>146</v>
      </c>
      <c r="B163" s="25"/>
      <c r="C163" s="25"/>
      <c r="D163" s="25"/>
      <c r="E163" s="25"/>
      <c r="F163" s="25"/>
      <c r="G163" s="35"/>
      <c r="I163" s="17">
        <v>146</v>
      </c>
      <c r="J163" s="39"/>
      <c r="K163" s="39"/>
      <c r="L163" s="39"/>
      <c r="M163" s="39"/>
      <c r="N163" s="39"/>
      <c r="O163" s="39"/>
    </row>
    <row r="164" spans="1:15">
      <c r="A164" s="17">
        <v>147</v>
      </c>
      <c r="B164" s="25"/>
      <c r="C164" s="25"/>
      <c r="D164" s="25"/>
      <c r="E164" s="25"/>
      <c r="F164" s="25"/>
      <c r="G164" s="35"/>
      <c r="I164" s="17">
        <v>147</v>
      </c>
      <c r="J164" s="39"/>
      <c r="K164" s="39"/>
      <c r="L164" s="39"/>
      <c r="M164" s="39"/>
      <c r="N164" s="39"/>
      <c r="O164" s="39"/>
    </row>
    <row r="165" spans="1:15">
      <c r="A165" s="17">
        <v>148</v>
      </c>
      <c r="B165" s="25"/>
      <c r="C165" s="25"/>
      <c r="D165" s="25"/>
      <c r="E165" s="25"/>
      <c r="F165" s="25"/>
      <c r="G165" s="35"/>
      <c r="I165" s="17">
        <v>148</v>
      </c>
      <c r="J165" s="39"/>
      <c r="K165" s="39"/>
      <c r="L165" s="39"/>
      <c r="M165" s="39"/>
      <c r="N165" s="39"/>
      <c r="O165" s="39"/>
    </row>
    <row r="166" spans="1:15">
      <c r="A166" s="17">
        <v>149</v>
      </c>
      <c r="B166" s="25"/>
      <c r="C166" s="25"/>
      <c r="D166" s="25"/>
      <c r="E166" s="25"/>
      <c r="F166" s="25"/>
      <c r="G166" s="35"/>
      <c r="I166" s="17">
        <v>149</v>
      </c>
      <c r="J166" s="39"/>
      <c r="K166" s="39"/>
      <c r="L166" s="39"/>
      <c r="M166" s="39"/>
      <c r="N166" s="39"/>
      <c r="O166" s="39"/>
    </row>
    <row r="167" spans="1:15">
      <c r="A167" s="17">
        <v>150</v>
      </c>
      <c r="B167" s="25"/>
      <c r="C167" s="25"/>
      <c r="D167" s="25"/>
      <c r="E167" s="25"/>
      <c r="F167" s="25"/>
      <c r="G167" s="35"/>
      <c r="I167" s="17">
        <v>150</v>
      </c>
      <c r="J167" s="39"/>
      <c r="K167" s="39"/>
      <c r="L167" s="39"/>
      <c r="M167" s="39"/>
      <c r="N167" s="39"/>
      <c r="O167" s="39"/>
    </row>
    <row r="168" spans="1:15">
      <c r="A168" s="17">
        <v>151</v>
      </c>
      <c r="B168" s="25"/>
      <c r="C168" s="25"/>
      <c r="D168" s="25"/>
      <c r="E168" s="25"/>
      <c r="F168" s="25"/>
      <c r="G168" s="35"/>
      <c r="I168" s="17">
        <v>151</v>
      </c>
      <c r="J168" s="39"/>
      <c r="K168" s="39"/>
      <c r="L168" s="39"/>
      <c r="M168" s="39"/>
      <c r="N168" s="39"/>
      <c r="O168" s="39"/>
    </row>
    <row r="169" spans="1:15">
      <c r="A169" s="17">
        <v>152</v>
      </c>
      <c r="B169" s="25"/>
      <c r="C169" s="25"/>
      <c r="D169" s="25"/>
      <c r="E169" s="25"/>
      <c r="F169" s="25"/>
      <c r="G169" s="35"/>
      <c r="I169" s="17">
        <v>152</v>
      </c>
      <c r="J169" s="39"/>
      <c r="K169" s="39"/>
      <c r="L169" s="39"/>
      <c r="M169" s="39"/>
      <c r="N169" s="39"/>
      <c r="O169" s="39"/>
    </row>
    <row r="170" spans="1:15">
      <c r="A170" s="17">
        <v>153</v>
      </c>
      <c r="B170" s="25"/>
      <c r="C170" s="25"/>
      <c r="D170" s="25"/>
      <c r="E170" s="25"/>
      <c r="F170" s="25"/>
      <c r="G170" s="35"/>
      <c r="I170" s="17">
        <v>153</v>
      </c>
      <c r="J170" s="39"/>
      <c r="K170" s="39"/>
      <c r="L170" s="39"/>
      <c r="M170" s="39"/>
      <c r="N170" s="39"/>
      <c r="O170" s="39"/>
    </row>
    <row r="171" spans="1:15">
      <c r="A171" s="17">
        <v>154</v>
      </c>
      <c r="B171" s="25"/>
      <c r="C171" s="25"/>
      <c r="D171" s="25"/>
      <c r="E171" s="25"/>
      <c r="F171" s="25"/>
      <c r="G171" s="35"/>
      <c r="I171" s="17">
        <v>154</v>
      </c>
      <c r="J171" s="39"/>
      <c r="K171" s="39"/>
      <c r="L171" s="39"/>
      <c r="M171" s="39"/>
      <c r="N171" s="39"/>
      <c r="O171" s="39"/>
    </row>
    <row r="172" spans="1:15">
      <c r="A172" s="17">
        <v>155</v>
      </c>
      <c r="B172" s="25"/>
      <c r="C172" s="25"/>
      <c r="D172" s="25"/>
      <c r="E172" s="25"/>
      <c r="F172" s="25"/>
      <c r="G172" s="35"/>
      <c r="I172" s="17">
        <v>155</v>
      </c>
      <c r="J172" s="39"/>
      <c r="K172" s="39"/>
      <c r="L172" s="39"/>
      <c r="M172" s="39"/>
      <c r="N172" s="39"/>
      <c r="O172" s="39"/>
    </row>
    <row r="173" spans="1:15">
      <c r="A173" s="17">
        <v>156</v>
      </c>
      <c r="B173" s="25"/>
      <c r="C173" s="25"/>
      <c r="D173" s="25"/>
      <c r="E173" s="25"/>
      <c r="F173" s="25"/>
      <c r="G173" s="35"/>
      <c r="I173" s="17">
        <v>156</v>
      </c>
      <c r="J173" s="39"/>
      <c r="K173" s="39"/>
      <c r="L173" s="39"/>
      <c r="M173" s="39"/>
      <c r="N173" s="39"/>
      <c r="O173" s="39"/>
    </row>
    <row r="174" spans="1:15">
      <c r="A174" s="17">
        <v>157</v>
      </c>
      <c r="B174" s="25"/>
      <c r="C174" s="25"/>
      <c r="D174" s="25"/>
      <c r="E174" s="25"/>
      <c r="F174" s="25"/>
      <c r="G174" s="35"/>
      <c r="I174" s="17">
        <v>157</v>
      </c>
      <c r="J174" s="39"/>
      <c r="K174" s="39"/>
      <c r="L174" s="39"/>
      <c r="M174" s="39"/>
      <c r="N174" s="39"/>
      <c r="O174" s="39"/>
    </row>
    <row r="175" spans="1:15">
      <c r="A175" s="17">
        <v>158</v>
      </c>
      <c r="B175" s="25"/>
      <c r="C175" s="25"/>
      <c r="D175" s="25"/>
      <c r="E175" s="25"/>
      <c r="F175" s="25"/>
      <c r="G175" s="35"/>
      <c r="I175" s="17">
        <v>158</v>
      </c>
      <c r="J175" s="39"/>
      <c r="K175" s="39"/>
      <c r="L175" s="39"/>
      <c r="M175" s="39"/>
      <c r="N175" s="39"/>
      <c r="O175" s="39"/>
    </row>
    <row r="176" spans="1:15">
      <c r="A176" s="17">
        <v>159</v>
      </c>
      <c r="B176" s="25"/>
      <c r="C176" s="25"/>
      <c r="D176" s="25"/>
      <c r="E176" s="25"/>
      <c r="F176" s="25"/>
      <c r="G176" s="35"/>
      <c r="I176" s="17">
        <v>159</v>
      </c>
      <c r="J176" s="39"/>
      <c r="K176" s="39"/>
      <c r="L176" s="39"/>
      <c r="M176" s="39"/>
      <c r="N176" s="39"/>
      <c r="O176" s="39"/>
    </row>
    <row r="177" spans="1:15">
      <c r="A177" s="17">
        <v>160</v>
      </c>
      <c r="B177" s="25"/>
      <c r="C177" s="25"/>
      <c r="D177" s="25"/>
      <c r="E177" s="25"/>
      <c r="F177" s="25"/>
      <c r="G177" s="35"/>
      <c r="I177" s="17">
        <v>160</v>
      </c>
      <c r="J177" s="39"/>
      <c r="K177" s="39"/>
      <c r="L177" s="39"/>
      <c r="M177" s="39"/>
      <c r="N177" s="39"/>
      <c r="O177" s="39"/>
    </row>
    <row r="178" spans="1:15">
      <c r="A178" s="17">
        <v>161</v>
      </c>
      <c r="B178" s="25"/>
      <c r="C178" s="25"/>
      <c r="D178" s="25"/>
      <c r="E178" s="25"/>
      <c r="F178" s="25"/>
      <c r="G178" s="35"/>
      <c r="I178" s="17">
        <v>161</v>
      </c>
      <c r="J178" s="39"/>
      <c r="K178" s="39"/>
      <c r="L178" s="39"/>
      <c r="M178" s="39"/>
      <c r="N178" s="39"/>
      <c r="O178" s="39"/>
    </row>
    <row r="179" spans="1:15">
      <c r="A179" s="17">
        <v>162</v>
      </c>
      <c r="B179" s="25"/>
      <c r="C179" s="25"/>
      <c r="D179" s="25"/>
      <c r="E179" s="25"/>
      <c r="F179" s="25"/>
      <c r="G179" s="35"/>
      <c r="I179" s="17">
        <v>162</v>
      </c>
      <c r="J179" s="39"/>
      <c r="K179" s="39"/>
      <c r="L179" s="39"/>
      <c r="M179" s="39"/>
      <c r="N179" s="39"/>
      <c r="O179" s="39"/>
    </row>
    <row r="180" spans="1:15">
      <c r="A180" s="17">
        <v>163</v>
      </c>
      <c r="B180" s="25"/>
      <c r="C180" s="25"/>
      <c r="D180" s="25"/>
      <c r="E180" s="25"/>
      <c r="F180" s="25"/>
      <c r="G180" s="35"/>
      <c r="I180" s="17">
        <v>163</v>
      </c>
      <c r="J180" s="39"/>
      <c r="K180" s="39"/>
      <c r="L180" s="39"/>
      <c r="M180" s="39"/>
      <c r="N180" s="39"/>
      <c r="O180" s="39"/>
    </row>
    <row r="181" spans="1:15">
      <c r="A181" s="17">
        <v>164</v>
      </c>
      <c r="B181" s="25"/>
      <c r="C181" s="25"/>
      <c r="D181" s="25"/>
      <c r="E181" s="25"/>
      <c r="F181" s="25"/>
      <c r="G181" s="35"/>
      <c r="I181" s="17">
        <v>164</v>
      </c>
      <c r="J181" s="39"/>
      <c r="K181" s="39"/>
      <c r="L181" s="39"/>
      <c r="M181" s="39"/>
      <c r="N181" s="39"/>
      <c r="O181" s="39"/>
    </row>
    <row r="182" spans="1:15">
      <c r="A182" s="17">
        <v>165</v>
      </c>
      <c r="B182" s="25"/>
      <c r="C182" s="25"/>
      <c r="D182" s="25"/>
      <c r="E182" s="25"/>
      <c r="F182" s="25"/>
      <c r="G182" s="35"/>
      <c r="I182" s="17">
        <v>165</v>
      </c>
      <c r="J182" s="39"/>
      <c r="K182" s="39"/>
      <c r="L182" s="39"/>
      <c r="M182" s="39"/>
      <c r="N182" s="39"/>
      <c r="O182" s="39"/>
    </row>
    <row r="183" spans="1:15">
      <c r="A183" s="17">
        <v>166</v>
      </c>
      <c r="B183" s="25"/>
      <c r="C183" s="25"/>
      <c r="D183" s="25"/>
      <c r="E183" s="25"/>
      <c r="F183" s="25"/>
      <c r="G183" s="35"/>
      <c r="I183" s="17">
        <v>166</v>
      </c>
      <c r="J183" s="39"/>
      <c r="K183" s="39"/>
      <c r="L183" s="39"/>
      <c r="M183" s="39"/>
      <c r="N183" s="39"/>
      <c r="O183" s="39"/>
    </row>
    <row r="184" spans="1:15">
      <c r="A184" s="17">
        <v>167</v>
      </c>
      <c r="B184" s="25"/>
      <c r="C184" s="25"/>
      <c r="D184" s="25"/>
      <c r="E184" s="25"/>
      <c r="F184" s="25"/>
      <c r="G184" s="35"/>
      <c r="I184" s="17">
        <v>167</v>
      </c>
      <c r="J184" s="39"/>
      <c r="K184" s="39"/>
      <c r="L184" s="39"/>
      <c r="M184" s="39"/>
      <c r="N184" s="39"/>
      <c r="O184" s="39"/>
    </row>
    <row r="185" spans="1:15">
      <c r="A185" s="17">
        <v>168</v>
      </c>
      <c r="B185" s="25"/>
      <c r="C185" s="25"/>
      <c r="D185" s="25"/>
      <c r="E185" s="25"/>
      <c r="F185" s="25"/>
      <c r="G185" s="35"/>
      <c r="I185" s="17">
        <v>168</v>
      </c>
      <c r="J185" s="39"/>
      <c r="K185" s="39"/>
      <c r="L185" s="39"/>
      <c r="M185" s="39"/>
      <c r="N185" s="39"/>
      <c r="O185" s="39"/>
    </row>
    <row r="186" spans="1:15">
      <c r="A186" s="17">
        <v>169</v>
      </c>
      <c r="B186" s="25"/>
      <c r="C186" s="25"/>
      <c r="D186" s="25"/>
      <c r="E186" s="25"/>
      <c r="F186" s="25"/>
      <c r="G186" s="35"/>
      <c r="I186" s="17">
        <v>169</v>
      </c>
      <c r="J186" s="39"/>
      <c r="K186" s="39"/>
      <c r="L186" s="39"/>
      <c r="M186" s="39"/>
      <c r="N186" s="39"/>
      <c r="O186" s="39"/>
    </row>
    <row r="187" spans="1:15">
      <c r="A187" s="17">
        <v>170</v>
      </c>
      <c r="B187" s="25"/>
      <c r="C187" s="25"/>
      <c r="D187" s="25"/>
      <c r="E187" s="25"/>
      <c r="F187" s="25"/>
      <c r="G187" s="35"/>
      <c r="I187" s="17">
        <v>170</v>
      </c>
      <c r="J187" s="39"/>
      <c r="K187" s="39"/>
      <c r="L187" s="39"/>
      <c r="M187" s="39"/>
      <c r="N187" s="39"/>
      <c r="O187" s="39"/>
    </row>
    <row r="188" spans="1:15">
      <c r="A188" s="17">
        <v>171</v>
      </c>
      <c r="B188" s="25"/>
      <c r="C188" s="25"/>
      <c r="D188" s="25"/>
      <c r="E188" s="25"/>
      <c r="F188" s="25"/>
      <c r="G188" s="35"/>
      <c r="I188" s="17">
        <v>171</v>
      </c>
      <c r="J188" s="39"/>
      <c r="K188" s="39"/>
      <c r="L188" s="39"/>
      <c r="M188" s="39"/>
      <c r="N188" s="39"/>
      <c r="O188" s="39"/>
    </row>
    <row r="189" spans="1:15">
      <c r="A189" s="17">
        <v>172</v>
      </c>
      <c r="B189" s="25"/>
      <c r="C189" s="25"/>
      <c r="D189" s="25"/>
      <c r="E189" s="25"/>
      <c r="F189" s="25"/>
      <c r="G189" s="35"/>
      <c r="I189" s="17">
        <v>172</v>
      </c>
      <c r="J189" s="39"/>
      <c r="K189" s="39"/>
      <c r="L189" s="39"/>
      <c r="M189" s="39"/>
      <c r="N189" s="39"/>
      <c r="O189" s="39"/>
    </row>
    <row r="190" spans="1:15">
      <c r="A190" s="17">
        <v>173</v>
      </c>
      <c r="B190" s="25"/>
      <c r="C190" s="25"/>
      <c r="D190" s="25"/>
      <c r="E190" s="25"/>
      <c r="F190" s="25"/>
      <c r="G190" s="35"/>
      <c r="I190" s="17">
        <v>173</v>
      </c>
      <c r="J190" s="39"/>
      <c r="K190" s="39"/>
      <c r="L190" s="39"/>
      <c r="M190" s="39"/>
      <c r="N190" s="39"/>
      <c r="O190" s="39"/>
    </row>
    <row r="191" spans="1:15">
      <c r="A191" s="17">
        <v>174</v>
      </c>
      <c r="B191" s="25"/>
      <c r="C191" s="25"/>
      <c r="D191" s="25"/>
      <c r="E191" s="25"/>
      <c r="F191" s="25"/>
      <c r="G191" s="35"/>
      <c r="I191" s="17">
        <v>174</v>
      </c>
      <c r="J191" s="39"/>
      <c r="K191" s="39"/>
      <c r="L191" s="39"/>
      <c r="M191" s="39"/>
      <c r="N191" s="39"/>
      <c r="O191" s="39"/>
    </row>
    <row r="192" spans="1:15">
      <c r="A192" s="17">
        <v>175</v>
      </c>
      <c r="B192" s="25"/>
      <c r="C192" s="25"/>
      <c r="D192" s="25"/>
      <c r="E192" s="25"/>
      <c r="F192" s="25"/>
      <c r="G192" s="35"/>
      <c r="I192" s="17">
        <v>175</v>
      </c>
      <c r="J192" s="39"/>
      <c r="K192" s="39"/>
      <c r="L192" s="39"/>
      <c r="M192" s="39"/>
      <c r="N192" s="39"/>
      <c r="O192" s="39"/>
    </row>
    <row r="193" spans="1:15">
      <c r="A193" s="17">
        <v>176</v>
      </c>
      <c r="B193" s="25"/>
      <c r="C193" s="25"/>
      <c r="D193" s="25"/>
      <c r="E193" s="25"/>
      <c r="F193" s="25"/>
      <c r="G193" s="35"/>
      <c r="I193" s="17">
        <v>176</v>
      </c>
      <c r="J193" s="39"/>
      <c r="K193" s="39"/>
      <c r="L193" s="39"/>
      <c r="M193" s="39"/>
      <c r="N193" s="39"/>
      <c r="O193" s="39"/>
    </row>
    <row r="194" spans="1:15">
      <c r="A194" s="17">
        <v>177</v>
      </c>
      <c r="B194" s="25"/>
      <c r="C194" s="25"/>
      <c r="D194" s="25"/>
      <c r="E194" s="25"/>
      <c r="F194" s="25"/>
      <c r="G194" s="35"/>
      <c r="I194" s="17">
        <v>177</v>
      </c>
      <c r="J194" s="39"/>
      <c r="K194" s="39"/>
      <c r="L194" s="39"/>
      <c r="M194" s="39"/>
      <c r="N194" s="39"/>
      <c r="O194" s="39"/>
    </row>
    <row r="195" spans="1:15">
      <c r="A195" s="17">
        <v>178</v>
      </c>
      <c r="B195" s="25"/>
      <c r="C195" s="25"/>
      <c r="D195" s="25"/>
      <c r="E195" s="25"/>
      <c r="F195" s="25"/>
      <c r="G195" s="35"/>
      <c r="I195" s="17">
        <v>178</v>
      </c>
      <c r="J195" s="39"/>
      <c r="K195" s="39"/>
      <c r="L195" s="39"/>
      <c r="M195" s="39"/>
      <c r="N195" s="39"/>
      <c r="O195" s="39"/>
    </row>
    <row r="196" spans="1:15">
      <c r="A196" s="17">
        <v>179</v>
      </c>
      <c r="B196" s="25"/>
      <c r="C196" s="25"/>
      <c r="D196" s="25"/>
      <c r="E196" s="25"/>
      <c r="F196" s="25"/>
      <c r="G196" s="35"/>
      <c r="I196" s="17">
        <v>179</v>
      </c>
      <c r="J196" s="39"/>
      <c r="K196" s="39"/>
      <c r="L196" s="39"/>
      <c r="M196" s="39"/>
      <c r="N196" s="39"/>
      <c r="O196" s="39"/>
    </row>
    <row r="197" spans="1:15">
      <c r="A197" s="17">
        <v>180</v>
      </c>
      <c r="B197" s="25"/>
      <c r="C197" s="25"/>
      <c r="D197" s="25"/>
      <c r="E197" s="25"/>
      <c r="F197" s="25"/>
      <c r="G197" s="35"/>
      <c r="I197" s="17">
        <v>180</v>
      </c>
      <c r="J197" s="39"/>
      <c r="K197" s="39"/>
      <c r="L197" s="39"/>
      <c r="M197" s="39"/>
      <c r="N197" s="39"/>
      <c r="O197" s="39"/>
    </row>
    <row r="198" spans="1:15">
      <c r="A198" s="17">
        <v>181</v>
      </c>
      <c r="B198" s="25"/>
      <c r="C198" s="25"/>
      <c r="D198" s="25"/>
      <c r="E198" s="25"/>
      <c r="F198" s="25"/>
      <c r="G198" s="35"/>
      <c r="I198" s="17">
        <v>181</v>
      </c>
      <c r="J198" s="39"/>
      <c r="K198" s="39"/>
      <c r="L198" s="39"/>
      <c r="M198" s="39"/>
      <c r="N198" s="39"/>
      <c r="O198" s="39"/>
    </row>
    <row r="199" spans="1:15">
      <c r="A199" s="17">
        <v>182</v>
      </c>
      <c r="B199" s="25"/>
      <c r="C199" s="25"/>
      <c r="D199" s="25"/>
      <c r="E199" s="25"/>
      <c r="F199" s="25"/>
      <c r="G199" s="35"/>
      <c r="I199" s="17">
        <v>182</v>
      </c>
      <c r="J199" s="39"/>
      <c r="K199" s="39"/>
      <c r="L199" s="39"/>
      <c r="M199" s="39"/>
      <c r="N199" s="39"/>
      <c r="O199" s="39"/>
    </row>
    <row r="200" spans="1:15">
      <c r="A200" s="17">
        <v>183</v>
      </c>
      <c r="B200" s="25"/>
      <c r="C200" s="25"/>
      <c r="D200" s="25"/>
      <c r="E200" s="25"/>
      <c r="F200" s="25"/>
      <c r="G200" s="35"/>
      <c r="I200" s="17">
        <v>183</v>
      </c>
      <c r="J200" s="39"/>
      <c r="K200" s="39"/>
      <c r="L200" s="39"/>
      <c r="M200" s="39"/>
      <c r="N200" s="39"/>
      <c r="O200" s="39"/>
    </row>
    <row r="201" spans="1:15">
      <c r="A201" s="17">
        <v>184</v>
      </c>
      <c r="B201" s="25"/>
      <c r="C201" s="25"/>
      <c r="D201" s="25"/>
      <c r="E201" s="25"/>
      <c r="F201" s="25"/>
      <c r="G201" s="35"/>
      <c r="I201" s="17">
        <v>184</v>
      </c>
      <c r="J201" s="39"/>
      <c r="K201" s="39"/>
      <c r="L201" s="39"/>
      <c r="M201" s="39"/>
      <c r="N201" s="39"/>
      <c r="O201" s="39"/>
    </row>
    <row r="202" spans="1:15">
      <c r="A202" s="17">
        <v>185</v>
      </c>
      <c r="B202" s="25"/>
      <c r="C202" s="25"/>
      <c r="D202" s="25"/>
      <c r="E202" s="25"/>
      <c r="F202" s="25"/>
      <c r="G202" s="35"/>
      <c r="I202" s="17">
        <v>185</v>
      </c>
      <c r="J202" s="39"/>
      <c r="K202" s="39"/>
      <c r="L202" s="39"/>
      <c r="M202" s="39"/>
      <c r="N202" s="39"/>
      <c r="O202" s="39"/>
    </row>
    <row r="203" spans="1:15">
      <c r="A203" s="17">
        <v>186</v>
      </c>
      <c r="B203" s="25"/>
      <c r="C203" s="25"/>
      <c r="D203" s="25"/>
      <c r="E203" s="25"/>
      <c r="F203" s="25"/>
      <c r="G203" s="35"/>
      <c r="I203" s="17">
        <v>186</v>
      </c>
      <c r="J203" s="39"/>
      <c r="K203" s="39"/>
      <c r="L203" s="39"/>
      <c r="M203" s="39"/>
      <c r="N203" s="39"/>
      <c r="O203" s="39"/>
    </row>
    <row r="204" spans="1:15">
      <c r="A204" s="17">
        <v>187</v>
      </c>
      <c r="B204" s="25"/>
      <c r="C204" s="25"/>
      <c r="D204" s="25"/>
      <c r="E204" s="25"/>
      <c r="F204" s="25"/>
      <c r="G204" s="35"/>
      <c r="I204" s="17">
        <v>187</v>
      </c>
      <c r="J204" s="39"/>
      <c r="K204" s="39"/>
      <c r="L204" s="39"/>
      <c r="M204" s="39"/>
      <c r="N204" s="39"/>
      <c r="O204" s="39"/>
    </row>
    <row r="205" spans="1:15">
      <c r="A205" s="17">
        <v>188</v>
      </c>
      <c r="B205" s="25"/>
      <c r="C205" s="25"/>
      <c r="D205" s="25"/>
      <c r="E205" s="25"/>
      <c r="F205" s="25"/>
      <c r="G205" s="35"/>
      <c r="I205" s="17">
        <v>188</v>
      </c>
      <c r="J205" s="39"/>
      <c r="K205" s="39"/>
      <c r="L205" s="39"/>
      <c r="M205" s="39"/>
      <c r="N205" s="39"/>
      <c r="O205" s="39"/>
    </row>
    <row r="206" spans="1:15">
      <c r="A206" s="17">
        <v>189</v>
      </c>
      <c r="B206" s="25"/>
      <c r="C206" s="25"/>
      <c r="D206" s="25"/>
      <c r="E206" s="25"/>
      <c r="F206" s="25"/>
      <c r="G206" s="35"/>
      <c r="I206" s="17">
        <v>189</v>
      </c>
      <c r="J206" s="39"/>
      <c r="K206" s="39"/>
      <c r="L206" s="39"/>
      <c r="M206" s="39"/>
      <c r="N206" s="39"/>
      <c r="O206" s="39"/>
    </row>
    <row r="207" spans="1:15">
      <c r="A207" s="17">
        <v>190</v>
      </c>
      <c r="B207" s="25"/>
      <c r="C207" s="25"/>
      <c r="D207" s="25"/>
      <c r="E207" s="25"/>
      <c r="F207" s="25"/>
      <c r="G207" s="35"/>
      <c r="I207" s="17">
        <v>190</v>
      </c>
      <c r="J207" s="39"/>
      <c r="K207" s="39"/>
      <c r="L207" s="39"/>
      <c r="M207" s="39"/>
      <c r="N207" s="39"/>
      <c r="O207" s="39"/>
    </row>
    <row r="208" spans="1:15">
      <c r="A208" s="17">
        <v>191</v>
      </c>
      <c r="B208" s="25"/>
      <c r="C208" s="25"/>
      <c r="D208" s="25"/>
      <c r="E208" s="25"/>
      <c r="F208" s="25"/>
      <c r="G208" s="35"/>
      <c r="I208" s="17">
        <v>191</v>
      </c>
      <c r="J208" s="39"/>
      <c r="K208" s="39"/>
      <c r="L208" s="39"/>
      <c r="M208" s="39"/>
      <c r="N208" s="39"/>
      <c r="O208" s="39"/>
    </row>
    <row r="209" spans="1:15">
      <c r="A209" s="17">
        <v>192</v>
      </c>
      <c r="B209" s="25"/>
      <c r="C209" s="25"/>
      <c r="D209" s="25"/>
      <c r="E209" s="25"/>
      <c r="F209" s="25"/>
      <c r="G209" s="35"/>
      <c r="I209" s="17">
        <v>192</v>
      </c>
      <c r="J209" s="39"/>
      <c r="K209" s="39"/>
      <c r="L209" s="39"/>
      <c r="M209" s="39"/>
      <c r="N209" s="39"/>
      <c r="O209" s="39"/>
    </row>
    <row r="210" spans="1:15">
      <c r="A210" s="17">
        <v>193</v>
      </c>
      <c r="B210" s="25"/>
      <c r="C210" s="25"/>
      <c r="D210" s="25"/>
      <c r="E210" s="25"/>
      <c r="F210" s="25"/>
      <c r="G210" s="35"/>
      <c r="I210" s="17">
        <v>193</v>
      </c>
      <c r="J210" s="39"/>
      <c r="K210" s="39"/>
      <c r="L210" s="39"/>
      <c r="M210" s="39"/>
      <c r="N210" s="39"/>
      <c r="O210" s="39"/>
    </row>
    <row r="211" spans="1:15">
      <c r="A211" s="17">
        <v>194</v>
      </c>
      <c r="B211" s="25"/>
      <c r="C211" s="25"/>
      <c r="D211" s="25"/>
      <c r="E211" s="25"/>
      <c r="F211" s="25"/>
      <c r="G211" s="35"/>
      <c r="I211" s="17">
        <v>194</v>
      </c>
      <c r="J211" s="39"/>
      <c r="K211" s="39"/>
      <c r="L211" s="39"/>
      <c r="M211" s="39"/>
      <c r="N211" s="39"/>
      <c r="O211" s="39"/>
    </row>
    <row r="212" spans="1:15">
      <c r="A212" s="17">
        <v>195</v>
      </c>
      <c r="B212" s="25"/>
      <c r="C212" s="25"/>
      <c r="D212" s="25"/>
      <c r="E212" s="25"/>
      <c r="F212" s="25"/>
      <c r="G212" s="35"/>
      <c r="I212" s="17">
        <v>195</v>
      </c>
      <c r="J212" s="39"/>
      <c r="K212" s="39"/>
      <c r="L212" s="39"/>
      <c r="M212" s="39"/>
      <c r="N212" s="39"/>
      <c r="O212" s="39"/>
    </row>
    <row r="213" spans="1:15">
      <c r="A213" s="17">
        <v>196</v>
      </c>
      <c r="B213" s="25"/>
      <c r="C213" s="25"/>
      <c r="D213" s="25"/>
      <c r="E213" s="25"/>
      <c r="F213" s="25"/>
      <c r="G213" s="35"/>
      <c r="I213" s="17">
        <v>196</v>
      </c>
      <c r="J213" s="39"/>
      <c r="K213" s="39"/>
      <c r="L213" s="39"/>
      <c r="M213" s="39"/>
      <c r="N213" s="39"/>
      <c r="O213" s="39"/>
    </row>
    <row r="214" spans="1:15">
      <c r="A214" s="17">
        <v>197</v>
      </c>
      <c r="B214" s="25"/>
      <c r="C214" s="25"/>
      <c r="D214" s="25"/>
      <c r="E214" s="25"/>
      <c r="F214" s="25"/>
      <c r="G214" s="35"/>
      <c r="I214" s="17">
        <v>197</v>
      </c>
      <c r="J214" s="39"/>
      <c r="K214" s="39"/>
      <c r="L214" s="39"/>
      <c r="M214" s="39"/>
      <c r="N214" s="39"/>
      <c r="O214" s="39"/>
    </row>
    <row r="215" spans="1:15">
      <c r="A215" s="17">
        <v>198</v>
      </c>
      <c r="B215" s="25"/>
      <c r="C215" s="25"/>
      <c r="D215" s="25"/>
      <c r="E215" s="25"/>
      <c r="F215" s="25"/>
      <c r="G215" s="35"/>
      <c r="I215" s="17">
        <v>198</v>
      </c>
      <c r="J215" s="39"/>
      <c r="K215" s="39"/>
      <c r="L215" s="39"/>
      <c r="M215" s="39"/>
      <c r="N215" s="39"/>
      <c r="O215" s="39"/>
    </row>
    <row r="216" spans="1:15">
      <c r="A216" s="17">
        <v>199</v>
      </c>
      <c r="B216" s="25"/>
      <c r="C216" s="25"/>
      <c r="D216" s="25"/>
      <c r="E216" s="25"/>
      <c r="F216" s="25"/>
      <c r="G216" s="35"/>
      <c r="I216" s="17">
        <v>199</v>
      </c>
      <c r="J216" s="39"/>
      <c r="K216" s="39"/>
      <c r="L216" s="39"/>
      <c r="M216" s="39"/>
      <c r="N216" s="39"/>
      <c r="O216" s="39"/>
    </row>
    <row r="217" spans="1:15">
      <c r="A217" s="17">
        <v>200</v>
      </c>
      <c r="B217" s="25"/>
      <c r="C217" s="25"/>
      <c r="D217" s="25"/>
      <c r="E217" s="25"/>
      <c r="F217" s="25"/>
      <c r="G217" s="35"/>
      <c r="I217" s="17">
        <v>200</v>
      </c>
      <c r="J217" s="39"/>
      <c r="K217" s="39"/>
      <c r="L217" s="39"/>
      <c r="M217" s="39"/>
      <c r="N217" s="39"/>
      <c r="O217" s="39"/>
    </row>
    <row r="218" spans="1:15">
      <c r="A218" s="17">
        <v>201</v>
      </c>
      <c r="B218" s="25"/>
      <c r="C218" s="25"/>
      <c r="D218" s="25"/>
      <c r="E218" s="25"/>
      <c r="F218" s="25"/>
      <c r="G218" s="35"/>
      <c r="I218" s="17">
        <v>201</v>
      </c>
      <c r="J218" s="39"/>
      <c r="K218" s="39"/>
      <c r="L218" s="39"/>
      <c r="M218" s="39"/>
      <c r="N218" s="39"/>
      <c r="O218" s="39"/>
    </row>
    <row r="219" spans="1:15">
      <c r="A219" s="17">
        <v>202</v>
      </c>
      <c r="B219" s="25"/>
      <c r="C219" s="25"/>
      <c r="D219" s="25"/>
      <c r="E219" s="25"/>
      <c r="F219" s="25"/>
      <c r="G219" s="35"/>
      <c r="I219" s="17">
        <v>202</v>
      </c>
      <c r="J219" s="39"/>
      <c r="K219" s="39"/>
      <c r="L219" s="39"/>
      <c r="M219" s="39"/>
      <c r="N219" s="39"/>
      <c r="O219" s="39"/>
    </row>
    <row r="220" spans="1:15">
      <c r="A220" s="17">
        <v>203</v>
      </c>
      <c r="B220" s="25"/>
      <c r="C220" s="25"/>
      <c r="D220" s="25"/>
      <c r="E220" s="25"/>
      <c r="F220" s="25"/>
      <c r="G220" s="35"/>
      <c r="I220" s="17">
        <v>203</v>
      </c>
      <c r="J220" s="39"/>
      <c r="K220" s="39"/>
      <c r="L220" s="39"/>
      <c r="M220" s="39"/>
      <c r="N220" s="39"/>
      <c r="O220" s="39"/>
    </row>
    <row r="221" spans="1:15">
      <c r="A221" s="17">
        <v>204</v>
      </c>
      <c r="B221" s="25"/>
      <c r="C221" s="25"/>
      <c r="D221" s="25"/>
      <c r="E221" s="25"/>
      <c r="F221" s="25"/>
      <c r="G221" s="35"/>
      <c r="I221" s="17">
        <v>204</v>
      </c>
      <c r="J221" s="39"/>
      <c r="K221" s="39"/>
      <c r="L221" s="39"/>
      <c r="M221" s="39"/>
      <c r="N221" s="39"/>
      <c r="O221" s="39"/>
    </row>
    <row r="222" spans="1:15">
      <c r="A222" s="17">
        <v>205</v>
      </c>
      <c r="B222" s="25"/>
      <c r="C222" s="25"/>
      <c r="D222" s="25"/>
      <c r="E222" s="25"/>
      <c r="F222" s="25"/>
      <c r="G222" s="35"/>
      <c r="I222" s="17">
        <v>205</v>
      </c>
      <c r="J222" s="39"/>
      <c r="K222" s="39"/>
      <c r="L222" s="39"/>
      <c r="M222" s="39"/>
      <c r="N222" s="39"/>
      <c r="O222" s="39"/>
    </row>
    <row r="223" spans="1:15">
      <c r="A223" s="17">
        <v>206</v>
      </c>
      <c r="B223" s="25"/>
      <c r="C223" s="25"/>
      <c r="D223" s="25"/>
      <c r="E223" s="25"/>
      <c r="F223" s="25"/>
      <c r="G223" s="35"/>
      <c r="I223" s="17">
        <v>206</v>
      </c>
      <c r="J223" s="39"/>
      <c r="K223" s="39"/>
      <c r="L223" s="39"/>
      <c r="M223" s="39"/>
      <c r="N223" s="39"/>
      <c r="O223" s="39"/>
    </row>
    <row r="224" spans="1:15">
      <c r="A224" s="17">
        <v>207</v>
      </c>
      <c r="B224" s="25"/>
      <c r="C224" s="25"/>
      <c r="D224" s="25"/>
      <c r="E224" s="25"/>
      <c r="F224" s="25"/>
      <c r="G224" s="35"/>
      <c r="I224" s="17">
        <v>207</v>
      </c>
      <c r="J224" s="39"/>
      <c r="K224" s="39"/>
      <c r="L224" s="39"/>
      <c r="M224" s="39"/>
      <c r="N224" s="39"/>
      <c r="O224" s="39"/>
    </row>
    <row r="225" spans="1:15">
      <c r="A225" s="17">
        <v>208</v>
      </c>
      <c r="B225" s="25"/>
      <c r="C225" s="25"/>
      <c r="D225" s="25"/>
      <c r="E225" s="25"/>
      <c r="F225" s="25"/>
      <c r="G225" s="35"/>
      <c r="I225" s="17">
        <v>208</v>
      </c>
      <c r="J225" s="39"/>
      <c r="K225" s="39"/>
      <c r="L225" s="39"/>
      <c r="M225" s="39"/>
      <c r="N225" s="39"/>
      <c r="O225" s="39"/>
    </row>
    <row r="226" spans="1:15">
      <c r="A226" s="17">
        <v>209</v>
      </c>
      <c r="B226" s="25"/>
      <c r="C226" s="25"/>
      <c r="D226" s="25"/>
      <c r="E226" s="25"/>
      <c r="F226" s="25"/>
      <c r="G226" s="35"/>
      <c r="I226" s="17">
        <v>209</v>
      </c>
      <c r="J226" s="39"/>
      <c r="K226" s="39"/>
      <c r="L226" s="39"/>
      <c r="M226" s="39"/>
      <c r="N226" s="39"/>
      <c r="O226" s="39"/>
    </row>
    <row r="227" spans="1:15">
      <c r="A227" s="17">
        <v>210</v>
      </c>
      <c r="B227" s="25"/>
      <c r="C227" s="25"/>
      <c r="D227" s="25"/>
      <c r="E227" s="25"/>
      <c r="F227" s="25"/>
      <c r="G227" s="35"/>
      <c r="I227" s="17">
        <v>210</v>
      </c>
      <c r="J227" s="39"/>
      <c r="K227" s="39"/>
      <c r="L227" s="39"/>
      <c r="M227" s="39"/>
      <c r="N227" s="39"/>
      <c r="O227" s="39"/>
    </row>
    <row r="228" spans="1:15">
      <c r="A228" s="17">
        <v>211</v>
      </c>
      <c r="B228" s="25"/>
      <c r="C228" s="25"/>
      <c r="D228" s="25"/>
      <c r="E228" s="25"/>
      <c r="F228" s="25"/>
      <c r="G228" s="35"/>
      <c r="I228" s="17">
        <v>211</v>
      </c>
      <c r="J228" s="39"/>
      <c r="K228" s="39"/>
      <c r="L228" s="39"/>
      <c r="M228" s="39"/>
      <c r="N228" s="39"/>
      <c r="O228" s="39"/>
    </row>
    <row r="229" spans="1:15">
      <c r="A229" s="17">
        <v>212</v>
      </c>
      <c r="B229" s="25"/>
      <c r="C229" s="25"/>
      <c r="D229" s="25"/>
      <c r="E229" s="25"/>
      <c r="F229" s="25"/>
      <c r="G229" s="35"/>
      <c r="I229" s="17">
        <v>212</v>
      </c>
      <c r="J229" s="39"/>
      <c r="K229" s="39"/>
      <c r="L229" s="39"/>
      <c r="M229" s="39"/>
      <c r="N229" s="39"/>
      <c r="O229" s="39"/>
    </row>
    <row r="230" spans="1:15">
      <c r="A230" s="17">
        <v>213</v>
      </c>
      <c r="B230" s="25"/>
      <c r="C230" s="25"/>
      <c r="D230" s="25"/>
      <c r="E230" s="25"/>
      <c r="F230" s="25"/>
      <c r="G230" s="35"/>
      <c r="I230" s="17">
        <v>213</v>
      </c>
      <c r="J230" s="39"/>
      <c r="K230" s="39"/>
      <c r="L230" s="39"/>
      <c r="M230" s="39"/>
      <c r="N230" s="39"/>
      <c r="O230" s="39"/>
    </row>
    <row r="231" spans="1:15">
      <c r="A231" s="17">
        <v>214</v>
      </c>
      <c r="B231" s="25"/>
      <c r="C231" s="25"/>
      <c r="D231" s="25"/>
      <c r="E231" s="25"/>
      <c r="F231" s="25"/>
      <c r="G231" s="35"/>
      <c r="I231" s="17">
        <v>214</v>
      </c>
      <c r="J231" s="39"/>
      <c r="K231" s="39"/>
      <c r="L231" s="39"/>
      <c r="M231" s="39"/>
      <c r="N231" s="39"/>
      <c r="O231" s="39"/>
    </row>
    <row r="232" spans="1:15">
      <c r="A232" s="17">
        <v>215</v>
      </c>
      <c r="B232" s="25"/>
      <c r="C232" s="25"/>
      <c r="D232" s="25"/>
      <c r="E232" s="25"/>
      <c r="F232" s="25"/>
      <c r="G232" s="35"/>
      <c r="I232" s="17">
        <v>215</v>
      </c>
      <c r="J232" s="39"/>
      <c r="K232" s="39"/>
      <c r="L232" s="39"/>
      <c r="M232" s="39"/>
      <c r="N232" s="39"/>
      <c r="O232" s="39"/>
    </row>
    <row r="233" spans="1:15">
      <c r="A233" s="17">
        <v>216</v>
      </c>
      <c r="B233" s="25"/>
      <c r="C233" s="25"/>
      <c r="D233" s="25"/>
      <c r="E233" s="25"/>
      <c r="F233" s="25"/>
      <c r="G233" s="35"/>
      <c r="I233" s="17">
        <v>216</v>
      </c>
      <c r="J233" s="39"/>
      <c r="K233" s="39"/>
      <c r="L233" s="39"/>
      <c r="M233" s="39"/>
      <c r="N233" s="39"/>
      <c r="O233" s="39"/>
    </row>
    <row r="234" spans="1:15">
      <c r="A234" s="17">
        <v>217</v>
      </c>
      <c r="B234" s="25"/>
      <c r="C234" s="25"/>
      <c r="D234" s="25"/>
      <c r="E234" s="25"/>
      <c r="F234" s="25"/>
      <c r="G234" s="35"/>
      <c r="I234" s="17">
        <v>217</v>
      </c>
      <c r="J234" s="39"/>
      <c r="K234" s="39"/>
      <c r="L234" s="39"/>
      <c r="M234" s="39"/>
      <c r="N234" s="39"/>
      <c r="O234" s="39"/>
    </row>
    <row r="235" spans="1:15">
      <c r="A235" s="17">
        <v>218</v>
      </c>
      <c r="B235" s="25"/>
      <c r="C235" s="25"/>
      <c r="D235" s="25"/>
      <c r="E235" s="25"/>
      <c r="F235" s="25"/>
      <c r="G235" s="35"/>
      <c r="I235" s="17">
        <v>218</v>
      </c>
      <c r="J235" s="39"/>
      <c r="K235" s="39"/>
      <c r="L235" s="39"/>
      <c r="M235" s="39"/>
      <c r="N235" s="39"/>
      <c r="O235" s="39"/>
    </row>
    <row r="236" spans="1:15">
      <c r="A236" s="17">
        <v>219</v>
      </c>
      <c r="B236" s="25"/>
      <c r="C236" s="25"/>
      <c r="D236" s="25"/>
      <c r="E236" s="25"/>
      <c r="F236" s="25"/>
      <c r="G236" s="35"/>
      <c r="I236" s="17">
        <v>219</v>
      </c>
      <c r="J236" s="39"/>
      <c r="K236" s="39"/>
      <c r="L236" s="39"/>
      <c r="M236" s="39"/>
      <c r="N236" s="39"/>
      <c r="O236" s="39"/>
    </row>
    <row r="237" spans="1:15">
      <c r="A237" s="17">
        <v>220</v>
      </c>
      <c r="B237" s="25"/>
      <c r="C237" s="25"/>
      <c r="D237" s="25"/>
      <c r="E237" s="25"/>
      <c r="F237" s="25"/>
      <c r="G237" s="35"/>
      <c r="I237" s="17">
        <v>220</v>
      </c>
      <c r="J237" s="39"/>
      <c r="K237" s="39"/>
      <c r="L237" s="39"/>
      <c r="M237" s="39"/>
      <c r="N237" s="39"/>
      <c r="O237" s="39"/>
    </row>
    <row r="238" spans="1:15">
      <c r="A238" s="17">
        <v>221</v>
      </c>
      <c r="B238" s="25"/>
      <c r="C238" s="25"/>
      <c r="D238" s="25"/>
      <c r="E238" s="25"/>
      <c r="F238" s="25"/>
      <c r="G238" s="35"/>
      <c r="I238" s="17">
        <v>221</v>
      </c>
      <c r="J238" s="39"/>
      <c r="K238" s="39"/>
      <c r="L238" s="39"/>
      <c r="M238" s="39"/>
      <c r="N238" s="39"/>
      <c r="O238" s="39"/>
    </row>
    <row r="239" spans="1:15">
      <c r="A239" s="17">
        <v>222</v>
      </c>
      <c r="B239" s="25"/>
      <c r="C239" s="25"/>
      <c r="D239" s="25"/>
      <c r="E239" s="25"/>
      <c r="F239" s="25"/>
      <c r="G239" s="35"/>
      <c r="I239" s="17">
        <v>222</v>
      </c>
      <c r="J239" s="39"/>
      <c r="K239" s="39"/>
      <c r="L239" s="39"/>
      <c r="M239" s="39"/>
      <c r="N239" s="39"/>
      <c r="O239" s="39"/>
    </row>
    <row r="240" spans="1:15">
      <c r="A240" s="17">
        <v>223</v>
      </c>
      <c r="B240" s="25"/>
      <c r="C240" s="25"/>
      <c r="D240" s="25"/>
      <c r="E240" s="25"/>
      <c r="F240" s="25"/>
      <c r="G240" s="35"/>
      <c r="I240" s="17">
        <v>223</v>
      </c>
      <c r="J240" s="39"/>
      <c r="K240" s="39"/>
      <c r="L240" s="39"/>
      <c r="M240" s="39"/>
      <c r="N240" s="39"/>
      <c r="O240" s="39"/>
    </row>
    <row r="241" spans="1:15">
      <c r="A241" s="17">
        <v>224</v>
      </c>
      <c r="B241" s="25"/>
      <c r="C241" s="25"/>
      <c r="D241" s="25"/>
      <c r="E241" s="25"/>
      <c r="F241" s="25"/>
      <c r="G241" s="35"/>
      <c r="I241" s="17">
        <v>224</v>
      </c>
      <c r="J241" s="39"/>
      <c r="K241" s="39"/>
      <c r="L241" s="39"/>
      <c r="M241" s="39"/>
      <c r="N241" s="39"/>
      <c r="O241" s="39"/>
    </row>
    <row r="242" spans="1:15">
      <c r="A242" s="17">
        <v>225</v>
      </c>
      <c r="B242" s="25"/>
      <c r="C242" s="25"/>
      <c r="D242" s="25"/>
      <c r="E242" s="25"/>
      <c r="F242" s="25"/>
      <c r="G242" s="35"/>
      <c r="I242" s="17">
        <v>225</v>
      </c>
      <c r="J242" s="39"/>
      <c r="K242" s="39"/>
      <c r="L242" s="39"/>
      <c r="M242" s="39"/>
      <c r="N242" s="39"/>
      <c r="O242" s="39"/>
    </row>
    <row r="243" spans="1:15">
      <c r="A243" s="17">
        <v>226</v>
      </c>
      <c r="B243" s="25"/>
      <c r="C243" s="25"/>
      <c r="D243" s="25"/>
      <c r="E243" s="25"/>
      <c r="F243" s="25"/>
      <c r="G243" s="35"/>
      <c r="I243" s="17">
        <v>226</v>
      </c>
      <c r="J243" s="39"/>
      <c r="K243" s="39"/>
      <c r="L243" s="39"/>
      <c r="M243" s="39"/>
      <c r="N243" s="39"/>
      <c r="O243" s="39"/>
    </row>
    <row r="244" spans="1:15">
      <c r="A244" s="17">
        <v>227</v>
      </c>
      <c r="B244" s="25"/>
      <c r="C244" s="25"/>
      <c r="D244" s="25"/>
      <c r="E244" s="25"/>
      <c r="F244" s="25"/>
      <c r="G244" s="35"/>
      <c r="I244" s="17">
        <v>227</v>
      </c>
      <c r="J244" s="39"/>
      <c r="K244" s="39"/>
      <c r="L244" s="39"/>
      <c r="M244" s="39"/>
      <c r="N244" s="39"/>
      <c r="O244" s="39"/>
    </row>
    <row r="245" spans="1:15">
      <c r="A245" s="17">
        <v>228</v>
      </c>
      <c r="B245" s="25"/>
      <c r="C245" s="25"/>
      <c r="D245" s="25"/>
      <c r="E245" s="25"/>
      <c r="F245" s="25"/>
      <c r="G245" s="35"/>
      <c r="I245" s="17">
        <v>228</v>
      </c>
      <c r="J245" s="39"/>
      <c r="K245" s="39"/>
      <c r="L245" s="39"/>
      <c r="M245" s="39"/>
      <c r="N245" s="39"/>
      <c r="O245" s="39"/>
    </row>
    <row r="246" spans="1:15">
      <c r="A246" s="17">
        <v>229</v>
      </c>
      <c r="B246" s="25"/>
      <c r="C246" s="25"/>
      <c r="D246" s="25"/>
      <c r="E246" s="25"/>
      <c r="F246" s="25"/>
      <c r="G246" s="35"/>
      <c r="I246" s="17">
        <v>229</v>
      </c>
      <c r="J246" s="39"/>
      <c r="K246" s="39"/>
      <c r="L246" s="39"/>
      <c r="M246" s="39"/>
      <c r="N246" s="39"/>
      <c r="O246" s="39"/>
    </row>
    <row r="247" spans="1:15">
      <c r="A247" s="17">
        <v>230</v>
      </c>
      <c r="B247" s="25"/>
      <c r="C247" s="25"/>
      <c r="D247" s="25"/>
      <c r="E247" s="25"/>
      <c r="F247" s="25"/>
      <c r="G247" s="35"/>
      <c r="I247" s="17">
        <v>230</v>
      </c>
      <c r="J247" s="39"/>
      <c r="K247" s="39"/>
      <c r="L247" s="39"/>
      <c r="M247" s="39"/>
      <c r="N247" s="39"/>
      <c r="O247" s="39"/>
    </row>
    <row r="248" spans="1:15">
      <c r="A248" s="17">
        <v>231</v>
      </c>
      <c r="B248" s="25"/>
      <c r="C248" s="25"/>
      <c r="D248" s="25"/>
      <c r="E248" s="25"/>
      <c r="F248" s="25"/>
      <c r="G248" s="35"/>
      <c r="I248" s="17">
        <v>231</v>
      </c>
      <c r="J248" s="39"/>
      <c r="K248" s="39"/>
      <c r="L248" s="39"/>
      <c r="M248" s="39"/>
      <c r="N248" s="39"/>
      <c r="O248" s="39"/>
    </row>
    <row r="249" spans="1:15">
      <c r="A249" s="17">
        <v>232</v>
      </c>
      <c r="B249" s="25"/>
      <c r="C249" s="25"/>
      <c r="D249" s="25"/>
      <c r="E249" s="25"/>
      <c r="F249" s="25"/>
      <c r="G249" s="35"/>
      <c r="I249" s="17">
        <v>232</v>
      </c>
      <c r="J249" s="39"/>
      <c r="K249" s="39"/>
      <c r="L249" s="39"/>
      <c r="M249" s="39"/>
      <c r="N249" s="39"/>
      <c r="O249" s="39"/>
    </row>
    <row r="250" spans="1:15">
      <c r="A250" s="17">
        <v>233</v>
      </c>
      <c r="B250" s="25"/>
      <c r="C250" s="25"/>
      <c r="D250" s="25"/>
      <c r="E250" s="25"/>
      <c r="F250" s="25"/>
      <c r="G250" s="35"/>
      <c r="I250" s="17">
        <v>233</v>
      </c>
      <c r="J250" s="39"/>
      <c r="K250" s="39"/>
      <c r="L250" s="39"/>
      <c r="M250" s="39"/>
      <c r="N250" s="39"/>
      <c r="O250" s="39"/>
    </row>
    <row r="251" spans="1:15">
      <c r="A251" s="17">
        <v>234</v>
      </c>
      <c r="B251" s="25"/>
      <c r="C251" s="25"/>
      <c r="D251" s="25"/>
      <c r="E251" s="25"/>
      <c r="F251" s="25"/>
      <c r="G251" s="35"/>
      <c r="I251" s="17">
        <v>234</v>
      </c>
      <c r="J251" s="39"/>
      <c r="K251" s="39"/>
      <c r="L251" s="39"/>
      <c r="M251" s="39"/>
      <c r="N251" s="39"/>
      <c r="O251" s="39"/>
    </row>
    <row r="252" spans="1:15">
      <c r="A252" s="17">
        <v>235</v>
      </c>
      <c r="B252" s="25"/>
      <c r="C252" s="25"/>
      <c r="D252" s="25"/>
      <c r="E252" s="25"/>
      <c r="F252" s="25"/>
      <c r="G252" s="35"/>
      <c r="I252" s="17">
        <v>235</v>
      </c>
      <c r="J252" s="39"/>
      <c r="K252" s="39"/>
      <c r="L252" s="39"/>
      <c r="M252" s="39"/>
      <c r="N252" s="39"/>
      <c r="O252" s="39"/>
    </row>
    <row r="253" spans="1:15">
      <c r="A253" s="17">
        <v>236</v>
      </c>
      <c r="B253" s="25"/>
      <c r="C253" s="25"/>
      <c r="D253" s="25"/>
      <c r="E253" s="25"/>
      <c r="F253" s="25"/>
      <c r="G253" s="35"/>
      <c r="I253" s="17">
        <v>236</v>
      </c>
      <c r="J253" s="39"/>
      <c r="K253" s="39"/>
      <c r="L253" s="39"/>
      <c r="M253" s="39"/>
      <c r="N253" s="39"/>
      <c r="O253" s="39"/>
    </row>
    <row r="254" spans="1:15">
      <c r="A254" s="17">
        <v>237</v>
      </c>
      <c r="B254" s="25"/>
      <c r="C254" s="25"/>
      <c r="D254" s="25"/>
      <c r="E254" s="25"/>
      <c r="F254" s="25"/>
      <c r="G254" s="35"/>
      <c r="I254" s="17">
        <v>237</v>
      </c>
      <c r="J254" s="39"/>
      <c r="K254" s="39"/>
      <c r="L254" s="39"/>
      <c r="M254" s="39"/>
      <c r="N254" s="39"/>
      <c r="O254" s="39"/>
    </row>
    <row r="255" spans="1:15">
      <c r="A255" s="17">
        <v>238</v>
      </c>
      <c r="B255" s="25"/>
      <c r="C255" s="25"/>
      <c r="D255" s="25"/>
      <c r="E255" s="25"/>
      <c r="F255" s="25"/>
      <c r="G255" s="35"/>
      <c r="I255" s="17">
        <v>238</v>
      </c>
      <c r="J255" s="39"/>
      <c r="K255" s="39"/>
      <c r="L255" s="39"/>
      <c r="M255" s="39"/>
      <c r="N255" s="39"/>
      <c r="O255" s="39"/>
    </row>
    <row r="256" spans="1:15">
      <c r="A256" s="17">
        <v>239</v>
      </c>
      <c r="B256" s="25"/>
      <c r="C256" s="25"/>
      <c r="D256" s="25"/>
      <c r="E256" s="25"/>
      <c r="F256" s="25"/>
      <c r="G256" s="35"/>
      <c r="I256" s="17">
        <v>239</v>
      </c>
      <c r="J256" s="39"/>
      <c r="K256" s="39"/>
      <c r="L256" s="39"/>
      <c r="M256" s="39"/>
      <c r="N256" s="39"/>
      <c r="O256" s="39"/>
    </row>
    <row r="257" spans="1:15">
      <c r="A257" s="17">
        <v>240</v>
      </c>
      <c r="B257" s="25"/>
      <c r="C257" s="25"/>
      <c r="D257" s="25"/>
      <c r="E257" s="25"/>
      <c r="F257" s="25"/>
      <c r="G257" s="35"/>
      <c r="I257" s="17">
        <v>240</v>
      </c>
      <c r="J257" s="39"/>
      <c r="K257" s="39"/>
      <c r="L257" s="39"/>
      <c r="M257" s="39"/>
      <c r="N257" s="39"/>
      <c r="O257" s="39"/>
    </row>
    <row r="258" spans="1:15">
      <c r="A258" s="17">
        <v>241</v>
      </c>
      <c r="B258" s="25"/>
      <c r="C258" s="25"/>
      <c r="D258" s="25"/>
      <c r="E258" s="25"/>
      <c r="F258" s="25"/>
      <c r="G258" s="35"/>
      <c r="I258" s="17">
        <v>241</v>
      </c>
      <c r="J258" s="39"/>
      <c r="K258" s="39"/>
      <c r="L258" s="39"/>
      <c r="M258" s="39"/>
      <c r="N258" s="39"/>
      <c r="O258" s="39"/>
    </row>
    <row r="259" spans="1:15">
      <c r="A259" s="17">
        <v>242</v>
      </c>
      <c r="B259" s="25"/>
      <c r="C259" s="25"/>
      <c r="D259" s="25"/>
      <c r="E259" s="25"/>
      <c r="F259" s="25"/>
      <c r="G259" s="35"/>
      <c r="I259" s="17">
        <v>242</v>
      </c>
      <c r="J259" s="39"/>
      <c r="K259" s="39"/>
      <c r="L259" s="39"/>
      <c r="M259" s="39"/>
      <c r="N259" s="39"/>
      <c r="O259" s="39"/>
    </row>
    <row r="260" spans="1:15">
      <c r="A260" s="17">
        <v>243</v>
      </c>
      <c r="B260" s="25"/>
      <c r="C260" s="25"/>
      <c r="D260" s="25"/>
      <c r="E260" s="25"/>
      <c r="F260" s="25"/>
      <c r="G260" s="35"/>
      <c r="I260" s="17">
        <v>243</v>
      </c>
      <c r="J260" s="39"/>
      <c r="K260" s="39"/>
      <c r="L260" s="39"/>
      <c r="M260" s="39"/>
      <c r="N260" s="39"/>
      <c r="O260" s="39"/>
    </row>
    <row r="261" spans="1:15">
      <c r="A261" s="17">
        <v>244</v>
      </c>
      <c r="B261" s="25"/>
      <c r="C261" s="25"/>
      <c r="D261" s="25"/>
      <c r="E261" s="25"/>
      <c r="F261" s="25"/>
      <c r="G261" s="35"/>
      <c r="I261" s="17">
        <v>244</v>
      </c>
      <c r="J261" s="39"/>
      <c r="K261" s="39"/>
      <c r="L261" s="39"/>
      <c r="M261" s="39"/>
      <c r="N261" s="39"/>
      <c r="O261" s="39"/>
    </row>
    <row r="262" spans="1:15">
      <c r="A262" s="17">
        <v>245</v>
      </c>
      <c r="B262" s="25"/>
      <c r="C262" s="25"/>
      <c r="D262" s="25"/>
      <c r="E262" s="25"/>
      <c r="F262" s="25"/>
      <c r="G262" s="35"/>
      <c r="I262" s="17">
        <v>245</v>
      </c>
      <c r="J262" s="39"/>
      <c r="K262" s="39"/>
      <c r="L262" s="39"/>
      <c r="M262" s="39"/>
      <c r="N262" s="39"/>
      <c r="O262" s="39"/>
    </row>
    <row r="263" spans="1:15">
      <c r="A263" s="17">
        <v>246</v>
      </c>
      <c r="B263" s="25"/>
      <c r="C263" s="25"/>
      <c r="D263" s="25"/>
      <c r="E263" s="25"/>
      <c r="F263" s="25"/>
      <c r="G263" s="35"/>
      <c r="I263" s="17">
        <v>246</v>
      </c>
      <c r="J263" s="39"/>
      <c r="K263" s="39"/>
      <c r="L263" s="39"/>
      <c r="M263" s="39"/>
      <c r="N263" s="39"/>
      <c r="O263" s="39"/>
    </row>
    <row r="264" spans="1:15">
      <c r="A264" s="17">
        <v>247</v>
      </c>
      <c r="B264" s="25"/>
      <c r="C264" s="25"/>
      <c r="D264" s="25"/>
      <c r="E264" s="25"/>
      <c r="F264" s="25"/>
      <c r="G264" s="35"/>
      <c r="I264" s="17">
        <v>247</v>
      </c>
      <c r="J264" s="39"/>
      <c r="K264" s="39"/>
      <c r="L264" s="39"/>
      <c r="M264" s="39"/>
      <c r="N264" s="39"/>
      <c r="O264" s="39"/>
    </row>
    <row r="265" spans="1:15">
      <c r="A265" s="17">
        <v>248</v>
      </c>
      <c r="B265" s="25"/>
      <c r="C265" s="25"/>
      <c r="D265" s="25"/>
      <c r="E265" s="25"/>
      <c r="F265" s="25"/>
      <c r="G265" s="35"/>
      <c r="I265" s="17">
        <v>248</v>
      </c>
      <c r="J265" s="39"/>
      <c r="K265" s="39"/>
      <c r="L265" s="39"/>
      <c r="M265" s="39"/>
      <c r="N265" s="39"/>
      <c r="O265" s="39"/>
    </row>
    <row r="266" spans="1:15">
      <c r="A266" s="17">
        <v>249</v>
      </c>
      <c r="B266" s="25"/>
      <c r="C266" s="25"/>
      <c r="D266" s="25"/>
      <c r="E266" s="25"/>
      <c r="F266" s="25"/>
      <c r="G266" s="35"/>
      <c r="I266" s="17">
        <v>249</v>
      </c>
      <c r="J266" s="39"/>
      <c r="K266" s="39"/>
      <c r="L266" s="39"/>
      <c r="M266" s="39"/>
      <c r="N266" s="39"/>
      <c r="O266" s="39"/>
    </row>
    <row r="267" spans="1:15">
      <c r="A267" s="17">
        <v>250</v>
      </c>
      <c r="B267" s="25"/>
      <c r="C267" s="25"/>
      <c r="D267" s="25"/>
      <c r="E267" s="25"/>
      <c r="F267" s="25"/>
      <c r="G267" s="35"/>
      <c r="I267" s="17">
        <v>250</v>
      </c>
      <c r="J267" s="39"/>
      <c r="K267" s="39"/>
      <c r="L267" s="39"/>
      <c r="M267" s="39"/>
      <c r="N267" s="39"/>
      <c r="O267" s="39"/>
    </row>
    <row r="268" spans="1:15">
      <c r="A268" s="17">
        <v>251</v>
      </c>
      <c r="B268" s="25"/>
      <c r="C268" s="25"/>
      <c r="D268" s="25"/>
      <c r="E268" s="25"/>
      <c r="F268" s="25"/>
      <c r="G268" s="35"/>
      <c r="I268" s="17">
        <v>251</v>
      </c>
      <c r="J268" s="39"/>
      <c r="K268" s="39"/>
      <c r="L268" s="39"/>
      <c r="M268" s="39"/>
      <c r="N268" s="39"/>
      <c r="O268" s="39"/>
    </row>
    <row r="269" spans="1:15">
      <c r="A269" s="17">
        <v>252</v>
      </c>
      <c r="B269" s="25"/>
      <c r="C269" s="25"/>
      <c r="D269" s="25"/>
      <c r="E269" s="25"/>
      <c r="F269" s="25"/>
      <c r="G269" s="35"/>
      <c r="I269" s="17">
        <v>252</v>
      </c>
      <c r="J269" s="39"/>
      <c r="K269" s="39"/>
      <c r="L269" s="39"/>
      <c r="M269" s="39"/>
      <c r="N269" s="39"/>
      <c r="O269" s="39"/>
    </row>
    <row r="270" spans="1:15">
      <c r="A270" s="17">
        <v>253</v>
      </c>
      <c r="B270" s="25"/>
      <c r="C270" s="25"/>
      <c r="D270" s="25"/>
      <c r="E270" s="25"/>
      <c r="F270" s="25"/>
      <c r="G270" s="35"/>
      <c r="I270" s="17">
        <v>253</v>
      </c>
      <c r="J270" s="39"/>
      <c r="K270" s="39"/>
      <c r="L270" s="39"/>
      <c r="M270" s="39"/>
      <c r="N270" s="39"/>
      <c r="O270" s="39"/>
    </row>
    <row r="271" spans="1:15">
      <c r="A271" s="17">
        <v>254</v>
      </c>
      <c r="B271" s="25"/>
      <c r="C271" s="25"/>
      <c r="D271" s="25"/>
      <c r="E271" s="25"/>
      <c r="F271" s="25"/>
      <c r="G271" s="35"/>
      <c r="I271" s="17">
        <v>254</v>
      </c>
      <c r="J271" s="39"/>
      <c r="K271" s="39"/>
      <c r="L271" s="39"/>
      <c r="M271" s="39"/>
      <c r="N271" s="39"/>
      <c r="O271" s="39"/>
    </row>
    <row r="272" spans="1:15">
      <c r="A272" s="17">
        <v>255</v>
      </c>
      <c r="B272" s="25"/>
      <c r="C272" s="25"/>
      <c r="D272" s="25"/>
      <c r="E272" s="25"/>
      <c r="F272" s="25"/>
      <c r="G272" s="35"/>
      <c r="I272" s="17">
        <v>255</v>
      </c>
      <c r="J272" s="39"/>
      <c r="K272" s="39"/>
      <c r="L272" s="39"/>
      <c r="M272" s="39"/>
      <c r="N272" s="39"/>
      <c r="O272" s="39"/>
    </row>
    <row r="273" spans="1:15">
      <c r="A273" s="17">
        <v>256</v>
      </c>
      <c r="B273" s="25"/>
      <c r="C273" s="25"/>
      <c r="D273" s="25"/>
      <c r="E273" s="25"/>
      <c r="F273" s="25"/>
      <c r="G273" s="35"/>
      <c r="I273" s="17">
        <v>256</v>
      </c>
      <c r="J273" s="39"/>
      <c r="K273" s="39"/>
      <c r="L273" s="39"/>
      <c r="M273" s="39"/>
      <c r="N273" s="39"/>
      <c r="O273" s="39"/>
    </row>
    <row r="274" spans="1:15">
      <c r="A274" s="17">
        <v>257</v>
      </c>
      <c r="B274" s="25"/>
      <c r="C274" s="25"/>
      <c r="D274" s="25"/>
      <c r="E274" s="25"/>
      <c r="F274" s="25"/>
      <c r="G274" s="35"/>
      <c r="I274" s="17">
        <v>257</v>
      </c>
      <c r="J274" s="39"/>
      <c r="K274" s="39"/>
      <c r="L274" s="39"/>
      <c r="M274" s="39"/>
      <c r="N274" s="39"/>
      <c r="O274" s="39"/>
    </row>
    <row r="275" spans="1:15">
      <c r="A275" s="17">
        <v>258</v>
      </c>
      <c r="B275" s="25"/>
      <c r="C275" s="25"/>
      <c r="D275" s="25"/>
      <c r="E275" s="25"/>
      <c r="F275" s="25"/>
      <c r="G275" s="35"/>
      <c r="I275" s="17">
        <v>258</v>
      </c>
      <c r="J275" s="39"/>
      <c r="K275" s="39"/>
      <c r="L275" s="39"/>
      <c r="M275" s="39"/>
      <c r="N275" s="39"/>
      <c r="O275" s="39"/>
    </row>
    <row r="276" spans="1:15">
      <c r="A276" s="17">
        <v>259</v>
      </c>
      <c r="B276" s="25"/>
      <c r="C276" s="25"/>
      <c r="D276" s="25"/>
      <c r="E276" s="25"/>
      <c r="F276" s="25"/>
      <c r="G276" s="35"/>
      <c r="I276" s="17">
        <v>259</v>
      </c>
      <c r="J276" s="39"/>
      <c r="K276" s="39"/>
      <c r="L276" s="39"/>
      <c r="M276" s="39"/>
      <c r="N276" s="39"/>
      <c r="O276" s="39"/>
    </row>
    <row r="277" spans="1:15">
      <c r="A277" s="17">
        <v>260</v>
      </c>
      <c r="B277" s="25"/>
      <c r="C277" s="25"/>
      <c r="D277" s="25"/>
      <c r="E277" s="25"/>
      <c r="F277" s="25"/>
      <c r="G277" s="35"/>
      <c r="I277" s="17">
        <v>260</v>
      </c>
      <c r="J277" s="39"/>
      <c r="K277" s="39"/>
      <c r="L277" s="39"/>
      <c r="M277" s="39"/>
      <c r="N277" s="39"/>
      <c r="O277" s="39"/>
    </row>
    <row r="278" spans="1:15">
      <c r="A278" s="17">
        <v>261</v>
      </c>
      <c r="B278" s="25"/>
      <c r="C278" s="25"/>
      <c r="D278" s="25"/>
      <c r="E278" s="25"/>
      <c r="F278" s="25"/>
      <c r="G278" s="35"/>
      <c r="I278" s="17">
        <v>261</v>
      </c>
      <c r="J278" s="39"/>
      <c r="K278" s="39"/>
      <c r="L278" s="39"/>
      <c r="M278" s="39"/>
      <c r="N278" s="39"/>
      <c r="O278" s="39"/>
    </row>
    <row r="279" spans="1:15">
      <c r="A279" s="17">
        <v>262</v>
      </c>
      <c r="B279" s="25"/>
      <c r="C279" s="25"/>
      <c r="D279" s="25"/>
      <c r="E279" s="25"/>
      <c r="F279" s="25"/>
      <c r="G279" s="35"/>
      <c r="I279" s="17">
        <v>262</v>
      </c>
      <c r="J279" s="39"/>
      <c r="K279" s="39"/>
      <c r="L279" s="39"/>
      <c r="M279" s="39"/>
      <c r="N279" s="39"/>
      <c r="O279" s="39"/>
    </row>
    <row r="280" spans="1:15">
      <c r="A280" s="17">
        <v>263</v>
      </c>
      <c r="B280" s="25"/>
      <c r="C280" s="25"/>
      <c r="D280" s="25"/>
      <c r="E280" s="25"/>
      <c r="F280" s="25"/>
      <c r="G280" s="35"/>
      <c r="I280" s="17">
        <v>263</v>
      </c>
      <c r="J280" s="39"/>
      <c r="K280" s="39"/>
      <c r="L280" s="39"/>
      <c r="M280" s="39"/>
      <c r="N280" s="39"/>
      <c r="O280" s="39"/>
    </row>
    <row r="281" spans="1:15">
      <c r="A281" s="17">
        <v>264</v>
      </c>
      <c r="B281" s="25"/>
      <c r="C281" s="25"/>
      <c r="D281" s="25"/>
      <c r="E281" s="25"/>
      <c r="F281" s="25"/>
      <c r="G281" s="35"/>
      <c r="I281" s="17">
        <v>264</v>
      </c>
      <c r="J281" s="39"/>
      <c r="K281" s="39"/>
      <c r="L281" s="39"/>
      <c r="M281" s="39"/>
      <c r="N281" s="39"/>
      <c r="O281" s="39"/>
    </row>
    <row r="282" spans="1:15">
      <c r="A282" s="17">
        <v>265</v>
      </c>
      <c r="B282" s="25"/>
      <c r="C282" s="25"/>
      <c r="D282" s="25"/>
      <c r="E282" s="25"/>
      <c r="F282" s="25"/>
      <c r="G282" s="35"/>
      <c r="I282" s="17">
        <v>265</v>
      </c>
      <c r="J282" s="39"/>
      <c r="K282" s="39"/>
      <c r="L282" s="39"/>
      <c r="M282" s="39"/>
      <c r="N282" s="39"/>
      <c r="O282" s="39"/>
    </row>
    <row r="283" spans="1:15">
      <c r="A283" s="17">
        <v>266</v>
      </c>
      <c r="B283" s="25"/>
      <c r="C283" s="25"/>
      <c r="D283" s="25"/>
      <c r="E283" s="25"/>
      <c r="F283" s="25"/>
      <c r="G283" s="35"/>
      <c r="I283" s="17">
        <v>266</v>
      </c>
      <c r="J283" s="39"/>
      <c r="K283" s="39"/>
      <c r="L283" s="39"/>
      <c r="M283" s="39"/>
      <c r="N283" s="39"/>
      <c r="O283" s="39"/>
    </row>
    <row r="284" spans="1:15">
      <c r="A284" s="17">
        <v>267</v>
      </c>
      <c r="B284" s="25"/>
      <c r="C284" s="25"/>
      <c r="D284" s="25"/>
      <c r="E284" s="25"/>
      <c r="F284" s="25"/>
      <c r="G284" s="35"/>
      <c r="I284" s="17">
        <v>267</v>
      </c>
      <c r="J284" s="39"/>
      <c r="K284" s="39"/>
      <c r="L284" s="39"/>
      <c r="M284" s="39"/>
      <c r="N284" s="39"/>
      <c r="O284" s="39"/>
    </row>
    <row r="285" spans="1:15">
      <c r="A285" s="17">
        <v>268</v>
      </c>
      <c r="B285" s="25"/>
      <c r="C285" s="25"/>
      <c r="D285" s="25"/>
      <c r="E285" s="25"/>
      <c r="F285" s="25"/>
      <c r="G285" s="35"/>
      <c r="I285" s="17">
        <v>268</v>
      </c>
      <c r="J285" s="39"/>
      <c r="K285" s="39"/>
      <c r="L285" s="39"/>
      <c r="M285" s="39"/>
      <c r="N285" s="39"/>
      <c r="O285" s="39"/>
    </row>
    <row r="286" spans="1:15">
      <c r="A286" s="17">
        <v>269</v>
      </c>
      <c r="B286" s="25"/>
      <c r="C286" s="25"/>
      <c r="D286" s="25"/>
      <c r="E286" s="25"/>
      <c r="F286" s="25"/>
      <c r="G286" s="35"/>
      <c r="I286" s="17">
        <v>269</v>
      </c>
      <c r="J286" s="39"/>
      <c r="K286" s="39"/>
      <c r="L286" s="39"/>
      <c r="M286" s="39"/>
      <c r="N286" s="39"/>
      <c r="O286" s="39"/>
    </row>
    <row r="287" spans="1:15">
      <c r="A287" s="17">
        <v>270</v>
      </c>
      <c r="B287" s="25"/>
      <c r="C287" s="25"/>
      <c r="D287" s="25"/>
      <c r="E287" s="25"/>
      <c r="F287" s="25"/>
      <c r="G287" s="35"/>
      <c r="I287" s="17">
        <v>270</v>
      </c>
      <c r="J287" s="39"/>
      <c r="K287" s="39"/>
      <c r="L287" s="39"/>
      <c r="M287" s="39"/>
      <c r="N287" s="39"/>
      <c r="O287" s="39"/>
    </row>
    <row r="288" spans="1:15">
      <c r="A288" s="17">
        <v>271</v>
      </c>
      <c r="B288" s="25"/>
      <c r="C288" s="25"/>
      <c r="D288" s="25"/>
      <c r="E288" s="25"/>
      <c r="F288" s="25"/>
      <c r="G288" s="35"/>
      <c r="I288" s="17">
        <v>271</v>
      </c>
      <c r="J288" s="39"/>
      <c r="K288" s="39"/>
      <c r="L288" s="39"/>
      <c r="M288" s="39"/>
      <c r="N288" s="39"/>
      <c r="O288" s="39"/>
    </row>
    <row r="289" spans="1:15">
      <c r="A289" s="17">
        <v>272</v>
      </c>
      <c r="B289" s="25"/>
      <c r="C289" s="25"/>
      <c r="D289" s="25"/>
      <c r="E289" s="25"/>
      <c r="F289" s="25"/>
      <c r="G289" s="35"/>
      <c r="I289" s="17">
        <v>272</v>
      </c>
      <c r="J289" s="39"/>
      <c r="K289" s="39"/>
      <c r="L289" s="39"/>
      <c r="M289" s="39"/>
      <c r="N289" s="39"/>
      <c r="O289" s="39"/>
    </row>
    <row r="290" spans="1:15">
      <c r="A290" s="17">
        <v>273</v>
      </c>
      <c r="B290" s="25"/>
      <c r="C290" s="25"/>
      <c r="D290" s="25"/>
      <c r="E290" s="25"/>
      <c r="F290" s="25"/>
      <c r="G290" s="35"/>
      <c r="I290" s="17">
        <v>273</v>
      </c>
      <c r="J290" s="39"/>
      <c r="K290" s="39"/>
      <c r="L290" s="39"/>
      <c r="M290" s="39"/>
      <c r="N290" s="39"/>
      <c r="O290" s="39"/>
    </row>
    <row r="291" spans="1:15">
      <c r="A291" s="17">
        <v>274</v>
      </c>
      <c r="B291" s="25"/>
      <c r="C291" s="25"/>
      <c r="D291" s="25"/>
      <c r="E291" s="25"/>
      <c r="F291" s="25"/>
      <c r="G291" s="35"/>
      <c r="I291" s="17">
        <v>274</v>
      </c>
      <c r="J291" s="39"/>
      <c r="K291" s="39"/>
      <c r="L291" s="39"/>
      <c r="M291" s="39"/>
      <c r="N291" s="39"/>
      <c r="O291" s="39"/>
    </row>
    <row r="292" spans="1:15">
      <c r="A292" s="17">
        <v>275</v>
      </c>
      <c r="B292" s="25"/>
      <c r="C292" s="25"/>
      <c r="D292" s="25"/>
      <c r="E292" s="25"/>
      <c r="F292" s="25"/>
      <c r="G292" s="35"/>
      <c r="I292" s="17">
        <v>275</v>
      </c>
      <c r="J292" s="39"/>
      <c r="K292" s="39"/>
      <c r="L292" s="39"/>
      <c r="M292" s="39"/>
      <c r="N292" s="39"/>
      <c r="O292" s="39"/>
    </row>
    <row r="293" spans="1:15">
      <c r="A293" s="17">
        <v>276</v>
      </c>
      <c r="B293" s="25"/>
      <c r="C293" s="25"/>
      <c r="D293" s="25"/>
      <c r="E293" s="25"/>
      <c r="F293" s="25"/>
      <c r="G293" s="35"/>
      <c r="I293" s="17">
        <v>276</v>
      </c>
      <c r="J293" s="39"/>
      <c r="K293" s="39"/>
      <c r="L293" s="39"/>
      <c r="M293" s="39"/>
      <c r="N293" s="39"/>
      <c r="O293" s="39"/>
    </row>
    <row r="294" spans="1:15">
      <c r="A294" s="17">
        <v>277</v>
      </c>
      <c r="B294" s="25"/>
      <c r="C294" s="25"/>
      <c r="D294" s="25"/>
      <c r="E294" s="25"/>
      <c r="F294" s="25"/>
      <c r="G294" s="35"/>
      <c r="I294" s="17">
        <v>277</v>
      </c>
      <c r="J294" s="39"/>
      <c r="K294" s="39"/>
      <c r="L294" s="39"/>
      <c r="M294" s="39"/>
      <c r="N294" s="39"/>
      <c r="O294" s="39"/>
    </row>
    <row r="295" spans="1:15">
      <c r="A295" s="17">
        <v>278</v>
      </c>
      <c r="B295" s="25"/>
      <c r="C295" s="25"/>
      <c r="D295" s="25"/>
      <c r="E295" s="25"/>
      <c r="F295" s="25"/>
      <c r="G295" s="35"/>
      <c r="I295" s="17">
        <v>278</v>
      </c>
      <c r="J295" s="39"/>
      <c r="K295" s="39"/>
      <c r="L295" s="39"/>
      <c r="M295" s="39"/>
      <c r="N295" s="39"/>
      <c r="O295" s="39"/>
    </row>
    <row r="296" spans="1:15">
      <c r="A296" s="17">
        <v>279</v>
      </c>
      <c r="B296" s="25"/>
      <c r="C296" s="25"/>
      <c r="D296" s="25"/>
      <c r="E296" s="25"/>
      <c r="F296" s="25"/>
      <c r="G296" s="35"/>
      <c r="I296" s="17">
        <v>279</v>
      </c>
      <c r="J296" s="39"/>
      <c r="K296" s="39"/>
      <c r="L296" s="39"/>
      <c r="M296" s="39"/>
      <c r="N296" s="39"/>
      <c r="O296" s="39"/>
    </row>
    <row r="297" spans="1:15">
      <c r="A297" s="17">
        <v>280</v>
      </c>
      <c r="B297" s="25"/>
      <c r="C297" s="25"/>
      <c r="D297" s="25"/>
      <c r="E297" s="25"/>
      <c r="F297" s="25"/>
      <c r="G297" s="35"/>
      <c r="I297" s="17">
        <v>280</v>
      </c>
      <c r="J297" s="39"/>
      <c r="K297" s="39"/>
      <c r="L297" s="39"/>
      <c r="M297" s="39"/>
      <c r="N297" s="39"/>
      <c r="O297" s="39"/>
    </row>
    <row r="298" spans="1:15">
      <c r="A298" s="17">
        <v>281</v>
      </c>
      <c r="B298" s="25"/>
      <c r="C298" s="25"/>
      <c r="D298" s="25"/>
      <c r="E298" s="25"/>
      <c r="F298" s="25"/>
      <c r="G298" s="35"/>
      <c r="I298" s="17">
        <v>281</v>
      </c>
      <c r="J298" s="39"/>
      <c r="K298" s="39"/>
      <c r="L298" s="39"/>
      <c r="M298" s="39"/>
      <c r="N298" s="39"/>
      <c r="O298" s="39"/>
    </row>
    <row r="299" spans="1:15">
      <c r="A299" s="17">
        <v>282</v>
      </c>
      <c r="B299" s="25"/>
      <c r="C299" s="25"/>
      <c r="D299" s="25"/>
      <c r="E299" s="25"/>
      <c r="F299" s="25"/>
      <c r="G299" s="35"/>
      <c r="I299" s="17">
        <v>282</v>
      </c>
      <c r="J299" s="39"/>
      <c r="K299" s="39"/>
      <c r="L299" s="39"/>
      <c r="M299" s="39"/>
      <c r="N299" s="39"/>
      <c r="O299" s="39"/>
    </row>
    <row r="300" spans="1:15">
      <c r="A300" s="17">
        <v>283</v>
      </c>
      <c r="B300" s="25"/>
      <c r="C300" s="25"/>
      <c r="D300" s="25"/>
      <c r="E300" s="25"/>
      <c r="F300" s="25"/>
      <c r="G300" s="35"/>
      <c r="I300" s="17">
        <v>283</v>
      </c>
      <c r="J300" s="39"/>
      <c r="K300" s="39"/>
      <c r="L300" s="39"/>
      <c r="M300" s="39"/>
      <c r="N300" s="39"/>
      <c r="O300" s="39"/>
    </row>
    <row r="301" spans="1:15">
      <c r="A301" s="17">
        <v>284</v>
      </c>
      <c r="B301" s="25"/>
      <c r="C301" s="25"/>
      <c r="D301" s="25"/>
      <c r="E301" s="25"/>
      <c r="F301" s="25"/>
      <c r="G301" s="35"/>
      <c r="I301" s="17">
        <v>284</v>
      </c>
      <c r="J301" s="39"/>
      <c r="K301" s="39"/>
      <c r="L301" s="39"/>
      <c r="M301" s="39"/>
      <c r="N301" s="39"/>
      <c r="O301" s="39"/>
    </row>
    <row r="302" spans="1:15">
      <c r="A302" s="17">
        <v>285</v>
      </c>
      <c r="B302" s="25"/>
      <c r="C302" s="25"/>
      <c r="D302" s="25"/>
      <c r="E302" s="25"/>
      <c r="F302" s="25"/>
      <c r="G302" s="35"/>
      <c r="I302" s="17">
        <v>285</v>
      </c>
      <c r="J302" s="39"/>
      <c r="K302" s="39"/>
      <c r="L302" s="39"/>
      <c r="M302" s="39"/>
      <c r="N302" s="39"/>
      <c r="O302" s="39"/>
    </row>
    <row r="303" spans="1:15">
      <c r="A303" s="17">
        <v>286</v>
      </c>
      <c r="B303" s="25"/>
      <c r="C303" s="25"/>
      <c r="D303" s="25"/>
      <c r="E303" s="25"/>
      <c r="F303" s="25"/>
      <c r="G303" s="35"/>
      <c r="I303" s="17">
        <v>286</v>
      </c>
      <c r="J303" s="39"/>
      <c r="K303" s="39"/>
      <c r="L303" s="39"/>
      <c r="M303" s="39"/>
      <c r="N303" s="39"/>
      <c r="O303" s="39"/>
    </row>
    <row r="304" spans="1:15">
      <c r="A304" s="17">
        <v>287</v>
      </c>
      <c r="B304" s="25"/>
      <c r="C304" s="25"/>
      <c r="D304" s="25"/>
      <c r="E304" s="25"/>
      <c r="F304" s="25"/>
      <c r="G304" s="35"/>
      <c r="I304" s="17">
        <v>287</v>
      </c>
      <c r="J304" s="39"/>
      <c r="K304" s="39"/>
      <c r="L304" s="39"/>
      <c r="M304" s="39"/>
      <c r="N304" s="39"/>
      <c r="O304" s="39"/>
    </row>
    <row r="305" spans="1:15">
      <c r="A305" s="17">
        <v>288</v>
      </c>
      <c r="B305" s="25"/>
      <c r="C305" s="25"/>
      <c r="D305" s="25"/>
      <c r="E305" s="25"/>
      <c r="F305" s="25"/>
      <c r="G305" s="35"/>
      <c r="I305" s="17">
        <v>288</v>
      </c>
      <c r="J305" s="39"/>
      <c r="K305" s="39"/>
      <c r="L305" s="39"/>
      <c r="M305" s="39"/>
      <c r="N305" s="39"/>
      <c r="O305" s="39"/>
    </row>
    <row r="306" spans="1:15">
      <c r="A306" s="17">
        <v>289</v>
      </c>
      <c r="B306" s="25"/>
      <c r="C306" s="25"/>
      <c r="D306" s="25"/>
      <c r="E306" s="25"/>
      <c r="F306" s="25"/>
      <c r="G306" s="35"/>
      <c r="I306" s="17">
        <v>289</v>
      </c>
      <c r="J306" s="39"/>
      <c r="K306" s="39"/>
      <c r="L306" s="39"/>
      <c r="M306" s="39"/>
      <c r="N306" s="39"/>
      <c r="O306" s="39"/>
    </row>
    <row r="307" spans="1:15">
      <c r="A307" s="17">
        <v>290</v>
      </c>
      <c r="B307" s="25"/>
      <c r="C307" s="25"/>
      <c r="D307" s="25"/>
      <c r="E307" s="25"/>
      <c r="F307" s="25"/>
      <c r="G307" s="35"/>
      <c r="I307" s="17">
        <v>290</v>
      </c>
      <c r="J307" s="39"/>
      <c r="K307" s="39"/>
      <c r="L307" s="39"/>
      <c r="M307" s="39"/>
      <c r="N307" s="39"/>
      <c r="O307" s="39"/>
    </row>
    <row r="308" spans="1:15">
      <c r="A308" s="17">
        <v>291</v>
      </c>
      <c r="B308" s="25"/>
      <c r="C308" s="25"/>
      <c r="D308" s="25"/>
      <c r="E308" s="25"/>
      <c r="F308" s="25"/>
      <c r="G308" s="35"/>
      <c r="I308" s="17">
        <v>291</v>
      </c>
      <c r="J308" s="39"/>
      <c r="K308" s="39"/>
      <c r="L308" s="39"/>
      <c r="M308" s="39"/>
      <c r="N308" s="39"/>
      <c r="O308" s="39"/>
    </row>
    <row r="309" spans="1:15">
      <c r="A309" s="17">
        <v>292</v>
      </c>
      <c r="B309" s="25"/>
      <c r="C309" s="25"/>
      <c r="D309" s="25"/>
      <c r="E309" s="25"/>
      <c r="F309" s="25"/>
      <c r="G309" s="35"/>
      <c r="I309" s="17">
        <v>292</v>
      </c>
      <c r="J309" s="39"/>
      <c r="K309" s="39"/>
      <c r="L309" s="39"/>
      <c r="M309" s="39"/>
      <c r="N309" s="39"/>
      <c r="O309" s="39"/>
    </row>
    <row r="310" spans="1:15">
      <c r="A310" s="17">
        <v>293</v>
      </c>
      <c r="B310" s="25"/>
      <c r="C310" s="25"/>
      <c r="D310" s="25"/>
      <c r="E310" s="25"/>
      <c r="F310" s="25"/>
      <c r="G310" s="35"/>
      <c r="I310" s="17">
        <v>293</v>
      </c>
      <c r="J310" s="39"/>
      <c r="K310" s="39"/>
      <c r="L310" s="39"/>
      <c r="M310" s="39"/>
      <c r="N310" s="39"/>
      <c r="O310" s="39"/>
    </row>
    <row r="311" spans="1:15">
      <c r="A311" s="17">
        <v>294</v>
      </c>
      <c r="B311" s="25"/>
      <c r="C311" s="25"/>
      <c r="D311" s="25"/>
      <c r="E311" s="25"/>
      <c r="F311" s="25"/>
      <c r="G311" s="35"/>
      <c r="I311" s="17">
        <v>294</v>
      </c>
      <c r="J311" s="39"/>
      <c r="K311" s="39"/>
      <c r="L311" s="39"/>
      <c r="M311" s="39"/>
      <c r="N311" s="39"/>
      <c r="O311" s="39"/>
    </row>
    <row r="312" spans="1:15">
      <c r="A312" s="17">
        <v>295</v>
      </c>
      <c r="B312" s="25"/>
      <c r="C312" s="25"/>
      <c r="D312" s="25"/>
      <c r="E312" s="25"/>
      <c r="F312" s="25"/>
      <c r="G312" s="35"/>
      <c r="I312" s="17">
        <v>295</v>
      </c>
      <c r="J312" s="39"/>
      <c r="K312" s="39"/>
      <c r="L312" s="39"/>
      <c r="M312" s="39"/>
      <c r="N312" s="39"/>
      <c r="O312" s="39"/>
    </row>
    <row r="313" spans="1:15">
      <c r="A313" s="17">
        <v>296</v>
      </c>
      <c r="B313" s="25"/>
      <c r="C313" s="25"/>
      <c r="D313" s="25"/>
      <c r="E313" s="25"/>
      <c r="F313" s="25"/>
      <c r="G313" s="35"/>
      <c r="I313" s="17">
        <v>296</v>
      </c>
      <c r="J313" s="39"/>
      <c r="K313" s="39"/>
      <c r="L313" s="39"/>
      <c r="M313" s="39"/>
      <c r="N313" s="39"/>
      <c r="O313" s="39"/>
    </row>
    <row r="314" spans="1:15">
      <c r="A314" s="17">
        <v>297</v>
      </c>
      <c r="B314" s="25"/>
      <c r="C314" s="25"/>
      <c r="D314" s="25"/>
      <c r="E314" s="25"/>
      <c r="F314" s="25"/>
      <c r="G314" s="35"/>
      <c r="I314" s="17">
        <v>297</v>
      </c>
      <c r="J314" s="39"/>
      <c r="K314" s="39"/>
      <c r="L314" s="39"/>
      <c r="M314" s="39"/>
      <c r="N314" s="39"/>
      <c r="O314" s="39"/>
    </row>
    <row r="315" spans="1:15">
      <c r="A315" s="17">
        <v>298</v>
      </c>
      <c r="B315" s="25"/>
      <c r="C315" s="25"/>
      <c r="D315" s="25"/>
      <c r="E315" s="25"/>
      <c r="F315" s="25"/>
      <c r="G315" s="35"/>
      <c r="I315" s="17">
        <v>298</v>
      </c>
      <c r="J315" s="39"/>
      <c r="K315" s="39"/>
      <c r="L315" s="39"/>
      <c r="M315" s="39"/>
      <c r="N315" s="39"/>
      <c r="O315" s="39"/>
    </row>
    <row r="316" spans="1:15">
      <c r="A316" s="17">
        <v>299</v>
      </c>
      <c r="B316" s="25"/>
      <c r="C316" s="25"/>
      <c r="D316" s="25"/>
      <c r="E316" s="25"/>
      <c r="F316" s="25"/>
      <c r="G316" s="35"/>
      <c r="I316" s="17">
        <v>299</v>
      </c>
      <c r="J316" s="39"/>
      <c r="K316" s="39"/>
      <c r="L316" s="39"/>
      <c r="M316" s="39"/>
      <c r="N316" s="39"/>
      <c r="O316" s="39"/>
    </row>
    <row r="317" spans="1:15">
      <c r="A317" s="18">
        <v>300</v>
      </c>
      <c r="B317" s="26"/>
      <c r="C317" s="26"/>
      <c r="D317" s="26"/>
      <c r="E317" s="26"/>
      <c r="F317" s="26"/>
      <c r="G317" s="36"/>
      <c r="I317" s="18">
        <v>300</v>
      </c>
      <c r="J317" s="40"/>
      <c r="K317" s="40"/>
      <c r="L317" s="40"/>
      <c r="M317" s="40"/>
      <c r="N317" s="40"/>
      <c r="O317" s="40"/>
    </row>
    <row r="318" spans="1:15">
      <c r="A318" s="23" t="s">
        <v>31</v>
      </c>
      <c r="B318" s="37"/>
      <c r="C318" s="37"/>
      <c r="D318" s="37"/>
      <c r="E318" s="37"/>
      <c r="F318" s="37"/>
      <c r="G318" s="37"/>
    </row>
    <row r="319" spans="1:15">
      <c r="A319" s="23" t="s">
        <v>32</v>
      </c>
      <c r="B319" s="37"/>
      <c r="C319" s="37"/>
      <c r="D319" s="37"/>
      <c r="E319" s="37"/>
      <c r="F319" s="37"/>
      <c r="G319" s="37"/>
    </row>
    <row r="320" spans="1:15" ht="5.0999999999999996" customHeight="1"/>
  </sheetData>
  <mergeCells count="3">
    <mergeCell ref="A1:F1"/>
    <mergeCell ref="A15:G15"/>
    <mergeCell ref="I15:O15"/>
  </mergeCells>
  <phoneticPr fontId="5"/>
  <printOptions headings="1"/>
  <pageMargins left="0.70866141732283472" right="0.70866141732283472" top="0.74803149606299213" bottom="0.74803149606299213" header="0.31496062992125984" footer="0.31496062992125984"/>
  <pageSetup paperSize="9" scale="66" orientation="portrait" horizontalDpi="0" verticalDpi="0" r:id="rId1"/>
  <rowBreaks count="3" manualBreakCount="3">
    <brk id="80" max="15" man="1"/>
    <brk id="160" max="15" man="1"/>
    <brk id="240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320"/>
  <sheetViews>
    <sheetView showGridLines="0" zoomScale="115" zoomScaleNormal="115" zoomScaleSheetLayoutView="70" workbookViewId="0" xr3:uid="{51F8DEE0-4D01-5F28-A812-FC0BD7CAC4A5}">
      <selection sqref="A1:F1"/>
    </sheetView>
  </sheetViews>
  <sheetFormatPr defaultRowHeight="15"/>
  <cols>
    <col min="1" max="1" width="15.125" style="17" bestFit="1" customWidth="1"/>
    <col min="2" max="6" width="9.25" style="17" customWidth="1"/>
    <col min="7" max="7" width="10" style="17" bestFit="1" customWidth="1"/>
    <col min="8" max="8" width="3.875" style="17" bestFit="1" customWidth="1"/>
    <col min="9" max="11" width="6.25" style="17" customWidth="1"/>
    <col min="12" max="12" width="7.75" style="17" bestFit="1" customWidth="1"/>
    <col min="13" max="14" width="6.25" style="17" customWidth="1"/>
    <col min="15" max="15" width="11" style="17" customWidth="1"/>
    <col min="16" max="16" width="2.625" style="17" customWidth="1"/>
    <col min="17" max="16384" width="9" style="17"/>
  </cols>
  <sheetData>
    <row r="1" spans="1:16">
      <c r="A1" s="41" t="s">
        <v>13</v>
      </c>
      <c r="B1" s="41"/>
      <c r="C1" s="41"/>
      <c r="D1" s="41"/>
      <c r="E1" s="41"/>
      <c r="F1" s="41"/>
    </row>
    <row r="2" spans="1:16">
      <c r="A2" s="18"/>
      <c r="B2" s="19" t="s">
        <v>14</v>
      </c>
      <c r="C2" s="19" t="s">
        <v>15</v>
      </c>
    </row>
    <row r="3" spans="1:16" ht="18">
      <c r="A3" s="20" t="s">
        <v>16</v>
      </c>
      <c r="B3" s="17">
        <v>0.25</v>
      </c>
      <c r="C3" s="21">
        <f>B3/12</f>
        <v>2.0833333333333332E-2</v>
      </c>
      <c r="D3" s="17" t="str">
        <f ca="1">"← "&amp;_xlfn.FORMULATEXT(C3)</f>
        <v>← =B3/12</v>
      </c>
    </row>
    <row r="4" spans="1:16" ht="18">
      <c r="A4" s="20" t="s">
        <v>17</v>
      </c>
      <c r="B4" s="17">
        <v>0.3</v>
      </c>
      <c r="C4" s="22"/>
    </row>
    <row r="5" spans="1:16" ht="18">
      <c r="A5" s="17" t="s">
        <v>18</v>
      </c>
      <c r="B5" s="17">
        <f>B4^2</f>
        <v>0.09</v>
      </c>
      <c r="C5" s="21">
        <f>B5/12</f>
        <v>7.4999999999999997E-3</v>
      </c>
      <c r="D5" s="17" t="str">
        <f t="shared" ref="D5" ca="1" si="0">"← "&amp;_xlfn.FORMULATEXT(C5)</f>
        <v>← =B5/12</v>
      </c>
    </row>
    <row r="6" spans="1:16" ht="5.0999999999999996" customHeight="1">
      <c r="C6" s="22"/>
    </row>
    <row r="7" spans="1:16">
      <c r="A7" s="18"/>
      <c r="B7" s="18" t="s">
        <v>19</v>
      </c>
      <c r="C7" s="18" t="s">
        <v>20</v>
      </c>
      <c r="D7" s="18" t="s">
        <v>21</v>
      </c>
      <c r="E7" s="18" t="s">
        <v>22</v>
      </c>
      <c r="F7" s="18" t="s">
        <v>23</v>
      </c>
    </row>
    <row r="8" spans="1:16">
      <c r="A8" s="23" t="s">
        <v>24</v>
      </c>
      <c r="B8" s="21">
        <f>$C$3</f>
        <v>2.0833333333333332E-2</v>
      </c>
      <c r="C8" s="21">
        <f t="shared" ref="C8:F8" si="1">$C$3</f>
        <v>2.0833333333333332E-2</v>
      </c>
      <c r="D8" s="21">
        <f t="shared" si="1"/>
        <v>2.0833333333333332E-2</v>
      </c>
      <c r="E8" s="21">
        <f t="shared" si="1"/>
        <v>2.0833333333333332E-2</v>
      </c>
      <c r="F8" s="21">
        <f t="shared" si="1"/>
        <v>2.0833333333333332E-2</v>
      </c>
      <c r="O8" s="34" t="s">
        <v>33</v>
      </c>
    </row>
    <row r="9" spans="1:16">
      <c r="A9" s="23" t="s">
        <v>25</v>
      </c>
      <c r="B9" s="21">
        <f>$C$5</f>
        <v>7.4999999999999997E-3</v>
      </c>
      <c r="C9" s="17">
        <v>0</v>
      </c>
      <c r="D9" s="17">
        <v>0</v>
      </c>
      <c r="E9" s="17">
        <v>0</v>
      </c>
      <c r="F9" s="17">
        <v>0</v>
      </c>
      <c r="O9" s="34" t="str">
        <f ca="1">_xlfn.FORMULATEXT(O18)</f>
        <v>=O17*(1+G18)</v>
      </c>
      <c r="P9" s="33" t="s">
        <v>34</v>
      </c>
    </row>
    <row r="10" spans="1:16">
      <c r="A10" s="23"/>
      <c r="B10" s="17">
        <v>0</v>
      </c>
      <c r="C10" s="21">
        <f>B9</f>
        <v>7.4999999999999997E-3</v>
      </c>
      <c r="D10" s="17">
        <v>0</v>
      </c>
      <c r="E10" s="17">
        <v>0</v>
      </c>
      <c r="F10" s="17">
        <v>0</v>
      </c>
      <c r="P10" s="33" t="s">
        <v>35</v>
      </c>
    </row>
    <row r="11" spans="1:16">
      <c r="A11" s="23"/>
      <c r="B11" s="17">
        <v>0</v>
      </c>
      <c r="C11" s="17">
        <v>0</v>
      </c>
      <c r="D11" s="21">
        <f>B9</f>
        <v>7.4999999999999997E-3</v>
      </c>
      <c r="E11" s="17">
        <v>0</v>
      </c>
      <c r="F11" s="17">
        <v>0</v>
      </c>
      <c r="I11" s="32" t="s">
        <v>36</v>
      </c>
      <c r="P11" s="33" t="s">
        <v>35</v>
      </c>
    </row>
    <row r="12" spans="1:16">
      <c r="A12" s="23"/>
      <c r="B12" s="17">
        <v>0</v>
      </c>
      <c r="C12" s="17">
        <v>0</v>
      </c>
      <c r="D12" s="17">
        <v>0</v>
      </c>
      <c r="E12" s="21">
        <f>B9</f>
        <v>7.4999999999999997E-3</v>
      </c>
      <c r="F12" s="17">
        <v>0</v>
      </c>
      <c r="H12" s="33" t="s">
        <v>37</v>
      </c>
      <c r="I12" s="32" t="str">
        <f ca="1">_xlfn.FORMULATEXT(G18)</f>
        <v>=SUM(B18:F18)/5</v>
      </c>
      <c r="P12" s="33" t="s">
        <v>35</v>
      </c>
    </row>
    <row r="13" spans="1:16">
      <c r="B13" s="17">
        <v>0</v>
      </c>
      <c r="C13" s="17">
        <v>0</v>
      </c>
      <c r="D13" s="17">
        <v>0</v>
      </c>
      <c r="E13" s="17">
        <v>0</v>
      </c>
      <c r="F13" s="21">
        <f>B9</f>
        <v>7.4999999999999997E-3</v>
      </c>
      <c r="H13" s="33" t="s">
        <v>35</v>
      </c>
      <c r="P13" s="33" t="s">
        <v>35</v>
      </c>
    </row>
    <row r="14" spans="1:16" ht="5.0999999999999996" customHeight="1">
      <c r="F14" s="22"/>
      <c r="H14" s="33"/>
      <c r="P14" s="33"/>
    </row>
    <row r="15" spans="1:16">
      <c r="A15" s="42" t="s">
        <v>26</v>
      </c>
      <c r="B15" s="42"/>
      <c r="C15" s="42"/>
      <c r="D15" s="42"/>
      <c r="E15" s="42"/>
      <c r="F15" s="42"/>
      <c r="G15" s="42"/>
      <c r="H15" s="33" t="s">
        <v>35</v>
      </c>
      <c r="I15" s="42" t="s">
        <v>27</v>
      </c>
      <c r="J15" s="42"/>
      <c r="K15" s="42"/>
      <c r="L15" s="42"/>
      <c r="M15" s="42"/>
      <c r="N15" s="42"/>
      <c r="O15" s="42"/>
      <c r="P15" s="33" t="s">
        <v>35</v>
      </c>
    </row>
    <row r="16" spans="1:16">
      <c r="A16" s="19" t="s">
        <v>28</v>
      </c>
      <c r="B16" s="18" t="s">
        <v>19</v>
      </c>
      <c r="C16" s="18" t="s">
        <v>20</v>
      </c>
      <c r="D16" s="18" t="s">
        <v>21</v>
      </c>
      <c r="E16" s="18" t="s">
        <v>22</v>
      </c>
      <c r="F16" s="18" t="s">
        <v>23</v>
      </c>
      <c r="G16" s="19" t="s">
        <v>29</v>
      </c>
      <c r="H16" s="33" t="s">
        <v>35</v>
      </c>
      <c r="I16" s="18" t="s">
        <v>30</v>
      </c>
      <c r="J16" s="18" t="s">
        <v>19</v>
      </c>
      <c r="K16" s="18" t="s">
        <v>20</v>
      </c>
      <c r="L16" s="18" t="s">
        <v>21</v>
      </c>
      <c r="M16" s="18" t="s">
        <v>22</v>
      </c>
      <c r="N16" s="18" t="s">
        <v>23</v>
      </c>
      <c r="O16" s="19" t="s">
        <v>29</v>
      </c>
      <c r="P16" s="33" t="s">
        <v>35</v>
      </c>
    </row>
    <row r="17" spans="1:16">
      <c r="H17" s="33" t="s">
        <v>35</v>
      </c>
      <c r="I17" s="17">
        <v>0</v>
      </c>
      <c r="J17" s="24">
        <v>1</v>
      </c>
      <c r="K17" s="24">
        <v>1</v>
      </c>
      <c r="L17" s="24">
        <v>1</v>
      </c>
      <c r="M17" s="24">
        <v>1</v>
      </c>
      <c r="N17" s="24">
        <v>1</v>
      </c>
      <c r="O17" s="24">
        <v>1</v>
      </c>
      <c r="P17" s="33" t="s">
        <v>35</v>
      </c>
    </row>
    <row r="18" spans="1:16">
      <c r="A18" s="17">
        <v>1</v>
      </c>
      <c r="B18" s="25" t="e">
        <f t="array" aca="1" ref="B18:F317">_xll.NTRANDMULTINORM(300, B9:F13, B8:F8, 0, 12345, 67890)</f>
        <v>#NAME?</v>
      </c>
      <c r="C18" s="25" t="e">
        <v>#NAME?</v>
      </c>
      <c r="D18" s="25" t="e">
        <v>#NAME?</v>
      </c>
      <c r="E18" s="25" t="e">
        <v>#NAME?</v>
      </c>
      <c r="F18" s="25" t="e">
        <v>#NAME?</v>
      </c>
      <c r="G18" s="27" t="e">
        <f>SUM(B18:F18)/5</f>
        <v>#NAME?</v>
      </c>
      <c r="H18" s="33" t="s">
        <v>37</v>
      </c>
      <c r="I18" s="17">
        <v>1</v>
      </c>
      <c r="J18" s="24" t="e">
        <f>J17*(1+B18)</f>
        <v>#NAME?</v>
      </c>
      <c r="K18" s="24" t="e">
        <f t="shared" ref="K18:O33" si="2">K17*(1+C18)</f>
        <v>#NAME?</v>
      </c>
      <c r="L18" s="24" t="e">
        <f t="shared" si="2"/>
        <v>#NAME?</v>
      </c>
      <c r="M18" s="24" t="e">
        <f t="shared" si="2"/>
        <v>#NAME?</v>
      </c>
      <c r="N18" s="24" t="e">
        <f t="shared" si="2"/>
        <v>#NAME?</v>
      </c>
      <c r="O18" s="24" t="e">
        <f t="shared" si="2"/>
        <v>#NAME?</v>
      </c>
      <c r="P18" s="33" t="s">
        <v>37</v>
      </c>
    </row>
    <row r="19" spans="1:16">
      <c r="A19" s="17">
        <v>2</v>
      </c>
      <c r="B19" s="25" t="e">
        <v>#NAME?</v>
      </c>
      <c r="C19" s="25" t="e">
        <v>#NAME?</v>
      </c>
      <c r="D19" s="25" t="e">
        <v>#NAME?</v>
      </c>
      <c r="E19" s="25" t="e">
        <v>#NAME?</v>
      </c>
      <c r="F19" s="25" t="e">
        <v>#NAME?</v>
      </c>
      <c r="G19" s="27" t="e">
        <f t="shared" ref="G19:G82" si="3">SUM(B19:F19)/5</f>
        <v>#NAME?</v>
      </c>
      <c r="I19" s="17">
        <v>2</v>
      </c>
      <c r="J19" s="24" t="e">
        <f t="shared" ref="J19:O34" si="4">J18*(1+B19)</f>
        <v>#NAME?</v>
      </c>
      <c r="K19" s="24" t="e">
        <f t="shared" si="2"/>
        <v>#NAME?</v>
      </c>
      <c r="L19" s="24" t="e">
        <f t="shared" si="2"/>
        <v>#NAME?</v>
      </c>
      <c r="M19" s="24" t="e">
        <f t="shared" si="2"/>
        <v>#NAME?</v>
      </c>
      <c r="N19" s="24" t="e">
        <f t="shared" si="2"/>
        <v>#NAME?</v>
      </c>
      <c r="O19" s="24" t="e">
        <f t="shared" si="2"/>
        <v>#NAME?</v>
      </c>
    </row>
    <row r="20" spans="1:16">
      <c r="A20" s="17">
        <v>3</v>
      </c>
      <c r="B20" s="25" t="e">
        <v>#NAME?</v>
      </c>
      <c r="C20" s="25" t="e">
        <v>#NAME?</v>
      </c>
      <c r="D20" s="25" t="e">
        <v>#NAME?</v>
      </c>
      <c r="E20" s="25" t="e">
        <v>#NAME?</v>
      </c>
      <c r="F20" s="25" t="e">
        <v>#NAME?</v>
      </c>
      <c r="G20" s="27" t="e">
        <f t="shared" si="3"/>
        <v>#NAME?</v>
      </c>
      <c r="I20" s="17">
        <v>3</v>
      </c>
      <c r="J20" s="24" t="e">
        <f t="shared" si="4"/>
        <v>#NAME?</v>
      </c>
      <c r="K20" s="24" t="e">
        <f t="shared" si="2"/>
        <v>#NAME?</v>
      </c>
      <c r="L20" s="24" t="e">
        <f t="shared" si="2"/>
        <v>#NAME?</v>
      </c>
      <c r="M20" s="24" t="e">
        <f t="shared" si="2"/>
        <v>#NAME?</v>
      </c>
      <c r="N20" s="24" t="e">
        <f t="shared" si="2"/>
        <v>#NAME?</v>
      </c>
      <c r="O20" s="24" t="e">
        <f t="shared" si="2"/>
        <v>#NAME?</v>
      </c>
    </row>
    <row r="21" spans="1:16">
      <c r="A21" s="17">
        <v>4</v>
      </c>
      <c r="B21" s="25" t="e">
        <v>#NAME?</v>
      </c>
      <c r="C21" s="25" t="e">
        <v>#NAME?</v>
      </c>
      <c r="D21" s="25" t="e">
        <v>#NAME?</v>
      </c>
      <c r="E21" s="25" t="e">
        <v>#NAME?</v>
      </c>
      <c r="F21" s="25" t="e">
        <v>#NAME?</v>
      </c>
      <c r="G21" s="27" t="e">
        <f t="shared" si="3"/>
        <v>#NAME?</v>
      </c>
      <c r="I21" s="17">
        <v>4</v>
      </c>
      <c r="J21" s="24" t="e">
        <f t="shared" si="4"/>
        <v>#NAME?</v>
      </c>
      <c r="K21" s="24" t="e">
        <f t="shared" si="2"/>
        <v>#NAME?</v>
      </c>
      <c r="L21" s="24" t="e">
        <f t="shared" si="2"/>
        <v>#NAME?</v>
      </c>
      <c r="M21" s="24" t="e">
        <f t="shared" si="2"/>
        <v>#NAME?</v>
      </c>
      <c r="N21" s="24" t="e">
        <f t="shared" si="2"/>
        <v>#NAME?</v>
      </c>
      <c r="O21" s="24" t="e">
        <f t="shared" si="2"/>
        <v>#NAME?</v>
      </c>
    </row>
    <row r="22" spans="1:16">
      <c r="A22" s="17">
        <v>5</v>
      </c>
      <c r="B22" s="25" t="e">
        <v>#NAME?</v>
      </c>
      <c r="C22" s="25" t="e">
        <v>#NAME?</v>
      </c>
      <c r="D22" s="25" t="e">
        <v>#NAME?</v>
      </c>
      <c r="E22" s="25" t="e">
        <v>#NAME?</v>
      </c>
      <c r="F22" s="25" t="e">
        <v>#NAME?</v>
      </c>
      <c r="G22" s="27" t="e">
        <f t="shared" si="3"/>
        <v>#NAME?</v>
      </c>
      <c r="I22" s="17">
        <v>5</v>
      </c>
      <c r="J22" s="24" t="e">
        <f t="shared" si="4"/>
        <v>#NAME?</v>
      </c>
      <c r="K22" s="24" t="e">
        <f t="shared" si="2"/>
        <v>#NAME?</v>
      </c>
      <c r="L22" s="24" t="e">
        <f t="shared" si="2"/>
        <v>#NAME?</v>
      </c>
      <c r="M22" s="24" t="e">
        <f t="shared" si="2"/>
        <v>#NAME?</v>
      </c>
      <c r="N22" s="24" t="e">
        <f t="shared" si="2"/>
        <v>#NAME?</v>
      </c>
      <c r="O22" s="24" t="e">
        <f t="shared" si="2"/>
        <v>#NAME?</v>
      </c>
    </row>
    <row r="23" spans="1:16">
      <c r="A23" s="17">
        <v>6</v>
      </c>
      <c r="B23" s="25" t="e">
        <v>#NAME?</v>
      </c>
      <c r="C23" s="25" t="e">
        <v>#NAME?</v>
      </c>
      <c r="D23" s="25" t="e">
        <v>#NAME?</v>
      </c>
      <c r="E23" s="25" t="e">
        <v>#NAME?</v>
      </c>
      <c r="F23" s="25" t="e">
        <v>#NAME?</v>
      </c>
      <c r="G23" s="27" t="e">
        <f t="shared" si="3"/>
        <v>#NAME?</v>
      </c>
      <c r="I23" s="17">
        <v>6</v>
      </c>
      <c r="J23" s="24" t="e">
        <f t="shared" si="4"/>
        <v>#NAME?</v>
      </c>
      <c r="K23" s="24" t="e">
        <f t="shared" si="2"/>
        <v>#NAME?</v>
      </c>
      <c r="L23" s="24" t="e">
        <f t="shared" si="2"/>
        <v>#NAME?</v>
      </c>
      <c r="M23" s="24" t="e">
        <f t="shared" si="2"/>
        <v>#NAME?</v>
      </c>
      <c r="N23" s="24" t="e">
        <f t="shared" si="2"/>
        <v>#NAME?</v>
      </c>
      <c r="O23" s="24" t="e">
        <f t="shared" si="2"/>
        <v>#NAME?</v>
      </c>
    </row>
    <row r="24" spans="1:16">
      <c r="A24" s="17">
        <v>7</v>
      </c>
      <c r="B24" s="25" t="e">
        <v>#NAME?</v>
      </c>
      <c r="C24" s="25" t="e">
        <v>#NAME?</v>
      </c>
      <c r="D24" s="25" t="e">
        <v>#NAME?</v>
      </c>
      <c r="E24" s="25" t="e">
        <v>#NAME?</v>
      </c>
      <c r="F24" s="25" t="e">
        <v>#NAME?</v>
      </c>
      <c r="G24" s="27" t="e">
        <f t="shared" si="3"/>
        <v>#NAME?</v>
      </c>
      <c r="I24" s="17">
        <v>7</v>
      </c>
      <c r="J24" s="24" t="e">
        <f t="shared" si="4"/>
        <v>#NAME?</v>
      </c>
      <c r="K24" s="24" t="e">
        <f t="shared" si="2"/>
        <v>#NAME?</v>
      </c>
      <c r="L24" s="24" t="e">
        <f t="shared" si="2"/>
        <v>#NAME?</v>
      </c>
      <c r="M24" s="24" t="e">
        <f t="shared" si="2"/>
        <v>#NAME?</v>
      </c>
      <c r="N24" s="24" t="e">
        <f t="shared" si="2"/>
        <v>#NAME?</v>
      </c>
      <c r="O24" s="24" t="e">
        <f t="shared" si="2"/>
        <v>#NAME?</v>
      </c>
    </row>
    <row r="25" spans="1:16">
      <c r="A25" s="17">
        <v>8</v>
      </c>
      <c r="B25" s="25" t="e">
        <v>#NAME?</v>
      </c>
      <c r="C25" s="25" t="e">
        <v>#NAME?</v>
      </c>
      <c r="D25" s="25" t="e">
        <v>#NAME?</v>
      </c>
      <c r="E25" s="25" t="e">
        <v>#NAME?</v>
      </c>
      <c r="F25" s="25" t="e">
        <v>#NAME?</v>
      </c>
      <c r="G25" s="27" t="e">
        <f t="shared" si="3"/>
        <v>#NAME?</v>
      </c>
      <c r="I25" s="17">
        <v>8</v>
      </c>
      <c r="J25" s="24" t="e">
        <f t="shared" si="4"/>
        <v>#NAME?</v>
      </c>
      <c r="K25" s="24" t="e">
        <f t="shared" si="2"/>
        <v>#NAME?</v>
      </c>
      <c r="L25" s="24" t="e">
        <f t="shared" si="2"/>
        <v>#NAME?</v>
      </c>
      <c r="M25" s="24" t="e">
        <f t="shared" si="2"/>
        <v>#NAME?</v>
      </c>
      <c r="N25" s="24" t="e">
        <f t="shared" si="2"/>
        <v>#NAME?</v>
      </c>
      <c r="O25" s="24" t="e">
        <f t="shared" si="2"/>
        <v>#NAME?</v>
      </c>
    </row>
    <row r="26" spans="1:16">
      <c r="A26" s="17">
        <v>9</v>
      </c>
      <c r="B26" s="25" t="e">
        <v>#NAME?</v>
      </c>
      <c r="C26" s="25" t="e">
        <v>#NAME?</v>
      </c>
      <c r="D26" s="25" t="e">
        <v>#NAME?</v>
      </c>
      <c r="E26" s="25" t="e">
        <v>#NAME?</v>
      </c>
      <c r="F26" s="25" t="e">
        <v>#NAME?</v>
      </c>
      <c r="G26" s="27" t="e">
        <f t="shared" si="3"/>
        <v>#NAME?</v>
      </c>
      <c r="I26" s="17">
        <v>9</v>
      </c>
      <c r="J26" s="24" t="e">
        <f t="shared" si="4"/>
        <v>#NAME?</v>
      </c>
      <c r="K26" s="24" t="e">
        <f t="shared" si="2"/>
        <v>#NAME?</v>
      </c>
      <c r="L26" s="24" t="e">
        <f t="shared" si="2"/>
        <v>#NAME?</v>
      </c>
      <c r="M26" s="24" t="e">
        <f t="shared" si="2"/>
        <v>#NAME?</v>
      </c>
      <c r="N26" s="24" t="e">
        <f t="shared" si="2"/>
        <v>#NAME?</v>
      </c>
      <c r="O26" s="24" t="e">
        <f t="shared" si="2"/>
        <v>#NAME?</v>
      </c>
    </row>
    <row r="27" spans="1:16">
      <c r="A27" s="17">
        <v>10</v>
      </c>
      <c r="B27" s="25" t="e">
        <v>#NAME?</v>
      </c>
      <c r="C27" s="25" t="e">
        <v>#NAME?</v>
      </c>
      <c r="D27" s="25" t="e">
        <v>#NAME?</v>
      </c>
      <c r="E27" s="25" t="e">
        <v>#NAME?</v>
      </c>
      <c r="F27" s="25" t="e">
        <v>#NAME?</v>
      </c>
      <c r="G27" s="27" t="e">
        <f t="shared" si="3"/>
        <v>#NAME?</v>
      </c>
      <c r="I27" s="17">
        <v>10</v>
      </c>
      <c r="J27" s="24" t="e">
        <f t="shared" si="4"/>
        <v>#NAME?</v>
      </c>
      <c r="K27" s="24" t="e">
        <f t="shared" si="2"/>
        <v>#NAME?</v>
      </c>
      <c r="L27" s="24" t="e">
        <f t="shared" si="2"/>
        <v>#NAME?</v>
      </c>
      <c r="M27" s="24" t="e">
        <f t="shared" si="2"/>
        <v>#NAME?</v>
      </c>
      <c r="N27" s="24" t="e">
        <f t="shared" si="2"/>
        <v>#NAME?</v>
      </c>
      <c r="O27" s="24" t="e">
        <f t="shared" si="2"/>
        <v>#NAME?</v>
      </c>
    </row>
    <row r="28" spans="1:16">
      <c r="A28" s="17">
        <v>11</v>
      </c>
      <c r="B28" s="25" t="e">
        <v>#NAME?</v>
      </c>
      <c r="C28" s="25" t="e">
        <v>#NAME?</v>
      </c>
      <c r="D28" s="25" t="e">
        <v>#NAME?</v>
      </c>
      <c r="E28" s="25" t="e">
        <v>#NAME?</v>
      </c>
      <c r="F28" s="25" t="e">
        <v>#NAME?</v>
      </c>
      <c r="G28" s="27" t="e">
        <f t="shared" si="3"/>
        <v>#NAME?</v>
      </c>
      <c r="I28" s="17">
        <v>11</v>
      </c>
      <c r="J28" s="24" t="e">
        <f t="shared" si="4"/>
        <v>#NAME?</v>
      </c>
      <c r="K28" s="24" t="e">
        <f t="shared" si="2"/>
        <v>#NAME?</v>
      </c>
      <c r="L28" s="24" t="e">
        <f t="shared" si="2"/>
        <v>#NAME?</v>
      </c>
      <c r="M28" s="24" t="e">
        <f t="shared" si="2"/>
        <v>#NAME?</v>
      </c>
      <c r="N28" s="24" t="e">
        <f t="shared" si="2"/>
        <v>#NAME?</v>
      </c>
      <c r="O28" s="24" t="e">
        <f t="shared" si="2"/>
        <v>#NAME?</v>
      </c>
    </row>
    <row r="29" spans="1:16">
      <c r="A29" s="17">
        <v>12</v>
      </c>
      <c r="B29" s="25" t="e">
        <v>#NAME?</v>
      </c>
      <c r="C29" s="25" t="e">
        <v>#NAME?</v>
      </c>
      <c r="D29" s="25" t="e">
        <v>#NAME?</v>
      </c>
      <c r="E29" s="25" t="e">
        <v>#NAME?</v>
      </c>
      <c r="F29" s="25" t="e">
        <v>#NAME?</v>
      </c>
      <c r="G29" s="27" t="e">
        <f t="shared" si="3"/>
        <v>#NAME?</v>
      </c>
      <c r="I29" s="17">
        <v>12</v>
      </c>
      <c r="J29" s="24" t="e">
        <f t="shared" si="4"/>
        <v>#NAME?</v>
      </c>
      <c r="K29" s="24" t="e">
        <f t="shared" si="2"/>
        <v>#NAME?</v>
      </c>
      <c r="L29" s="24" t="e">
        <f t="shared" si="2"/>
        <v>#NAME?</v>
      </c>
      <c r="M29" s="24" t="e">
        <f t="shared" si="2"/>
        <v>#NAME?</v>
      </c>
      <c r="N29" s="24" t="e">
        <f t="shared" si="2"/>
        <v>#NAME?</v>
      </c>
      <c r="O29" s="24" t="e">
        <f t="shared" si="2"/>
        <v>#NAME?</v>
      </c>
    </row>
    <row r="30" spans="1:16">
      <c r="A30" s="17">
        <v>13</v>
      </c>
      <c r="B30" s="25" t="e">
        <v>#NAME?</v>
      </c>
      <c r="C30" s="25" t="e">
        <v>#NAME?</v>
      </c>
      <c r="D30" s="25" t="e">
        <v>#NAME?</v>
      </c>
      <c r="E30" s="25" t="e">
        <v>#NAME?</v>
      </c>
      <c r="F30" s="25" t="e">
        <v>#NAME?</v>
      </c>
      <c r="G30" s="27" t="e">
        <f t="shared" si="3"/>
        <v>#NAME?</v>
      </c>
      <c r="I30" s="17">
        <v>13</v>
      </c>
      <c r="J30" s="24" t="e">
        <f t="shared" si="4"/>
        <v>#NAME?</v>
      </c>
      <c r="K30" s="24" t="e">
        <f t="shared" si="2"/>
        <v>#NAME?</v>
      </c>
      <c r="L30" s="24" t="e">
        <f t="shared" si="2"/>
        <v>#NAME?</v>
      </c>
      <c r="M30" s="24" t="e">
        <f t="shared" si="2"/>
        <v>#NAME?</v>
      </c>
      <c r="N30" s="24" t="e">
        <f t="shared" si="2"/>
        <v>#NAME?</v>
      </c>
      <c r="O30" s="24" t="e">
        <f t="shared" si="2"/>
        <v>#NAME?</v>
      </c>
    </row>
    <row r="31" spans="1:16">
      <c r="A31" s="17">
        <v>14</v>
      </c>
      <c r="B31" s="25" t="e">
        <v>#NAME?</v>
      </c>
      <c r="C31" s="25" t="e">
        <v>#NAME?</v>
      </c>
      <c r="D31" s="25" t="e">
        <v>#NAME?</v>
      </c>
      <c r="E31" s="25" t="e">
        <v>#NAME?</v>
      </c>
      <c r="F31" s="25" t="e">
        <v>#NAME?</v>
      </c>
      <c r="G31" s="27" t="e">
        <f t="shared" si="3"/>
        <v>#NAME?</v>
      </c>
      <c r="I31" s="17">
        <v>14</v>
      </c>
      <c r="J31" s="24" t="e">
        <f t="shared" si="4"/>
        <v>#NAME?</v>
      </c>
      <c r="K31" s="24" t="e">
        <f t="shared" si="2"/>
        <v>#NAME?</v>
      </c>
      <c r="L31" s="24" t="e">
        <f t="shared" si="2"/>
        <v>#NAME?</v>
      </c>
      <c r="M31" s="24" t="e">
        <f t="shared" si="2"/>
        <v>#NAME?</v>
      </c>
      <c r="N31" s="24" t="e">
        <f t="shared" si="2"/>
        <v>#NAME?</v>
      </c>
      <c r="O31" s="24" t="e">
        <f t="shared" si="2"/>
        <v>#NAME?</v>
      </c>
    </row>
    <row r="32" spans="1:16">
      <c r="A32" s="17">
        <v>15</v>
      </c>
      <c r="B32" s="25" t="e">
        <v>#NAME?</v>
      </c>
      <c r="C32" s="25" t="e">
        <v>#NAME?</v>
      </c>
      <c r="D32" s="25" t="e">
        <v>#NAME?</v>
      </c>
      <c r="E32" s="25" t="e">
        <v>#NAME?</v>
      </c>
      <c r="F32" s="25" t="e">
        <v>#NAME?</v>
      </c>
      <c r="G32" s="27" t="e">
        <f t="shared" si="3"/>
        <v>#NAME?</v>
      </c>
      <c r="I32" s="17">
        <v>15</v>
      </c>
      <c r="J32" s="24" t="e">
        <f t="shared" si="4"/>
        <v>#NAME?</v>
      </c>
      <c r="K32" s="24" t="e">
        <f t="shared" si="2"/>
        <v>#NAME?</v>
      </c>
      <c r="L32" s="24" t="e">
        <f t="shared" si="2"/>
        <v>#NAME?</v>
      </c>
      <c r="M32" s="24" t="e">
        <f t="shared" si="2"/>
        <v>#NAME?</v>
      </c>
      <c r="N32" s="24" t="e">
        <f t="shared" si="2"/>
        <v>#NAME?</v>
      </c>
      <c r="O32" s="24" t="e">
        <f t="shared" si="2"/>
        <v>#NAME?</v>
      </c>
    </row>
    <row r="33" spans="1:15">
      <c r="A33" s="17">
        <v>16</v>
      </c>
      <c r="B33" s="25" t="e">
        <v>#NAME?</v>
      </c>
      <c r="C33" s="25" t="e">
        <v>#NAME?</v>
      </c>
      <c r="D33" s="25" t="e">
        <v>#NAME?</v>
      </c>
      <c r="E33" s="25" t="e">
        <v>#NAME?</v>
      </c>
      <c r="F33" s="25" t="e">
        <v>#NAME?</v>
      </c>
      <c r="G33" s="27" t="e">
        <f t="shared" si="3"/>
        <v>#NAME?</v>
      </c>
      <c r="I33" s="17">
        <v>16</v>
      </c>
      <c r="J33" s="24" t="e">
        <f t="shared" si="4"/>
        <v>#NAME?</v>
      </c>
      <c r="K33" s="24" t="e">
        <f t="shared" si="2"/>
        <v>#NAME?</v>
      </c>
      <c r="L33" s="24" t="e">
        <f t="shared" si="2"/>
        <v>#NAME?</v>
      </c>
      <c r="M33" s="24" t="e">
        <f t="shared" si="2"/>
        <v>#NAME?</v>
      </c>
      <c r="N33" s="24" t="e">
        <f t="shared" si="2"/>
        <v>#NAME?</v>
      </c>
      <c r="O33" s="24" t="e">
        <f t="shared" si="2"/>
        <v>#NAME?</v>
      </c>
    </row>
    <row r="34" spans="1:15">
      <c r="A34" s="17">
        <v>17</v>
      </c>
      <c r="B34" s="25" t="e">
        <v>#NAME?</v>
      </c>
      <c r="C34" s="25" t="e">
        <v>#NAME?</v>
      </c>
      <c r="D34" s="25" t="e">
        <v>#NAME?</v>
      </c>
      <c r="E34" s="25" t="e">
        <v>#NAME?</v>
      </c>
      <c r="F34" s="25" t="e">
        <v>#NAME?</v>
      </c>
      <c r="G34" s="27" t="e">
        <f t="shared" si="3"/>
        <v>#NAME?</v>
      </c>
      <c r="I34" s="17">
        <v>17</v>
      </c>
      <c r="J34" s="24" t="e">
        <f t="shared" si="4"/>
        <v>#NAME?</v>
      </c>
      <c r="K34" s="24" t="e">
        <f t="shared" si="4"/>
        <v>#NAME?</v>
      </c>
      <c r="L34" s="24" t="e">
        <f t="shared" si="4"/>
        <v>#NAME?</v>
      </c>
      <c r="M34" s="24" t="e">
        <f t="shared" si="4"/>
        <v>#NAME?</v>
      </c>
      <c r="N34" s="24" t="e">
        <f t="shared" si="4"/>
        <v>#NAME?</v>
      </c>
      <c r="O34" s="24" t="e">
        <f t="shared" si="4"/>
        <v>#NAME?</v>
      </c>
    </row>
    <row r="35" spans="1:15">
      <c r="A35" s="17">
        <v>18</v>
      </c>
      <c r="B35" s="25" t="e">
        <v>#NAME?</v>
      </c>
      <c r="C35" s="25" t="e">
        <v>#NAME?</v>
      </c>
      <c r="D35" s="25" t="e">
        <v>#NAME?</v>
      </c>
      <c r="E35" s="25" t="e">
        <v>#NAME?</v>
      </c>
      <c r="F35" s="25" t="e">
        <v>#NAME?</v>
      </c>
      <c r="G35" s="27" t="e">
        <f t="shared" si="3"/>
        <v>#NAME?</v>
      </c>
      <c r="I35" s="17">
        <v>18</v>
      </c>
      <c r="J35" s="24" t="e">
        <f t="shared" ref="J35:O50" si="5">J34*(1+B35)</f>
        <v>#NAME?</v>
      </c>
      <c r="K35" s="24" t="e">
        <f t="shared" si="5"/>
        <v>#NAME?</v>
      </c>
      <c r="L35" s="24" t="e">
        <f t="shared" si="5"/>
        <v>#NAME?</v>
      </c>
      <c r="M35" s="24" t="e">
        <f t="shared" si="5"/>
        <v>#NAME?</v>
      </c>
      <c r="N35" s="24" t="e">
        <f t="shared" si="5"/>
        <v>#NAME?</v>
      </c>
      <c r="O35" s="24" t="e">
        <f t="shared" si="5"/>
        <v>#NAME?</v>
      </c>
    </row>
    <row r="36" spans="1:15">
      <c r="A36" s="17">
        <v>19</v>
      </c>
      <c r="B36" s="25" t="e">
        <v>#NAME?</v>
      </c>
      <c r="C36" s="25" t="e">
        <v>#NAME?</v>
      </c>
      <c r="D36" s="25" t="e">
        <v>#NAME?</v>
      </c>
      <c r="E36" s="25" t="e">
        <v>#NAME?</v>
      </c>
      <c r="F36" s="25" t="e">
        <v>#NAME?</v>
      </c>
      <c r="G36" s="27" t="e">
        <f t="shared" si="3"/>
        <v>#NAME?</v>
      </c>
      <c r="I36" s="17">
        <v>19</v>
      </c>
      <c r="J36" s="24" t="e">
        <f t="shared" si="5"/>
        <v>#NAME?</v>
      </c>
      <c r="K36" s="24" t="e">
        <f t="shared" si="5"/>
        <v>#NAME?</v>
      </c>
      <c r="L36" s="24" t="e">
        <f t="shared" si="5"/>
        <v>#NAME?</v>
      </c>
      <c r="M36" s="24" t="e">
        <f t="shared" si="5"/>
        <v>#NAME?</v>
      </c>
      <c r="N36" s="24" t="e">
        <f t="shared" si="5"/>
        <v>#NAME?</v>
      </c>
      <c r="O36" s="24" t="e">
        <f t="shared" si="5"/>
        <v>#NAME?</v>
      </c>
    </row>
    <row r="37" spans="1:15">
      <c r="A37" s="17">
        <v>20</v>
      </c>
      <c r="B37" s="25" t="e">
        <v>#NAME?</v>
      </c>
      <c r="C37" s="25" t="e">
        <v>#NAME?</v>
      </c>
      <c r="D37" s="25" t="e">
        <v>#NAME?</v>
      </c>
      <c r="E37" s="25" t="e">
        <v>#NAME?</v>
      </c>
      <c r="F37" s="25" t="e">
        <v>#NAME?</v>
      </c>
      <c r="G37" s="27" t="e">
        <f t="shared" si="3"/>
        <v>#NAME?</v>
      </c>
      <c r="I37" s="17">
        <v>20</v>
      </c>
      <c r="J37" s="24" t="e">
        <f t="shared" si="5"/>
        <v>#NAME?</v>
      </c>
      <c r="K37" s="24" t="e">
        <f t="shared" si="5"/>
        <v>#NAME?</v>
      </c>
      <c r="L37" s="24" t="e">
        <f t="shared" si="5"/>
        <v>#NAME?</v>
      </c>
      <c r="M37" s="24" t="e">
        <f t="shared" si="5"/>
        <v>#NAME?</v>
      </c>
      <c r="N37" s="24" t="e">
        <f t="shared" si="5"/>
        <v>#NAME?</v>
      </c>
      <c r="O37" s="24" t="e">
        <f t="shared" si="5"/>
        <v>#NAME?</v>
      </c>
    </row>
    <row r="38" spans="1:15">
      <c r="A38" s="17">
        <v>21</v>
      </c>
      <c r="B38" s="25" t="e">
        <v>#NAME?</v>
      </c>
      <c r="C38" s="25" t="e">
        <v>#NAME?</v>
      </c>
      <c r="D38" s="25" t="e">
        <v>#NAME?</v>
      </c>
      <c r="E38" s="25" t="e">
        <v>#NAME?</v>
      </c>
      <c r="F38" s="25" t="e">
        <v>#NAME?</v>
      </c>
      <c r="G38" s="27" t="e">
        <f t="shared" si="3"/>
        <v>#NAME?</v>
      </c>
      <c r="I38" s="17">
        <v>21</v>
      </c>
      <c r="J38" s="24" t="e">
        <f t="shared" si="5"/>
        <v>#NAME?</v>
      </c>
      <c r="K38" s="24" t="e">
        <f t="shared" si="5"/>
        <v>#NAME?</v>
      </c>
      <c r="L38" s="24" t="e">
        <f t="shared" si="5"/>
        <v>#NAME?</v>
      </c>
      <c r="M38" s="24" t="e">
        <f t="shared" si="5"/>
        <v>#NAME?</v>
      </c>
      <c r="N38" s="24" t="e">
        <f t="shared" si="5"/>
        <v>#NAME?</v>
      </c>
      <c r="O38" s="24" t="e">
        <f t="shared" si="5"/>
        <v>#NAME?</v>
      </c>
    </row>
    <row r="39" spans="1:15">
      <c r="A39" s="17">
        <v>22</v>
      </c>
      <c r="B39" s="25" t="e">
        <v>#NAME?</v>
      </c>
      <c r="C39" s="25" t="e">
        <v>#NAME?</v>
      </c>
      <c r="D39" s="25" t="e">
        <v>#NAME?</v>
      </c>
      <c r="E39" s="25" t="e">
        <v>#NAME?</v>
      </c>
      <c r="F39" s="25" t="e">
        <v>#NAME?</v>
      </c>
      <c r="G39" s="27" t="e">
        <f t="shared" si="3"/>
        <v>#NAME?</v>
      </c>
      <c r="I39" s="17">
        <v>22</v>
      </c>
      <c r="J39" s="24" t="e">
        <f t="shared" si="5"/>
        <v>#NAME?</v>
      </c>
      <c r="K39" s="24" t="e">
        <f t="shared" si="5"/>
        <v>#NAME?</v>
      </c>
      <c r="L39" s="24" t="e">
        <f t="shared" si="5"/>
        <v>#NAME?</v>
      </c>
      <c r="M39" s="24" t="e">
        <f t="shared" si="5"/>
        <v>#NAME?</v>
      </c>
      <c r="N39" s="24" t="e">
        <f t="shared" si="5"/>
        <v>#NAME?</v>
      </c>
      <c r="O39" s="24" t="e">
        <f t="shared" si="5"/>
        <v>#NAME?</v>
      </c>
    </row>
    <row r="40" spans="1:15">
      <c r="A40" s="17">
        <v>23</v>
      </c>
      <c r="B40" s="25" t="e">
        <v>#NAME?</v>
      </c>
      <c r="C40" s="25" t="e">
        <v>#NAME?</v>
      </c>
      <c r="D40" s="25" t="e">
        <v>#NAME?</v>
      </c>
      <c r="E40" s="25" t="e">
        <v>#NAME?</v>
      </c>
      <c r="F40" s="25" t="e">
        <v>#NAME?</v>
      </c>
      <c r="G40" s="27" t="e">
        <f t="shared" si="3"/>
        <v>#NAME?</v>
      </c>
      <c r="I40" s="17">
        <v>23</v>
      </c>
      <c r="J40" s="24" t="e">
        <f t="shared" si="5"/>
        <v>#NAME?</v>
      </c>
      <c r="K40" s="24" t="e">
        <f t="shared" si="5"/>
        <v>#NAME?</v>
      </c>
      <c r="L40" s="24" t="e">
        <f t="shared" si="5"/>
        <v>#NAME?</v>
      </c>
      <c r="M40" s="24" t="e">
        <f t="shared" si="5"/>
        <v>#NAME?</v>
      </c>
      <c r="N40" s="24" t="e">
        <f t="shared" si="5"/>
        <v>#NAME?</v>
      </c>
      <c r="O40" s="24" t="e">
        <f t="shared" si="5"/>
        <v>#NAME?</v>
      </c>
    </row>
    <row r="41" spans="1:15">
      <c r="A41" s="17">
        <v>24</v>
      </c>
      <c r="B41" s="25" t="e">
        <v>#NAME?</v>
      </c>
      <c r="C41" s="25" t="e">
        <v>#NAME?</v>
      </c>
      <c r="D41" s="25" t="e">
        <v>#NAME?</v>
      </c>
      <c r="E41" s="25" t="e">
        <v>#NAME?</v>
      </c>
      <c r="F41" s="25" t="e">
        <v>#NAME?</v>
      </c>
      <c r="G41" s="27" t="e">
        <f t="shared" si="3"/>
        <v>#NAME?</v>
      </c>
      <c r="I41" s="17">
        <v>24</v>
      </c>
      <c r="J41" s="24" t="e">
        <f t="shared" si="5"/>
        <v>#NAME?</v>
      </c>
      <c r="K41" s="24" t="e">
        <f t="shared" si="5"/>
        <v>#NAME?</v>
      </c>
      <c r="L41" s="24" t="e">
        <f t="shared" si="5"/>
        <v>#NAME?</v>
      </c>
      <c r="M41" s="24" t="e">
        <f t="shared" si="5"/>
        <v>#NAME?</v>
      </c>
      <c r="N41" s="24" t="e">
        <f t="shared" si="5"/>
        <v>#NAME?</v>
      </c>
      <c r="O41" s="24" t="e">
        <f t="shared" si="5"/>
        <v>#NAME?</v>
      </c>
    </row>
    <row r="42" spans="1:15">
      <c r="A42" s="17">
        <v>25</v>
      </c>
      <c r="B42" s="25" t="e">
        <v>#NAME?</v>
      </c>
      <c r="C42" s="25" t="e">
        <v>#NAME?</v>
      </c>
      <c r="D42" s="25" t="e">
        <v>#NAME?</v>
      </c>
      <c r="E42" s="25" t="e">
        <v>#NAME?</v>
      </c>
      <c r="F42" s="25" t="e">
        <v>#NAME?</v>
      </c>
      <c r="G42" s="27" t="e">
        <f t="shared" si="3"/>
        <v>#NAME?</v>
      </c>
      <c r="I42" s="17">
        <v>25</v>
      </c>
      <c r="J42" s="24" t="e">
        <f t="shared" si="5"/>
        <v>#NAME?</v>
      </c>
      <c r="K42" s="24" t="e">
        <f t="shared" si="5"/>
        <v>#NAME?</v>
      </c>
      <c r="L42" s="24" t="e">
        <f t="shared" si="5"/>
        <v>#NAME?</v>
      </c>
      <c r="M42" s="24" t="e">
        <f t="shared" si="5"/>
        <v>#NAME?</v>
      </c>
      <c r="N42" s="24" t="e">
        <f t="shared" si="5"/>
        <v>#NAME?</v>
      </c>
      <c r="O42" s="24" t="e">
        <f t="shared" si="5"/>
        <v>#NAME?</v>
      </c>
    </row>
    <row r="43" spans="1:15">
      <c r="A43" s="17">
        <v>26</v>
      </c>
      <c r="B43" s="25" t="e">
        <v>#NAME?</v>
      </c>
      <c r="C43" s="25" t="e">
        <v>#NAME?</v>
      </c>
      <c r="D43" s="25" t="e">
        <v>#NAME?</v>
      </c>
      <c r="E43" s="25" t="e">
        <v>#NAME?</v>
      </c>
      <c r="F43" s="25" t="e">
        <v>#NAME?</v>
      </c>
      <c r="G43" s="27" t="e">
        <f t="shared" si="3"/>
        <v>#NAME?</v>
      </c>
      <c r="I43" s="17">
        <v>26</v>
      </c>
      <c r="J43" s="24" t="e">
        <f t="shared" si="5"/>
        <v>#NAME?</v>
      </c>
      <c r="K43" s="24" t="e">
        <f t="shared" si="5"/>
        <v>#NAME?</v>
      </c>
      <c r="L43" s="24" t="e">
        <f t="shared" si="5"/>
        <v>#NAME?</v>
      </c>
      <c r="M43" s="24" t="e">
        <f t="shared" si="5"/>
        <v>#NAME?</v>
      </c>
      <c r="N43" s="24" t="e">
        <f t="shared" si="5"/>
        <v>#NAME?</v>
      </c>
      <c r="O43" s="24" t="e">
        <f t="shared" si="5"/>
        <v>#NAME?</v>
      </c>
    </row>
    <row r="44" spans="1:15">
      <c r="A44" s="17">
        <v>27</v>
      </c>
      <c r="B44" s="25" t="e">
        <v>#NAME?</v>
      </c>
      <c r="C44" s="25" t="e">
        <v>#NAME?</v>
      </c>
      <c r="D44" s="25" t="e">
        <v>#NAME?</v>
      </c>
      <c r="E44" s="25" t="e">
        <v>#NAME?</v>
      </c>
      <c r="F44" s="25" t="e">
        <v>#NAME?</v>
      </c>
      <c r="G44" s="27" t="e">
        <f t="shared" si="3"/>
        <v>#NAME?</v>
      </c>
      <c r="I44" s="17">
        <v>27</v>
      </c>
      <c r="J44" s="24" t="e">
        <f t="shared" si="5"/>
        <v>#NAME?</v>
      </c>
      <c r="K44" s="24" t="e">
        <f t="shared" si="5"/>
        <v>#NAME?</v>
      </c>
      <c r="L44" s="24" t="e">
        <f t="shared" si="5"/>
        <v>#NAME?</v>
      </c>
      <c r="M44" s="24" t="e">
        <f t="shared" si="5"/>
        <v>#NAME?</v>
      </c>
      <c r="N44" s="24" t="e">
        <f t="shared" si="5"/>
        <v>#NAME?</v>
      </c>
      <c r="O44" s="24" t="e">
        <f t="shared" si="5"/>
        <v>#NAME?</v>
      </c>
    </row>
    <row r="45" spans="1:15">
      <c r="A45" s="17">
        <v>28</v>
      </c>
      <c r="B45" s="25" t="e">
        <v>#NAME?</v>
      </c>
      <c r="C45" s="25" t="e">
        <v>#NAME?</v>
      </c>
      <c r="D45" s="25" t="e">
        <v>#NAME?</v>
      </c>
      <c r="E45" s="25" t="e">
        <v>#NAME?</v>
      </c>
      <c r="F45" s="25" t="e">
        <v>#NAME?</v>
      </c>
      <c r="G45" s="27" t="e">
        <f t="shared" si="3"/>
        <v>#NAME?</v>
      </c>
      <c r="I45" s="17">
        <v>28</v>
      </c>
      <c r="J45" s="24" t="e">
        <f t="shared" si="5"/>
        <v>#NAME?</v>
      </c>
      <c r="K45" s="24" t="e">
        <f t="shared" si="5"/>
        <v>#NAME?</v>
      </c>
      <c r="L45" s="24" t="e">
        <f t="shared" si="5"/>
        <v>#NAME?</v>
      </c>
      <c r="M45" s="24" t="e">
        <f t="shared" si="5"/>
        <v>#NAME?</v>
      </c>
      <c r="N45" s="24" t="e">
        <f t="shared" si="5"/>
        <v>#NAME?</v>
      </c>
      <c r="O45" s="24" t="e">
        <f t="shared" si="5"/>
        <v>#NAME?</v>
      </c>
    </row>
    <row r="46" spans="1:15">
      <c r="A46" s="17">
        <v>29</v>
      </c>
      <c r="B46" s="25" t="e">
        <v>#NAME?</v>
      </c>
      <c r="C46" s="25" t="e">
        <v>#NAME?</v>
      </c>
      <c r="D46" s="25" t="e">
        <v>#NAME?</v>
      </c>
      <c r="E46" s="25" t="e">
        <v>#NAME?</v>
      </c>
      <c r="F46" s="25" t="e">
        <v>#NAME?</v>
      </c>
      <c r="G46" s="27" t="e">
        <f t="shared" si="3"/>
        <v>#NAME?</v>
      </c>
      <c r="I46" s="17">
        <v>29</v>
      </c>
      <c r="J46" s="24" t="e">
        <f t="shared" si="5"/>
        <v>#NAME?</v>
      </c>
      <c r="K46" s="24" t="e">
        <f t="shared" si="5"/>
        <v>#NAME?</v>
      </c>
      <c r="L46" s="24" t="e">
        <f t="shared" si="5"/>
        <v>#NAME?</v>
      </c>
      <c r="M46" s="24" t="e">
        <f t="shared" si="5"/>
        <v>#NAME?</v>
      </c>
      <c r="N46" s="24" t="e">
        <f t="shared" si="5"/>
        <v>#NAME?</v>
      </c>
      <c r="O46" s="24" t="e">
        <f t="shared" si="5"/>
        <v>#NAME?</v>
      </c>
    </row>
    <row r="47" spans="1:15">
      <c r="A47" s="17">
        <v>30</v>
      </c>
      <c r="B47" s="25" t="e">
        <v>#NAME?</v>
      </c>
      <c r="C47" s="25" t="e">
        <v>#NAME?</v>
      </c>
      <c r="D47" s="25" t="e">
        <v>#NAME?</v>
      </c>
      <c r="E47" s="25" t="e">
        <v>#NAME?</v>
      </c>
      <c r="F47" s="25" t="e">
        <v>#NAME?</v>
      </c>
      <c r="G47" s="27" t="e">
        <f t="shared" si="3"/>
        <v>#NAME?</v>
      </c>
      <c r="I47" s="17">
        <v>30</v>
      </c>
      <c r="J47" s="24" t="e">
        <f t="shared" si="5"/>
        <v>#NAME?</v>
      </c>
      <c r="K47" s="24" t="e">
        <f t="shared" si="5"/>
        <v>#NAME?</v>
      </c>
      <c r="L47" s="24" t="e">
        <f t="shared" si="5"/>
        <v>#NAME?</v>
      </c>
      <c r="M47" s="24" t="e">
        <f t="shared" si="5"/>
        <v>#NAME?</v>
      </c>
      <c r="N47" s="24" t="e">
        <f t="shared" si="5"/>
        <v>#NAME?</v>
      </c>
      <c r="O47" s="24" t="e">
        <f t="shared" si="5"/>
        <v>#NAME?</v>
      </c>
    </row>
    <row r="48" spans="1:15">
      <c r="A48" s="17">
        <v>31</v>
      </c>
      <c r="B48" s="25" t="e">
        <v>#NAME?</v>
      </c>
      <c r="C48" s="25" t="e">
        <v>#NAME?</v>
      </c>
      <c r="D48" s="25" t="e">
        <v>#NAME?</v>
      </c>
      <c r="E48" s="25" t="e">
        <v>#NAME?</v>
      </c>
      <c r="F48" s="25" t="e">
        <v>#NAME?</v>
      </c>
      <c r="G48" s="27" t="e">
        <f t="shared" si="3"/>
        <v>#NAME?</v>
      </c>
      <c r="I48" s="17">
        <v>31</v>
      </c>
      <c r="J48" s="24" t="e">
        <f t="shared" si="5"/>
        <v>#NAME?</v>
      </c>
      <c r="K48" s="24" t="e">
        <f t="shared" si="5"/>
        <v>#NAME?</v>
      </c>
      <c r="L48" s="24" t="e">
        <f t="shared" si="5"/>
        <v>#NAME?</v>
      </c>
      <c r="M48" s="24" t="e">
        <f t="shared" si="5"/>
        <v>#NAME?</v>
      </c>
      <c r="N48" s="24" t="e">
        <f t="shared" si="5"/>
        <v>#NAME?</v>
      </c>
      <c r="O48" s="24" t="e">
        <f t="shared" si="5"/>
        <v>#NAME?</v>
      </c>
    </row>
    <row r="49" spans="1:15">
      <c r="A49" s="17">
        <v>32</v>
      </c>
      <c r="B49" s="25" t="e">
        <v>#NAME?</v>
      </c>
      <c r="C49" s="25" t="e">
        <v>#NAME?</v>
      </c>
      <c r="D49" s="25" t="e">
        <v>#NAME?</v>
      </c>
      <c r="E49" s="25" t="e">
        <v>#NAME?</v>
      </c>
      <c r="F49" s="25" t="e">
        <v>#NAME?</v>
      </c>
      <c r="G49" s="27" t="e">
        <f t="shared" si="3"/>
        <v>#NAME?</v>
      </c>
      <c r="I49" s="17">
        <v>32</v>
      </c>
      <c r="J49" s="24" t="e">
        <f t="shared" si="5"/>
        <v>#NAME?</v>
      </c>
      <c r="K49" s="24" t="e">
        <f t="shared" si="5"/>
        <v>#NAME?</v>
      </c>
      <c r="L49" s="24" t="e">
        <f t="shared" si="5"/>
        <v>#NAME?</v>
      </c>
      <c r="M49" s="24" t="e">
        <f t="shared" si="5"/>
        <v>#NAME?</v>
      </c>
      <c r="N49" s="24" t="e">
        <f t="shared" si="5"/>
        <v>#NAME?</v>
      </c>
      <c r="O49" s="24" t="e">
        <f t="shared" si="5"/>
        <v>#NAME?</v>
      </c>
    </row>
    <row r="50" spans="1:15">
      <c r="A50" s="17">
        <v>33</v>
      </c>
      <c r="B50" s="25" t="e">
        <v>#NAME?</v>
      </c>
      <c r="C50" s="25" t="e">
        <v>#NAME?</v>
      </c>
      <c r="D50" s="25" t="e">
        <v>#NAME?</v>
      </c>
      <c r="E50" s="25" t="e">
        <v>#NAME?</v>
      </c>
      <c r="F50" s="25" t="e">
        <v>#NAME?</v>
      </c>
      <c r="G50" s="27" t="e">
        <f t="shared" si="3"/>
        <v>#NAME?</v>
      </c>
      <c r="I50" s="17">
        <v>33</v>
      </c>
      <c r="J50" s="24" t="e">
        <f t="shared" si="5"/>
        <v>#NAME?</v>
      </c>
      <c r="K50" s="24" t="e">
        <f t="shared" si="5"/>
        <v>#NAME?</v>
      </c>
      <c r="L50" s="24" t="e">
        <f t="shared" si="5"/>
        <v>#NAME?</v>
      </c>
      <c r="M50" s="24" t="e">
        <f t="shared" si="5"/>
        <v>#NAME?</v>
      </c>
      <c r="N50" s="24" t="e">
        <f t="shared" si="5"/>
        <v>#NAME?</v>
      </c>
      <c r="O50" s="24" t="e">
        <f t="shared" si="5"/>
        <v>#NAME?</v>
      </c>
    </row>
    <row r="51" spans="1:15">
      <c r="A51" s="17">
        <v>34</v>
      </c>
      <c r="B51" s="25" t="e">
        <v>#NAME?</v>
      </c>
      <c r="C51" s="25" t="e">
        <v>#NAME?</v>
      </c>
      <c r="D51" s="25" t="e">
        <v>#NAME?</v>
      </c>
      <c r="E51" s="25" t="e">
        <v>#NAME?</v>
      </c>
      <c r="F51" s="25" t="e">
        <v>#NAME?</v>
      </c>
      <c r="G51" s="27" t="e">
        <f t="shared" si="3"/>
        <v>#NAME?</v>
      </c>
      <c r="I51" s="17">
        <v>34</v>
      </c>
      <c r="J51" s="24" t="e">
        <f t="shared" ref="J51:O66" si="6">J50*(1+B51)</f>
        <v>#NAME?</v>
      </c>
      <c r="K51" s="24" t="e">
        <f t="shared" si="6"/>
        <v>#NAME?</v>
      </c>
      <c r="L51" s="24" t="e">
        <f t="shared" si="6"/>
        <v>#NAME?</v>
      </c>
      <c r="M51" s="24" t="e">
        <f t="shared" si="6"/>
        <v>#NAME?</v>
      </c>
      <c r="N51" s="24" t="e">
        <f t="shared" si="6"/>
        <v>#NAME?</v>
      </c>
      <c r="O51" s="24" t="e">
        <f t="shared" si="6"/>
        <v>#NAME?</v>
      </c>
    </row>
    <row r="52" spans="1:15">
      <c r="A52" s="17">
        <v>35</v>
      </c>
      <c r="B52" s="25" t="e">
        <v>#NAME?</v>
      </c>
      <c r="C52" s="25" t="e">
        <v>#NAME?</v>
      </c>
      <c r="D52" s="25" t="e">
        <v>#NAME?</v>
      </c>
      <c r="E52" s="25" t="e">
        <v>#NAME?</v>
      </c>
      <c r="F52" s="25" t="e">
        <v>#NAME?</v>
      </c>
      <c r="G52" s="27" t="e">
        <f t="shared" si="3"/>
        <v>#NAME?</v>
      </c>
      <c r="I52" s="17">
        <v>35</v>
      </c>
      <c r="J52" s="24" t="e">
        <f t="shared" si="6"/>
        <v>#NAME?</v>
      </c>
      <c r="K52" s="24" t="e">
        <f t="shared" si="6"/>
        <v>#NAME?</v>
      </c>
      <c r="L52" s="24" t="e">
        <f t="shared" si="6"/>
        <v>#NAME?</v>
      </c>
      <c r="M52" s="24" t="e">
        <f t="shared" si="6"/>
        <v>#NAME?</v>
      </c>
      <c r="N52" s="24" t="e">
        <f t="shared" si="6"/>
        <v>#NAME?</v>
      </c>
      <c r="O52" s="24" t="e">
        <f t="shared" si="6"/>
        <v>#NAME?</v>
      </c>
    </row>
    <row r="53" spans="1:15">
      <c r="A53" s="17">
        <v>36</v>
      </c>
      <c r="B53" s="25" t="e">
        <v>#NAME?</v>
      </c>
      <c r="C53" s="25" t="e">
        <v>#NAME?</v>
      </c>
      <c r="D53" s="25" t="e">
        <v>#NAME?</v>
      </c>
      <c r="E53" s="25" t="e">
        <v>#NAME?</v>
      </c>
      <c r="F53" s="25" t="e">
        <v>#NAME?</v>
      </c>
      <c r="G53" s="27" t="e">
        <f t="shared" si="3"/>
        <v>#NAME?</v>
      </c>
      <c r="I53" s="17">
        <v>36</v>
      </c>
      <c r="J53" s="24" t="e">
        <f t="shared" si="6"/>
        <v>#NAME?</v>
      </c>
      <c r="K53" s="24" t="e">
        <f t="shared" si="6"/>
        <v>#NAME?</v>
      </c>
      <c r="L53" s="24" t="e">
        <f t="shared" si="6"/>
        <v>#NAME?</v>
      </c>
      <c r="M53" s="24" t="e">
        <f t="shared" si="6"/>
        <v>#NAME?</v>
      </c>
      <c r="N53" s="24" t="e">
        <f t="shared" si="6"/>
        <v>#NAME?</v>
      </c>
      <c r="O53" s="24" t="e">
        <f t="shared" si="6"/>
        <v>#NAME?</v>
      </c>
    </row>
    <row r="54" spans="1:15">
      <c r="A54" s="17">
        <v>37</v>
      </c>
      <c r="B54" s="25" t="e">
        <v>#NAME?</v>
      </c>
      <c r="C54" s="25" t="e">
        <v>#NAME?</v>
      </c>
      <c r="D54" s="25" t="e">
        <v>#NAME?</v>
      </c>
      <c r="E54" s="25" t="e">
        <v>#NAME?</v>
      </c>
      <c r="F54" s="25" t="e">
        <v>#NAME?</v>
      </c>
      <c r="G54" s="27" t="e">
        <f t="shared" si="3"/>
        <v>#NAME?</v>
      </c>
      <c r="I54" s="17">
        <v>37</v>
      </c>
      <c r="J54" s="24" t="e">
        <f t="shared" si="6"/>
        <v>#NAME?</v>
      </c>
      <c r="K54" s="24" t="e">
        <f t="shared" si="6"/>
        <v>#NAME?</v>
      </c>
      <c r="L54" s="24" t="e">
        <f t="shared" si="6"/>
        <v>#NAME?</v>
      </c>
      <c r="M54" s="24" t="e">
        <f t="shared" si="6"/>
        <v>#NAME?</v>
      </c>
      <c r="N54" s="24" t="e">
        <f t="shared" si="6"/>
        <v>#NAME?</v>
      </c>
      <c r="O54" s="24" t="e">
        <f t="shared" si="6"/>
        <v>#NAME?</v>
      </c>
    </row>
    <row r="55" spans="1:15">
      <c r="A55" s="17">
        <v>38</v>
      </c>
      <c r="B55" s="25" t="e">
        <v>#NAME?</v>
      </c>
      <c r="C55" s="25" t="e">
        <v>#NAME?</v>
      </c>
      <c r="D55" s="25" t="e">
        <v>#NAME?</v>
      </c>
      <c r="E55" s="25" t="e">
        <v>#NAME?</v>
      </c>
      <c r="F55" s="25" t="e">
        <v>#NAME?</v>
      </c>
      <c r="G55" s="27" t="e">
        <f t="shared" si="3"/>
        <v>#NAME?</v>
      </c>
      <c r="I55" s="17">
        <v>38</v>
      </c>
      <c r="J55" s="24" t="e">
        <f t="shared" si="6"/>
        <v>#NAME?</v>
      </c>
      <c r="K55" s="24" t="e">
        <f t="shared" si="6"/>
        <v>#NAME?</v>
      </c>
      <c r="L55" s="24" t="e">
        <f t="shared" si="6"/>
        <v>#NAME?</v>
      </c>
      <c r="M55" s="24" t="e">
        <f t="shared" si="6"/>
        <v>#NAME?</v>
      </c>
      <c r="N55" s="24" t="e">
        <f t="shared" si="6"/>
        <v>#NAME?</v>
      </c>
      <c r="O55" s="24" t="e">
        <f t="shared" si="6"/>
        <v>#NAME?</v>
      </c>
    </row>
    <row r="56" spans="1:15">
      <c r="A56" s="17">
        <v>39</v>
      </c>
      <c r="B56" s="25" t="e">
        <v>#NAME?</v>
      </c>
      <c r="C56" s="25" t="e">
        <v>#NAME?</v>
      </c>
      <c r="D56" s="25" t="e">
        <v>#NAME?</v>
      </c>
      <c r="E56" s="25" t="e">
        <v>#NAME?</v>
      </c>
      <c r="F56" s="25" t="e">
        <v>#NAME?</v>
      </c>
      <c r="G56" s="27" t="e">
        <f t="shared" si="3"/>
        <v>#NAME?</v>
      </c>
      <c r="I56" s="17">
        <v>39</v>
      </c>
      <c r="J56" s="24" t="e">
        <f t="shared" si="6"/>
        <v>#NAME?</v>
      </c>
      <c r="K56" s="24" t="e">
        <f t="shared" si="6"/>
        <v>#NAME?</v>
      </c>
      <c r="L56" s="24" t="e">
        <f t="shared" si="6"/>
        <v>#NAME?</v>
      </c>
      <c r="M56" s="24" t="e">
        <f t="shared" si="6"/>
        <v>#NAME?</v>
      </c>
      <c r="N56" s="24" t="e">
        <f t="shared" si="6"/>
        <v>#NAME?</v>
      </c>
      <c r="O56" s="24" t="e">
        <f t="shared" si="6"/>
        <v>#NAME?</v>
      </c>
    </row>
    <row r="57" spans="1:15">
      <c r="A57" s="17">
        <v>40</v>
      </c>
      <c r="B57" s="25" t="e">
        <v>#NAME?</v>
      </c>
      <c r="C57" s="25" t="e">
        <v>#NAME?</v>
      </c>
      <c r="D57" s="25" t="e">
        <v>#NAME?</v>
      </c>
      <c r="E57" s="25" t="e">
        <v>#NAME?</v>
      </c>
      <c r="F57" s="25" t="e">
        <v>#NAME?</v>
      </c>
      <c r="G57" s="27" t="e">
        <f t="shared" si="3"/>
        <v>#NAME?</v>
      </c>
      <c r="I57" s="17">
        <v>40</v>
      </c>
      <c r="J57" s="24" t="e">
        <f t="shared" si="6"/>
        <v>#NAME?</v>
      </c>
      <c r="K57" s="24" t="e">
        <f t="shared" si="6"/>
        <v>#NAME?</v>
      </c>
      <c r="L57" s="24" t="e">
        <f t="shared" si="6"/>
        <v>#NAME?</v>
      </c>
      <c r="M57" s="24" t="e">
        <f t="shared" si="6"/>
        <v>#NAME?</v>
      </c>
      <c r="N57" s="24" t="e">
        <f t="shared" si="6"/>
        <v>#NAME?</v>
      </c>
      <c r="O57" s="24" t="e">
        <f t="shared" si="6"/>
        <v>#NAME?</v>
      </c>
    </row>
    <row r="58" spans="1:15">
      <c r="A58" s="17">
        <v>41</v>
      </c>
      <c r="B58" s="25" t="e">
        <v>#NAME?</v>
      </c>
      <c r="C58" s="25" t="e">
        <v>#NAME?</v>
      </c>
      <c r="D58" s="25" t="e">
        <v>#NAME?</v>
      </c>
      <c r="E58" s="25" t="e">
        <v>#NAME?</v>
      </c>
      <c r="F58" s="25" t="e">
        <v>#NAME?</v>
      </c>
      <c r="G58" s="27" t="e">
        <f t="shared" si="3"/>
        <v>#NAME?</v>
      </c>
      <c r="I58" s="17">
        <v>41</v>
      </c>
      <c r="J58" s="24" t="e">
        <f t="shared" si="6"/>
        <v>#NAME?</v>
      </c>
      <c r="K58" s="24" t="e">
        <f t="shared" si="6"/>
        <v>#NAME?</v>
      </c>
      <c r="L58" s="24" t="e">
        <f t="shared" si="6"/>
        <v>#NAME?</v>
      </c>
      <c r="M58" s="24" t="e">
        <f t="shared" si="6"/>
        <v>#NAME?</v>
      </c>
      <c r="N58" s="24" t="e">
        <f t="shared" si="6"/>
        <v>#NAME?</v>
      </c>
      <c r="O58" s="24" t="e">
        <f t="shared" si="6"/>
        <v>#NAME?</v>
      </c>
    </row>
    <row r="59" spans="1:15">
      <c r="A59" s="17">
        <v>42</v>
      </c>
      <c r="B59" s="25" t="e">
        <v>#NAME?</v>
      </c>
      <c r="C59" s="25" t="e">
        <v>#NAME?</v>
      </c>
      <c r="D59" s="25" t="e">
        <v>#NAME?</v>
      </c>
      <c r="E59" s="25" t="e">
        <v>#NAME?</v>
      </c>
      <c r="F59" s="25" t="e">
        <v>#NAME?</v>
      </c>
      <c r="G59" s="27" t="e">
        <f t="shared" si="3"/>
        <v>#NAME?</v>
      </c>
      <c r="I59" s="17">
        <v>42</v>
      </c>
      <c r="J59" s="24" t="e">
        <f t="shared" si="6"/>
        <v>#NAME?</v>
      </c>
      <c r="K59" s="24" t="e">
        <f t="shared" si="6"/>
        <v>#NAME?</v>
      </c>
      <c r="L59" s="24" t="e">
        <f t="shared" si="6"/>
        <v>#NAME?</v>
      </c>
      <c r="M59" s="24" t="e">
        <f t="shared" si="6"/>
        <v>#NAME?</v>
      </c>
      <c r="N59" s="24" t="e">
        <f t="shared" si="6"/>
        <v>#NAME?</v>
      </c>
      <c r="O59" s="24" t="e">
        <f t="shared" si="6"/>
        <v>#NAME?</v>
      </c>
    </row>
    <row r="60" spans="1:15">
      <c r="A60" s="17">
        <v>43</v>
      </c>
      <c r="B60" s="25" t="e">
        <v>#NAME?</v>
      </c>
      <c r="C60" s="25" t="e">
        <v>#NAME?</v>
      </c>
      <c r="D60" s="25" t="e">
        <v>#NAME?</v>
      </c>
      <c r="E60" s="25" t="e">
        <v>#NAME?</v>
      </c>
      <c r="F60" s="25" t="e">
        <v>#NAME?</v>
      </c>
      <c r="G60" s="27" t="e">
        <f t="shared" si="3"/>
        <v>#NAME?</v>
      </c>
      <c r="I60" s="17">
        <v>43</v>
      </c>
      <c r="J60" s="24" t="e">
        <f t="shared" si="6"/>
        <v>#NAME?</v>
      </c>
      <c r="K60" s="24" t="e">
        <f t="shared" si="6"/>
        <v>#NAME?</v>
      </c>
      <c r="L60" s="24" t="e">
        <f t="shared" si="6"/>
        <v>#NAME?</v>
      </c>
      <c r="M60" s="24" t="e">
        <f t="shared" si="6"/>
        <v>#NAME?</v>
      </c>
      <c r="N60" s="24" t="e">
        <f t="shared" si="6"/>
        <v>#NAME?</v>
      </c>
      <c r="O60" s="24" t="e">
        <f t="shared" si="6"/>
        <v>#NAME?</v>
      </c>
    </row>
    <row r="61" spans="1:15">
      <c r="A61" s="17">
        <v>44</v>
      </c>
      <c r="B61" s="25" t="e">
        <v>#NAME?</v>
      </c>
      <c r="C61" s="25" t="e">
        <v>#NAME?</v>
      </c>
      <c r="D61" s="25" t="e">
        <v>#NAME?</v>
      </c>
      <c r="E61" s="25" t="e">
        <v>#NAME?</v>
      </c>
      <c r="F61" s="25" t="e">
        <v>#NAME?</v>
      </c>
      <c r="G61" s="27" t="e">
        <f t="shared" si="3"/>
        <v>#NAME?</v>
      </c>
      <c r="I61" s="17">
        <v>44</v>
      </c>
      <c r="J61" s="24" t="e">
        <f t="shared" si="6"/>
        <v>#NAME?</v>
      </c>
      <c r="K61" s="24" t="e">
        <f t="shared" si="6"/>
        <v>#NAME?</v>
      </c>
      <c r="L61" s="24" t="e">
        <f t="shared" si="6"/>
        <v>#NAME?</v>
      </c>
      <c r="M61" s="24" t="e">
        <f t="shared" si="6"/>
        <v>#NAME?</v>
      </c>
      <c r="N61" s="24" t="e">
        <f t="shared" si="6"/>
        <v>#NAME?</v>
      </c>
      <c r="O61" s="24" t="e">
        <f t="shared" si="6"/>
        <v>#NAME?</v>
      </c>
    </row>
    <row r="62" spans="1:15">
      <c r="A62" s="17">
        <v>45</v>
      </c>
      <c r="B62" s="25" t="e">
        <v>#NAME?</v>
      </c>
      <c r="C62" s="25" t="e">
        <v>#NAME?</v>
      </c>
      <c r="D62" s="25" t="e">
        <v>#NAME?</v>
      </c>
      <c r="E62" s="25" t="e">
        <v>#NAME?</v>
      </c>
      <c r="F62" s="25" t="e">
        <v>#NAME?</v>
      </c>
      <c r="G62" s="27" t="e">
        <f t="shared" si="3"/>
        <v>#NAME?</v>
      </c>
      <c r="I62" s="17">
        <v>45</v>
      </c>
      <c r="J62" s="24" t="e">
        <f t="shared" si="6"/>
        <v>#NAME?</v>
      </c>
      <c r="K62" s="24" t="e">
        <f t="shared" si="6"/>
        <v>#NAME?</v>
      </c>
      <c r="L62" s="24" t="e">
        <f t="shared" si="6"/>
        <v>#NAME?</v>
      </c>
      <c r="M62" s="24" t="e">
        <f t="shared" si="6"/>
        <v>#NAME?</v>
      </c>
      <c r="N62" s="24" t="e">
        <f t="shared" si="6"/>
        <v>#NAME?</v>
      </c>
      <c r="O62" s="24" t="e">
        <f t="shared" si="6"/>
        <v>#NAME?</v>
      </c>
    </row>
    <row r="63" spans="1:15">
      <c r="A63" s="17">
        <v>46</v>
      </c>
      <c r="B63" s="25" t="e">
        <v>#NAME?</v>
      </c>
      <c r="C63" s="25" t="e">
        <v>#NAME?</v>
      </c>
      <c r="D63" s="25" t="e">
        <v>#NAME?</v>
      </c>
      <c r="E63" s="25" t="e">
        <v>#NAME?</v>
      </c>
      <c r="F63" s="25" t="e">
        <v>#NAME?</v>
      </c>
      <c r="G63" s="27" t="e">
        <f t="shared" si="3"/>
        <v>#NAME?</v>
      </c>
      <c r="I63" s="17">
        <v>46</v>
      </c>
      <c r="J63" s="24" t="e">
        <f t="shared" si="6"/>
        <v>#NAME?</v>
      </c>
      <c r="K63" s="24" t="e">
        <f t="shared" si="6"/>
        <v>#NAME?</v>
      </c>
      <c r="L63" s="24" t="e">
        <f t="shared" si="6"/>
        <v>#NAME?</v>
      </c>
      <c r="M63" s="24" t="e">
        <f t="shared" si="6"/>
        <v>#NAME?</v>
      </c>
      <c r="N63" s="24" t="e">
        <f t="shared" si="6"/>
        <v>#NAME?</v>
      </c>
      <c r="O63" s="24" t="e">
        <f t="shared" si="6"/>
        <v>#NAME?</v>
      </c>
    </row>
    <row r="64" spans="1:15">
      <c r="A64" s="17">
        <v>47</v>
      </c>
      <c r="B64" s="25" t="e">
        <v>#NAME?</v>
      </c>
      <c r="C64" s="25" t="e">
        <v>#NAME?</v>
      </c>
      <c r="D64" s="25" t="e">
        <v>#NAME?</v>
      </c>
      <c r="E64" s="25" t="e">
        <v>#NAME?</v>
      </c>
      <c r="F64" s="25" t="e">
        <v>#NAME?</v>
      </c>
      <c r="G64" s="27" t="e">
        <f t="shared" si="3"/>
        <v>#NAME?</v>
      </c>
      <c r="I64" s="17">
        <v>47</v>
      </c>
      <c r="J64" s="24" t="e">
        <f t="shared" si="6"/>
        <v>#NAME?</v>
      </c>
      <c r="K64" s="24" t="e">
        <f t="shared" si="6"/>
        <v>#NAME?</v>
      </c>
      <c r="L64" s="24" t="e">
        <f t="shared" si="6"/>
        <v>#NAME?</v>
      </c>
      <c r="M64" s="24" t="e">
        <f t="shared" si="6"/>
        <v>#NAME?</v>
      </c>
      <c r="N64" s="24" t="e">
        <f t="shared" si="6"/>
        <v>#NAME?</v>
      </c>
      <c r="O64" s="24" t="e">
        <f t="shared" si="6"/>
        <v>#NAME?</v>
      </c>
    </row>
    <row r="65" spans="1:15">
      <c r="A65" s="17">
        <v>48</v>
      </c>
      <c r="B65" s="25" t="e">
        <v>#NAME?</v>
      </c>
      <c r="C65" s="25" t="e">
        <v>#NAME?</v>
      </c>
      <c r="D65" s="25" t="e">
        <v>#NAME?</v>
      </c>
      <c r="E65" s="25" t="e">
        <v>#NAME?</v>
      </c>
      <c r="F65" s="25" t="e">
        <v>#NAME?</v>
      </c>
      <c r="G65" s="27" t="e">
        <f t="shared" si="3"/>
        <v>#NAME?</v>
      </c>
      <c r="I65" s="17">
        <v>48</v>
      </c>
      <c r="J65" s="24" t="e">
        <f t="shared" si="6"/>
        <v>#NAME?</v>
      </c>
      <c r="K65" s="24" t="e">
        <f t="shared" si="6"/>
        <v>#NAME?</v>
      </c>
      <c r="L65" s="24" t="e">
        <f t="shared" si="6"/>
        <v>#NAME?</v>
      </c>
      <c r="M65" s="24" t="e">
        <f t="shared" si="6"/>
        <v>#NAME?</v>
      </c>
      <c r="N65" s="24" t="e">
        <f t="shared" si="6"/>
        <v>#NAME?</v>
      </c>
      <c r="O65" s="24" t="e">
        <f t="shared" si="6"/>
        <v>#NAME?</v>
      </c>
    </row>
    <row r="66" spans="1:15">
      <c r="A66" s="17">
        <v>49</v>
      </c>
      <c r="B66" s="25" t="e">
        <v>#NAME?</v>
      </c>
      <c r="C66" s="25" t="e">
        <v>#NAME?</v>
      </c>
      <c r="D66" s="25" t="e">
        <v>#NAME?</v>
      </c>
      <c r="E66" s="25" t="e">
        <v>#NAME?</v>
      </c>
      <c r="F66" s="25" t="e">
        <v>#NAME?</v>
      </c>
      <c r="G66" s="27" t="e">
        <f t="shared" si="3"/>
        <v>#NAME?</v>
      </c>
      <c r="I66" s="17">
        <v>49</v>
      </c>
      <c r="J66" s="24" t="e">
        <f t="shared" si="6"/>
        <v>#NAME?</v>
      </c>
      <c r="K66" s="24" t="e">
        <f t="shared" si="6"/>
        <v>#NAME?</v>
      </c>
      <c r="L66" s="24" t="e">
        <f t="shared" si="6"/>
        <v>#NAME?</v>
      </c>
      <c r="M66" s="24" t="e">
        <f t="shared" si="6"/>
        <v>#NAME?</v>
      </c>
      <c r="N66" s="24" t="e">
        <f t="shared" si="6"/>
        <v>#NAME?</v>
      </c>
      <c r="O66" s="24" t="e">
        <f t="shared" si="6"/>
        <v>#NAME?</v>
      </c>
    </row>
    <row r="67" spans="1:15">
      <c r="A67" s="17">
        <v>50</v>
      </c>
      <c r="B67" s="25" t="e">
        <v>#NAME?</v>
      </c>
      <c r="C67" s="25" t="e">
        <v>#NAME?</v>
      </c>
      <c r="D67" s="25" t="e">
        <v>#NAME?</v>
      </c>
      <c r="E67" s="25" t="e">
        <v>#NAME?</v>
      </c>
      <c r="F67" s="25" t="e">
        <v>#NAME?</v>
      </c>
      <c r="G67" s="27" t="e">
        <f t="shared" si="3"/>
        <v>#NAME?</v>
      </c>
      <c r="I67" s="17">
        <v>50</v>
      </c>
      <c r="J67" s="24" t="e">
        <f t="shared" ref="J67:O82" si="7">J66*(1+B67)</f>
        <v>#NAME?</v>
      </c>
      <c r="K67" s="24" t="e">
        <f t="shared" si="7"/>
        <v>#NAME?</v>
      </c>
      <c r="L67" s="24" t="e">
        <f t="shared" si="7"/>
        <v>#NAME?</v>
      </c>
      <c r="M67" s="24" t="e">
        <f t="shared" si="7"/>
        <v>#NAME?</v>
      </c>
      <c r="N67" s="24" t="e">
        <f t="shared" si="7"/>
        <v>#NAME?</v>
      </c>
      <c r="O67" s="24" t="e">
        <f t="shared" si="7"/>
        <v>#NAME?</v>
      </c>
    </row>
    <row r="68" spans="1:15">
      <c r="A68" s="17">
        <v>51</v>
      </c>
      <c r="B68" s="25" t="e">
        <v>#NAME?</v>
      </c>
      <c r="C68" s="25" t="e">
        <v>#NAME?</v>
      </c>
      <c r="D68" s="25" t="e">
        <v>#NAME?</v>
      </c>
      <c r="E68" s="25" t="e">
        <v>#NAME?</v>
      </c>
      <c r="F68" s="25" t="e">
        <v>#NAME?</v>
      </c>
      <c r="G68" s="27" t="e">
        <f t="shared" si="3"/>
        <v>#NAME?</v>
      </c>
      <c r="I68" s="17">
        <v>51</v>
      </c>
      <c r="J68" s="24" t="e">
        <f t="shared" si="7"/>
        <v>#NAME?</v>
      </c>
      <c r="K68" s="24" t="e">
        <f t="shared" si="7"/>
        <v>#NAME?</v>
      </c>
      <c r="L68" s="24" t="e">
        <f t="shared" si="7"/>
        <v>#NAME?</v>
      </c>
      <c r="M68" s="24" t="e">
        <f t="shared" si="7"/>
        <v>#NAME?</v>
      </c>
      <c r="N68" s="24" t="e">
        <f t="shared" si="7"/>
        <v>#NAME?</v>
      </c>
      <c r="O68" s="24" t="e">
        <f t="shared" si="7"/>
        <v>#NAME?</v>
      </c>
    </row>
    <row r="69" spans="1:15">
      <c r="A69" s="17">
        <v>52</v>
      </c>
      <c r="B69" s="25" t="e">
        <v>#NAME?</v>
      </c>
      <c r="C69" s="25" t="e">
        <v>#NAME?</v>
      </c>
      <c r="D69" s="25" t="e">
        <v>#NAME?</v>
      </c>
      <c r="E69" s="25" t="e">
        <v>#NAME?</v>
      </c>
      <c r="F69" s="25" t="e">
        <v>#NAME?</v>
      </c>
      <c r="G69" s="27" t="e">
        <f t="shared" si="3"/>
        <v>#NAME?</v>
      </c>
      <c r="I69" s="17">
        <v>52</v>
      </c>
      <c r="J69" s="24" t="e">
        <f t="shared" si="7"/>
        <v>#NAME?</v>
      </c>
      <c r="K69" s="24" t="e">
        <f t="shared" si="7"/>
        <v>#NAME?</v>
      </c>
      <c r="L69" s="24" t="e">
        <f t="shared" si="7"/>
        <v>#NAME?</v>
      </c>
      <c r="M69" s="24" t="e">
        <f t="shared" si="7"/>
        <v>#NAME?</v>
      </c>
      <c r="N69" s="24" t="e">
        <f t="shared" si="7"/>
        <v>#NAME?</v>
      </c>
      <c r="O69" s="24" t="e">
        <f t="shared" si="7"/>
        <v>#NAME?</v>
      </c>
    </row>
    <row r="70" spans="1:15">
      <c r="A70" s="17">
        <v>53</v>
      </c>
      <c r="B70" s="25" t="e">
        <v>#NAME?</v>
      </c>
      <c r="C70" s="25" t="e">
        <v>#NAME?</v>
      </c>
      <c r="D70" s="25" t="e">
        <v>#NAME?</v>
      </c>
      <c r="E70" s="25" t="e">
        <v>#NAME?</v>
      </c>
      <c r="F70" s="25" t="e">
        <v>#NAME?</v>
      </c>
      <c r="G70" s="27" t="e">
        <f t="shared" si="3"/>
        <v>#NAME?</v>
      </c>
      <c r="I70" s="17">
        <v>53</v>
      </c>
      <c r="J70" s="24" t="e">
        <f t="shared" si="7"/>
        <v>#NAME?</v>
      </c>
      <c r="K70" s="24" t="e">
        <f t="shared" si="7"/>
        <v>#NAME?</v>
      </c>
      <c r="L70" s="24" t="e">
        <f t="shared" si="7"/>
        <v>#NAME?</v>
      </c>
      <c r="M70" s="24" t="e">
        <f t="shared" si="7"/>
        <v>#NAME?</v>
      </c>
      <c r="N70" s="24" t="e">
        <f t="shared" si="7"/>
        <v>#NAME?</v>
      </c>
      <c r="O70" s="24" t="e">
        <f t="shared" si="7"/>
        <v>#NAME?</v>
      </c>
    </row>
    <row r="71" spans="1:15">
      <c r="A71" s="17">
        <v>54</v>
      </c>
      <c r="B71" s="25" t="e">
        <v>#NAME?</v>
      </c>
      <c r="C71" s="25" t="e">
        <v>#NAME?</v>
      </c>
      <c r="D71" s="25" t="e">
        <v>#NAME?</v>
      </c>
      <c r="E71" s="25" t="e">
        <v>#NAME?</v>
      </c>
      <c r="F71" s="25" t="e">
        <v>#NAME?</v>
      </c>
      <c r="G71" s="27" t="e">
        <f t="shared" si="3"/>
        <v>#NAME?</v>
      </c>
      <c r="I71" s="17">
        <v>54</v>
      </c>
      <c r="J71" s="24" t="e">
        <f t="shared" si="7"/>
        <v>#NAME?</v>
      </c>
      <c r="K71" s="24" t="e">
        <f t="shared" si="7"/>
        <v>#NAME?</v>
      </c>
      <c r="L71" s="24" t="e">
        <f t="shared" si="7"/>
        <v>#NAME?</v>
      </c>
      <c r="M71" s="24" t="e">
        <f t="shared" si="7"/>
        <v>#NAME?</v>
      </c>
      <c r="N71" s="24" t="e">
        <f t="shared" si="7"/>
        <v>#NAME?</v>
      </c>
      <c r="O71" s="24" t="e">
        <f t="shared" si="7"/>
        <v>#NAME?</v>
      </c>
    </row>
    <row r="72" spans="1:15">
      <c r="A72" s="17">
        <v>55</v>
      </c>
      <c r="B72" s="25" t="e">
        <v>#NAME?</v>
      </c>
      <c r="C72" s="25" t="e">
        <v>#NAME?</v>
      </c>
      <c r="D72" s="25" t="e">
        <v>#NAME?</v>
      </c>
      <c r="E72" s="25" t="e">
        <v>#NAME?</v>
      </c>
      <c r="F72" s="25" t="e">
        <v>#NAME?</v>
      </c>
      <c r="G72" s="27" t="e">
        <f t="shared" si="3"/>
        <v>#NAME?</v>
      </c>
      <c r="I72" s="17">
        <v>55</v>
      </c>
      <c r="J72" s="24" t="e">
        <f t="shared" si="7"/>
        <v>#NAME?</v>
      </c>
      <c r="K72" s="24" t="e">
        <f t="shared" si="7"/>
        <v>#NAME?</v>
      </c>
      <c r="L72" s="24" t="e">
        <f t="shared" si="7"/>
        <v>#NAME?</v>
      </c>
      <c r="M72" s="24" t="e">
        <f t="shared" si="7"/>
        <v>#NAME?</v>
      </c>
      <c r="N72" s="24" t="e">
        <f t="shared" si="7"/>
        <v>#NAME?</v>
      </c>
      <c r="O72" s="24" t="e">
        <f t="shared" si="7"/>
        <v>#NAME?</v>
      </c>
    </row>
    <row r="73" spans="1:15">
      <c r="A73" s="17">
        <v>56</v>
      </c>
      <c r="B73" s="25" t="e">
        <v>#NAME?</v>
      </c>
      <c r="C73" s="25" t="e">
        <v>#NAME?</v>
      </c>
      <c r="D73" s="25" t="e">
        <v>#NAME?</v>
      </c>
      <c r="E73" s="25" t="e">
        <v>#NAME?</v>
      </c>
      <c r="F73" s="25" t="e">
        <v>#NAME?</v>
      </c>
      <c r="G73" s="27" t="e">
        <f t="shared" si="3"/>
        <v>#NAME?</v>
      </c>
      <c r="I73" s="17">
        <v>56</v>
      </c>
      <c r="J73" s="24" t="e">
        <f t="shared" si="7"/>
        <v>#NAME?</v>
      </c>
      <c r="K73" s="24" t="e">
        <f t="shared" si="7"/>
        <v>#NAME?</v>
      </c>
      <c r="L73" s="24" t="e">
        <f t="shared" si="7"/>
        <v>#NAME?</v>
      </c>
      <c r="M73" s="24" t="e">
        <f t="shared" si="7"/>
        <v>#NAME?</v>
      </c>
      <c r="N73" s="24" t="e">
        <f t="shared" si="7"/>
        <v>#NAME?</v>
      </c>
      <c r="O73" s="24" t="e">
        <f t="shared" si="7"/>
        <v>#NAME?</v>
      </c>
    </row>
    <row r="74" spans="1:15">
      <c r="A74" s="17">
        <v>57</v>
      </c>
      <c r="B74" s="25" t="e">
        <v>#NAME?</v>
      </c>
      <c r="C74" s="25" t="e">
        <v>#NAME?</v>
      </c>
      <c r="D74" s="25" t="e">
        <v>#NAME?</v>
      </c>
      <c r="E74" s="25" t="e">
        <v>#NAME?</v>
      </c>
      <c r="F74" s="25" t="e">
        <v>#NAME?</v>
      </c>
      <c r="G74" s="27" t="e">
        <f t="shared" si="3"/>
        <v>#NAME?</v>
      </c>
      <c r="I74" s="17">
        <v>57</v>
      </c>
      <c r="J74" s="24" t="e">
        <f t="shared" si="7"/>
        <v>#NAME?</v>
      </c>
      <c r="K74" s="24" t="e">
        <f t="shared" si="7"/>
        <v>#NAME?</v>
      </c>
      <c r="L74" s="24" t="e">
        <f t="shared" si="7"/>
        <v>#NAME?</v>
      </c>
      <c r="M74" s="24" t="e">
        <f t="shared" si="7"/>
        <v>#NAME?</v>
      </c>
      <c r="N74" s="24" t="e">
        <f t="shared" si="7"/>
        <v>#NAME?</v>
      </c>
      <c r="O74" s="24" t="e">
        <f t="shared" si="7"/>
        <v>#NAME?</v>
      </c>
    </row>
    <row r="75" spans="1:15">
      <c r="A75" s="17">
        <v>58</v>
      </c>
      <c r="B75" s="25" t="e">
        <v>#NAME?</v>
      </c>
      <c r="C75" s="25" t="e">
        <v>#NAME?</v>
      </c>
      <c r="D75" s="25" t="e">
        <v>#NAME?</v>
      </c>
      <c r="E75" s="25" t="e">
        <v>#NAME?</v>
      </c>
      <c r="F75" s="25" t="e">
        <v>#NAME?</v>
      </c>
      <c r="G75" s="27" t="e">
        <f t="shared" si="3"/>
        <v>#NAME?</v>
      </c>
      <c r="I75" s="17">
        <v>58</v>
      </c>
      <c r="J75" s="24" t="e">
        <f t="shared" si="7"/>
        <v>#NAME?</v>
      </c>
      <c r="K75" s="24" t="e">
        <f t="shared" si="7"/>
        <v>#NAME?</v>
      </c>
      <c r="L75" s="24" t="e">
        <f t="shared" si="7"/>
        <v>#NAME?</v>
      </c>
      <c r="M75" s="24" t="e">
        <f t="shared" si="7"/>
        <v>#NAME?</v>
      </c>
      <c r="N75" s="24" t="e">
        <f t="shared" si="7"/>
        <v>#NAME?</v>
      </c>
      <c r="O75" s="24" t="e">
        <f t="shared" si="7"/>
        <v>#NAME?</v>
      </c>
    </row>
    <row r="76" spans="1:15">
      <c r="A76" s="17">
        <v>59</v>
      </c>
      <c r="B76" s="25" t="e">
        <v>#NAME?</v>
      </c>
      <c r="C76" s="25" t="e">
        <v>#NAME?</v>
      </c>
      <c r="D76" s="25" t="e">
        <v>#NAME?</v>
      </c>
      <c r="E76" s="25" t="e">
        <v>#NAME?</v>
      </c>
      <c r="F76" s="25" t="e">
        <v>#NAME?</v>
      </c>
      <c r="G76" s="27" t="e">
        <f t="shared" si="3"/>
        <v>#NAME?</v>
      </c>
      <c r="I76" s="17">
        <v>59</v>
      </c>
      <c r="J76" s="24" t="e">
        <f t="shared" si="7"/>
        <v>#NAME?</v>
      </c>
      <c r="K76" s="24" t="e">
        <f t="shared" si="7"/>
        <v>#NAME?</v>
      </c>
      <c r="L76" s="24" t="e">
        <f t="shared" si="7"/>
        <v>#NAME?</v>
      </c>
      <c r="M76" s="24" t="e">
        <f t="shared" si="7"/>
        <v>#NAME?</v>
      </c>
      <c r="N76" s="24" t="e">
        <f t="shared" si="7"/>
        <v>#NAME?</v>
      </c>
      <c r="O76" s="24" t="e">
        <f t="shared" si="7"/>
        <v>#NAME?</v>
      </c>
    </row>
    <row r="77" spans="1:15">
      <c r="A77" s="17">
        <v>60</v>
      </c>
      <c r="B77" s="25" t="e">
        <v>#NAME?</v>
      </c>
      <c r="C77" s="25" t="e">
        <v>#NAME?</v>
      </c>
      <c r="D77" s="25" t="e">
        <v>#NAME?</v>
      </c>
      <c r="E77" s="25" t="e">
        <v>#NAME?</v>
      </c>
      <c r="F77" s="25" t="e">
        <v>#NAME?</v>
      </c>
      <c r="G77" s="27" t="e">
        <f t="shared" si="3"/>
        <v>#NAME?</v>
      </c>
      <c r="I77" s="17">
        <v>60</v>
      </c>
      <c r="J77" s="24" t="e">
        <f t="shared" si="7"/>
        <v>#NAME?</v>
      </c>
      <c r="K77" s="24" t="e">
        <f t="shared" si="7"/>
        <v>#NAME?</v>
      </c>
      <c r="L77" s="24" t="e">
        <f t="shared" si="7"/>
        <v>#NAME?</v>
      </c>
      <c r="M77" s="24" t="e">
        <f t="shared" si="7"/>
        <v>#NAME?</v>
      </c>
      <c r="N77" s="24" t="e">
        <f t="shared" si="7"/>
        <v>#NAME?</v>
      </c>
      <c r="O77" s="24" t="e">
        <f t="shared" si="7"/>
        <v>#NAME?</v>
      </c>
    </row>
    <row r="78" spans="1:15">
      <c r="A78" s="17">
        <v>61</v>
      </c>
      <c r="B78" s="25" t="e">
        <v>#NAME?</v>
      </c>
      <c r="C78" s="25" t="e">
        <v>#NAME?</v>
      </c>
      <c r="D78" s="25" t="e">
        <v>#NAME?</v>
      </c>
      <c r="E78" s="25" t="e">
        <v>#NAME?</v>
      </c>
      <c r="F78" s="25" t="e">
        <v>#NAME?</v>
      </c>
      <c r="G78" s="27" t="e">
        <f t="shared" si="3"/>
        <v>#NAME?</v>
      </c>
      <c r="I78" s="17">
        <v>61</v>
      </c>
      <c r="J78" s="24" t="e">
        <f t="shared" si="7"/>
        <v>#NAME?</v>
      </c>
      <c r="K78" s="24" t="e">
        <f t="shared" si="7"/>
        <v>#NAME?</v>
      </c>
      <c r="L78" s="24" t="e">
        <f t="shared" si="7"/>
        <v>#NAME?</v>
      </c>
      <c r="M78" s="24" t="e">
        <f t="shared" si="7"/>
        <v>#NAME?</v>
      </c>
      <c r="N78" s="24" t="e">
        <f t="shared" si="7"/>
        <v>#NAME?</v>
      </c>
      <c r="O78" s="24" t="e">
        <f t="shared" si="7"/>
        <v>#NAME?</v>
      </c>
    </row>
    <row r="79" spans="1:15">
      <c r="A79" s="17">
        <v>62</v>
      </c>
      <c r="B79" s="25" t="e">
        <v>#NAME?</v>
      </c>
      <c r="C79" s="25" t="e">
        <v>#NAME?</v>
      </c>
      <c r="D79" s="25" t="e">
        <v>#NAME?</v>
      </c>
      <c r="E79" s="25" t="e">
        <v>#NAME?</v>
      </c>
      <c r="F79" s="25" t="e">
        <v>#NAME?</v>
      </c>
      <c r="G79" s="27" t="e">
        <f t="shared" si="3"/>
        <v>#NAME?</v>
      </c>
      <c r="I79" s="17">
        <v>62</v>
      </c>
      <c r="J79" s="24" t="e">
        <f t="shared" si="7"/>
        <v>#NAME?</v>
      </c>
      <c r="K79" s="24" t="e">
        <f t="shared" si="7"/>
        <v>#NAME?</v>
      </c>
      <c r="L79" s="24" t="e">
        <f t="shared" si="7"/>
        <v>#NAME?</v>
      </c>
      <c r="M79" s="24" t="e">
        <f t="shared" si="7"/>
        <v>#NAME?</v>
      </c>
      <c r="N79" s="24" t="e">
        <f t="shared" si="7"/>
        <v>#NAME?</v>
      </c>
      <c r="O79" s="24" t="e">
        <f t="shared" si="7"/>
        <v>#NAME?</v>
      </c>
    </row>
    <row r="80" spans="1:15">
      <c r="A80" s="17">
        <v>63</v>
      </c>
      <c r="B80" s="25" t="e">
        <v>#NAME?</v>
      </c>
      <c r="C80" s="25" t="e">
        <v>#NAME?</v>
      </c>
      <c r="D80" s="25" t="e">
        <v>#NAME?</v>
      </c>
      <c r="E80" s="25" t="e">
        <v>#NAME?</v>
      </c>
      <c r="F80" s="25" t="e">
        <v>#NAME?</v>
      </c>
      <c r="G80" s="27" t="e">
        <f t="shared" si="3"/>
        <v>#NAME?</v>
      </c>
      <c r="I80" s="17">
        <v>63</v>
      </c>
      <c r="J80" s="24" t="e">
        <f t="shared" si="7"/>
        <v>#NAME?</v>
      </c>
      <c r="K80" s="24" t="e">
        <f t="shared" si="7"/>
        <v>#NAME?</v>
      </c>
      <c r="L80" s="24" t="e">
        <f t="shared" si="7"/>
        <v>#NAME?</v>
      </c>
      <c r="M80" s="24" t="e">
        <f t="shared" si="7"/>
        <v>#NAME?</v>
      </c>
      <c r="N80" s="24" t="e">
        <f t="shared" si="7"/>
        <v>#NAME?</v>
      </c>
      <c r="O80" s="24" t="e">
        <f t="shared" si="7"/>
        <v>#NAME?</v>
      </c>
    </row>
    <row r="81" spans="1:15">
      <c r="A81" s="17">
        <v>64</v>
      </c>
      <c r="B81" s="25" t="e">
        <v>#NAME?</v>
      </c>
      <c r="C81" s="25" t="e">
        <v>#NAME?</v>
      </c>
      <c r="D81" s="25" t="e">
        <v>#NAME?</v>
      </c>
      <c r="E81" s="25" t="e">
        <v>#NAME?</v>
      </c>
      <c r="F81" s="25" t="e">
        <v>#NAME?</v>
      </c>
      <c r="G81" s="27" t="e">
        <f t="shared" si="3"/>
        <v>#NAME?</v>
      </c>
      <c r="I81" s="17">
        <v>64</v>
      </c>
      <c r="J81" s="24" t="e">
        <f t="shared" si="7"/>
        <v>#NAME?</v>
      </c>
      <c r="K81" s="24" t="e">
        <f t="shared" si="7"/>
        <v>#NAME?</v>
      </c>
      <c r="L81" s="24" t="e">
        <f t="shared" si="7"/>
        <v>#NAME?</v>
      </c>
      <c r="M81" s="24" t="e">
        <f t="shared" si="7"/>
        <v>#NAME?</v>
      </c>
      <c r="N81" s="24" t="e">
        <f t="shared" si="7"/>
        <v>#NAME?</v>
      </c>
      <c r="O81" s="24" t="e">
        <f t="shared" si="7"/>
        <v>#NAME?</v>
      </c>
    </row>
    <row r="82" spans="1:15">
      <c r="A82" s="17">
        <v>65</v>
      </c>
      <c r="B82" s="25" t="e">
        <v>#NAME?</v>
      </c>
      <c r="C82" s="25" t="e">
        <v>#NAME?</v>
      </c>
      <c r="D82" s="25" t="e">
        <v>#NAME?</v>
      </c>
      <c r="E82" s="25" t="e">
        <v>#NAME?</v>
      </c>
      <c r="F82" s="25" t="e">
        <v>#NAME?</v>
      </c>
      <c r="G82" s="27" t="e">
        <f t="shared" si="3"/>
        <v>#NAME?</v>
      </c>
      <c r="I82" s="17">
        <v>65</v>
      </c>
      <c r="J82" s="24" t="e">
        <f t="shared" si="7"/>
        <v>#NAME?</v>
      </c>
      <c r="K82" s="24" t="e">
        <f t="shared" si="7"/>
        <v>#NAME?</v>
      </c>
      <c r="L82" s="24" t="e">
        <f t="shared" si="7"/>
        <v>#NAME?</v>
      </c>
      <c r="M82" s="24" t="e">
        <f t="shared" si="7"/>
        <v>#NAME?</v>
      </c>
      <c r="N82" s="24" t="e">
        <f t="shared" si="7"/>
        <v>#NAME?</v>
      </c>
      <c r="O82" s="24" t="e">
        <f t="shared" si="7"/>
        <v>#NAME?</v>
      </c>
    </row>
    <row r="83" spans="1:15">
      <c r="A83" s="17">
        <v>66</v>
      </c>
      <c r="B83" s="25" t="e">
        <v>#NAME?</v>
      </c>
      <c r="C83" s="25" t="e">
        <v>#NAME?</v>
      </c>
      <c r="D83" s="25" t="e">
        <v>#NAME?</v>
      </c>
      <c r="E83" s="25" t="e">
        <v>#NAME?</v>
      </c>
      <c r="F83" s="25" t="e">
        <v>#NAME?</v>
      </c>
      <c r="G83" s="27" t="e">
        <f t="shared" ref="G83:G146" si="8">SUM(B83:F83)/5</f>
        <v>#NAME?</v>
      </c>
      <c r="I83" s="17">
        <v>66</v>
      </c>
      <c r="J83" s="24" t="e">
        <f t="shared" ref="J83:O98" si="9">J82*(1+B83)</f>
        <v>#NAME?</v>
      </c>
      <c r="K83" s="24" t="e">
        <f t="shared" si="9"/>
        <v>#NAME?</v>
      </c>
      <c r="L83" s="24" t="e">
        <f t="shared" si="9"/>
        <v>#NAME?</v>
      </c>
      <c r="M83" s="24" t="e">
        <f t="shared" si="9"/>
        <v>#NAME?</v>
      </c>
      <c r="N83" s="24" t="e">
        <f t="shared" si="9"/>
        <v>#NAME?</v>
      </c>
      <c r="O83" s="24" t="e">
        <f t="shared" si="9"/>
        <v>#NAME?</v>
      </c>
    </row>
    <row r="84" spans="1:15">
      <c r="A84" s="17">
        <v>67</v>
      </c>
      <c r="B84" s="25" t="e">
        <v>#NAME?</v>
      </c>
      <c r="C84" s="25" t="e">
        <v>#NAME?</v>
      </c>
      <c r="D84" s="25" t="e">
        <v>#NAME?</v>
      </c>
      <c r="E84" s="25" t="e">
        <v>#NAME?</v>
      </c>
      <c r="F84" s="25" t="e">
        <v>#NAME?</v>
      </c>
      <c r="G84" s="27" t="e">
        <f t="shared" si="8"/>
        <v>#NAME?</v>
      </c>
      <c r="I84" s="17">
        <v>67</v>
      </c>
      <c r="J84" s="24" t="e">
        <f t="shared" si="9"/>
        <v>#NAME?</v>
      </c>
      <c r="K84" s="24" t="e">
        <f t="shared" si="9"/>
        <v>#NAME?</v>
      </c>
      <c r="L84" s="24" t="e">
        <f t="shared" si="9"/>
        <v>#NAME?</v>
      </c>
      <c r="M84" s="24" t="e">
        <f t="shared" si="9"/>
        <v>#NAME?</v>
      </c>
      <c r="N84" s="24" t="e">
        <f t="shared" si="9"/>
        <v>#NAME?</v>
      </c>
      <c r="O84" s="24" t="e">
        <f t="shared" si="9"/>
        <v>#NAME?</v>
      </c>
    </row>
    <row r="85" spans="1:15">
      <c r="A85" s="17">
        <v>68</v>
      </c>
      <c r="B85" s="25" t="e">
        <v>#NAME?</v>
      </c>
      <c r="C85" s="25" t="e">
        <v>#NAME?</v>
      </c>
      <c r="D85" s="25" t="e">
        <v>#NAME?</v>
      </c>
      <c r="E85" s="25" t="e">
        <v>#NAME?</v>
      </c>
      <c r="F85" s="25" t="e">
        <v>#NAME?</v>
      </c>
      <c r="G85" s="27" t="e">
        <f t="shared" si="8"/>
        <v>#NAME?</v>
      </c>
      <c r="I85" s="17">
        <v>68</v>
      </c>
      <c r="J85" s="24" t="e">
        <f t="shared" si="9"/>
        <v>#NAME?</v>
      </c>
      <c r="K85" s="24" t="e">
        <f t="shared" si="9"/>
        <v>#NAME?</v>
      </c>
      <c r="L85" s="24" t="e">
        <f t="shared" si="9"/>
        <v>#NAME?</v>
      </c>
      <c r="M85" s="24" t="e">
        <f t="shared" si="9"/>
        <v>#NAME?</v>
      </c>
      <c r="N85" s="24" t="e">
        <f t="shared" si="9"/>
        <v>#NAME?</v>
      </c>
      <c r="O85" s="24" t="e">
        <f t="shared" si="9"/>
        <v>#NAME?</v>
      </c>
    </row>
    <row r="86" spans="1:15">
      <c r="A86" s="17">
        <v>69</v>
      </c>
      <c r="B86" s="25" t="e">
        <v>#NAME?</v>
      </c>
      <c r="C86" s="25" t="e">
        <v>#NAME?</v>
      </c>
      <c r="D86" s="25" t="e">
        <v>#NAME?</v>
      </c>
      <c r="E86" s="25" t="e">
        <v>#NAME?</v>
      </c>
      <c r="F86" s="25" t="e">
        <v>#NAME?</v>
      </c>
      <c r="G86" s="27" t="e">
        <f t="shared" si="8"/>
        <v>#NAME?</v>
      </c>
      <c r="I86" s="17">
        <v>69</v>
      </c>
      <c r="J86" s="24" t="e">
        <f t="shared" si="9"/>
        <v>#NAME?</v>
      </c>
      <c r="K86" s="24" t="e">
        <f t="shared" si="9"/>
        <v>#NAME?</v>
      </c>
      <c r="L86" s="24" t="e">
        <f t="shared" si="9"/>
        <v>#NAME?</v>
      </c>
      <c r="M86" s="24" t="e">
        <f t="shared" si="9"/>
        <v>#NAME?</v>
      </c>
      <c r="N86" s="24" t="e">
        <f t="shared" si="9"/>
        <v>#NAME?</v>
      </c>
      <c r="O86" s="24" t="e">
        <f t="shared" si="9"/>
        <v>#NAME?</v>
      </c>
    </row>
    <row r="87" spans="1:15">
      <c r="A87" s="17">
        <v>70</v>
      </c>
      <c r="B87" s="25" t="e">
        <v>#NAME?</v>
      </c>
      <c r="C87" s="25" t="e">
        <v>#NAME?</v>
      </c>
      <c r="D87" s="25" t="e">
        <v>#NAME?</v>
      </c>
      <c r="E87" s="25" t="e">
        <v>#NAME?</v>
      </c>
      <c r="F87" s="25" t="e">
        <v>#NAME?</v>
      </c>
      <c r="G87" s="27" t="e">
        <f t="shared" si="8"/>
        <v>#NAME?</v>
      </c>
      <c r="I87" s="17">
        <v>70</v>
      </c>
      <c r="J87" s="24" t="e">
        <f t="shared" si="9"/>
        <v>#NAME?</v>
      </c>
      <c r="K87" s="24" t="e">
        <f t="shared" si="9"/>
        <v>#NAME?</v>
      </c>
      <c r="L87" s="24" t="e">
        <f t="shared" si="9"/>
        <v>#NAME?</v>
      </c>
      <c r="M87" s="24" t="e">
        <f t="shared" si="9"/>
        <v>#NAME?</v>
      </c>
      <c r="N87" s="24" t="e">
        <f t="shared" si="9"/>
        <v>#NAME?</v>
      </c>
      <c r="O87" s="24" t="e">
        <f t="shared" si="9"/>
        <v>#NAME?</v>
      </c>
    </row>
    <row r="88" spans="1:15">
      <c r="A88" s="17">
        <v>71</v>
      </c>
      <c r="B88" s="25" t="e">
        <v>#NAME?</v>
      </c>
      <c r="C88" s="25" t="e">
        <v>#NAME?</v>
      </c>
      <c r="D88" s="25" t="e">
        <v>#NAME?</v>
      </c>
      <c r="E88" s="25" t="e">
        <v>#NAME?</v>
      </c>
      <c r="F88" s="25" t="e">
        <v>#NAME?</v>
      </c>
      <c r="G88" s="27" t="e">
        <f t="shared" si="8"/>
        <v>#NAME?</v>
      </c>
      <c r="I88" s="17">
        <v>71</v>
      </c>
      <c r="J88" s="24" t="e">
        <f t="shared" si="9"/>
        <v>#NAME?</v>
      </c>
      <c r="K88" s="24" t="e">
        <f t="shared" si="9"/>
        <v>#NAME?</v>
      </c>
      <c r="L88" s="24" t="e">
        <f t="shared" si="9"/>
        <v>#NAME?</v>
      </c>
      <c r="M88" s="24" t="e">
        <f t="shared" si="9"/>
        <v>#NAME?</v>
      </c>
      <c r="N88" s="24" t="e">
        <f t="shared" si="9"/>
        <v>#NAME?</v>
      </c>
      <c r="O88" s="24" t="e">
        <f t="shared" si="9"/>
        <v>#NAME?</v>
      </c>
    </row>
    <row r="89" spans="1:15">
      <c r="A89" s="17">
        <v>72</v>
      </c>
      <c r="B89" s="25" t="e">
        <v>#NAME?</v>
      </c>
      <c r="C89" s="25" t="e">
        <v>#NAME?</v>
      </c>
      <c r="D89" s="25" t="e">
        <v>#NAME?</v>
      </c>
      <c r="E89" s="25" t="e">
        <v>#NAME?</v>
      </c>
      <c r="F89" s="25" t="e">
        <v>#NAME?</v>
      </c>
      <c r="G89" s="27" t="e">
        <f t="shared" si="8"/>
        <v>#NAME?</v>
      </c>
      <c r="I89" s="17">
        <v>72</v>
      </c>
      <c r="J89" s="24" t="e">
        <f t="shared" si="9"/>
        <v>#NAME?</v>
      </c>
      <c r="K89" s="24" t="e">
        <f t="shared" si="9"/>
        <v>#NAME?</v>
      </c>
      <c r="L89" s="24" t="e">
        <f t="shared" si="9"/>
        <v>#NAME?</v>
      </c>
      <c r="M89" s="24" t="e">
        <f t="shared" si="9"/>
        <v>#NAME?</v>
      </c>
      <c r="N89" s="24" t="e">
        <f t="shared" si="9"/>
        <v>#NAME?</v>
      </c>
      <c r="O89" s="24" t="e">
        <f t="shared" si="9"/>
        <v>#NAME?</v>
      </c>
    </row>
    <row r="90" spans="1:15">
      <c r="A90" s="17">
        <v>73</v>
      </c>
      <c r="B90" s="25" t="e">
        <v>#NAME?</v>
      </c>
      <c r="C90" s="25" t="e">
        <v>#NAME?</v>
      </c>
      <c r="D90" s="25" t="e">
        <v>#NAME?</v>
      </c>
      <c r="E90" s="25" t="e">
        <v>#NAME?</v>
      </c>
      <c r="F90" s="25" t="e">
        <v>#NAME?</v>
      </c>
      <c r="G90" s="27" t="e">
        <f t="shared" si="8"/>
        <v>#NAME?</v>
      </c>
      <c r="I90" s="17">
        <v>73</v>
      </c>
      <c r="J90" s="24" t="e">
        <f t="shared" si="9"/>
        <v>#NAME?</v>
      </c>
      <c r="K90" s="24" t="e">
        <f t="shared" si="9"/>
        <v>#NAME?</v>
      </c>
      <c r="L90" s="24" t="e">
        <f t="shared" si="9"/>
        <v>#NAME?</v>
      </c>
      <c r="M90" s="24" t="e">
        <f t="shared" si="9"/>
        <v>#NAME?</v>
      </c>
      <c r="N90" s="24" t="e">
        <f t="shared" si="9"/>
        <v>#NAME?</v>
      </c>
      <c r="O90" s="24" t="e">
        <f t="shared" si="9"/>
        <v>#NAME?</v>
      </c>
    </row>
    <row r="91" spans="1:15">
      <c r="A91" s="17">
        <v>74</v>
      </c>
      <c r="B91" s="25" t="e">
        <v>#NAME?</v>
      </c>
      <c r="C91" s="25" t="e">
        <v>#NAME?</v>
      </c>
      <c r="D91" s="25" t="e">
        <v>#NAME?</v>
      </c>
      <c r="E91" s="25" t="e">
        <v>#NAME?</v>
      </c>
      <c r="F91" s="25" t="e">
        <v>#NAME?</v>
      </c>
      <c r="G91" s="27" t="e">
        <f t="shared" si="8"/>
        <v>#NAME?</v>
      </c>
      <c r="I91" s="17">
        <v>74</v>
      </c>
      <c r="J91" s="24" t="e">
        <f t="shared" si="9"/>
        <v>#NAME?</v>
      </c>
      <c r="K91" s="24" t="e">
        <f t="shared" si="9"/>
        <v>#NAME?</v>
      </c>
      <c r="L91" s="24" t="e">
        <f t="shared" si="9"/>
        <v>#NAME?</v>
      </c>
      <c r="M91" s="24" t="e">
        <f t="shared" si="9"/>
        <v>#NAME?</v>
      </c>
      <c r="N91" s="24" t="e">
        <f t="shared" si="9"/>
        <v>#NAME?</v>
      </c>
      <c r="O91" s="24" t="e">
        <f t="shared" si="9"/>
        <v>#NAME?</v>
      </c>
    </row>
    <row r="92" spans="1:15">
      <c r="A92" s="17">
        <v>75</v>
      </c>
      <c r="B92" s="25" t="e">
        <v>#NAME?</v>
      </c>
      <c r="C92" s="25" t="e">
        <v>#NAME?</v>
      </c>
      <c r="D92" s="25" t="e">
        <v>#NAME?</v>
      </c>
      <c r="E92" s="25" t="e">
        <v>#NAME?</v>
      </c>
      <c r="F92" s="25" t="e">
        <v>#NAME?</v>
      </c>
      <c r="G92" s="27" t="e">
        <f t="shared" si="8"/>
        <v>#NAME?</v>
      </c>
      <c r="I92" s="17">
        <v>75</v>
      </c>
      <c r="J92" s="24" t="e">
        <f t="shared" si="9"/>
        <v>#NAME?</v>
      </c>
      <c r="K92" s="24" t="e">
        <f t="shared" si="9"/>
        <v>#NAME?</v>
      </c>
      <c r="L92" s="24" t="e">
        <f t="shared" si="9"/>
        <v>#NAME?</v>
      </c>
      <c r="M92" s="24" t="e">
        <f t="shared" si="9"/>
        <v>#NAME?</v>
      </c>
      <c r="N92" s="24" t="e">
        <f t="shared" si="9"/>
        <v>#NAME?</v>
      </c>
      <c r="O92" s="24" t="e">
        <f t="shared" si="9"/>
        <v>#NAME?</v>
      </c>
    </row>
    <row r="93" spans="1:15">
      <c r="A93" s="17">
        <v>76</v>
      </c>
      <c r="B93" s="25" t="e">
        <v>#NAME?</v>
      </c>
      <c r="C93" s="25" t="e">
        <v>#NAME?</v>
      </c>
      <c r="D93" s="25" t="e">
        <v>#NAME?</v>
      </c>
      <c r="E93" s="25" t="e">
        <v>#NAME?</v>
      </c>
      <c r="F93" s="25" t="e">
        <v>#NAME?</v>
      </c>
      <c r="G93" s="27" t="e">
        <f t="shared" si="8"/>
        <v>#NAME?</v>
      </c>
      <c r="I93" s="17">
        <v>76</v>
      </c>
      <c r="J93" s="24" t="e">
        <f t="shared" si="9"/>
        <v>#NAME?</v>
      </c>
      <c r="K93" s="24" t="e">
        <f t="shared" si="9"/>
        <v>#NAME?</v>
      </c>
      <c r="L93" s="24" t="e">
        <f t="shared" si="9"/>
        <v>#NAME?</v>
      </c>
      <c r="M93" s="24" t="e">
        <f t="shared" si="9"/>
        <v>#NAME?</v>
      </c>
      <c r="N93" s="24" t="e">
        <f t="shared" si="9"/>
        <v>#NAME?</v>
      </c>
      <c r="O93" s="24" t="e">
        <f t="shared" si="9"/>
        <v>#NAME?</v>
      </c>
    </row>
    <row r="94" spans="1:15">
      <c r="A94" s="17">
        <v>77</v>
      </c>
      <c r="B94" s="25" t="e">
        <v>#NAME?</v>
      </c>
      <c r="C94" s="25" t="e">
        <v>#NAME?</v>
      </c>
      <c r="D94" s="25" t="e">
        <v>#NAME?</v>
      </c>
      <c r="E94" s="25" t="e">
        <v>#NAME?</v>
      </c>
      <c r="F94" s="25" t="e">
        <v>#NAME?</v>
      </c>
      <c r="G94" s="27" t="e">
        <f t="shared" si="8"/>
        <v>#NAME?</v>
      </c>
      <c r="I94" s="17">
        <v>77</v>
      </c>
      <c r="J94" s="24" t="e">
        <f t="shared" si="9"/>
        <v>#NAME?</v>
      </c>
      <c r="K94" s="24" t="e">
        <f t="shared" si="9"/>
        <v>#NAME?</v>
      </c>
      <c r="L94" s="24" t="e">
        <f t="shared" si="9"/>
        <v>#NAME?</v>
      </c>
      <c r="M94" s="24" t="e">
        <f t="shared" si="9"/>
        <v>#NAME?</v>
      </c>
      <c r="N94" s="24" t="e">
        <f t="shared" si="9"/>
        <v>#NAME?</v>
      </c>
      <c r="O94" s="24" t="e">
        <f t="shared" si="9"/>
        <v>#NAME?</v>
      </c>
    </row>
    <row r="95" spans="1:15">
      <c r="A95" s="17">
        <v>78</v>
      </c>
      <c r="B95" s="25" t="e">
        <v>#NAME?</v>
      </c>
      <c r="C95" s="25" t="e">
        <v>#NAME?</v>
      </c>
      <c r="D95" s="25" t="e">
        <v>#NAME?</v>
      </c>
      <c r="E95" s="25" t="e">
        <v>#NAME?</v>
      </c>
      <c r="F95" s="25" t="e">
        <v>#NAME?</v>
      </c>
      <c r="G95" s="27" t="e">
        <f t="shared" si="8"/>
        <v>#NAME?</v>
      </c>
      <c r="I95" s="17">
        <v>78</v>
      </c>
      <c r="J95" s="24" t="e">
        <f t="shared" si="9"/>
        <v>#NAME?</v>
      </c>
      <c r="K95" s="24" t="e">
        <f t="shared" si="9"/>
        <v>#NAME?</v>
      </c>
      <c r="L95" s="24" t="e">
        <f t="shared" si="9"/>
        <v>#NAME?</v>
      </c>
      <c r="M95" s="24" t="e">
        <f t="shared" si="9"/>
        <v>#NAME?</v>
      </c>
      <c r="N95" s="24" t="e">
        <f t="shared" si="9"/>
        <v>#NAME?</v>
      </c>
      <c r="O95" s="24" t="e">
        <f t="shared" si="9"/>
        <v>#NAME?</v>
      </c>
    </row>
    <row r="96" spans="1:15">
      <c r="A96" s="17">
        <v>79</v>
      </c>
      <c r="B96" s="25" t="e">
        <v>#NAME?</v>
      </c>
      <c r="C96" s="25" t="e">
        <v>#NAME?</v>
      </c>
      <c r="D96" s="25" t="e">
        <v>#NAME?</v>
      </c>
      <c r="E96" s="25" t="e">
        <v>#NAME?</v>
      </c>
      <c r="F96" s="25" t="e">
        <v>#NAME?</v>
      </c>
      <c r="G96" s="27" t="e">
        <f t="shared" si="8"/>
        <v>#NAME?</v>
      </c>
      <c r="I96" s="17">
        <v>79</v>
      </c>
      <c r="J96" s="24" t="e">
        <f t="shared" si="9"/>
        <v>#NAME?</v>
      </c>
      <c r="K96" s="24" t="e">
        <f t="shared" si="9"/>
        <v>#NAME?</v>
      </c>
      <c r="L96" s="24" t="e">
        <f t="shared" si="9"/>
        <v>#NAME?</v>
      </c>
      <c r="M96" s="24" t="e">
        <f t="shared" si="9"/>
        <v>#NAME?</v>
      </c>
      <c r="N96" s="24" t="e">
        <f t="shared" si="9"/>
        <v>#NAME?</v>
      </c>
      <c r="O96" s="24" t="e">
        <f t="shared" si="9"/>
        <v>#NAME?</v>
      </c>
    </row>
    <row r="97" spans="1:15">
      <c r="A97" s="17">
        <v>80</v>
      </c>
      <c r="B97" s="25" t="e">
        <v>#NAME?</v>
      </c>
      <c r="C97" s="25" t="e">
        <v>#NAME?</v>
      </c>
      <c r="D97" s="25" t="e">
        <v>#NAME?</v>
      </c>
      <c r="E97" s="25" t="e">
        <v>#NAME?</v>
      </c>
      <c r="F97" s="25" t="e">
        <v>#NAME?</v>
      </c>
      <c r="G97" s="27" t="e">
        <f t="shared" si="8"/>
        <v>#NAME?</v>
      </c>
      <c r="I97" s="17">
        <v>80</v>
      </c>
      <c r="J97" s="24" t="e">
        <f t="shared" si="9"/>
        <v>#NAME?</v>
      </c>
      <c r="K97" s="24" t="e">
        <f t="shared" si="9"/>
        <v>#NAME?</v>
      </c>
      <c r="L97" s="24" t="e">
        <f t="shared" si="9"/>
        <v>#NAME?</v>
      </c>
      <c r="M97" s="24" t="e">
        <f t="shared" si="9"/>
        <v>#NAME?</v>
      </c>
      <c r="N97" s="24" t="e">
        <f t="shared" si="9"/>
        <v>#NAME?</v>
      </c>
      <c r="O97" s="24" t="e">
        <f t="shared" si="9"/>
        <v>#NAME?</v>
      </c>
    </row>
    <row r="98" spans="1:15">
      <c r="A98" s="17">
        <v>81</v>
      </c>
      <c r="B98" s="25" t="e">
        <v>#NAME?</v>
      </c>
      <c r="C98" s="25" t="e">
        <v>#NAME?</v>
      </c>
      <c r="D98" s="25" t="e">
        <v>#NAME?</v>
      </c>
      <c r="E98" s="25" t="e">
        <v>#NAME?</v>
      </c>
      <c r="F98" s="25" t="e">
        <v>#NAME?</v>
      </c>
      <c r="G98" s="27" t="e">
        <f t="shared" si="8"/>
        <v>#NAME?</v>
      </c>
      <c r="I98" s="17">
        <v>81</v>
      </c>
      <c r="J98" s="24" t="e">
        <f t="shared" si="9"/>
        <v>#NAME?</v>
      </c>
      <c r="K98" s="24" t="e">
        <f t="shared" si="9"/>
        <v>#NAME?</v>
      </c>
      <c r="L98" s="24" t="e">
        <f t="shared" si="9"/>
        <v>#NAME?</v>
      </c>
      <c r="M98" s="24" t="e">
        <f t="shared" si="9"/>
        <v>#NAME?</v>
      </c>
      <c r="N98" s="24" t="e">
        <f t="shared" si="9"/>
        <v>#NAME?</v>
      </c>
      <c r="O98" s="24" t="e">
        <f t="shared" si="9"/>
        <v>#NAME?</v>
      </c>
    </row>
    <row r="99" spans="1:15">
      <c r="A99" s="17">
        <v>82</v>
      </c>
      <c r="B99" s="25" t="e">
        <v>#NAME?</v>
      </c>
      <c r="C99" s="25" t="e">
        <v>#NAME?</v>
      </c>
      <c r="D99" s="25" t="e">
        <v>#NAME?</v>
      </c>
      <c r="E99" s="25" t="e">
        <v>#NAME?</v>
      </c>
      <c r="F99" s="25" t="e">
        <v>#NAME?</v>
      </c>
      <c r="G99" s="27" t="e">
        <f t="shared" si="8"/>
        <v>#NAME?</v>
      </c>
      <c r="I99" s="17">
        <v>82</v>
      </c>
      <c r="J99" s="24" t="e">
        <f t="shared" ref="J99:O114" si="10">J98*(1+B99)</f>
        <v>#NAME?</v>
      </c>
      <c r="K99" s="24" t="e">
        <f t="shared" si="10"/>
        <v>#NAME?</v>
      </c>
      <c r="L99" s="24" t="e">
        <f t="shared" si="10"/>
        <v>#NAME?</v>
      </c>
      <c r="M99" s="24" t="e">
        <f t="shared" si="10"/>
        <v>#NAME?</v>
      </c>
      <c r="N99" s="24" t="e">
        <f t="shared" si="10"/>
        <v>#NAME?</v>
      </c>
      <c r="O99" s="24" t="e">
        <f t="shared" si="10"/>
        <v>#NAME?</v>
      </c>
    </row>
    <row r="100" spans="1:15">
      <c r="A100" s="17">
        <v>83</v>
      </c>
      <c r="B100" s="25" t="e">
        <v>#NAME?</v>
      </c>
      <c r="C100" s="25" t="e">
        <v>#NAME?</v>
      </c>
      <c r="D100" s="25" t="e">
        <v>#NAME?</v>
      </c>
      <c r="E100" s="25" t="e">
        <v>#NAME?</v>
      </c>
      <c r="F100" s="25" t="e">
        <v>#NAME?</v>
      </c>
      <c r="G100" s="27" t="e">
        <f t="shared" si="8"/>
        <v>#NAME?</v>
      </c>
      <c r="I100" s="17">
        <v>83</v>
      </c>
      <c r="J100" s="24" t="e">
        <f t="shared" si="10"/>
        <v>#NAME?</v>
      </c>
      <c r="K100" s="24" t="e">
        <f t="shared" si="10"/>
        <v>#NAME?</v>
      </c>
      <c r="L100" s="24" t="e">
        <f t="shared" si="10"/>
        <v>#NAME?</v>
      </c>
      <c r="M100" s="24" t="e">
        <f t="shared" si="10"/>
        <v>#NAME?</v>
      </c>
      <c r="N100" s="24" t="e">
        <f t="shared" si="10"/>
        <v>#NAME?</v>
      </c>
      <c r="O100" s="24" t="e">
        <f t="shared" si="10"/>
        <v>#NAME?</v>
      </c>
    </row>
    <row r="101" spans="1:15">
      <c r="A101" s="17">
        <v>84</v>
      </c>
      <c r="B101" s="25" t="e">
        <v>#NAME?</v>
      </c>
      <c r="C101" s="25" t="e">
        <v>#NAME?</v>
      </c>
      <c r="D101" s="25" t="e">
        <v>#NAME?</v>
      </c>
      <c r="E101" s="25" t="e">
        <v>#NAME?</v>
      </c>
      <c r="F101" s="25" t="e">
        <v>#NAME?</v>
      </c>
      <c r="G101" s="27" t="e">
        <f t="shared" si="8"/>
        <v>#NAME?</v>
      </c>
      <c r="I101" s="17">
        <v>84</v>
      </c>
      <c r="J101" s="24" t="e">
        <f t="shared" si="10"/>
        <v>#NAME?</v>
      </c>
      <c r="K101" s="24" t="e">
        <f t="shared" si="10"/>
        <v>#NAME?</v>
      </c>
      <c r="L101" s="24" t="e">
        <f t="shared" si="10"/>
        <v>#NAME?</v>
      </c>
      <c r="M101" s="24" t="e">
        <f t="shared" si="10"/>
        <v>#NAME?</v>
      </c>
      <c r="N101" s="24" t="e">
        <f t="shared" si="10"/>
        <v>#NAME?</v>
      </c>
      <c r="O101" s="24" t="e">
        <f t="shared" si="10"/>
        <v>#NAME?</v>
      </c>
    </row>
    <row r="102" spans="1:15">
      <c r="A102" s="17">
        <v>85</v>
      </c>
      <c r="B102" s="25" t="e">
        <v>#NAME?</v>
      </c>
      <c r="C102" s="25" t="e">
        <v>#NAME?</v>
      </c>
      <c r="D102" s="25" t="e">
        <v>#NAME?</v>
      </c>
      <c r="E102" s="25" t="e">
        <v>#NAME?</v>
      </c>
      <c r="F102" s="25" t="e">
        <v>#NAME?</v>
      </c>
      <c r="G102" s="27" t="e">
        <f t="shared" si="8"/>
        <v>#NAME?</v>
      </c>
      <c r="I102" s="17">
        <v>85</v>
      </c>
      <c r="J102" s="24" t="e">
        <f t="shared" si="10"/>
        <v>#NAME?</v>
      </c>
      <c r="K102" s="24" t="e">
        <f t="shared" si="10"/>
        <v>#NAME?</v>
      </c>
      <c r="L102" s="24" t="e">
        <f t="shared" si="10"/>
        <v>#NAME?</v>
      </c>
      <c r="M102" s="24" t="e">
        <f t="shared" si="10"/>
        <v>#NAME?</v>
      </c>
      <c r="N102" s="24" t="e">
        <f t="shared" si="10"/>
        <v>#NAME?</v>
      </c>
      <c r="O102" s="24" t="e">
        <f t="shared" si="10"/>
        <v>#NAME?</v>
      </c>
    </row>
    <row r="103" spans="1:15">
      <c r="A103" s="17">
        <v>86</v>
      </c>
      <c r="B103" s="25" t="e">
        <v>#NAME?</v>
      </c>
      <c r="C103" s="25" t="e">
        <v>#NAME?</v>
      </c>
      <c r="D103" s="25" t="e">
        <v>#NAME?</v>
      </c>
      <c r="E103" s="25" t="e">
        <v>#NAME?</v>
      </c>
      <c r="F103" s="25" t="e">
        <v>#NAME?</v>
      </c>
      <c r="G103" s="27" t="e">
        <f t="shared" si="8"/>
        <v>#NAME?</v>
      </c>
      <c r="I103" s="17">
        <v>86</v>
      </c>
      <c r="J103" s="24" t="e">
        <f t="shared" si="10"/>
        <v>#NAME?</v>
      </c>
      <c r="K103" s="24" t="e">
        <f t="shared" si="10"/>
        <v>#NAME?</v>
      </c>
      <c r="L103" s="24" t="e">
        <f t="shared" si="10"/>
        <v>#NAME?</v>
      </c>
      <c r="M103" s="24" t="e">
        <f t="shared" si="10"/>
        <v>#NAME?</v>
      </c>
      <c r="N103" s="24" t="e">
        <f t="shared" si="10"/>
        <v>#NAME?</v>
      </c>
      <c r="O103" s="24" t="e">
        <f t="shared" si="10"/>
        <v>#NAME?</v>
      </c>
    </row>
    <row r="104" spans="1:15">
      <c r="A104" s="17">
        <v>87</v>
      </c>
      <c r="B104" s="25" t="e">
        <v>#NAME?</v>
      </c>
      <c r="C104" s="25" t="e">
        <v>#NAME?</v>
      </c>
      <c r="D104" s="25" t="e">
        <v>#NAME?</v>
      </c>
      <c r="E104" s="25" t="e">
        <v>#NAME?</v>
      </c>
      <c r="F104" s="25" t="e">
        <v>#NAME?</v>
      </c>
      <c r="G104" s="27" t="e">
        <f t="shared" si="8"/>
        <v>#NAME?</v>
      </c>
      <c r="I104" s="17">
        <v>87</v>
      </c>
      <c r="J104" s="24" t="e">
        <f t="shared" si="10"/>
        <v>#NAME?</v>
      </c>
      <c r="K104" s="24" t="e">
        <f t="shared" si="10"/>
        <v>#NAME?</v>
      </c>
      <c r="L104" s="24" t="e">
        <f t="shared" si="10"/>
        <v>#NAME?</v>
      </c>
      <c r="M104" s="24" t="e">
        <f t="shared" si="10"/>
        <v>#NAME?</v>
      </c>
      <c r="N104" s="24" t="e">
        <f t="shared" si="10"/>
        <v>#NAME?</v>
      </c>
      <c r="O104" s="24" t="e">
        <f t="shared" si="10"/>
        <v>#NAME?</v>
      </c>
    </row>
    <row r="105" spans="1:15">
      <c r="A105" s="17">
        <v>88</v>
      </c>
      <c r="B105" s="25" t="e">
        <v>#NAME?</v>
      </c>
      <c r="C105" s="25" t="e">
        <v>#NAME?</v>
      </c>
      <c r="D105" s="25" t="e">
        <v>#NAME?</v>
      </c>
      <c r="E105" s="25" t="e">
        <v>#NAME?</v>
      </c>
      <c r="F105" s="25" t="e">
        <v>#NAME?</v>
      </c>
      <c r="G105" s="27" t="e">
        <f t="shared" si="8"/>
        <v>#NAME?</v>
      </c>
      <c r="I105" s="17">
        <v>88</v>
      </c>
      <c r="J105" s="24" t="e">
        <f t="shared" si="10"/>
        <v>#NAME?</v>
      </c>
      <c r="K105" s="24" t="e">
        <f t="shared" si="10"/>
        <v>#NAME?</v>
      </c>
      <c r="L105" s="24" t="e">
        <f t="shared" si="10"/>
        <v>#NAME?</v>
      </c>
      <c r="M105" s="24" t="e">
        <f t="shared" si="10"/>
        <v>#NAME?</v>
      </c>
      <c r="N105" s="24" t="e">
        <f t="shared" si="10"/>
        <v>#NAME?</v>
      </c>
      <c r="O105" s="24" t="e">
        <f t="shared" si="10"/>
        <v>#NAME?</v>
      </c>
    </row>
    <row r="106" spans="1:15">
      <c r="A106" s="17">
        <v>89</v>
      </c>
      <c r="B106" s="25" t="e">
        <v>#NAME?</v>
      </c>
      <c r="C106" s="25" t="e">
        <v>#NAME?</v>
      </c>
      <c r="D106" s="25" t="e">
        <v>#NAME?</v>
      </c>
      <c r="E106" s="25" t="e">
        <v>#NAME?</v>
      </c>
      <c r="F106" s="25" t="e">
        <v>#NAME?</v>
      </c>
      <c r="G106" s="27" t="e">
        <f t="shared" si="8"/>
        <v>#NAME?</v>
      </c>
      <c r="I106" s="17">
        <v>89</v>
      </c>
      <c r="J106" s="24" t="e">
        <f t="shared" si="10"/>
        <v>#NAME?</v>
      </c>
      <c r="K106" s="24" t="e">
        <f t="shared" si="10"/>
        <v>#NAME?</v>
      </c>
      <c r="L106" s="24" t="e">
        <f t="shared" si="10"/>
        <v>#NAME?</v>
      </c>
      <c r="M106" s="24" t="e">
        <f t="shared" si="10"/>
        <v>#NAME?</v>
      </c>
      <c r="N106" s="24" t="e">
        <f t="shared" si="10"/>
        <v>#NAME?</v>
      </c>
      <c r="O106" s="24" t="e">
        <f t="shared" si="10"/>
        <v>#NAME?</v>
      </c>
    </row>
    <row r="107" spans="1:15">
      <c r="A107" s="17">
        <v>90</v>
      </c>
      <c r="B107" s="25" t="e">
        <v>#NAME?</v>
      </c>
      <c r="C107" s="25" t="e">
        <v>#NAME?</v>
      </c>
      <c r="D107" s="25" t="e">
        <v>#NAME?</v>
      </c>
      <c r="E107" s="25" t="e">
        <v>#NAME?</v>
      </c>
      <c r="F107" s="25" t="e">
        <v>#NAME?</v>
      </c>
      <c r="G107" s="27" t="e">
        <f t="shared" si="8"/>
        <v>#NAME?</v>
      </c>
      <c r="I107" s="17">
        <v>90</v>
      </c>
      <c r="J107" s="24" t="e">
        <f t="shared" si="10"/>
        <v>#NAME?</v>
      </c>
      <c r="K107" s="24" t="e">
        <f t="shared" si="10"/>
        <v>#NAME?</v>
      </c>
      <c r="L107" s="24" t="e">
        <f t="shared" si="10"/>
        <v>#NAME?</v>
      </c>
      <c r="M107" s="24" t="e">
        <f t="shared" si="10"/>
        <v>#NAME?</v>
      </c>
      <c r="N107" s="24" t="e">
        <f t="shared" si="10"/>
        <v>#NAME?</v>
      </c>
      <c r="O107" s="24" t="e">
        <f t="shared" si="10"/>
        <v>#NAME?</v>
      </c>
    </row>
    <row r="108" spans="1:15">
      <c r="A108" s="17">
        <v>91</v>
      </c>
      <c r="B108" s="25" t="e">
        <v>#NAME?</v>
      </c>
      <c r="C108" s="25" t="e">
        <v>#NAME?</v>
      </c>
      <c r="D108" s="25" t="e">
        <v>#NAME?</v>
      </c>
      <c r="E108" s="25" t="e">
        <v>#NAME?</v>
      </c>
      <c r="F108" s="25" t="e">
        <v>#NAME?</v>
      </c>
      <c r="G108" s="27" t="e">
        <f t="shared" si="8"/>
        <v>#NAME?</v>
      </c>
      <c r="I108" s="17">
        <v>91</v>
      </c>
      <c r="J108" s="24" t="e">
        <f t="shared" si="10"/>
        <v>#NAME?</v>
      </c>
      <c r="K108" s="24" t="e">
        <f t="shared" si="10"/>
        <v>#NAME?</v>
      </c>
      <c r="L108" s="24" t="e">
        <f t="shared" si="10"/>
        <v>#NAME?</v>
      </c>
      <c r="M108" s="24" t="e">
        <f t="shared" si="10"/>
        <v>#NAME?</v>
      </c>
      <c r="N108" s="24" t="e">
        <f t="shared" si="10"/>
        <v>#NAME?</v>
      </c>
      <c r="O108" s="24" t="e">
        <f t="shared" si="10"/>
        <v>#NAME?</v>
      </c>
    </row>
    <row r="109" spans="1:15">
      <c r="A109" s="17">
        <v>92</v>
      </c>
      <c r="B109" s="25" t="e">
        <v>#NAME?</v>
      </c>
      <c r="C109" s="25" t="e">
        <v>#NAME?</v>
      </c>
      <c r="D109" s="25" t="e">
        <v>#NAME?</v>
      </c>
      <c r="E109" s="25" t="e">
        <v>#NAME?</v>
      </c>
      <c r="F109" s="25" t="e">
        <v>#NAME?</v>
      </c>
      <c r="G109" s="27" t="e">
        <f t="shared" si="8"/>
        <v>#NAME?</v>
      </c>
      <c r="I109" s="17">
        <v>92</v>
      </c>
      <c r="J109" s="24" t="e">
        <f t="shared" si="10"/>
        <v>#NAME?</v>
      </c>
      <c r="K109" s="24" t="e">
        <f t="shared" si="10"/>
        <v>#NAME?</v>
      </c>
      <c r="L109" s="24" t="e">
        <f t="shared" si="10"/>
        <v>#NAME?</v>
      </c>
      <c r="M109" s="24" t="e">
        <f t="shared" si="10"/>
        <v>#NAME?</v>
      </c>
      <c r="N109" s="24" t="e">
        <f t="shared" si="10"/>
        <v>#NAME?</v>
      </c>
      <c r="O109" s="24" t="e">
        <f t="shared" si="10"/>
        <v>#NAME?</v>
      </c>
    </row>
    <row r="110" spans="1:15">
      <c r="A110" s="17">
        <v>93</v>
      </c>
      <c r="B110" s="25" t="e">
        <v>#NAME?</v>
      </c>
      <c r="C110" s="25" t="e">
        <v>#NAME?</v>
      </c>
      <c r="D110" s="25" t="e">
        <v>#NAME?</v>
      </c>
      <c r="E110" s="25" t="e">
        <v>#NAME?</v>
      </c>
      <c r="F110" s="25" t="e">
        <v>#NAME?</v>
      </c>
      <c r="G110" s="27" t="e">
        <f t="shared" si="8"/>
        <v>#NAME?</v>
      </c>
      <c r="I110" s="17">
        <v>93</v>
      </c>
      <c r="J110" s="24" t="e">
        <f t="shared" si="10"/>
        <v>#NAME?</v>
      </c>
      <c r="K110" s="24" t="e">
        <f t="shared" si="10"/>
        <v>#NAME?</v>
      </c>
      <c r="L110" s="24" t="e">
        <f t="shared" si="10"/>
        <v>#NAME?</v>
      </c>
      <c r="M110" s="24" t="e">
        <f t="shared" si="10"/>
        <v>#NAME?</v>
      </c>
      <c r="N110" s="24" t="e">
        <f t="shared" si="10"/>
        <v>#NAME?</v>
      </c>
      <c r="O110" s="24" t="e">
        <f t="shared" si="10"/>
        <v>#NAME?</v>
      </c>
    </row>
    <row r="111" spans="1:15">
      <c r="A111" s="17">
        <v>94</v>
      </c>
      <c r="B111" s="25" t="e">
        <v>#NAME?</v>
      </c>
      <c r="C111" s="25" t="e">
        <v>#NAME?</v>
      </c>
      <c r="D111" s="25" t="e">
        <v>#NAME?</v>
      </c>
      <c r="E111" s="25" t="e">
        <v>#NAME?</v>
      </c>
      <c r="F111" s="25" t="e">
        <v>#NAME?</v>
      </c>
      <c r="G111" s="27" t="e">
        <f t="shared" si="8"/>
        <v>#NAME?</v>
      </c>
      <c r="I111" s="17">
        <v>94</v>
      </c>
      <c r="J111" s="24" t="e">
        <f t="shared" si="10"/>
        <v>#NAME?</v>
      </c>
      <c r="K111" s="24" t="e">
        <f t="shared" si="10"/>
        <v>#NAME?</v>
      </c>
      <c r="L111" s="24" t="e">
        <f t="shared" si="10"/>
        <v>#NAME?</v>
      </c>
      <c r="M111" s="24" t="e">
        <f t="shared" si="10"/>
        <v>#NAME?</v>
      </c>
      <c r="N111" s="24" t="e">
        <f t="shared" si="10"/>
        <v>#NAME?</v>
      </c>
      <c r="O111" s="24" t="e">
        <f t="shared" si="10"/>
        <v>#NAME?</v>
      </c>
    </row>
    <row r="112" spans="1:15">
      <c r="A112" s="17">
        <v>95</v>
      </c>
      <c r="B112" s="25" t="e">
        <v>#NAME?</v>
      </c>
      <c r="C112" s="25" t="e">
        <v>#NAME?</v>
      </c>
      <c r="D112" s="25" t="e">
        <v>#NAME?</v>
      </c>
      <c r="E112" s="25" t="e">
        <v>#NAME?</v>
      </c>
      <c r="F112" s="25" t="e">
        <v>#NAME?</v>
      </c>
      <c r="G112" s="27" t="e">
        <f t="shared" si="8"/>
        <v>#NAME?</v>
      </c>
      <c r="I112" s="17">
        <v>95</v>
      </c>
      <c r="J112" s="24" t="e">
        <f t="shared" si="10"/>
        <v>#NAME?</v>
      </c>
      <c r="K112" s="24" t="e">
        <f t="shared" si="10"/>
        <v>#NAME?</v>
      </c>
      <c r="L112" s="24" t="e">
        <f t="shared" si="10"/>
        <v>#NAME?</v>
      </c>
      <c r="M112" s="24" t="e">
        <f t="shared" si="10"/>
        <v>#NAME?</v>
      </c>
      <c r="N112" s="24" t="e">
        <f t="shared" si="10"/>
        <v>#NAME?</v>
      </c>
      <c r="O112" s="24" t="e">
        <f t="shared" si="10"/>
        <v>#NAME?</v>
      </c>
    </row>
    <row r="113" spans="1:15">
      <c r="A113" s="17">
        <v>96</v>
      </c>
      <c r="B113" s="25" t="e">
        <v>#NAME?</v>
      </c>
      <c r="C113" s="25" t="e">
        <v>#NAME?</v>
      </c>
      <c r="D113" s="25" t="e">
        <v>#NAME?</v>
      </c>
      <c r="E113" s="25" t="e">
        <v>#NAME?</v>
      </c>
      <c r="F113" s="25" t="e">
        <v>#NAME?</v>
      </c>
      <c r="G113" s="27" t="e">
        <f t="shared" si="8"/>
        <v>#NAME?</v>
      </c>
      <c r="I113" s="17">
        <v>96</v>
      </c>
      <c r="J113" s="24" t="e">
        <f t="shared" si="10"/>
        <v>#NAME?</v>
      </c>
      <c r="K113" s="24" t="e">
        <f t="shared" si="10"/>
        <v>#NAME?</v>
      </c>
      <c r="L113" s="24" t="e">
        <f t="shared" si="10"/>
        <v>#NAME?</v>
      </c>
      <c r="M113" s="24" t="e">
        <f t="shared" si="10"/>
        <v>#NAME?</v>
      </c>
      <c r="N113" s="24" t="e">
        <f t="shared" si="10"/>
        <v>#NAME?</v>
      </c>
      <c r="O113" s="24" t="e">
        <f t="shared" si="10"/>
        <v>#NAME?</v>
      </c>
    </row>
    <row r="114" spans="1:15">
      <c r="A114" s="17">
        <v>97</v>
      </c>
      <c r="B114" s="25" t="e">
        <v>#NAME?</v>
      </c>
      <c r="C114" s="25" t="e">
        <v>#NAME?</v>
      </c>
      <c r="D114" s="25" t="e">
        <v>#NAME?</v>
      </c>
      <c r="E114" s="25" t="e">
        <v>#NAME?</v>
      </c>
      <c r="F114" s="25" t="e">
        <v>#NAME?</v>
      </c>
      <c r="G114" s="27" t="e">
        <f t="shared" si="8"/>
        <v>#NAME?</v>
      </c>
      <c r="I114" s="17">
        <v>97</v>
      </c>
      <c r="J114" s="24" t="e">
        <f t="shared" si="10"/>
        <v>#NAME?</v>
      </c>
      <c r="K114" s="24" t="e">
        <f t="shared" si="10"/>
        <v>#NAME?</v>
      </c>
      <c r="L114" s="24" t="e">
        <f t="shared" si="10"/>
        <v>#NAME?</v>
      </c>
      <c r="M114" s="24" t="e">
        <f t="shared" si="10"/>
        <v>#NAME?</v>
      </c>
      <c r="N114" s="24" t="e">
        <f t="shared" si="10"/>
        <v>#NAME?</v>
      </c>
      <c r="O114" s="24" t="e">
        <f t="shared" si="10"/>
        <v>#NAME?</v>
      </c>
    </row>
    <row r="115" spans="1:15">
      <c r="A115" s="17">
        <v>98</v>
      </c>
      <c r="B115" s="25" t="e">
        <v>#NAME?</v>
      </c>
      <c r="C115" s="25" t="e">
        <v>#NAME?</v>
      </c>
      <c r="D115" s="25" t="e">
        <v>#NAME?</v>
      </c>
      <c r="E115" s="25" t="e">
        <v>#NAME?</v>
      </c>
      <c r="F115" s="25" t="e">
        <v>#NAME?</v>
      </c>
      <c r="G115" s="27" t="e">
        <f t="shared" si="8"/>
        <v>#NAME?</v>
      </c>
      <c r="I115" s="17">
        <v>98</v>
      </c>
      <c r="J115" s="24" t="e">
        <f t="shared" ref="J115:O130" si="11">J114*(1+B115)</f>
        <v>#NAME?</v>
      </c>
      <c r="K115" s="24" t="e">
        <f t="shared" si="11"/>
        <v>#NAME?</v>
      </c>
      <c r="L115" s="24" t="e">
        <f t="shared" si="11"/>
        <v>#NAME?</v>
      </c>
      <c r="M115" s="24" t="e">
        <f t="shared" si="11"/>
        <v>#NAME?</v>
      </c>
      <c r="N115" s="24" t="e">
        <f t="shared" si="11"/>
        <v>#NAME?</v>
      </c>
      <c r="O115" s="24" t="e">
        <f t="shared" si="11"/>
        <v>#NAME?</v>
      </c>
    </row>
    <row r="116" spans="1:15">
      <c r="A116" s="17">
        <v>99</v>
      </c>
      <c r="B116" s="25" t="e">
        <v>#NAME?</v>
      </c>
      <c r="C116" s="25" t="e">
        <v>#NAME?</v>
      </c>
      <c r="D116" s="25" t="e">
        <v>#NAME?</v>
      </c>
      <c r="E116" s="25" t="e">
        <v>#NAME?</v>
      </c>
      <c r="F116" s="25" t="e">
        <v>#NAME?</v>
      </c>
      <c r="G116" s="27" t="e">
        <f t="shared" si="8"/>
        <v>#NAME?</v>
      </c>
      <c r="I116" s="17">
        <v>99</v>
      </c>
      <c r="J116" s="24" t="e">
        <f t="shared" si="11"/>
        <v>#NAME?</v>
      </c>
      <c r="K116" s="24" t="e">
        <f t="shared" si="11"/>
        <v>#NAME?</v>
      </c>
      <c r="L116" s="24" t="e">
        <f t="shared" si="11"/>
        <v>#NAME?</v>
      </c>
      <c r="M116" s="24" t="e">
        <f t="shared" si="11"/>
        <v>#NAME?</v>
      </c>
      <c r="N116" s="24" t="e">
        <f t="shared" si="11"/>
        <v>#NAME?</v>
      </c>
      <c r="O116" s="24" t="e">
        <f t="shared" si="11"/>
        <v>#NAME?</v>
      </c>
    </row>
    <row r="117" spans="1:15">
      <c r="A117" s="17">
        <v>100</v>
      </c>
      <c r="B117" s="25" t="e">
        <v>#NAME?</v>
      </c>
      <c r="C117" s="25" t="e">
        <v>#NAME?</v>
      </c>
      <c r="D117" s="25" t="e">
        <v>#NAME?</v>
      </c>
      <c r="E117" s="25" t="e">
        <v>#NAME?</v>
      </c>
      <c r="F117" s="25" t="e">
        <v>#NAME?</v>
      </c>
      <c r="G117" s="27" t="e">
        <f t="shared" si="8"/>
        <v>#NAME?</v>
      </c>
      <c r="I117" s="17">
        <v>100</v>
      </c>
      <c r="J117" s="24" t="e">
        <f t="shared" si="11"/>
        <v>#NAME?</v>
      </c>
      <c r="K117" s="24" t="e">
        <f t="shared" si="11"/>
        <v>#NAME?</v>
      </c>
      <c r="L117" s="24" t="e">
        <f t="shared" si="11"/>
        <v>#NAME?</v>
      </c>
      <c r="M117" s="24" t="e">
        <f t="shared" si="11"/>
        <v>#NAME?</v>
      </c>
      <c r="N117" s="24" t="e">
        <f t="shared" si="11"/>
        <v>#NAME?</v>
      </c>
      <c r="O117" s="24" t="e">
        <f t="shared" si="11"/>
        <v>#NAME?</v>
      </c>
    </row>
    <row r="118" spans="1:15">
      <c r="A118" s="17">
        <v>101</v>
      </c>
      <c r="B118" s="25" t="e">
        <v>#NAME?</v>
      </c>
      <c r="C118" s="25" t="e">
        <v>#NAME?</v>
      </c>
      <c r="D118" s="25" t="e">
        <v>#NAME?</v>
      </c>
      <c r="E118" s="25" t="e">
        <v>#NAME?</v>
      </c>
      <c r="F118" s="25" t="e">
        <v>#NAME?</v>
      </c>
      <c r="G118" s="27" t="e">
        <f t="shared" si="8"/>
        <v>#NAME?</v>
      </c>
      <c r="I118" s="17">
        <v>101</v>
      </c>
      <c r="J118" s="28" t="e">
        <f t="shared" si="11"/>
        <v>#NAME?</v>
      </c>
      <c r="K118" s="28" t="e">
        <f t="shared" si="11"/>
        <v>#NAME?</v>
      </c>
      <c r="L118" s="28" t="e">
        <f t="shared" si="11"/>
        <v>#NAME?</v>
      </c>
      <c r="M118" s="28" t="e">
        <f t="shared" si="11"/>
        <v>#NAME?</v>
      </c>
      <c r="N118" s="28" t="e">
        <f t="shared" si="11"/>
        <v>#NAME?</v>
      </c>
      <c r="O118" s="28" t="e">
        <f t="shared" si="11"/>
        <v>#NAME?</v>
      </c>
    </row>
    <row r="119" spans="1:15">
      <c r="A119" s="17">
        <v>102</v>
      </c>
      <c r="B119" s="25" t="e">
        <v>#NAME?</v>
      </c>
      <c r="C119" s="25" t="e">
        <v>#NAME?</v>
      </c>
      <c r="D119" s="25" t="e">
        <v>#NAME?</v>
      </c>
      <c r="E119" s="25" t="e">
        <v>#NAME?</v>
      </c>
      <c r="F119" s="25" t="e">
        <v>#NAME?</v>
      </c>
      <c r="G119" s="27" t="e">
        <f t="shared" si="8"/>
        <v>#NAME?</v>
      </c>
      <c r="I119" s="17">
        <v>102</v>
      </c>
      <c r="J119" s="28" t="e">
        <f t="shared" si="11"/>
        <v>#NAME?</v>
      </c>
      <c r="K119" s="28" t="e">
        <f t="shared" si="11"/>
        <v>#NAME?</v>
      </c>
      <c r="L119" s="28" t="e">
        <f t="shared" si="11"/>
        <v>#NAME?</v>
      </c>
      <c r="M119" s="28" t="e">
        <f t="shared" si="11"/>
        <v>#NAME?</v>
      </c>
      <c r="N119" s="28" t="e">
        <f t="shared" si="11"/>
        <v>#NAME?</v>
      </c>
      <c r="O119" s="28" t="e">
        <f t="shared" si="11"/>
        <v>#NAME?</v>
      </c>
    </row>
    <row r="120" spans="1:15">
      <c r="A120" s="17">
        <v>103</v>
      </c>
      <c r="B120" s="25" t="e">
        <v>#NAME?</v>
      </c>
      <c r="C120" s="25" t="e">
        <v>#NAME?</v>
      </c>
      <c r="D120" s="25" t="e">
        <v>#NAME?</v>
      </c>
      <c r="E120" s="25" t="e">
        <v>#NAME?</v>
      </c>
      <c r="F120" s="25" t="e">
        <v>#NAME?</v>
      </c>
      <c r="G120" s="27" t="e">
        <f t="shared" si="8"/>
        <v>#NAME?</v>
      </c>
      <c r="I120" s="17">
        <v>103</v>
      </c>
      <c r="J120" s="28" t="e">
        <f t="shared" si="11"/>
        <v>#NAME?</v>
      </c>
      <c r="K120" s="28" t="e">
        <f t="shared" si="11"/>
        <v>#NAME?</v>
      </c>
      <c r="L120" s="28" t="e">
        <f t="shared" si="11"/>
        <v>#NAME?</v>
      </c>
      <c r="M120" s="28" t="e">
        <f t="shared" si="11"/>
        <v>#NAME?</v>
      </c>
      <c r="N120" s="28" t="e">
        <f t="shared" si="11"/>
        <v>#NAME?</v>
      </c>
      <c r="O120" s="28" t="e">
        <f t="shared" si="11"/>
        <v>#NAME?</v>
      </c>
    </row>
    <row r="121" spans="1:15">
      <c r="A121" s="17">
        <v>104</v>
      </c>
      <c r="B121" s="25" t="e">
        <v>#NAME?</v>
      </c>
      <c r="C121" s="25" t="e">
        <v>#NAME?</v>
      </c>
      <c r="D121" s="25" t="e">
        <v>#NAME?</v>
      </c>
      <c r="E121" s="25" t="e">
        <v>#NAME?</v>
      </c>
      <c r="F121" s="25" t="e">
        <v>#NAME?</v>
      </c>
      <c r="G121" s="27" t="e">
        <f t="shared" si="8"/>
        <v>#NAME?</v>
      </c>
      <c r="I121" s="17">
        <v>104</v>
      </c>
      <c r="J121" s="28" t="e">
        <f t="shared" si="11"/>
        <v>#NAME?</v>
      </c>
      <c r="K121" s="28" t="e">
        <f t="shared" si="11"/>
        <v>#NAME?</v>
      </c>
      <c r="L121" s="28" t="e">
        <f t="shared" si="11"/>
        <v>#NAME?</v>
      </c>
      <c r="M121" s="28" t="e">
        <f t="shared" si="11"/>
        <v>#NAME?</v>
      </c>
      <c r="N121" s="28" t="e">
        <f t="shared" si="11"/>
        <v>#NAME?</v>
      </c>
      <c r="O121" s="28" t="e">
        <f t="shared" si="11"/>
        <v>#NAME?</v>
      </c>
    </row>
    <row r="122" spans="1:15">
      <c r="A122" s="17">
        <v>105</v>
      </c>
      <c r="B122" s="25" t="e">
        <v>#NAME?</v>
      </c>
      <c r="C122" s="25" t="e">
        <v>#NAME?</v>
      </c>
      <c r="D122" s="25" t="e">
        <v>#NAME?</v>
      </c>
      <c r="E122" s="25" t="e">
        <v>#NAME?</v>
      </c>
      <c r="F122" s="25" t="e">
        <v>#NAME?</v>
      </c>
      <c r="G122" s="27" t="e">
        <f t="shared" si="8"/>
        <v>#NAME?</v>
      </c>
      <c r="I122" s="17">
        <v>105</v>
      </c>
      <c r="J122" s="28" t="e">
        <f t="shared" si="11"/>
        <v>#NAME?</v>
      </c>
      <c r="K122" s="28" t="e">
        <f t="shared" si="11"/>
        <v>#NAME?</v>
      </c>
      <c r="L122" s="28" t="e">
        <f t="shared" si="11"/>
        <v>#NAME?</v>
      </c>
      <c r="M122" s="28" t="e">
        <f t="shared" si="11"/>
        <v>#NAME?</v>
      </c>
      <c r="N122" s="28" t="e">
        <f t="shared" si="11"/>
        <v>#NAME?</v>
      </c>
      <c r="O122" s="28" t="e">
        <f t="shared" si="11"/>
        <v>#NAME?</v>
      </c>
    </row>
    <row r="123" spans="1:15">
      <c r="A123" s="17">
        <v>106</v>
      </c>
      <c r="B123" s="25" t="e">
        <v>#NAME?</v>
      </c>
      <c r="C123" s="25" t="e">
        <v>#NAME?</v>
      </c>
      <c r="D123" s="25" t="e">
        <v>#NAME?</v>
      </c>
      <c r="E123" s="25" t="e">
        <v>#NAME?</v>
      </c>
      <c r="F123" s="25" t="e">
        <v>#NAME?</v>
      </c>
      <c r="G123" s="27" t="e">
        <f t="shared" si="8"/>
        <v>#NAME?</v>
      </c>
      <c r="I123" s="17">
        <v>106</v>
      </c>
      <c r="J123" s="28" t="e">
        <f t="shared" si="11"/>
        <v>#NAME?</v>
      </c>
      <c r="K123" s="28" t="e">
        <f t="shared" si="11"/>
        <v>#NAME?</v>
      </c>
      <c r="L123" s="28" t="e">
        <f t="shared" si="11"/>
        <v>#NAME?</v>
      </c>
      <c r="M123" s="28" t="e">
        <f t="shared" si="11"/>
        <v>#NAME?</v>
      </c>
      <c r="N123" s="28" t="e">
        <f t="shared" si="11"/>
        <v>#NAME?</v>
      </c>
      <c r="O123" s="28" t="e">
        <f t="shared" si="11"/>
        <v>#NAME?</v>
      </c>
    </row>
    <row r="124" spans="1:15">
      <c r="A124" s="17">
        <v>107</v>
      </c>
      <c r="B124" s="25" t="e">
        <v>#NAME?</v>
      </c>
      <c r="C124" s="25" t="e">
        <v>#NAME?</v>
      </c>
      <c r="D124" s="25" t="e">
        <v>#NAME?</v>
      </c>
      <c r="E124" s="25" t="e">
        <v>#NAME?</v>
      </c>
      <c r="F124" s="25" t="e">
        <v>#NAME?</v>
      </c>
      <c r="G124" s="27" t="e">
        <f t="shared" si="8"/>
        <v>#NAME?</v>
      </c>
      <c r="I124" s="17">
        <v>107</v>
      </c>
      <c r="J124" s="28" t="e">
        <f t="shared" si="11"/>
        <v>#NAME?</v>
      </c>
      <c r="K124" s="28" t="e">
        <f t="shared" si="11"/>
        <v>#NAME?</v>
      </c>
      <c r="L124" s="28" t="e">
        <f t="shared" si="11"/>
        <v>#NAME?</v>
      </c>
      <c r="M124" s="28" t="e">
        <f t="shared" si="11"/>
        <v>#NAME?</v>
      </c>
      <c r="N124" s="28" t="e">
        <f t="shared" si="11"/>
        <v>#NAME?</v>
      </c>
      <c r="O124" s="28" t="e">
        <f t="shared" si="11"/>
        <v>#NAME?</v>
      </c>
    </row>
    <row r="125" spans="1:15">
      <c r="A125" s="17">
        <v>108</v>
      </c>
      <c r="B125" s="25" t="e">
        <v>#NAME?</v>
      </c>
      <c r="C125" s="25" t="e">
        <v>#NAME?</v>
      </c>
      <c r="D125" s="25" t="e">
        <v>#NAME?</v>
      </c>
      <c r="E125" s="25" t="e">
        <v>#NAME?</v>
      </c>
      <c r="F125" s="25" t="e">
        <v>#NAME?</v>
      </c>
      <c r="G125" s="27" t="e">
        <f t="shared" si="8"/>
        <v>#NAME?</v>
      </c>
      <c r="I125" s="17">
        <v>108</v>
      </c>
      <c r="J125" s="28" t="e">
        <f t="shared" si="11"/>
        <v>#NAME?</v>
      </c>
      <c r="K125" s="28" t="e">
        <f t="shared" si="11"/>
        <v>#NAME?</v>
      </c>
      <c r="L125" s="28" t="e">
        <f t="shared" si="11"/>
        <v>#NAME?</v>
      </c>
      <c r="M125" s="28" t="e">
        <f t="shared" si="11"/>
        <v>#NAME?</v>
      </c>
      <c r="N125" s="28" t="e">
        <f t="shared" si="11"/>
        <v>#NAME?</v>
      </c>
      <c r="O125" s="28" t="e">
        <f t="shared" si="11"/>
        <v>#NAME?</v>
      </c>
    </row>
    <row r="126" spans="1:15">
      <c r="A126" s="17">
        <v>109</v>
      </c>
      <c r="B126" s="25" t="e">
        <v>#NAME?</v>
      </c>
      <c r="C126" s="25" t="e">
        <v>#NAME?</v>
      </c>
      <c r="D126" s="25" t="e">
        <v>#NAME?</v>
      </c>
      <c r="E126" s="25" t="e">
        <v>#NAME?</v>
      </c>
      <c r="F126" s="25" t="e">
        <v>#NAME?</v>
      </c>
      <c r="G126" s="27" t="e">
        <f t="shared" si="8"/>
        <v>#NAME?</v>
      </c>
      <c r="I126" s="17">
        <v>109</v>
      </c>
      <c r="J126" s="28" t="e">
        <f t="shared" si="11"/>
        <v>#NAME?</v>
      </c>
      <c r="K126" s="28" t="e">
        <f t="shared" si="11"/>
        <v>#NAME?</v>
      </c>
      <c r="L126" s="28" t="e">
        <f t="shared" si="11"/>
        <v>#NAME?</v>
      </c>
      <c r="M126" s="28" t="e">
        <f t="shared" si="11"/>
        <v>#NAME?</v>
      </c>
      <c r="N126" s="28" t="e">
        <f t="shared" si="11"/>
        <v>#NAME?</v>
      </c>
      <c r="O126" s="28" t="e">
        <f t="shared" si="11"/>
        <v>#NAME?</v>
      </c>
    </row>
    <row r="127" spans="1:15">
      <c r="A127" s="17">
        <v>110</v>
      </c>
      <c r="B127" s="25" t="e">
        <v>#NAME?</v>
      </c>
      <c r="C127" s="25" t="e">
        <v>#NAME?</v>
      </c>
      <c r="D127" s="25" t="e">
        <v>#NAME?</v>
      </c>
      <c r="E127" s="25" t="e">
        <v>#NAME?</v>
      </c>
      <c r="F127" s="25" t="e">
        <v>#NAME?</v>
      </c>
      <c r="G127" s="27" t="e">
        <f t="shared" si="8"/>
        <v>#NAME?</v>
      </c>
      <c r="I127" s="17">
        <v>110</v>
      </c>
      <c r="J127" s="28" t="e">
        <f t="shared" si="11"/>
        <v>#NAME?</v>
      </c>
      <c r="K127" s="28" t="e">
        <f t="shared" si="11"/>
        <v>#NAME?</v>
      </c>
      <c r="L127" s="28" t="e">
        <f t="shared" si="11"/>
        <v>#NAME?</v>
      </c>
      <c r="M127" s="28" t="e">
        <f t="shared" si="11"/>
        <v>#NAME?</v>
      </c>
      <c r="N127" s="28" t="e">
        <f t="shared" si="11"/>
        <v>#NAME?</v>
      </c>
      <c r="O127" s="28" t="e">
        <f t="shared" si="11"/>
        <v>#NAME?</v>
      </c>
    </row>
    <row r="128" spans="1:15">
      <c r="A128" s="17">
        <v>111</v>
      </c>
      <c r="B128" s="25" t="e">
        <v>#NAME?</v>
      </c>
      <c r="C128" s="25" t="e">
        <v>#NAME?</v>
      </c>
      <c r="D128" s="25" t="e">
        <v>#NAME?</v>
      </c>
      <c r="E128" s="25" t="e">
        <v>#NAME?</v>
      </c>
      <c r="F128" s="25" t="e">
        <v>#NAME?</v>
      </c>
      <c r="G128" s="27" t="e">
        <f t="shared" si="8"/>
        <v>#NAME?</v>
      </c>
      <c r="I128" s="17">
        <v>111</v>
      </c>
      <c r="J128" s="28" t="e">
        <f t="shared" si="11"/>
        <v>#NAME?</v>
      </c>
      <c r="K128" s="28" t="e">
        <f t="shared" si="11"/>
        <v>#NAME?</v>
      </c>
      <c r="L128" s="28" t="e">
        <f t="shared" si="11"/>
        <v>#NAME?</v>
      </c>
      <c r="M128" s="28" t="e">
        <f t="shared" si="11"/>
        <v>#NAME?</v>
      </c>
      <c r="N128" s="28" t="e">
        <f t="shared" si="11"/>
        <v>#NAME?</v>
      </c>
      <c r="O128" s="28" t="e">
        <f t="shared" si="11"/>
        <v>#NAME?</v>
      </c>
    </row>
    <row r="129" spans="1:15">
      <c r="A129" s="17">
        <v>112</v>
      </c>
      <c r="B129" s="25" t="e">
        <v>#NAME?</v>
      </c>
      <c r="C129" s="25" t="e">
        <v>#NAME?</v>
      </c>
      <c r="D129" s="25" t="e">
        <v>#NAME?</v>
      </c>
      <c r="E129" s="25" t="e">
        <v>#NAME?</v>
      </c>
      <c r="F129" s="25" t="e">
        <v>#NAME?</v>
      </c>
      <c r="G129" s="27" t="e">
        <f t="shared" si="8"/>
        <v>#NAME?</v>
      </c>
      <c r="I129" s="17">
        <v>112</v>
      </c>
      <c r="J129" s="28" t="e">
        <f t="shared" si="11"/>
        <v>#NAME?</v>
      </c>
      <c r="K129" s="28" t="e">
        <f t="shared" si="11"/>
        <v>#NAME?</v>
      </c>
      <c r="L129" s="28" t="e">
        <f t="shared" si="11"/>
        <v>#NAME?</v>
      </c>
      <c r="M129" s="28" t="e">
        <f t="shared" si="11"/>
        <v>#NAME?</v>
      </c>
      <c r="N129" s="28" t="e">
        <f t="shared" si="11"/>
        <v>#NAME?</v>
      </c>
      <c r="O129" s="28" t="e">
        <f t="shared" si="11"/>
        <v>#NAME?</v>
      </c>
    </row>
    <row r="130" spans="1:15">
      <c r="A130" s="17">
        <v>113</v>
      </c>
      <c r="B130" s="25" t="e">
        <v>#NAME?</v>
      </c>
      <c r="C130" s="25" t="e">
        <v>#NAME?</v>
      </c>
      <c r="D130" s="25" t="e">
        <v>#NAME?</v>
      </c>
      <c r="E130" s="25" t="e">
        <v>#NAME?</v>
      </c>
      <c r="F130" s="25" t="e">
        <v>#NAME?</v>
      </c>
      <c r="G130" s="27" t="e">
        <f t="shared" si="8"/>
        <v>#NAME?</v>
      </c>
      <c r="I130" s="17">
        <v>113</v>
      </c>
      <c r="J130" s="28" t="e">
        <f t="shared" si="11"/>
        <v>#NAME?</v>
      </c>
      <c r="K130" s="28" t="e">
        <f t="shared" si="11"/>
        <v>#NAME?</v>
      </c>
      <c r="L130" s="28" t="e">
        <f t="shared" si="11"/>
        <v>#NAME?</v>
      </c>
      <c r="M130" s="28" t="e">
        <f t="shared" si="11"/>
        <v>#NAME?</v>
      </c>
      <c r="N130" s="28" t="e">
        <f t="shared" si="11"/>
        <v>#NAME?</v>
      </c>
      <c r="O130" s="28" t="e">
        <f t="shared" si="11"/>
        <v>#NAME?</v>
      </c>
    </row>
    <row r="131" spans="1:15">
      <c r="A131" s="17">
        <v>114</v>
      </c>
      <c r="B131" s="25" t="e">
        <v>#NAME?</v>
      </c>
      <c r="C131" s="25" t="e">
        <v>#NAME?</v>
      </c>
      <c r="D131" s="25" t="e">
        <v>#NAME?</v>
      </c>
      <c r="E131" s="25" t="e">
        <v>#NAME?</v>
      </c>
      <c r="F131" s="25" t="e">
        <v>#NAME?</v>
      </c>
      <c r="G131" s="27" t="e">
        <f t="shared" si="8"/>
        <v>#NAME?</v>
      </c>
      <c r="I131" s="17">
        <v>114</v>
      </c>
      <c r="J131" s="28" t="e">
        <f t="shared" ref="J131:O146" si="12">J130*(1+B131)</f>
        <v>#NAME?</v>
      </c>
      <c r="K131" s="28" t="e">
        <f t="shared" si="12"/>
        <v>#NAME?</v>
      </c>
      <c r="L131" s="28" t="e">
        <f t="shared" si="12"/>
        <v>#NAME?</v>
      </c>
      <c r="M131" s="28" t="e">
        <f t="shared" si="12"/>
        <v>#NAME?</v>
      </c>
      <c r="N131" s="28" t="e">
        <f t="shared" si="12"/>
        <v>#NAME?</v>
      </c>
      <c r="O131" s="28" t="e">
        <f t="shared" si="12"/>
        <v>#NAME?</v>
      </c>
    </row>
    <row r="132" spans="1:15">
      <c r="A132" s="17">
        <v>115</v>
      </c>
      <c r="B132" s="25" t="e">
        <v>#NAME?</v>
      </c>
      <c r="C132" s="25" t="e">
        <v>#NAME?</v>
      </c>
      <c r="D132" s="25" t="e">
        <v>#NAME?</v>
      </c>
      <c r="E132" s="25" t="e">
        <v>#NAME?</v>
      </c>
      <c r="F132" s="25" t="e">
        <v>#NAME?</v>
      </c>
      <c r="G132" s="27" t="e">
        <f t="shared" si="8"/>
        <v>#NAME?</v>
      </c>
      <c r="I132" s="17">
        <v>115</v>
      </c>
      <c r="J132" s="28" t="e">
        <f t="shared" si="12"/>
        <v>#NAME?</v>
      </c>
      <c r="K132" s="28" t="e">
        <f t="shared" si="12"/>
        <v>#NAME?</v>
      </c>
      <c r="L132" s="28" t="e">
        <f t="shared" si="12"/>
        <v>#NAME?</v>
      </c>
      <c r="M132" s="28" t="e">
        <f t="shared" si="12"/>
        <v>#NAME?</v>
      </c>
      <c r="N132" s="28" t="e">
        <f t="shared" si="12"/>
        <v>#NAME?</v>
      </c>
      <c r="O132" s="28" t="e">
        <f t="shared" si="12"/>
        <v>#NAME?</v>
      </c>
    </row>
    <row r="133" spans="1:15">
      <c r="A133" s="17">
        <v>116</v>
      </c>
      <c r="B133" s="25" t="e">
        <v>#NAME?</v>
      </c>
      <c r="C133" s="25" t="e">
        <v>#NAME?</v>
      </c>
      <c r="D133" s="25" t="e">
        <v>#NAME?</v>
      </c>
      <c r="E133" s="25" t="e">
        <v>#NAME?</v>
      </c>
      <c r="F133" s="25" t="e">
        <v>#NAME?</v>
      </c>
      <c r="G133" s="27" t="e">
        <f t="shared" si="8"/>
        <v>#NAME?</v>
      </c>
      <c r="I133" s="17">
        <v>116</v>
      </c>
      <c r="J133" s="28" t="e">
        <f t="shared" si="12"/>
        <v>#NAME?</v>
      </c>
      <c r="K133" s="28" t="e">
        <f t="shared" si="12"/>
        <v>#NAME?</v>
      </c>
      <c r="L133" s="28" t="e">
        <f t="shared" si="12"/>
        <v>#NAME?</v>
      </c>
      <c r="M133" s="28" t="e">
        <f t="shared" si="12"/>
        <v>#NAME?</v>
      </c>
      <c r="N133" s="28" t="e">
        <f t="shared" si="12"/>
        <v>#NAME?</v>
      </c>
      <c r="O133" s="28" t="e">
        <f t="shared" si="12"/>
        <v>#NAME?</v>
      </c>
    </row>
    <row r="134" spans="1:15">
      <c r="A134" s="17">
        <v>117</v>
      </c>
      <c r="B134" s="25" t="e">
        <v>#NAME?</v>
      </c>
      <c r="C134" s="25" t="e">
        <v>#NAME?</v>
      </c>
      <c r="D134" s="25" t="e">
        <v>#NAME?</v>
      </c>
      <c r="E134" s="25" t="e">
        <v>#NAME?</v>
      </c>
      <c r="F134" s="25" t="e">
        <v>#NAME?</v>
      </c>
      <c r="G134" s="27" t="e">
        <f t="shared" si="8"/>
        <v>#NAME?</v>
      </c>
      <c r="I134" s="17">
        <v>117</v>
      </c>
      <c r="J134" s="28" t="e">
        <f t="shared" si="12"/>
        <v>#NAME?</v>
      </c>
      <c r="K134" s="28" t="e">
        <f t="shared" si="12"/>
        <v>#NAME?</v>
      </c>
      <c r="L134" s="28" t="e">
        <f t="shared" si="12"/>
        <v>#NAME?</v>
      </c>
      <c r="M134" s="28" t="e">
        <f t="shared" si="12"/>
        <v>#NAME?</v>
      </c>
      <c r="N134" s="28" t="e">
        <f t="shared" si="12"/>
        <v>#NAME?</v>
      </c>
      <c r="O134" s="28" t="e">
        <f t="shared" si="12"/>
        <v>#NAME?</v>
      </c>
    </row>
    <row r="135" spans="1:15">
      <c r="A135" s="17">
        <v>118</v>
      </c>
      <c r="B135" s="25" t="e">
        <v>#NAME?</v>
      </c>
      <c r="C135" s="25" t="e">
        <v>#NAME?</v>
      </c>
      <c r="D135" s="25" t="e">
        <v>#NAME?</v>
      </c>
      <c r="E135" s="25" t="e">
        <v>#NAME?</v>
      </c>
      <c r="F135" s="25" t="e">
        <v>#NAME?</v>
      </c>
      <c r="G135" s="27" t="e">
        <f t="shared" si="8"/>
        <v>#NAME?</v>
      </c>
      <c r="I135" s="17">
        <v>118</v>
      </c>
      <c r="J135" s="28" t="e">
        <f t="shared" si="12"/>
        <v>#NAME?</v>
      </c>
      <c r="K135" s="28" t="e">
        <f t="shared" si="12"/>
        <v>#NAME?</v>
      </c>
      <c r="L135" s="28" t="e">
        <f t="shared" si="12"/>
        <v>#NAME?</v>
      </c>
      <c r="M135" s="28" t="e">
        <f t="shared" si="12"/>
        <v>#NAME?</v>
      </c>
      <c r="N135" s="28" t="e">
        <f t="shared" si="12"/>
        <v>#NAME?</v>
      </c>
      <c r="O135" s="28" t="e">
        <f t="shared" si="12"/>
        <v>#NAME?</v>
      </c>
    </row>
    <row r="136" spans="1:15">
      <c r="A136" s="17">
        <v>119</v>
      </c>
      <c r="B136" s="25" t="e">
        <v>#NAME?</v>
      </c>
      <c r="C136" s="25" t="e">
        <v>#NAME?</v>
      </c>
      <c r="D136" s="25" t="e">
        <v>#NAME?</v>
      </c>
      <c r="E136" s="25" t="e">
        <v>#NAME?</v>
      </c>
      <c r="F136" s="25" t="e">
        <v>#NAME?</v>
      </c>
      <c r="G136" s="27" t="e">
        <f t="shared" si="8"/>
        <v>#NAME?</v>
      </c>
      <c r="I136" s="17">
        <v>119</v>
      </c>
      <c r="J136" s="28" t="e">
        <f t="shared" si="12"/>
        <v>#NAME?</v>
      </c>
      <c r="K136" s="28" t="e">
        <f t="shared" si="12"/>
        <v>#NAME?</v>
      </c>
      <c r="L136" s="28" t="e">
        <f t="shared" si="12"/>
        <v>#NAME?</v>
      </c>
      <c r="M136" s="28" t="e">
        <f t="shared" si="12"/>
        <v>#NAME?</v>
      </c>
      <c r="N136" s="28" t="e">
        <f t="shared" si="12"/>
        <v>#NAME?</v>
      </c>
      <c r="O136" s="28" t="e">
        <f t="shared" si="12"/>
        <v>#NAME?</v>
      </c>
    </row>
    <row r="137" spans="1:15">
      <c r="A137" s="17">
        <v>120</v>
      </c>
      <c r="B137" s="25" t="e">
        <v>#NAME?</v>
      </c>
      <c r="C137" s="25" t="e">
        <v>#NAME?</v>
      </c>
      <c r="D137" s="25" t="e">
        <v>#NAME?</v>
      </c>
      <c r="E137" s="25" t="e">
        <v>#NAME?</v>
      </c>
      <c r="F137" s="25" t="e">
        <v>#NAME?</v>
      </c>
      <c r="G137" s="27" t="e">
        <f t="shared" si="8"/>
        <v>#NAME?</v>
      </c>
      <c r="I137" s="17">
        <v>120</v>
      </c>
      <c r="J137" s="28" t="e">
        <f t="shared" si="12"/>
        <v>#NAME?</v>
      </c>
      <c r="K137" s="28" t="e">
        <f t="shared" si="12"/>
        <v>#NAME?</v>
      </c>
      <c r="L137" s="28" t="e">
        <f t="shared" si="12"/>
        <v>#NAME?</v>
      </c>
      <c r="M137" s="28" t="e">
        <f t="shared" si="12"/>
        <v>#NAME?</v>
      </c>
      <c r="N137" s="28" t="e">
        <f t="shared" si="12"/>
        <v>#NAME?</v>
      </c>
      <c r="O137" s="28" t="e">
        <f t="shared" si="12"/>
        <v>#NAME?</v>
      </c>
    </row>
    <row r="138" spans="1:15">
      <c r="A138" s="17">
        <v>121</v>
      </c>
      <c r="B138" s="25" t="e">
        <v>#NAME?</v>
      </c>
      <c r="C138" s="25" t="e">
        <v>#NAME?</v>
      </c>
      <c r="D138" s="25" t="e">
        <v>#NAME?</v>
      </c>
      <c r="E138" s="25" t="e">
        <v>#NAME?</v>
      </c>
      <c r="F138" s="25" t="e">
        <v>#NAME?</v>
      </c>
      <c r="G138" s="27" t="e">
        <f t="shared" si="8"/>
        <v>#NAME?</v>
      </c>
      <c r="I138" s="17">
        <v>121</v>
      </c>
      <c r="J138" s="28" t="e">
        <f t="shared" si="12"/>
        <v>#NAME?</v>
      </c>
      <c r="K138" s="28" t="e">
        <f t="shared" si="12"/>
        <v>#NAME?</v>
      </c>
      <c r="L138" s="28" t="e">
        <f t="shared" si="12"/>
        <v>#NAME?</v>
      </c>
      <c r="M138" s="28" t="e">
        <f t="shared" si="12"/>
        <v>#NAME?</v>
      </c>
      <c r="N138" s="28" t="e">
        <f t="shared" si="12"/>
        <v>#NAME?</v>
      </c>
      <c r="O138" s="28" t="e">
        <f t="shared" si="12"/>
        <v>#NAME?</v>
      </c>
    </row>
    <row r="139" spans="1:15">
      <c r="A139" s="17">
        <v>122</v>
      </c>
      <c r="B139" s="25" t="e">
        <v>#NAME?</v>
      </c>
      <c r="C139" s="25" t="e">
        <v>#NAME?</v>
      </c>
      <c r="D139" s="25" t="e">
        <v>#NAME?</v>
      </c>
      <c r="E139" s="25" t="e">
        <v>#NAME?</v>
      </c>
      <c r="F139" s="25" t="e">
        <v>#NAME?</v>
      </c>
      <c r="G139" s="27" t="e">
        <f t="shared" si="8"/>
        <v>#NAME?</v>
      </c>
      <c r="I139" s="17">
        <v>122</v>
      </c>
      <c r="J139" s="28" t="e">
        <f t="shared" si="12"/>
        <v>#NAME?</v>
      </c>
      <c r="K139" s="28" t="e">
        <f t="shared" si="12"/>
        <v>#NAME?</v>
      </c>
      <c r="L139" s="28" t="e">
        <f t="shared" si="12"/>
        <v>#NAME?</v>
      </c>
      <c r="M139" s="28" t="e">
        <f t="shared" si="12"/>
        <v>#NAME?</v>
      </c>
      <c r="N139" s="28" t="e">
        <f t="shared" si="12"/>
        <v>#NAME?</v>
      </c>
      <c r="O139" s="28" t="e">
        <f t="shared" si="12"/>
        <v>#NAME?</v>
      </c>
    </row>
    <row r="140" spans="1:15">
      <c r="A140" s="17">
        <v>123</v>
      </c>
      <c r="B140" s="25" t="e">
        <v>#NAME?</v>
      </c>
      <c r="C140" s="25" t="e">
        <v>#NAME?</v>
      </c>
      <c r="D140" s="25" t="e">
        <v>#NAME?</v>
      </c>
      <c r="E140" s="25" t="e">
        <v>#NAME?</v>
      </c>
      <c r="F140" s="25" t="e">
        <v>#NAME?</v>
      </c>
      <c r="G140" s="27" t="e">
        <f t="shared" si="8"/>
        <v>#NAME?</v>
      </c>
      <c r="I140" s="17">
        <v>123</v>
      </c>
      <c r="J140" s="28" t="e">
        <f t="shared" si="12"/>
        <v>#NAME?</v>
      </c>
      <c r="K140" s="28" t="e">
        <f t="shared" si="12"/>
        <v>#NAME?</v>
      </c>
      <c r="L140" s="28" t="e">
        <f t="shared" si="12"/>
        <v>#NAME?</v>
      </c>
      <c r="M140" s="28" t="e">
        <f t="shared" si="12"/>
        <v>#NAME?</v>
      </c>
      <c r="N140" s="28" t="e">
        <f t="shared" si="12"/>
        <v>#NAME?</v>
      </c>
      <c r="O140" s="28" t="e">
        <f t="shared" si="12"/>
        <v>#NAME?</v>
      </c>
    </row>
    <row r="141" spans="1:15">
      <c r="A141" s="17">
        <v>124</v>
      </c>
      <c r="B141" s="25" t="e">
        <v>#NAME?</v>
      </c>
      <c r="C141" s="25" t="e">
        <v>#NAME?</v>
      </c>
      <c r="D141" s="25" t="e">
        <v>#NAME?</v>
      </c>
      <c r="E141" s="25" t="e">
        <v>#NAME?</v>
      </c>
      <c r="F141" s="25" t="e">
        <v>#NAME?</v>
      </c>
      <c r="G141" s="27" t="e">
        <f t="shared" si="8"/>
        <v>#NAME?</v>
      </c>
      <c r="I141" s="17">
        <v>124</v>
      </c>
      <c r="J141" s="28" t="e">
        <f t="shared" si="12"/>
        <v>#NAME?</v>
      </c>
      <c r="K141" s="28" t="e">
        <f t="shared" si="12"/>
        <v>#NAME?</v>
      </c>
      <c r="L141" s="28" t="e">
        <f t="shared" si="12"/>
        <v>#NAME?</v>
      </c>
      <c r="M141" s="28" t="e">
        <f t="shared" si="12"/>
        <v>#NAME?</v>
      </c>
      <c r="N141" s="28" t="e">
        <f t="shared" si="12"/>
        <v>#NAME?</v>
      </c>
      <c r="O141" s="28" t="e">
        <f t="shared" si="12"/>
        <v>#NAME?</v>
      </c>
    </row>
    <row r="142" spans="1:15">
      <c r="A142" s="17">
        <v>125</v>
      </c>
      <c r="B142" s="25" t="e">
        <v>#NAME?</v>
      </c>
      <c r="C142" s="25" t="e">
        <v>#NAME?</v>
      </c>
      <c r="D142" s="25" t="e">
        <v>#NAME?</v>
      </c>
      <c r="E142" s="25" t="e">
        <v>#NAME?</v>
      </c>
      <c r="F142" s="25" t="e">
        <v>#NAME?</v>
      </c>
      <c r="G142" s="27" t="e">
        <f t="shared" si="8"/>
        <v>#NAME?</v>
      </c>
      <c r="I142" s="17">
        <v>125</v>
      </c>
      <c r="J142" s="28" t="e">
        <f t="shared" si="12"/>
        <v>#NAME?</v>
      </c>
      <c r="K142" s="28" t="e">
        <f t="shared" si="12"/>
        <v>#NAME?</v>
      </c>
      <c r="L142" s="28" t="e">
        <f t="shared" si="12"/>
        <v>#NAME?</v>
      </c>
      <c r="M142" s="28" t="e">
        <f t="shared" si="12"/>
        <v>#NAME?</v>
      </c>
      <c r="N142" s="28" t="e">
        <f t="shared" si="12"/>
        <v>#NAME?</v>
      </c>
      <c r="O142" s="28" t="e">
        <f t="shared" si="12"/>
        <v>#NAME?</v>
      </c>
    </row>
    <row r="143" spans="1:15">
      <c r="A143" s="17">
        <v>126</v>
      </c>
      <c r="B143" s="25" t="e">
        <v>#NAME?</v>
      </c>
      <c r="C143" s="25" t="e">
        <v>#NAME?</v>
      </c>
      <c r="D143" s="25" t="e">
        <v>#NAME?</v>
      </c>
      <c r="E143" s="25" t="e">
        <v>#NAME?</v>
      </c>
      <c r="F143" s="25" t="e">
        <v>#NAME?</v>
      </c>
      <c r="G143" s="27" t="e">
        <f t="shared" si="8"/>
        <v>#NAME?</v>
      </c>
      <c r="I143" s="17">
        <v>126</v>
      </c>
      <c r="J143" s="28" t="e">
        <f t="shared" si="12"/>
        <v>#NAME?</v>
      </c>
      <c r="K143" s="28" t="e">
        <f t="shared" si="12"/>
        <v>#NAME?</v>
      </c>
      <c r="L143" s="28" t="e">
        <f t="shared" si="12"/>
        <v>#NAME?</v>
      </c>
      <c r="M143" s="28" t="e">
        <f t="shared" si="12"/>
        <v>#NAME?</v>
      </c>
      <c r="N143" s="28" t="e">
        <f t="shared" si="12"/>
        <v>#NAME?</v>
      </c>
      <c r="O143" s="28" t="e">
        <f t="shared" si="12"/>
        <v>#NAME?</v>
      </c>
    </row>
    <row r="144" spans="1:15">
      <c r="A144" s="17">
        <v>127</v>
      </c>
      <c r="B144" s="25" t="e">
        <v>#NAME?</v>
      </c>
      <c r="C144" s="25" t="e">
        <v>#NAME?</v>
      </c>
      <c r="D144" s="25" t="e">
        <v>#NAME?</v>
      </c>
      <c r="E144" s="25" t="e">
        <v>#NAME?</v>
      </c>
      <c r="F144" s="25" t="e">
        <v>#NAME?</v>
      </c>
      <c r="G144" s="27" t="e">
        <f t="shared" si="8"/>
        <v>#NAME?</v>
      </c>
      <c r="I144" s="17">
        <v>127</v>
      </c>
      <c r="J144" s="28" t="e">
        <f t="shared" si="12"/>
        <v>#NAME?</v>
      </c>
      <c r="K144" s="28" t="e">
        <f t="shared" si="12"/>
        <v>#NAME?</v>
      </c>
      <c r="L144" s="28" t="e">
        <f t="shared" si="12"/>
        <v>#NAME?</v>
      </c>
      <c r="M144" s="28" t="e">
        <f t="shared" si="12"/>
        <v>#NAME?</v>
      </c>
      <c r="N144" s="28" t="e">
        <f t="shared" si="12"/>
        <v>#NAME?</v>
      </c>
      <c r="O144" s="28" t="e">
        <f t="shared" si="12"/>
        <v>#NAME?</v>
      </c>
    </row>
    <row r="145" spans="1:15">
      <c r="A145" s="17">
        <v>128</v>
      </c>
      <c r="B145" s="25" t="e">
        <v>#NAME?</v>
      </c>
      <c r="C145" s="25" t="e">
        <v>#NAME?</v>
      </c>
      <c r="D145" s="25" t="e">
        <v>#NAME?</v>
      </c>
      <c r="E145" s="25" t="e">
        <v>#NAME?</v>
      </c>
      <c r="F145" s="25" t="e">
        <v>#NAME?</v>
      </c>
      <c r="G145" s="27" t="e">
        <f t="shared" si="8"/>
        <v>#NAME?</v>
      </c>
      <c r="I145" s="17">
        <v>128</v>
      </c>
      <c r="J145" s="28" t="e">
        <f t="shared" si="12"/>
        <v>#NAME?</v>
      </c>
      <c r="K145" s="28" t="e">
        <f t="shared" si="12"/>
        <v>#NAME?</v>
      </c>
      <c r="L145" s="28" t="e">
        <f t="shared" si="12"/>
        <v>#NAME?</v>
      </c>
      <c r="M145" s="28" t="e">
        <f t="shared" si="12"/>
        <v>#NAME?</v>
      </c>
      <c r="N145" s="28" t="e">
        <f t="shared" si="12"/>
        <v>#NAME?</v>
      </c>
      <c r="O145" s="28" t="e">
        <f t="shared" si="12"/>
        <v>#NAME?</v>
      </c>
    </row>
    <row r="146" spans="1:15">
      <c r="A146" s="17">
        <v>129</v>
      </c>
      <c r="B146" s="25" t="e">
        <v>#NAME?</v>
      </c>
      <c r="C146" s="25" t="e">
        <v>#NAME?</v>
      </c>
      <c r="D146" s="25" t="e">
        <v>#NAME?</v>
      </c>
      <c r="E146" s="25" t="e">
        <v>#NAME?</v>
      </c>
      <c r="F146" s="25" t="e">
        <v>#NAME?</v>
      </c>
      <c r="G146" s="27" t="e">
        <f t="shared" si="8"/>
        <v>#NAME?</v>
      </c>
      <c r="I146" s="17">
        <v>129</v>
      </c>
      <c r="J146" s="28" t="e">
        <f t="shared" si="12"/>
        <v>#NAME?</v>
      </c>
      <c r="K146" s="28" t="e">
        <f t="shared" si="12"/>
        <v>#NAME?</v>
      </c>
      <c r="L146" s="28" t="e">
        <f t="shared" si="12"/>
        <v>#NAME?</v>
      </c>
      <c r="M146" s="28" t="e">
        <f t="shared" si="12"/>
        <v>#NAME?</v>
      </c>
      <c r="N146" s="28" t="e">
        <f t="shared" si="12"/>
        <v>#NAME?</v>
      </c>
      <c r="O146" s="28" t="e">
        <f t="shared" si="12"/>
        <v>#NAME?</v>
      </c>
    </row>
    <row r="147" spans="1:15">
      <c r="A147" s="17">
        <v>130</v>
      </c>
      <c r="B147" s="25" t="e">
        <v>#NAME?</v>
      </c>
      <c r="C147" s="25" t="e">
        <v>#NAME?</v>
      </c>
      <c r="D147" s="25" t="e">
        <v>#NAME?</v>
      </c>
      <c r="E147" s="25" t="e">
        <v>#NAME?</v>
      </c>
      <c r="F147" s="25" t="e">
        <v>#NAME?</v>
      </c>
      <c r="G147" s="27" t="e">
        <f t="shared" ref="G147:G210" si="13">SUM(B147:F147)/5</f>
        <v>#NAME?</v>
      </c>
      <c r="I147" s="17">
        <v>130</v>
      </c>
      <c r="J147" s="28" t="e">
        <f t="shared" ref="J147:O162" si="14">J146*(1+B147)</f>
        <v>#NAME?</v>
      </c>
      <c r="K147" s="28" t="e">
        <f t="shared" si="14"/>
        <v>#NAME?</v>
      </c>
      <c r="L147" s="28" t="e">
        <f t="shared" si="14"/>
        <v>#NAME?</v>
      </c>
      <c r="M147" s="28" t="e">
        <f t="shared" si="14"/>
        <v>#NAME?</v>
      </c>
      <c r="N147" s="28" t="e">
        <f t="shared" si="14"/>
        <v>#NAME?</v>
      </c>
      <c r="O147" s="28" t="e">
        <f t="shared" si="14"/>
        <v>#NAME?</v>
      </c>
    </row>
    <row r="148" spans="1:15">
      <c r="A148" s="17">
        <v>131</v>
      </c>
      <c r="B148" s="25" t="e">
        <v>#NAME?</v>
      </c>
      <c r="C148" s="25" t="e">
        <v>#NAME?</v>
      </c>
      <c r="D148" s="25" t="e">
        <v>#NAME?</v>
      </c>
      <c r="E148" s="25" t="e">
        <v>#NAME?</v>
      </c>
      <c r="F148" s="25" t="e">
        <v>#NAME?</v>
      </c>
      <c r="G148" s="27" t="e">
        <f t="shared" si="13"/>
        <v>#NAME?</v>
      </c>
      <c r="I148" s="17">
        <v>131</v>
      </c>
      <c r="J148" s="28" t="e">
        <f t="shared" si="14"/>
        <v>#NAME?</v>
      </c>
      <c r="K148" s="28" t="e">
        <f t="shared" si="14"/>
        <v>#NAME?</v>
      </c>
      <c r="L148" s="28" t="e">
        <f t="shared" si="14"/>
        <v>#NAME?</v>
      </c>
      <c r="M148" s="28" t="e">
        <f t="shared" si="14"/>
        <v>#NAME?</v>
      </c>
      <c r="N148" s="28" t="e">
        <f t="shared" si="14"/>
        <v>#NAME?</v>
      </c>
      <c r="O148" s="28" t="e">
        <f t="shared" si="14"/>
        <v>#NAME?</v>
      </c>
    </row>
    <row r="149" spans="1:15">
      <c r="A149" s="17">
        <v>132</v>
      </c>
      <c r="B149" s="25" t="e">
        <v>#NAME?</v>
      </c>
      <c r="C149" s="25" t="e">
        <v>#NAME?</v>
      </c>
      <c r="D149" s="25" t="e">
        <v>#NAME?</v>
      </c>
      <c r="E149" s="25" t="e">
        <v>#NAME?</v>
      </c>
      <c r="F149" s="25" t="e">
        <v>#NAME?</v>
      </c>
      <c r="G149" s="27" t="e">
        <f t="shared" si="13"/>
        <v>#NAME?</v>
      </c>
      <c r="I149" s="17">
        <v>132</v>
      </c>
      <c r="J149" s="28" t="e">
        <f t="shared" si="14"/>
        <v>#NAME?</v>
      </c>
      <c r="K149" s="28" t="e">
        <f t="shared" si="14"/>
        <v>#NAME?</v>
      </c>
      <c r="L149" s="28" t="e">
        <f t="shared" si="14"/>
        <v>#NAME?</v>
      </c>
      <c r="M149" s="28" t="e">
        <f t="shared" si="14"/>
        <v>#NAME?</v>
      </c>
      <c r="N149" s="28" t="e">
        <f t="shared" si="14"/>
        <v>#NAME?</v>
      </c>
      <c r="O149" s="28" t="e">
        <f t="shared" si="14"/>
        <v>#NAME?</v>
      </c>
    </row>
    <row r="150" spans="1:15">
      <c r="A150" s="17">
        <v>133</v>
      </c>
      <c r="B150" s="25" t="e">
        <v>#NAME?</v>
      </c>
      <c r="C150" s="25" t="e">
        <v>#NAME?</v>
      </c>
      <c r="D150" s="25" t="e">
        <v>#NAME?</v>
      </c>
      <c r="E150" s="25" t="e">
        <v>#NAME?</v>
      </c>
      <c r="F150" s="25" t="e">
        <v>#NAME?</v>
      </c>
      <c r="G150" s="27" t="e">
        <f t="shared" si="13"/>
        <v>#NAME?</v>
      </c>
      <c r="I150" s="17">
        <v>133</v>
      </c>
      <c r="J150" s="28" t="e">
        <f t="shared" si="14"/>
        <v>#NAME?</v>
      </c>
      <c r="K150" s="28" t="e">
        <f t="shared" si="14"/>
        <v>#NAME?</v>
      </c>
      <c r="L150" s="28" t="e">
        <f t="shared" si="14"/>
        <v>#NAME?</v>
      </c>
      <c r="M150" s="28" t="e">
        <f t="shared" si="14"/>
        <v>#NAME?</v>
      </c>
      <c r="N150" s="28" t="e">
        <f t="shared" si="14"/>
        <v>#NAME?</v>
      </c>
      <c r="O150" s="28" t="e">
        <f t="shared" si="14"/>
        <v>#NAME?</v>
      </c>
    </row>
    <row r="151" spans="1:15">
      <c r="A151" s="17">
        <v>134</v>
      </c>
      <c r="B151" s="25" t="e">
        <v>#NAME?</v>
      </c>
      <c r="C151" s="25" t="e">
        <v>#NAME?</v>
      </c>
      <c r="D151" s="25" t="e">
        <v>#NAME?</v>
      </c>
      <c r="E151" s="25" t="e">
        <v>#NAME?</v>
      </c>
      <c r="F151" s="25" t="e">
        <v>#NAME?</v>
      </c>
      <c r="G151" s="27" t="e">
        <f t="shared" si="13"/>
        <v>#NAME?</v>
      </c>
      <c r="I151" s="17">
        <v>134</v>
      </c>
      <c r="J151" s="28" t="e">
        <f t="shared" si="14"/>
        <v>#NAME?</v>
      </c>
      <c r="K151" s="28" t="e">
        <f t="shared" si="14"/>
        <v>#NAME?</v>
      </c>
      <c r="L151" s="28" t="e">
        <f t="shared" si="14"/>
        <v>#NAME?</v>
      </c>
      <c r="M151" s="28" t="e">
        <f t="shared" si="14"/>
        <v>#NAME?</v>
      </c>
      <c r="N151" s="28" t="e">
        <f t="shared" si="14"/>
        <v>#NAME?</v>
      </c>
      <c r="O151" s="28" t="e">
        <f t="shared" si="14"/>
        <v>#NAME?</v>
      </c>
    </row>
    <row r="152" spans="1:15">
      <c r="A152" s="17">
        <v>135</v>
      </c>
      <c r="B152" s="25" t="e">
        <v>#NAME?</v>
      </c>
      <c r="C152" s="25" t="e">
        <v>#NAME?</v>
      </c>
      <c r="D152" s="25" t="e">
        <v>#NAME?</v>
      </c>
      <c r="E152" s="25" t="e">
        <v>#NAME?</v>
      </c>
      <c r="F152" s="25" t="e">
        <v>#NAME?</v>
      </c>
      <c r="G152" s="27" t="e">
        <f t="shared" si="13"/>
        <v>#NAME?</v>
      </c>
      <c r="I152" s="17">
        <v>135</v>
      </c>
      <c r="J152" s="28" t="e">
        <f t="shared" si="14"/>
        <v>#NAME?</v>
      </c>
      <c r="K152" s="28" t="e">
        <f t="shared" si="14"/>
        <v>#NAME?</v>
      </c>
      <c r="L152" s="28" t="e">
        <f t="shared" si="14"/>
        <v>#NAME?</v>
      </c>
      <c r="M152" s="28" t="e">
        <f t="shared" si="14"/>
        <v>#NAME?</v>
      </c>
      <c r="N152" s="28" t="e">
        <f t="shared" si="14"/>
        <v>#NAME?</v>
      </c>
      <c r="O152" s="28" t="e">
        <f t="shared" si="14"/>
        <v>#NAME?</v>
      </c>
    </row>
    <row r="153" spans="1:15">
      <c r="A153" s="17">
        <v>136</v>
      </c>
      <c r="B153" s="25" t="e">
        <v>#NAME?</v>
      </c>
      <c r="C153" s="25" t="e">
        <v>#NAME?</v>
      </c>
      <c r="D153" s="25" t="e">
        <v>#NAME?</v>
      </c>
      <c r="E153" s="25" t="e">
        <v>#NAME?</v>
      </c>
      <c r="F153" s="25" t="e">
        <v>#NAME?</v>
      </c>
      <c r="G153" s="27" t="e">
        <f t="shared" si="13"/>
        <v>#NAME?</v>
      </c>
      <c r="I153" s="17">
        <v>136</v>
      </c>
      <c r="J153" s="28" t="e">
        <f t="shared" si="14"/>
        <v>#NAME?</v>
      </c>
      <c r="K153" s="28" t="e">
        <f t="shared" si="14"/>
        <v>#NAME?</v>
      </c>
      <c r="L153" s="28" t="e">
        <f t="shared" si="14"/>
        <v>#NAME?</v>
      </c>
      <c r="M153" s="28" t="e">
        <f t="shared" si="14"/>
        <v>#NAME?</v>
      </c>
      <c r="N153" s="28" t="e">
        <f t="shared" si="14"/>
        <v>#NAME?</v>
      </c>
      <c r="O153" s="28" t="e">
        <f t="shared" si="14"/>
        <v>#NAME?</v>
      </c>
    </row>
    <row r="154" spans="1:15">
      <c r="A154" s="17">
        <v>137</v>
      </c>
      <c r="B154" s="25" t="e">
        <v>#NAME?</v>
      </c>
      <c r="C154" s="25" t="e">
        <v>#NAME?</v>
      </c>
      <c r="D154" s="25" t="e">
        <v>#NAME?</v>
      </c>
      <c r="E154" s="25" t="e">
        <v>#NAME?</v>
      </c>
      <c r="F154" s="25" t="e">
        <v>#NAME?</v>
      </c>
      <c r="G154" s="27" t="e">
        <f t="shared" si="13"/>
        <v>#NAME?</v>
      </c>
      <c r="I154" s="17">
        <v>137</v>
      </c>
      <c r="J154" s="28" t="e">
        <f t="shared" si="14"/>
        <v>#NAME?</v>
      </c>
      <c r="K154" s="28" t="e">
        <f t="shared" si="14"/>
        <v>#NAME?</v>
      </c>
      <c r="L154" s="28" t="e">
        <f t="shared" si="14"/>
        <v>#NAME?</v>
      </c>
      <c r="M154" s="28" t="e">
        <f t="shared" si="14"/>
        <v>#NAME?</v>
      </c>
      <c r="N154" s="28" t="e">
        <f t="shared" si="14"/>
        <v>#NAME?</v>
      </c>
      <c r="O154" s="28" t="e">
        <f t="shared" si="14"/>
        <v>#NAME?</v>
      </c>
    </row>
    <row r="155" spans="1:15">
      <c r="A155" s="17">
        <v>138</v>
      </c>
      <c r="B155" s="25" t="e">
        <v>#NAME?</v>
      </c>
      <c r="C155" s="25" t="e">
        <v>#NAME?</v>
      </c>
      <c r="D155" s="25" t="e">
        <v>#NAME?</v>
      </c>
      <c r="E155" s="25" t="e">
        <v>#NAME?</v>
      </c>
      <c r="F155" s="25" t="e">
        <v>#NAME?</v>
      </c>
      <c r="G155" s="27" t="e">
        <f t="shared" si="13"/>
        <v>#NAME?</v>
      </c>
      <c r="I155" s="17">
        <v>138</v>
      </c>
      <c r="J155" s="28" t="e">
        <f t="shared" si="14"/>
        <v>#NAME?</v>
      </c>
      <c r="K155" s="28" t="e">
        <f t="shared" si="14"/>
        <v>#NAME?</v>
      </c>
      <c r="L155" s="28" t="e">
        <f t="shared" si="14"/>
        <v>#NAME?</v>
      </c>
      <c r="M155" s="28" t="e">
        <f t="shared" si="14"/>
        <v>#NAME?</v>
      </c>
      <c r="N155" s="28" t="e">
        <f t="shared" si="14"/>
        <v>#NAME?</v>
      </c>
      <c r="O155" s="28" t="e">
        <f t="shared" si="14"/>
        <v>#NAME?</v>
      </c>
    </row>
    <row r="156" spans="1:15">
      <c r="A156" s="17">
        <v>139</v>
      </c>
      <c r="B156" s="25" t="e">
        <v>#NAME?</v>
      </c>
      <c r="C156" s="25" t="e">
        <v>#NAME?</v>
      </c>
      <c r="D156" s="25" t="e">
        <v>#NAME?</v>
      </c>
      <c r="E156" s="25" t="e">
        <v>#NAME?</v>
      </c>
      <c r="F156" s="25" t="e">
        <v>#NAME?</v>
      </c>
      <c r="G156" s="27" t="e">
        <f t="shared" si="13"/>
        <v>#NAME?</v>
      </c>
      <c r="I156" s="17">
        <v>139</v>
      </c>
      <c r="J156" s="28" t="e">
        <f t="shared" si="14"/>
        <v>#NAME?</v>
      </c>
      <c r="K156" s="28" t="e">
        <f t="shared" si="14"/>
        <v>#NAME?</v>
      </c>
      <c r="L156" s="28" t="e">
        <f t="shared" si="14"/>
        <v>#NAME?</v>
      </c>
      <c r="M156" s="28" t="e">
        <f t="shared" si="14"/>
        <v>#NAME?</v>
      </c>
      <c r="N156" s="28" t="e">
        <f t="shared" si="14"/>
        <v>#NAME?</v>
      </c>
      <c r="O156" s="28" t="e">
        <f t="shared" si="14"/>
        <v>#NAME?</v>
      </c>
    </row>
    <row r="157" spans="1:15">
      <c r="A157" s="17">
        <v>140</v>
      </c>
      <c r="B157" s="25" t="e">
        <v>#NAME?</v>
      </c>
      <c r="C157" s="25" t="e">
        <v>#NAME?</v>
      </c>
      <c r="D157" s="25" t="e">
        <v>#NAME?</v>
      </c>
      <c r="E157" s="25" t="e">
        <v>#NAME?</v>
      </c>
      <c r="F157" s="25" t="e">
        <v>#NAME?</v>
      </c>
      <c r="G157" s="27" t="e">
        <f t="shared" si="13"/>
        <v>#NAME?</v>
      </c>
      <c r="I157" s="17">
        <v>140</v>
      </c>
      <c r="J157" s="28" t="e">
        <f t="shared" si="14"/>
        <v>#NAME?</v>
      </c>
      <c r="K157" s="28" t="e">
        <f t="shared" si="14"/>
        <v>#NAME?</v>
      </c>
      <c r="L157" s="28" t="e">
        <f t="shared" si="14"/>
        <v>#NAME?</v>
      </c>
      <c r="M157" s="28" t="e">
        <f t="shared" si="14"/>
        <v>#NAME?</v>
      </c>
      <c r="N157" s="28" t="e">
        <f t="shared" si="14"/>
        <v>#NAME?</v>
      </c>
      <c r="O157" s="28" t="e">
        <f t="shared" si="14"/>
        <v>#NAME?</v>
      </c>
    </row>
    <row r="158" spans="1:15">
      <c r="A158" s="17">
        <v>141</v>
      </c>
      <c r="B158" s="25" t="e">
        <v>#NAME?</v>
      </c>
      <c r="C158" s="25" t="e">
        <v>#NAME?</v>
      </c>
      <c r="D158" s="25" t="e">
        <v>#NAME?</v>
      </c>
      <c r="E158" s="25" t="e">
        <v>#NAME?</v>
      </c>
      <c r="F158" s="25" t="e">
        <v>#NAME?</v>
      </c>
      <c r="G158" s="27" t="e">
        <f t="shared" si="13"/>
        <v>#NAME?</v>
      </c>
      <c r="I158" s="17">
        <v>141</v>
      </c>
      <c r="J158" s="28" t="e">
        <f t="shared" si="14"/>
        <v>#NAME?</v>
      </c>
      <c r="K158" s="28" t="e">
        <f t="shared" si="14"/>
        <v>#NAME?</v>
      </c>
      <c r="L158" s="28" t="e">
        <f t="shared" si="14"/>
        <v>#NAME?</v>
      </c>
      <c r="M158" s="28" t="e">
        <f t="shared" si="14"/>
        <v>#NAME?</v>
      </c>
      <c r="N158" s="28" t="e">
        <f t="shared" si="14"/>
        <v>#NAME?</v>
      </c>
      <c r="O158" s="28" t="e">
        <f t="shared" si="14"/>
        <v>#NAME?</v>
      </c>
    </row>
    <row r="159" spans="1:15">
      <c r="A159" s="17">
        <v>142</v>
      </c>
      <c r="B159" s="25" t="e">
        <v>#NAME?</v>
      </c>
      <c r="C159" s="25" t="e">
        <v>#NAME?</v>
      </c>
      <c r="D159" s="25" t="e">
        <v>#NAME?</v>
      </c>
      <c r="E159" s="25" t="e">
        <v>#NAME?</v>
      </c>
      <c r="F159" s="25" t="e">
        <v>#NAME?</v>
      </c>
      <c r="G159" s="27" t="e">
        <f t="shared" si="13"/>
        <v>#NAME?</v>
      </c>
      <c r="I159" s="17">
        <v>142</v>
      </c>
      <c r="J159" s="28" t="e">
        <f t="shared" si="14"/>
        <v>#NAME?</v>
      </c>
      <c r="K159" s="28" t="e">
        <f t="shared" si="14"/>
        <v>#NAME?</v>
      </c>
      <c r="L159" s="28" t="e">
        <f t="shared" si="14"/>
        <v>#NAME?</v>
      </c>
      <c r="M159" s="28" t="e">
        <f t="shared" si="14"/>
        <v>#NAME?</v>
      </c>
      <c r="N159" s="28" t="e">
        <f t="shared" si="14"/>
        <v>#NAME?</v>
      </c>
      <c r="O159" s="28" t="e">
        <f t="shared" si="14"/>
        <v>#NAME?</v>
      </c>
    </row>
    <row r="160" spans="1:15">
      <c r="A160" s="17">
        <v>143</v>
      </c>
      <c r="B160" s="25" t="e">
        <v>#NAME?</v>
      </c>
      <c r="C160" s="25" t="e">
        <v>#NAME?</v>
      </c>
      <c r="D160" s="25" t="e">
        <v>#NAME?</v>
      </c>
      <c r="E160" s="25" t="e">
        <v>#NAME?</v>
      </c>
      <c r="F160" s="25" t="e">
        <v>#NAME?</v>
      </c>
      <c r="G160" s="27" t="e">
        <f t="shared" si="13"/>
        <v>#NAME?</v>
      </c>
      <c r="I160" s="17">
        <v>143</v>
      </c>
      <c r="J160" s="28" t="e">
        <f t="shared" si="14"/>
        <v>#NAME?</v>
      </c>
      <c r="K160" s="28" t="e">
        <f t="shared" si="14"/>
        <v>#NAME?</v>
      </c>
      <c r="L160" s="28" t="e">
        <f t="shared" si="14"/>
        <v>#NAME?</v>
      </c>
      <c r="M160" s="28" t="e">
        <f t="shared" si="14"/>
        <v>#NAME?</v>
      </c>
      <c r="N160" s="28" t="e">
        <f t="shared" si="14"/>
        <v>#NAME?</v>
      </c>
      <c r="O160" s="28" t="e">
        <f t="shared" si="14"/>
        <v>#NAME?</v>
      </c>
    </row>
    <row r="161" spans="1:15">
      <c r="A161" s="17">
        <v>144</v>
      </c>
      <c r="B161" s="25" t="e">
        <v>#NAME?</v>
      </c>
      <c r="C161" s="25" t="e">
        <v>#NAME?</v>
      </c>
      <c r="D161" s="25" t="e">
        <v>#NAME?</v>
      </c>
      <c r="E161" s="25" t="e">
        <v>#NAME?</v>
      </c>
      <c r="F161" s="25" t="e">
        <v>#NAME?</v>
      </c>
      <c r="G161" s="27" t="e">
        <f t="shared" si="13"/>
        <v>#NAME?</v>
      </c>
      <c r="I161" s="17">
        <v>144</v>
      </c>
      <c r="J161" s="28" t="e">
        <f t="shared" si="14"/>
        <v>#NAME?</v>
      </c>
      <c r="K161" s="28" t="e">
        <f t="shared" si="14"/>
        <v>#NAME?</v>
      </c>
      <c r="L161" s="28" t="e">
        <f t="shared" si="14"/>
        <v>#NAME?</v>
      </c>
      <c r="M161" s="28" t="e">
        <f t="shared" si="14"/>
        <v>#NAME?</v>
      </c>
      <c r="N161" s="28" t="e">
        <f t="shared" si="14"/>
        <v>#NAME?</v>
      </c>
      <c r="O161" s="28" t="e">
        <f t="shared" si="14"/>
        <v>#NAME?</v>
      </c>
    </row>
    <row r="162" spans="1:15">
      <c r="A162" s="17">
        <v>145</v>
      </c>
      <c r="B162" s="25" t="e">
        <v>#NAME?</v>
      </c>
      <c r="C162" s="25" t="e">
        <v>#NAME?</v>
      </c>
      <c r="D162" s="25" t="e">
        <v>#NAME?</v>
      </c>
      <c r="E162" s="25" t="e">
        <v>#NAME?</v>
      </c>
      <c r="F162" s="25" t="e">
        <v>#NAME?</v>
      </c>
      <c r="G162" s="27" t="e">
        <f t="shared" si="13"/>
        <v>#NAME?</v>
      </c>
      <c r="I162" s="17">
        <v>145</v>
      </c>
      <c r="J162" s="28" t="e">
        <f t="shared" si="14"/>
        <v>#NAME?</v>
      </c>
      <c r="K162" s="28" t="e">
        <f t="shared" si="14"/>
        <v>#NAME?</v>
      </c>
      <c r="L162" s="28" t="e">
        <f t="shared" si="14"/>
        <v>#NAME?</v>
      </c>
      <c r="M162" s="28" t="e">
        <f t="shared" si="14"/>
        <v>#NAME?</v>
      </c>
      <c r="N162" s="28" t="e">
        <f t="shared" si="14"/>
        <v>#NAME?</v>
      </c>
      <c r="O162" s="28" t="e">
        <f t="shared" si="14"/>
        <v>#NAME?</v>
      </c>
    </row>
    <row r="163" spans="1:15">
      <c r="A163" s="17">
        <v>146</v>
      </c>
      <c r="B163" s="25" t="e">
        <v>#NAME?</v>
      </c>
      <c r="C163" s="25" t="e">
        <v>#NAME?</v>
      </c>
      <c r="D163" s="25" t="e">
        <v>#NAME?</v>
      </c>
      <c r="E163" s="25" t="e">
        <v>#NAME?</v>
      </c>
      <c r="F163" s="25" t="e">
        <v>#NAME?</v>
      </c>
      <c r="G163" s="27" t="e">
        <f t="shared" si="13"/>
        <v>#NAME?</v>
      </c>
      <c r="I163" s="17">
        <v>146</v>
      </c>
      <c r="J163" s="28" t="e">
        <f t="shared" ref="J163:O178" si="15">J162*(1+B163)</f>
        <v>#NAME?</v>
      </c>
      <c r="K163" s="28" t="e">
        <f t="shared" si="15"/>
        <v>#NAME?</v>
      </c>
      <c r="L163" s="28" t="e">
        <f t="shared" si="15"/>
        <v>#NAME?</v>
      </c>
      <c r="M163" s="28" t="e">
        <f t="shared" si="15"/>
        <v>#NAME?</v>
      </c>
      <c r="N163" s="28" t="e">
        <f t="shared" si="15"/>
        <v>#NAME?</v>
      </c>
      <c r="O163" s="28" t="e">
        <f t="shared" si="15"/>
        <v>#NAME?</v>
      </c>
    </row>
    <row r="164" spans="1:15">
      <c r="A164" s="17">
        <v>147</v>
      </c>
      <c r="B164" s="25" t="e">
        <v>#NAME?</v>
      </c>
      <c r="C164" s="25" t="e">
        <v>#NAME?</v>
      </c>
      <c r="D164" s="25" t="e">
        <v>#NAME?</v>
      </c>
      <c r="E164" s="25" t="e">
        <v>#NAME?</v>
      </c>
      <c r="F164" s="25" t="e">
        <v>#NAME?</v>
      </c>
      <c r="G164" s="27" t="e">
        <f t="shared" si="13"/>
        <v>#NAME?</v>
      </c>
      <c r="I164" s="17">
        <v>147</v>
      </c>
      <c r="J164" s="28" t="e">
        <f t="shared" si="15"/>
        <v>#NAME?</v>
      </c>
      <c r="K164" s="28" t="e">
        <f t="shared" si="15"/>
        <v>#NAME?</v>
      </c>
      <c r="L164" s="28" t="e">
        <f t="shared" si="15"/>
        <v>#NAME?</v>
      </c>
      <c r="M164" s="28" t="e">
        <f t="shared" si="15"/>
        <v>#NAME?</v>
      </c>
      <c r="N164" s="28" t="e">
        <f t="shared" si="15"/>
        <v>#NAME?</v>
      </c>
      <c r="O164" s="28" t="e">
        <f t="shared" si="15"/>
        <v>#NAME?</v>
      </c>
    </row>
    <row r="165" spans="1:15">
      <c r="A165" s="17">
        <v>148</v>
      </c>
      <c r="B165" s="25" t="e">
        <v>#NAME?</v>
      </c>
      <c r="C165" s="25" t="e">
        <v>#NAME?</v>
      </c>
      <c r="D165" s="25" t="e">
        <v>#NAME?</v>
      </c>
      <c r="E165" s="25" t="e">
        <v>#NAME?</v>
      </c>
      <c r="F165" s="25" t="e">
        <v>#NAME?</v>
      </c>
      <c r="G165" s="27" t="e">
        <f t="shared" si="13"/>
        <v>#NAME?</v>
      </c>
      <c r="I165" s="17">
        <v>148</v>
      </c>
      <c r="J165" s="28" t="e">
        <f t="shared" si="15"/>
        <v>#NAME?</v>
      </c>
      <c r="K165" s="28" t="e">
        <f t="shared" si="15"/>
        <v>#NAME?</v>
      </c>
      <c r="L165" s="28" t="e">
        <f t="shared" si="15"/>
        <v>#NAME?</v>
      </c>
      <c r="M165" s="28" t="e">
        <f t="shared" si="15"/>
        <v>#NAME?</v>
      </c>
      <c r="N165" s="28" t="e">
        <f t="shared" si="15"/>
        <v>#NAME?</v>
      </c>
      <c r="O165" s="28" t="e">
        <f t="shared" si="15"/>
        <v>#NAME?</v>
      </c>
    </row>
    <row r="166" spans="1:15">
      <c r="A166" s="17">
        <v>149</v>
      </c>
      <c r="B166" s="25" t="e">
        <v>#NAME?</v>
      </c>
      <c r="C166" s="25" t="e">
        <v>#NAME?</v>
      </c>
      <c r="D166" s="25" t="e">
        <v>#NAME?</v>
      </c>
      <c r="E166" s="25" t="e">
        <v>#NAME?</v>
      </c>
      <c r="F166" s="25" t="e">
        <v>#NAME?</v>
      </c>
      <c r="G166" s="27" t="e">
        <f t="shared" si="13"/>
        <v>#NAME?</v>
      </c>
      <c r="I166" s="17">
        <v>149</v>
      </c>
      <c r="J166" s="28" t="e">
        <f t="shared" si="15"/>
        <v>#NAME?</v>
      </c>
      <c r="K166" s="28" t="e">
        <f t="shared" si="15"/>
        <v>#NAME?</v>
      </c>
      <c r="L166" s="28" t="e">
        <f t="shared" si="15"/>
        <v>#NAME?</v>
      </c>
      <c r="M166" s="28" t="e">
        <f t="shared" si="15"/>
        <v>#NAME?</v>
      </c>
      <c r="N166" s="28" t="e">
        <f t="shared" si="15"/>
        <v>#NAME?</v>
      </c>
      <c r="O166" s="28" t="e">
        <f t="shared" si="15"/>
        <v>#NAME?</v>
      </c>
    </row>
    <row r="167" spans="1:15">
      <c r="A167" s="17">
        <v>150</v>
      </c>
      <c r="B167" s="25" t="e">
        <v>#NAME?</v>
      </c>
      <c r="C167" s="25" t="e">
        <v>#NAME?</v>
      </c>
      <c r="D167" s="25" t="e">
        <v>#NAME?</v>
      </c>
      <c r="E167" s="25" t="e">
        <v>#NAME?</v>
      </c>
      <c r="F167" s="25" t="e">
        <v>#NAME?</v>
      </c>
      <c r="G167" s="27" t="e">
        <f t="shared" si="13"/>
        <v>#NAME?</v>
      </c>
      <c r="I167" s="17">
        <v>150</v>
      </c>
      <c r="J167" s="28" t="e">
        <f t="shared" si="15"/>
        <v>#NAME?</v>
      </c>
      <c r="K167" s="28" t="e">
        <f t="shared" si="15"/>
        <v>#NAME?</v>
      </c>
      <c r="L167" s="28" t="e">
        <f t="shared" si="15"/>
        <v>#NAME?</v>
      </c>
      <c r="M167" s="28" t="e">
        <f t="shared" si="15"/>
        <v>#NAME?</v>
      </c>
      <c r="N167" s="28" t="e">
        <f t="shared" si="15"/>
        <v>#NAME?</v>
      </c>
      <c r="O167" s="28" t="e">
        <f t="shared" si="15"/>
        <v>#NAME?</v>
      </c>
    </row>
    <row r="168" spans="1:15">
      <c r="A168" s="17">
        <v>151</v>
      </c>
      <c r="B168" s="25" t="e">
        <v>#NAME?</v>
      </c>
      <c r="C168" s="25" t="e">
        <v>#NAME?</v>
      </c>
      <c r="D168" s="25" t="e">
        <v>#NAME?</v>
      </c>
      <c r="E168" s="25" t="e">
        <v>#NAME?</v>
      </c>
      <c r="F168" s="25" t="e">
        <v>#NAME?</v>
      </c>
      <c r="G168" s="27" t="e">
        <f t="shared" si="13"/>
        <v>#NAME?</v>
      </c>
      <c r="I168" s="17">
        <v>151</v>
      </c>
      <c r="J168" s="28" t="e">
        <f t="shared" si="15"/>
        <v>#NAME?</v>
      </c>
      <c r="K168" s="28" t="e">
        <f t="shared" si="15"/>
        <v>#NAME?</v>
      </c>
      <c r="L168" s="28" t="e">
        <f t="shared" si="15"/>
        <v>#NAME?</v>
      </c>
      <c r="M168" s="28" t="e">
        <f t="shared" si="15"/>
        <v>#NAME?</v>
      </c>
      <c r="N168" s="28" t="e">
        <f t="shared" si="15"/>
        <v>#NAME?</v>
      </c>
      <c r="O168" s="28" t="e">
        <f t="shared" si="15"/>
        <v>#NAME?</v>
      </c>
    </row>
    <row r="169" spans="1:15">
      <c r="A169" s="17">
        <v>152</v>
      </c>
      <c r="B169" s="25" t="e">
        <v>#NAME?</v>
      </c>
      <c r="C169" s="25" t="e">
        <v>#NAME?</v>
      </c>
      <c r="D169" s="25" t="e">
        <v>#NAME?</v>
      </c>
      <c r="E169" s="25" t="e">
        <v>#NAME?</v>
      </c>
      <c r="F169" s="25" t="e">
        <v>#NAME?</v>
      </c>
      <c r="G169" s="27" t="e">
        <f t="shared" si="13"/>
        <v>#NAME?</v>
      </c>
      <c r="I169" s="17">
        <v>152</v>
      </c>
      <c r="J169" s="28" t="e">
        <f t="shared" si="15"/>
        <v>#NAME?</v>
      </c>
      <c r="K169" s="28" t="e">
        <f t="shared" si="15"/>
        <v>#NAME?</v>
      </c>
      <c r="L169" s="28" t="e">
        <f t="shared" si="15"/>
        <v>#NAME?</v>
      </c>
      <c r="M169" s="28" t="e">
        <f t="shared" si="15"/>
        <v>#NAME?</v>
      </c>
      <c r="N169" s="28" t="e">
        <f t="shared" si="15"/>
        <v>#NAME?</v>
      </c>
      <c r="O169" s="28" t="e">
        <f t="shared" si="15"/>
        <v>#NAME?</v>
      </c>
    </row>
    <row r="170" spans="1:15">
      <c r="A170" s="17">
        <v>153</v>
      </c>
      <c r="B170" s="25" t="e">
        <v>#NAME?</v>
      </c>
      <c r="C170" s="25" t="e">
        <v>#NAME?</v>
      </c>
      <c r="D170" s="25" t="e">
        <v>#NAME?</v>
      </c>
      <c r="E170" s="25" t="e">
        <v>#NAME?</v>
      </c>
      <c r="F170" s="25" t="e">
        <v>#NAME?</v>
      </c>
      <c r="G170" s="27" t="e">
        <f t="shared" si="13"/>
        <v>#NAME?</v>
      </c>
      <c r="I170" s="17">
        <v>153</v>
      </c>
      <c r="J170" s="28" t="e">
        <f t="shared" si="15"/>
        <v>#NAME?</v>
      </c>
      <c r="K170" s="28" t="e">
        <f t="shared" si="15"/>
        <v>#NAME?</v>
      </c>
      <c r="L170" s="28" t="e">
        <f t="shared" si="15"/>
        <v>#NAME?</v>
      </c>
      <c r="M170" s="28" t="e">
        <f t="shared" si="15"/>
        <v>#NAME?</v>
      </c>
      <c r="N170" s="28" t="e">
        <f t="shared" si="15"/>
        <v>#NAME?</v>
      </c>
      <c r="O170" s="28" t="e">
        <f t="shared" si="15"/>
        <v>#NAME?</v>
      </c>
    </row>
    <row r="171" spans="1:15">
      <c r="A171" s="17">
        <v>154</v>
      </c>
      <c r="B171" s="25" t="e">
        <v>#NAME?</v>
      </c>
      <c r="C171" s="25" t="e">
        <v>#NAME?</v>
      </c>
      <c r="D171" s="25" t="e">
        <v>#NAME?</v>
      </c>
      <c r="E171" s="25" t="e">
        <v>#NAME?</v>
      </c>
      <c r="F171" s="25" t="e">
        <v>#NAME?</v>
      </c>
      <c r="G171" s="27" t="e">
        <f t="shared" si="13"/>
        <v>#NAME?</v>
      </c>
      <c r="I171" s="17">
        <v>154</v>
      </c>
      <c r="J171" s="28" t="e">
        <f t="shared" si="15"/>
        <v>#NAME?</v>
      </c>
      <c r="K171" s="28" t="e">
        <f t="shared" si="15"/>
        <v>#NAME?</v>
      </c>
      <c r="L171" s="28" t="e">
        <f t="shared" si="15"/>
        <v>#NAME?</v>
      </c>
      <c r="M171" s="28" t="e">
        <f t="shared" si="15"/>
        <v>#NAME?</v>
      </c>
      <c r="N171" s="28" t="e">
        <f t="shared" si="15"/>
        <v>#NAME?</v>
      </c>
      <c r="O171" s="28" t="e">
        <f t="shared" si="15"/>
        <v>#NAME?</v>
      </c>
    </row>
    <row r="172" spans="1:15">
      <c r="A172" s="17">
        <v>155</v>
      </c>
      <c r="B172" s="25" t="e">
        <v>#NAME?</v>
      </c>
      <c r="C172" s="25" t="e">
        <v>#NAME?</v>
      </c>
      <c r="D172" s="25" t="e">
        <v>#NAME?</v>
      </c>
      <c r="E172" s="25" t="e">
        <v>#NAME?</v>
      </c>
      <c r="F172" s="25" t="e">
        <v>#NAME?</v>
      </c>
      <c r="G172" s="27" t="e">
        <f t="shared" si="13"/>
        <v>#NAME?</v>
      </c>
      <c r="I172" s="17">
        <v>155</v>
      </c>
      <c r="J172" s="28" t="e">
        <f t="shared" si="15"/>
        <v>#NAME?</v>
      </c>
      <c r="K172" s="28" t="e">
        <f t="shared" si="15"/>
        <v>#NAME?</v>
      </c>
      <c r="L172" s="28" t="e">
        <f t="shared" si="15"/>
        <v>#NAME?</v>
      </c>
      <c r="M172" s="28" t="e">
        <f t="shared" si="15"/>
        <v>#NAME?</v>
      </c>
      <c r="N172" s="28" t="e">
        <f t="shared" si="15"/>
        <v>#NAME?</v>
      </c>
      <c r="O172" s="28" t="e">
        <f t="shared" si="15"/>
        <v>#NAME?</v>
      </c>
    </row>
    <row r="173" spans="1:15">
      <c r="A173" s="17">
        <v>156</v>
      </c>
      <c r="B173" s="25" t="e">
        <v>#NAME?</v>
      </c>
      <c r="C173" s="25" t="e">
        <v>#NAME?</v>
      </c>
      <c r="D173" s="25" t="e">
        <v>#NAME?</v>
      </c>
      <c r="E173" s="25" t="e">
        <v>#NAME?</v>
      </c>
      <c r="F173" s="25" t="e">
        <v>#NAME?</v>
      </c>
      <c r="G173" s="27" t="e">
        <f t="shared" si="13"/>
        <v>#NAME?</v>
      </c>
      <c r="I173" s="17">
        <v>156</v>
      </c>
      <c r="J173" s="28" t="e">
        <f t="shared" si="15"/>
        <v>#NAME?</v>
      </c>
      <c r="K173" s="28" t="e">
        <f t="shared" si="15"/>
        <v>#NAME?</v>
      </c>
      <c r="L173" s="28" t="e">
        <f t="shared" si="15"/>
        <v>#NAME?</v>
      </c>
      <c r="M173" s="28" t="e">
        <f t="shared" si="15"/>
        <v>#NAME?</v>
      </c>
      <c r="N173" s="28" t="e">
        <f t="shared" si="15"/>
        <v>#NAME?</v>
      </c>
      <c r="O173" s="28" t="e">
        <f t="shared" si="15"/>
        <v>#NAME?</v>
      </c>
    </row>
    <row r="174" spans="1:15">
      <c r="A174" s="17">
        <v>157</v>
      </c>
      <c r="B174" s="25" t="e">
        <v>#NAME?</v>
      </c>
      <c r="C174" s="25" t="e">
        <v>#NAME?</v>
      </c>
      <c r="D174" s="25" t="e">
        <v>#NAME?</v>
      </c>
      <c r="E174" s="25" t="e">
        <v>#NAME?</v>
      </c>
      <c r="F174" s="25" t="e">
        <v>#NAME?</v>
      </c>
      <c r="G174" s="27" t="e">
        <f t="shared" si="13"/>
        <v>#NAME?</v>
      </c>
      <c r="I174" s="17">
        <v>157</v>
      </c>
      <c r="J174" s="28" t="e">
        <f t="shared" si="15"/>
        <v>#NAME?</v>
      </c>
      <c r="K174" s="28" t="e">
        <f t="shared" si="15"/>
        <v>#NAME?</v>
      </c>
      <c r="L174" s="28" t="e">
        <f t="shared" si="15"/>
        <v>#NAME?</v>
      </c>
      <c r="M174" s="28" t="e">
        <f t="shared" si="15"/>
        <v>#NAME?</v>
      </c>
      <c r="N174" s="28" t="e">
        <f t="shared" si="15"/>
        <v>#NAME?</v>
      </c>
      <c r="O174" s="28" t="e">
        <f t="shared" si="15"/>
        <v>#NAME?</v>
      </c>
    </row>
    <row r="175" spans="1:15">
      <c r="A175" s="17">
        <v>158</v>
      </c>
      <c r="B175" s="25" t="e">
        <v>#NAME?</v>
      </c>
      <c r="C175" s="25" t="e">
        <v>#NAME?</v>
      </c>
      <c r="D175" s="25" t="e">
        <v>#NAME?</v>
      </c>
      <c r="E175" s="25" t="e">
        <v>#NAME?</v>
      </c>
      <c r="F175" s="25" t="e">
        <v>#NAME?</v>
      </c>
      <c r="G175" s="27" t="e">
        <f t="shared" si="13"/>
        <v>#NAME?</v>
      </c>
      <c r="I175" s="17">
        <v>158</v>
      </c>
      <c r="J175" s="28" t="e">
        <f t="shared" si="15"/>
        <v>#NAME?</v>
      </c>
      <c r="K175" s="28" t="e">
        <f t="shared" si="15"/>
        <v>#NAME?</v>
      </c>
      <c r="L175" s="28" t="e">
        <f t="shared" si="15"/>
        <v>#NAME?</v>
      </c>
      <c r="M175" s="28" t="e">
        <f t="shared" si="15"/>
        <v>#NAME?</v>
      </c>
      <c r="N175" s="28" t="e">
        <f t="shared" si="15"/>
        <v>#NAME?</v>
      </c>
      <c r="O175" s="28" t="e">
        <f t="shared" si="15"/>
        <v>#NAME?</v>
      </c>
    </row>
    <row r="176" spans="1:15">
      <c r="A176" s="17">
        <v>159</v>
      </c>
      <c r="B176" s="25" t="e">
        <v>#NAME?</v>
      </c>
      <c r="C176" s="25" t="e">
        <v>#NAME?</v>
      </c>
      <c r="D176" s="25" t="e">
        <v>#NAME?</v>
      </c>
      <c r="E176" s="25" t="e">
        <v>#NAME?</v>
      </c>
      <c r="F176" s="25" t="e">
        <v>#NAME?</v>
      </c>
      <c r="G176" s="27" t="e">
        <f t="shared" si="13"/>
        <v>#NAME?</v>
      </c>
      <c r="I176" s="17">
        <v>159</v>
      </c>
      <c r="J176" s="28" t="e">
        <f t="shared" si="15"/>
        <v>#NAME?</v>
      </c>
      <c r="K176" s="28" t="e">
        <f t="shared" si="15"/>
        <v>#NAME?</v>
      </c>
      <c r="L176" s="28" t="e">
        <f t="shared" si="15"/>
        <v>#NAME?</v>
      </c>
      <c r="M176" s="28" t="e">
        <f t="shared" si="15"/>
        <v>#NAME?</v>
      </c>
      <c r="N176" s="28" t="e">
        <f t="shared" si="15"/>
        <v>#NAME?</v>
      </c>
      <c r="O176" s="28" t="e">
        <f t="shared" si="15"/>
        <v>#NAME?</v>
      </c>
    </row>
    <row r="177" spans="1:15">
      <c r="A177" s="17">
        <v>160</v>
      </c>
      <c r="B177" s="25" t="e">
        <v>#NAME?</v>
      </c>
      <c r="C177" s="25" t="e">
        <v>#NAME?</v>
      </c>
      <c r="D177" s="25" t="e">
        <v>#NAME?</v>
      </c>
      <c r="E177" s="25" t="e">
        <v>#NAME?</v>
      </c>
      <c r="F177" s="25" t="e">
        <v>#NAME?</v>
      </c>
      <c r="G177" s="27" t="e">
        <f t="shared" si="13"/>
        <v>#NAME?</v>
      </c>
      <c r="I177" s="17">
        <v>160</v>
      </c>
      <c r="J177" s="28" t="e">
        <f t="shared" si="15"/>
        <v>#NAME?</v>
      </c>
      <c r="K177" s="28" t="e">
        <f t="shared" si="15"/>
        <v>#NAME?</v>
      </c>
      <c r="L177" s="28" t="e">
        <f t="shared" si="15"/>
        <v>#NAME?</v>
      </c>
      <c r="M177" s="28" t="e">
        <f t="shared" si="15"/>
        <v>#NAME?</v>
      </c>
      <c r="N177" s="28" t="e">
        <f t="shared" si="15"/>
        <v>#NAME?</v>
      </c>
      <c r="O177" s="28" t="e">
        <f t="shared" si="15"/>
        <v>#NAME?</v>
      </c>
    </row>
    <row r="178" spans="1:15">
      <c r="A178" s="17">
        <v>161</v>
      </c>
      <c r="B178" s="25" t="e">
        <v>#NAME?</v>
      </c>
      <c r="C178" s="25" t="e">
        <v>#NAME?</v>
      </c>
      <c r="D178" s="25" t="e">
        <v>#NAME?</v>
      </c>
      <c r="E178" s="25" t="e">
        <v>#NAME?</v>
      </c>
      <c r="F178" s="25" t="e">
        <v>#NAME?</v>
      </c>
      <c r="G178" s="27" t="e">
        <f t="shared" si="13"/>
        <v>#NAME?</v>
      </c>
      <c r="I178" s="17">
        <v>161</v>
      </c>
      <c r="J178" s="28" t="e">
        <f t="shared" si="15"/>
        <v>#NAME?</v>
      </c>
      <c r="K178" s="28" t="e">
        <f t="shared" si="15"/>
        <v>#NAME?</v>
      </c>
      <c r="L178" s="28" t="e">
        <f t="shared" si="15"/>
        <v>#NAME?</v>
      </c>
      <c r="M178" s="28" t="e">
        <f t="shared" si="15"/>
        <v>#NAME?</v>
      </c>
      <c r="N178" s="28" t="e">
        <f t="shared" si="15"/>
        <v>#NAME?</v>
      </c>
      <c r="O178" s="28" t="e">
        <f t="shared" si="15"/>
        <v>#NAME?</v>
      </c>
    </row>
    <row r="179" spans="1:15">
      <c r="A179" s="17">
        <v>162</v>
      </c>
      <c r="B179" s="25" t="e">
        <v>#NAME?</v>
      </c>
      <c r="C179" s="25" t="e">
        <v>#NAME?</v>
      </c>
      <c r="D179" s="25" t="e">
        <v>#NAME?</v>
      </c>
      <c r="E179" s="25" t="e">
        <v>#NAME?</v>
      </c>
      <c r="F179" s="25" t="e">
        <v>#NAME?</v>
      </c>
      <c r="G179" s="27" t="e">
        <f t="shared" si="13"/>
        <v>#NAME?</v>
      </c>
      <c r="I179" s="17">
        <v>162</v>
      </c>
      <c r="J179" s="28" t="e">
        <f t="shared" ref="J179:O194" si="16">J178*(1+B179)</f>
        <v>#NAME?</v>
      </c>
      <c r="K179" s="28" t="e">
        <f t="shared" si="16"/>
        <v>#NAME?</v>
      </c>
      <c r="L179" s="28" t="e">
        <f t="shared" si="16"/>
        <v>#NAME?</v>
      </c>
      <c r="M179" s="28" t="e">
        <f t="shared" si="16"/>
        <v>#NAME?</v>
      </c>
      <c r="N179" s="28" t="e">
        <f t="shared" si="16"/>
        <v>#NAME?</v>
      </c>
      <c r="O179" s="28" t="e">
        <f t="shared" si="16"/>
        <v>#NAME?</v>
      </c>
    </row>
    <row r="180" spans="1:15">
      <c r="A180" s="17">
        <v>163</v>
      </c>
      <c r="B180" s="25" t="e">
        <v>#NAME?</v>
      </c>
      <c r="C180" s="25" t="e">
        <v>#NAME?</v>
      </c>
      <c r="D180" s="25" t="e">
        <v>#NAME?</v>
      </c>
      <c r="E180" s="25" t="e">
        <v>#NAME?</v>
      </c>
      <c r="F180" s="25" t="e">
        <v>#NAME?</v>
      </c>
      <c r="G180" s="27" t="e">
        <f t="shared" si="13"/>
        <v>#NAME?</v>
      </c>
      <c r="I180" s="17">
        <v>163</v>
      </c>
      <c r="J180" s="28" t="e">
        <f t="shared" si="16"/>
        <v>#NAME?</v>
      </c>
      <c r="K180" s="28" t="e">
        <f t="shared" si="16"/>
        <v>#NAME?</v>
      </c>
      <c r="L180" s="28" t="e">
        <f t="shared" si="16"/>
        <v>#NAME?</v>
      </c>
      <c r="M180" s="28" t="e">
        <f t="shared" si="16"/>
        <v>#NAME?</v>
      </c>
      <c r="N180" s="28" t="e">
        <f t="shared" si="16"/>
        <v>#NAME?</v>
      </c>
      <c r="O180" s="28" t="e">
        <f t="shared" si="16"/>
        <v>#NAME?</v>
      </c>
    </row>
    <row r="181" spans="1:15">
      <c r="A181" s="17">
        <v>164</v>
      </c>
      <c r="B181" s="25" t="e">
        <v>#NAME?</v>
      </c>
      <c r="C181" s="25" t="e">
        <v>#NAME?</v>
      </c>
      <c r="D181" s="25" t="e">
        <v>#NAME?</v>
      </c>
      <c r="E181" s="25" t="e">
        <v>#NAME?</v>
      </c>
      <c r="F181" s="25" t="e">
        <v>#NAME?</v>
      </c>
      <c r="G181" s="27" t="e">
        <f t="shared" si="13"/>
        <v>#NAME?</v>
      </c>
      <c r="I181" s="17">
        <v>164</v>
      </c>
      <c r="J181" s="28" t="e">
        <f t="shared" si="16"/>
        <v>#NAME?</v>
      </c>
      <c r="K181" s="28" t="e">
        <f t="shared" si="16"/>
        <v>#NAME?</v>
      </c>
      <c r="L181" s="28" t="e">
        <f t="shared" si="16"/>
        <v>#NAME?</v>
      </c>
      <c r="M181" s="28" t="e">
        <f t="shared" si="16"/>
        <v>#NAME?</v>
      </c>
      <c r="N181" s="28" t="e">
        <f t="shared" si="16"/>
        <v>#NAME?</v>
      </c>
      <c r="O181" s="28" t="e">
        <f t="shared" si="16"/>
        <v>#NAME?</v>
      </c>
    </row>
    <row r="182" spans="1:15">
      <c r="A182" s="17">
        <v>165</v>
      </c>
      <c r="B182" s="25" t="e">
        <v>#NAME?</v>
      </c>
      <c r="C182" s="25" t="e">
        <v>#NAME?</v>
      </c>
      <c r="D182" s="25" t="e">
        <v>#NAME?</v>
      </c>
      <c r="E182" s="25" t="e">
        <v>#NAME?</v>
      </c>
      <c r="F182" s="25" t="e">
        <v>#NAME?</v>
      </c>
      <c r="G182" s="27" t="e">
        <f t="shared" si="13"/>
        <v>#NAME?</v>
      </c>
      <c r="I182" s="17">
        <v>165</v>
      </c>
      <c r="J182" s="28" t="e">
        <f t="shared" si="16"/>
        <v>#NAME?</v>
      </c>
      <c r="K182" s="28" t="e">
        <f t="shared" si="16"/>
        <v>#NAME?</v>
      </c>
      <c r="L182" s="28" t="e">
        <f t="shared" si="16"/>
        <v>#NAME?</v>
      </c>
      <c r="M182" s="28" t="e">
        <f t="shared" si="16"/>
        <v>#NAME?</v>
      </c>
      <c r="N182" s="28" t="e">
        <f t="shared" si="16"/>
        <v>#NAME?</v>
      </c>
      <c r="O182" s="28" t="e">
        <f t="shared" si="16"/>
        <v>#NAME?</v>
      </c>
    </row>
    <row r="183" spans="1:15">
      <c r="A183" s="17">
        <v>166</v>
      </c>
      <c r="B183" s="25" t="e">
        <v>#NAME?</v>
      </c>
      <c r="C183" s="25" t="e">
        <v>#NAME?</v>
      </c>
      <c r="D183" s="25" t="e">
        <v>#NAME?</v>
      </c>
      <c r="E183" s="25" t="e">
        <v>#NAME?</v>
      </c>
      <c r="F183" s="25" t="e">
        <v>#NAME?</v>
      </c>
      <c r="G183" s="27" t="e">
        <f t="shared" si="13"/>
        <v>#NAME?</v>
      </c>
      <c r="I183" s="17">
        <v>166</v>
      </c>
      <c r="J183" s="28" t="e">
        <f t="shared" si="16"/>
        <v>#NAME?</v>
      </c>
      <c r="K183" s="28" t="e">
        <f t="shared" si="16"/>
        <v>#NAME?</v>
      </c>
      <c r="L183" s="28" t="e">
        <f t="shared" si="16"/>
        <v>#NAME?</v>
      </c>
      <c r="M183" s="28" t="e">
        <f t="shared" si="16"/>
        <v>#NAME?</v>
      </c>
      <c r="N183" s="28" t="e">
        <f t="shared" si="16"/>
        <v>#NAME?</v>
      </c>
      <c r="O183" s="28" t="e">
        <f t="shared" si="16"/>
        <v>#NAME?</v>
      </c>
    </row>
    <row r="184" spans="1:15">
      <c r="A184" s="17">
        <v>167</v>
      </c>
      <c r="B184" s="25" t="e">
        <v>#NAME?</v>
      </c>
      <c r="C184" s="25" t="e">
        <v>#NAME?</v>
      </c>
      <c r="D184" s="25" t="e">
        <v>#NAME?</v>
      </c>
      <c r="E184" s="25" t="e">
        <v>#NAME?</v>
      </c>
      <c r="F184" s="25" t="e">
        <v>#NAME?</v>
      </c>
      <c r="G184" s="27" t="e">
        <f t="shared" si="13"/>
        <v>#NAME?</v>
      </c>
      <c r="I184" s="17">
        <v>167</v>
      </c>
      <c r="J184" s="28" t="e">
        <f t="shared" si="16"/>
        <v>#NAME?</v>
      </c>
      <c r="K184" s="28" t="e">
        <f t="shared" si="16"/>
        <v>#NAME?</v>
      </c>
      <c r="L184" s="28" t="e">
        <f t="shared" si="16"/>
        <v>#NAME?</v>
      </c>
      <c r="M184" s="28" t="e">
        <f t="shared" si="16"/>
        <v>#NAME?</v>
      </c>
      <c r="N184" s="28" t="e">
        <f t="shared" si="16"/>
        <v>#NAME?</v>
      </c>
      <c r="O184" s="28" t="e">
        <f t="shared" si="16"/>
        <v>#NAME?</v>
      </c>
    </row>
    <row r="185" spans="1:15">
      <c r="A185" s="17">
        <v>168</v>
      </c>
      <c r="B185" s="25" t="e">
        <v>#NAME?</v>
      </c>
      <c r="C185" s="25" t="e">
        <v>#NAME?</v>
      </c>
      <c r="D185" s="25" t="e">
        <v>#NAME?</v>
      </c>
      <c r="E185" s="25" t="e">
        <v>#NAME?</v>
      </c>
      <c r="F185" s="25" t="e">
        <v>#NAME?</v>
      </c>
      <c r="G185" s="27" t="e">
        <f t="shared" si="13"/>
        <v>#NAME?</v>
      </c>
      <c r="I185" s="17">
        <v>168</v>
      </c>
      <c r="J185" s="28" t="e">
        <f t="shared" si="16"/>
        <v>#NAME?</v>
      </c>
      <c r="K185" s="28" t="e">
        <f t="shared" si="16"/>
        <v>#NAME?</v>
      </c>
      <c r="L185" s="28" t="e">
        <f t="shared" si="16"/>
        <v>#NAME?</v>
      </c>
      <c r="M185" s="28" t="e">
        <f t="shared" si="16"/>
        <v>#NAME?</v>
      </c>
      <c r="N185" s="28" t="e">
        <f t="shared" si="16"/>
        <v>#NAME?</v>
      </c>
      <c r="O185" s="28" t="e">
        <f t="shared" si="16"/>
        <v>#NAME?</v>
      </c>
    </row>
    <row r="186" spans="1:15">
      <c r="A186" s="17">
        <v>169</v>
      </c>
      <c r="B186" s="25" t="e">
        <v>#NAME?</v>
      </c>
      <c r="C186" s="25" t="e">
        <v>#NAME?</v>
      </c>
      <c r="D186" s="25" t="e">
        <v>#NAME?</v>
      </c>
      <c r="E186" s="25" t="e">
        <v>#NAME?</v>
      </c>
      <c r="F186" s="25" t="e">
        <v>#NAME?</v>
      </c>
      <c r="G186" s="27" t="e">
        <f t="shared" si="13"/>
        <v>#NAME?</v>
      </c>
      <c r="I186" s="17">
        <v>169</v>
      </c>
      <c r="J186" s="28" t="e">
        <f t="shared" si="16"/>
        <v>#NAME?</v>
      </c>
      <c r="K186" s="28" t="e">
        <f t="shared" si="16"/>
        <v>#NAME?</v>
      </c>
      <c r="L186" s="28" t="e">
        <f t="shared" si="16"/>
        <v>#NAME?</v>
      </c>
      <c r="M186" s="28" t="e">
        <f t="shared" si="16"/>
        <v>#NAME?</v>
      </c>
      <c r="N186" s="28" t="e">
        <f t="shared" si="16"/>
        <v>#NAME?</v>
      </c>
      <c r="O186" s="28" t="e">
        <f t="shared" si="16"/>
        <v>#NAME?</v>
      </c>
    </row>
    <row r="187" spans="1:15">
      <c r="A187" s="17">
        <v>170</v>
      </c>
      <c r="B187" s="25" t="e">
        <v>#NAME?</v>
      </c>
      <c r="C187" s="25" t="e">
        <v>#NAME?</v>
      </c>
      <c r="D187" s="25" t="e">
        <v>#NAME?</v>
      </c>
      <c r="E187" s="25" t="e">
        <v>#NAME?</v>
      </c>
      <c r="F187" s="25" t="e">
        <v>#NAME?</v>
      </c>
      <c r="G187" s="27" t="e">
        <f t="shared" si="13"/>
        <v>#NAME?</v>
      </c>
      <c r="I187" s="17">
        <v>170</v>
      </c>
      <c r="J187" s="28" t="e">
        <f t="shared" si="16"/>
        <v>#NAME?</v>
      </c>
      <c r="K187" s="28" t="e">
        <f t="shared" si="16"/>
        <v>#NAME?</v>
      </c>
      <c r="L187" s="28" t="e">
        <f t="shared" si="16"/>
        <v>#NAME?</v>
      </c>
      <c r="M187" s="28" t="e">
        <f t="shared" si="16"/>
        <v>#NAME?</v>
      </c>
      <c r="N187" s="28" t="e">
        <f t="shared" si="16"/>
        <v>#NAME?</v>
      </c>
      <c r="O187" s="28" t="e">
        <f t="shared" si="16"/>
        <v>#NAME?</v>
      </c>
    </row>
    <row r="188" spans="1:15">
      <c r="A188" s="17">
        <v>171</v>
      </c>
      <c r="B188" s="25" t="e">
        <v>#NAME?</v>
      </c>
      <c r="C188" s="25" t="e">
        <v>#NAME?</v>
      </c>
      <c r="D188" s="25" t="e">
        <v>#NAME?</v>
      </c>
      <c r="E188" s="25" t="e">
        <v>#NAME?</v>
      </c>
      <c r="F188" s="25" t="e">
        <v>#NAME?</v>
      </c>
      <c r="G188" s="27" t="e">
        <f t="shared" si="13"/>
        <v>#NAME?</v>
      </c>
      <c r="I188" s="17">
        <v>171</v>
      </c>
      <c r="J188" s="28" t="e">
        <f t="shared" si="16"/>
        <v>#NAME?</v>
      </c>
      <c r="K188" s="28" t="e">
        <f t="shared" si="16"/>
        <v>#NAME?</v>
      </c>
      <c r="L188" s="28" t="e">
        <f t="shared" si="16"/>
        <v>#NAME?</v>
      </c>
      <c r="M188" s="28" t="e">
        <f t="shared" si="16"/>
        <v>#NAME?</v>
      </c>
      <c r="N188" s="28" t="e">
        <f t="shared" si="16"/>
        <v>#NAME?</v>
      </c>
      <c r="O188" s="28" t="e">
        <f t="shared" si="16"/>
        <v>#NAME?</v>
      </c>
    </row>
    <row r="189" spans="1:15">
      <c r="A189" s="17">
        <v>172</v>
      </c>
      <c r="B189" s="25" t="e">
        <v>#NAME?</v>
      </c>
      <c r="C189" s="25" t="e">
        <v>#NAME?</v>
      </c>
      <c r="D189" s="25" t="e">
        <v>#NAME?</v>
      </c>
      <c r="E189" s="25" t="e">
        <v>#NAME?</v>
      </c>
      <c r="F189" s="25" t="e">
        <v>#NAME?</v>
      </c>
      <c r="G189" s="27" t="e">
        <f t="shared" si="13"/>
        <v>#NAME?</v>
      </c>
      <c r="I189" s="17">
        <v>172</v>
      </c>
      <c r="J189" s="28" t="e">
        <f t="shared" si="16"/>
        <v>#NAME?</v>
      </c>
      <c r="K189" s="28" t="e">
        <f t="shared" si="16"/>
        <v>#NAME?</v>
      </c>
      <c r="L189" s="28" t="e">
        <f t="shared" si="16"/>
        <v>#NAME?</v>
      </c>
      <c r="M189" s="28" t="e">
        <f t="shared" si="16"/>
        <v>#NAME?</v>
      </c>
      <c r="N189" s="28" t="e">
        <f t="shared" si="16"/>
        <v>#NAME?</v>
      </c>
      <c r="O189" s="28" t="e">
        <f t="shared" si="16"/>
        <v>#NAME?</v>
      </c>
    </row>
    <row r="190" spans="1:15">
      <c r="A190" s="17">
        <v>173</v>
      </c>
      <c r="B190" s="25" t="e">
        <v>#NAME?</v>
      </c>
      <c r="C190" s="25" t="e">
        <v>#NAME?</v>
      </c>
      <c r="D190" s="25" t="e">
        <v>#NAME?</v>
      </c>
      <c r="E190" s="25" t="e">
        <v>#NAME?</v>
      </c>
      <c r="F190" s="25" t="e">
        <v>#NAME?</v>
      </c>
      <c r="G190" s="27" t="e">
        <f t="shared" si="13"/>
        <v>#NAME?</v>
      </c>
      <c r="I190" s="17">
        <v>173</v>
      </c>
      <c r="J190" s="28" t="e">
        <f t="shared" si="16"/>
        <v>#NAME?</v>
      </c>
      <c r="K190" s="28" t="e">
        <f t="shared" si="16"/>
        <v>#NAME?</v>
      </c>
      <c r="L190" s="28" t="e">
        <f t="shared" si="16"/>
        <v>#NAME?</v>
      </c>
      <c r="M190" s="28" t="e">
        <f t="shared" si="16"/>
        <v>#NAME?</v>
      </c>
      <c r="N190" s="28" t="e">
        <f t="shared" si="16"/>
        <v>#NAME?</v>
      </c>
      <c r="O190" s="28" t="e">
        <f t="shared" si="16"/>
        <v>#NAME?</v>
      </c>
    </row>
    <row r="191" spans="1:15">
      <c r="A191" s="17">
        <v>174</v>
      </c>
      <c r="B191" s="25" t="e">
        <v>#NAME?</v>
      </c>
      <c r="C191" s="25" t="e">
        <v>#NAME?</v>
      </c>
      <c r="D191" s="25" t="e">
        <v>#NAME?</v>
      </c>
      <c r="E191" s="25" t="e">
        <v>#NAME?</v>
      </c>
      <c r="F191" s="25" t="e">
        <v>#NAME?</v>
      </c>
      <c r="G191" s="27" t="e">
        <f t="shared" si="13"/>
        <v>#NAME?</v>
      </c>
      <c r="I191" s="17">
        <v>174</v>
      </c>
      <c r="J191" s="28" t="e">
        <f t="shared" si="16"/>
        <v>#NAME?</v>
      </c>
      <c r="K191" s="28" t="e">
        <f t="shared" si="16"/>
        <v>#NAME?</v>
      </c>
      <c r="L191" s="28" t="e">
        <f t="shared" si="16"/>
        <v>#NAME?</v>
      </c>
      <c r="M191" s="28" t="e">
        <f t="shared" si="16"/>
        <v>#NAME?</v>
      </c>
      <c r="N191" s="28" t="e">
        <f t="shared" si="16"/>
        <v>#NAME?</v>
      </c>
      <c r="O191" s="28" t="e">
        <f t="shared" si="16"/>
        <v>#NAME?</v>
      </c>
    </row>
    <row r="192" spans="1:15">
      <c r="A192" s="17">
        <v>175</v>
      </c>
      <c r="B192" s="25" t="e">
        <v>#NAME?</v>
      </c>
      <c r="C192" s="25" t="e">
        <v>#NAME?</v>
      </c>
      <c r="D192" s="25" t="e">
        <v>#NAME?</v>
      </c>
      <c r="E192" s="25" t="e">
        <v>#NAME?</v>
      </c>
      <c r="F192" s="25" t="e">
        <v>#NAME?</v>
      </c>
      <c r="G192" s="27" t="e">
        <f t="shared" si="13"/>
        <v>#NAME?</v>
      </c>
      <c r="I192" s="17">
        <v>175</v>
      </c>
      <c r="J192" s="28" t="e">
        <f t="shared" si="16"/>
        <v>#NAME?</v>
      </c>
      <c r="K192" s="28" t="e">
        <f t="shared" si="16"/>
        <v>#NAME?</v>
      </c>
      <c r="L192" s="28" t="e">
        <f t="shared" si="16"/>
        <v>#NAME?</v>
      </c>
      <c r="M192" s="28" t="e">
        <f t="shared" si="16"/>
        <v>#NAME?</v>
      </c>
      <c r="N192" s="28" t="e">
        <f t="shared" si="16"/>
        <v>#NAME?</v>
      </c>
      <c r="O192" s="28" t="e">
        <f t="shared" si="16"/>
        <v>#NAME?</v>
      </c>
    </row>
    <row r="193" spans="1:15">
      <c r="A193" s="17">
        <v>176</v>
      </c>
      <c r="B193" s="25" t="e">
        <v>#NAME?</v>
      </c>
      <c r="C193" s="25" t="e">
        <v>#NAME?</v>
      </c>
      <c r="D193" s="25" t="e">
        <v>#NAME?</v>
      </c>
      <c r="E193" s="25" t="e">
        <v>#NAME?</v>
      </c>
      <c r="F193" s="25" t="e">
        <v>#NAME?</v>
      </c>
      <c r="G193" s="27" t="e">
        <f t="shared" si="13"/>
        <v>#NAME?</v>
      </c>
      <c r="I193" s="17">
        <v>176</v>
      </c>
      <c r="J193" s="28" t="e">
        <f t="shared" si="16"/>
        <v>#NAME?</v>
      </c>
      <c r="K193" s="28" t="e">
        <f t="shared" si="16"/>
        <v>#NAME?</v>
      </c>
      <c r="L193" s="28" t="e">
        <f t="shared" si="16"/>
        <v>#NAME?</v>
      </c>
      <c r="M193" s="28" t="e">
        <f t="shared" si="16"/>
        <v>#NAME?</v>
      </c>
      <c r="N193" s="28" t="e">
        <f t="shared" si="16"/>
        <v>#NAME?</v>
      </c>
      <c r="O193" s="28" t="e">
        <f t="shared" si="16"/>
        <v>#NAME?</v>
      </c>
    </row>
    <row r="194" spans="1:15">
      <c r="A194" s="17">
        <v>177</v>
      </c>
      <c r="B194" s="25" t="e">
        <v>#NAME?</v>
      </c>
      <c r="C194" s="25" t="e">
        <v>#NAME?</v>
      </c>
      <c r="D194" s="25" t="e">
        <v>#NAME?</v>
      </c>
      <c r="E194" s="25" t="e">
        <v>#NAME?</v>
      </c>
      <c r="F194" s="25" t="e">
        <v>#NAME?</v>
      </c>
      <c r="G194" s="27" t="e">
        <f t="shared" si="13"/>
        <v>#NAME?</v>
      </c>
      <c r="I194" s="17">
        <v>177</v>
      </c>
      <c r="J194" s="28" t="e">
        <f t="shared" si="16"/>
        <v>#NAME?</v>
      </c>
      <c r="K194" s="28" t="e">
        <f t="shared" si="16"/>
        <v>#NAME?</v>
      </c>
      <c r="L194" s="28" t="e">
        <f t="shared" si="16"/>
        <v>#NAME?</v>
      </c>
      <c r="M194" s="28" t="e">
        <f t="shared" si="16"/>
        <v>#NAME?</v>
      </c>
      <c r="N194" s="28" t="e">
        <f t="shared" si="16"/>
        <v>#NAME?</v>
      </c>
      <c r="O194" s="28" t="e">
        <f t="shared" si="16"/>
        <v>#NAME?</v>
      </c>
    </row>
    <row r="195" spans="1:15">
      <c r="A195" s="17">
        <v>178</v>
      </c>
      <c r="B195" s="25" t="e">
        <v>#NAME?</v>
      </c>
      <c r="C195" s="25" t="e">
        <v>#NAME?</v>
      </c>
      <c r="D195" s="25" t="e">
        <v>#NAME?</v>
      </c>
      <c r="E195" s="25" t="e">
        <v>#NAME?</v>
      </c>
      <c r="F195" s="25" t="e">
        <v>#NAME?</v>
      </c>
      <c r="G195" s="27" t="e">
        <f t="shared" si="13"/>
        <v>#NAME?</v>
      </c>
      <c r="I195" s="17">
        <v>178</v>
      </c>
      <c r="J195" s="28" t="e">
        <f t="shared" ref="J195:O210" si="17">J194*(1+B195)</f>
        <v>#NAME?</v>
      </c>
      <c r="K195" s="28" t="e">
        <f t="shared" si="17"/>
        <v>#NAME?</v>
      </c>
      <c r="L195" s="28" t="e">
        <f t="shared" si="17"/>
        <v>#NAME?</v>
      </c>
      <c r="M195" s="28" t="e">
        <f t="shared" si="17"/>
        <v>#NAME?</v>
      </c>
      <c r="N195" s="28" t="e">
        <f t="shared" si="17"/>
        <v>#NAME?</v>
      </c>
      <c r="O195" s="28" t="e">
        <f t="shared" si="17"/>
        <v>#NAME?</v>
      </c>
    </row>
    <row r="196" spans="1:15">
      <c r="A196" s="17">
        <v>179</v>
      </c>
      <c r="B196" s="25" t="e">
        <v>#NAME?</v>
      </c>
      <c r="C196" s="25" t="e">
        <v>#NAME?</v>
      </c>
      <c r="D196" s="25" t="e">
        <v>#NAME?</v>
      </c>
      <c r="E196" s="25" t="e">
        <v>#NAME?</v>
      </c>
      <c r="F196" s="25" t="e">
        <v>#NAME?</v>
      </c>
      <c r="G196" s="27" t="e">
        <f t="shared" si="13"/>
        <v>#NAME?</v>
      </c>
      <c r="I196" s="17">
        <v>179</v>
      </c>
      <c r="J196" s="28" t="e">
        <f t="shared" si="17"/>
        <v>#NAME?</v>
      </c>
      <c r="K196" s="28" t="e">
        <f t="shared" si="17"/>
        <v>#NAME?</v>
      </c>
      <c r="L196" s="28" t="e">
        <f t="shared" si="17"/>
        <v>#NAME?</v>
      </c>
      <c r="M196" s="28" t="e">
        <f t="shared" si="17"/>
        <v>#NAME?</v>
      </c>
      <c r="N196" s="28" t="e">
        <f t="shared" si="17"/>
        <v>#NAME?</v>
      </c>
      <c r="O196" s="28" t="e">
        <f t="shared" si="17"/>
        <v>#NAME?</v>
      </c>
    </row>
    <row r="197" spans="1:15">
      <c r="A197" s="17">
        <v>180</v>
      </c>
      <c r="B197" s="25" t="e">
        <v>#NAME?</v>
      </c>
      <c r="C197" s="25" t="e">
        <v>#NAME?</v>
      </c>
      <c r="D197" s="25" t="e">
        <v>#NAME?</v>
      </c>
      <c r="E197" s="25" t="e">
        <v>#NAME?</v>
      </c>
      <c r="F197" s="25" t="e">
        <v>#NAME?</v>
      </c>
      <c r="G197" s="27" t="e">
        <f t="shared" si="13"/>
        <v>#NAME?</v>
      </c>
      <c r="I197" s="17">
        <v>180</v>
      </c>
      <c r="J197" s="28" t="e">
        <f t="shared" si="17"/>
        <v>#NAME?</v>
      </c>
      <c r="K197" s="28" t="e">
        <f t="shared" si="17"/>
        <v>#NAME?</v>
      </c>
      <c r="L197" s="28" t="e">
        <f t="shared" si="17"/>
        <v>#NAME?</v>
      </c>
      <c r="M197" s="28" t="e">
        <f t="shared" si="17"/>
        <v>#NAME?</v>
      </c>
      <c r="N197" s="28" t="e">
        <f t="shared" si="17"/>
        <v>#NAME?</v>
      </c>
      <c r="O197" s="28" t="e">
        <f t="shared" si="17"/>
        <v>#NAME?</v>
      </c>
    </row>
    <row r="198" spans="1:15">
      <c r="A198" s="17">
        <v>181</v>
      </c>
      <c r="B198" s="25" t="e">
        <v>#NAME?</v>
      </c>
      <c r="C198" s="25" t="e">
        <v>#NAME?</v>
      </c>
      <c r="D198" s="25" t="e">
        <v>#NAME?</v>
      </c>
      <c r="E198" s="25" t="e">
        <v>#NAME?</v>
      </c>
      <c r="F198" s="25" t="e">
        <v>#NAME?</v>
      </c>
      <c r="G198" s="27" t="e">
        <f t="shared" si="13"/>
        <v>#NAME?</v>
      </c>
      <c r="I198" s="17">
        <v>181</v>
      </c>
      <c r="J198" s="28" t="e">
        <f t="shared" si="17"/>
        <v>#NAME?</v>
      </c>
      <c r="K198" s="28" t="e">
        <f t="shared" si="17"/>
        <v>#NAME?</v>
      </c>
      <c r="L198" s="28" t="e">
        <f t="shared" si="17"/>
        <v>#NAME?</v>
      </c>
      <c r="M198" s="28" t="e">
        <f t="shared" si="17"/>
        <v>#NAME?</v>
      </c>
      <c r="N198" s="28" t="e">
        <f t="shared" si="17"/>
        <v>#NAME?</v>
      </c>
      <c r="O198" s="28" t="e">
        <f t="shared" si="17"/>
        <v>#NAME?</v>
      </c>
    </row>
    <row r="199" spans="1:15">
      <c r="A199" s="17">
        <v>182</v>
      </c>
      <c r="B199" s="25" t="e">
        <v>#NAME?</v>
      </c>
      <c r="C199" s="25" t="e">
        <v>#NAME?</v>
      </c>
      <c r="D199" s="25" t="e">
        <v>#NAME?</v>
      </c>
      <c r="E199" s="25" t="e">
        <v>#NAME?</v>
      </c>
      <c r="F199" s="25" t="e">
        <v>#NAME?</v>
      </c>
      <c r="G199" s="27" t="e">
        <f t="shared" si="13"/>
        <v>#NAME?</v>
      </c>
      <c r="I199" s="17">
        <v>182</v>
      </c>
      <c r="J199" s="28" t="e">
        <f t="shared" si="17"/>
        <v>#NAME?</v>
      </c>
      <c r="K199" s="28" t="e">
        <f t="shared" si="17"/>
        <v>#NAME?</v>
      </c>
      <c r="L199" s="28" t="e">
        <f t="shared" si="17"/>
        <v>#NAME?</v>
      </c>
      <c r="M199" s="28" t="e">
        <f t="shared" si="17"/>
        <v>#NAME?</v>
      </c>
      <c r="N199" s="28" t="e">
        <f t="shared" si="17"/>
        <v>#NAME?</v>
      </c>
      <c r="O199" s="28" t="e">
        <f t="shared" si="17"/>
        <v>#NAME?</v>
      </c>
    </row>
    <row r="200" spans="1:15">
      <c r="A200" s="17">
        <v>183</v>
      </c>
      <c r="B200" s="25" t="e">
        <v>#NAME?</v>
      </c>
      <c r="C200" s="25" t="e">
        <v>#NAME?</v>
      </c>
      <c r="D200" s="25" t="e">
        <v>#NAME?</v>
      </c>
      <c r="E200" s="25" t="e">
        <v>#NAME?</v>
      </c>
      <c r="F200" s="25" t="e">
        <v>#NAME?</v>
      </c>
      <c r="G200" s="27" t="e">
        <f t="shared" si="13"/>
        <v>#NAME?</v>
      </c>
      <c r="I200" s="17">
        <v>183</v>
      </c>
      <c r="J200" s="28" t="e">
        <f t="shared" si="17"/>
        <v>#NAME?</v>
      </c>
      <c r="K200" s="28" t="e">
        <f t="shared" si="17"/>
        <v>#NAME?</v>
      </c>
      <c r="L200" s="28" t="e">
        <f t="shared" si="17"/>
        <v>#NAME?</v>
      </c>
      <c r="M200" s="28" t="e">
        <f t="shared" si="17"/>
        <v>#NAME?</v>
      </c>
      <c r="N200" s="28" t="e">
        <f t="shared" si="17"/>
        <v>#NAME?</v>
      </c>
      <c r="O200" s="28" t="e">
        <f t="shared" si="17"/>
        <v>#NAME?</v>
      </c>
    </row>
    <row r="201" spans="1:15">
      <c r="A201" s="17">
        <v>184</v>
      </c>
      <c r="B201" s="25" t="e">
        <v>#NAME?</v>
      </c>
      <c r="C201" s="25" t="e">
        <v>#NAME?</v>
      </c>
      <c r="D201" s="25" t="e">
        <v>#NAME?</v>
      </c>
      <c r="E201" s="25" t="e">
        <v>#NAME?</v>
      </c>
      <c r="F201" s="25" t="e">
        <v>#NAME?</v>
      </c>
      <c r="G201" s="27" t="e">
        <f t="shared" si="13"/>
        <v>#NAME?</v>
      </c>
      <c r="I201" s="17">
        <v>184</v>
      </c>
      <c r="J201" s="28" t="e">
        <f t="shared" si="17"/>
        <v>#NAME?</v>
      </c>
      <c r="K201" s="28" t="e">
        <f t="shared" si="17"/>
        <v>#NAME?</v>
      </c>
      <c r="L201" s="28" t="e">
        <f t="shared" si="17"/>
        <v>#NAME?</v>
      </c>
      <c r="M201" s="28" t="e">
        <f t="shared" si="17"/>
        <v>#NAME?</v>
      </c>
      <c r="N201" s="28" t="e">
        <f t="shared" si="17"/>
        <v>#NAME?</v>
      </c>
      <c r="O201" s="28" t="e">
        <f t="shared" si="17"/>
        <v>#NAME?</v>
      </c>
    </row>
    <row r="202" spans="1:15">
      <c r="A202" s="17">
        <v>185</v>
      </c>
      <c r="B202" s="25" t="e">
        <v>#NAME?</v>
      </c>
      <c r="C202" s="25" t="e">
        <v>#NAME?</v>
      </c>
      <c r="D202" s="25" t="e">
        <v>#NAME?</v>
      </c>
      <c r="E202" s="25" t="e">
        <v>#NAME?</v>
      </c>
      <c r="F202" s="25" t="e">
        <v>#NAME?</v>
      </c>
      <c r="G202" s="27" t="e">
        <f t="shared" si="13"/>
        <v>#NAME?</v>
      </c>
      <c r="I202" s="17">
        <v>185</v>
      </c>
      <c r="J202" s="28" t="e">
        <f t="shared" si="17"/>
        <v>#NAME?</v>
      </c>
      <c r="K202" s="28" t="e">
        <f t="shared" si="17"/>
        <v>#NAME?</v>
      </c>
      <c r="L202" s="28" t="e">
        <f t="shared" si="17"/>
        <v>#NAME?</v>
      </c>
      <c r="M202" s="28" t="e">
        <f t="shared" si="17"/>
        <v>#NAME?</v>
      </c>
      <c r="N202" s="28" t="e">
        <f t="shared" si="17"/>
        <v>#NAME?</v>
      </c>
      <c r="O202" s="28" t="e">
        <f t="shared" si="17"/>
        <v>#NAME?</v>
      </c>
    </row>
    <row r="203" spans="1:15">
      <c r="A203" s="17">
        <v>186</v>
      </c>
      <c r="B203" s="25" t="e">
        <v>#NAME?</v>
      </c>
      <c r="C203" s="25" t="e">
        <v>#NAME?</v>
      </c>
      <c r="D203" s="25" t="e">
        <v>#NAME?</v>
      </c>
      <c r="E203" s="25" t="e">
        <v>#NAME?</v>
      </c>
      <c r="F203" s="25" t="e">
        <v>#NAME?</v>
      </c>
      <c r="G203" s="27" t="e">
        <f t="shared" si="13"/>
        <v>#NAME?</v>
      </c>
      <c r="I203" s="17">
        <v>186</v>
      </c>
      <c r="J203" s="28" t="e">
        <f t="shared" si="17"/>
        <v>#NAME?</v>
      </c>
      <c r="K203" s="28" t="e">
        <f t="shared" si="17"/>
        <v>#NAME?</v>
      </c>
      <c r="L203" s="28" t="e">
        <f t="shared" si="17"/>
        <v>#NAME?</v>
      </c>
      <c r="M203" s="28" t="e">
        <f t="shared" si="17"/>
        <v>#NAME?</v>
      </c>
      <c r="N203" s="28" t="e">
        <f t="shared" si="17"/>
        <v>#NAME?</v>
      </c>
      <c r="O203" s="28" t="e">
        <f t="shared" si="17"/>
        <v>#NAME?</v>
      </c>
    </row>
    <row r="204" spans="1:15">
      <c r="A204" s="17">
        <v>187</v>
      </c>
      <c r="B204" s="25" t="e">
        <v>#NAME?</v>
      </c>
      <c r="C204" s="25" t="e">
        <v>#NAME?</v>
      </c>
      <c r="D204" s="25" t="e">
        <v>#NAME?</v>
      </c>
      <c r="E204" s="25" t="e">
        <v>#NAME?</v>
      </c>
      <c r="F204" s="25" t="e">
        <v>#NAME?</v>
      </c>
      <c r="G204" s="27" t="e">
        <f t="shared" si="13"/>
        <v>#NAME?</v>
      </c>
      <c r="I204" s="17">
        <v>187</v>
      </c>
      <c r="J204" s="28" t="e">
        <f t="shared" si="17"/>
        <v>#NAME?</v>
      </c>
      <c r="K204" s="28" t="e">
        <f t="shared" si="17"/>
        <v>#NAME?</v>
      </c>
      <c r="L204" s="28" t="e">
        <f t="shared" si="17"/>
        <v>#NAME?</v>
      </c>
      <c r="M204" s="28" t="e">
        <f t="shared" si="17"/>
        <v>#NAME?</v>
      </c>
      <c r="N204" s="28" t="e">
        <f t="shared" si="17"/>
        <v>#NAME?</v>
      </c>
      <c r="O204" s="28" t="e">
        <f t="shared" si="17"/>
        <v>#NAME?</v>
      </c>
    </row>
    <row r="205" spans="1:15">
      <c r="A205" s="17">
        <v>188</v>
      </c>
      <c r="B205" s="25" t="e">
        <v>#NAME?</v>
      </c>
      <c r="C205" s="25" t="e">
        <v>#NAME?</v>
      </c>
      <c r="D205" s="25" t="e">
        <v>#NAME?</v>
      </c>
      <c r="E205" s="25" t="e">
        <v>#NAME?</v>
      </c>
      <c r="F205" s="25" t="e">
        <v>#NAME?</v>
      </c>
      <c r="G205" s="27" t="e">
        <f t="shared" si="13"/>
        <v>#NAME?</v>
      </c>
      <c r="I205" s="17">
        <v>188</v>
      </c>
      <c r="J205" s="28" t="e">
        <f t="shared" si="17"/>
        <v>#NAME?</v>
      </c>
      <c r="K205" s="28" t="e">
        <f t="shared" si="17"/>
        <v>#NAME?</v>
      </c>
      <c r="L205" s="28" t="e">
        <f t="shared" si="17"/>
        <v>#NAME?</v>
      </c>
      <c r="M205" s="28" t="e">
        <f t="shared" si="17"/>
        <v>#NAME?</v>
      </c>
      <c r="N205" s="28" t="e">
        <f t="shared" si="17"/>
        <v>#NAME?</v>
      </c>
      <c r="O205" s="28" t="e">
        <f t="shared" si="17"/>
        <v>#NAME?</v>
      </c>
    </row>
    <row r="206" spans="1:15">
      <c r="A206" s="17">
        <v>189</v>
      </c>
      <c r="B206" s="25" t="e">
        <v>#NAME?</v>
      </c>
      <c r="C206" s="25" t="e">
        <v>#NAME?</v>
      </c>
      <c r="D206" s="25" t="e">
        <v>#NAME?</v>
      </c>
      <c r="E206" s="25" t="e">
        <v>#NAME?</v>
      </c>
      <c r="F206" s="25" t="e">
        <v>#NAME?</v>
      </c>
      <c r="G206" s="27" t="e">
        <f t="shared" si="13"/>
        <v>#NAME?</v>
      </c>
      <c r="I206" s="17">
        <v>189</v>
      </c>
      <c r="J206" s="28" t="e">
        <f t="shared" si="17"/>
        <v>#NAME?</v>
      </c>
      <c r="K206" s="28" t="e">
        <f t="shared" si="17"/>
        <v>#NAME?</v>
      </c>
      <c r="L206" s="28" t="e">
        <f t="shared" si="17"/>
        <v>#NAME?</v>
      </c>
      <c r="M206" s="28" t="e">
        <f t="shared" si="17"/>
        <v>#NAME?</v>
      </c>
      <c r="N206" s="28" t="e">
        <f t="shared" si="17"/>
        <v>#NAME?</v>
      </c>
      <c r="O206" s="28" t="e">
        <f t="shared" si="17"/>
        <v>#NAME?</v>
      </c>
    </row>
    <row r="207" spans="1:15">
      <c r="A207" s="17">
        <v>190</v>
      </c>
      <c r="B207" s="25" t="e">
        <v>#NAME?</v>
      </c>
      <c r="C207" s="25" t="e">
        <v>#NAME?</v>
      </c>
      <c r="D207" s="25" t="e">
        <v>#NAME?</v>
      </c>
      <c r="E207" s="25" t="e">
        <v>#NAME?</v>
      </c>
      <c r="F207" s="25" t="e">
        <v>#NAME?</v>
      </c>
      <c r="G207" s="27" t="e">
        <f t="shared" si="13"/>
        <v>#NAME?</v>
      </c>
      <c r="I207" s="17">
        <v>190</v>
      </c>
      <c r="J207" s="28" t="e">
        <f t="shared" si="17"/>
        <v>#NAME?</v>
      </c>
      <c r="K207" s="28" t="e">
        <f t="shared" si="17"/>
        <v>#NAME?</v>
      </c>
      <c r="L207" s="28" t="e">
        <f t="shared" si="17"/>
        <v>#NAME?</v>
      </c>
      <c r="M207" s="28" t="e">
        <f t="shared" si="17"/>
        <v>#NAME?</v>
      </c>
      <c r="N207" s="28" t="e">
        <f t="shared" si="17"/>
        <v>#NAME?</v>
      </c>
      <c r="O207" s="28" t="e">
        <f t="shared" si="17"/>
        <v>#NAME?</v>
      </c>
    </row>
    <row r="208" spans="1:15">
      <c r="A208" s="17">
        <v>191</v>
      </c>
      <c r="B208" s="25" t="e">
        <v>#NAME?</v>
      </c>
      <c r="C208" s="25" t="e">
        <v>#NAME?</v>
      </c>
      <c r="D208" s="25" t="e">
        <v>#NAME?</v>
      </c>
      <c r="E208" s="25" t="e">
        <v>#NAME?</v>
      </c>
      <c r="F208" s="25" t="e">
        <v>#NAME?</v>
      </c>
      <c r="G208" s="27" t="e">
        <f t="shared" si="13"/>
        <v>#NAME?</v>
      </c>
      <c r="I208" s="17">
        <v>191</v>
      </c>
      <c r="J208" s="28" t="e">
        <f t="shared" si="17"/>
        <v>#NAME?</v>
      </c>
      <c r="K208" s="28" t="e">
        <f t="shared" si="17"/>
        <v>#NAME?</v>
      </c>
      <c r="L208" s="28" t="e">
        <f t="shared" si="17"/>
        <v>#NAME?</v>
      </c>
      <c r="M208" s="28" t="e">
        <f t="shared" si="17"/>
        <v>#NAME?</v>
      </c>
      <c r="N208" s="28" t="e">
        <f t="shared" si="17"/>
        <v>#NAME?</v>
      </c>
      <c r="O208" s="28" t="e">
        <f t="shared" si="17"/>
        <v>#NAME?</v>
      </c>
    </row>
    <row r="209" spans="1:15">
      <c r="A209" s="17">
        <v>192</v>
      </c>
      <c r="B209" s="25" t="e">
        <v>#NAME?</v>
      </c>
      <c r="C209" s="25" t="e">
        <v>#NAME?</v>
      </c>
      <c r="D209" s="25" t="e">
        <v>#NAME?</v>
      </c>
      <c r="E209" s="25" t="e">
        <v>#NAME?</v>
      </c>
      <c r="F209" s="25" t="e">
        <v>#NAME?</v>
      </c>
      <c r="G209" s="27" t="e">
        <f t="shared" si="13"/>
        <v>#NAME?</v>
      </c>
      <c r="I209" s="17">
        <v>192</v>
      </c>
      <c r="J209" s="28" t="e">
        <f t="shared" si="17"/>
        <v>#NAME?</v>
      </c>
      <c r="K209" s="28" t="e">
        <f t="shared" si="17"/>
        <v>#NAME?</v>
      </c>
      <c r="L209" s="28" t="e">
        <f t="shared" si="17"/>
        <v>#NAME?</v>
      </c>
      <c r="M209" s="28" t="e">
        <f t="shared" si="17"/>
        <v>#NAME?</v>
      </c>
      <c r="N209" s="28" t="e">
        <f t="shared" si="17"/>
        <v>#NAME?</v>
      </c>
      <c r="O209" s="28" t="e">
        <f t="shared" si="17"/>
        <v>#NAME?</v>
      </c>
    </row>
    <row r="210" spans="1:15">
      <c r="A210" s="17">
        <v>193</v>
      </c>
      <c r="B210" s="25" t="e">
        <v>#NAME?</v>
      </c>
      <c r="C210" s="25" t="e">
        <v>#NAME?</v>
      </c>
      <c r="D210" s="25" t="e">
        <v>#NAME?</v>
      </c>
      <c r="E210" s="25" t="e">
        <v>#NAME?</v>
      </c>
      <c r="F210" s="25" t="e">
        <v>#NAME?</v>
      </c>
      <c r="G210" s="27" t="e">
        <f t="shared" si="13"/>
        <v>#NAME?</v>
      </c>
      <c r="I210" s="17">
        <v>193</v>
      </c>
      <c r="J210" s="28" t="e">
        <f t="shared" si="17"/>
        <v>#NAME?</v>
      </c>
      <c r="K210" s="28" t="e">
        <f t="shared" si="17"/>
        <v>#NAME?</v>
      </c>
      <c r="L210" s="28" t="e">
        <f t="shared" si="17"/>
        <v>#NAME?</v>
      </c>
      <c r="M210" s="28" t="e">
        <f t="shared" si="17"/>
        <v>#NAME?</v>
      </c>
      <c r="N210" s="28" t="e">
        <f t="shared" si="17"/>
        <v>#NAME?</v>
      </c>
      <c r="O210" s="28" t="e">
        <f t="shared" si="17"/>
        <v>#NAME?</v>
      </c>
    </row>
    <row r="211" spans="1:15">
      <c r="A211" s="17">
        <v>194</v>
      </c>
      <c r="B211" s="25" t="e">
        <v>#NAME?</v>
      </c>
      <c r="C211" s="25" t="e">
        <v>#NAME?</v>
      </c>
      <c r="D211" s="25" t="e">
        <v>#NAME?</v>
      </c>
      <c r="E211" s="25" t="e">
        <v>#NAME?</v>
      </c>
      <c r="F211" s="25" t="e">
        <v>#NAME?</v>
      </c>
      <c r="G211" s="27" t="e">
        <f t="shared" ref="G211:G257" si="18">SUM(B211:F211)/5</f>
        <v>#NAME?</v>
      </c>
      <c r="I211" s="17">
        <v>194</v>
      </c>
      <c r="J211" s="28" t="e">
        <f t="shared" ref="J211:O226" si="19">J210*(1+B211)</f>
        <v>#NAME?</v>
      </c>
      <c r="K211" s="28" t="e">
        <f t="shared" si="19"/>
        <v>#NAME?</v>
      </c>
      <c r="L211" s="28" t="e">
        <f t="shared" si="19"/>
        <v>#NAME?</v>
      </c>
      <c r="M211" s="28" t="e">
        <f t="shared" si="19"/>
        <v>#NAME?</v>
      </c>
      <c r="N211" s="28" t="e">
        <f t="shared" si="19"/>
        <v>#NAME?</v>
      </c>
      <c r="O211" s="28" t="e">
        <f t="shared" si="19"/>
        <v>#NAME?</v>
      </c>
    </row>
    <row r="212" spans="1:15">
      <c r="A212" s="17">
        <v>195</v>
      </c>
      <c r="B212" s="25" t="e">
        <v>#NAME?</v>
      </c>
      <c r="C212" s="25" t="e">
        <v>#NAME?</v>
      </c>
      <c r="D212" s="25" t="e">
        <v>#NAME?</v>
      </c>
      <c r="E212" s="25" t="e">
        <v>#NAME?</v>
      </c>
      <c r="F212" s="25" t="e">
        <v>#NAME?</v>
      </c>
      <c r="G212" s="27" t="e">
        <f t="shared" si="18"/>
        <v>#NAME?</v>
      </c>
      <c r="I212" s="17">
        <v>195</v>
      </c>
      <c r="J212" s="28" t="e">
        <f t="shared" si="19"/>
        <v>#NAME?</v>
      </c>
      <c r="K212" s="28" t="e">
        <f t="shared" si="19"/>
        <v>#NAME?</v>
      </c>
      <c r="L212" s="28" t="e">
        <f t="shared" si="19"/>
        <v>#NAME?</v>
      </c>
      <c r="M212" s="28" t="e">
        <f t="shared" si="19"/>
        <v>#NAME?</v>
      </c>
      <c r="N212" s="28" t="e">
        <f t="shared" si="19"/>
        <v>#NAME?</v>
      </c>
      <c r="O212" s="28" t="e">
        <f t="shared" si="19"/>
        <v>#NAME?</v>
      </c>
    </row>
    <row r="213" spans="1:15">
      <c r="A213" s="17">
        <v>196</v>
      </c>
      <c r="B213" s="25" t="e">
        <v>#NAME?</v>
      </c>
      <c r="C213" s="25" t="e">
        <v>#NAME?</v>
      </c>
      <c r="D213" s="25" t="e">
        <v>#NAME?</v>
      </c>
      <c r="E213" s="25" t="e">
        <v>#NAME?</v>
      </c>
      <c r="F213" s="25" t="e">
        <v>#NAME?</v>
      </c>
      <c r="G213" s="27" t="e">
        <f t="shared" si="18"/>
        <v>#NAME?</v>
      </c>
      <c r="I213" s="17">
        <v>196</v>
      </c>
      <c r="J213" s="28" t="e">
        <f t="shared" si="19"/>
        <v>#NAME?</v>
      </c>
      <c r="K213" s="28" t="e">
        <f t="shared" si="19"/>
        <v>#NAME?</v>
      </c>
      <c r="L213" s="28" t="e">
        <f t="shared" si="19"/>
        <v>#NAME?</v>
      </c>
      <c r="M213" s="28" t="e">
        <f t="shared" si="19"/>
        <v>#NAME?</v>
      </c>
      <c r="N213" s="28" t="e">
        <f t="shared" si="19"/>
        <v>#NAME?</v>
      </c>
      <c r="O213" s="28" t="e">
        <f t="shared" si="19"/>
        <v>#NAME?</v>
      </c>
    </row>
    <row r="214" spans="1:15">
      <c r="A214" s="17">
        <v>197</v>
      </c>
      <c r="B214" s="25" t="e">
        <v>#NAME?</v>
      </c>
      <c r="C214" s="25" t="e">
        <v>#NAME?</v>
      </c>
      <c r="D214" s="25" t="e">
        <v>#NAME?</v>
      </c>
      <c r="E214" s="25" t="e">
        <v>#NAME?</v>
      </c>
      <c r="F214" s="25" t="e">
        <v>#NAME?</v>
      </c>
      <c r="G214" s="27" t="e">
        <f t="shared" si="18"/>
        <v>#NAME?</v>
      </c>
      <c r="I214" s="17">
        <v>197</v>
      </c>
      <c r="J214" s="28" t="e">
        <f t="shared" si="19"/>
        <v>#NAME?</v>
      </c>
      <c r="K214" s="28" t="e">
        <f t="shared" si="19"/>
        <v>#NAME?</v>
      </c>
      <c r="L214" s="28" t="e">
        <f t="shared" si="19"/>
        <v>#NAME?</v>
      </c>
      <c r="M214" s="28" t="e">
        <f t="shared" si="19"/>
        <v>#NAME?</v>
      </c>
      <c r="N214" s="28" t="e">
        <f t="shared" si="19"/>
        <v>#NAME?</v>
      </c>
      <c r="O214" s="28" t="e">
        <f t="shared" si="19"/>
        <v>#NAME?</v>
      </c>
    </row>
    <row r="215" spans="1:15">
      <c r="A215" s="17">
        <v>198</v>
      </c>
      <c r="B215" s="25" t="e">
        <v>#NAME?</v>
      </c>
      <c r="C215" s="25" t="e">
        <v>#NAME?</v>
      </c>
      <c r="D215" s="25" t="e">
        <v>#NAME?</v>
      </c>
      <c r="E215" s="25" t="e">
        <v>#NAME?</v>
      </c>
      <c r="F215" s="25" t="e">
        <v>#NAME?</v>
      </c>
      <c r="G215" s="27" t="e">
        <f t="shared" si="18"/>
        <v>#NAME?</v>
      </c>
      <c r="I215" s="17">
        <v>198</v>
      </c>
      <c r="J215" s="28" t="e">
        <f t="shared" si="19"/>
        <v>#NAME?</v>
      </c>
      <c r="K215" s="28" t="e">
        <f t="shared" si="19"/>
        <v>#NAME?</v>
      </c>
      <c r="L215" s="28" t="e">
        <f t="shared" si="19"/>
        <v>#NAME?</v>
      </c>
      <c r="M215" s="28" t="e">
        <f t="shared" si="19"/>
        <v>#NAME?</v>
      </c>
      <c r="N215" s="28" t="e">
        <f t="shared" si="19"/>
        <v>#NAME?</v>
      </c>
      <c r="O215" s="28" t="e">
        <f t="shared" si="19"/>
        <v>#NAME?</v>
      </c>
    </row>
    <row r="216" spans="1:15">
      <c r="A216" s="17">
        <v>199</v>
      </c>
      <c r="B216" s="25" t="e">
        <v>#NAME?</v>
      </c>
      <c r="C216" s="25" t="e">
        <v>#NAME?</v>
      </c>
      <c r="D216" s="25" t="e">
        <v>#NAME?</v>
      </c>
      <c r="E216" s="25" t="e">
        <v>#NAME?</v>
      </c>
      <c r="F216" s="25" t="e">
        <v>#NAME?</v>
      </c>
      <c r="G216" s="27" t="e">
        <f t="shared" si="18"/>
        <v>#NAME?</v>
      </c>
      <c r="I216" s="17">
        <v>199</v>
      </c>
      <c r="J216" s="28" t="e">
        <f t="shared" si="19"/>
        <v>#NAME?</v>
      </c>
      <c r="K216" s="28" t="e">
        <f t="shared" si="19"/>
        <v>#NAME?</v>
      </c>
      <c r="L216" s="28" t="e">
        <f t="shared" si="19"/>
        <v>#NAME?</v>
      </c>
      <c r="M216" s="28" t="e">
        <f t="shared" si="19"/>
        <v>#NAME?</v>
      </c>
      <c r="N216" s="28" t="e">
        <f t="shared" si="19"/>
        <v>#NAME?</v>
      </c>
      <c r="O216" s="28" t="e">
        <f t="shared" si="19"/>
        <v>#NAME?</v>
      </c>
    </row>
    <row r="217" spans="1:15">
      <c r="A217" s="17">
        <v>200</v>
      </c>
      <c r="B217" s="25" t="e">
        <v>#NAME?</v>
      </c>
      <c r="C217" s="25" t="e">
        <v>#NAME?</v>
      </c>
      <c r="D217" s="25" t="e">
        <v>#NAME?</v>
      </c>
      <c r="E217" s="25" t="e">
        <v>#NAME?</v>
      </c>
      <c r="F217" s="25" t="e">
        <v>#NAME?</v>
      </c>
      <c r="G217" s="27" t="e">
        <f t="shared" si="18"/>
        <v>#NAME?</v>
      </c>
      <c r="I217" s="17">
        <v>200</v>
      </c>
      <c r="J217" s="28" t="e">
        <f t="shared" si="19"/>
        <v>#NAME?</v>
      </c>
      <c r="K217" s="28" t="e">
        <f t="shared" si="19"/>
        <v>#NAME?</v>
      </c>
      <c r="L217" s="28" t="e">
        <f t="shared" si="19"/>
        <v>#NAME?</v>
      </c>
      <c r="M217" s="28" t="e">
        <f t="shared" si="19"/>
        <v>#NAME?</v>
      </c>
      <c r="N217" s="28" t="e">
        <f t="shared" si="19"/>
        <v>#NAME?</v>
      </c>
      <c r="O217" s="28" t="e">
        <f t="shared" si="19"/>
        <v>#NAME?</v>
      </c>
    </row>
    <row r="218" spans="1:15">
      <c r="A218" s="17">
        <v>201</v>
      </c>
      <c r="B218" s="25" t="e">
        <v>#NAME?</v>
      </c>
      <c r="C218" s="25" t="e">
        <v>#NAME?</v>
      </c>
      <c r="D218" s="25" t="e">
        <v>#NAME?</v>
      </c>
      <c r="E218" s="25" t="e">
        <v>#NAME?</v>
      </c>
      <c r="F218" s="25" t="e">
        <v>#NAME?</v>
      </c>
      <c r="G218" s="27" t="e">
        <f t="shared" si="18"/>
        <v>#NAME?</v>
      </c>
      <c r="I218" s="17">
        <v>201</v>
      </c>
      <c r="J218" s="28" t="e">
        <f t="shared" si="19"/>
        <v>#NAME?</v>
      </c>
      <c r="K218" s="28" t="e">
        <f t="shared" si="19"/>
        <v>#NAME?</v>
      </c>
      <c r="L218" s="28" t="e">
        <f t="shared" si="19"/>
        <v>#NAME?</v>
      </c>
      <c r="M218" s="28" t="e">
        <f t="shared" si="19"/>
        <v>#NAME?</v>
      </c>
      <c r="N218" s="28" t="e">
        <f t="shared" si="19"/>
        <v>#NAME?</v>
      </c>
      <c r="O218" s="28" t="e">
        <f t="shared" si="19"/>
        <v>#NAME?</v>
      </c>
    </row>
    <row r="219" spans="1:15">
      <c r="A219" s="17">
        <v>202</v>
      </c>
      <c r="B219" s="25" t="e">
        <v>#NAME?</v>
      </c>
      <c r="C219" s="25" t="e">
        <v>#NAME?</v>
      </c>
      <c r="D219" s="25" t="e">
        <v>#NAME?</v>
      </c>
      <c r="E219" s="25" t="e">
        <v>#NAME?</v>
      </c>
      <c r="F219" s="25" t="e">
        <v>#NAME?</v>
      </c>
      <c r="G219" s="27" t="e">
        <f t="shared" si="18"/>
        <v>#NAME?</v>
      </c>
      <c r="I219" s="17">
        <v>202</v>
      </c>
      <c r="J219" s="28" t="e">
        <f t="shared" si="19"/>
        <v>#NAME?</v>
      </c>
      <c r="K219" s="28" t="e">
        <f t="shared" si="19"/>
        <v>#NAME?</v>
      </c>
      <c r="L219" s="28" t="e">
        <f t="shared" si="19"/>
        <v>#NAME?</v>
      </c>
      <c r="M219" s="28" t="e">
        <f t="shared" si="19"/>
        <v>#NAME?</v>
      </c>
      <c r="N219" s="28" t="e">
        <f t="shared" si="19"/>
        <v>#NAME?</v>
      </c>
      <c r="O219" s="28" t="e">
        <f t="shared" si="19"/>
        <v>#NAME?</v>
      </c>
    </row>
    <row r="220" spans="1:15">
      <c r="A220" s="17">
        <v>203</v>
      </c>
      <c r="B220" s="25" t="e">
        <v>#NAME?</v>
      </c>
      <c r="C220" s="25" t="e">
        <v>#NAME?</v>
      </c>
      <c r="D220" s="25" t="e">
        <v>#NAME?</v>
      </c>
      <c r="E220" s="25" t="e">
        <v>#NAME?</v>
      </c>
      <c r="F220" s="25" t="e">
        <v>#NAME?</v>
      </c>
      <c r="G220" s="27" t="e">
        <f t="shared" si="18"/>
        <v>#NAME?</v>
      </c>
      <c r="I220" s="17">
        <v>203</v>
      </c>
      <c r="J220" s="28" t="e">
        <f t="shared" si="19"/>
        <v>#NAME?</v>
      </c>
      <c r="K220" s="28" t="e">
        <f t="shared" si="19"/>
        <v>#NAME?</v>
      </c>
      <c r="L220" s="28" t="e">
        <f t="shared" si="19"/>
        <v>#NAME?</v>
      </c>
      <c r="M220" s="28" t="e">
        <f t="shared" si="19"/>
        <v>#NAME?</v>
      </c>
      <c r="N220" s="28" t="e">
        <f t="shared" si="19"/>
        <v>#NAME?</v>
      </c>
      <c r="O220" s="28" t="e">
        <f t="shared" si="19"/>
        <v>#NAME?</v>
      </c>
    </row>
    <row r="221" spans="1:15">
      <c r="A221" s="17">
        <v>204</v>
      </c>
      <c r="B221" s="25" t="e">
        <v>#NAME?</v>
      </c>
      <c r="C221" s="25" t="e">
        <v>#NAME?</v>
      </c>
      <c r="D221" s="25" t="e">
        <v>#NAME?</v>
      </c>
      <c r="E221" s="25" t="e">
        <v>#NAME?</v>
      </c>
      <c r="F221" s="25" t="e">
        <v>#NAME?</v>
      </c>
      <c r="G221" s="27" t="e">
        <f t="shared" si="18"/>
        <v>#NAME?</v>
      </c>
      <c r="I221" s="17">
        <v>204</v>
      </c>
      <c r="J221" s="28" t="e">
        <f t="shared" si="19"/>
        <v>#NAME?</v>
      </c>
      <c r="K221" s="28" t="e">
        <f t="shared" si="19"/>
        <v>#NAME?</v>
      </c>
      <c r="L221" s="28" t="e">
        <f t="shared" si="19"/>
        <v>#NAME?</v>
      </c>
      <c r="M221" s="28" t="e">
        <f t="shared" si="19"/>
        <v>#NAME?</v>
      </c>
      <c r="N221" s="28" t="e">
        <f t="shared" si="19"/>
        <v>#NAME?</v>
      </c>
      <c r="O221" s="28" t="e">
        <f t="shared" si="19"/>
        <v>#NAME?</v>
      </c>
    </row>
    <row r="222" spans="1:15">
      <c r="A222" s="17">
        <v>205</v>
      </c>
      <c r="B222" s="25" t="e">
        <v>#NAME?</v>
      </c>
      <c r="C222" s="25" t="e">
        <v>#NAME?</v>
      </c>
      <c r="D222" s="25" t="e">
        <v>#NAME?</v>
      </c>
      <c r="E222" s="25" t="e">
        <v>#NAME?</v>
      </c>
      <c r="F222" s="25" t="e">
        <v>#NAME?</v>
      </c>
      <c r="G222" s="27" t="e">
        <f t="shared" si="18"/>
        <v>#NAME?</v>
      </c>
      <c r="I222" s="17">
        <v>205</v>
      </c>
      <c r="J222" s="28" t="e">
        <f t="shared" si="19"/>
        <v>#NAME?</v>
      </c>
      <c r="K222" s="28" t="e">
        <f t="shared" si="19"/>
        <v>#NAME?</v>
      </c>
      <c r="L222" s="28" t="e">
        <f t="shared" si="19"/>
        <v>#NAME?</v>
      </c>
      <c r="M222" s="28" t="e">
        <f t="shared" si="19"/>
        <v>#NAME?</v>
      </c>
      <c r="N222" s="28" t="e">
        <f t="shared" si="19"/>
        <v>#NAME?</v>
      </c>
      <c r="O222" s="28" t="e">
        <f t="shared" si="19"/>
        <v>#NAME?</v>
      </c>
    </row>
    <row r="223" spans="1:15">
      <c r="A223" s="17">
        <v>206</v>
      </c>
      <c r="B223" s="25" t="e">
        <v>#NAME?</v>
      </c>
      <c r="C223" s="25" t="e">
        <v>#NAME?</v>
      </c>
      <c r="D223" s="25" t="e">
        <v>#NAME?</v>
      </c>
      <c r="E223" s="25" t="e">
        <v>#NAME?</v>
      </c>
      <c r="F223" s="25" t="e">
        <v>#NAME?</v>
      </c>
      <c r="G223" s="27" t="e">
        <f t="shared" si="18"/>
        <v>#NAME?</v>
      </c>
      <c r="I223" s="17">
        <v>206</v>
      </c>
      <c r="J223" s="28" t="e">
        <f t="shared" si="19"/>
        <v>#NAME?</v>
      </c>
      <c r="K223" s="28" t="e">
        <f t="shared" si="19"/>
        <v>#NAME?</v>
      </c>
      <c r="L223" s="28" t="e">
        <f t="shared" si="19"/>
        <v>#NAME?</v>
      </c>
      <c r="M223" s="28" t="e">
        <f t="shared" si="19"/>
        <v>#NAME?</v>
      </c>
      <c r="N223" s="28" t="e">
        <f t="shared" si="19"/>
        <v>#NAME?</v>
      </c>
      <c r="O223" s="28" t="e">
        <f t="shared" si="19"/>
        <v>#NAME?</v>
      </c>
    </row>
    <row r="224" spans="1:15">
      <c r="A224" s="17">
        <v>207</v>
      </c>
      <c r="B224" s="25" t="e">
        <v>#NAME?</v>
      </c>
      <c r="C224" s="25" t="e">
        <v>#NAME?</v>
      </c>
      <c r="D224" s="25" t="e">
        <v>#NAME?</v>
      </c>
      <c r="E224" s="25" t="e">
        <v>#NAME?</v>
      </c>
      <c r="F224" s="25" t="e">
        <v>#NAME?</v>
      </c>
      <c r="G224" s="27" t="e">
        <f t="shared" si="18"/>
        <v>#NAME?</v>
      </c>
      <c r="I224" s="17">
        <v>207</v>
      </c>
      <c r="J224" s="28" t="e">
        <f t="shared" si="19"/>
        <v>#NAME?</v>
      </c>
      <c r="K224" s="28" t="e">
        <f t="shared" si="19"/>
        <v>#NAME?</v>
      </c>
      <c r="L224" s="28" t="e">
        <f t="shared" si="19"/>
        <v>#NAME?</v>
      </c>
      <c r="M224" s="28" t="e">
        <f t="shared" si="19"/>
        <v>#NAME?</v>
      </c>
      <c r="N224" s="28" t="e">
        <f t="shared" si="19"/>
        <v>#NAME?</v>
      </c>
      <c r="O224" s="28" t="e">
        <f t="shared" si="19"/>
        <v>#NAME?</v>
      </c>
    </row>
    <row r="225" spans="1:15">
      <c r="A225" s="17">
        <v>208</v>
      </c>
      <c r="B225" s="25" t="e">
        <v>#NAME?</v>
      </c>
      <c r="C225" s="25" t="e">
        <v>#NAME?</v>
      </c>
      <c r="D225" s="25" t="e">
        <v>#NAME?</v>
      </c>
      <c r="E225" s="25" t="e">
        <v>#NAME?</v>
      </c>
      <c r="F225" s="25" t="e">
        <v>#NAME?</v>
      </c>
      <c r="G225" s="27" t="e">
        <f t="shared" si="18"/>
        <v>#NAME?</v>
      </c>
      <c r="I225" s="17">
        <v>208</v>
      </c>
      <c r="J225" s="28" t="e">
        <f t="shared" si="19"/>
        <v>#NAME?</v>
      </c>
      <c r="K225" s="28" t="e">
        <f t="shared" si="19"/>
        <v>#NAME?</v>
      </c>
      <c r="L225" s="28" t="e">
        <f t="shared" si="19"/>
        <v>#NAME?</v>
      </c>
      <c r="M225" s="28" t="e">
        <f t="shared" si="19"/>
        <v>#NAME?</v>
      </c>
      <c r="N225" s="28" t="e">
        <f t="shared" si="19"/>
        <v>#NAME?</v>
      </c>
      <c r="O225" s="28" t="e">
        <f t="shared" si="19"/>
        <v>#NAME?</v>
      </c>
    </row>
    <row r="226" spans="1:15">
      <c r="A226" s="17">
        <v>209</v>
      </c>
      <c r="B226" s="25" t="e">
        <v>#NAME?</v>
      </c>
      <c r="C226" s="25" t="e">
        <v>#NAME?</v>
      </c>
      <c r="D226" s="25" t="e">
        <v>#NAME?</v>
      </c>
      <c r="E226" s="25" t="e">
        <v>#NAME?</v>
      </c>
      <c r="F226" s="25" t="e">
        <v>#NAME?</v>
      </c>
      <c r="G226" s="27" t="e">
        <f t="shared" si="18"/>
        <v>#NAME?</v>
      </c>
      <c r="I226" s="17">
        <v>209</v>
      </c>
      <c r="J226" s="28" t="e">
        <f t="shared" si="19"/>
        <v>#NAME?</v>
      </c>
      <c r="K226" s="28" t="e">
        <f t="shared" si="19"/>
        <v>#NAME?</v>
      </c>
      <c r="L226" s="28" t="e">
        <f t="shared" si="19"/>
        <v>#NAME?</v>
      </c>
      <c r="M226" s="28" t="e">
        <f t="shared" si="19"/>
        <v>#NAME?</v>
      </c>
      <c r="N226" s="28" t="e">
        <f t="shared" si="19"/>
        <v>#NAME?</v>
      </c>
      <c r="O226" s="28" t="e">
        <f t="shared" si="19"/>
        <v>#NAME?</v>
      </c>
    </row>
    <row r="227" spans="1:15">
      <c r="A227" s="17">
        <v>210</v>
      </c>
      <c r="B227" s="25" t="e">
        <v>#NAME?</v>
      </c>
      <c r="C227" s="25" t="e">
        <v>#NAME?</v>
      </c>
      <c r="D227" s="25" t="e">
        <v>#NAME?</v>
      </c>
      <c r="E227" s="25" t="e">
        <v>#NAME?</v>
      </c>
      <c r="F227" s="25" t="e">
        <v>#NAME?</v>
      </c>
      <c r="G227" s="27" t="e">
        <f t="shared" si="18"/>
        <v>#NAME?</v>
      </c>
      <c r="I227" s="17">
        <v>210</v>
      </c>
      <c r="J227" s="28" t="e">
        <f t="shared" ref="J227:O242" si="20">J226*(1+B227)</f>
        <v>#NAME?</v>
      </c>
      <c r="K227" s="28" t="e">
        <f t="shared" si="20"/>
        <v>#NAME?</v>
      </c>
      <c r="L227" s="28" t="e">
        <f t="shared" si="20"/>
        <v>#NAME?</v>
      </c>
      <c r="M227" s="28" t="e">
        <f t="shared" si="20"/>
        <v>#NAME?</v>
      </c>
      <c r="N227" s="28" t="e">
        <f t="shared" si="20"/>
        <v>#NAME?</v>
      </c>
      <c r="O227" s="28" t="e">
        <f t="shared" si="20"/>
        <v>#NAME?</v>
      </c>
    </row>
    <row r="228" spans="1:15">
      <c r="A228" s="17">
        <v>211</v>
      </c>
      <c r="B228" s="25" t="e">
        <v>#NAME?</v>
      </c>
      <c r="C228" s="25" t="e">
        <v>#NAME?</v>
      </c>
      <c r="D228" s="25" t="e">
        <v>#NAME?</v>
      </c>
      <c r="E228" s="25" t="e">
        <v>#NAME?</v>
      </c>
      <c r="F228" s="25" t="e">
        <v>#NAME?</v>
      </c>
      <c r="G228" s="27" t="e">
        <f t="shared" si="18"/>
        <v>#NAME?</v>
      </c>
      <c r="I228" s="17">
        <v>211</v>
      </c>
      <c r="J228" s="28" t="e">
        <f t="shared" si="20"/>
        <v>#NAME?</v>
      </c>
      <c r="K228" s="28" t="e">
        <f t="shared" si="20"/>
        <v>#NAME?</v>
      </c>
      <c r="L228" s="28" t="e">
        <f t="shared" si="20"/>
        <v>#NAME?</v>
      </c>
      <c r="M228" s="28" t="e">
        <f t="shared" si="20"/>
        <v>#NAME?</v>
      </c>
      <c r="N228" s="28" t="e">
        <f t="shared" si="20"/>
        <v>#NAME?</v>
      </c>
      <c r="O228" s="28" t="e">
        <f t="shared" si="20"/>
        <v>#NAME?</v>
      </c>
    </row>
    <row r="229" spans="1:15">
      <c r="A229" s="17">
        <v>212</v>
      </c>
      <c r="B229" s="25" t="e">
        <v>#NAME?</v>
      </c>
      <c r="C229" s="25" t="e">
        <v>#NAME?</v>
      </c>
      <c r="D229" s="25" t="e">
        <v>#NAME?</v>
      </c>
      <c r="E229" s="25" t="e">
        <v>#NAME?</v>
      </c>
      <c r="F229" s="25" t="e">
        <v>#NAME?</v>
      </c>
      <c r="G229" s="27" t="e">
        <f t="shared" si="18"/>
        <v>#NAME?</v>
      </c>
      <c r="I229" s="17">
        <v>212</v>
      </c>
      <c r="J229" s="28" t="e">
        <f t="shared" si="20"/>
        <v>#NAME?</v>
      </c>
      <c r="K229" s="28" t="e">
        <f t="shared" si="20"/>
        <v>#NAME?</v>
      </c>
      <c r="L229" s="28" t="e">
        <f t="shared" si="20"/>
        <v>#NAME?</v>
      </c>
      <c r="M229" s="28" t="e">
        <f t="shared" si="20"/>
        <v>#NAME?</v>
      </c>
      <c r="N229" s="28" t="e">
        <f t="shared" si="20"/>
        <v>#NAME?</v>
      </c>
      <c r="O229" s="28" t="e">
        <f t="shared" si="20"/>
        <v>#NAME?</v>
      </c>
    </row>
    <row r="230" spans="1:15">
      <c r="A230" s="17">
        <v>213</v>
      </c>
      <c r="B230" s="25" t="e">
        <v>#NAME?</v>
      </c>
      <c r="C230" s="25" t="e">
        <v>#NAME?</v>
      </c>
      <c r="D230" s="25" t="e">
        <v>#NAME?</v>
      </c>
      <c r="E230" s="25" t="e">
        <v>#NAME?</v>
      </c>
      <c r="F230" s="25" t="e">
        <v>#NAME?</v>
      </c>
      <c r="G230" s="27" t="e">
        <f t="shared" si="18"/>
        <v>#NAME?</v>
      </c>
      <c r="I230" s="17">
        <v>213</v>
      </c>
      <c r="J230" s="28" t="e">
        <f t="shared" si="20"/>
        <v>#NAME?</v>
      </c>
      <c r="K230" s="28" t="e">
        <f t="shared" si="20"/>
        <v>#NAME?</v>
      </c>
      <c r="L230" s="28" t="e">
        <f t="shared" si="20"/>
        <v>#NAME?</v>
      </c>
      <c r="M230" s="28" t="e">
        <f t="shared" si="20"/>
        <v>#NAME?</v>
      </c>
      <c r="N230" s="28" t="e">
        <f t="shared" si="20"/>
        <v>#NAME?</v>
      </c>
      <c r="O230" s="28" t="e">
        <f t="shared" si="20"/>
        <v>#NAME?</v>
      </c>
    </row>
    <row r="231" spans="1:15">
      <c r="A231" s="17">
        <v>214</v>
      </c>
      <c r="B231" s="25" t="e">
        <v>#NAME?</v>
      </c>
      <c r="C231" s="25" t="e">
        <v>#NAME?</v>
      </c>
      <c r="D231" s="25" t="e">
        <v>#NAME?</v>
      </c>
      <c r="E231" s="25" t="e">
        <v>#NAME?</v>
      </c>
      <c r="F231" s="25" t="e">
        <v>#NAME?</v>
      </c>
      <c r="G231" s="27" t="e">
        <f t="shared" si="18"/>
        <v>#NAME?</v>
      </c>
      <c r="I231" s="17">
        <v>214</v>
      </c>
      <c r="J231" s="28" t="e">
        <f t="shared" si="20"/>
        <v>#NAME?</v>
      </c>
      <c r="K231" s="28" t="e">
        <f t="shared" si="20"/>
        <v>#NAME?</v>
      </c>
      <c r="L231" s="28" t="e">
        <f t="shared" si="20"/>
        <v>#NAME?</v>
      </c>
      <c r="M231" s="28" t="e">
        <f t="shared" si="20"/>
        <v>#NAME?</v>
      </c>
      <c r="N231" s="28" t="e">
        <f t="shared" si="20"/>
        <v>#NAME?</v>
      </c>
      <c r="O231" s="28" t="e">
        <f t="shared" si="20"/>
        <v>#NAME?</v>
      </c>
    </row>
    <row r="232" spans="1:15">
      <c r="A232" s="17">
        <v>215</v>
      </c>
      <c r="B232" s="25" t="e">
        <v>#NAME?</v>
      </c>
      <c r="C232" s="25" t="e">
        <v>#NAME?</v>
      </c>
      <c r="D232" s="25" t="e">
        <v>#NAME?</v>
      </c>
      <c r="E232" s="25" t="e">
        <v>#NAME?</v>
      </c>
      <c r="F232" s="25" t="e">
        <v>#NAME?</v>
      </c>
      <c r="G232" s="27" t="e">
        <f t="shared" si="18"/>
        <v>#NAME?</v>
      </c>
      <c r="I232" s="17">
        <v>215</v>
      </c>
      <c r="J232" s="28" t="e">
        <f t="shared" si="20"/>
        <v>#NAME?</v>
      </c>
      <c r="K232" s="28" t="e">
        <f t="shared" si="20"/>
        <v>#NAME?</v>
      </c>
      <c r="L232" s="28" t="e">
        <f t="shared" si="20"/>
        <v>#NAME?</v>
      </c>
      <c r="M232" s="28" t="e">
        <f t="shared" si="20"/>
        <v>#NAME?</v>
      </c>
      <c r="N232" s="28" t="e">
        <f t="shared" si="20"/>
        <v>#NAME?</v>
      </c>
      <c r="O232" s="28" t="e">
        <f t="shared" si="20"/>
        <v>#NAME?</v>
      </c>
    </row>
    <row r="233" spans="1:15">
      <c r="A233" s="17">
        <v>216</v>
      </c>
      <c r="B233" s="25" t="e">
        <v>#NAME?</v>
      </c>
      <c r="C233" s="25" t="e">
        <v>#NAME?</v>
      </c>
      <c r="D233" s="25" t="e">
        <v>#NAME?</v>
      </c>
      <c r="E233" s="25" t="e">
        <v>#NAME?</v>
      </c>
      <c r="F233" s="25" t="e">
        <v>#NAME?</v>
      </c>
      <c r="G233" s="27" t="e">
        <f t="shared" si="18"/>
        <v>#NAME?</v>
      </c>
      <c r="I233" s="17">
        <v>216</v>
      </c>
      <c r="J233" s="28" t="e">
        <f t="shared" si="20"/>
        <v>#NAME?</v>
      </c>
      <c r="K233" s="28" t="e">
        <f t="shared" si="20"/>
        <v>#NAME?</v>
      </c>
      <c r="L233" s="28" t="e">
        <f t="shared" si="20"/>
        <v>#NAME?</v>
      </c>
      <c r="M233" s="28" t="e">
        <f t="shared" si="20"/>
        <v>#NAME?</v>
      </c>
      <c r="N233" s="28" t="e">
        <f t="shared" si="20"/>
        <v>#NAME?</v>
      </c>
      <c r="O233" s="28" t="e">
        <f t="shared" si="20"/>
        <v>#NAME?</v>
      </c>
    </row>
    <row r="234" spans="1:15">
      <c r="A234" s="17">
        <v>217</v>
      </c>
      <c r="B234" s="25" t="e">
        <v>#NAME?</v>
      </c>
      <c r="C234" s="25" t="e">
        <v>#NAME?</v>
      </c>
      <c r="D234" s="25" t="e">
        <v>#NAME?</v>
      </c>
      <c r="E234" s="25" t="e">
        <v>#NAME?</v>
      </c>
      <c r="F234" s="25" t="e">
        <v>#NAME?</v>
      </c>
      <c r="G234" s="27" t="e">
        <f t="shared" si="18"/>
        <v>#NAME?</v>
      </c>
      <c r="I234" s="17">
        <v>217</v>
      </c>
      <c r="J234" s="28" t="e">
        <f t="shared" si="20"/>
        <v>#NAME?</v>
      </c>
      <c r="K234" s="28" t="e">
        <f t="shared" si="20"/>
        <v>#NAME?</v>
      </c>
      <c r="L234" s="28" t="e">
        <f t="shared" si="20"/>
        <v>#NAME?</v>
      </c>
      <c r="M234" s="28" t="e">
        <f t="shared" si="20"/>
        <v>#NAME?</v>
      </c>
      <c r="N234" s="28" t="e">
        <f t="shared" si="20"/>
        <v>#NAME?</v>
      </c>
      <c r="O234" s="28" t="e">
        <f t="shared" si="20"/>
        <v>#NAME?</v>
      </c>
    </row>
    <row r="235" spans="1:15">
      <c r="A235" s="17">
        <v>218</v>
      </c>
      <c r="B235" s="25" t="e">
        <v>#NAME?</v>
      </c>
      <c r="C235" s="25" t="e">
        <v>#NAME?</v>
      </c>
      <c r="D235" s="25" t="e">
        <v>#NAME?</v>
      </c>
      <c r="E235" s="25" t="e">
        <v>#NAME?</v>
      </c>
      <c r="F235" s="25" t="e">
        <v>#NAME?</v>
      </c>
      <c r="G235" s="27" t="e">
        <f t="shared" si="18"/>
        <v>#NAME?</v>
      </c>
      <c r="I235" s="17">
        <v>218</v>
      </c>
      <c r="J235" s="28" t="e">
        <f t="shared" si="20"/>
        <v>#NAME?</v>
      </c>
      <c r="K235" s="28" t="e">
        <f t="shared" si="20"/>
        <v>#NAME?</v>
      </c>
      <c r="L235" s="28" t="e">
        <f t="shared" si="20"/>
        <v>#NAME?</v>
      </c>
      <c r="M235" s="28" t="e">
        <f t="shared" si="20"/>
        <v>#NAME?</v>
      </c>
      <c r="N235" s="28" t="e">
        <f t="shared" si="20"/>
        <v>#NAME?</v>
      </c>
      <c r="O235" s="28" t="e">
        <f t="shared" si="20"/>
        <v>#NAME?</v>
      </c>
    </row>
    <row r="236" spans="1:15">
      <c r="A236" s="17">
        <v>219</v>
      </c>
      <c r="B236" s="25" t="e">
        <v>#NAME?</v>
      </c>
      <c r="C236" s="25" t="e">
        <v>#NAME?</v>
      </c>
      <c r="D236" s="25" t="e">
        <v>#NAME?</v>
      </c>
      <c r="E236" s="25" t="e">
        <v>#NAME?</v>
      </c>
      <c r="F236" s="25" t="e">
        <v>#NAME?</v>
      </c>
      <c r="G236" s="27" t="e">
        <f t="shared" si="18"/>
        <v>#NAME?</v>
      </c>
      <c r="I236" s="17">
        <v>219</v>
      </c>
      <c r="J236" s="28" t="e">
        <f t="shared" si="20"/>
        <v>#NAME?</v>
      </c>
      <c r="K236" s="28" t="e">
        <f t="shared" si="20"/>
        <v>#NAME?</v>
      </c>
      <c r="L236" s="28" t="e">
        <f t="shared" si="20"/>
        <v>#NAME?</v>
      </c>
      <c r="M236" s="28" t="e">
        <f t="shared" si="20"/>
        <v>#NAME?</v>
      </c>
      <c r="N236" s="28" t="e">
        <f t="shared" si="20"/>
        <v>#NAME?</v>
      </c>
      <c r="O236" s="28" t="e">
        <f t="shared" si="20"/>
        <v>#NAME?</v>
      </c>
    </row>
    <row r="237" spans="1:15">
      <c r="A237" s="17">
        <v>220</v>
      </c>
      <c r="B237" s="25" t="e">
        <v>#NAME?</v>
      </c>
      <c r="C237" s="25" t="e">
        <v>#NAME?</v>
      </c>
      <c r="D237" s="25" t="e">
        <v>#NAME?</v>
      </c>
      <c r="E237" s="25" t="e">
        <v>#NAME?</v>
      </c>
      <c r="F237" s="25" t="e">
        <v>#NAME?</v>
      </c>
      <c r="G237" s="27" t="e">
        <f t="shared" si="18"/>
        <v>#NAME?</v>
      </c>
      <c r="I237" s="17">
        <v>220</v>
      </c>
      <c r="J237" s="28" t="e">
        <f t="shared" si="20"/>
        <v>#NAME?</v>
      </c>
      <c r="K237" s="28" t="e">
        <f t="shared" si="20"/>
        <v>#NAME?</v>
      </c>
      <c r="L237" s="28" t="e">
        <f t="shared" si="20"/>
        <v>#NAME?</v>
      </c>
      <c r="M237" s="28" t="e">
        <f t="shared" si="20"/>
        <v>#NAME?</v>
      </c>
      <c r="N237" s="28" t="e">
        <f t="shared" si="20"/>
        <v>#NAME?</v>
      </c>
      <c r="O237" s="28" t="e">
        <f t="shared" si="20"/>
        <v>#NAME?</v>
      </c>
    </row>
    <row r="238" spans="1:15">
      <c r="A238" s="17">
        <v>221</v>
      </c>
      <c r="B238" s="25" t="e">
        <v>#NAME?</v>
      </c>
      <c r="C238" s="25" t="e">
        <v>#NAME?</v>
      </c>
      <c r="D238" s="25" t="e">
        <v>#NAME?</v>
      </c>
      <c r="E238" s="25" t="e">
        <v>#NAME?</v>
      </c>
      <c r="F238" s="25" t="e">
        <v>#NAME?</v>
      </c>
      <c r="G238" s="27" t="e">
        <f t="shared" si="18"/>
        <v>#NAME?</v>
      </c>
      <c r="I238" s="17">
        <v>221</v>
      </c>
      <c r="J238" s="28" t="e">
        <f t="shared" si="20"/>
        <v>#NAME?</v>
      </c>
      <c r="K238" s="28" t="e">
        <f t="shared" si="20"/>
        <v>#NAME?</v>
      </c>
      <c r="L238" s="28" t="e">
        <f t="shared" si="20"/>
        <v>#NAME?</v>
      </c>
      <c r="M238" s="28" t="e">
        <f t="shared" si="20"/>
        <v>#NAME?</v>
      </c>
      <c r="N238" s="28" t="e">
        <f t="shared" si="20"/>
        <v>#NAME?</v>
      </c>
      <c r="O238" s="28" t="e">
        <f t="shared" si="20"/>
        <v>#NAME?</v>
      </c>
    </row>
    <row r="239" spans="1:15">
      <c r="A239" s="17">
        <v>222</v>
      </c>
      <c r="B239" s="25" t="e">
        <v>#NAME?</v>
      </c>
      <c r="C239" s="25" t="e">
        <v>#NAME?</v>
      </c>
      <c r="D239" s="25" t="e">
        <v>#NAME?</v>
      </c>
      <c r="E239" s="25" t="e">
        <v>#NAME?</v>
      </c>
      <c r="F239" s="25" t="e">
        <v>#NAME?</v>
      </c>
      <c r="G239" s="27" t="e">
        <f t="shared" si="18"/>
        <v>#NAME?</v>
      </c>
      <c r="I239" s="17">
        <v>222</v>
      </c>
      <c r="J239" s="28" t="e">
        <f t="shared" si="20"/>
        <v>#NAME?</v>
      </c>
      <c r="K239" s="28" t="e">
        <f t="shared" si="20"/>
        <v>#NAME?</v>
      </c>
      <c r="L239" s="28" t="e">
        <f t="shared" si="20"/>
        <v>#NAME?</v>
      </c>
      <c r="M239" s="28" t="e">
        <f t="shared" si="20"/>
        <v>#NAME?</v>
      </c>
      <c r="N239" s="28" t="e">
        <f t="shared" si="20"/>
        <v>#NAME?</v>
      </c>
      <c r="O239" s="28" t="e">
        <f t="shared" si="20"/>
        <v>#NAME?</v>
      </c>
    </row>
    <row r="240" spans="1:15">
      <c r="A240" s="17">
        <v>223</v>
      </c>
      <c r="B240" s="25" t="e">
        <v>#NAME?</v>
      </c>
      <c r="C240" s="25" t="e">
        <v>#NAME?</v>
      </c>
      <c r="D240" s="25" t="e">
        <v>#NAME?</v>
      </c>
      <c r="E240" s="25" t="e">
        <v>#NAME?</v>
      </c>
      <c r="F240" s="25" t="e">
        <v>#NAME?</v>
      </c>
      <c r="G240" s="27" t="e">
        <f t="shared" si="18"/>
        <v>#NAME?</v>
      </c>
      <c r="I240" s="17">
        <v>223</v>
      </c>
      <c r="J240" s="28" t="e">
        <f t="shared" si="20"/>
        <v>#NAME?</v>
      </c>
      <c r="K240" s="28" t="e">
        <f t="shared" si="20"/>
        <v>#NAME?</v>
      </c>
      <c r="L240" s="28" t="e">
        <f t="shared" si="20"/>
        <v>#NAME?</v>
      </c>
      <c r="M240" s="28" t="e">
        <f t="shared" si="20"/>
        <v>#NAME?</v>
      </c>
      <c r="N240" s="28" t="e">
        <f t="shared" si="20"/>
        <v>#NAME?</v>
      </c>
      <c r="O240" s="28" t="e">
        <f t="shared" si="20"/>
        <v>#NAME?</v>
      </c>
    </row>
    <row r="241" spans="1:15">
      <c r="A241" s="17">
        <v>224</v>
      </c>
      <c r="B241" s="25" t="e">
        <v>#NAME?</v>
      </c>
      <c r="C241" s="25" t="e">
        <v>#NAME?</v>
      </c>
      <c r="D241" s="25" t="e">
        <v>#NAME?</v>
      </c>
      <c r="E241" s="25" t="e">
        <v>#NAME?</v>
      </c>
      <c r="F241" s="25" t="e">
        <v>#NAME?</v>
      </c>
      <c r="G241" s="27" t="e">
        <f t="shared" si="18"/>
        <v>#NAME?</v>
      </c>
      <c r="I241" s="17">
        <v>224</v>
      </c>
      <c r="J241" s="28" t="e">
        <f t="shared" si="20"/>
        <v>#NAME?</v>
      </c>
      <c r="K241" s="28" t="e">
        <f t="shared" si="20"/>
        <v>#NAME?</v>
      </c>
      <c r="L241" s="28" t="e">
        <f t="shared" si="20"/>
        <v>#NAME?</v>
      </c>
      <c r="M241" s="28" t="e">
        <f t="shared" si="20"/>
        <v>#NAME?</v>
      </c>
      <c r="N241" s="28" t="e">
        <f t="shared" si="20"/>
        <v>#NAME?</v>
      </c>
      <c r="O241" s="28" t="e">
        <f t="shared" si="20"/>
        <v>#NAME?</v>
      </c>
    </row>
    <row r="242" spans="1:15">
      <c r="A242" s="17">
        <v>225</v>
      </c>
      <c r="B242" s="25" t="e">
        <v>#NAME?</v>
      </c>
      <c r="C242" s="25" t="e">
        <v>#NAME?</v>
      </c>
      <c r="D242" s="25" t="e">
        <v>#NAME?</v>
      </c>
      <c r="E242" s="25" t="e">
        <v>#NAME?</v>
      </c>
      <c r="F242" s="25" t="e">
        <v>#NAME?</v>
      </c>
      <c r="G242" s="27" t="e">
        <f t="shared" si="18"/>
        <v>#NAME?</v>
      </c>
      <c r="I242" s="17">
        <v>225</v>
      </c>
      <c r="J242" s="28" t="e">
        <f t="shared" si="20"/>
        <v>#NAME?</v>
      </c>
      <c r="K242" s="28" t="e">
        <f t="shared" si="20"/>
        <v>#NAME?</v>
      </c>
      <c r="L242" s="28" t="e">
        <f t="shared" si="20"/>
        <v>#NAME?</v>
      </c>
      <c r="M242" s="28" t="e">
        <f t="shared" si="20"/>
        <v>#NAME?</v>
      </c>
      <c r="N242" s="28" t="e">
        <f t="shared" si="20"/>
        <v>#NAME?</v>
      </c>
      <c r="O242" s="28" t="e">
        <f t="shared" si="20"/>
        <v>#NAME?</v>
      </c>
    </row>
    <row r="243" spans="1:15">
      <c r="A243" s="17">
        <v>226</v>
      </c>
      <c r="B243" s="25" t="e">
        <v>#NAME?</v>
      </c>
      <c r="C243" s="25" t="e">
        <v>#NAME?</v>
      </c>
      <c r="D243" s="25" t="e">
        <v>#NAME?</v>
      </c>
      <c r="E243" s="25" t="e">
        <v>#NAME?</v>
      </c>
      <c r="F243" s="25" t="e">
        <v>#NAME?</v>
      </c>
      <c r="G243" s="27" t="e">
        <f t="shared" si="18"/>
        <v>#NAME?</v>
      </c>
      <c r="I243" s="17">
        <v>226</v>
      </c>
      <c r="J243" s="28" t="e">
        <f t="shared" ref="J243:O258" si="21">J242*(1+B243)</f>
        <v>#NAME?</v>
      </c>
      <c r="K243" s="28" t="e">
        <f t="shared" si="21"/>
        <v>#NAME?</v>
      </c>
      <c r="L243" s="28" t="e">
        <f t="shared" si="21"/>
        <v>#NAME?</v>
      </c>
      <c r="M243" s="28" t="e">
        <f t="shared" si="21"/>
        <v>#NAME?</v>
      </c>
      <c r="N243" s="28" t="e">
        <f t="shared" si="21"/>
        <v>#NAME?</v>
      </c>
      <c r="O243" s="28" t="e">
        <f t="shared" si="21"/>
        <v>#NAME?</v>
      </c>
    </row>
    <row r="244" spans="1:15">
      <c r="A244" s="17">
        <v>227</v>
      </c>
      <c r="B244" s="25" t="e">
        <v>#NAME?</v>
      </c>
      <c r="C244" s="25" t="e">
        <v>#NAME?</v>
      </c>
      <c r="D244" s="25" t="e">
        <v>#NAME?</v>
      </c>
      <c r="E244" s="25" t="e">
        <v>#NAME?</v>
      </c>
      <c r="F244" s="25" t="e">
        <v>#NAME?</v>
      </c>
      <c r="G244" s="27" t="e">
        <f t="shared" si="18"/>
        <v>#NAME?</v>
      </c>
      <c r="I244" s="17">
        <v>227</v>
      </c>
      <c r="J244" s="28" t="e">
        <f t="shared" si="21"/>
        <v>#NAME?</v>
      </c>
      <c r="K244" s="28" t="e">
        <f t="shared" si="21"/>
        <v>#NAME?</v>
      </c>
      <c r="L244" s="28" t="e">
        <f t="shared" si="21"/>
        <v>#NAME?</v>
      </c>
      <c r="M244" s="28" t="e">
        <f t="shared" si="21"/>
        <v>#NAME?</v>
      </c>
      <c r="N244" s="28" t="e">
        <f t="shared" si="21"/>
        <v>#NAME?</v>
      </c>
      <c r="O244" s="28" t="e">
        <f t="shared" si="21"/>
        <v>#NAME?</v>
      </c>
    </row>
    <row r="245" spans="1:15">
      <c r="A245" s="17">
        <v>228</v>
      </c>
      <c r="B245" s="25" t="e">
        <v>#NAME?</v>
      </c>
      <c r="C245" s="25" t="e">
        <v>#NAME?</v>
      </c>
      <c r="D245" s="25" t="e">
        <v>#NAME?</v>
      </c>
      <c r="E245" s="25" t="e">
        <v>#NAME?</v>
      </c>
      <c r="F245" s="25" t="e">
        <v>#NAME?</v>
      </c>
      <c r="G245" s="27" t="e">
        <f t="shared" si="18"/>
        <v>#NAME?</v>
      </c>
      <c r="I245" s="17">
        <v>228</v>
      </c>
      <c r="J245" s="28" t="e">
        <f t="shared" si="21"/>
        <v>#NAME?</v>
      </c>
      <c r="K245" s="28" t="e">
        <f t="shared" si="21"/>
        <v>#NAME?</v>
      </c>
      <c r="L245" s="28" t="e">
        <f t="shared" si="21"/>
        <v>#NAME?</v>
      </c>
      <c r="M245" s="28" t="e">
        <f t="shared" si="21"/>
        <v>#NAME?</v>
      </c>
      <c r="N245" s="28" t="e">
        <f t="shared" si="21"/>
        <v>#NAME?</v>
      </c>
      <c r="O245" s="28" t="e">
        <f t="shared" si="21"/>
        <v>#NAME?</v>
      </c>
    </row>
    <row r="246" spans="1:15">
      <c r="A246" s="17">
        <v>229</v>
      </c>
      <c r="B246" s="25" t="e">
        <v>#NAME?</v>
      </c>
      <c r="C246" s="25" t="e">
        <v>#NAME?</v>
      </c>
      <c r="D246" s="25" t="e">
        <v>#NAME?</v>
      </c>
      <c r="E246" s="25" t="e">
        <v>#NAME?</v>
      </c>
      <c r="F246" s="25" t="e">
        <v>#NAME?</v>
      </c>
      <c r="G246" s="27" t="e">
        <f t="shared" si="18"/>
        <v>#NAME?</v>
      </c>
      <c r="I246" s="17">
        <v>229</v>
      </c>
      <c r="J246" s="28" t="e">
        <f t="shared" si="21"/>
        <v>#NAME?</v>
      </c>
      <c r="K246" s="28" t="e">
        <f t="shared" si="21"/>
        <v>#NAME?</v>
      </c>
      <c r="L246" s="28" t="e">
        <f t="shared" si="21"/>
        <v>#NAME?</v>
      </c>
      <c r="M246" s="28" t="e">
        <f t="shared" si="21"/>
        <v>#NAME?</v>
      </c>
      <c r="N246" s="28" t="e">
        <f t="shared" si="21"/>
        <v>#NAME?</v>
      </c>
      <c r="O246" s="28" t="e">
        <f t="shared" si="21"/>
        <v>#NAME?</v>
      </c>
    </row>
    <row r="247" spans="1:15">
      <c r="A247" s="17">
        <v>230</v>
      </c>
      <c r="B247" s="25" t="e">
        <v>#NAME?</v>
      </c>
      <c r="C247" s="25" t="e">
        <v>#NAME?</v>
      </c>
      <c r="D247" s="25" t="e">
        <v>#NAME?</v>
      </c>
      <c r="E247" s="25" t="e">
        <v>#NAME?</v>
      </c>
      <c r="F247" s="25" t="e">
        <v>#NAME?</v>
      </c>
      <c r="G247" s="27" t="e">
        <f t="shared" si="18"/>
        <v>#NAME?</v>
      </c>
      <c r="I247" s="17">
        <v>230</v>
      </c>
      <c r="J247" s="28" t="e">
        <f t="shared" si="21"/>
        <v>#NAME?</v>
      </c>
      <c r="K247" s="28" t="e">
        <f t="shared" si="21"/>
        <v>#NAME?</v>
      </c>
      <c r="L247" s="28" t="e">
        <f t="shared" si="21"/>
        <v>#NAME?</v>
      </c>
      <c r="M247" s="28" t="e">
        <f t="shared" si="21"/>
        <v>#NAME?</v>
      </c>
      <c r="N247" s="28" t="e">
        <f t="shared" si="21"/>
        <v>#NAME?</v>
      </c>
      <c r="O247" s="28" t="e">
        <f t="shared" si="21"/>
        <v>#NAME?</v>
      </c>
    </row>
    <row r="248" spans="1:15">
      <c r="A248" s="17">
        <v>231</v>
      </c>
      <c r="B248" s="25" t="e">
        <v>#NAME?</v>
      </c>
      <c r="C248" s="25" t="e">
        <v>#NAME?</v>
      </c>
      <c r="D248" s="25" t="e">
        <v>#NAME?</v>
      </c>
      <c r="E248" s="25" t="e">
        <v>#NAME?</v>
      </c>
      <c r="F248" s="25" t="e">
        <v>#NAME?</v>
      </c>
      <c r="G248" s="27" t="e">
        <f t="shared" si="18"/>
        <v>#NAME?</v>
      </c>
      <c r="I248" s="17">
        <v>231</v>
      </c>
      <c r="J248" s="28" t="e">
        <f t="shared" si="21"/>
        <v>#NAME?</v>
      </c>
      <c r="K248" s="28" t="e">
        <f t="shared" si="21"/>
        <v>#NAME?</v>
      </c>
      <c r="L248" s="28" t="e">
        <f t="shared" si="21"/>
        <v>#NAME?</v>
      </c>
      <c r="M248" s="28" t="e">
        <f t="shared" si="21"/>
        <v>#NAME?</v>
      </c>
      <c r="N248" s="28" t="e">
        <f t="shared" si="21"/>
        <v>#NAME?</v>
      </c>
      <c r="O248" s="28" t="e">
        <f t="shared" si="21"/>
        <v>#NAME?</v>
      </c>
    </row>
    <row r="249" spans="1:15">
      <c r="A249" s="17">
        <v>232</v>
      </c>
      <c r="B249" s="25" t="e">
        <v>#NAME?</v>
      </c>
      <c r="C249" s="25" t="e">
        <v>#NAME?</v>
      </c>
      <c r="D249" s="25" t="e">
        <v>#NAME?</v>
      </c>
      <c r="E249" s="25" t="e">
        <v>#NAME?</v>
      </c>
      <c r="F249" s="25" t="e">
        <v>#NAME?</v>
      </c>
      <c r="G249" s="27" t="e">
        <f t="shared" si="18"/>
        <v>#NAME?</v>
      </c>
      <c r="I249" s="17">
        <v>232</v>
      </c>
      <c r="J249" s="28" t="e">
        <f t="shared" si="21"/>
        <v>#NAME?</v>
      </c>
      <c r="K249" s="28" t="e">
        <f t="shared" si="21"/>
        <v>#NAME?</v>
      </c>
      <c r="L249" s="28" t="e">
        <f t="shared" si="21"/>
        <v>#NAME?</v>
      </c>
      <c r="M249" s="28" t="e">
        <f t="shared" si="21"/>
        <v>#NAME?</v>
      </c>
      <c r="N249" s="28" t="e">
        <f t="shared" si="21"/>
        <v>#NAME?</v>
      </c>
      <c r="O249" s="28" t="e">
        <f t="shared" si="21"/>
        <v>#NAME?</v>
      </c>
    </row>
    <row r="250" spans="1:15">
      <c r="A250" s="17">
        <v>233</v>
      </c>
      <c r="B250" s="25" t="e">
        <v>#NAME?</v>
      </c>
      <c r="C250" s="25" t="e">
        <v>#NAME?</v>
      </c>
      <c r="D250" s="25" t="e">
        <v>#NAME?</v>
      </c>
      <c r="E250" s="25" t="e">
        <v>#NAME?</v>
      </c>
      <c r="F250" s="25" t="e">
        <v>#NAME?</v>
      </c>
      <c r="G250" s="27" t="e">
        <f t="shared" si="18"/>
        <v>#NAME?</v>
      </c>
      <c r="I250" s="17">
        <v>233</v>
      </c>
      <c r="J250" s="28" t="e">
        <f t="shared" si="21"/>
        <v>#NAME?</v>
      </c>
      <c r="K250" s="28" t="e">
        <f t="shared" si="21"/>
        <v>#NAME?</v>
      </c>
      <c r="L250" s="28" t="e">
        <f t="shared" si="21"/>
        <v>#NAME?</v>
      </c>
      <c r="M250" s="28" t="e">
        <f t="shared" si="21"/>
        <v>#NAME?</v>
      </c>
      <c r="N250" s="28" t="e">
        <f t="shared" si="21"/>
        <v>#NAME?</v>
      </c>
      <c r="O250" s="28" t="e">
        <f t="shared" si="21"/>
        <v>#NAME?</v>
      </c>
    </row>
    <row r="251" spans="1:15">
      <c r="A251" s="17">
        <v>234</v>
      </c>
      <c r="B251" s="25" t="e">
        <v>#NAME?</v>
      </c>
      <c r="C251" s="25" t="e">
        <v>#NAME?</v>
      </c>
      <c r="D251" s="25" t="e">
        <v>#NAME?</v>
      </c>
      <c r="E251" s="25" t="e">
        <v>#NAME?</v>
      </c>
      <c r="F251" s="25" t="e">
        <v>#NAME?</v>
      </c>
      <c r="G251" s="27" t="e">
        <f t="shared" si="18"/>
        <v>#NAME?</v>
      </c>
      <c r="I251" s="17">
        <v>234</v>
      </c>
      <c r="J251" s="28" t="e">
        <f t="shared" si="21"/>
        <v>#NAME?</v>
      </c>
      <c r="K251" s="28" t="e">
        <f t="shared" si="21"/>
        <v>#NAME?</v>
      </c>
      <c r="L251" s="28" t="e">
        <f t="shared" si="21"/>
        <v>#NAME?</v>
      </c>
      <c r="M251" s="28" t="e">
        <f t="shared" si="21"/>
        <v>#NAME?</v>
      </c>
      <c r="N251" s="28" t="e">
        <f t="shared" si="21"/>
        <v>#NAME?</v>
      </c>
      <c r="O251" s="28" t="e">
        <f t="shared" si="21"/>
        <v>#NAME?</v>
      </c>
    </row>
    <row r="252" spans="1:15">
      <c r="A252" s="17">
        <v>235</v>
      </c>
      <c r="B252" s="25" t="e">
        <v>#NAME?</v>
      </c>
      <c r="C252" s="25" t="e">
        <v>#NAME?</v>
      </c>
      <c r="D252" s="25" t="e">
        <v>#NAME?</v>
      </c>
      <c r="E252" s="25" t="e">
        <v>#NAME?</v>
      </c>
      <c r="F252" s="25" t="e">
        <v>#NAME?</v>
      </c>
      <c r="G252" s="27" t="e">
        <f t="shared" si="18"/>
        <v>#NAME?</v>
      </c>
      <c r="I252" s="17">
        <v>235</v>
      </c>
      <c r="J252" s="28" t="e">
        <f t="shared" si="21"/>
        <v>#NAME?</v>
      </c>
      <c r="K252" s="28" t="e">
        <f t="shared" si="21"/>
        <v>#NAME?</v>
      </c>
      <c r="L252" s="28" t="e">
        <f t="shared" si="21"/>
        <v>#NAME?</v>
      </c>
      <c r="M252" s="28" t="e">
        <f t="shared" si="21"/>
        <v>#NAME?</v>
      </c>
      <c r="N252" s="28" t="e">
        <f t="shared" si="21"/>
        <v>#NAME?</v>
      </c>
      <c r="O252" s="28" t="e">
        <f t="shared" si="21"/>
        <v>#NAME?</v>
      </c>
    </row>
    <row r="253" spans="1:15">
      <c r="A253" s="17">
        <v>236</v>
      </c>
      <c r="B253" s="25" t="e">
        <v>#NAME?</v>
      </c>
      <c r="C253" s="25" t="e">
        <v>#NAME?</v>
      </c>
      <c r="D253" s="25" t="e">
        <v>#NAME?</v>
      </c>
      <c r="E253" s="25" t="e">
        <v>#NAME?</v>
      </c>
      <c r="F253" s="25" t="e">
        <v>#NAME?</v>
      </c>
      <c r="G253" s="27" t="e">
        <f t="shared" si="18"/>
        <v>#NAME?</v>
      </c>
      <c r="I253" s="17">
        <v>236</v>
      </c>
      <c r="J253" s="28" t="e">
        <f t="shared" si="21"/>
        <v>#NAME?</v>
      </c>
      <c r="K253" s="28" t="e">
        <f t="shared" si="21"/>
        <v>#NAME?</v>
      </c>
      <c r="L253" s="28" t="e">
        <f t="shared" si="21"/>
        <v>#NAME?</v>
      </c>
      <c r="M253" s="28" t="e">
        <f t="shared" si="21"/>
        <v>#NAME?</v>
      </c>
      <c r="N253" s="28" t="e">
        <f t="shared" si="21"/>
        <v>#NAME?</v>
      </c>
      <c r="O253" s="28" t="e">
        <f t="shared" si="21"/>
        <v>#NAME?</v>
      </c>
    </row>
    <row r="254" spans="1:15">
      <c r="A254" s="17">
        <v>237</v>
      </c>
      <c r="B254" s="25" t="e">
        <v>#NAME?</v>
      </c>
      <c r="C254" s="25" t="e">
        <v>#NAME?</v>
      </c>
      <c r="D254" s="25" t="e">
        <v>#NAME?</v>
      </c>
      <c r="E254" s="25" t="e">
        <v>#NAME?</v>
      </c>
      <c r="F254" s="25" t="e">
        <v>#NAME?</v>
      </c>
      <c r="G254" s="27" t="e">
        <f t="shared" si="18"/>
        <v>#NAME?</v>
      </c>
      <c r="I254" s="17">
        <v>237</v>
      </c>
      <c r="J254" s="28" t="e">
        <f t="shared" si="21"/>
        <v>#NAME?</v>
      </c>
      <c r="K254" s="28" t="e">
        <f t="shared" si="21"/>
        <v>#NAME?</v>
      </c>
      <c r="L254" s="28" t="e">
        <f t="shared" si="21"/>
        <v>#NAME?</v>
      </c>
      <c r="M254" s="28" t="e">
        <f t="shared" si="21"/>
        <v>#NAME?</v>
      </c>
      <c r="N254" s="28" t="e">
        <f t="shared" si="21"/>
        <v>#NAME?</v>
      </c>
      <c r="O254" s="28" t="e">
        <f t="shared" si="21"/>
        <v>#NAME?</v>
      </c>
    </row>
    <row r="255" spans="1:15">
      <c r="A255" s="17">
        <v>238</v>
      </c>
      <c r="B255" s="25" t="e">
        <v>#NAME?</v>
      </c>
      <c r="C255" s="25" t="e">
        <v>#NAME?</v>
      </c>
      <c r="D255" s="25" t="e">
        <v>#NAME?</v>
      </c>
      <c r="E255" s="25" t="e">
        <v>#NAME?</v>
      </c>
      <c r="F255" s="25" t="e">
        <v>#NAME?</v>
      </c>
      <c r="G255" s="27" t="e">
        <f t="shared" si="18"/>
        <v>#NAME?</v>
      </c>
      <c r="I255" s="17">
        <v>238</v>
      </c>
      <c r="J255" s="28" t="e">
        <f t="shared" si="21"/>
        <v>#NAME?</v>
      </c>
      <c r="K255" s="28" t="e">
        <f t="shared" si="21"/>
        <v>#NAME?</v>
      </c>
      <c r="L255" s="28" t="e">
        <f t="shared" si="21"/>
        <v>#NAME?</v>
      </c>
      <c r="M255" s="28" t="e">
        <f t="shared" si="21"/>
        <v>#NAME?</v>
      </c>
      <c r="N255" s="28" t="e">
        <f t="shared" si="21"/>
        <v>#NAME?</v>
      </c>
      <c r="O255" s="28" t="e">
        <f t="shared" si="21"/>
        <v>#NAME?</v>
      </c>
    </row>
    <row r="256" spans="1:15">
      <c r="A256" s="17">
        <v>239</v>
      </c>
      <c r="B256" s="25" t="e">
        <v>#NAME?</v>
      </c>
      <c r="C256" s="25" t="e">
        <v>#NAME?</v>
      </c>
      <c r="D256" s="25" t="e">
        <v>#NAME?</v>
      </c>
      <c r="E256" s="25" t="e">
        <v>#NAME?</v>
      </c>
      <c r="F256" s="25" t="e">
        <v>#NAME?</v>
      </c>
      <c r="G256" s="27" t="e">
        <f t="shared" si="18"/>
        <v>#NAME?</v>
      </c>
      <c r="I256" s="17">
        <v>239</v>
      </c>
      <c r="J256" s="28" t="e">
        <f t="shared" si="21"/>
        <v>#NAME?</v>
      </c>
      <c r="K256" s="28" t="e">
        <f t="shared" si="21"/>
        <v>#NAME?</v>
      </c>
      <c r="L256" s="28" t="e">
        <f t="shared" si="21"/>
        <v>#NAME?</v>
      </c>
      <c r="M256" s="28" t="e">
        <f t="shared" si="21"/>
        <v>#NAME?</v>
      </c>
      <c r="N256" s="28" t="e">
        <f t="shared" si="21"/>
        <v>#NAME?</v>
      </c>
      <c r="O256" s="28" t="e">
        <f t="shared" si="21"/>
        <v>#NAME?</v>
      </c>
    </row>
    <row r="257" spans="1:15">
      <c r="A257" s="17">
        <v>240</v>
      </c>
      <c r="B257" s="25" t="e">
        <v>#NAME?</v>
      </c>
      <c r="C257" s="25" t="e">
        <v>#NAME?</v>
      </c>
      <c r="D257" s="25" t="e">
        <v>#NAME?</v>
      </c>
      <c r="E257" s="25" t="e">
        <v>#NAME?</v>
      </c>
      <c r="F257" s="25" t="e">
        <v>#NAME?</v>
      </c>
      <c r="G257" s="27" t="e">
        <f t="shared" si="18"/>
        <v>#NAME?</v>
      </c>
      <c r="I257" s="17">
        <v>240</v>
      </c>
      <c r="J257" s="28" t="e">
        <f t="shared" si="21"/>
        <v>#NAME?</v>
      </c>
      <c r="K257" s="28" t="e">
        <f t="shared" si="21"/>
        <v>#NAME?</v>
      </c>
      <c r="L257" s="28" t="e">
        <f t="shared" si="21"/>
        <v>#NAME?</v>
      </c>
      <c r="M257" s="28" t="e">
        <f t="shared" si="21"/>
        <v>#NAME?</v>
      </c>
      <c r="N257" s="28" t="e">
        <f t="shared" si="21"/>
        <v>#NAME?</v>
      </c>
      <c r="O257" s="28" t="e">
        <f t="shared" si="21"/>
        <v>#NAME?</v>
      </c>
    </row>
    <row r="258" spans="1:15">
      <c r="A258" s="17">
        <v>241</v>
      </c>
      <c r="B258" s="25" t="e">
        <v>#NAME?</v>
      </c>
      <c r="C258" s="25" t="e">
        <v>#NAME?</v>
      </c>
      <c r="D258" s="25" t="e">
        <v>#NAME?</v>
      </c>
      <c r="E258" s="25" t="e">
        <v>#NAME?</v>
      </c>
      <c r="F258" s="25" t="e">
        <v>#NAME?</v>
      </c>
      <c r="G258" s="27" t="e">
        <f t="shared" ref="G258" si="22">AVERAGE(G18:G257)</f>
        <v>#NAME?</v>
      </c>
      <c r="I258" s="17">
        <v>241</v>
      </c>
      <c r="J258" s="28" t="e">
        <f t="shared" si="21"/>
        <v>#NAME?</v>
      </c>
      <c r="K258" s="28" t="e">
        <f t="shared" si="21"/>
        <v>#NAME?</v>
      </c>
      <c r="L258" s="28" t="e">
        <f t="shared" si="21"/>
        <v>#NAME?</v>
      </c>
      <c r="M258" s="28" t="e">
        <f t="shared" si="21"/>
        <v>#NAME?</v>
      </c>
      <c r="N258" s="28" t="e">
        <f t="shared" si="21"/>
        <v>#NAME?</v>
      </c>
      <c r="O258" s="28" t="e">
        <f t="shared" si="21"/>
        <v>#NAME?</v>
      </c>
    </row>
    <row r="259" spans="1:15">
      <c r="A259" s="17">
        <v>242</v>
      </c>
      <c r="B259" s="25" t="e">
        <v>#NAME?</v>
      </c>
      <c r="C259" s="25" t="e">
        <v>#NAME?</v>
      </c>
      <c r="D259" s="25" t="e">
        <v>#NAME?</v>
      </c>
      <c r="E259" s="25" t="e">
        <v>#NAME?</v>
      </c>
      <c r="F259" s="25" t="e">
        <v>#NAME?</v>
      </c>
      <c r="G259" s="27" t="e">
        <f t="shared" ref="G259:G317" si="23">_xlfn.STDEV.P(G18:G257)</f>
        <v>#NAME?</v>
      </c>
      <c r="I259" s="17">
        <v>242</v>
      </c>
      <c r="J259" s="28" t="e">
        <f t="shared" ref="J259:O274" si="24">J258*(1+B259)</f>
        <v>#NAME?</v>
      </c>
      <c r="K259" s="28" t="e">
        <f t="shared" si="24"/>
        <v>#NAME?</v>
      </c>
      <c r="L259" s="28" t="e">
        <f t="shared" si="24"/>
        <v>#NAME?</v>
      </c>
      <c r="M259" s="28" t="e">
        <f t="shared" si="24"/>
        <v>#NAME?</v>
      </c>
      <c r="N259" s="28" t="e">
        <f t="shared" si="24"/>
        <v>#NAME?</v>
      </c>
      <c r="O259" s="28" t="e">
        <f t="shared" si="24"/>
        <v>#NAME?</v>
      </c>
    </row>
    <row r="260" spans="1:15">
      <c r="A260" s="17">
        <v>243</v>
      </c>
      <c r="B260" s="25" t="e">
        <v>#NAME?</v>
      </c>
      <c r="C260" s="25" t="e">
        <v>#NAME?</v>
      </c>
      <c r="D260" s="25" t="e">
        <v>#NAME?</v>
      </c>
      <c r="E260" s="25" t="e">
        <v>#NAME?</v>
      </c>
      <c r="F260" s="25" t="e">
        <v>#NAME?</v>
      </c>
      <c r="G260" s="27" t="e">
        <f t="shared" si="23"/>
        <v>#NAME?</v>
      </c>
      <c r="I260" s="17">
        <v>243</v>
      </c>
      <c r="J260" s="28" t="e">
        <f t="shared" si="24"/>
        <v>#NAME?</v>
      </c>
      <c r="K260" s="28" t="e">
        <f t="shared" si="24"/>
        <v>#NAME?</v>
      </c>
      <c r="L260" s="28" t="e">
        <f t="shared" si="24"/>
        <v>#NAME?</v>
      </c>
      <c r="M260" s="28" t="e">
        <f t="shared" si="24"/>
        <v>#NAME?</v>
      </c>
      <c r="N260" s="28" t="e">
        <f t="shared" si="24"/>
        <v>#NAME?</v>
      </c>
      <c r="O260" s="28" t="e">
        <f t="shared" si="24"/>
        <v>#NAME?</v>
      </c>
    </row>
    <row r="261" spans="1:15">
      <c r="A261" s="17">
        <v>244</v>
      </c>
      <c r="B261" s="25" t="e">
        <v>#NAME?</v>
      </c>
      <c r="C261" s="25" t="e">
        <v>#NAME?</v>
      </c>
      <c r="D261" s="25" t="e">
        <v>#NAME?</v>
      </c>
      <c r="E261" s="25" t="e">
        <v>#NAME?</v>
      </c>
      <c r="F261" s="25" t="e">
        <v>#NAME?</v>
      </c>
      <c r="G261" s="27" t="e">
        <f t="shared" si="23"/>
        <v>#NAME?</v>
      </c>
      <c r="I261" s="17">
        <v>244</v>
      </c>
      <c r="J261" s="28" t="e">
        <f t="shared" si="24"/>
        <v>#NAME?</v>
      </c>
      <c r="K261" s="28" t="e">
        <f t="shared" si="24"/>
        <v>#NAME?</v>
      </c>
      <c r="L261" s="28" t="e">
        <f t="shared" si="24"/>
        <v>#NAME?</v>
      </c>
      <c r="M261" s="28" t="e">
        <f t="shared" si="24"/>
        <v>#NAME?</v>
      </c>
      <c r="N261" s="28" t="e">
        <f t="shared" si="24"/>
        <v>#NAME?</v>
      </c>
      <c r="O261" s="28" t="e">
        <f t="shared" si="24"/>
        <v>#NAME?</v>
      </c>
    </row>
    <row r="262" spans="1:15">
      <c r="A262" s="17">
        <v>245</v>
      </c>
      <c r="B262" s="25" t="e">
        <v>#NAME?</v>
      </c>
      <c r="C262" s="25" t="e">
        <v>#NAME?</v>
      </c>
      <c r="D262" s="25" t="e">
        <v>#NAME?</v>
      </c>
      <c r="E262" s="25" t="e">
        <v>#NAME?</v>
      </c>
      <c r="F262" s="25" t="e">
        <v>#NAME?</v>
      </c>
      <c r="G262" s="27" t="e">
        <f t="shared" si="23"/>
        <v>#NAME?</v>
      </c>
      <c r="I262" s="17">
        <v>245</v>
      </c>
      <c r="J262" s="28" t="e">
        <f t="shared" si="24"/>
        <v>#NAME?</v>
      </c>
      <c r="K262" s="28" t="e">
        <f t="shared" si="24"/>
        <v>#NAME?</v>
      </c>
      <c r="L262" s="28" t="e">
        <f t="shared" si="24"/>
        <v>#NAME?</v>
      </c>
      <c r="M262" s="28" t="e">
        <f t="shared" si="24"/>
        <v>#NAME?</v>
      </c>
      <c r="N262" s="28" t="e">
        <f t="shared" si="24"/>
        <v>#NAME?</v>
      </c>
      <c r="O262" s="28" t="e">
        <f t="shared" si="24"/>
        <v>#NAME?</v>
      </c>
    </row>
    <row r="263" spans="1:15">
      <c r="A263" s="17">
        <v>246</v>
      </c>
      <c r="B263" s="25" t="e">
        <v>#NAME?</v>
      </c>
      <c r="C263" s="25" t="e">
        <v>#NAME?</v>
      </c>
      <c r="D263" s="25" t="e">
        <v>#NAME?</v>
      </c>
      <c r="E263" s="25" t="e">
        <v>#NAME?</v>
      </c>
      <c r="F263" s="25" t="e">
        <v>#NAME?</v>
      </c>
      <c r="G263" s="27" t="e">
        <f t="shared" si="23"/>
        <v>#NAME?</v>
      </c>
      <c r="I263" s="17">
        <v>246</v>
      </c>
      <c r="J263" s="28" t="e">
        <f t="shared" si="24"/>
        <v>#NAME?</v>
      </c>
      <c r="K263" s="28" t="e">
        <f t="shared" si="24"/>
        <v>#NAME?</v>
      </c>
      <c r="L263" s="28" t="e">
        <f t="shared" si="24"/>
        <v>#NAME?</v>
      </c>
      <c r="M263" s="28" t="e">
        <f t="shared" si="24"/>
        <v>#NAME?</v>
      </c>
      <c r="N263" s="28" t="e">
        <f t="shared" si="24"/>
        <v>#NAME?</v>
      </c>
      <c r="O263" s="28" t="e">
        <f t="shared" si="24"/>
        <v>#NAME?</v>
      </c>
    </row>
    <row r="264" spans="1:15">
      <c r="A264" s="17">
        <v>247</v>
      </c>
      <c r="B264" s="25" t="e">
        <v>#NAME?</v>
      </c>
      <c r="C264" s="25" t="e">
        <v>#NAME?</v>
      </c>
      <c r="D264" s="25" t="e">
        <v>#NAME?</v>
      </c>
      <c r="E264" s="25" t="e">
        <v>#NAME?</v>
      </c>
      <c r="F264" s="25" t="e">
        <v>#NAME?</v>
      </c>
      <c r="G264" s="27" t="e">
        <f t="shared" si="23"/>
        <v>#NAME?</v>
      </c>
      <c r="I264" s="17">
        <v>247</v>
      </c>
      <c r="J264" s="28" t="e">
        <f t="shared" si="24"/>
        <v>#NAME?</v>
      </c>
      <c r="K264" s="28" t="e">
        <f t="shared" si="24"/>
        <v>#NAME?</v>
      </c>
      <c r="L264" s="28" t="e">
        <f t="shared" si="24"/>
        <v>#NAME?</v>
      </c>
      <c r="M264" s="28" t="e">
        <f t="shared" si="24"/>
        <v>#NAME?</v>
      </c>
      <c r="N264" s="28" t="e">
        <f t="shared" si="24"/>
        <v>#NAME?</v>
      </c>
      <c r="O264" s="28" t="e">
        <f t="shared" si="24"/>
        <v>#NAME?</v>
      </c>
    </row>
    <row r="265" spans="1:15">
      <c r="A265" s="17">
        <v>248</v>
      </c>
      <c r="B265" s="25" t="e">
        <v>#NAME?</v>
      </c>
      <c r="C265" s="25" t="e">
        <v>#NAME?</v>
      </c>
      <c r="D265" s="25" t="e">
        <v>#NAME?</v>
      </c>
      <c r="E265" s="25" t="e">
        <v>#NAME?</v>
      </c>
      <c r="F265" s="25" t="e">
        <v>#NAME?</v>
      </c>
      <c r="G265" s="27" t="e">
        <f t="shared" si="23"/>
        <v>#NAME?</v>
      </c>
      <c r="I265" s="17">
        <v>248</v>
      </c>
      <c r="J265" s="28" t="e">
        <f t="shared" si="24"/>
        <v>#NAME?</v>
      </c>
      <c r="K265" s="28" t="e">
        <f t="shared" si="24"/>
        <v>#NAME?</v>
      </c>
      <c r="L265" s="28" t="e">
        <f t="shared" si="24"/>
        <v>#NAME?</v>
      </c>
      <c r="M265" s="28" t="e">
        <f t="shared" si="24"/>
        <v>#NAME?</v>
      </c>
      <c r="N265" s="28" t="e">
        <f t="shared" si="24"/>
        <v>#NAME?</v>
      </c>
      <c r="O265" s="28" t="e">
        <f t="shared" si="24"/>
        <v>#NAME?</v>
      </c>
    </row>
    <row r="266" spans="1:15">
      <c r="A266" s="17">
        <v>249</v>
      </c>
      <c r="B266" s="25" t="e">
        <v>#NAME?</v>
      </c>
      <c r="C266" s="25" t="e">
        <v>#NAME?</v>
      </c>
      <c r="D266" s="25" t="e">
        <v>#NAME?</v>
      </c>
      <c r="E266" s="25" t="e">
        <v>#NAME?</v>
      </c>
      <c r="F266" s="25" t="e">
        <v>#NAME?</v>
      </c>
      <c r="G266" s="27" t="e">
        <f t="shared" si="23"/>
        <v>#NAME?</v>
      </c>
      <c r="I266" s="17">
        <v>249</v>
      </c>
      <c r="J266" s="28" t="e">
        <f t="shared" si="24"/>
        <v>#NAME?</v>
      </c>
      <c r="K266" s="28" t="e">
        <f t="shared" si="24"/>
        <v>#NAME?</v>
      </c>
      <c r="L266" s="28" t="e">
        <f t="shared" si="24"/>
        <v>#NAME?</v>
      </c>
      <c r="M266" s="28" t="e">
        <f t="shared" si="24"/>
        <v>#NAME?</v>
      </c>
      <c r="N266" s="28" t="e">
        <f t="shared" si="24"/>
        <v>#NAME?</v>
      </c>
      <c r="O266" s="28" t="e">
        <f t="shared" si="24"/>
        <v>#NAME?</v>
      </c>
    </row>
    <row r="267" spans="1:15">
      <c r="A267" s="17">
        <v>250</v>
      </c>
      <c r="B267" s="25" t="e">
        <v>#NAME?</v>
      </c>
      <c r="C267" s="25" t="e">
        <v>#NAME?</v>
      </c>
      <c r="D267" s="25" t="e">
        <v>#NAME?</v>
      </c>
      <c r="E267" s="25" t="e">
        <v>#NAME?</v>
      </c>
      <c r="F267" s="25" t="e">
        <v>#NAME?</v>
      </c>
      <c r="G267" s="27" t="e">
        <f t="shared" si="23"/>
        <v>#NAME?</v>
      </c>
      <c r="I267" s="17">
        <v>250</v>
      </c>
      <c r="J267" s="28" t="e">
        <f t="shared" si="24"/>
        <v>#NAME?</v>
      </c>
      <c r="K267" s="28" t="e">
        <f t="shared" si="24"/>
        <v>#NAME?</v>
      </c>
      <c r="L267" s="28" t="e">
        <f t="shared" si="24"/>
        <v>#NAME?</v>
      </c>
      <c r="M267" s="28" t="e">
        <f t="shared" si="24"/>
        <v>#NAME?</v>
      </c>
      <c r="N267" s="28" t="e">
        <f t="shared" si="24"/>
        <v>#NAME?</v>
      </c>
      <c r="O267" s="28" t="e">
        <f t="shared" si="24"/>
        <v>#NAME?</v>
      </c>
    </row>
    <row r="268" spans="1:15">
      <c r="A268" s="17">
        <v>251</v>
      </c>
      <c r="B268" s="25" t="e">
        <v>#NAME?</v>
      </c>
      <c r="C268" s="25" t="e">
        <v>#NAME?</v>
      </c>
      <c r="D268" s="25" t="e">
        <v>#NAME?</v>
      </c>
      <c r="E268" s="25" t="e">
        <v>#NAME?</v>
      </c>
      <c r="F268" s="25" t="e">
        <v>#NAME?</v>
      </c>
      <c r="G268" s="27" t="e">
        <f t="shared" si="23"/>
        <v>#NAME?</v>
      </c>
      <c r="I268" s="17">
        <v>251</v>
      </c>
      <c r="J268" s="28" t="e">
        <f t="shared" si="24"/>
        <v>#NAME?</v>
      </c>
      <c r="K268" s="28" t="e">
        <f t="shared" si="24"/>
        <v>#NAME?</v>
      </c>
      <c r="L268" s="28" t="e">
        <f t="shared" si="24"/>
        <v>#NAME?</v>
      </c>
      <c r="M268" s="28" t="e">
        <f t="shared" si="24"/>
        <v>#NAME?</v>
      </c>
      <c r="N268" s="28" t="e">
        <f t="shared" si="24"/>
        <v>#NAME?</v>
      </c>
      <c r="O268" s="28" t="e">
        <f t="shared" si="24"/>
        <v>#NAME?</v>
      </c>
    </row>
    <row r="269" spans="1:15">
      <c r="A269" s="17">
        <v>252</v>
      </c>
      <c r="B269" s="25" t="e">
        <v>#NAME?</v>
      </c>
      <c r="C269" s="25" t="e">
        <v>#NAME?</v>
      </c>
      <c r="D269" s="25" t="e">
        <v>#NAME?</v>
      </c>
      <c r="E269" s="25" t="e">
        <v>#NAME?</v>
      </c>
      <c r="F269" s="25" t="e">
        <v>#NAME?</v>
      </c>
      <c r="G269" s="27" t="e">
        <f t="shared" si="23"/>
        <v>#NAME?</v>
      </c>
      <c r="I269" s="17">
        <v>252</v>
      </c>
      <c r="J269" s="28" t="e">
        <f t="shared" si="24"/>
        <v>#NAME?</v>
      </c>
      <c r="K269" s="28" t="e">
        <f t="shared" si="24"/>
        <v>#NAME?</v>
      </c>
      <c r="L269" s="28" t="e">
        <f t="shared" si="24"/>
        <v>#NAME?</v>
      </c>
      <c r="M269" s="28" t="e">
        <f t="shared" si="24"/>
        <v>#NAME?</v>
      </c>
      <c r="N269" s="28" t="e">
        <f t="shared" si="24"/>
        <v>#NAME?</v>
      </c>
      <c r="O269" s="28" t="e">
        <f t="shared" si="24"/>
        <v>#NAME?</v>
      </c>
    </row>
    <row r="270" spans="1:15">
      <c r="A270" s="17">
        <v>253</v>
      </c>
      <c r="B270" s="25" t="e">
        <v>#NAME?</v>
      </c>
      <c r="C270" s="25" t="e">
        <v>#NAME?</v>
      </c>
      <c r="D270" s="25" t="e">
        <v>#NAME?</v>
      </c>
      <c r="E270" s="25" t="e">
        <v>#NAME?</v>
      </c>
      <c r="F270" s="25" t="e">
        <v>#NAME?</v>
      </c>
      <c r="G270" s="27" t="e">
        <f t="shared" si="23"/>
        <v>#NAME?</v>
      </c>
      <c r="I270" s="17">
        <v>253</v>
      </c>
      <c r="J270" s="28" t="e">
        <f t="shared" si="24"/>
        <v>#NAME?</v>
      </c>
      <c r="K270" s="28" t="e">
        <f t="shared" si="24"/>
        <v>#NAME?</v>
      </c>
      <c r="L270" s="28" t="e">
        <f t="shared" si="24"/>
        <v>#NAME?</v>
      </c>
      <c r="M270" s="28" t="e">
        <f t="shared" si="24"/>
        <v>#NAME?</v>
      </c>
      <c r="N270" s="28" t="e">
        <f t="shared" si="24"/>
        <v>#NAME?</v>
      </c>
      <c r="O270" s="28" t="e">
        <f t="shared" si="24"/>
        <v>#NAME?</v>
      </c>
    </row>
    <row r="271" spans="1:15">
      <c r="A271" s="17">
        <v>254</v>
      </c>
      <c r="B271" s="25" t="e">
        <v>#NAME?</v>
      </c>
      <c r="C271" s="25" t="e">
        <v>#NAME?</v>
      </c>
      <c r="D271" s="25" t="e">
        <v>#NAME?</v>
      </c>
      <c r="E271" s="25" t="e">
        <v>#NAME?</v>
      </c>
      <c r="F271" s="25" t="e">
        <v>#NAME?</v>
      </c>
      <c r="G271" s="27" t="e">
        <f t="shared" si="23"/>
        <v>#NAME?</v>
      </c>
      <c r="I271" s="17">
        <v>254</v>
      </c>
      <c r="J271" s="28" t="e">
        <f t="shared" si="24"/>
        <v>#NAME?</v>
      </c>
      <c r="K271" s="28" t="e">
        <f t="shared" si="24"/>
        <v>#NAME?</v>
      </c>
      <c r="L271" s="28" t="e">
        <f t="shared" si="24"/>
        <v>#NAME?</v>
      </c>
      <c r="M271" s="28" t="e">
        <f t="shared" si="24"/>
        <v>#NAME?</v>
      </c>
      <c r="N271" s="28" t="e">
        <f t="shared" si="24"/>
        <v>#NAME?</v>
      </c>
      <c r="O271" s="28" t="e">
        <f t="shared" si="24"/>
        <v>#NAME?</v>
      </c>
    </row>
    <row r="272" spans="1:15">
      <c r="A272" s="17">
        <v>255</v>
      </c>
      <c r="B272" s="25" t="e">
        <v>#NAME?</v>
      </c>
      <c r="C272" s="25" t="e">
        <v>#NAME?</v>
      </c>
      <c r="D272" s="25" t="e">
        <v>#NAME?</v>
      </c>
      <c r="E272" s="25" t="e">
        <v>#NAME?</v>
      </c>
      <c r="F272" s="25" t="e">
        <v>#NAME?</v>
      </c>
      <c r="G272" s="27" t="e">
        <f t="shared" si="23"/>
        <v>#NAME?</v>
      </c>
      <c r="I272" s="17">
        <v>255</v>
      </c>
      <c r="J272" s="28" t="e">
        <f t="shared" si="24"/>
        <v>#NAME?</v>
      </c>
      <c r="K272" s="28" t="e">
        <f t="shared" si="24"/>
        <v>#NAME?</v>
      </c>
      <c r="L272" s="28" t="e">
        <f t="shared" si="24"/>
        <v>#NAME?</v>
      </c>
      <c r="M272" s="28" t="e">
        <f t="shared" si="24"/>
        <v>#NAME?</v>
      </c>
      <c r="N272" s="28" t="e">
        <f t="shared" si="24"/>
        <v>#NAME?</v>
      </c>
      <c r="O272" s="28" t="e">
        <f t="shared" si="24"/>
        <v>#NAME?</v>
      </c>
    </row>
    <row r="273" spans="1:15">
      <c r="A273" s="17">
        <v>256</v>
      </c>
      <c r="B273" s="25" t="e">
        <v>#NAME?</v>
      </c>
      <c r="C273" s="25" t="e">
        <v>#NAME?</v>
      </c>
      <c r="D273" s="25" t="e">
        <v>#NAME?</v>
      </c>
      <c r="E273" s="25" t="e">
        <v>#NAME?</v>
      </c>
      <c r="F273" s="25" t="e">
        <v>#NAME?</v>
      </c>
      <c r="G273" s="27" t="e">
        <f t="shared" si="23"/>
        <v>#NAME?</v>
      </c>
      <c r="I273" s="17">
        <v>256</v>
      </c>
      <c r="J273" s="28" t="e">
        <f t="shared" si="24"/>
        <v>#NAME?</v>
      </c>
      <c r="K273" s="28" t="e">
        <f t="shared" si="24"/>
        <v>#NAME?</v>
      </c>
      <c r="L273" s="28" t="e">
        <f t="shared" si="24"/>
        <v>#NAME?</v>
      </c>
      <c r="M273" s="28" t="e">
        <f t="shared" si="24"/>
        <v>#NAME?</v>
      </c>
      <c r="N273" s="28" t="e">
        <f t="shared" si="24"/>
        <v>#NAME?</v>
      </c>
      <c r="O273" s="28" t="e">
        <f t="shared" si="24"/>
        <v>#NAME?</v>
      </c>
    </row>
    <row r="274" spans="1:15">
      <c r="A274" s="17">
        <v>257</v>
      </c>
      <c r="B274" s="25" t="e">
        <v>#NAME?</v>
      </c>
      <c r="C274" s="25" t="e">
        <v>#NAME?</v>
      </c>
      <c r="D274" s="25" t="e">
        <v>#NAME?</v>
      </c>
      <c r="E274" s="25" t="e">
        <v>#NAME?</v>
      </c>
      <c r="F274" s="25" t="e">
        <v>#NAME?</v>
      </c>
      <c r="G274" s="27" t="e">
        <f t="shared" si="23"/>
        <v>#NAME?</v>
      </c>
      <c r="I274" s="17">
        <v>257</v>
      </c>
      <c r="J274" s="28" t="e">
        <f t="shared" si="24"/>
        <v>#NAME?</v>
      </c>
      <c r="K274" s="28" t="e">
        <f t="shared" si="24"/>
        <v>#NAME?</v>
      </c>
      <c r="L274" s="28" t="e">
        <f t="shared" si="24"/>
        <v>#NAME?</v>
      </c>
      <c r="M274" s="28" t="e">
        <f t="shared" si="24"/>
        <v>#NAME?</v>
      </c>
      <c r="N274" s="28" t="e">
        <f t="shared" si="24"/>
        <v>#NAME?</v>
      </c>
      <c r="O274" s="28" t="e">
        <f t="shared" si="24"/>
        <v>#NAME?</v>
      </c>
    </row>
    <row r="275" spans="1:15">
      <c r="A275" s="17">
        <v>258</v>
      </c>
      <c r="B275" s="25" t="e">
        <v>#NAME?</v>
      </c>
      <c r="C275" s="25" t="e">
        <v>#NAME?</v>
      </c>
      <c r="D275" s="25" t="e">
        <v>#NAME?</v>
      </c>
      <c r="E275" s="25" t="e">
        <v>#NAME?</v>
      </c>
      <c r="F275" s="25" t="e">
        <v>#NAME?</v>
      </c>
      <c r="G275" s="27" t="e">
        <f t="shared" si="23"/>
        <v>#NAME?</v>
      </c>
      <c r="I275" s="17">
        <v>258</v>
      </c>
      <c r="J275" s="28" t="e">
        <f t="shared" ref="J275:O290" si="25">J274*(1+B275)</f>
        <v>#NAME?</v>
      </c>
      <c r="K275" s="28" t="e">
        <f t="shared" si="25"/>
        <v>#NAME?</v>
      </c>
      <c r="L275" s="28" t="e">
        <f t="shared" si="25"/>
        <v>#NAME?</v>
      </c>
      <c r="M275" s="28" t="e">
        <f t="shared" si="25"/>
        <v>#NAME?</v>
      </c>
      <c r="N275" s="28" t="e">
        <f t="shared" si="25"/>
        <v>#NAME?</v>
      </c>
      <c r="O275" s="28" t="e">
        <f t="shared" si="25"/>
        <v>#NAME?</v>
      </c>
    </row>
    <row r="276" spans="1:15">
      <c r="A276" s="17">
        <v>259</v>
      </c>
      <c r="B276" s="25" t="e">
        <v>#NAME?</v>
      </c>
      <c r="C276" s="25" t="e">
        <v>#NAME?</v>
      </c>
      <c r="D276" s="25" t="e">
        <v>#NAME?</v>
      </c>
      <c r="E276" s="25" t="e">
        <v>#NAME?</v>
      </c>
      <c r="F276" s="25" t="e">
        <v>#NAME?</v>
      </c>
      <c r="G276" s="27" t="e">
        <f t="shared" si="23"/>
        <v>#NAME?</v>
      </c>
      <c r="I276" s="17">
        <v>259</v>
      </c>
      <c r="J276" s="28" t="e">
        <f t="shared" si="25"/>
        <v>#NAME?</v>
      </c>
      <c r="K276" s="28" t="e">
        <f t="shared" si="25"/>
        <v>#NAME?</v>
      </c>
      <c r="L276" s="28" t="e">
        <f t="shared" si="25"/>
        <v>#NAME?</v>
      </c>
      <c r="M276" s="28" t="e">
        <f t="shared" si="25"/>
        <v>#NAME?</v>
      </c>
      <c r="N276" s="28" t="e">
        <f t="shared" si="25"/>
        <v>#NAME?</v>
      </c>
      <c r="O276" s="28" t="e">
        <f t="shared" si="25"/>
        <v>#NAME?</v>
      </c>
    </row>
    <row r="277" spans="1:15">
      <c r="A277" s="17">
        <v>260</v>
      </c>
      <c r="B277" s="25" t="e">
        <v>#NAME?</v>
      </c>
      <c r="C277" s="25" t="e">
        <v>#NAME?</v>
      </c>
      <c r="D277" s="25" t="e">
        <v>#NAME?</v>
      </c>
      <c r="E277" s="25" t="e">
        <v>#NAME?</v>
      </c>
      <c r="F277" s="25" t="e">
        <v>#NAME?</v>
      </c>
      <c r="G277" s="27" t="e">
        <f t="shared" si="23"/>
        <v>#NAME?</v>
      </c>
      <c r="I277" s="17">
        <v>260</v>
      </c>
      <c r="J277" s="28" t="e">
        <f t="shared" si="25"/>
        <v>#NAME?</v>
      </c>
      <c r="K277" s="28" t="e">
        <f t="shared" si="25"/>
        <v>#NAME?</v>
      </c>
      <c r="L277" s="28" t="e">
        <f t="shared" si="25"/>
        <v>#NAME?</v>
      </c>
      <c r="M277" s="28" t="e">
        <f t="shared" si="25"/>
        <v>#NAME?</v>
      </c>
      <c r="N277" s="28" t="e">
        <f t="shared" si="25"/>
        <v>#NAME?</v>
      </c>
      <c r="O277" s="28" t="e">
        <f t="shared" si="25"/>
        <v>#NAME?</v>
      </c>
    </row>
    <row r="278" spans="1:15">
      <c r="A278" s="17">
        <v>261</v>
      </c>
      <c r="B278" s="25" t="e">
        <v>#NAME?</v>
      </c>
      <c r="C278" s="25" t="e">
        <v>#NAME?</v>
      </c>
      <c r="D278" s="25" t="e">
        <v>#NAME?</v>
      </c>
      <c r="E278" s="25" t="e">
        <v>#NAME?</v>
      </c>
      <c r="F278" s="25" t="e">
        <v>#NAME?</v>
      </c>
      <c r="G278" s="27" t="e">
        <f t="shared" si="23"/>
        <v>#NAME?</v>
      </c>
      <c r="I278" s="17">
        <v>261</v>
      </c>
      <c r="J278" s="28" t="e">
        <f t="shared" si="25"/>
        <v>#NAME?</v>
      </c>
      <c r="K278" s="28" t="e">
        <f t="shared" si="25"/>
        <v>#NAME?</v>
      </c>
      <c r="L278" s="28" t="e">
        <f t="shared" si="25"/>
        <v>#NAME?</v>
      </c>
      <c r="M278" s="28" t="e">
        <f t="shared" si="25"/>
        <v>#NAME?</v>
      </c>
      <c r="N278" s="28" t="e">
        <f t="shared" si="25"/>
        <v>#NAME?</v>
      </c>
      <c r="O278" s="28" t="e">
        <f t="shared" si="25"/>
        <v>#NAME?</v>
      </c>
    </row>
    <row r="279" spans="1:15">
      <c r="A279" s="17">
        <v>262</v>
      </c>
      <c r="B279" s="25" t="e">
        <v>#NAME?</v>
      </c>
      <c r="C279" s="25" t="e">
        <v>#NAME?</v>
      </c>
      <c r="D279" s="25" t="e">
        <v>#NAME?</v>
      </c>
      <c r="E279" s="25" t="e">
        <v>#NAME?</v>
      </c>
      <c r="F279" s="25" t="e">
        <v>#NAME?</v>
      </c>
      <c r="G279" s="27" t="e">
        <f t="shared" si="23"/>
        <v>#NAME?</v>
      </c>
      <c r="I279" s="17">
        <v>262</v>
      </c>
      <c r="J279" s="28" t="e">
        <f t="shared" si="25"/>
        <v>#NAME?</v>
      </c>
      <c r="K279" s="28" t="e">
        <f t="shared" si="25"/>
        <v>#NAME?</v>
      </c>
      <c r="L279" s="28" t="e">
        <f t="shared" si="25"/>
        <v>#NAME?</v>
      </c>
      <c r="M279" s="28" t="e">
        <f t="shared" si="25"/>
        <v>#NAME?</v>
      </c>
      <c r="N279" s="28" t="e">
        <f t="shared" si="25"/>
        <v>#NAME?</v>
      </c>
      <c r="O279" s="28" t="e">
        <f t="shared" si="25"/>
        <v>#NAME?</v>
      </c>
    </row>
    <row r="280" spans="1:15">
      <c r="A280" s="17">
        <v>263</v>
      </c>
      <c r="B280" s="25" t="e">
        <v>#NAME?</v>
      </c>
      <c r="C280" s="25" t="e">
        <v>#NAME?</v>
      </c>
      <c r="D280" s="25" t="e">
        <v>#NAME?</v>
      </c>
      <c r="E280" s="25" t="e">
        <v>#NAME?</v>
      </c>
      <c r="F280" s="25" t="e">
        <v>#NAME?</v>
      </c>
      <c r="G280" s="27" t="e">
        <f t="shared" si="23"/>
        <v>#NAME?</v>
      </c>
      <c r="I280" s="17">
        <v>263</v>
      </c>
      <c r="J280" s="28" t="e">
        <f t="shared" si="25"/>
        <v>#NAME?</v>
      </c>
      <c r="K280" s="28" t="e">
        <f t="shared" si="25"/>
        <v>#NAME?</v>
      </c>
      <c r="L280" s="28" t="e">
        <f t="shared" si="25"/>
        <v>#NAME?</v>
      </c>
      <c r="M280" s="28" t="e">
        <f t="shared" si="25"/>
        <v>#NAME?</v>
      </c>
      <c r="N280" s="28" t="e">
        <f t="shared" si="25"/>
        <v>#NAME?</v>
      </c>
      <c r="O280" s="28" t="e">
        <f t="shared" si="25"/>
        <v>#NAME?</v>
      </c>
    </row>
    <row r="281" spans="1:15">
      <c r="A281" s="17">
        <v>264</v>
      </c>
      <c r="B281" s="25" t="e">
        <v>#NAME?</v>
      </c>
      <c r="C281" s="25" t="e">
        <v>#NAME?</v>
      </c>
      <c r="D281" s="25" t="e">
        <v>#NAME?</v>
      </c>
      <c r="E281" s="25" t="e">
        <v>#NAME?</v>
      </c>
      <c r="F281" s="25" t="e">
        <v>#NAME?</v>
      </c>
      <c r="G281" s="27" t="e">
        <f t="shared" si="23"/>
        <v>#NAME?</v>
      </c>
      <c r="I281" s="17">
        <v>264</v>
      </c>
      <c r="J281" s="28" t="e">
        <f t="shared" si="25"/>
        <v>#NAME?</v>
      </c>
      <c r="K281" s="28" t="e">
        <f t="shared" si="25"/>
        <v>#NAME?</v>
      </c>
      <c r="L281" s="28" t="e">
        <f t="shared" si="25"/>
        <v>#NAME?</v>
      </c>
      <c r="M281" s="28" t="e">
        <f t="shared" si="25"/>
        <v>#NAME?</v>
      </c>
      <c r="N281" s="28" t="e">
        <f t="shared" si="25"/>
        <v>#NAME?</v>
      </c>
      <c r="O281" s="28" t="e">
        <f t="shared" si="25"/>
        <v>#NAME?</v>
      </c>
    </row>
    <row r="282" spans="1:15">
      <c r="A282" s="17">
        <v>265</v>
      </c>
      <c r="B282" s="25" t="e">
        <v>#NAME?</v>
      </c>
      <c r="C282" s="25" t="e">
        <v>#NAME?</v>
      </c>
      <c r="D282" s="25" t="e">
        <v>#NAME?</v>
      </c>
      <c r="E282" s="25" t="e">
        <v>#NAME?</v>
      </c>
      <c r="F282" s="25" t="e">
        <v>#NAME?</v>
      </c>
      <c r="G282" s="27" t="e">
        <f t="shared" si="23"/>
        <v>#NAME?</v>
      </c>
      <c r="I282" s="17">
        <v>265</v>
      </c>
      <c r="J282" s="28" t="e">
        <f t="shared" si="25"/>
        <v>#NAME?</v>
      </c>
      <c r="K282" s="28" t="e">
        <f t="shared" si="25"/>
        <v>#NAME?</v>
      </c>
      <c r="L282" s="28" t="e">
        <f t="shared" si="25"/>
        <v>#NAME?</v>
      </c>
      <c r="M282" s="28" t="e">
        <f t="shared" si="25"/>
        <v>#NAME?</v>
      </c>
      <c r="N282" s="28" t="e">
        <f t="shared" si="25"/>
        <v>#NAME?</v>
      </c>
      <c r="O282" s="28" t="e">
        <f t="shared" si="25"/>
        <v>#NAME?</v>
      </c>
    </row>
    <row r="283" spans="1:15">
      <c r="A283" s="17">
        <v>266</v>
      </c>
      <c r="B283" s="25" t="e">
        <v>#NAME?</v>
      </c>
      <c r="C283" s="25" t="e">
        <v>#NAME?</v>
      </c>
      <c r="D283" s="25" t="e">
        <v>#NAME?</v>
      </c>
      <c r="E283" s="25" t="e">
        <v>#NAME?</v>
      </c>
      <c r="F283" s="25" t="e">
        <v>#NAME?</v>
      </c>
      <c r="G283" s="27" t="e">
        <f t="shared" si="23"/>
        <v>#NAME?</v>
      </c>
      <c r="I283" s="17">
        <v>266</v>
      </c>
      <c r="J283" s="28" t="e">
        <f t="shared" si="25"/>
        <v>#NAME?</v>
      </c>
      <c r="K283" s="28" t="e">
        <f t="shared" si="25"/>
        <v>#NAME?</v>
      </c>
      <c r="L283" s="28" t="e">
        <f t="shared" si="25"/>
        <v>#NAME?</v>
      </c>
      <c r="M283" s="28" t="e">
        <f t="shared" si="25"/>
        <v>#NAME?</v>
      </c>
      <c r="N283" s="28" t="e">
        <f t="shared" si="25"/>
        <v>#NAME?</v>
      </c>
      <c r="O283" s="28" t="e">
        <f t="shared" si="25"/>
        <v>#NAME?</v>
      </c>
    </row>
    <row r="284" spans="1:15">
      <c r="A284" s="17">
        <v>267</v>
      </c>
      <c r="B284" s="25" t="e">
        <v>#NAME?</v>
      </c>
      <c r="C284" s="25" t="e">
        <v>#NAME?</v>
      </c>
      <c r="D284" s="25" t="e">
        <v>#NAME?</v>
      </c>
      <c r="E284" s="25" t="e">
        <v>#NAME?</v>
      </c>
      <c r="F284" s="25" t="e">
        <v>#NAME?</v>
      </c>
      <c r="G284" s="27" t="e">
        <f t="shared" si="23"/>
        <v>#NAME?</v>
      </c>
      <c r="I284" s="17">
        <v>267</v>
      </c>
      <c r="J284" s="28" t="e">
        <f t="shared" si="25"/>
        <v>#NAME?</v>
      </c>
      <c r="K284" s="28" t="e">
        <f t="shared" si="25"/>
        <v>#NAME?</v>
      </c>
      <c r="L284" s="28" t="e">
        <f t="shared" si="25"/>
        <v>#NAME?</v>
      </c>
      <c r="M284" s="28" t="e">
        <f t="shared" si="25"/>
        <v>#NAME?</v>
      </c>
      <c r="N284" s="28" t="e">
        <f t="shared" si="25"/>
        <v>#NAME?</v>
      </c>
      <c r="O284" s="28" t="e">
        <f t="shared" si="25"/>
        <v>#NAME?</v>
      </c>
    </row>
    <row r="285" spans="1:15">
      <c r="A285" s="17">
        <v>268</v>
      </c>
      <c r="B285" s="25" t="e">
        <v>#NAME?</v>
      </c>
      <c r="C285" s="25" t="e">
        <v>#NAME?</v>
      </c>
      <c r="D285" s="25" t="e">
        <v>#NAME?</v>
      </c>
      <c r="E285" s="25" t="e">
        <v>#NAME?</v>
      </c>
      <c r="F285" s="25" t="e">
        <v>#NAME?</v>
      </c>
      <c r="G285" s="27" t="e">
        <f t="shared" si="23"/>
        <v>#NAME?</v>
      </c>
      <c r="I285" s="17">
        <v>268</v>
      </c>
      <c r="J285" s="28" t="e">
        <f t="shared" si="25"/>
        <v>#NAME?</v>
      </c>
      <c r="K285" s="28" t="e">
        <f t="shared" si="25"/>
        <v>#NAME?</v>
      </c>
      <c r="L285" s="28" t="e">
        <f t="shared" si="25"/>
        <v>#NAME?</v>
      </c>
      <c r="M285" s="28" t="e">
        <f t="shared" si="25"/>
        <v>#NAME?</v>
      </c>
      <c r="N285" s="28" t="e">
        <f t="shared" si="25"/>
        <v>#NAME?</v>
      </c>
      <c r="O285" s="28" t="e">
        <f t="shared" si="25"/>
        <v>#NAME?</v>
      </c>
    </row>
    <row r="286" spans="1:15">
      <c r="A286" s="17">
        <v>269</v>
      </c>
      <c r="B286" s="25" t="e">
        <v>#NAME?</v>
      </c>
      <c r="C286" s="25" t="e">
        <v>#NAME?</v>
      </c>
      <c r="D286" s="25" t="e">
        <v>#NAME?</v>
      </c>
      <c r="E286" s="25" t="e">
        <v>#NAME?</v>
      </c>
      <c r="F286" s="25" t="e">
        <v>#NAME?</v>
      </c>
      <c r="G286" s="27" t="e">
        <f t="shared" si="23"/>
        <v>#NAME?</v>
      </c>
      <c r="I286" s="17">
        <v>269</v>
      </c>
      <c r="J286" s="28" t="e">
        <f t="shared" si="25"/>
        <v>#NAME?</v>
      </c>
      <c r="K286" s="28" t="e">
        <f t="shared" si="25"/>
        <v>#NAME?</v>
      </c>
      <c r="L286" s="28" t="e">
        <f t="shared" si="25"/>
        <v>#NAME?</v>
      </c>
      <c r="M286" s="28" t="e">
        <f t="shared" si="25"/>
        <v>#NAME?</v>
      </c>
      <c r="N286" s="28" t="e">
        <f t="shared" si="25"/>
        <v>#NAME?</v>
      </c>
      <c r="O286" s="28" t="e">
        <f t="shared" si="25"/>
        <v>#NAME?</v>
      </c>
    </row>
    <row r="287" spans="1:15">
      <c r="A287" s="17">
        <v>270</v>
      </c>
      <c r="B287" s="25" t="e">
        <v>#NAME?</v>
      </c>
      <c r="C287" s="25" t="e">
        <v>#NAME?</v>
      </c>
      <c r="D287" s="25" t="e">
        <v>#NAME?</v>
      </c>
      <c r="E287" s="25" t="e">
        <v>#NAME?</v>
      </c>
      <c r="F287" s="25" t="e">
        <v>#NAME?</v>
      </c>
      <c r="G287" s="27" t="e">
        <f t="shared" si="23"/>
        <v>#NAME?</v>
      </c>
      <c r="I287" s="17">
        <v>270</v>
      </c>
      <c r="J287" s="28" t="e">
        <f t="shared" si="25"/>
        <v>#NAME?</v>
      </c>
      <c r="K287" s="28" t="e">
        <f t="shared" si="25"/>
        <v>#NAME?</v>
      </c>
      <c r="L287" s="28" t="e">
        <f t="shared" si="25"/>
        <v>#NAME?</v>
      </c>
      <c r="M287" s="28" t="e">
        <f t="shared" si="25"/>
        <v>#NAME?</v>
      </c>
      <c r="N287" s="28" t="e">
        <f t="shared" si="25"/>
        <v>#NAME?</v>
      </c>
      <c r="O287" s="28" t="e">
        <f t="shared" si="25"/>
        <v>#NAME?</v>
      </c>
    </row>
    <row r="288" spans="1:15">
      <c r="A288" s="17">
        <v>271</v>
      </c>
      <c r="B288" s="25" t="e">
        <v>#NAME?</v>
      </c>
      <c r="C288" s="25" t="e">
        <v>#NAME?</v>
      </c>
      <c r="D288" s="25" t="e">
        <v>#NAME?</v>
      </c>
      <c r="E288" s="25" t="e">
        <v>#NAME?</v>
      </c>
      <c r="F288" s="25" t="e">
        <v>#NAME?</v>
      </c>
      <c r="G288" s="27" t="e">
        <f t="shared" si="23"/>
        <v>#NAME?</v>
      </c>
      <c r="I288" s="17">
        <v>271</v>
      </c>
      <c r="J288" s="28" t="e">
        <f t="shared" si="25"/>
        <v>#NAME?</v>
      </c>
      <c r="K288" s="28" t="e">
        <f t="shared" si="25"/>
        <v>#NAME?</v>
      </c>
      <c r="L288" s="28" t="e">
        <f t="shared" si="25"/>
        <v>#NAME?</v>
      </c>
      <c r="M288" s="28" t="e">
        <f t="shared" si="25"/>
        <v>#NAME?</v>
      </c>
      <c r="N288" s="28" t="e">
        <f t="shared" si="25"/>
        <v>#NAME?</v>
      </c>
      <c r="O288" s="28" t="e">
        <f t="shared" si="25"/>
        <v>#NAME?</v>
      </c>
    </row>
    <row r="289" spans="1:15">
      <c r="A289" s="17">
        <v>272</v>
      </c>
      <c r="B289" s="25" t="e">
        <v>#NAME?</v>
      </c>
      <c r="C289" s="25" t="e">
        <v>#NAME?</v>
      </c>
      <c r="D289" s="25" t="e">
        <v>#NAME?</v>
      </c>
      <c r="E289" s="25" t="e">
        <v>#NAME?</v>
      </c>
      <c r="F289" s="25" t="e">
        <v>#NAME?</v>
      </c>
      <c r="G289" s="27" t="e">
        <f t="shared" si="23"/>
        <v>#NAME?</v>
      </c>
      <c r="I289" s="17">
        <v>272</v>
      </c>
      <c r="J289" s="28" t="e">
        <f t="shared" si="25"/>
        <v>#NAME?</v>
      </c>
      <c r="K289" s="28" t="e">
        <f t="shared" si="25"/>
        <v>#NAME?</v>
      </c>
      <c r="L289" s="28" t="e">
        <f t="shared" si="25"/>
        <v>#NAME?</v>
      </c>
      <c r="M289" s="28" t="e">
        <f t="shared" si="25"/>
        <v>#NAME?</v>
      </c>
      <c r="N289" s="28" t="e">
        <f t="shared" si="25"/>
        <v>#NAME?</v>
      </c>
      <c r="O289" s="28" t="e">
        <f t="shared" si="25"/>
        <v>#NAME?</v>
      </c>
    </row>
    <row r="290" spans="1:15">
      <c r="A290" s="17">
        <v>273</v>
      </c>
      <c r="B290" s="25" t="e">
        <v>#NAME?</v>
      </c>
      <c r="C290" s="25" t="e">
        <v>#NAME?</v>
      </c>
      <c r="D290" s="25" t="e">
        <v>#NAME?</v>
      </c>
      <c r="E290" s="25" t="e">
        <v>#NAME?</v>
      </c>
      <c r="F290" s="25" t="e">
        <v>#NAME?</v>
      </c>
      <c r="G290" s="27" t="e">
        <f t="shared" si="23"/>
        <v>#NAME?</v>
      </c>
      <c r="I290" s="17">
        <v>273</v>
      </c>
      <c r="J290" s="28" t="e">
        <f t="shared" si="25"/>
        <v>#NAME?</v>
      </c>
      <c r="K290" s="28" t="e">
        <f t="shared" si="25"/>
        <v>#NAME?</v>
      </c>
      <c r="L290" s="28" t="e">
        <f t="shared" si="25"/>
        <v>#NAME?</v>
      </c>
      <c r="M290" s="28" t="e">
        <f t="shared" si="25"/>
        <v>#NAME?</v>
      </c>
      <c r="N290" s="28" t="e">
        <f t="shared" si="25"/>
        <v>#NAME?</v>
      </c>
      <c r="O290" s="28" t="e">
        <f t="shared" si="25"/>
        <v>#NAME?</v>
      </c>
    </row>
    <row r="291" spans="1:15">
      <c r="A291" s="17">
        <v>274</v>
      </c>
      <c r="B291" s="25" t="e">
        <v>#NAME?</v>
      </c>
      <c r="C291" s="25" t="e">
        <v>#NAME?</v>
      </c>
      <c r="D291" s="25" t="e">
        <v>#NAME?</v>
      </c>
      <c r="E291" s="25" t="e">
        <v>#NAME?</v>
      </c>
      <c r="F291" s="25" t="e">
        <v>#NAME?</v>
      </c>
      <c r="G291" s="27" t="e">
        <f t="shared" si="23"/>
        <v>#NAME?</v>
      </c>
      <c r="I291" s="17">
        <v>274</v>
      </c>
      <c r="J291" s="28" t="e">
        <f t="shared" ref="J291:O306" si="26">J290*(1+B291)</f>
        <v>#NAME?</v>
      </c>
      <c r="K291" s="28" t="e">
        <f t="shared" si="26"/>
        <v>#NAME?</v>
      </c>
      <c r="L291" s="28" t="e">
        <f t="shared" si="26"/>
        <v>#NAME?</v>
      </c>
      <c r="M291" s="28" t="e">
        <f t="shared" si="26"/>
        <v>#NAME?</v>
      </c>
      <c r="N291" s="28" t="e">
        <f t="shared" si="26"/>
        <v>#NAME?</v>
      </c>
      <c r="O291" s="28" t="e">
        <f t="shared" si="26"/>
        <v>#NAME?</v>
      </c>
    </row>
    <row r="292" spans="1:15">
      <c r="A292" s="17">
        <v>275</v>
      </c>
      <c r="B292" s="25" t="e">
        <v>#NAME?</v>
      </c>
      <c r="C292" s="25" t="e">
        <v>#NAME?</v>
      </c>
      <c r="D292" s="25" t="e">
        <v>#NAME?</v>
      </c>
      <c r="E292" s="25" t="e">
        <v>#NAME?</v>
      </c>
      <c r="F292" s="25" t="e">
        <v>#NAME?</v>
      </c>
      <c r="G292" s="27" t="e">
        <f t="shared" si="23"/>
        <v>#NAME?</v>
      </c>
      <c r="I292" s="17">
        <v>275</v>
      </c>
      <c r="J292" s="28" t="e">
        <f t="shared" si="26"/>
        <v>#NAME?</v>
      </c>
      <c r="K292" s="28" t="e">
        <f t="shared" si="26"/>
        <v>#NAME?</v>
      </c>
      <c r="L292" s="28" t="e">
        <f t="shared" si="26"/>
        <v>#NAME?</v>
      </c>
      <c r="M292" s="28" t="e">
        <f t="shared" si="26"/>
        <v>#NAME?</v>
      </c>
      <c r="N292" s="28" t="e">
        <f t="shared" si="26"/>
        <v>#NAME?</v>
      </c>
      <c r="O292" s="28" t="e">
        <f t="shared" si="26"/>
        <v>#NAME?</v>
      </c>
    </row>
    <row r="293" spans="1:15">
      <c r="A293" s="17">
        <v>276</v>
      </c>
      <c r="B293" s="25" t="e">
        <v>#NAME?</v>
      </c>
      <c r="C293" s="25" t="e">
        <v>#NAME?</v>
      </c>
      <c r="D293" s="25" t="e">
        <v>#NAME?</v>
      </c>
      <c r="E293" s="25" t="e">
        <v>#NAME?</v>
      </c>
      <c r="F293" s="25" t="e">
        <v>#NAME?</v>
      </c>
      <c r="G293" s="27" t="e">
        <f t="shared" si="23"/>
        <v>#NAME?</v>
      </c>
      <c r="I293" s="17">
        <v>276</v>
      </c>
      <c r="J293" s="28" t="e">
        <f t="shared" si="26"/>
        <v>#NAME?</v>
      </c>
      <c r="K293" s="28" t="e">
        <f t="shared" si="26"/>
        <v>#NAME?</v>
      </c>
      <c r="L293" s="28" t="e">
        <f t="shared" si="26"/>
        <v>#NAME?</v>
      </c>
      <c r="M293" s="28" t="e">
        <f t="shared" si="26"/>
        <v>#NAME?</v>
      </c>
      <c r="N293" s="28" t="e">
        <f t="shared" si="26"/>
        <v>#NAME?</v>
      </c>
      <c r="O293" s="28" t="e">
        <f t="shared" si="26"/>
        <v>#NAME?</v>
      </c>
    </row>
    <row r="294" spans="1:15">
      <c r="A294" s="17">
        <v>277</v>
      </c>
      <c r="B294" s="25" t="e">
        <v>#NAME?</v>
      </c>
      <c r="C294" s="25" t="e">
        <v>#NAME?</v>
      </c>
      <c r="D294" s="25" t="e">
        <v>#NAME?</v>
      </c>
      <c r="E294" s="25" t="e">
        <v>#NAME?</v>
      </c>
      <c r="F294" s="25" t="e">
        <v>#NAME?</v>
      </c>
      <c r="G294" s="27" t="e">
        <f t="shared" si="23"/>
        <v>#NAME?</v>
      </c>
      <c r="I294" s="17">
        <v>277</v>
      </c>
      <c r="J294" s="28" t="e">
        <f t="shared" si="26"/>
        <v>#NAME?</v>
      </c>
      <c r="K294" s="28" t="e">
        <f t="shared" si="26"/>
        <v>#NAME?</v>
      </c>
      <c r="L294" s="28" t="e">
        <f t="shared" si="26"/>
        <v>#NAME?</v>
      </c>
      <c r="M294" s="28" t="e">
        <f t="shared" si="26"/>
        <v>#NAME?</v>
      </c>
      <c r="N294" s="28" t="e">
        <f t="shared" si="26"/>
        <v>#NAME?</v>
      </c>
      <c r="O294" s="28" t="e">
        <f t="shared" si="26"/>
        <v>#NAME?</v>
      </c>
    </row>
    <row r="295" spans="1:15">
      <c r="A295" s="17">
        <v>278</v>
      </c>
      <c r="B295" s="25" t="e">
        <v>#NAME?</v>
      </c>
      <c r="C295" s="25" t="e">
        <v>#NAME?</v>
      </c>
      <c r="D295" s="25" t="e">
        <v>#NAME?</v>
      </c>
      <c r="E295" s="25" t="e">
        <v>#NAME?</v>
      </c>
      <c r="F295" s="25" t="e">
        <v>#NAME?</v>
      </c>
      <c r="G295" s="27" t="e">
        <f t="shared" si="23"/>
        <v>#NAME?</v>
      </c>
      <c r="I295" s="17">
        <v>278</v>
      </c>
      <c r="J295" s="28" t="e">
        <f t="shared" si="26"/>
        <v>#NAME?</v>
      </c>
      <c r="K295" s="28" t="e">
        <f t="shared" si="26"/>
        <v>#NAME?</v>
      </c>
      <c r="L295" s="28" t="e">
        <f t="shared" si="26"/>
        <v>#NAME?</v>
      </c>
      <c r="M295" s="28" t="e">
        <f t="shared" si="26"/>
        <v>#NAME?</v>
      </c>
      <c r="N295" s="28" t="e">
        <f t="shared" si="26"/>
        <v>#NAME?</v>
      </c>
      <c r="O295" s="28" t="e">
        <f t="shared" si="26"/>
        <v>#NAME?</v>
      </c>
    </row>
    <row r="296" spans="1:15">
      <c r="A296" s="17">
        <v>279</v>
      </c>
      <c r="B296" s="25" t="e">
        <v>#NAME?</v>
      </c>
      <c r="C296" s="25" t="e">
        <v>#NAME?</v>
      </c>
      <c r="D296" s="25" t="e">
        <v>#NAME?</v>
      </c>
      <c r="E296" s="25" t="e">
        <v>#NAME?</v>
      </c>
      <c r="F296" s="25" t="e">
        <v>#NAME?</v>
      </c>
      <c r="G296" s="27" t="e">
        <f t="shared" si="23"/>
        <v>#NAME?</v>
      </c>
      <c r="I296" s="17">
        <v>279</v>
      </c>
      <c r="J296" s="28" t="e">
        <f t="shared" si="26"/>
        <v>#NAME?</v>
      </c>
      <c r="K296" s="28" t="e">
        <f t="shared" si="26"/>
        <v>#NAME?</v>
      </c>
      <c r="L296" s="28" t="e">
        <f t="shared" si="26"/>
        <v>#NAME?</v>
      </c>
      <c r="M296" s="28" t="e">
        <f t="shared" si="26"/>
        <v>#NAME?</v>
      </c>
      <c r="N296" s="28" t="e">
        <f t="shared" si="26"/>
        <v>#NAME?</v>
      </c>
      <c r="O296" s="28" t="e">
        <f t="shared" si="26"/>
        <v>#NAME?</v>
      </c>
    </row>
    <row r="297" spans="1:15">
      <c r="A297" s="17">
        <v>280</v>
      </c>
      <c r="B297" s="25" t="e">
        <v>#NAME?</v>
      </c>
      <c r="C297" s="25" t="e">
        <v>#NAME?</v>
      </c>
      <c r="D297" s="25" t="e">
        <v>#NAME?</v>
      </c>
      <c r="E297" s="25" t="e">
        <v>#NAME?</v>
      </c>
      <c r="F297" s="25" t="e">
        <v>#NAME?</v>
      </c>
      <c r="G297" s="27" t="e">
        <f t="shared" si="23"/>
        <v>#NAME?</v>
      </c>
      <c r="I297" s="17">
        <v>280</v>
      </c>
      <c r="J297" s="28" t="e">
        <f t="shared" si="26"/>
        <v>#NAME?</v>
      </c>
      <c r="K297" s="28" t="e">
        <f t="shared" si="26"/>
        <v>#NAME?</v>
      </c>
      <c r="L297" s="28" t="e">
        <f t="shared" si="26"/>
        <v>#NAME?</v>
      </c>
      <c r="M297" s="28" t="e">
        <f t="shared" si="26"/>
        <v>#NAME?</v>
      </c>
      <c r="N297" s="28" t="e">
        <f t="shared" si="26"/>
        <v>#NAME?</v>
      </c>
      <c r="O297" s="28" t="e">
        <f t="shared" si="26"/>
        <v>#NAME?</v>
      </c>
    </row>
    <row r="298" spans="1:15">
      <c r="A298" s="17">
        <v>281</v>
      </c>
      <c r="B298" s="25" t="e">
        <v>#NAME?</v>
      </c>
      <c r="C298" s="25" t="e">
        <v>#NAME?</v>
      </c>
      <c r="D298" s="25" t="e">
        <v>#NAME?</v>
      </c>
      <c r="E298" s="25" t="e">
        <v>#NAME?</v>
      </c>
      <c r="F298" s="25" t="e">
        <v>#NAME?</v>
      </c>
      <c r="G298" s="27" t="e">
        <f t="shared" si="23"/>
        <v>#NAME?</v>
      </c>
      <c r="I298" s="17">
        <v>281</v>
      </c>
      <c r="J298" s="28" t="e">
        <f t="shared" si="26"/>
        <v>#NAME?</v>
      </c>
      <c r="K298" s="28" t="e">
        <f t="shared" si="26"/>
        <v>#NAME?</v>
      </c>
      <c r="L298" s="28" t="e">
        <f t="shared" si="26"/>
        <v>#NAME?</v>
      </c>
      <c r="M298" s="28" t="e">
        <f t="shared" si="26"/>
        <v>#NAME?</v>
      </c>
      <c r="N298" s="28" t="e">
        <f t="shared" si="26"/>
        <v>#NAME?</v>
      </c>
      <c r="O298" s="28" t="e">
        <f t="shared" si="26"/>
        <v>#NAME?</v>
      </c>
    </row>
    <row r="299" spans="1:15">
      <c r="A299" s="17">
        <v>282</v>
      </c>
      <c r="B299" s="25" t="e">
        <v>#NAME?</v>
      </c>
      <c r="C299" s="25" t="e">
        <v>#NAME?</v>
      </c>
      <c r="D299" s="25" t="e">
        <v>#NAME?</v>
      </c>
      <c r="E299" s="25" t="e">
        <v>#NAME?</v>
      </c>
      <c r="F299" s="25" t="e">
        <v>#NAME?</v>
      </c>
      <c r="G299" s="27" t="e">
        <f t="shared" si="23"/>
        <v>#NAME?</v>
      </c>
      <c r="I299" s="17">
        <v>282</v>
      </c>
      <c r="J299" s="28" t="e">
        <f t="shared" si="26"/>
        <v>#NAME?</v>
      </c>
      <c r="K299" s="28" t="e">
        <f t="shared" si="26"/>
        <v>#NAME?</v>
      </c>
      <c r="L299" s="28" t="e">
        <f t="shared" si="26"/>
        <v>#NAME?</v>
      </c>
      <c r="M299" s="28" t="e">
        <f t="shared" si="26"/>
        <v>#NAME?</v>
      </c>
      <c r="N299" s="28" t="e">
        <f t="shared" si="26"/>
        <v>#NAME?</v>
      </c>
      <c r="O299" s="28" t="e">
        <f t="shared" si="26"/>
        <v>#NAME?</v>
      </c>
    </row>
    <row r="300" spans="1:15">
      <c r="A300" s="17">
        <v>283</v>
      </c>
      <c r="B300" s="25" t="e">
        <v>#NAME?</v>
      </c>
      <c r="C300" s="25" t="e">
        <v>#NAME?</v>
      </c>
      <c r="D300" s="25" t="e">
        <v>#NAME?</v>
      </c>
      <c r="E300" s="25" t="e">
        <v>#NAME?</v>
      </c>
      <c r="F300" s="25" t="e">
        <v>#NAME?</v>
      </c>
      <c r="G300" s="27" t="e">
        <f t="shared" si="23"/>
        <v>#NAME?</v>
      </c>
      <c r="I300" s="17">
        <v>283</v>
      </c>
      <c r="J300" s="28" t="e">
        <f t="shared" si="26"/>
        <v>#NAME?</v>
      </c>
      <c r="K300" s="28" t="e">
        <f t="shared" si="26"/>
        <v>#NAME?</v>
      </c>
      <c r="L300" s="28" t="e">
        <f t="shared" si="26"/>
        <v>#NAME?</v>
      </c>
      <c r="M300" s="28" t="e">
        <f t="shared" si="26"/>
        <v>#NAME?</v>
      </c>
      <c r="N300" s="28" t="e">
        <f t="shared" si="26"/>
        <v>#NAME?</v>
      </c>
      <c r="O300" s="28" t="e">
        <f t="shared" si="26"/>
        <v>#NAME?</v>
      </c>
    </row>
    <row r="301" spans="1:15">
      <c r="A301" s="17">
        <v>284</v>
      </c>
      <c r="B301" s="25" t="e">
        <v>#NAME?</v>
      </c>
      <c r="C301" s="25" t="e">
        <v>#NAME?</v>
      </c>
      <c r="D301" s="25" t="e">
        <v>#NAME?</v>
      </c>
      <c r="E301" s="25" t="e">
        <v>#NAME?</v>
      </c>
      <c r="F301" s="25" t="e">
        <v>#NAME?</v>
      </c>
      <c r="G301" s="27" t="e">
        <f t="shared" si="23"/>
        <v>#NAME?</v>
      </c>
      <c r="I301" s="17">
        <v>284</v>
      </c>
      <c r="J301" s="28" t="e">
        <f t="shared" si="26"/>
        <v>#NAME?</v>
      </c>
      <c r="K301" s="28" t="e">
        <f t="shared" si="26"/>
        <v>#NAME?</v>
      </c>
      <c r="L301" s="28" t="e">
        <f t="shared" si="26"/>
        <v>#NAME?</v>
      </c>
      <c r="M301" s="28" t="e">
        <f t="shared" si="26"/>
        <v>#NAME?</v>
      </c>
      <c r="N301" s="28" t="e">
        <f t="shared" si="26"/>
        <v>#NAME?</v>
      </c>
      <c r="O301" s="28" t="e">
        <f t="shared" si="26"/>
        <v>#NAME?</v>
      </c>
    </row>
    <row r="302" spans="1:15">
      <c r="A302" s="17">
        <v>285</v>
      </c>
      <c r="B302" s="25" t="e">
        <v>#NAME?</v>
      </c>
      <c r="C302" s="25" t="e">
        <v>#NAME?</v>
      </c>
      <c r="D302" s="25" t="e">
        <v>#NAME?</v>
      </c>
      <c r="E302" s="25" t="e">
        <v>#NAME?</v>
      </c>
      <c r="F302" s="25" t="e">
        <v>#NAME?</v>
      </c>
      <c r="G302" s="27" t="e">
        <f t="shared" si="23"/>
        <v>#NAME?</v>
      </c>
      <c r="I302" s="17">
        <v>285</v>
      </c>
      <c r="J302" s="28" t="e">
        <f t="shared" si="26"/>
        <v>#NAME?</v>
      </c>
      <c r="K302" s="28" t="e">
        <f t="shared" si="26"/>
        <v>#NAME?</v>
      </c>
      <c r="L302" s="28" t="e">
        <f t="shared" si="26"/>
        <v>#NAME?</v>
      </c>
      <c r="M302" s="28" t="e">
        <f t="shared" si="26"/>
        <v>#NAME?</v>
      </c>
      <c r="N302" s="28" t="e">
        <f t="shared" si="26"/>
        <v>#NAME?</v>
      </c>
      <c r="O302" s="28" t="e">
        <f t="shared" si="26"/>
        <v>#NAME?</v>
      </c>
    </row>
    <row r="303" spans="1:15">
      <c r="A303" s="17">
        <v>286</v>
      </c>
      <c r="B303" s="25" t="e">
        <v>#NAME?</v>
      </c>
      <c r="C303" s="25" t="e">
        <v>#NAME?</v>
      </c>
      <c r="D303" s="25" t="e">
        <v>#NAME?</v>
      </c>
      <c r="E303" s="25" t="e">
        <v>#NAME?</v>
      </c>
      <c r="F303" s="25" t="e">
        <v>#NAME?</v>
      </c>
      <c r="G303" s="27" t="e">
        <f t="shared" si="23"/>
        <v>#NAME?</v>
      </c>
      <c r="I303" s="17">
        <v>286</v>
      </c>
      <c r="J303" s="28" t="e">
        <f t="shared" si="26"/>
        <v>#NAME?</v>
      </c>
      <c r="K303" s="28" t="e">
        <f t="shared" si="26"/>
        <v>#NAME?</v>
      </c>
      <c r="L303" s="28" t="e">
        <f t="shared" si="26"/>
        <v>#NAME?</v>
      </c>
      <c r="M303" s="28" t="e">
        <f t="shared" si="26"/>
        <v>#NAME?</v>
      </c>
      <c r="N303" s="28" t="e">
        <f t="shared" si="26"/>
        <v>#NAME?</v>
      </c>
      <c r="O303" s="28" t="e">
        <f t="shared" si="26"/>
        <v>#NAME?</v>
      </c>
    </row>
    <row r="304" spans="1:15">
      <c r="A304" s="17">
        <v>287</v>
      </c>
      <c r="B304" s="25" t="e">
        <v>#NAME?</v>
      </c>
      <c r="C304" s="25" t="e">
        <v>#NAME?</v>
      </c>
      <c r="D304" s="25" t="e">
        <v>#NAME?</v>
      </c>
      <c r="E304" s="25" t="e">
        <v>#NAME?</v>
      </c>
      <c r="F304" s="25" t="e">
        <v>#NAME?</v>
      </c>
      <c r="G304" s="27" t="e">
        <f t="shared" si="23"/>
        <v>#NAME?</v>
      </c>
      <c r="I304" s="17">
        <v>287</v>
      </c>
      <c r="J304" s="28" t="e">
        <f t="shared" si="26"/>
        <v>#NAME?</v>
      </c>
      <c r="K304" s="28" t="e">
        <f t="shared" si="26"/>
        <v>#NAME?</v>
      </c>
      <c r="L304" s="28" t="e">
        <f t="shared" si="26"/>
        <v>#NAME?</v>
      </c>
      <c r="M304" s="28" t="e">
        <f t="shared" si="26"/>
        <v>#NAME?</v>
      </c>
      <c r="N304" s="28" t="e">
        <f t="shared" si="26"/>
        <v>#NAME?</v>
      </c>
      <c r="O304" s="28" t="e">
        <f t="shared" si="26"/>
        <v>#NAME?</v>
      </c>
    </row>
    <row r="305" spans="1:15">
      <c r="A305" s="17">
        <v>288</v>
      </c>
      <c r="B305" s="25" t="e">
        <v>#NAME?</v>
      </c>
      <c r="C305" s="25" t="e">
        <v>#NAME?</v>
      </c>
      <c r="D305" s="25" t="e">
        <v>#NAME?</v>
      </c>
      <c r="E305" s="25" t="e">
        <v>#NAME?</v>
      </c>
      <c r="F305" s="25" t="e">
        <v>#NAME?</v>
      </c>
      <c r="G305" s="27" t="e">
        <f t="shared" si="23"/>
        <v>#NAME?</v>
      </c>
      <c r="I305" s="17">
        <v>288</v>
      </c>
      <c r="J305" s="28" t="e">
        <f t="shared" si="26"/>
        <v>#NAME?</v>
      </c>
      <c r="K305" s="28" t="e">
        <f t="shared" si="26"/>
        <v>#NAME?</v>
      </c>
      <c r="L305" s="28" t="e">
        <f t="shared" si="26"/>
        <v>#NAME?</v>
      </c>
      <c r="M305" s="28" t="e">
        <f t="shared" si="26"/>
        <v>#NAME?</v>
      </c>
      <c r="N305" s="28" t="e">
        <f t="shared" si="26"/>
        <v>#NAME?</v>
      </c>
      <c r="O305" s="28" t="e">
        <f t="shared" si="26"/>
        <v>#NAME?</v>
      </c>
    </row>
    <row r="306" spans="1:15">
      <c r="A306" s="17">
        <v>289</v>
      </c>
      <c r="B306" s="25" t="e">
        <v>#NAME?</v>
      </c>
      <c r="C306" s="25" t="e">
        <v>#NAME?</v>
      </c>
      <c r="D306" s="25" t="e">
        <v>#NAME?</v>
      </c>
      <c r="E306" s="25" t="e">
        <v>#NAME?</v>
      </c>
      <c r="F306" s="25" t="e">
        <v>#NAME?</v>
      </c>
      <c r="G306" s="27" t="e">
        <f t="shared" si="23"/>
        <v>#NAME?</v>
      </c>
      <c r="I306" s="17">
        <v>289</v>
      </c>
      <c r="J306" s="28" t="e">
        <f t="shared" si="26"/>
        <v>#NAME?</v>
      </c>
      <c r="K306" s="28" t="e">
        <f t="shared" si="26"/>
        <v>#NAME?</v>
      </c>
      <c r="L306" s="28" t="e">
        <f t="shared" si="26"/>
        <v>#NAME?</v>
      </c>
      <c r="M306" s="28" t="e">
        <f t="shared" si="26"/>
        <v>#NAME?</v>
      </c>
      <c r="N306" s="28" t="e">
        <f t="shared" si="26"/>
        <v>#NAME?</v>
      </c>
      <c r="O306" s="28" t="e">
        <f t="shared" si="26"/>
        <v>#NAME?</v>
      </c>
    </row>
    <row r="307" spans="1:15">
      <c r="A307" s="17">
        <v>290</v>
      </c>
      <c r="B307" s="25" t="e">
        <v>#NAME?</v>
      </c>
      <c r="C307" s="25" t="e">
        <v>#NAME?</v>
      </c>
      <c r="D307" s="25" t="e">
        <v>#NAME?</v>
      </c>
      <c r="E307" s="25" t="e">
        <v>#NAME?</v>
      </c>
      <c r="F307" s="25" t="e">
        <v>#NAME?</v>
      </c>
      <c r="G307" s="27" t="e">
        <f t="shared" si="23"/>
        <v>#NAME?</v>
      </c>
      <c r="I307" s="17">
        <v>290</v>
      </c>
      <c r="J307" s="28" t="e">
        <f t="shared" ref="J307:O317" si="27">J306*(1+B307)</f>
        <v>#NAME?</v>
      </c>
      <c r="K307" s="28" t="e">
        <f t="shared" si="27"/>
        <v>#NAME?</v>
      </c>
      <c r="L307" s="28" t="e">
        <f t="shared" si="27"/>
        <v>#NAME?</v>
      </c>
      <c r="M307" s="28" t="e">
        <f t="shared" si="27"/>
        <v>#NAME?</v>
      </c>
      <c r="N307" s="28" t="e">
        <f t="shared" si="27"/>
        <v>#NAME?</v>
      </c>
      <c r="O307" s="28" t="e">
        <f t="shared" si="27"/>
        <v>#NAME?</v>
      </c>
    </row>
    <row r="308" spans="1:15">
      <c r="A308" s="17">
        <v>291</v>
      </c>
      <c r="B308" s="25" t="e">
        <v>#NAME?</v>
      </c>
      <c r="C308" s="25" t="e">
        <v>#NAME?</v>
      </c>
      <c r="D308" s="25" t="e">
        <v>#NAME?</v>
      </c>
      <c r="E308" s="25" t="e">
        <v>#NAME?</v>
      </c>
      <c r="F308" s="25" t="e">
        <v>#NAME?</v>
      </c>
      <c r="G308" s="27" t="e">
        <f t="shared" si="23"/>
        <v>#NAME?</v>
      </c>
      <c r="I308" s="17">
        <v>291</v>
      </c>
      <c r="J308" s="28" t="e">
        <f t="shared" si="27"/>
        <v>#NAME?</v>
      </c>
      <c r="K308" s="28" t="e">
        <f t="shared" si="27"/>
        <v>#NAME?</v>
      </c>
      <c r="L308" s="28" t="e">
        <f t="shared" si="27"/>
        <v>#NAME?</v>
      </c>
      <c r="M308" s="28" t="e">
        <f t="shared" si="27"/>
        <v>#NAME?</v>
      </c>
      <c r="N308" s="28" t="e">
        <f t="shared" si="27"/>
        <v>#NAME?</v>
      </c>
      <c r="O308" s="28" t="e">
        <f t="shared" si="27"/>
        <v>#NAME?</v>
      </c>
    </row>
    <row r="309" spans="1:15">
      <c r="A309" s="17">
        <v>292</v>
      </c>
      <c r="B309" s="25" t="e">
        <v>#NAME?</v>
      </c>
      <c r="C309" s="25" t="e">
        <v>#NAME?</v>
      </c>
      <c r="D309" s="25" t="e">
        <v>#NAME?</v>
      </c>
      <c r="E309" s="25" t="e">
        <v>#NAME?</v>
      </c>
      <c r="F309" s="25" t="e">
        <v>#NAME?</v>
      </c>
      <c r="G309" s="27" t="e">
        <f t="shared" si="23"/>
        <v>#NAME?</v>
      </c>
      <c r="I309" s="17">
        <v>292</v>
      </c>
      <c r="J309" s="28" t="e">
        <f t="shared" si="27"/>
        <v>#NAME?</v>
      </c>
      <c r="K309" s="28" t="e">
        <f t="shared" si="27"/>
        <v>#NAME?</v>
      </c>
      <c r="L309" s="28" t="e">
        <f t="shared" si="27"/>
        <v>#NAME?</v>
      </c>
      <c r="M309" s="28" t="e">
        <f t="shared" si="27"/>
        <v>#NAME?</v>
      </c>
      <c r="N309" s="28" t="e">
        <f t="shared" si="27"/>
        <v>#NAME?</v>
      </c>
      <c r="O309" s="28" t="e">
        <f t="shared" si="27"/>
        <v>#NAME?</v>
      </c>
    </row>
    <row r="310" spans="1:15">
      <c r="A310" s="17">
        <v>293</v>
      </c>
      <c r="B310" s="25" t="e">
        <v>#NAME?</v>
      </c>
      <c r="C310" s="25" t="e">
        <v>#NAME?</v>
      </c>
      <c r="D310" s="25" t="e">
        <v>#NAME?</v>
      </c>
      <c r="E310" s="25" t="e">
        <v>#NAME?</v>
      </c>
      <c r="F310" s="25" t="e">
        <v>#NAME?</v>
      </c>
      <c r="G310" s="27" t="e">
        <f t="shared" si="23"/>
        <v>#NAME?</v>
      </c>
      <c r="I310" s="17">
        <v>293</v>
      </c>
      <c r="J310" s="28" t="e">
        <f t="shared" si="27"/>
        <v>#NAME?</v>
      </c>
      <c r="K310" s="28" t="e">
        <f t="shared" si="27"/>
        <v>#NAME?</v>
      </c>
      <c r="L310" s="28" t="e">
        <f t="shared" si="27"/>
        <v>#NAME?</v>
      </c>
      <c r="M310" s="28" t="e">
        <f t="shared" si="27"/>
        <v>#NAME?</v>
      </c>
      <c r="N310" s="28" t="e">
        <f t="shared" si="27"/>
        <v>#NAME?</v>
      </c>
      <c r="O310" s="28" t="e">
        <f t="shared" si="27"/>
        <v>#NAME?</v>
      </c>
    </row>
    <row r="311" spans="1:15">
      <c r="A311" s="17">
        <v>294</v>
      </c>
      <c r="B311" s="25" t="e">
        <v>#NAME?</v>
      </c>
      <c r="C311" s="25" t="e">
        <v>#NAME?</v>
      </c>
      <c r="D311" s="25" t="e">
        <v>#NAME?</v>
      </c>
      <c r="E311" s="25" t="e">
        <v>#NAME?</v>
      </c>
      <c r="F311" s="25" t="e">
        <v>#NAME?</v>
      </c>
      <c r="G311" s="27" t="e">
        <f t="shared" si="23"/>
        <v>#NAME?</v>
      </c>
      <c r="I311" s="17">
        <v>294</v>
      </c>
      <c r="J311" s="28" t="e">
        <f t="shared" si="27"/>
        <v>#NAME?</v>
      </c>
      <c r="K311" s="28" t="e">
        <f t="shared" si="27"/>
        <v>#NAME?</v>
      </c>
      <c r="L311" s="28" t="e">
        <f t="shared" si="27"/>
        <v>#NAME?</v>
      </c>
      <c r="M311" s="28" t="e">
        <f t="shared" si="27"/>
        <v>#NAME?</v>
      </c>
      <c r="N311" s="28" t="e">
        <f t="shared" si="27"/>
        <v>#NAME?</v>
      </c>
      <c r="O311" s="28" t="e">
        <f t="shared" si="27"/>
        <v>#NAME?</v>
      </c>
    </row>
    <row r="312" spans="1:15">
      <c r="A312" s="17">
        <v>295</v>
      </c>
      <c r="B312" s="25" t="e">
        <v>#NAME?</v>
      </c>
      <c r="C312" s="25" t="e">
        <v>#NAME?</v>
      </c>
      <c r="D312" s="25" t="e">
        <v>#NAME?</v>
      </c>
      <c r="E312" s="25" t="e">
        <v>#NAME?</v>
      </c>
      <c r="F312" s="25" t="e">
        <v>#NAME?</v>
      </c>
      <c r="G312" s="27" t="e">
        <f t="shared" si="23"/>
        <v>#NAME?</v>
      </c>
      <c r="I312" s="17">
        <v>295</v>
      </c>
      <c r="J312" s="28" t="e">
        <f t="shared" si="27"/>
        <v>#NAME?</v>
      </c>
      <c r="K312" s="28" t="e">
        <f t="shared" si="27"/>
        <v>#NAME?</v>
      </c>
      <c r="L312" s="28" t="e">
        <f t="shared" si="27"/>
        <v>#NAME?</v>
      </c>
      <c r="M312" s="28" t="e">
        <f t="shared" si="27"/>
        <v>#NAME?</v>
      </c>
      <c r="N312" s="28" t="e">
        <f t="shared" si="27"/>
        <v>#NAME?</v>
      </c>
      <c r="O312" s="28" t="e">
        <f t="shared" si="27"/>
        <v>#NAME?</v>
      </c>
    </row>
    <row r="313" spans="1:15">
      <c r="A313" s="17">
        <v>296</v>
      </c>
      <c r="B313" s="25" t="e">
        <v>#NAME?</v>
      </c>
      <c r="C313" s="25" t="e">
        <v>#NAME?</v>
      </c>
      <c r="D313" s="25" t="e">
        <v>#NAME?</v>
      </c>
      <c r="E313" s="25" t="e">
        <v>#NAME?</v>
      </c>
      <c r="F313" s="25" t="e">
        <v>#NAME?</v>
      </c>
      <c r="G313" s="27" t="e">
        <f t="shared" si="23"/>
        <v>#NAME?</v>
      </c>
      <c r="I313" s="17">
        <v>296</v>
      </c>
      <c r="J313" s="28" t="e">
        <f t="shared" si="27"/>
        <v>#NAME?</v>
      </c>
      <c r="K313" s="28" t="e">
        <f t="shared" si="27"/>
        <v>#NAME?</v>
      </c>
      <c r="L313" s="28" t="e">
        <f t="shared" si="27"/>
        <v>#NAME?</v>
      </c>
      <c r="M313" s="28" t="e">
        <f t="shared" si="27"/>
        <v>#NAME?</v>
      </c>
      <c r="N313" s="28" t="e">
        <f t="shared" si="27"/>
        <v>#NAME?</v>
      </c>
      <c r="O313" s="28" t="e">
        <f t="shared" si="27"/>
        <v>#NAME?</v>
      </c>
    </row>
    <row r="314" spans="1:15">
      <c r="A314" s="17">
        <v>297</v>
      </c>
      <c r="B314" s="25" t="e">
        <v>#NAME?</v>
      </c>
      <c r="C314" s="25" t="e">
        <v>#NAME?</v>
      </c>
      <c r="D314" s="25" t="e">
        <v>#NAME?</v>
      </c>
      <c r="E314" s="25" t="e">
        <v>#NAME?</v>
      </c>
      <c r="F314" s="25" t="e">
        <v>#NAME?</v>
      </c>
      <c r="G314" s="27" t="e">
        <f t="shared" si="23"/>
        <v>#NAME?</v>
      </c>
      <c r="I314" s="17">
        <v>297</v>
      </c>
      <c r="J314" s="28" t="e">
        <f t="shared" si="27"/>
        <v>#NAME?</v>
      </c>
      <c r="K314" s="28" t="e">
        <f t="shared" si="27"/>
        <v>#NAME?</v>
      </c>
      <c r="L314" s="28" t="e">
        <f t="shared" si="27"/>
        <v>#NAME?</v>
      </c>
      <c r="M314" s="28" t="e">
        <f t="shared" si="27"/>
        <v>#NAME?</v>
      </c>
      <c r="N314" s="28" t="e">
        <f t="shared" si="27"/>
        <v>#NAME?</v>
      </c>
      <c r="O314" s="28" t="e">
        <f t="shared" si="27"/>
        <v>#NAME?</v>
      </c>
    </row>
    <row r="315" spans="1:15">
      <c r="A315" s="17">
        <v>298</v>
      </c>
      <c r="B315" s="25" t="e">
        <v>#NAME?</v>
      </c>
      <c r="C315" s="25" t="e">
        <v>#NAME?</v>
      </c>
      <c r="D315" s="25" t="e">
        <v>#NAME?</v>
      </c>
      <c r="E315" s="25" t="e">
        <v>#NAME?</v>
      </c>
      <c r="F315" s="25" t="e">
        <v>#NAME?</v>
      </c>
      <c r="G315" s="27" t="e">
        <f t="shared" si="23"/>
        <v>#NAME?</v>
      </c>
      <c r="I315" s="17">
        <v>298</v>
      </c>
      <c r="J315" s="28" t="e">
        <f t="shared" si="27"/>
        <v>#NAME?</v>
      </c>
      <c r="K315" s="28" t="e">
        <f t="shared" si="27"/>
        <v>#NAME?</v>
      </c>
      <c r="L315" s="28" t="e">
        <f t="shared" si="27"/>
        <v>#NAME?</v>
      </c>
      <c r="M315" s="28" t="e">
        <f t="shared" si="27"/>
        <v>#NAME?</v>
      </c>
      <c r="N315" s="28" t="e">
        <f t="shared" si="27"/>
        <v>#NAME?</v>
      </c>
      <c r="O315" s="28" t="e">
        <f t="shared" si="27"/>
        <v>#NAME?</v>
      </c>
    </row>
    <row r="316" spans="1:15">
      <c r="A316" s="17">
        <v>299</v>
      </c>
      <c r="B316" s="25" t="e">
        <v>#NAME?</v>
      </c>
      <c r="C316" s="25" t="e">
        <v>#NAME?</v>
      </c>
      <c r="D316" s="25" t="e">
        <v>#NAME?</v>
      </c>
      <c r="E316" s="25" t="e">
        <v>#NAME?</v>
      </c>
      <c r="F316" s="25" t="e">
        <v>#NAME?</v>
      </c>
      <c r="G316" s="27" t="e">
        <f t="shared" si="23"/>
        <v>#NAME?</v>
      </c>
      <c r="I316" s="17">
        <v>299</v>
      </c>
      <c r="J316" s="28" t="e">
        <f t="shared" si="27"/>
        <v>#NAME?</v>
      </c>
      <c r="K316" s="28" t="e">
        <f t="shared" si="27"/>
        <v>#NAME?</v>
      </c>
      <c r="L316" s="28" t="e">
        <f t="shared" si="27"/>
        <v>#NAME?</v>
      </c>
      <c r="M316" s="28" t="e">
        <f t="shared" si="27"/>
        <v>#NAME?</v>
      </c>
      <c r="N316" s="28" t="e">
        <f t="shared" si="27"/>
        <v>#NAME?</v>
      </c>
      <c r="O316" s="28" t="e">
        <f t="shared" si="27"/>
        <v>#NAME?</v>
      </c>
    </row>
    <row r="317" spans="1:15">
      <c r="A317" s="18">
        <v>300</v>
      </c>
      <c r="B317" s="26" t="e">
        <v>#NAME?</v>
      </c>
      <c r="C317" s="26" t="e">
        <v>#NAME?</v>
      </c>
      <c r="D317" s="26" t="e">
        <v>#NAME?</v>
      </c>
      <c r="E317" s="26" t="e">
        <v>#NAME?</v>
      </c>
      <c r="F317" s="26" t="e">
        <v>#NAME?</v>
      </c>
      <c r="G317" s="29" t="e">
        <f t="shared" si="23"/>
        <v>#NAME?</v>
      </c>
      <c r="I317" s="18">
        <v>300</v>
      </c>
      <c r="J317" s="30" t="e">
        <f t="shared" si="27"/>
        <v>#NAME?</v>
      </c>
      <c r="K317" s="30" t="e">
        <f t="shared" si="27"/>
        <v>#NAME?</v>
      </c>
      <c r="L317" s="30" t="e">
        <f t="shared" si="27"/>
        <v>#NAME?</v>
      </c>
      <c r="M317" s="30" t="e">
        <f t="shared" si="27"/>
        <v>#NAME?</v>
      </c>
      <c r="N317" s="30" t="e">
        <f t="shared" si="27"/>
        <v>#NAME?</v>
      </c>
      <c r="O317" s="30" t="e">
        <f t="shared" si="27"/>
        <v>#NAME?</v>
      </c>
    </row>
    <row r="318" spans="1:15">
      <c r="A318" s="23" t="s">
        <v>31</v>
      </c>
      <c r="B318" s="31" t="e">
        <f t="shared" ref="B318:G318" si="28">AVERAGE(B18:B317)</f>
        <v>#NAME?</v>
      </c>
      <c r="C318" s="31" t="e">
        <f t="shared" si="28"/>
        <v>#NAME?</v>
      </c>
      <c r="D318" s="31" t="e">
        <f t="shared" si="28"/>
        <v>#NAME?</v>
      </c>
      <c r="E318" s="31" t="e">
        <f t="shared" si="28"/>
        <v>#NAME?</v>
      </c>
      <c r="F318" s="31" t="e">
        <f t="shared" si="28"/>
        <v>#NAME?</v>
      </c>
      <c r="G318" s="31" t="e">
        <f t="shared" si="28"/>
        <v>#NAME?</v>
      </c>
    </row>
    <row r="319" spans="1:15">
      <c r="A319" s="23" t="s">
        <v>32</v>
      </c>
      <c r="B319" s="31" t="e">
        <f t="shared" ref="B319:G319" si="29">_xlfn.STDEV.P(B18:B317)</f>
        <v>#NAME?</v>
      </c>
      <c r="C319" s="31" t="e">
        <f t="shared" si="29"/>
        <v>#NAME?</v>
      </c>
      <c r="D319" s="31" t="e">
        <f t="shared" si="29"/>
        <v>#NAME?</v>
      </c>
      <c r="E319" s="31" t="e">
        <f t="shared" si="29"/>
        <v>#NAME?</v>
      </c>
      <c r="F319" s="31" t="e">
        <f t="shared" si="29"/>
        <v>#NAME?</v>
      </c>
      <c r="G319" s="31" t="e">
        <f t="shared" si="29"/>
        <v>#NAME?</v>
      </c>
    </row>
    <row r="320" spans="1:15" ht="5.0999999999999996" customHeight="1"/>
  </sheetData>
  <mergeCells count="3">
    <mergeCell ref="A1:F1"/>
    <mergeCell ref="A15:G15"/>
    <mergeCell ref="I15:O15"/>
  </mergeCells>
  <phoneticPr fontId="5"/>
  <printOptions headings="1"/>
  <pageMargins left="0.70866141732283472" right="0.70866141732283472" top="0.74803149606299213" bottom="0.74803149606299213" header="0.31496062992125984" footer="0.31496062992125984"/>
  <pageSetup paperSize="9" scale="66" orientation="portrait" horizontalDpi="0" verticalDpi="0" r:id="rId1"/>
  <rowBreaks count="3" manualBreakCount="3">
    <brk id="80" max="15" man="1"/>
    <brk id="160" max="15" man="1"/>
    <brk id="240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Hiroshi Ishijima</cp:lastModifiedBy>
  <cp:revision/>
  <dcterms:created xsi:type="dcterms:W3CDTF">2018-07-21T13:33:21Z</dcterms:created>
  <dcterms:modified xsi:type="dcterms:W3CDTF">2018-07-22T08:34:26Z</dcterms:modified>
  <cp:category/>
  <cp:contentStatus/>
</cp:coreProperties>
</file>