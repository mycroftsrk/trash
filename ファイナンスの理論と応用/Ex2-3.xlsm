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11" codeName="{00000000-0000-0000-0000-000000000000}"/>
  <workbookPr filterPrivacy="1" codeName="ThisWorkbook"/>
  <xr:revisionPtr revIDLastSave="0" documentId="8_{3B13330A-DB7F-47AE-93D7-F7C2065AB836}" xr6:coauthVersionLast="35" xr6:coauthVersionMax="35" xr10:uidLastSave="{00000000-0000-0000-0000-000000000000}"/>
  <bookViews>
    <workbookView xWindow="0" yWindow="0" windowWidth="19170" windowHeight="17775" xr2:uid="{00000000-000D-0000-FFFF-FFFF00000000}"/>
  </bookViews>
  <sheets>
    <sheet name="演習5(問題)" sheetId="3" r:id="rId1"/>
    <sheet name="演習5(解答例)" sheetId="2" r:id="rId2"/>
    <sheet name="演習6(問題)" sheetId="5" r:id="rId3"/>
    <sheet name="演習6(解答例)" sheetId="4" r:id="rId4"/>
    <sheet name="simStockPrices" sheetId="1" r:id="rId5"/>
  </sheets>
  <calcPr calcId="179020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 a="1"/>
  <c r="C9" i="5"/>
  <c r="B4" i="5"/>
  <c r="B3" i="5"/>
  <c r="C9" i="4"/>
  <c r="B4" i="4"/>
  <c r="B3" i="4"/>
  <c r="C9" i="3"/>
  <c r="D9" i="3"/>
  <c r="B4" i="3"/>
  <c r="B3" i="3"/>
  <c r="B677" i="2"/>
  <c r="B676" i="2"/>
  <c r="B71" i="2"/>
  <c r="B70" i="2"/>
  <c r="C9" i="2"/>
  <c r="D9" i="2"/>
  <c r="B4" i="2"/>
  <c r="B3" i="2"/>
  <c r="B10" i="4" a="1"/>
  <c r="F38" i="1"/>
  <c r="F42" i="1"/>
  <c r="F54" i="1"/>
  <c r="F3" i="1"/>
  <c r="F58" i="1"/>
  <c r="F6" i="1"/>
  <c r="F31" i="1"/>
  <c r="F26" i="1"/>
  <c r="F50" i="1"/>
  <c r="F46" i="1"/>
  <c r="F51" i="1"/>
  <c r="F15" i="1"/>
  <c r="F55" i="1"/>
  <c r="F4" i="1"/>
  <c r="F27" i="1"/>
  <c r="F18" i="1"/>
  <c r="F7" i="1"/>
  <c r="F19" i="1"/>
  <c r="F62" i="1"/>
  <c r="F39" i="1"/>
  <c r="F47" i="1"/>
  <c r="F34" i="1"/>
  <c r="F35" i="1"/>
  <c r="F43" i="1"/>
  <c r="F30" i="1"/>
  <c r="F10" i="1"/>
  <c r="F11" i="1"/>
  <c r="F14" i="1"/>
  <c r="F59" i="1"/>
  <c r="F23" i="1"/>
  <c r="F22" i="1"/>
  <c r="D9" i="5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9" i="4"/>
  <c r="B65" i="4"/>
  <c r="B61" i="4"/>
  <c r="B57" i="4"/>
  <c r="B53" i="4"/>
  <c r="B49" i="4"/>
  <c r="B45" i="4"/>
  <c r="B41" i="4"/>
  <c r="B37" i="4"/>
  <c r="B68" i="4"/>
  <c r="B60" i="4"/>
  <c r="B52" i="4"/>
  <c r="B44" i="4"/>
  <c r="B36" i="4"/>
  <c r="B31" i="4"/>
  <c r="B25" i="4"/>
  <c r="B20" i="4"/>
  <c r="B15" i="4"/>
  <c r="B67" i="4"/>
  <c r="B59" i="4"/>
  <c r="B51" i="4"/>
  <c r="B43" i="4"/>
  <c r="B35" i="4"/>
  <c r="B29" i="4"/>
  <c r="B24" i="4"/>
  <c r="B19" i="4"/>
  <c r="B13" i="4"/>
  <c r="B64" i="4"/>
  <c r="B56" i="4"/>
  <c r="B48" i="4"/>
  <c r="B40" i="4"/>
  <c r="B33" i="4"/>
  <c r="B28" i="4"/>
  <c r="B23" i="4"/>
  <c r="B17" i="4"/>
  <c r="B12" i="4"/>
  <c r="B63" i="4"/>
  <c r="B55" i="4"/>
  <c r="B47" i="4"/>
  <c r="B39" i="4"/>
  <c r="B32" i="4"/>
  <c r="B27" i="4"/>
  <c r="B21" i="4"/>
  <c r="B16" i="4"/>
  <c r="B11" i="4"/>
  <c r="C10" i="4"/>
  <c r="D9" i="4"/>
  <c r="C10" i="2"/>
  <c r="F17" i="1"/>
  <c r="F45" i="1"/>
  <c r="F57" i="1"/>
  <c r="F13" i="1"/>
  <c r="F52" i="1"/>
  <c r="F9" i="1"/>
  <c r="F41" i="1"/>
  <c r="F32" i="1"/>
  <c r="F29" i="1"/>
  <c r="F37" i="1"/>
  <c r="F36" i="1"/>
  <c r="F48" i="1"/>
  <c r="F44" i="1"/>
  <c r="F20" i="1"/>
  <c r="F25" i="1"/>
  <c r="F60" i="1"/>
  <c r="F24" i="1"/>
  <c r="F21" i="1"/>
  <c r="F53" i="1"/>
  <c r="F49" i="1"/>
  <c r="F28" i="1"/>
  <c r="F8" i="1"/>
  <c r="F33" i="1"/>
  <c r="F16" i="1"/>
  <c r="F56" i="1"/>
  <c r="F40" i="1"/>
  <c r="F5" i="1"/>
  <c r="F12" i="1"/>
  <c r="F61" i="1"/>
  <c r="C11" i="4"/>
  <c r="D10" i="4"/>
  <c r="B70" i="4"/>
  <c r="B71" i="4"/>
  <c r="C11" i="2"/>
  <c r="D10" i="2"/>
  <c r="C12" i="4"/>
  <c r="D11" i="4"/>
  <c r="C12" i="2"/>
  <c r="D11" i="2"/>
  <c r="C13" i="4"/>
  <c r="D12" i="4"/>
  <c r="D12" i="2"/>
  <c r="C13" i="2"/>
  <c r="C14" i="4"/>
  <c r="D13" i="4"/>
  <c r="D13" i="2"/>
  <c r="C14" i="2"/>
  <c r="C15" i="4"/>
  <c r="D14" i="4"/>
  <c r="D14" i="2"/>
  <c r="C15" i="2"/>
  <c r="C16" i="4"/>
  <c r="D15" i="4"/>
  <c r="C16" i="2"/>
  <c r="D15" i="2"/>
  <c r="C17" i="4"/>
  <c r="D16" i="4"/>
  <c r="C17" i="2"/>
  <c r="D16" i="2"/>
  <c r="C18" i="4"/>
  <c r="D17" i="4"/>
  <c r="D17" i="2"/>
  <c r="C18" i="2"/>
  <c r="C19" i="4"/>
  <c r="D18" i="4"/>
  <c r="D18" i="2"/>
  <c r="C19" i="2"/>
  <c r="C20" i="4"/>
  <c r="D19" i="4"/>
  <c r="C20" i="2"/>
  <c r="D19" i="2"/>
  <c r="C21" i="4"/>
  <c r="D20" i="4"/>
  <c r="D20" i="2"/>
  <c r="C21" i="2"/>
  <c r="C22" i="4"/>
  <c r="D21" i="4"/>
  <c r="D21" i="2"/>
  <c r="C22" i="2"/>
  <c r="C23" i="4"/>
  <c r="D22" i="4"/>
  <c r="D22" i="2"/>
  <c r="C23" i="2"/>
  <c r="C24" i="4"/>
  <c r="D23" i="4"/>
  <c r="C24" i="2"/>
  <c r="D23" i="2"/>
  <c r="C25" i="4"/>
  <c r="D24" i="4"/>
  <c r="D24" i="2"/>
  <c r="C25" i="2"/>
  <c r="C26" i="4"/>
  <c r="D25" i="4"/>
  <c r="C26" i="2"/>
  <c r="D25" i="2"/>
  <c r="C27" i="4"/>
  <c r="D26" i="4"/>
  <c r="C27" i="2"/>
  <c r="D26" i="2"/>
  <c r="C28" i="4"/>
  <c r="D27" i="4"/>
  <c r="D27" i="2"/>
  <c r="C28" i="2"/>
  <c r="C29" i="4"/>
  <c r="D28" i="4"/>
  <c r="D28" i="2"/>
  <c r="C29" i="2"/>
  <c r="C30" i="4"/>
  <c r="D29" i="4"/>
  <c r="C30" i="2"/>
  <c r="D29" i="2"/>
  <c r="C31" i="4"/>
  <c r="D30" i="4"/>
  <c r="D30" i="2"/>
  <c r="C31" i="2"/>
  <c r="C32" i="4"/>
  <c r="D31" i="4"/>
  <c r="D31" i="2"/>
  <c r="C32" i="2"/>
  <c r="C33" i="4"/>
  <c r="D32" i="4"/>
  <c r="C33" i="2"/>
  <c r="D32" i="2"/>
  <c r="C34" i="4"/>
  <c r="D33" i="4"/>
  <c r="C34" i="2"/>
  <c r="D33" i="2"/>
  <c r="C35" i="4"/>
  <c r="D34" i="4"/>
  <c r="D34" i="2"/>
  <c r="C35" i="2"/>
  <c r="C36" i="4"/>
  <c r="D35" i="4"/>
  <c r="D35" i="2"/>
  <c r="C36" i="2"/>
  <c r="C37" i="4"/>
  <c r="D36" i="4"/>
  <c r="D36" i="2"/>
  <c r="C37" i="2"/>
  <c r="C38" i="4"/>
  <c r="D37" i="4"/>
  <c r="C38" i="2"/>
  <c r="D37" i="2"/>
  <c r="C39" i="4"/>
  <c r="D38" i="4"/>
  <c r="C39" i="2"/>
  <c r="D38" i="2"/>
  <c r="C40" i="4"/>
  <c r="D39" i="4"/>
  <c r="D39" i="2"/>
  <c r="C40" i="2"/>
  <c r="C41" i="4"/>
  <c r="D40" i="4"/>
  <c r="D40" i="2"/>
  <c r="C41" i="2"/>
  <c r="C42" i="4"/>
  <c r="D41" i="4"/>
  <c r="D41" i="2"/>
  <c r="C42" i="2"/>
  <c r="C43" i="4"/>
  <c r="D42" i="4"/>
  <c r="D42" i="2"/>
  <c r="C43" i="2"/>
  <c r="C44" i="4"/>
  <c r="D43" i="4"/>
  <c r="C44" i="2"/>
  <c r="D43" i="2"/>
  <c r="C45" i="4"/>
  <c r="D44" i="4"/>
  <c r="C45" i="2"/>
  <c r="D44" i="2"/>
  <c r="C46" i="4"/>
  <c r="D45" i="4"/>
  <c r="D45" i="2"/>
  <c r="C46" i="2"/>
  <c r="C47" i="4"/>
  <c r="D46" i="4"/>
  <c r="D46" i="2"/>
  <c r="C47" i="2"/>
  <c r="C48" i="4"/>
  <c r="D47" i="4"/>
  <c r="C48" i="2"/>
  <c r="D47" i="2"/>
  <c r="C49" i="4"/>
  <c r="D48" i="4"/>
  <c r="C49" i="2"/>
  <c r="D48" i="2"/>
  <c r="C50" i="4"/>
  <c r="D49" i="4"/>
  <c r="D49" i="2"/>
  <c r="C50" i="2"/>
  <c r="C51" i="4"/>
  <c r="D50" i="4"/>
  <c r="D50" i="2"/>
  <c r="C51" i="2"/>
  <c r="C52" i="4"/>
  <c r="D51" i="4"/>
  <c r="C52" i="2"/>
  <c r="D51" i="2"/>
  <c r="C53" i="4"/>
  <c r="D52" i="4"/>
  <c r="C53" i="2"/>
  <c r="D52" i="2"/>
  <c r="C54" i="4"/>
  <c r="D53" i="4"/>
  <c r="C54" i="2"/>
  <c r="D53" i="2"/>
  <c r="C55" i="4"/>
  <c r="D54" i="4"/>
  <c r="C55" i="2"/>
  <c r="D54" i="2"/>
  <c r="C56" i="4"/>
  <c r="D55" i="4"/>
  <c r="C56" i="2"/>
  <c r="D55" i="2"/>
  <c r="C57" i="4"/>
  <c r="D56" i="4"/>
  <c r="C57" i="2"/>
  <c r="D56" i="2"/>
  <c r="C58" i="4"/>
  <c r="D57" i="4"/>
  <c r="D57" i="2"/>
  <c r="C58" i="2"/>
  <c r="C59" i="4"/>
  <c r="D58" i="4"/>
  <c r="C59" i="2"/>
  <c r="D58" i="2"/>
  <c r="C60" i="4"/>
  <c r="D59" i="4"/>
  <c r="C60" i="2"/>
  <c r="D59" i="2"/>
  <c r="C61" i="4"/>
  <c r="D60" i="4"/>
  <c r="C61" i="2"/>
  <c r="D60" i="2"/>
  <c r="C62" i="4"/>
  <c r="D61" i="4"/>
  <c r="C62" i="2"/>
  <c r="D61" i="2"/>
  <c r="C63" i="4"/>
  <c r="D62" i="4"/>
  <c r="C63" i="2"/>
  <c r="D62" i="2"/>
  <c r="C64" i="4"/>
  <c r="D63" i="4"/>
  <c r="C64" i="2"/>
  <c r="D63" i="2"/>
  <c r="C65" i="4"/>
  <c r="D64" i="4"/>
  <c r="C65" i="2"/>
  <c r="D64" i="2"/>
  <c r="C66" i="4"/>
  <c r="D65" i="4"/>
  <c r="C66" i="2"/>
  <c r="D65" i="2"/>
  <c r="C67" i="4"/>
  <c r="D66" i="4"/>
  <c r="C67" i="2"/>
  <c r="D66" i="2"/>
  <c r="C68" i="4"/>
  <c r="D67" i="4"/>
  <c r="C68" i="2"/>
  <c r="D67" i="2"/>
  <c r="C69" i="4"/>
  <c r="D69" i="4"/>
  <c r="D68" i="4"/>
  <c r="C69" i="2"/>
  <c r="D69" i="2"/>
  <c r="D68" i="2"/>
  <c r="B2" i="1"/>
  <c r="B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</calcChain>
</file>

<file path=xl/sharedStrings.xml><?xml version="1.0" encoding="utf-8"?>
<sst xmlns="http://schemas.openxmlformats.org/spreadsheetml/2006/main" count="78" uniqueCount="26">
  <si>
    <r>
      <t>[</t>
    </r>
    <r>
      <rPr>
        <sz val="11"/>
        <rFont val="ＭＳ Ｐゴシック"/>
        <family val="3"/>
        <charset val="128"/>
      </rPr>
      <t>パネル</t>
    </r>
    <r>
      <rPr>
        <sz val="11"/>
        <rFont val="Calibri"/>
        <family val="2"/>
      </rPr>
      <t xml:space="preserve"> A] </t>
    </r>
    <r>
      <rPr>
        <sz val="11"/>
        <rFont val="ＭＳ Ｐゴシック"/>
        <family val="3"/>
        <charset val="128"/>
      </rPr>
      <t>パラメータ設定</t>
    </r>
    <rPh sb="13" eb="15">
      <t>セッテイ</t>
    </rPh>
    <phoneticPr fontId="3"/>
  </si>
  <si>
    <r>
      <t>S</t>
    </r>
    <r>
      <rPr>
        <vertAlign val="subscript"/>
        <sz val="11"/>
        <rFont val="Calibri"/>
        <family val="2"/>
      </rPr>
      <t>0</t>
    </r>
    <phoneticPr fontId="3"/>
  </si>
  <si>
    <t>m</t>
    <phoneticPr fontId="3"/>
  </si>
  <si>
    <r>
      <rPr>
        <sz val="11"/>
        <rFont val="Wingdings"/>
        <charset val="2"/>
      </rPr>
      <t>ç</t>
    </r>
    <r>
      <rPr>
        <sz val="11"/>
        <rFont val="Calibri"/>
        <family val="2"/>
      </rPr>
      <t xml:space="preserve"> 0.25*(1/250)</t>
    </r>
    <phoneticPr fontId="3"/>
  </si>
  <si>
    <t>s</t>
    <phoneticPr fontId="3"/>
  </si>
  <si>
    <r>
      <rPr>
        <sz val="11"/>
        <rFont val="Wingdings"/>
        <charset val="2"/>
      </rPr>
      <t>ç</t>
    </r>
    <r>
      <rPr>
        <sz val="11"/>
        <rFont val="Calibri"/>
        <family val="2"/>
      </rPr>
      <t xml:space="preserve"> 0.3*sqrt(1/250)</t>
    </r>
    <phoneticPr fontId="3"/>
  </si>
  <si>
    <t>T</t>
    <phoneticPr fontId="3"/>
  </si>
  <si>
    <r>
      <t>[</t>
    </r>
    <r>
      <rPr>
        <sz val="11"/>
        <rFont val="ＭＳ Ｐゴシック"/>
        <family val="3"/>
        <charset val="128"/>
      </rPr>
      <t>パネル</t>
    </r>
    <r>
      <rPr>
        <sz val="11"/>
        <rFont val="Calibri"/>
        <family val="2"/>
      </rPr>
      <t xml:space="preserve"> B] 60</t>
    </r>
    <r>
      <rPr>
        <sz val="11"/>
        <rFont val="ＭＳ Ｐゴシック"/>
        <family val="3"/>
        <charset val="128"/>
      </rPr>
      <t>日分のログ・リターンと株価の生成</t>
    </r>
    <rPh sb="10" eb="12">
      <t>ニチブン</t>
    </rPh>
    <rPh sb="21" eb="23">
      <t>カブカ</t>
    </rPh>
    <rPh sb="24" eb="26">
      <t>セイセイ</t>
    </rPh>
    <phoneticPr fontId="3"/>
  </si>
  <si>
    <t>時点</t>
    <rPh sb="0" eb="2">
      <t>ジテン</t>
    </rPh>
    <phoneticPr fontId="1"/>
  </si>
  <si>
    <r>
      <t xml:space="preserve">①ログ・リターン
正規乱数
</t>
    </r>
    <r>
      <rPr>
        <sz val="11"/>
        <rFont val="Calibri"/>
        <family val="2"/>
      </rPr>
      <t>N(</t>
    </r>
    <r>
      <rPr>
        <sz val="11"/>
        <rFont val="Symbol"/>
        <family val="1"/>
        <charset val="2"/>
      </rPr>
      <t>m,s</t>
    </r>
    <r>
      <rPr>
        <vertAlign val="superscript"/>
        <sz val="11"/>
        <rFont val="Symbol"/>
        <family val="1"/>
        <charset val="2"/>
      </rPr>
      <t>2</t>
    </r>
    <r>
      <rPr>
        <sz val="11"/>
        <rFont val="Calibri"/>
        <family val="2"/>
      </rPr>
      <t>)</t>
    </r>
    <rPh sb="9" eb="11">
      <t>セイキ</t>
    </rPh>
    <rPh sb="11" eb="13">
      <t>ランスウ</t>
    </rPh>
    <phoneticPr fontId="1"/>
  </si>
  <si>
    <r>
      <t xml:space="preserve">②対数価格
</t>
    </r>
    <r>
      <rPr>
        <sz val="11"/>
        <rFont val="Calibri"/>
        <family val="2"/>
      </rPr>
      <t>log(</t>
    </r>
    <r>
      <rPr>
        <i/>
        <sz val="11"/>
        <rFont val="Calibri"/>
        <family val="2"/>
      </rPr>
      <t>S</t>
    </r>
    <r>
      <rPr>
        <i/>
        <vertAlign val="subscript"/>
        <sz val="11"/>
        <rFont val="Calibri"/>
        <family val="2"/>
      </rPr>
      <t>t</t>
    </r>
    <r>
      <rPr>
        <sz val="11"/>
        <rFont val="Calibri"/>
        <family val="2"/>
      </rPr>
      <t>)</t>
    </r>
    <rPh sb="1" eb="3">
      <t>タイスウ</t>
    </rPh>
    <rPh sb="3" eb="5">
      <t>カカク</t>
    </rPh>
    <phoneticPr fontId="1"/>
  </si>
  <si>
    <r>
      <t xml:space="preserve">③価格
</t>
    </r>
    <r>
      <rPr>
        <i/>
        <sz val="11"/>
        <rFont val="Calibri"/>
        <family val="2"/>
      </rPr>
      <t>S</t>
    </r>
    <r>
      <rPr>
        <i/>
        <vertAlign val="subscript"/>
        <sz val="11"/>
        <rFont val="Calibri"/>
        <family val="2"/>
      </rPr>
      <t>t</t>
    </r>
    <rPh sb="1" eb="3">
      <t>カカク</t>
    </rPh>
    <phoneticPr fontId="1"/>
  </si>
  <si>
    <t>平均</t>
    <rPh sb="0" eb="2">
      <t>ヘイキン</t>
    </rPh>
    <phoneticPr fontId="3"/>
  </si>
  <si>
    <t>標準偏差</t>
    <rPh sb="0" eb="4">
      <t>ヒョウジュンヘンサ</t>
    </rPh>
    <phoneticPr fontId="3"/>
  </si>
  <si>
    <r>
      <t>[</t>
    </r>
    <r>
      <rPr>
        <sz val="11"/>
        <rFont val="ＭＳ Ｐゴシック"/>
        <family val="3"/>
        <charset val="128"/>
      </rPr>
      <t>パネル</t>
    </r>
    <r>
      <rPr>
        <sz val="11"/>
        <rFont val="Calibri"/>
        <family val="2"/>
      </rPr>
      <t xml:space="preserve"> C] 600</t>
    </r>
    <r>
      <rPr>
        <sz val="11"/>
        <rFont val="ＭＳ Ｐゴシック"/>
        <family val="3"/>
        <charset val="128"/>
      </rPr>
      <t>日分のログ・リターンの生成</t>
    </r>
    <rPh sb="11" eb="13">
      <t>ニチブン</t>
    </rPh>
    <rPh sb="22" eb="24">
      <t>セイセイ</t>
    </rPh>
    <phoneticPr fontId="3"/>
  </si>
  <si>
    <r>
      <t xml:space="preserve">①正規乱数
</t>
    </r>
    <r>
      <rPr>
        <sz val="11"/>
        <rFont val="Calibri"/>
        <family val="2"/>
      </rPr>
      <t>N(</t>
    </r>
    <r>
      <rPr>
        <sz val="11"/>
        <rFont val="Symbol"/>
        <family val="1"/>
        <charset val="2"/>
      </rPr>
      <t>m,s</t>
    </r>
    <r>
      <rPr>
        <vertAlign val="superscript"/>
        <sz val="11"/>
        <rFont val="Symbol"/>
        <family val="1"/>
        <charset val="2"/>
      </rPr>
      <t>2</t>
    </r>
    <r>
      <rPr>
        <sz val="11"/>
        <rFont val="Calibri"/>
        <family val="2"/>
      </rPr>
      <t>)</t>
    </r>
    <rPh sb="1" eb="3">
      <t>セイキ</t>
    </rPh>
    <rPh sb="3" eb="5">
      <t>ランスウ</t>
    </rPh>
    <phoneticPr fontId="1"/>
  </si>
  <si>
    <r>
      <t>S</t>
    </r>
    <r>
      <rPr>
        <vertAlign val="subscript"/>
        <sz val="11"/>
        <rFont val="Calibri"/>
        <family val="2"/>
      </rPr>
      <t>0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現在の株価</t>
    </r>
    <r>
      <rPr>
        <sz val="11"/>
        <rFont val="Calibri"/>
        <family val="2"/>
      </rPr>
      <t>)</t>
    </r>
    <rPh sb="4" eb="6">
      <t>ゲンザイ</t>
    </rPh>
    <rPh sb="7" eb="9">
      <t>カブカ</t>
    </rPh>
    <phoneticPr fontId="3"/>
  </si>
  <si>
    <t>Time</t>
    <phoneticPr fontId="3"/>
  </si>
  <si>
    <t>Stock Prices</t>
    <phoneticPr fontId="3"/>
  </si>
  <si>
    <t>Normal Variates</t>
    <phoneticPr fontId="3"/>
  </si>
  <si>
    <r>
      <rPr>
        <sz val="11"/>
        <rFont val="Symbol"/>
        <family val="1"/>
        <charset val="2"/>
      </rPr>
      <t>m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ドリフト</t>
    </r>
    <r>
      <rPr>
        <sz val="11"/>
        <rFont val="Calibri"/>
        <family val="2"/>
      </rPr>
      <t>)</t>
    </r>
    <phoneticPr fontId="3"/>
  </si>
  <si>
    <r>
      <rPr>
        <sz val="11"/>
        <rFont val="Symbol"/>
        <family val="1"/>
        <charset val="2"/>
      </rPr>
      <t>s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3"/>
        <charset val="128"/>
      </rPr>
      <t>ボラティリティ</t>
    </r>
    <r>
      <rPr>
        <sz val="11"/>
        <rFont val="ＭＳ Ｐ明朝"/>
        <family val="1"/>
        <charset val="128"/>
      </rPr>
      <t>）</t>
    </r>
    <phoneticPr fontId="3"/>
  </si>
  <si>
    <r>
      <t>T (</t>
    </r>
    <r>
      <rPr>
        <sz val="11"/>
        <rFont val="ＭＳ Ｐゴシック"/>
        <family val="3"/>
        <charset val="128"/>
      </rPr>
      <t>期末時点</t>
    </r>
    <r>
      <rPr>
        <sz val="11"/>
        <rFont val="Calibri"/>
        <family val="2"/>
      </rPr>
      <t>)</t>
    </r>
    <rPh sb="3" eb="5">
      <t>キマツ</t>
    </rPh>
    <rPh sb="5" eb="7">
      <t>ジテン</t>
    </rPh>
    <phoneticPr fontId="3"/>
  </si>
  <si>
    <r>
      <t>M (</t>
    </r>
    <r>
      <rPr>
        <sz val="11"/>
        <rFont val="ＭＳ Ｐゴシック"/>
        <family val="3"/>
        <charset val="128"/>
      </rPr>
      <t>サンプルパス数</t>
    </r>
    <r>
      <rPr>
        <sz val="11"/>
        <rFont val="Calibri"/>
        <family val="2"/>
      </rPr>
      <t>)</t>
    </r>
    <rPh sb="9" eb="10">
      <t>スウ</t>
    </rPh>
    <phoneticPr fontId="3"/>
  </si>
  <si>
    <t>Sim. Ave. S_T</t>
    <phoneticPr fontId="3"/>
  </si>
  <si>
    <t>Theoretical S_T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</si>
</sst>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_ "/>
  </numFmts>
  <fonts count="10">
    <font>
      <sz val="11"/>
      <name val="ＭＳ Ｐゴシック"/>
      <family val="3"/>
      <charset val="128"/>
    </font>
    <font>
      <sz val="11"/>
      <name val="Calibri"/>
      <family val="2"/>
    </font>
    <font>
      <vertAlign val="subscript"/>
      <sz val="11"/>
      <name val="Calibri"/>
      <family val="2"/>
    </font>
    <font>
      <sz val="6"/>
      <name val="ＭＳ Ｐゴシック"/>
      <family val="3"/>
      <charset val="128"/>
    </font>
    <font>
      <sz val="11"/>
      <name val="Symbol"/>
      <family val="1"/>
      <charset val="2"/>
    </font>
    <font>
      <sz val="11"/>
      <name val="Wingdings"/>
      <charset val="2"/>
    </font>
    <font>
      <sz val="11"/>
      <name val="ＭＳ Ｐ明朝"/>
      <family val="1"/>
      <charset val="128"/>
    </font>
    <font>
      <vertAlign val="superscript"/>
      <sz val="11"/>
      <name val="Symbol"/>
      <family val="1"/>
      <charset val="2"/>
    </font>
    <font>
      <i/>
      <sz val="11"/>
      <name val="Calibri"/>
      <family val="2"/>
    </font>
    <font>
      <i/>
      <vertAlign val="subscript"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1" fillId="0" borderId="1" xfId="0" applyFont="1" applyBorder="1" applyAlignment="1">
      <alignment wrapText="1"/>
    </xf>
    <xf numFmtId="0" fontId="1" fillId="0" borderId="1" xfId="0" applyFont="1" applyBorder="1" applyAlignment="1"/>
    <xf numFmtId="0" fontId="1" fillId="0" borderId="0" xfId="0" applyFont="1">
      <alignment vertical="center"/>
    </xf>
    <xf numFmtId="0" fontId="1" fillId="0" borderId="2" xfId="0" applyFont="1" applyBorder="1" applyAlignment="1">
      <alignment wrapText="1"/>
    </xf>
    <xf numFmtId="164" fontId="1" fillId="0" borderId="2" xfId="0" applyNumberFormat="1" applyFont="1" applyBorder="1" applyAlignment="1"/>
    <xf numFmtId="0" fontId="1" fillId="0" borderId="0" xfId="0" quotePrefix="1" applyFont="1">
      <alignment vertical="center"/>
    </xf>
    <xf numFmtId="0" fontId="1" fillId="0" borderId="2" xfId="0" applyFont="1" applyBorder="1" applyAlignment="1"/>
    <xf numFmtId="0" fontId="1" fillId="0" borderId="3" xfId="0" applyFont="1" applyBorder="1">
      <alignment vertical="center"/>
    </xf>
    <xf numFmtId="2" fontId="1" fillId="0" borderId="0" xfId="0" applyNumberFormat="1" applyFont="1">
      <alignment vertical="center"/>
    </xf>
    <xf numFmtId="0" fontId="1" fillId="0" borderId="1" xfId="0" applyFont="1" applyBorder="1">
      <alignment vertical="center"/>
    </xf>
    <xf numFmtId="2" fontId="1" fillId="0" borderId="1" xfId="0" applyNumberFormat="1" applyFont="1" applyBorder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" fillId="0" borderId="3" xfId="0" applyFont="1" applyBorder="1" applyAlignment="1">
      <alignment horizontal="left" wrapText="1"/>
    </xf>
    <xf numFmtId="0" fontId="1" fillId="0" borderId="3" xfId="0" applyFont="1" applyBorder="1" applyAlignment="1">
      <alignment horizontal="center"/>
    </xf>
    <xf numFmtId="0" fontId="4" fillId="0" borderId="0" xfId="0" applyFont="1" applyAlignment="1">
      <alignment horizontal="left" wrapText="1"/>
    </xf>
    <xf numFmtId="164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65" fontId="1" fillId="2" borderId="0" xfId="0" applyNumberFormat="1" applyFont="1" applyFill="1">
      <alignment vertical="center"/>
    </xf>
    <xf numFmtId="2" fontId="1" fillId="2" borderId="0" xfId="0" applyNumberFormat="1" applyFont="1" applyFill="1">
      <alignment vertical="center"/>
    </xf>
    <xf numFmtId="165" fontId="1" fillId="2" borderId="1" xfId="0" applyNumberFormat="1" applyFont="1" applyFill="1" applyBorder="1">
      <alignment vertical="center"/>
    </xf>
    <xf numFmtId="2" fontId="1" fillId="2" borderId="1" xfId="0" applyNumberFormat="1" applyFont="1" applyFill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85724</xdr:colOff>
      <xdr:row>1</xdr:row>
      <xdr:rowOff>76200</xdr:rowOff>
    </xdr:from>
    <xdr:ext cx="4320000" cy="1892698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810499" y="304800"/>
          <a:ext cx="4320000" cy="1892698"/>
        </a:xfrm>
        <a:prstGeom prst="rect">
          <a:avLst/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演習</a:t>
          </a:r>
          <a:r>
            <a:rPr kumimoji="1" lang="en-US" altLang="ja-JP" sz="1100"/>
            <a:t>7(</a:t>
          </a:r>
          <a:r>
            <a:rPr kumimoji="1" lang="ja-JP" altLang="en-US" sz="1100"/>
            <a:t>解答例</a:t>
          </a:r>
          <a:r>
            <a:rPr kumimoji="1" lang="en-US" altLang="ja-JP" sz="1100"/>
            <a:t>)</a:t>
          </a:r>
        </a:p>
        <a:p>
          <a:endParaRPr kumimoji="1" lang="en-US" altLang="ja-JP" sz="1100"/>
        </a:p>
        <a:p>
          <a:r>
            <a:rPr kumimoji="1" lang="ja-JP" altLang="en-US" sz="1100"/>
            <a:t>本ワークシートにてマクロ</a:t>
          </a:r>
          <a:r>
            <a:rPr kumimoji="1" lang="en-US" altLang="ja-JP" sz="1100"/>
            <a:t>"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simStockPrices"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を実行することにより、</a:t>
          </a:r>
          <a:endParaRPr kumimoji="1" lang="en-US" altLang="ja-JP" sz="1100"/>
        </a:p>
        <a:p>
          <a:r>
            <a:rPr kumimoji="1" lang="ja-JP" altLang="en-US" sz="1100"/>
            <a:t>演習</a:t>
          </a:r>
          <a:r>
            <a:rPr kumimoji="1" lang="en-US" altLang="ja-JP" sz="1100"/>
            <a:t>7</a:t>
          </a:r>
          <a:r>
            <a:rPr kumimoji="1" lang="ja-JP" altLang="en-US" sz="1100"/>
            <a:t>の解答例が得られます。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-----</a:t>
          </a:r>
        </a:p>
        <a:p>
          <a:r>
            <a:rPr kumimoji="1" lang="ja-JP" altLang="en-US" sz="1100"/>
            <a:t>このファイルには予めマクロ</a:t>
          </a:r>
          <a:r>
            <a:rPr kumimoji="1" lang="en-US" altLang="ja-JP" sz="1100"/>
            <a:t>"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simStockPrices</a:t>
          </a:r>
          <a:r>
            <a:rPr kumimoji="1" lang="en-US" altLang="ja-JP" sz="1100"/>
            <a:t>"</a:t>
          </a:r>
          <a:r>
            <a:rPr kumimoji="1" lang="ja-JP" altLang="en-US" sz="1100"/>
            <a:t>が登録されています。</a:t>
          </a:r>
          <a:endParaRPr kumimoji="1" lang="en-US" altLang="ja-JP" sz="1100"/>
        </a:p>
        <a:p>
          <a:r>
            <a:rPr kumimoji="1" lang="en-US" altLang="ja-JP" sz="1100"/>
            <a:t>『</a:t>
          </a:r>
          <a:r>
            <a:rPr kumimoji="1" lang="ja-JP" altLang="en-US" sz="1100"/>
            <a:t>ファイナンスの理論と応用</a:t>
          </a:r>
          <a:r>
            <a:rPr kumimoji="1" lang="en-US" altLang="ja-JP" sz="1100"/>
            <a:t>2</a:t>
          </a:r>
          <a:r>
            <a:rPr kumimoji="1" lang="ja-JP" altLang="en-US" sz="1100"/>
            <a:t> 正規分布で解く資産の動的評価</a:t>
          </a:r>
          <a:r>
            <a:rPr kumimoji="1" lang="en-US" altLang="ja-JP" sz="1100"/>
            <a:t>』</a:t>
          </a:r>
        </a:p>
        <a:p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pp.90–93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に記載する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"simStockPrices.bas"</a:t>
          </a: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ファイルの登録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ステップ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–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3)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を行う必要はありません。</a:t>
          </a:r>
          <a:endParaRPr lang="ja-JP" altLang="ja-JP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7"/>
  <sheetViews>
    <sheetView tabSelected="1" workbookViewId="0" xr3:uid="{AEA406A1-0E4B-5B11-9CD5-51D6E497D94C}"/>
  </sheetViews>
  <sheetFormatPr defaultRowHeight="13.5"/>
  <cols>
    <col min="1" max="1" width="9" style="34" customWidth="1"/>
    <col min="2" max="2" width="14.25" style="35" customWidth="1"/>
    <col min="3" max="4" width="14.25" customWidth="1"/>
  </cols>
  <sheetData>
    <row r="1" spans="1:4" ht="15">
      <c r="A1" s="12" t="s">
        <v>0</v>
      </c>
      <c r="B1" s="14"/>
    </row>
    <row r="2" spans="1:4" s="3" customFormat="1" ht="18">
      <c r="A2" s="15" t="s">
        <v>1</v>
      </c>
      <c r="B2" s="16">
        <v>100</v>
      </c>
    </row>
    <row r="3" spans="1:4" s="3" customFormat="1" ht="15">
      <c r="A3" s="17" t="s">
        <v>2</v>
      </c>
      <c r="B3" s="18">
        <f>0.25/250</f>
        <v>1E-3</v>
      </c>
      <c r="C3" s="6" t="s">
        <v>3</v>
      </c>
    </row>
    <row r="4" spans="1:4" s="3" customFormat="1" ht="15">
      <c r="A4" s="17" t="s">
        <v>4</v>
      </c>
      <c r="B4" s="18">
        <f>0.3*SQRT(1/250)</f>
        <v>1.8973665961010275E-2</v>
      </c>
      <c r="C4" s="6" t="s">
        <v>5</v>
      </c>
    </row>
    <row r="5" spans="1:4" s="3" customFormat="1" ht="15">
      <c r="A5" s="19" t="s">
        <v>6</v>
      </c>
      <c r="B5" s="20">
        <v>60</v>
      </c>
    </row>
    <row r="6" spans="1:4" s="3" customFormat="1" ht="15">
      <c r="A6" s="21"/>
      <c r="B6" s="22"/>
    </row>
    <row r="7" spans="1:4" ht="15">
      <c r="A7" s="12" t="s">
        <v>7</v>
      </c>
      <c r="B7" s="14"/>
      <c r="C7" s="23"/>
      <c r="D7" s="23"/>
    </row>
    <row r="8" spans="1:4" ht="43.5">
      <c r="A8" s="24" t="s">
        <v>8</v>
      </c>
      <c r="B8" s="25" t="s">
        <v>9</v>
      </c>
      <c r="C8" s="25" t="s">
        <v>10</v>
      </c>
      <c r="D8" s="25" t="s">
        <v>11</v>
      </c>
    </row>
    <row r="9" spans="1:4" ht="15">
      <c r="A9" s="13">
        <v>0</v>
      </c>
      <c r="B9" s="26"/>
      <c r="C9" s="27">
        <f>LN(B2)</f>
        <v>4.6051701859880918</v>
      </c>
      <c r="D9" s="27">
        <f>EXP(C9)</f>
        <v>100.00000000000004</v>
      </c>
    </row>
    <row r="10" spans="1:4" ht="15">
      <c r="A10" s="13">
        <v>1</v>
      </c>
      <c r="B10" s="28"/>
      <c r="C10" s="29"/>
      <c r="D10" s="30"/>
    </row>
    <row r="11" spans="1:4" ht="15">
      <c r="A11" s="13">
        <v>2</v>
      </c>
      <c r="B11" s="28"/>
      <c r="C11" s="29"/>
      <c r="D11" s="30"/>
    </row>
    <row r="12" spans="1:4" ht="15">
      <c r="A12" s="13">
        <v>3</v>
      </c>
      <c r="B12" s="28"/>
      <c r="C12" s="29"/>
      <c r="D12" s="30"/>
    </row>
    <row r="13" spans="1:4" ht="15">
      <c r="A13" s="13">
        <v>4</v>
      </c>
      <c r="B13" s="28"/>
      <c r="C13" s="29"/>
      <c r="D13" s="30"/>
    </row>
    <row r="14" spans="1:4" ht="15">
      <c r="A14" s="13">
        <v>5</v>
      </c>
      <c r="B14" s="28"/>
      <c r="C14" s="29"/>
      <c r="D14" s="30"/>
    </row>
    <row r="15" spans="1:4" ht="15">
      <c r="A15" s="13">
        <v>6</v>
      </c>
      <c r="B15" s="28"/>
      <c r="C15" s="29"/>
      <c r="D15" s="30"/>
    </row>
    <row r="16" spans="1:4" ht="15">
      <c r="A16" s="13">
        <v>7</v>
      </c>
      <c r="B16" s="28"/>
      <c r="C16" s="29"/>
      <c r="D16" s="30"/>
    </row>
    <row r="17" spans="1:4" ht="15">
      <c r="A17" s="13">
        <v>8</v>
      </c>
      <c r="B17" s="28"/>
      <c r="C17" s="29"/>
      <c r="D17" s="30"/>
    </row>
    <row r="18" spans="1:4" ht="15">
      <c r="A18" s="13">
        <v>9</v>
      </c>
      <c r="B18" s="28"/>
      <c r="C18" s="29"/>
      <c r="D18" s="30"/>
    </row>
    <row r="19" spans="1:4" ht="15">
      <c r="A19" s="13">
        <v>10</v>
      </c>
      <c r="B19" s="28"/>
      <c r="C19" s="29"/>
      <c r="D19" s="30"/>
    </row>
    <row r="20" spans="1:4" ht="15">
      <c r="A20" s="13">
        <v>11</v>
      </c>
      <c r="B20" s="28"/>
      <c r="C20" s="29"/>
      <c r="D20" s="30"/>
    </row>
    <row r="21" spans="1:4" ht="15">
      <c r="A21" s="13">
        <v>12</v>
      </c>
      <c r="B21" s="28"/>
      <c r="C21" s="29"/>
      <c r="D21" s="30"/>
    </row>
    <row r="22" spans="1:4" ht="15">
      <c r="A22" s="13">
        <v>13</v>
      </c>
      <c r="B22" s="28"/>
      <c r="C22" s="29"/>
      <c r="D22" s="30"/>
    </row>
    <row r="23" spans="1:4" ht="15">
      <c r="A23" s="13">
        <v>14</v>
      </c>
      <c r="B23" s="28"/>
      <c r="C23" s="29"/>
      <c r="D23" s="30"/>
    </row>
    <row r="24" spans="1:4" ht="15">
      <c r="A24" s="13">
        <v>15</v>
      </c>
      <c r="B24" s="28"/>
      <c r="C24" s="29"/>
      <c r="D24" s="30"/>
    </row>
    <row r="25" spans="1:4" ht="15">
      <c r="A25" s="13">
        <v>16</v>
      </c>
      <c r="B25" s="28"/>
      <c r="C25" s="29"/>
      <c r="D25" s="30"/>
    </row>
    <row r="26" spans="1:4" ht="15">
      <c r="A26" s="13">
        <v>17</v>
      </c>
      <c r="B26" s="28"/>
      <c r="C26" s="29"/>
      <c r="D26" s="30"/>
    </row>
    <row r="27" spans="1:4" ht="15">
      <c r="A27" s="13">
        <v>18</v>
      </c>
      <c r="B27" s="28"/>
      <c r="C27" s="29"/>
      <c r="D27" s="30"/>
    </row>
    <row r="28" spans="1:4" ht="15">
      <c r="A28" s="13">
        <v>19</v>
      </c>
      <c r="B28" s="28"/>
      <c r="C28" s="29"/>
      <c r="D28" s="30"/>
    </row>
    <row r="29" spans="1:4" ht="15">
      <c r="A29" s="13">
        <v>20</v>
      </c>
      <c r="B29" s="28"/>
      <c r="C29" s="29"/>
      <c r="D29" s="30"/>
    </row>
    <row r="30" spans="1:4" ht="15">
      <c r="A30" s="13">
        <v>21</v>
      </c>
      <c r="B30" s="28"/>
      <c r="C30" s="29"/>
      <c r="D30" s="30"/>
    </row>
    <row r="31" spans="1:4" ht="15">
      <c r="A31" s="13">
        <v>22</v>
      </c>
      <c r="B31" s="28"/>
      <c r="C31" s="29"/>
      <c r="D31" s="30"/>
    </row>
    <row r="32" spans="1:4" ht="15">
      <c r="A32" s="13">
        <v>23</v>
      </c>
      <c r="B32" s="28"/>
      <c r="C32" s="29"/>
      <c r="D32" s="30"/>
    </row>
    <row r="33" spans="1:4" ht="15">
      <c r="A33" s="13">
        <v>24</v>
      </c>
      <c r="B33" s="28"/>
      <c r="C33" s="29"/>
      <c r="D33" s="30"/>
    </row>
    <row r="34" spans="1:4" ht="15">
      <c r="A34" s="13">
        <v>25</v>
      </c>
      <c r="B34" s="28"/>
      <c r="C34" s="29"/>
      <c r="D34" s="30"/>
    </row>
    <row r="35" spans="1:4" ht="15">
      <c r="A35" s="13">
        <v>26</v>
      </c>
      <c r="B35" s="28"/>
      <c r="C35" s="29"/>
      <c r="D35" s="30"/>
    </row>
    <row r="36" spans="1:4" ht="15">
      <c r="A36" s="13">
        <v>27</v>
      </c>
      <c r="B36" s="28"/>
      <c r="C36" s="29"/>
      <c r="D36" s="30"/>
    </row>
    <row r="37" spans="1:4" ht="15">
      <c r="A37" s="13">
        <v>28</v>
      </c>
      <c r="B37" s="28"/>
      <c r="C37" s="29"/>
      <c r="D37" s="30"/>
    </row>
    <row r="38" spans="1:4" ht="15">
      <c r="A38" s="13">
        <v>29</v>
      </c>
      <c r="B38" s="28"/>
      <c r="C38" s="29"/>
      <c r="D38" s="30"/>
    </row>
    <row r="39" spans="1:4" ht="15">
      <c r="A39" s="13">
        <v>30</v>
      </c>
      <c r="B39" s="28"/>
      <c r="C39" s="29"/>
      <c r="D39" s="30"/>
    </row>
    <row r="40" spans="1:4" ht="15">
      <c r="A40" s="13">
        <v>31</v>
      </c>
      <c r="B40" s="28"/>
      <c r="C40" s="29"/>
      <c r="D40" s="30"/>
    </row>
    <row r="41" spans="1:4" ht="15">
      <c r="A41" s="13">
        <v>32</v>
      </c>
      <c r="B41" s="28"/>
      <c r="C41" s="29"/>
      <c r="D41" s="30"/>
    </row>
    <row r="42" spans="1:4" ht="15">
      <c r="A42" s="13">
        <v>33</v>
      </c>
      <c r="B42" s="28"/>
      <c r="C42" s="29"/>
      <c r="D42" s="30"/>
    </row>
    <row r="43" spans="1:4" ht="15">
      <c r="A43" s="13">
        <v>34</v>
      </c>
      <c r="B43" s="28"/>
      <c r="C43" s="29"/>
      <c r="D43" s="30"/>
    </row>
    <row r="44" spans="1:4" ht="15">
      <c r="A44" s="13">
        <v>35</v>
      </c>
      <c r="B44" s="28"/>
      <c r="C44" s="29"/>
      <c r="D44" s="30"/>
    </row>
    <row r="45" spans="1:4" ht="15">
      <c r="A45" s="13">
        <v>36</v>
      </c>
      <c r="B45" s="28"/>
      <c r="C45" s="29"/>
      <c r="D45" s="30"/>
    </row>
    <row r="46" spans="1:4" ht="15">
      <c r="A46" s="13">
        <v>37</v>
      </c>
      <c r="B46" s="28"/>
      <c r="C46" s="29"/>
      <c r="D46" s="30"/>
    </row>
    <row r="47" spans="1:4" ht="15">
      <c r="A47" s="13">
        <v>38</v>
      </c>
      <c r="B47" s="28"/>
      <c r="C47" s="29"/>
      <c r="D47" s="30"/>
    </row>
    <row r="48" spans="1:4" ht="15">
      <c r="A48" s="13">
        <v>39</v>
      </c>
      <c r="B48" s="28"/>
      <c r="C48" s="29"/>
      <c r="D48" s="30"/>
    </row>
    <row r="49" spans="1:4" ht="15">
      <c r="A49" s="13">
        <v>40</v>
      </c>
      <c r="B49" s="28"/>
      <c r="C49" s="29"/>
      <c r="D49" s="30"/>
    </row>
    <row r="50" spans="1:4" ht="15">
      <c r="A50" s="13">
        <v>41</v>
      </c>
      <c r="B50" s="28"/>
      <c r="C50" s="29"/>
      <c r="D50" s="30"/>
    </row>
    <row r="51" spans="1:4" ht="15">
      <c r="A51" s="13">
        <v>42</v>
      </c>
      <c r="B51" s="28"/>
      <c r="C51" s="29"/>
      <c r="D51" s="30"/>
    </row>
    <row r="52" spans="1:4" ht="15">
      <c r="A52" s="13">
        <v>43</v>
      </c>
      <c r="B52" s="28"/>
      <c r="C52" s="29"/>
      <c r="D52" s="30"/>
    </row>
    <row r="53" spans="1:4" ht="15">
      <c r="A53" s="13">
        <v>44</v>
      </c>
      <c r="B53" s="28"/>
      <c r="C53" s="29"/>
      <c r="D53" s="30"/>
    </row>
    <row r="54" spans="1:4" ht="15">
      <c r="A54" s="13">
        <v>45</v>
      </c>
      <c r="B54" s="28"/>
      <c r="C54" s="29"/>
      <c r="D54" s="30"/>
    </row>
    <row r="55" spans="1:4" ht="15">
      <c r="A55" s="13">
        <v>46</v>
      </c>
      <c r="B55" s="28"/>
      <c r="C55" s="29"/>
      <c r="D55" s="30"/>
    </row>
    <row r="56" spans="1:4" ht="15">
      <c r="A56" s="13">
        <v>47</v>
      </c>
      <c r="B56" s="28"/>
      <c r="C56" s="29"/>
      <c r="D56" s="30"/>
    </row>
    <row r="57" spans="1:4" ht="15">
      <c r="A57" s="13">
        <v>48</v>
      </c>
      <c r="B57" s="28"/>
      <c r="C57" s="29"/>
      <c r="D57" s="30"/>
    </row>
    <row r="58" spans="1:4" ht="15">
      <c r="A58" s="13">
        <v>49</v>
      </c>
      <c r="B58" s="28"/>
      <c r="C58" s="29"/>
      <c r="D58" s="30"/>
    </row>
    <row r="59" spans="1:4" ht="15">
      <c r="A59" s="13">
        <v>50</v>
      </c>
      <c r="B59" s="28"/>
      <c r="C59" s="29"/>
      <c r="D59" s="30"/>
    </row>
    <row r="60" spans="1:4" ht="15">
      <c r="A60" s="13">
        <v>51</v>
      </c>
      <c r="B60" s="28"/>
      <c r="C60" s="29"/>
      <c r="D60" s="30"/>
    </row>
    <row r="61" spans="1:4" ht="15">
      <c r="A61" s="13">
        <v>52</v>
      </c>
      <c r="B61" s="28"/>
      <c r="C61" s="29"/>
      <c r="D61" s="30"/>
    </row>
    <row r="62" spans="1:4" ht="15">
      <c r="A62" s="13">
        <v>53</v>
      </c>
      <c r="B62" s="28"/>
      <c r="C62" s="29"/>
      <c r="D62" s="30"/>
    </row>
    <row r="63" spans="1:4" ht="15">
      <c r="A63" s="13">
        <v>54</v>
      </c>
      <c r="B63" s="28"/>
      <c r="C63" s="29"/>
      <c r="D63" s="30"/>
    </row>
    <row r="64" spans="1:4" ht="15">
      <c r="A64" s="13">
        <v>55</v>
      </c>
      <c r="B64" s="28"/>
      <c r="C64" s="29"/>
      <c r="D64" s="30"/>
    </row>
    <row r="65" spans="1:4" ht="15">
      <c r="A65" s="13">
        <v>56</v>
      </c>
      <c r="B65" s="28"/>
      <c r="C65" s="29"/>
      <c r="D65" s="30"/>
    </row>
    <row r="66" spans="1:4" ht="15">
      <c r="A66" s="13">
        <v>57</v>
      </c>
      <c r="B66" s="28"/>
      <c r="C66" s="29"/>
      <c r="D66" s="30"/>
    </row>
    <row r="67" spans="1:4" ht="15">
      <c r="A67" s="13">
        <v>58</v>
      </c>
      <c r="B67" s="28"/>
      <c r="C67" s="29"/>
      <c r="D67" s="30"/>
    </row>
    <row r="68" spans="1:4" ht="15">
      <c r="A68" s="13">
        <v>59</v>
      </c>
      <c r="B68" s="28"/>
      <c r="C68" s="29"/>
      <c r="D68" s="30"/>
    </row>
    <row r="69" spans="1:4" ht="15">
      <c r="A69" s="12">
        <v>60</v>
      </c>
      <c r="B69" s="31"/>
      <c r="C69" s="32"/>
      <c r="D69" s="33"/>
    </row>
    <row r="70" spans="1:4" ht="15">
      <c r="A70" s="34" t="s">
        <v>12</v>
      </c>
      <c r="B70" s="28"/>
    </row>
    <row r="71" spans="1:4" ht="15">
      <c r="A71" s="34" t="s">
        <v>13</v>
      </c>
      <c r="B71" s="28"/>
    </row>
    <row r="73" spans="1:4" ht="15">
      <c r="A73" s="12" t="s">
        <v>14</v>
      </c>
      <c r="B73" s="14"/>
      <c r="C73" s="23"/>
      <c r="D73" s="23"/>
    </row>
    <row r="74" spans="1:4" ht="43.5">
      <c r="A74" s="24" t="s">
        <v>8</v>
      </c>
      <c r="B74" s="25" t="s">
        <v>9</v>
      </c>
    </row>
    <row r="75" spans="1:4" ht="15">
      <c r="A75" s="13">
        <v>0</v>
      </c>
      <c r="B75" s="26"/>
    </row>
    <row r="76" spans="1:4" ht="15">
      <c r="A76" s="13">
        <v>1</v>
      </c>
      <c r="B76" s="28"/>
    </row>
    <row r="77" spans="1:4" ht="15">
      <c r="A77" s="13">
        <v>2</v>
      </c>
      <c r="B77" s="28"/>
    </row>
    <row r="78" spans="1:4" ht="15">
      <c r="A78" s="13">
        <v>3</v>
      </c>
      <c r="B78" s="28"/>
    </row>
    <row r="79" spans="1:4" ht="15">
      <c r="A79" s="13">
        <v>4</v>
      </c>
      <c r="B79" s="28"/>
    </row>
    <row r="80" spans="1:4" ht="15">
      <c r="A80" s="13">
        <v>5</v>
      </c>
      <c r="B80" s="28"/>
    </row>
    <row r="81" spans="1:2" ht="15">
      <c r="A81" s="13">
        <v>6</v>
      </c>
      <c r="B81" s="28"/>
    </row>
    <row r="82" spans="1:2" ht="15">
      <c r="A82" s="13">
        <v>7</v>
      </c>
      <c r="B82" s="28"/>
    </row>
    <row r="83" spans="1:2" ht="15">
      <c r="A83" s="13">
        <v>8</v>
      </c>
      <c r="B83" s="28"/>
    </row>
    <row r="84" spans="1:2" ht="15">
      <c r="A84" s="13">
        <v>9</v>
      </c>
      <c r="B84" s="28"/>
    </row>
    <row r="85" spans="1:2" ht="15">
      <c r="A85" s="13">
        <v>10</v>
      </c>
      <c r="B85" s="28"/>
    </row>
    <row r="86" spans="1:2" ht="15">
      <c r="A86" s="13">
        <v>11</v>
      </c>
      <c r="B86" s="28"/>
    </row>
    <row r="87" spans="1:2" ht="15">
      <c r="A87" s="13">
        <v>12</v>
      </c>
      <c r="B87" s="28"/>
    </row>
    <row r="88" spans="1:2" ht="15">
      <c r="A88" s="13">
        <v>13</v>
      </c>
      <c r="B88" s="28"/>
    </row>
    <row r="89" spans="1:2" ht="15">
      <c r="A89" s="13">
        <v>14</v>
      </c>
      <c r="B89" s="28"/>
    </row>
    <row r="90" spans="1:2" ht="15">
      <c r="A90" s="13">
        <v>15</v>
      </c>
      <c r="B90" s="28"/>
    </row>
    <row r="91" spans="1:2" ht="15">
      <c r="A91" s="13">
        <v>16</v>
      </c>
      <c r="B91" s="28"/>
    </row>
    <row r="92" spans="1:2" ht="15">
      <c r="A92" s="13">
        <v>17</v>
      </c>
      <c r="B92" s="28"/>
    </row>
    <row r="93" spans="1:2" ht="15">
      <c r="A93" s="13">
        <v>18</v>
      </c>
      <c r="B93" s="28"/>
    </row>
    <row r="94" spans="1:2" ht="15">
      <c r="A94" s="13">
        <v>19</v>
      </c>
      <c r="B94" s="28"/>
    </row>
    <row r="95" spans="1:2" ht="15">
      <c r="A95" s="13">
        <v>20</v>
      </c>
      <c r="B95" s="28"/>
    </row>
    <row r="96" spans="1:2" ht="15">
      <c r="A96" s="13">
        <v>21</v>
      </c>
      <c r="B96" s="28"/>
    </row>
    <row r="97" spans="1:2" ht="15">
      <c r="A97" s="13">
        <v>22</v>
      </c>
      <c r="B97" s="28"/>
    </row>
    <row r="98" spans="1:2" ht="15">
      <c r="A98" s="13">
        <v>23</v>
      </c>
      <c r="B98" s="28"/>
    </row>
    <row r="99" spans="1:2" ht="15">
      <c r="A99" s="13">
        <v>24</v>
      </c>
      <c r="B99" s="28"/>
    </row>
    <row r="100" spans="1:2" ht="15">
      <c r="A100" s="13">
        <v>25</v>
      </c>
      <c r="B100" s="28"/>
    </row>
    <row r="101" spans="1:2" ht="15">
      <c r="A101" s="13">
        <v>26</v>
      </c>
      <c r="B101" s="28"/>
    </row>
    <row r="102" spans="1:2" ht="15">
      <c r="A102" s="13">
        <v>27</v>
      </c>
      <c r="B102" s="28"/>
    </row>
    <row r="103" spans="1:2" ht="15">
      <c r="A103" s="13">
        <v>28</v>
      </c>
      <c r="B103" s="28"/>
    </row>
    <row r="104" spans="1:2" ht="15">
      <c r="A104" s="13">
        <v>29</v>
      </c>
      <c r="B104" s="28"/>
    </row>
    <row r="105" spans="1:2" ht="15">
      <c r="A105" s="13">
        <v>30</v>
      </c>
      <c r="B105" s="28"/>
    </row>
    <row r="106" spans="1:2" ht="15">
      <c r="A106" s="13">
        <v>31</v>
      </c>
      <c r="B106" s="28"/>
    </row>
    <row r="107" spans="1:2" ht="15">
      <c r="A107" s="13">
        <v>32</v>
      </c>
      <c r="B107" s="28"/>
    </row>
    <row r="108" spans="1:2" ht="15">
      <c r="A108" s="13">
        <v>33</v>
      </c>
      <c r="B108" s="28"/>
    </row>
    <row r="109" spans="1:2" ht="15">
      <c r="A109" s="13">
        <v>34</v>
      </c>
      <c r="B109" s="28"/>
    </row>
    <row r="110" spans="1:2" ht="15">
      <c r="A110" s="13">
        <v>35</v>
      </c>
      <c r="B110" s="28"/>
    </row>
    <row r="111" spans="1:2" ht="15">
      <c r="A111" s="13">
        <v>36</v>
      </c>
      <c r="B111" s="28"/>
    </row>
    <row r="112" spans="1:2" ht="15">
      <c r="A112" s="13">
        <v>37</v>
      </c>
      <c r="B112" s="28"/>
    </row>
    <row r="113" spans="1:2" ht="15">
      <c r="A113" s="13">
        <v>38</v>
      </c>
      <c r="B113" s="28"/>
    </row>
    <row r="114" spans="1:2" ht="15">
      <c r="A114" s="13">
        <v>39</v>
      </c>
      <c r="B114" s="28"/>
    </row>
    <row r="115" spans="1:2" ht="15">
      <c r="A115" s="13">
        <v>40</v>
      </c>
      <c r="B115" s="28"/>
    </row>
    <row r="116" spans="1:2" ht="15">
      <c r="A116" s="13">
        <v>41</v>
      </c>
      <c r="B116" s="28"/>
    </row>
    <row r="117" spans="1:2" ht="15">
      <c r="A117" s="13">
        <v>42</v>
      </c>
      <c r="B117" s="28"/>
    </row>
    <row r="118" spans="1:2" ht="15">
      <c r="A118" s="13">
        <v>43</v>
      </c>
      <c r="B118" s="28"/>
    </row>
    <row r="119" spans="1:2" ht="15">
      <c r="A119" s="13">
        <v>44</v>
      </c>
      <c r="B119" s="28"/>
    </row>
    <row r="120" spans="1:2" ht="15">
      <c r="A120" s="13">
        <v>45</v>
      </c>
      <c r="B120" s="28"/>
    </row>
    <row r="121" spans="1:2" ht="15">
      <c r="A121" s="13">
        <v>46</v>
      </c>
      <c r="B121" s="28"/>
    </row>
    <row r="122" spans="1:2" ht="15">
      <c r="A122" s="13">
        <v>47</v>
      </c>
      <c r="B122" s="28"/>
    </row>
    <row r="123" spans="1:2" ht="15">
      <c r="A123" s="13">
        <v>48</v>
      </c>
      <c r="B123" s="28"/>
    </row>
    <row r="124" spans="1:2" ht="15">
      <c r="A124" s="13">
        <v>49</v>
      </c>
      <c r="B124" s="28"/>
    </row>
    <row r="125" spans="1:2" ht="15">
      <c r="A125" s="13">
        <v>50</v>
      </c>
      <c r="B125" s="28"/>
    </row>
    <row r="126" spans="1:2" ht="15">
      <c r="A126" s="13">
        <v>51</v>
      </c>
      <c r="B126" s="28"/>
    </row>
    <row r="127" spans="1:2" ht="15">
      <c r="A127" s="13">
        <v>52</v>
      </c>
      <c r="B127" s="28"/>
    </row>
    <row r="128" spans="1:2" ht="15">
      <c r="A128" s="13">
        <v>53</v>
      </c>
      <c r="B128" s="28"/>
    </row>
    <row r="129" spans="1:2" ht="15">
      <c r="A129" s="13">
        <v>54</v>
      </c>
      <c r="B129" s="28"/>
    </row>
    <row r="130" spans="1:2" ht="15">
      <c r="A130" s="13">
        <v>55</v>
      </c>
      <c r="B130" s="28"/>
    </row>
    <row r="131" spans="1:2" ht="15">
      <c r="A131" s="13">
        <v>56</v>
      </c>
      <c r="B131" s="28"/>
    </row>
    <row r="132" spans="1:2" ht="15">
      <c r="A132" s="13">
        <v>57</v>
      </c>
      <c r="B132" s="28"/>
    </row>
    <row r="133" spans="1:2" ht="15">
      <c r="A133" s="13">
        <v>58</v>
      </c>
      <c r="B133" s="28"/>
    </row>
    <row r="134" spans="1:2" ht="15">
      <c r="A134" s="13">
        <v>59</v>
      </c>
      <c r="B134" s="28"/>
    </row>
    <row r="135" spans="1:2" ht="15">
      <c r="A135" s="13">
        <v>60</v>
      </c>
      <c r="B135" s="28"/>
    </row>
    <row r="136" spans="1:2" ht="15">
      <c r="A136" s="13">
        <v>61</v>
      </c>
      <c r="B136" s="28"/>
    </row>
    <row r="137" spans="1:2" ht="15">
      <c r="A137" s="13">
        <v>62</v>
      </c>
      <c r="B137" s="28"/>
    </row>
    <row r="138" spans="1:2" ht="15">
      <c r="A138" s="13">
        <v>63</v>
      </c>
      <c r="B138" s="28"/>
    </row>
    <row r="139" spans="1:2" ht="15">
      <c r="A139" s="13">
        <v>64</v>
      </c>
      <c r="B139" s="28"/>
    </row>
    <row r="140" spans="1:2" ht="15">
      <c r="A140" s="13">
        <v>65</v>
      </c>
      <c r="B140" s="28"/>
    </row>
    <row r="141" spans="1:2" ht="15">
      <c r="A141" s="13">
        <v>66</v>
      </c>
      <c r="B141" s="28"/>
    </row>
    <row r="142" spans="1:2" ht="15">
      <c r="A142" s="13">
        <v>67</v>
      </c>
      <c r="B142" s="28"/>
    </row>
    <row r="143" spans="1:2" ht="15">
      <c r="A143" s="13">
        <v>68</v>
      </c>
      <c r="B143" s="28"/>
    </row>
    <row r="144" spans="1:2" ht="15">
      <c r="A144" s="13">
        <v>69</v>
      </c>
      <c r="B144" s="28"/>
    </row>
    <row r="145" spans="1:2" ht="15">
      <c r="A145" s="13">
        <v>70</v>
      </c>
      <c r="B145" s="28"/>
    </row>
    <row r="146" spans="1:2" ht="15">
      <c r="A146" s="13">
        <v>71</v>
      </c>
      <c r="B146" s="28"/>
    </row>
    <row r="147" spans="1:2" ht="15">
      <c r="A147" s="13">
        <v>72</v>
      </c>
      <c r="B147" s="28"/>
    </row>
    <row r="148" spans="1:2" ht="15">
      <c r="A148" s="13">
        <v>73</v>
      </c>
      <c r="B148" s="28"/>
    </row>
    <row r="149" spans="1:2" ht="15">
      <c r="A149" s="13">
        <v>74</v>
      </c>
      <c r="B149" s="28"/>
    </row>
    <row r="150" spans="1:2" ht="15">
      <c r="A150" s="13">
        <v>75</v>
      </c>
      <c r="B150" s="28"/>
    </row>
    <row r="151" spans="1:2" ht="15">
      <c r="A151" s="13">
        <v>76</v>
      </c>
      <c r="B151" s="28"/>
    </row>
    <row r="152" spans="1:2" ht="15">
      <c r="A152" s="13">
        <v>77</v>
      </c>
      <c r="B152" s="28"/>
    </row>
    <row r="153" spans="1:2" ht="15">
      <c r="A153" s="13">
        <v>78</v>
      </c>
      <c r="B153" s="28"/>
    </row>
    <row r="154" spans="1:2" ht="15">
      <c r="A154" s="13">
        <v>79</v>
      </c>
      <c r="B154" s="28"/>
    </row>
    <row r="155" spans="1:2" ht="15">
      <c r="A155" s="13">
        <v>80</v>
      </c>
      <c r="B155" s="28"/>
    </row>
    <row r="156" spans="1:2" ht="15">
      <c r="A156" s="13">
        <v>81</v>
      </c>
      <c r="B156" s="28"/>
    </row>
    <row r="157" spans="1:2" ht="15">
      <c r="A157" s="13">
        <v>82</v>
      </c>
      <c r="B157" s="28"/>
    </row>
    <row r="158" spans="1:2" ht="15">
      <c r="A158" s="13">
        <v>83</v>
      </c>
      <c r="B158" s="28"/>
    </row>
    <row r="159" spans="1:2" ht="15">
      <c r="A159" s="13">
        <v>84</v>
      </c>
      <c r="B159" s="28"/>
    </row>
    <row r="160" spans="1:2" ht="15">
      <c r="A160" s="13">
        <v>85</v>
      </c>
      <c r="B160" s="28"/>
    </row>
    <row r="161" spans="1:2" ht="15">
      <c r="A161" s="13">
        <v>86</v>
      </c>
      <c r="B161" s="28"/>
    </row>
    <row r="162" spans="1:2" ht="15">
      <c r="A162" s="13">
        <v>87</v>
      </c>
      <c r="B162" s="28"/>
    </row>
    <row r="163" spans="1:2" ht="15">
      <c r="A163" s="13">
        <v>88</v>
      </c>
      <c r="B163" s="28"/>
    </row>
    <row r="164" spans="1:2" ht="15">
      <c r="A164" s="13">
        <v>89</v>
      </c>
      <c r="B164" s="28"/>
    </row>
    <row r="165" spans="1:2" ht="15">
      <c r="A165" s="13">
        <v>90</v>
      </c>
      <c r="B165" s="28"/>
    </row>
    <row r="166" spans="1:2" ht="15">
      <c r="A166" s="13">
        <v>91</v>
      </c>
      <c r="B166" s="28"/>
    </row>
    <row r="167" spans="1:2" ht="15">
      <c r="A167" s="13">
        <v>92</v>
      </c>
      <c r="B167" s="28"/>
    </row>
    <row r="168" spans="1:2" ht="15">
      <c r="A168" s="13">
        <v>93</v>
      </c>
      <c r="B168" s="28"/>
    </row>
    <row r="169" spans="1:2" ht="15">
      <c r="A169" s="13">
        <v>94</v>
      </c>
      <c r="B169" s="28"/>
    </row>
    <row r="170" spans="1:2" ht="15">
      <c r="A170" s="13">
        <v>95</v>
      </c>
      <c r="B170" s="28"/>
    </row>
    <row r="171" spans="1:2" ht="15">
      <c r="A171" s="13">
        <v>96</v>
      </c>
      <c r="B171" s="28"/>
    </row>
    <row r="172" spans="1:2" ht="15">
      <c r="A172" s="13">
        <v>97</v>
      </c>
      <c r="B172" s="28"/>
    </row>
    <row r="173" spans="1:2" ht="15">
      <c r="A173" s="13">
        <v>98</v>
      </c>
      <c r="B173" s="28"/>
    </row>
    <row r="174" spans="1:2" ht="15">
      <c r="A174" s="13">
        <v>99</v>
      </c>
      <c r="B174" s="28"/>
    </row>
    <row r="175" spans="1:2" ht="15">
      <c r="A175" s="13">
        <v>100</v>
      </c>
      <c r="B175" s="28"/>
    </row>
    <row r="176" spans="1:2" ht="15">
      <c r="A176" s="13">
        <v>101</v>
      </c>
      <c r="B176" s="28"/>
    </row>
    <row r="177" spans="1:2" ht="15">
      <c r="A177" s="13">
        <v>102</v>
      </c>
      <c r="B177" s="28"/>
    </row>
    <row r="178" spans="1:2" ht="15">
      <c r="A178" s="13">
        <v>103</v>
      </c>
      <c r="B178" s="28"/>
    </row>
    <row r="179" spans="1:2" ht="15">
      <c r="A179" s="13">
        <v>104</v>
      </c>
      <c r="B179" s="28"/>
    </row>
    <row r="180" spans="1:2" ht="15">
      <c r="A180" s="13">
        <v>105</v>
      </c>
      <c r="B180" s="28"/>
    </row>
    <row r="181" spans="1:2" ht="15">
      <c r="A181" s="13">
        <v>106</v>
      </c>
      <c r="B181" s="28"/>
    </row>
    <row r="182" spans="1:2" ht="15">
      <c r="A182" s="13">
        <v>107</v>
      </c>
      <c r="B182" s="28"/>
    </row>
    <row r="183" spans="1:2" ht="15">
      <c r="A183" s="13">
        <v>108</v>
      </c>
      <c r="B183" s="28"/>
    </row>
    <row r="184" spans="1:2" ht="15">
      <c r="A184" s="13">
        <v>109</v>
      </c>
      <c r="B184" s="28"/>
    </row>
    <row r="185" spans="1:2" ht="15">
      <c r="A185" s="13">
        <v>110</v>
      </c>
      <c r="B185" s="28"/>
    </row>
    <row r="186" spans="1:2" ht="15">
      <c r="A186" s="13">
        <v>111</v>
      </c>
      <c r="B186" s="28"/>
    </row>
    <row r="187" spans="1:2" ht="15">
      <c r="A187" s="13">
        <v>112</v>
      </c>
      <c r="B187" s="28"/>
    </row>
    <row r="188" spans="1:2" ht="15">
      <c r="A188" s="13">
        <v>113</v>
      </c>
      <c r="B188" s="28"/>
    </row>
    <row r="189" spans="1:2" ht="15">
      <c r="A189" s="13">
        <v>114</v>
      </c>
      <c r="B189" s="28"/>
    </row>
    <row r="190" spans="1:2" ht="15">
      <c r="A190" s="13">
        <v>115</v>
      </c>
      <c r="B190" s="28"/>
    </row>
    <row r="191" spans="1:2" ht="15">
      <c r="A191" s="13">
        <v>116</v>
      </c>
      <c r="B191" s="28"/>
    </row>
    <row r="192" spans="1:2" ht="15">
      <c r="A192" s="13">
        <v>117</v>
      </c>
      <c r="B192" s="28"/>
    </row>
    <row r="193" spans="1:2" ht="15">
      <c r="A193" s="13">
        <v>118</v>
      </c>
      <c r="B193" s="28"/>
    </row>
    <row r="194" spans="1:2" ht="15">
      <c r="A194" s="13">
        <v>119</v>
      </c>
      <c r="B194" s="28"/>
    </row>
    <row r="195" spans="1:2" ht="15">
      <c r="A195" s="13">
        <v>120</v>
      </c>
      <c r="B195" s="28"/>
    </row>
    <row r="196" spans="1:2" ht="15">
      <c r="A196" s="13">
        <v>121</v>
      </c>
      <c r="B196" s="28"/>
    </row>
    <row r="197" spans="1:2" ht="15">
      <c r="A197" s="13">
        <v>122</v>
      </c>
      <c r="B197" s="28"/>
    </row>
    <row r="198" spans="1:2" ht="15">
      <c r="A198" s="13">
        <v>123</v>
      </c>
      <c r="B198" s="28"/>
    </row>
    <row r="199" spans="1:2" ht="15">
      <c r="A199" s="13">
        <v>124</v>
      </c>
      <c r="B199" s="28"/>
    </row>
    <row r="200" spans="1:2" ht="15">
      <c r="A200" s="13">
        <v>125</v>
      </c>
      <c r="B200" s="28"/>
    </row>
    <row r="201" spans="1:2" ht="15">
      <c r="A201" s="13">
        <v>126</v>
      </c>
      <c r="B201" s="28"/>
    </row>
    <row r="202" spans="1:2" ht="15">
      <c r="A202" s="13">
        <v>127</v>
      </c>
      <c r="B202" s="28"/>
    </row>
    <row r="203" spans="1:2" ht="15">
      <c r="A203" s="13">
        <v>128</v>
      </c>
      <c r="B203" s="28"/>
    </row>
    <row r="204" spans="1:2" ht="15">
      <c r="A204" s="13">
        <v>129</v>
      </c>
      <c r="B204" s="28"/>
    </row>
    <row r="205" spans="1:2" ht="15">
      <c r="A205" s="13">
        <v>130</v>
      </c>
      <c r="B205" s="28"/>
    </row>
    <row r="206" spans="1:2" ht="15">
      <c r="A206" s="13">
        <v>131</v>
      </c>
      <c r="B206" s="28"/>
    </row>
    <row r="207" spans="1:2" ht="15">
      <c r="A207" s="13">
        <v>132</v>
      </c>
      <c r="B207" s="28"/>
    </row>
    <row r="208" spans="1:2" ht="15">
      <c r="A208" s="13">
        <v>133</v>
      </c>
      <c r="B208" s="28"/>
    </row>
    <row r="209" spans="1:2" ht="15">
      <c r="A209" s="13">
        <v>134</v>
      </c>
      <c r="B209" s="28"/>
    </row>
    <row r="210" spans="1:2" ht="15">
      <c r="A210" s="13">
        <v>135</v>
      </c>
      <c r="B210" s="28"/>
    </row>
    <row r="211" spans="1:2" ht="15">
      <c r="A211" s="13">
        <v>136</v>
      </c>
      <c r="B211" s="28"/>
    </row>
    <row r="212" spans="1:2" ht="15">
      <c r="A212" s="13">
        <v>137</v>
      </c>
      <c r="B212" s="28"/>
    </row>
    <row r="213" spans="1:2" ht="15">
      <c r="A213" s="13">
        <v>138</v>
      </c>
      <c r="B213" s="28"/>
    </row>
    <row r="214" spans="1:2" ht="15">
      <c r="A214" s="13">
        <v>139</v>
      </c>
      <c r="B214" s="28"/>
    </row>
    <row r="215" spans="1:2" ht="15">
      <c r="A215" s="13">
        <v>140</v>
      </c>
      <c r="B215" s="28"/>
    </row>
    <row r="216" spans="1:2" ht="15">
      <c r="A216" s="13">
        <v>141</v>
      </c>
      <c r="B216" s="28"/>
    </row>
    <row r="217" spans="1:2" ht="15">
      <c r="A217" s="13">
        <v>142</v>
      </c>
      <c r="B217" s="28"/>
    </row>
    <row r="218" spans="1:2" ht="15">
      <c r="A218" s="13">
        <v>143</v>
      </c>
      <c r="B218" s="28"/>
    </row>
    <row r="219" spans="1:2" ht="15">
      <c r="A219" s="13">
        <v>144</v>
      </c>
      <c r="B219" s="28"/>
    </row>
    <row r="220" spans="1:2" ht="15">
      <c r="A220" s="13">
        <v>145</v>
      </c>
      <c r="B220" s="28"/>
    </row>
    <row r="221" spans="1:2" ht="15">
      <c r="A221" s="13">
        <v>146</v>
      </c>
      <c r="B221" s="28"/>
    </row>
    <row r="222" spans="1:2" ht="15">
      <c r="A222" s="13">
        <v>147</v>
      </c>
      <c r="B222" s="28"/>
    </row>
    <row r="223" spans="1:2" ht="15">
      <c r="A223" s="13">
        <v>148</v>
      </c>
      <c r="B223" s="28"/>
    </row>
    <row r="224" spans="1:2" ht="15">
      <c r="A224" s="13">
        <v>149</v>
      </c>
      <c r="B224" s="28"/>
    </row>
    <row r="225" spans="1:2" ht="15">
      <c r="A225" s="13">
        <v>150</v>
      </c>
      <c r="B225" s="28"/>
    </row>
    <row r="226" spans="1:2" ht="15">
      <c r="A226" s="13">
        <v>151</v>
      </c>
      <c r="B226" s="28"/>
    </row>
    <row r="227" spans="1:2" ht="15">
      <c r="A227" s="13">
        <v>152</v>
      </c>
      <c r="B227" s="28"/>
    </row>
    <row r="228" spans="1:2" ht="15">
      <c r="A228" s="13">
        <v>153</v>
      </c>
      <c r="B228" s="28"/>
    </row>
    <row r="229" spans="1:2" ht="15">
      <c r="A229" s="13">
        <v>154</v>
      </c>
      <c r="B229" s="28"/>
    </row>
    <row r="230" spans="1:2" ht="15">
      <c r="A230" s="13">
        <v>155</v>
      </c>
      <c r="B230" s="28"/>
    </row>
    <row r="231" spans="1:2" ht="15">
      <c r="A231" s="13">
        <v>156</v>
      </c>
      <c r="B231" s="28"/>
    </row>
    <row r="232" spans="1:2" ht="15">
      <c r="A232" s="13">
        <v>157</v>
      </c>
      <c r="B232" s="28"/>
    </row>
    <row r="233" spans="1:2" ht="15">
      <c r="A233" s="13">
        <v>158</v>
      </c>
      <c r="B233" s="28"/>
    </row>
    <row r="234" spans="1:2" ht="15">
      <c r="A234" s="13">
        <v>159</v>
      </c>
      <c r="B234" s="28"/>
    </row>
    <row r="235" spans="1:2" ht="15">
      <c r="A235" s="13">
        <v>160</v>
      </c>
      <c r="B235" s="28"/>
    </row>
    <row r="236" spans="1:2" ht="15">
      <c r="A236" s="13">
        <v>161</v>
      </c>
      <c r="B236" s="28"/>
    </row>
    <row r="237" spans="1:2" ht="15">
      <c r="A237" s="13">
        <v>162</v>
      </c>
      <c r="B237" s="28"/>
    </row>
    <row r="238" spans="1:2" ht="15">
      <c r="A238" s="13">
        <v>163</v>
      </c>
      <c r="B238" s="28"/>
    </row>
    <row r="239" spans="1:2" ht="15">
      <c r="A239" s="13">
        <v>164</v>
      </c>
      <c r="B239" s="28"/>
    </row>
    <row r="240" spans="1:2" ht="15">
      <c r="A240" s="13">
        <v>165</v>
      </c>
      <c r="B240" s="28"/>
    </row>
    <row r="241" spans="1:2" ht="15">
      <c r="A241" s="13">
        <v>166</v>
      </c>
      <c r="B241" s="28"/>
    </row>
    <row r="242" spans="1:2" ht="15">
      <c r="A242" s="13">
        <v>167</v>
      </c>
      <c r="B242" s="28"/>
    </row>
    <row r="243" spans="1:2" ht="15">
      <c r="A243" s="13">
        <v>168</v>
      </c>
      <c r="B243" s="28"/>
    </row>
    <row r="244" spans="1:2" ht="15">
      <c r="A244" s="13">
        <v>169</v>
      </c>
      <c r="B244" s="28"/>
    </row>
    <row r="245" spans="1:2" ht="15">
      <c r="A245" s="13">
        <v>170</v>
      </c>
      <c r="B245" s="28"/>
    </row>
    <row r="246" spans="1:2" ht="15">
      <c r="A246" s="13">
        <v>171</v>
      </c>
      <c r="B246" s="28"/>
    </row>
    <row r="247" spans="1:2" ht="15">
      <c r="A247" s="13">
        <v>172</v>
      </c>
      <c r="B247" s="28"/>
    </row>
    <row r="248" spans="1:2" ht="15">
      <c r="A248" s="13">
        <v>173</v>
      </c>
      <c r="B248" s="28"/>
    </row>
    <row r="249" spans="1:2" ht="15">
      <c r="A249" s="13">
        <v>174</v>
      </c>
      <c r="B249" s="28"/>
    </row>
    <row r="250" spans="1:2" ht="15">
      <c r="A250" s="13">
        <v>175</v>
      </c>
      <c r="B250" s="28"/>
    </row>
    <row r="251" spans="1:2" ht="15">
      <c r="A251" s="13">
        <v>176</v>
      </c>
      <c r="B251" s="28"/>
    </row>
    <row r="252" spans="1:2" ht="15">
      <c r="A252" s="13">
        <v>177</v>
      </c>
      <c r="B252" s="28"/>
    </row>
    <row r="253" spans="1:2" ht="15">
      <c r="A253" s="13">
        <v>178</v>
      </c>
      <c r="B253" s="28"/>
    </row>
    <row r="254" spans="1:2" ht="15">
      <c r="A254" s="13">
        <v>179</v>
      </c>
      <c r="B254" s="28"/>
    </row>
    <row r="255" spans="1:2" ht="15">
      <c r="A255" s="13">
        <v>180</v>
      </c>
      <c r="B255" s="28"/>
    </row>
    <row r="256" spans="1:2" ht="15">
      <c r="A256" s="13">
        <v>181</v>
      </c>
      <c r="B256" s="28"/>
    </row>
    <row r="257" spans="1:2" ht="15">
      <c r="A257" s="13">
        <v>182</v>
      </c>
      <c r="B257" s="28"/>
    </row>
    <row r="258" spans="1:2" ht="15">
      <c r="A258" s="13">
        <v>183</v>
      </c>
      <c r="B258" s="28"/>
    </row>
    <row r="259" spans="1:2" ht="15">
      <c r="A259" s="13">
        <v>184</v>
      </c>
      <c r="B259" s="28"/>
    </row>
    <row r="260" spans="1:2" ht="15">
      <c r="A260" s="13">
        <v>185</v>
      </c>
      <c r="B260" s="28"/>
    </row>
    <row r="261" spans="1:2" ht="15">
      <c r="A261" s="13">
        <v>186</v>
      </c>
      <c r="B261" s="28"/>
    </row>
    <row r="262" spans="1:2" ht="15">
      <c r="A262" s="13">
        <v>187</v>
      </c>
      <c r="B262" s="28"/>
    </row>
    <row r="263" spans="1:2" ht="15">
      <c r="A263" s="13">
        <v>188</v>
      </c>
      <c r="B263" s="28"/>
    </row>
    <row r="264" spans="1:2" ht="15">
      <c r="A264" s="13">
        <v>189</v>
      </c>
      <c r="B264" s="28"/>
    </row>
    <row r="265" spans="1:2" ht="15">
      <c r="A265" s="13">
        <v>190</v>
      </c>
      <c r="B265" s="28"/>
    </row>
    <row r="266" spans="1:2" ht="15">
      <c r="A266" s="13">
        <v>191</v>
      </c>
      <c r="B266" s="28"/>
    </row>
    <row r="267" spans="1:2" ht="15">
      <c r="A267" s="13">
        <v>192</v>
      </c>
      <c r="B267" s="28"/>
    </row>
    <row r="268" spans="1:2" ht="15">
      <c r="A268" s="13">
        <v>193</v>
      </c>
      <c r="B268" s="28"/>
    </row>
    <row r="269" spans="1:2" ht="15">
      <c r="A269" s="13">
        <v>194</v>
      </c>
      <c r="B269" s="28"/>
    </row>
    <row r="270" spans="1:2" ht="15">
      <c r="A270" s="13">
        <v>195</v>
      </c>
      <c r="B270" s="28"/>
    </row>
    <row r="271" spans="1:2" ht="15">
      <c r="A271" s="13">
        <v>196</v>
      </c>
      <c r="B271" s="28"/>
    </row>
    <row r="272" spans="1:2" ht="15">
      <c r="A272" s="13">
        <v>197</v>
      </c>
      <c r="B272" s="28"/>
    </row>
    <row r="273" spans="1:2" ht="15">
      <c r="A273" s="13">
        <v>198</v>
      </c>
      <c r="B273" s="28"/>
    </row>
    <row r="274" spans="1:2" ht="15">
      <c r="A274" s="13">
        <v>199</v>
      </c>
      <c r="B274" s="28"/>
    </row>
    <row r="275" spans="1:2" ht="15">
      <c r="A275" s="13">
        <v>200</v>
      </c>
      <c r="B275" s="28"/>
    </row>
    <row r="276" spans="1:2" ht="15">
      <c r="A276" s="13">
        <v>201</v>
      </c>
      <c r="B276" s="28"/>
    </row>
    <row r="277" spans="1:2" ht="15">
      <c r="A277" s="13">
        <v>202</v>
      </c>
      <c r="B277" s="28"/>
    </row>
    <row r="278" spans="1:2" ht="15">
      <c r="A278" s="13">
        <v>203</v>
      </c>
      <c r="B278" s="28"/>
    </row>
    <row r="279" spans="1:2" ht="15">
      <c r="A279" s="13">
        <v>204</v>
      </c>
      <c r="B279" s="28"/>
    </row>
    <row r="280" spans="1:2" ht="15">
      <c r="A280" s="13">
        <v>205</v>
      </c>
      <c r="B280" s="28"/>
    </row>
    <row r="281" spans="1:2" ht="15">
      <c r="A281" s="13">
        <v>206</v>
      </c>
      <c r="B281" s="28"/>
    </row>
    <row r="282" spans="1:2" ht="15">
      <c r="A282" s="13">
        <v>207</v>
      </c>
      <c r="B282" s="28"/>
    </row>
    <row r="283" spans="1:2" ht="15">
      <c r="A283" s="13">
        <v>208</v>
      </c>
      <c r="B283" s="28"/>
    </row>
    <row r="284" spans="1:2" ht="15">
      <c r="A284" s="13">
        <v>209</v>
      </c>
      <c r="B284" s="28"/>
    </row>
    <row r="285" spans="1:2" ht="15">
      <c r="A285" s="13">
        <v>210</v>
      </c>
      <c r="B285" s="28"/>
    </row>
    <row r="286" spans="1:2" ht="15">
      <c r="A286" s="13">
        <v>211</v>
      </c>
      <c r="B286" s="28"/>
    </row>
    <row r="287" spans="1:2" ht="15">
      <c r="A287" s="13">
        <v>212</v>
      </c>
      <c r="B287" s="28"/>
    </row>
    <row r="288" spans="1:2" ht="15">
      <c r="A288" s="13">
        <v>213</v>
      </c>
      <c r="B288" s="28"/>
    </row>
    <row r="289" spans="1:2" ht="15">
      <c r="A289" s="13">
        <v>214</v>
      </c>
      <c r="B289" s="28"/>
    </row>
    <row r="290" spans="1:2" ht="15">
      <c r="A290" s="13">
        <v>215</v>
      </c>
      <c r="B290" s="28"/>
    </row>
    <row r="291" spans="1:2" ht="15">
      <c r="A291" s="13">
        <v>216</v>
      </c>
      <c r="B291" s="28"/>
    </row>
    <row r="292" spans="1:2" ht="15">
      <c r="A292" s="13">
        <v>217</v>
      </c>
      <c r="B292" s="28"/>
    </row>
    <row r="293" spans="1:2" ht="15">
      <c r="A293" s="13">
        <v>218</v>
      </c>
      <c r="B293" s="28"/>
    </row>
    <row r="294" spans="1:2" ht="15">
      <c r="A294" s="13">
        <v>219</v>
      </c>
      <c r="B294" s="28"/>
    </row>
    <row r="295" spans="1:2" ht="15">
      <c r="A295" s="13">
        <v>220</v>
      </c>
      <c r="B295" s="28"/>
    </row>
    <row r="296" spans="1:2" ht="15">
      <c r="A296" s="13">
        <v>221</v>
      </c>
      <c r="B296" s="28"/>
    </row>
    <row r="297" spans="1:2" ht="15">
      <c r="A297" s="13">
        <v>222</v>
      </c>
      <c r="B297" s="28"/>
    </row>
    <row r="298" spans="1:2" ht="15">
      <c r="A298" s="13">
        <v>223</v>
      </c>
      <c r="B298" s="28"/>
    </row>
    <row r="299" spans="1:2" ht="15">
      <c r="A299" s="13">
        <v>224</v>
      </c>
      <c r="B299" s="28"/>
    </row>
    <row r="300" spans="1:2" ht="15">
      <c r="A300" s="13">
        <v>225</v>
      </c>
      <c r="B300" s="28"/>
    </row>
    <row r="301" spans="1:2" ht="15">
      <c r="A301" s="13">
        <v>226</v>
      </c>
      <c r="B301" s="28"/>
    </row>
    <row r="302" spans="1:2" ht="15">
      <c r="A302" s="13">
        <v>227</v>
      </c>
      <c r="B302" s="28"/>
    </row>
    <row r="303" spans="1:2" ht="15">
      <c r="A303" s="13">
        <v>228</v>
      </c>
      <c r="B303" s="28"/>
    </row>
    <row r="304" spans="1:2" ht="15">
      <c r="A304" s="13">
        <v>229</v>
      </c>
      <c r="B304" s="28"/>
    </row>
    <row r="305" spans="1:2" ht="15">
      <c r="A305" s="13">
        <v>230</v>
      </c>
      <c r="B305" s="28"/>
    </row>
    <row r="306" spans="1:2" ht="15">
      <c r="A306" s="13">
        <v>231</v>
      </c>
      <c r="B306" s="28"/>
    </row>
    <row r="307" spans="1:2" ht="15">
      <c r="A307" s="13">
        <v>232</v>
      </c>
      <c r="B307" s="28"/>
    </row>
    <row r="308" spans="1:2" ht="15">
      <c r="A308" s="13">
        <v>233</v>
      </c>
      <c r="B308" s="28"/>
    </row>
    <row r="309" spans="1:2" ht="15">
      <c r="A309" s="13">
        <v>234</v>
      </c>
      <c r="B309" s="28"/>
    </row>
    <row r="310" spans="1:2" ht="15">
      <c r="A310" s="13">
        <v>235</v>
      </c>
      <c r="B310" s="28"/>
    </row>
    <row r="311" spans="1:2" ht="15">
      <c r="A311" s="13">
        <v>236</v>
      </c>
      <c r="B311" s="28"/>
    </row>
    <row r="312" spans="1:2" ht="15">
      <c r="A312" s="13">
        <v>237</v>
      </c>
      <c r="B312" s="28"/>
    </row>
    <row r="313" spans="1:2" ht="15">
      <c r="A313" s="13">
        <v>238</v>
      </c>
      <c r="B313" s="28"/>
    </row>
    <row r="314" spans="1:2" ht="15">
      <c r="A314" s="13">
        <v>239</v>
      </c>
      <c r="B314" s="28"/>
    </row>
    <row r="315" spans="1:2" ht="15">
      <c r="A315" s="13">
        <v>240</v>
      </c>
      <c r="B315" s="28"/>
    </row>
    <row r="316" spans="1:2" ht="15">
      <c r="A316" s="13">
        <v>241</v>
      </c>
      <c r="B316" s="28"/>
    </row>
    <row r="317" spans="1:2" ht="15">
      <c r="A317" s="13">
        <v>242</v>
      </c>
      <c r="B317" s="28"/>
    </row>
    <row r="318" spans="1:2" ht="15">
      <c r="A318" s="13">
        <v>243</v>
      </c>
      <c r="B318" s="28"/>
    </row>
    <row r="319" spans="1:2" ht="15">
      <c r="A319" s="13">
        <v>244</v>
      </c>
      <c r="B319" s="28"/>
    </row>
    <row r="320" spans="1:2" ht="15">
      <c r="A320" s="13">
        <v>245</v>
      </c>
      <c r="B320" s="28"/>
    </row>
    <row r="321" spans="1:2" ht="15">
      <c r="A321" s="13">
        <v>246</v>
      </c>
      <c r="B321" s="28"/>
    </row>
    <row r="322" spans="1:2" ht="15">
      <c r="A322" s="13">
        <v>247</v>
      </c>
      <c r="B322" s="28"/>
    </row>
    <row r="323" spans="1:2" ht="15">
      <c r="A323" s="13">
        <v>248</v>
      </c>
      <c r="B323" s="28"/>
    </row>
    <row r="324" spans="1:2" ht="15">
      <c r="A324" s="13">
        <v>249</v>
      </c>
      <c r="B324" s="28"/>
    </row>
    <row r="325" spans="1:2" ht="15">
      <c r="A325" s="13">
        <v>250</v>
      </c>
      <c r="B325" s="28"/>
    </row>
    <row r="326" spans="1:2" ht="15">
      <c r="A326" s="13">
        <v>251</v>
      </c>
      <c r="B326" s="28"/>
    </row>
    <row r="327" spans="1:2" ht="15">
      <c r="A327" s="13">
        <v>252</v>
      </c>
      <c r="B327" s="28"/>
    </row>
    <row r="328" spans="1:2" ht="15">
      <c r="A328" s="13">
        <v>253</v>
      </c>
      <c r="B328" s="28"/>
    </row>
    <row r="329" spans="1:2" ht="15">
      <c r="A329" s="13">
        <v>254</v>
      </c>
      <c r="B329" s="28"/>
    </row>
    <row r="330" spans="1:2" ht="15">
      <c r="A330" s="13">
        <v>255</v>
      </c>
      <c r="B330" s="28"/>
    </row>
    <row r="331" spans="1:2" ht="15">
      <c r="A331" s="13">
        <v>256</v>
      </c>
      <c r="B331" s="28"/>
    </row>
    <row r="332" spans="1:2" ht="15">
      <c r="A332" s="13">
        <v>257</v>
      </c>
      <c r="B332" s="28"/>
    </row>
    <row r="333" spans="1:2" ht="15">
      <c r="A333" s="13">
        <v>258</v>
      </c>
      <c r="B333" s="28"/>
    </row>
    <row r="334" spans="1:2" ht="15">
      <c r="A334" s="13">
        <v>259</v>
      </c>
      <c r="B334" s="28"/>
    </row>
    <row r="335" spans="1:2" ht="15">
      <c r="A335" s="13">
        <v>260</v>
      </c>
      <c r="B335" s="28"/>
    </row>
    <row r="336" spans="1:2" ht="15">
      <c r="A336" s="13">
        <v>261</v>
      </c>
      <c r="B336" s="28"/>
    </row>
    <row r="337" spans="1:2" ht="15">
      <c r="A337" s="13">
        <v>262</v>
      </c>
      <c r="B337" s="28"/>
    </row>
    <row r="338" spans="1:2" ht="15">
      <c r="A338" s="13">
        <v>263</v>
      </c>
      <c r="B338" s="28"/>
    </row>
    <row r="339" spans="1:2" ht="15">
      <c r="A339" s="13">
        <v>264</v>
      </c>
      <c r="B339" s="28"/>
    </row>
    <row r="340" spans="1:2" ht="15">
      <c r="A340" s="13">
        <v>265</v>
      </c>
      <c r="B340" s="28"/>
    </row>
    <row r="341" spans="1:2" ht="15">
      <c r="A341" s="13">
        <v>266</v>
      </c>
      <c r="B341" s="28"/>
    </row>
    <row r="342" spans="1:2" ht="15">
      <c r="A342" s="13">
        <v>267</v>
      </c>
      <c r="B342" s="28"/>
    </row>
    <row r="343" spans="1:2" ht="15">
      <c r="A343" s="13">
        <v>268</v>
      </c>
      <c r="B343" s="28"/>
    </row>
    <row r="344" spans="1:2" ht="15">
      <c r="A344" s="13">
        <v>269</v>
      </c>
      <c r="B344" s="28"/>
    </row>
    <row r="345" spans="1:2" ht="15">
      <c r="A345" s="13">
        <v>270</v>
      </c>
      <c r="B345" s="28"/>
    </row>
    <row r="346" spans="1:2" ht="15">
      <c r="A346" s="13">
        <v>271</v>
      </c>
      <c r="B346" s="28"/>
    </row>
    <row r="347" spans="1:2" ht="15">
      <c r="A347" s="13">
        <v>272</v>
      </c>
      <c r="B347" s="28"/>
    </row>
    <row r="348" spans="1:2" ht="15">
      <c r="A348" s="13">
        <v>273</v>
      </c>
      <c r="B348" s="28"/>
    </row>
    <row r="349" spans="1:2" ht="15">
      <c r="A349" s="13">
        <v>274</v>
      </c>
      <c r="B349" s="28"/>
    </row>
    <row r="350" spans="1:2" ht="15">
      <c r="A350" s="13">
        <v>275</v>
      </c>
      <c r="B350" s="28"/>
    </row>
    <row r="351" spans="1:2" ht="15">
      <c r="A351" s="13">
        <v>276</v>
      </c>
      <c r="B351" s="28"/>
    </row>
    <row r="352" spans="1:2" ht="15">
      <c r="A352" s="13">
        <v>277</v>
      </c>
      <c r="B352" s="28"/>
    </row>
    <row r="353" spans="1:2" ht="15">
      <c r="A353" s="13">
        <v>278</v>
      </c>
      <c r="B353" s="28"/>
    </row>
    <row r="354" spans="1:2" ht="15">
      <c r="A354" s="13">
        <v>279</v>
      </c>
      <c r="B354" s="28"/>
    </row>
    <row r="355" spans="1:2" ht="15">
      <c r="A355" s="13">
        <v>280</v>
      </c>
      <c r="B355" s="28"/>
    </row>
    <row r="356" spans="1:2" ht="15">
      <c r="A356" s="13">
        <v>281</v>
      </c>
      <c r="B356" s="28"/>
    </row>
    <row r="357" spans="1:2" ht="15">
      <c r="A357" s="13">
        <v>282</v>
      </c>
      <c r="B357" s="28"/>
    </row>
    <row r="358" spans="1:2" ht="15">
      <c r="A358" s="13">
        <v>283</v>
      </c>
      <c r="B358" s="28"/>
    </row>
    <row r="359" spans="1:2" ht="15">
      <c r="A359" s="13">
        <v>284</v>
      </c>
      <c r="B359" s="28"/>
    </row>
    <row r="360" spans="1:2" ht="15">
      <c r="A360" s="13">
        <v>285</v>
      </c>
      <c r="B360" s="28"/>
    </row>
    <row r="361" spans="1:2" ht="15">
      <c r="A361" s="13">
        <v>286</v>
      </c>
      <c r="B361" s="28"/>
    </row>
    <row r="362" spans="1:2" ht="15">
      <c r="A362" s="13">
        <v>287</v>
      </c>
      <c r="B362" s="28"/>
    </row>
    <row r="363" spans="1:2" ht="15">
      <c r="A363" s="13">
        <v>288</v>
      </c>
      <c r="B363" s="28"/>
    </row>
    <row r="364" spans="1:2" ht="15">
      <c r="A364" s="13">
        <v>289</v>
      </c>
      <c r="B364" s="28"/>
    </row>
    <row r="365" spans="1:2" ht="15">
      <c r="A365" s="13">
        <v>290</v>
      </c>
      <c r="B365" s="28"/>
    </row>
    <row r="366" spans="1:2" ht="15">
      <c r="A366" s="13">
        <v>291</v>
      </c>
      <c r="B366" s="28"/>
    </row>
    <row r="367" spans="1:2" ht="15">
      <c r="A367" s="13">
        <v>292</v>
      </c>
      <c r="B367" s="28"/>
    </row>
    <row r="368" spans="1:2" ht="15">
      <c r="A368" s="13">
        <v>293</v>
      </c>
      <c r="B368" s="28"/>
    </row>
    <row r="369" spans="1:2" ht="15">
      <c r="A369" s="13">
        <v>294</v>
      </c>
      <c r="B369" s="28"/>
    </row>
    <row r="370" spans="1:2" ht="15">
      <c r="A370" s="13">
        <v>295</v>
      </c>
      <c r="B370" s="28"/>
    </row>
    <row r="371" spans="1:2" ht="15">
      <c r="A371" s="13">
        <v>296</v>
      </c>
      <c r="B371" s="28"/>
    </row>
    <row r="372" spans="1:2" ht="15">
      <c r="A372" s="13">
        <v>297</v>
      </c>
      <c r="B372" s="28"/>
    </row>
    <row r="373" spans="1:2" ht="15">
      <c r="A373" s="13">
        <v>298</v>
      </c>
      <c r="B373" s="28"/>
    </row>
    <row r="374" spans="1:2" ht="15">
      <c r="A374" s="13">
        <v>299</v>
      </c>
      <c r="B374" s="28"/>
    </row>
    <row r="375" spans="1:2" ht="15">
      <c r="A375" s="13">
        <v>300</v>
      </c>
      <c r="B375" s="28"/>
    </row>
    <row r="376" spans="1:2" ht="15">
      <c r="A376" s="13">
        <v>301</v>
      </c>
      <c r="B376" s="28"/>
    </row>
    <row r="377" spans="1:2" ht="15">
      <c r="A377" s="13">
        <v>302</v>
      </c>
      <c r="B377" s="28"/>
    </row>
    <row r="378" spans="1:2" ht="15">
      <c r="A378" s="13">
        <v>303</v>
      </c>
      <c r="B378" s="28"/>
    </row>
    <row r="379" spans="1:2" ht="15">
      <c r="A379" s="13">
        <v>304</v>
      </c>
      <c r="B379" s="28"/>
    </row>
    <row r="380" spans="1:2" ht="15">
      <c r="A380" s="13">
        <v>305</v>
      </c>
      <c r="B380" s="28"/>
    </row>
    <row r="381" spans="1:2" ht="15">
      <c r="A381" s="13">
        <v>306</v>
      </c>
      <c r="B381" s="28"/>
    </row>
    <row r="382" spans="1:2" ht="15">
      <c r="A382" s="13">
        <v>307</v>
      </c>
      <c r="B382" s="28"/>
    </row>
    <row r="383" spans="1:2" ht="15">
      <c r="A383" s="13">
        <v>308</v>
      </c>
      <c r="B383" s="28"/>
    </row>
    <row r="384" spans="1:2" ht="15">
      <c r="A384" s="13">
        <v>309</v>
      </c>
      <c r="B384" s="28"/>
    </row>
    <row r="385" spans="1:2" ht="15">
      <c r="A385" s="13">
        <v>310</v>
      </c>
      <c r="B385" s="28"/>
    </row>
    <row r="386" spans="1:2" ht="15">
      <c r="A386" s="13">
        <v>311</v>
      </c>
      <c r="B386" s="28"/>
    </row>
    <row r="387" spans="1:2" ht="15">
      <c r="A387" s="13">
        <v>312</v>
      </c>
      <c r="B387" s="28"/>
    </row>
    <row r="388" spans="1:2" ht="15">
      <c r="A388" s="13">
        <v>313</v>
      </c>
      <c r="B388" s="28"/>
    </row>
    <row r="389" spans="1:2" ht="15">
      <c r="A389" s="13">
        <v>314</v>
      </c>
      <c r="B389" s="28"/>
    </row>
    <row r="390" spans="1:2" ht="15">
      <c r="A390" s="13">
        <v>315</v>
      </c>
      <c r="B390" s="28"/>
    </row>
    <row r="391" spans="1:2" ht="15">
      <c r="A391" s="13">
        <v>316</v>
      </c>
      <c r="B391" s="28"/>
    </row>
    <row r="392" spans="1:2" ht="15">
      <c r="A392" s="13">
        <v>317</v>
      </c>
      <c r="B392" s="28"/>
    </row>
    <row r="393" spans="1:2" ht="15">
      <c r="A393" s="13">
        <v>318</v>
      </c>
      <c r="B393" s="28"/>
    </row>
    <row r="394" spans="1:2" ht="15">
      <c r="A394" s="13">
        <v>319</v>
      </c>
      <c r="B394" s="28"/>
    </row>
    <row r="395" spans="1:2" ht="15">
      <c r="A395" s="13">
        <v>320</v>
      </c>
      <c r="B395" s="28"/>
    </row>
    <row r="396" spans="1:2" ht="15">
      <c r="A396" s="13">
        <v>321</v>
      </c>
      <c r="B396" s="28"/>
    </row>
    <row r="397" spans="1:2" ht="15">
      <c r="A397" s="13">
        <v>322</v>
      </c>
      <c r="B397" s="28"/>
    </row>
    <row r="398" spans="1:2" ht="15">
      <c r="A398" s="13">
        <v>323</v>
      </c>
      <c r="B398" s="28"/>
    </row>
    <row r="399" spans="1:2" ht="15">
      <c r="A399" s="13">
        <v>324</v>
      </c>
      <c r="B399" s="28"/>
    </row>
    <row r="400" spans="1:2" ht="15">
      <c r="A400" s="13">
        <v>325</v>
      </c>
      <c r="B400" s="28"/>
    </row>
    <row r="401" spans="1:2" ht="15">
      <c r="A401" s="13">
        <v>326</v>
      </c>
      <c r="B401" s="28"/>
    </row>
    <row r="402" spans="1:2" ht="15">
      <c r="A402" s="13">
        <v>327</v>
      </c>
      <c r="B402" s="28"/>
    </row>
    <row r="403" spans="1:2" ht="15">
      <c r="A403" s="13">
        <v>328</v>
      </c>
      <c r="B403" s="28"/>
    </row>
    <row r="404" spans="1:2" ht="15">
      <c r="A404" s="13">
        <v>329</v>
      </c>
      <c r="B404" s="28"/>
    </row>
    <row r="405" spans="1:2" ht="15">
      <c r="A405" s="13">
        <v>330</v>
      </c>
      <c r="B405" s="28"/>
    </row>
    <row r="406" spans="1:2" ht="15">
      <c r="A406" s="13">
        <v>331</v>
      </c>
      <c r="B406" s="28"/>
    </row>
    <row r="407" spans="1:2" ht="15">
      <c r="A407" s="13">
        <v>332</v>
      </c>
      <c r="B407" s="28"/>
    </row>
    <row r="408" spans="1:2" ht="15">
      <c r="A408" s="13">
        <v>333</v>
      </c>
      <c r="B408" s="28"/>
    </row>
    <row r="409" spans="1:2" ht="15">
      <c r="A409" s="13">
        <v>334</v>
      </c>
      <c r="B409" s="28"/>
    </row>
    <row r="410" spans="1:2" ht="15">
      <c r="A410" s="13">
        <v>335</v>
      </c>
      <c r="B410" s="28"/>
    </row>
    <row r="411" spans="1:2" ht="15">
      <c r="A411" s="13">
        <v>336</v>
      </c>
      <c r="B411" s="28"/>
    </row>
    <row r="412" spans="1:2" ht="15">
      <c r="A412" s="13">
        <v>337</v>
      </c>
      <c r="B412" s="28"/>
    </row>
    <row r="413" spans="1:2" ht="15">
      <c r="A413" s="13">
        <v>338</v>
      </c>
      <c r="B413" s="28"/>
    </row>
    <row r="414" spans="1:2" ht="15">
      <c r="A414" s="13">
        <v>339</v>
      </c>
      <c r="B414" s="28"/>
    </row>
    <row r="415" spans="1:2" ht="15">
      <c r="A415" s="13">
        <v>340</v>
      </c>
      <c r="B415" s="28"/>
    </row>
    <row r="416" spans="1:2" ht="15">
      <c r="A416" s="13">
        <v>341</v>
      </c>
      <c r="B416" s="28"/>
    </row>
    <row r="417" spans="1:2" ht="15">
      <c r="A417" s="13">
        <v>342</v>
      </c>
      <c r="B417" s="28"/>
    </row>
    <row r="418" spans="1:2" ht="15">
      <c r="A418" s="13">
        <v>343</v>
      </c>
      <c r="B418" s="28"/>
    </row>
    <row r="419" spans="1:2" ht="15">
      <c r="A419" s="13">
        <v>344</v>
      </c>
      <c r="B419" s="28"/>
    </row>
    <row r="420" spans="1:2" ht="15">
      <c r="A420" s="13">
        <v>345</v>
      </c>
      <c r="B420" s="28"/>
    </row>
    <row r="421" spans="1:2" ht="15">
      <c r="A421" s="13">
        <v>346</v>
      </c>
      <c r="B421" s="28"/>
    </row>
    <row r="422" spans="1:2" ht="15">
      <c r="A422" s="13">
        <v>347</v>
      </c>
      <c r="B422" s="28"/>
    </row>
    <row r="423" spans="1:2" ht="15">
      <c r="A423" s="13">
        <v>348</v>
      </c>
      <c r="B423" s="28"/>
    </row>
    <row r="424" spans="1:2" ht="15">
      <c r="A424" s="13">
        <v>349</v>
      </c>
      <c r="B424" s="28"/>
    </row>
    <row r="425" spans="1:2" ht="15">
      <c r="A425" s="13">
        <v>350</v>
      </c>
      <c r="B425" s="28"/>
    </row>
    <row r="426" spans="1:2" ht="15">
      <c r="A426" s="13">
        <v>351</v>
      </c>
      <c r="B426" s="28"/>
    </row>
    <row r="427" spans="1:2" ht="15">
      <c r="A427" s="13">
        <v>352</v>
      </c>
      <c r="B427" s="28"/>
    </row>
    <row r="428" spans="1:2" ht="15">
      <c r="A428" s="13">
        <v>353</v>
      </c>
      <c r="B428" s="28"/>
    </row>
    <row r="429" spans="1:2" ht="15">
      <c r="A429" s="13">
        <v>354</v>
      </c>
      <c r="B429" s="28"/>
    </row>
    <row r="430" spans="1:2" ht="15">
      <c r="A430" s="13">
        <v>355</v>
      </c>
      <c r="B430" s="28"/>
    </row>
    <row r="431" spans="1:2" ht="15">
      <c r="A431" s="13">
        <v>356</v>
      </c>
      <c r="B431" s="28"/>
    </row>
    <row r="432" spans="1:2" ht="15">
      <c r="A432" s="13">
        <v>357</v>
      </c>
      <c r="B432" s="28"/>
    </row>
    <row r="433" spans="1:2" ht="15">
      <c r="A433" s="13">
        <v>358</v>
      </c>
      <c r="B433" s="28"/>
    </row>
    <row r="434" spans="1:2" ht="15">
      <c r="A434" s="13">
        <v>359</v>
      </c>
      <c r="B434" s="28"/>
    </row>
    <row r="435" spans="1:2" ht="15">
      <c r="A435" s="13">
        <v>360</v>
      </c>
      <c r="B435" s="28"/>
    </row>
    <row r="436" spans="1:2" ht="15">
      <c r="A436" s="13">
        <v>361</v>
      </c>
      <c r="B436" s="28"/>
    </row>
    <row r="437" spans="1:2" ht="15">
      <c r="A437" s="13">
        <v>362</v>
      </c>
      <c r="B437" s="28"/>
    </row>
    <row r="438" spans="1:2" ht="15">
      <c r="A438" s="13">
        <v>363</v>
      </c>
      <c r="B438" s="28"/>
    </row>
    <row r="439" spans="1:2" ht="15">
      <c r="A439" s="13">
        <v>364</v>
      </c>
      <c r="B439" s="28"/>
    </row>
    <row r="440" spans="1:2" ht="15">
      <c r="A440" s="13">
        <v>365</v>
      </c>
      <c r="B440" s="28"/>
    </row>
    <row r="441" spans="1:2" ht="15">
      <c r="A441" s="13">
        <v>366</v>
      </c>
      <c r="B441" s="28"/>
    </row>
    <row r="442" spans="1:2" ht="15">
      <c r="A442" s="13">
        <v>367</v>
      </c>
      <c r="B442" s="28"/>
    </row>
    <row r="443" spans="1:2" ht="15">
      <c r="A443" s="13">
        <v>368</v>
      </c>
      <c r="B443" s="28"/>
    </row>
    <row r="444" spans="1:2" ht="15">
      <c r="A444" s="13">
        <v>369</v>
      </c>
      <c r="B444" s="28"/>
    </row>
    <row r="445" spans="1:2" ht="15">
      <c r="A445" s="13">
        <v>370</v>
      </c>
      <c r="B445" s="28"/>
    </row>
    <row r="446" spans="1:2" ht="15">
      <c r="A446" s="13">
        <v>371</v>
      </c>
      <c r="B446" s="28"/>
    </row>
    <row r="447" spans="1:2" ht="15">
      <c r="A447" s="13">
        <v>372</v>
      </c>
      <c r="B447" s="28"/>
    </row>
    <row r="448" spans="1:2" ht="15">
      <c r="A448" s="13">
        <v>373</v>
      </c>
      <c r="B448" s="28"/>
    </row>
    <row r="449" spans="1:2" ht="15">
      <c r="A449" s="13">
        <v>374</v>
      </c>
      <c r="B449" s="28"/>
    </row>
    <row r="450" spans="1:2" ht="15">
      <c r="A450" s="13">
        <v>375</v>
      </c>
      <c r="B450" s="28"/>
    </row>
    <row r="451" spans="1:2" ht="15">
      <c r="A451" s="13">
        <v>376</v>
      </c>
      <c r="B451" s="28"/>
    </row>
    <row r="452" spans="1:2" ht="15">
      <c r="A452" s="13">
        <v>377</v>
      </c>
      <c r="B452" s="28"/>
    </row>
    <row r="453" spans="1:2" ht="15">
      <c r="A453" s="13">
        <v>378</v>
      </c>
      <c r="B453" s="28"/>
    </row>
    <row r="454" spans="1:2" ht="15">
      <c r="A454" s="13">
        <v>379</v>
      </c>
      <c r="B454" s="28"/>
    </row>
    <row r="455" spans="1:2" ht="15">
      <c r="A455" s="13">
        <v>380</v>
      </c>
      <c r="B455" s="28"/>
    </row>
    <row r="456" spans="1:2" ht="15">
      <c r="A456" s="13">
        <v>381</v>
      </c>
      <c r="B456" s="28"/>
    </row>
    <row r="457" spans="1:2" ht="15">
      <c r="A457" s="13">
        <v>382</v>
      </c>
      <c r="B457" s="28"/>
    </row>
    <row r="458" spans="1:2" ht="15">
      <c r="A458" s="13">
        <v>383</v>
      </c>
      <c r="B458" s="28"/>
    </row>
    <row r="459" spans="1:2" ht="15">
      <c r="A459" s="13">
        <v>384</v>
      </c>
      <c r="B459" s="28"/>
    </row>
    <row r="460" spans="1:2" ht="15">
      <c r="A460" s="13">
        <v>385</v>
      </c>
      <c r="B460" s="28"/>
    </row>
    <row r="461" spans="1:2" ht="15">
      <c r="A461" s="13">
        <v>386</v>
      </c>
      <c r="B461" s="28"/>
    </row>
    <row r="462" spans="1:2" ht="15">
      <c r="A462" s="13">
        <v>387</v>
      </c>
      <c r="B462" s="28"/>
    </row>
    <row r="463" spans="1:2" ht="15">
      <c r="A463" s="13">
        <v>388</v>
      </c>
      <c r="B463" s="28"/>
    </row>
    <row r="464" spans="1:2" ht="15">
      <c r="A464" s="13">
        <v>389</v>
      </c>
      <c r="B464" s="28"/>
    </row>
    <row r="465" spans="1:2" ht="15">
      <c r="A465" s="13">
        <v>390</v>
      </c>
      <c r="B465" s="28"/>
    </row>
    <row r="466" spans="1:2" ht="15">
      <c r="A466" s="13">
        <v>391</v>
      </c>
      <c r="B466" s="28"/>
    </row>
    <row r="467" spans="1:2" ht="15">
      <c r="A467" s="13">
        <v>392</v>
      </c>
      <c r="B467" s="28"/>
    </row>
    <row r="468" spans="1:2" ht="15">
      <c r="A468" s="13">
        <v>393</v>
      </c>
      <c r="B468" s="28"/>
    </row>
    <row r="469" spans="1:2" ht="15">
      <c r="A469" s="13">
        <v>394</v>
      </c>
      <c r="B469" s="28"/>
    </row>
    <row r="470" spans="1:2" ht="15">
      <c r="A470" s="13">
        <v>395</v>
      </c>
      <c r="B470" s="28"/>
    </row>
    <row r="471" spans="1:2" ht="15">
      <c r="A471" s="13">
        <v>396</v>
      </c>
      <c r="B471" s="28"/>
    </row>
    <row r="472" spans="1:2" ht="15">
      <c r="A472" s="13">
        <v>397</v>
      </c>
      <c r="B472" s="28"/>
    </row>
    <row r="473" spans="1:2" ht="15">
      <c r="A473" s="13">
        <v>398</v>
      </c>
      <c r="B473" s="28"/>
    </row>
    <row r="474" spans="1:2" ht="15">
      <c r="A474" s="13">
        <v>399</v>
      </c>
      <c r="B474" s="28"/>
    </row>
    <row r="475" spans="1:2" ht="15">
      <c r="A475" s="13">
        <v>400</v>
      </c>
      <c r="B475" s="28"/>
    </row>
    <row r="476" spans="1:2" ht="15">
      <c r="A476" s="13">
        <v>401</v>
      </c>
      <c r="B476" s="28"/>
    </row>
    <row r="477" spans="1:2" ht="15">
      <c r="A477" s="13">
        <v>402</v>
      </c>
      <c r="B477" s="28"/>
    </row>
    <row r="478" spans="1:2" ht="15">
      <c r="A478" s="13">
        <v>403</v>
      </c>
      <c r="B478" s="28"/>
    </row>
    <row r="479" spans="1:2" ht="15">
      <c r="A479" s="13">
        <v>404</v>
      </c>
      <c r="B479" s="28"/>
    </row>
    <row r="480" spans="1:2" ht="15">
      <c r="A480" s="13">
        <v>405</v>
      </c>
      <c r="B480" s="28"/>
    </row>
    <row r="481" spans="1:2" ht="15">
      <c r="A481" s="13">
        <v>406</v>
      </c>
      <c r="B481" s="28"/>
    </row>
    <row r="482" spans="1:2" ht="15">
      <c r="A482" s="13">
        <v>407</v>
      </c>
      <c r="B482" s="28"/>
    </row>
    <row r="483" spans="1:2" ht="15">
      <c r="A483" s="13">
        <v>408</v>
      </c>
      <c r="B483" s="28"/>
    </row>
    <row r="484" spans="1:2" ht="15">
      <c r="A484" s="13">
        <v>409</v>
      </c>
      <c r="B484" s="28"/>
    </row>
    <row r="485" spans="1:2" ht="15">
      <c r="A485" s="13">
        <v>410</v>
      </c>
      <c r="B485" s="28"/>
    </row>
    <row r="486" spans="1:2" ht="15">
      <c r="A486" s="13">
        <v>411</v>
      </c>
      <c r="B486" s="28"/>
    </row>
    <row r="487" spans="1:2" ht="15">
      <c r="A487" s="13">
        <v>412</v>
      </c>
      <c r="B487" s="28"/>
    </row>
    <row r="488" spans="1:2" ht="15">
      <c r="A488" s="13">
        <v>413</v>
      </c>
      <c r="B488" s="28"/>
    </row>
    <row r="489" spans="1:2" ht="15">
      <c r="A489" s="13">
        <v>414</v>
      </c>
      <c r="B489" s="28"/>
    </row>
    <row r="490" spans="1:2" ht="15">
      <c r="A490" s="13">
        <v>415</v>
      </c>
      <c r="B490" s="28"/>
    </row>
    <row r="491" spans="1:2" ht="15">
      <c r="A491" s="13">
        <v>416</v>
      </c>
      <c r="B491" s="28"/>
    </row>
    <row r="492" spans="1:2" ht="15">
      <c r="A492" s="13">
        <v>417</v>
      </c>
      <c r="B492" s="28"/>
    </row>
    <row r="493" spans="1:2" ht="15">
      <c r="A493" s="13">
        <v>418</v>
      </c>
      <c r="B493" s="28"/>
    </row>
    <row r="494" spans="1:2" ht="15">
      <c r="A494" s="13">
        <v>419</v>
      </c>
      <c r="B494" s="28"/>
    </row>
    <row r="495" spans="1:2" ht="15">
      <c r="A495" s="13">
        <v>420</v>
      </c>
      <c r="B495" s="28"/>
    </row>
    <row r="496" spans="1:2" ht="15">
      <c r="A496" s="13">
        <v>421</v>
      </c>
      <c r="B496" s="28"/>
    </row>
    <row r="497" spans="1:2" ht="15">
      <c r="A497" s="13">
        <v>422</v>
      </c>
      <c r="B497" s="28"/>
    </row>
    <row r="498" spans="1:2" ht="15">
      <c r="A498" s="13">
        <v>423</v>
      </c>
      <c r="B498" s="28"/>
    </row>
    <row r="499" spans="1:2" ht="15">
      <c r="A499" s="13">
        <v>424</v>
      </c>
      <c r="B499" s="28"/>
    </row>
    <row r="500" spans="1:2" ht="15">
      <c r="A500" s="13">
        <v>425</v>
      </c>
      <c r="B500" s="28"/>
    </row>
    <row r="501" spans="1:2" ht="15">
      <c r="A501" s="13">
        <v>426</v>
      </c>
      <c r="B501" s="28"/>
    </row>
    <row r="502" spans="1:2" ht="15">
      <c r="A502" s="13">
        <v>427</v>
      </c>
      <c r="B502" s="28"/>
    </row>
    <row r="503" spans="1:2" ht="15">
      <c r="A503" s="13">
        <v>428</v>
      </c>
      <c r="B503" s="28"/>
    </row>
    <row r="504" spans="1:2" ht="15">
      <c r="A504" s="13">
        <v>429</v>
      </c>
      <c r="B504" s="28"/>
    </row>
    <row r="505" spans="1:2" ht="15">
      <c r="A505" s="13">
        <v>430</v>
      </c>
      <c r="B505" s="28"/>
    </row>
    <row r="506" spans="1:2" ht="15">
      <c r="A506" s="13">
        <v>431</v>
      </c>
      <c r="B506" s="28"/>
    </row>
    <row r="507" spans="1:2" ht="15">
      <c r="A507" s="13">
        <v>432</v>
      </c>
      <c r="B507" s="28"/>
    </row>
    <row r="508" spans="1:2" ht="15">
      <c r="A508" s="13">
        <v>433</v>
      </c>
      <c r="B508" s="28"/>
    </row>
    <row r="509" spans="1:2" ht="15">
      <c r="A509" s="13">
        <v>434</v>
      </c>
      <c r="B509" s="28"/>
    </row>
    <row r="510" spans="1:2" ht="15">
      <c r="A510" s="13">
        <v>435</v>
      </c>
      <c r="B510" s="28"/>
    </row>
    <row r="511" spans="1:2" ht="15">
      <c r="A511" s="13">
        <v>436</v>
      </c>
      <c r="B511" s="28"/>
    </row>
    <row r="512" spans="1:2" ht="15">
      <c r="A512" s="13">
        <v>437</v>
      </c>
      <c r="B512" s="28"/>
    </row>
    <row r="513" spans="1:2" ht="15">
      <c r="A513" s="13">
        <v>438</v>
      </c>
      <c r="B513" s="28"/>
    </row>
    <row r="514" spans="1:2" ht="15">
      <c r="A514" s="13">
        <v>439</v>
      </c>
      <c r="B514" s="28"/>
    </row>
    <row r="515" spans="1:2" ht="15">
      <c r="A515" s="13">
        <v>440</v>
      </c>
      <c r="B515" s="28"/>
    </row>
    <row r="516" spans="1:2" ht="15">
      <c r="A516" s="13">
        <v>441</v>
      </c>
      <c r="B516" s="28"/>
    </row>
    <row r="517" spans="1:2" ht="15">
      <c r="A517" s="13">
        <v>442</v>
      </c>
      <c r="B517" s="28"/>
    </row>
    <row r="518" spans="1:2" ht="15">
      <c r="A518" s="13">
        <v>443</v>
      </c>
      <c r="B518" s="28"/>
    </row>
    <row r="519" spans="1:2" ht="15">
      <c r="A519" s="13">
        <v>444</v>
      </c>
      <c r="B519" s="28"/>
    </row>
    <row r="520" spans="1:2" ht="15">
      <c r="A520" s="13">
        <v>445</v>
      </c>
      <c r="B520" s="28"/>
    </row>
    <row r="521" spans="1:2" ht="15">
      <c r="A521" s="13">
        <v>446</v>
      </c>
      <c r="B521" s="28"/>
    </row>
    <row r="522" spans="1:2" ht="15">
      <c r="A522" s="13">
        <v>447</v>
      </c>
      <c r="B522" s="28"/>
    </row>
    <row r="523" spans="1:2" ht="15">
      <c r="A523" s="13">
        <v>448</v>
      </c>
      <c r="B523" s="28"/>
    </row>
    <row r="524" spans="1:2" ht="15">
      <c r="A524" s="13">
        <v>449</v>
      </c>
      <c r="B524" s="28"/>
    </row>
    <row r="525" spans="1:2" ht="15">
      <c r="A525" s="13">
        <v>450</v>
      </c>
      <c r="B525" s="28"/>
    </row>
    <row r="526" spans="1:2" ht="15">
      <c r="A526" s="13">
        <v>451</v>
      </c>
      <c r="B526" s="28"/>
    </row>
    <row r="527" spans="1:2" ht="15">
      <c r="A527" s="13">
        <v>452</v>
      </c>
      <c r="B527" s="28"/>
    </row>
    <row r="528" spans="1:2" ht="15">
      <c r="A528" s="13">
        <v>453</v>
      </c>
      <c r="B528" s="28"/>
    </row>
    <row r="529" spans="1:2" ht="15">
      <c r="A529" s="13">
        <v>454</v>
      </c>
      <c r="B529" s="28"/>
    </row>
    <row r="530" spans="1:2" ht="15">
      <c r="A530" s="13">
        <v>455</v>
      </c>
      <c r="B530" s="28"/>
    </row>
    <row r="531" spans="1:2" ht="15">
      <c r="A531" s="13">
        <v>456</v>
      </c>
      <c r="B531" s="28"/>
    </row>
    <row r="532" spans="1:2" ht="15">
      <c r="A532" s="13">
        <v>457</v>
      </c>
      <c r="B532" s="28"/>
    </row>
    <row r="533" spans="1:2" ht="15">
      <c r="A533" s="13">
        <v>458</v>
      </c>
      <c r="B533" s="28"/>
    </row>
    <row r="534" spans="1:2" ht="15">
      <c r="A534" s="13">
        <v>459</v>
      </c>
      <c r="B534" s="28"/>
    </row>
    <row r="535" spans="1:2" ht="15">
      <c r="A535" s="13">
        <v>460</v>
      </c>
      <c r="B535" s="28"/>
    </row>
    <row r="536" spans="1:2" ht="15">
      <c r="A536" s="13">
        <v>461</v>
      </c>
      <c r="B536" s="28"/>
    </row>
    <row r="537" spans="1:2" ht="15">
      <c r="A537" s="13">
        <v>462</v>
      </c>
      <c r="B537" s="28"/>
    </row>
    <row r="538" spans="1:2" ht="15">
      <c r="A538" s="13">
        <v>463</v>
      </c>
      <c r="B538" s="28"/>
    </row>
    <row r="539" spans="1:2" ht="15">
      <c r="A539" s="13">
        <v>464</v>
      </c>
      <c r="B539" s="28"/>
    </row>
    <row r="540" spans="1:2" ht="15">
      <c r="A540" s="13">
        <v>465</v>
      </c>
      <c r="B540" s="28"/>
    </row>
    <row r="541" spans="1:2" ht="15">
      <c r="A541" s="13">
        <v>466</v>
      </c>
      <c r="B541" s="28"/>
    </row>
    <row r="542" spans="1:2" ht="15">
      <c r="A542" s="13">
        <v>467</v>
      </c>
      <c r="B542" s="28"/>
    </row>
    <row r="543" spans="1:2" ht="15">
      <c r="A543" s="13">
        <v>468</v>
      </c>
      <c r="B543" s="28"/>
    </row>
    <row r="544" spans="1:2" ht="15">
      <c r="A544" s="13">
        <v>469</v>
      </c>
      <c r="B544" s="28"/>
    </row>
    <row r="545" spans="1:2" ht="15">
      <c r="A545" s="13">
        <v>470</v>
      </c>
      <c r="B545" s="28"/>
    </row>
    <row r="546" spans="1:2" ht="15">
      <c r="A546" s="13">
        <v>471</v>
      </c>
      <c r="B546" s="28"/>
    </row>
    <row r="547" spans="1:2" ht="15">
      <c r="A547" s="13">
        <v>472</v>
      </c>
      <c r="B547" s="28"/>
    </row>
    <row r="548" spans="1:2" ht="15">
      <c r="A548" s="13">
        <v>473</v>
      </c>
      <c r="B548" s="28"/>
    </row>
    <row r="549" spans="1:2" ht="15">
      <c r="A549" s="13">
        <v>474</v>
      </c>
      <c r="B549" s="28"/>
    </row>
    <row r="550" spans="1:2" ht="15">
      <c r="A550" s="13">
        <v>475</v>
      </c>
      <c r="B550" s="28"/>
    </row>
    <row r="551" spans="1:2" ht="15">
      <c r="A551" s="13">
        <v>476</v>
      </c>
      <c r="B551" s="28"/>
    </row>
    <row r="552" spans="1:2" ht="15">
      <c r="A552" s="13">
        <v>477</v>
      </c>
      <c r="B552" s="28"/>
    </row>
    <row r="553" spans="1:2" ht="15">
      <c r="A553" s="13">
        <v>478</v>
      </c>
      <c r="B553" s="28"/>
    </row>
    <row r="554" spans="1:2" ht="15">
      <c r="A554" s="13">
        <v>479</v>
      </c>
      <c r="B554" s="28"/>
    </row>
    <row r="555" spans="1:2" ht="15">
      <c r="A555" s="13">
        <v>480</v>
      </c>
      <c r="B555" s="28"/>
    </row>
    <row r="556" spans="1:2" ht="15">
      <c r="A556" s="13">
        <v>481</v>
      </c>
      <c r="B556" s="28"/>
    </row>
    <row r="557" spans="1:2" ht="15">
      <c r="A557" s="13">
        <v>482</v>
      </c>
      <c r="B557" s="28"/>
    </row>
    <row r="558" spans="1:2" ht="15">
      <c r="A558" s="13">
        <v>483</v>
      </c>
      <c r="B558" s="28"/>
    </row>
    <row r="559" spans="1:2" ht="15">
      <c r="A559" s="13">
        <v>484</v>
      </c>
      <c r="B559" s="28"/>
    </row>
    <row r="560" spans="1:2" ht="15">
      <c r="A560" s="13">
        <v>485</v>
      </c>
      <c r="B560" s="28"/>
    </row>
    <row r="561" spans="1:2" ht="15">
      <c r="A561" s="13">
        <v>486</v>
      </c>
      <c r="B561" s="28"/>
    </row>
    <row r="562" spans="1:2" ht="15">
      <c r="A562" s="13">
        <v>487</v>
      </c>
      <c r="B562" s="28"/>
    </row>
    <row r="563" spans="1:2" ht="15">
      <c r="A563" s="13">
        <v>488</v>
      </c>
      <c r="B563" s="28"/>
    </row>
    <row r="564" spans="1:2" ht="15">
      <c r="A564" s="13">
        <v>489</v>
      </c>
      <c r="B564" s="28"/>
    </row>
    <row r="565" spans="1:2" ht="15">
      <c r="A565" s="13">
        <v>490</v>
      </c>
      <c r="B565" s="28"/>
    </row>
    <row r="566" spans="1:2" ht="15">
      <c r="A566" s="13">
        <v>491</v>
      </c>
      <c r="B566" s="28"/>
    </row>
    <row r="567" spans="1:2" ht="15">
      <c r="A567" s="13">
        <v>492</v>
      </c>
      <c r="B567" s="28"/>
    </row>
    <row r="568" spans="1:2" ht="15">
      <c r="A568" s="13">
        <v>493</v>
      </c>
      <c r="B568" s="28"/>
    </row>
    <row r="569" spans="1:2" ht="15">
      <c r="A569" s="13">
        <v>494</v>
      </c>
      <c r="B569" s="28"/>
    </row>
    <row r="570" spans="1:2" ht="15">
      <c r="A570" s="13">
        <v>495</v>
      </c>
      <c r="B570" s="28"/>
    </row>
    <row r="571" spans="1:2" ht="15">
      <c r="A571" s="13">
        <v>496</v>
      </c>
      <c r="B571" s="28"/>
    </row>
    <row r="572" spans="1:2" ht="15">
      <c r="A572" s="13">
        <v>497</v>
      </c>
      <c r="B572" s="28"/>
    </row>
    <row r="573" spans="1:2" ht="15">
      <c r="A573" s="13">
        <v>498</v>
      </c>
      <c r="B573" s="28"/>
    </row>
    <row r="574" spans="1:2" ht="15">
      <c r="A574" s="13">
        <v>499</v>
      </c>
      <c r="B574" s="28"/>
    </row>
    <row r="575" spans="1:2" ht="15">
      <c r="A575" s="13">
        <v>500</v>
      </c>
      <c r="B575" s="28"/>
    </row>
    <row r="576" spans="1:2" ht="15">
      <c r="A576" s="13">
        <v>501</v>
      </c>
      <c r="B576" s="28"/>
    </row>
    <row r="577" spans="1:2" ht="15">
      <c r="A577" s="13">
        <v>502</v>
      </c>
      <c r="B577" s="28"/>
    </row>
    <row r="578" spans="1:2" ht="15">
      <c r="A578" s="13">
        <v>503</v>
      </c>
      <c r="B578" s="28"/>
    </row>
    <row r="579" spans="1:2" ht="15">
      <c r="A579" s="13">
        <v>504</v>
      </c>
      <c r="B579" s="28"/>
    </row>
    <row r="580" spans="1:2" ht="15">
      <c r="A580" s="13">
        <v>505</v>
      </c>
      <c r="B580" s="28"/>
    </row>
    <row r="581" spans="1:2" ht="15">
      <c r="A581" s="13">
        <v>506</v>
      </c>
      <c r="B581" s="28"/>
    </row>
    <row r="582" spans="1:2" ht="15">
      <c r="A582" s="13">
        <v>507</v>
      </c>
      <c r="B582" s="28"/>
    </row>
    <row r="583" spans="1:2" ht="15">
      <c r="A583" s="13">
        <v>508</v>
      </c>
      <c r="B583" s="28"/>
    </row>
    <row r="584" spans="1:2" ht="15">
      <c r="A584" s="13">
        <v>509</v>
      </c>
      <c r="B584" s="28"/>
    </row>
    <row r="585" spans="1:2" ht="15">
      <c r="A585" s="13">
        <v>510</v>
      </c>
      <c r="B585" s="28"/>
    </row>
    <row r="586" spans="1:2" ht="15">
      <c r="A586" s="13">
        <v>511</v>
      </c>
      <c r="B586" s="28"/>
    </row>
    <row r="587" spans="1:2" ht="15">
      <c r="A587" s="13">
        <v>512</v>
      </c>
      <c r="B587" s="28"/>
    </row>
    <row r="588" spans="1:2" ht="15">
      <c r="A588" s="13">
        <v>513</v>
      </c>
      <c r="B588" s="28"/>
    </row>
    <row r="589" spans="1:2" ht="15">
      <c r="A589" s="13">
        <v>514</v>
      </c>
      <c r="B589" s="28"/>
    </row>
    <row r="590" spans="1:2" ht="15">
      <c r="A590" s="13">
        <v>515</v>
      </c>
      <c r="B590" s="28"/>
    </row>
    <row r="591" spans="1:2" ht="15">
      <c r="A591" s="13">
        <v>516</v>
      </c>
      <c r="B591" s="28"/>
    </row>
    <row r="592" spans="1:2" ht="15">
      <c r="A592" s="13">
        <v>517</v>
      </c>
      <c r="B592" s="28"/>
    </row>
    <row r="593" spans="1:2" ht="15">
      <c r="A593" s="13">
        <v>518</v>
      </c>
      <c r="B593" s="28"/>
    </row>
    <row r="594" spans="1:2" ht="15">
      <c r="A594" s="13">
        <v>519</v>
      </c>
      <c r="B594" s="28"/>
    </row>
    <row r="595" spans="1:2" ht="15">
      <c r="A595" s="13">
        <v>520</v>
      </c>
      <c r="B595" s="28"/>
    </row>
    <row r="596" spans="1:2" ht="15">
      <c r="A596" s="13">
        <v>521</v>
      </c>
      <c r="B596" s="28"/>
    </row>
    <row r="597" spans="1:2" ht="15">
      <c r="A597" s="13">
        <v>522</v>
      </c>
      <c r="B597" s="28"/>
    </row>
    <row r="598" spans="1:2" ht="15">
      <c r="A598" s="13">
        <v>523</v>
      </c>
      <c r="B598" s="28"/>
    </row>
    <row r="599" spans="1:2" ht="15">
      <c r="A599" s="13">
        <v>524</v>
      </c>
      <c r="B599" s="28"/>
    </row>
    <row r="600" spans="1:2" ht="15">
      <c r="A600" s="13">
        <v>525</v>
      </c>
      <c r="B600" s="28"/>
    </row>
    <row r="601" spans="1:2" ht="15">
      <c r="A601" s="13">
        <v>526</v>
      </c>
      <c r="B601" s="28"/>
    </row>
    <row r="602" spans="1:2" ht="15">
      <c r="A602" s="13">
        <v>527</v>
      </c>
      <c r="B602" s="28"/>
    </row>
    <row r="603" spans="1:2" ht="15">
      <c r="A603" s="13">
        <v>528</v>
      </c>
      <c r="B603" s="28"/>
    </row>
    <row r="604" spans="1:2" ht="15">
      <c r="A604" s="13">
        <v>529</v>
      </c>
      <c r="B604" s="28"/>
    </row>
    <row r="605" spans="1:2" ht="15">
      <c r="A605" s="13">
        <v>530</v>
      </c>
      <c r="B605" s="28"/>
    </row>
    <row r="606" spans="1:2" ht="15">
      <c r="A606" s="13">
        <v>531</v>
      </c>
      <c r="B606" s="28"/>
    </row>
    <row r="607" spans="1:2" ht="15">
      <c r="A607" s="13">
        <v>532</v>
      </c>
      <c r="B607" s="28"/>
    </row>
    <row r="608" spans="1:2" ht="15">
      <c r="A608" s="13">
        <v>533</v>
      </c>
      <c r="B608" s="28"/>
    </row>
    <row r="609" spans="1:2" ht="15">
      <c r="A609" s="13">
        <v>534</v>
      </c>
      <c r="B609" s="28"/>
    </row>
    <row r="610" spans="1:2" ht="15">
      <c r="A610" s="13">
        <v>535</v>
      </c>
      <c r="B610" s="28"/>
    </row>
    <row r="611" spans="1:2" ht="15">
      <c r="A611" s="13">
        <v>536</v>
      </c>
      <c r="B611" s="28"/>
    </row>
    <row r="612" spans="1:2" ht="15">
      <c r="A612" s="13">
        <v>537</v>
      </c>
      <c r="B612" s="28"/>
    </row>
    <row r="613" spans="1:2" ht="15">
      <c r="A613" s="13">
        <v>538</v>
      </c>
      <c r="B613" s="28"/>
    </row>
    <row r="614" spans="1:2" ht="15">
      <c r="A614" s="13">
        <v>539</v>
      </c>
      <c r="B614" s="28"/>
    </row>
    <row r="615" spans="1:2" ht="15">
      <c r="A615" s="13">
        <v>540</v>
      </c>
      <c r="B615" s="28"/>
    </row>
    <row r="616" spans="1:2" ht="15">
      <c r="A616" s="13">
        <v>541</v>
      </c>
      <c r="B616" s="28"/>
    </row>
    <row r="617" spans="1:2" ht="15">
      <c r="A617" s="13">
        <v>542</v>
      </c>
      <c r="B617" s="28"/>
    </row>
    <row r="618" spans="1:2" ht="15">
      <c r="A618" s="13">
        <v>543</v>
      </c>
      <c r="B618" s="28"/>
    </row>
    <row r="619" spans="1:2" ht="15">
      <c r="A619" s="13">
        <v>544</v>
      </c>
      <c r="B619" s="28"/>
    </row>
    <row r="620" spans="1:2" ht="15">
      <c r="A620" s="13">
        <v>545</v>
      </c>
      <c r="B620" s="28"/>
    </row>
    <row r="621" spans="1:2" ht="15">
      <c r="A621" s="13">
        <v>546</v>
      </c>
      <c r="B621" s="28"/>
    </row>
    <row r="622" spans="1:2" ht="15">
      <c r="A622" s="13">
        <v>547</v>
      </c>
      <c r="B622" s="28"/>
    </row>
    <row r="623" spans="1:2" ht="15">
      <c r="A623" s="13">
        <v>548</v>
      </c>
      <c r="B623" s="28"/>
    </row>
    <row r="624" spans="1:2" ht="15">
      <c r="A624" s="13">
        <v>549</v>
      </c>
      <c r="B624" s="28"/>
    </row>
    <row r="625" spans="1:2" ht="15">
      <c r="A625" s="13">
        <v>550</v>
      </c>
      <c r="B625" s="28"/>
    </row>
    <row r="626" spans="1:2" ht="15">
      <c r="A626" s="13">
        <v>551</v>
      </c>
      <c r="B626" s="28"/>
    </row>
    <row r="627" spans="1:2" ht="15">
      <c r="A627" s="13">
        <v>552</v>
      </c>
      <c r="B627" s="28"/>
    </row>
    <row r="628" spans="1:2" ht="15">
      <c r="A628" s="13">
        <v>553</v>
      </c>
      <c r="B628" s="28"/>
    </row>
    <row r="629" spans="1:2" ht="15">
      <c r="A629" s="13">
        <v>554</v>
      </c>
      <c r="B629" s="28"/>
    </row>
    <row r="630" spans="1:2" ht="15">
      <c r="A630" s="13">
        <v>555</v>
      </c>
      <c r="B630" s="28"/>
    </row>
    <row r="631" spans="1:2" ht="15">
      <c r="A631" s="13">
        <v>556</v>
      </c>
      <c r="B631" s="28"/>
    </row>
    <row r="632" spans="1:2" ht="15">
      <c r="A632" s="13">
        <v>557</v>
      </c>
      <c r="B632" s="28"/>
    </row>
    <row r="633" spans="1:2" ht="15">
      <c r="A633" s="13">
        <v>558</v>
      </c>
      <c r="B633" s="28"/>
    </row>
    <row r="634" spans="1:2" ht="15">
      <c r="A634" s="13">
        <v>559</v>
      </c>
      <c r="B634" s="28"/>
    </row>
    <row r="635" spans="1:2" ht="15">
      <c r="A635" s="13">
        <v>560</v>
      </c>
      <c r="B635" s="28"/>
    </row>
    <row r="636" spans="1:2" ht="15">
      <c r="A636" s="13">
        <v>561</v>
      </c>
      <c r="B636" s="28"/>
    </row>
    <row r="637" spans="1:2" ht="15">
      <c r="A637" s="13">
        <v>562</v>
      </c>
      <c r="B637" s="28"/>
    </row>
    <row r="638" spans="1:2" ht="15">
      <c r="A638" s="13">
        <v>563</v>
      </c>
      <c r="B638" s="28"/>
    </row>
    <row r="639" spans="1:2" ht="15">
      <c r="A639" s="13">
        <v>564</v>
      </c>
      <c r="B639" s="28"/>
    </row>
    <row r="640" spans="1:2" ht="15">
      <c r="A640" s="13">
        <v>565</v>
      </c>
      <c r="B640" s="28"/>
    </row>
    <row r="641" spans="1:2" ht="15">
      <c r="A641" s="13">
        <v>566</v>
      </c>
      <c r="B641" s="28"/>
    </row>
    <row r="642" spans="1:2" ht="15">
      <c r="A642" s="13">
        <v>567</v>
      </c>
      <c r="B642" s="28"/>
    </row>
    <row r="643" spans="1:2" ht="15">
      <c r="A643" s="13">
        <v>568</v>
      </c>
      <c r="B643" s="28"/>
    </row>
    <row r="644" spans="1:2" ht="15">
      <c r="A644" s="13">
        <v>569</v>
      </c>
      <c r="B644" s="28"/>
    </row>
    <row r="645" spans="1:2" ht="15">
      <c r="A645" s="13">
        <v>570</v>
      </c>
      <c r="B645" s="28"/>
    </row>
    <row r="646" spans="1:2" ht="15">
      <c r="A646" s="13">
        <v>571</v>
      </c>
      <c r="B646" s="28"/>
    </row>
    <row r="647" spans="1:2" ht="15">
      <c r="A647" s="13">
        <v>572</v>
      </c>
      <c r="B647" s="28"/>
    </row>
    <row r="648" spans="1:2" ht="15">
      <c r="A648" s="13">
        <v>573</v>
      </c>
      <c r="B648" s="28"/>
    </row>
    <row r="649" spans="1:2" ht="15">
      <c r="A649" s="13">
        <v>574</v>
      </c>
      <c r="B649" s="28"/>
    </row>
    <row r="650" spans="1:2" ht="15">
      <c r="A650" s="13">
        <v>575</v>
      </c>
      <c r="B650" s="28"/>
    </row>
    <row r="651" spans="1:2" ht="15">
      <c r="A651" s="13">
        <v>576</v>
      </c>
      <c r="B651" s="28"/>
    </row>
    <row r="652" spans="1:2" ht="15">
      <c r="A652" s="13">
        <v>577</v>
      </c>
      <c r="B652" s="28"/>
    </row>
    <row r="653" spans="1:2" ht="15">
      <c r="A653" s="13">
        <v>578</v>
      </c>
      <c r="B653" s="28"/>
    </row>
    <row r="654" spans="1:2" ht="15">
      <c r="A654" s="13">
        <v>579</v>
      </c>
      <c r="B654" s="28"/>
    </row>
    <row r="655" spans="1:2" ht="15">
      <c r="A655" s="13">
        <v>580</v>
      </c>
      <c r="B655" s="28"/>
    </row>
    <row r="656" spans="1:2" ht="15">
      <c r="A656" s="13">
        <v>581</v>
      </c>
      <c r="B656" s="28"/>
    </row>
    <row r="657" spans="1:2" ht="15">
      <c r="A657" s="13">
        <v>582</v>
      </c>
      <c r="B657" s="28"/>
    </row>
    <row r="658" spans="1:2" ht="15">
      <c r="A658" s="13">
        <v>583</v>
      </c>
      <c r="B658" s="28"/>
    </row>
    <row r="659" spans="1:2" ht="15">
      <c r="A659" s="13">
        <v>584</v>
      </c>
      <c r="B659" s="28"/>
    </row>
    <row r="660" spans="1:2" ht="15">
      <c r="A660" s="13">
        <v>585</v>
      </c>
      <c r="B660" s="28"/>
    </row>
    <row r="661" spans="1:2" ht="15">
      <c r="A661" s="13">
        <v>586</v>
      </c>
      <c r="B661" s="28"/>
    </row>
    <row r="662" spans="1:2" ht="15">
      <c r="A662" s="13">
        <v>587</v>
      </c>
      <c r="B662" s="28"/>
    </row>
    <row r="663" spans="1:2" ht="15">
      <c r="A663" s="13">
        <v>588</v>
      </c>
      <c r="B663" s="28"/>
    </row>
    <row r="664" spans="1:2" ht="15">
      <c r="A664" s="13">
        <v>589</v>
      </c>
      <c r="B664" s="28"/>
    </row>
    <row r="665" spans="1:2" ht="15">
      <c r="A665" s="13">
        <v>590</v>
      </c>
      <c r="B665" s="28"/>
    </row>
    <row r="666" spans="1:2" ht="15">
      <c r="A666" s="13">
        <v>591</v>
      </c>
      <c r="B666" s="28"/>
    </row>
    <row r="667" spans="1:2" ht="15">
      <c r="A667" s="13">
        <v>592</v>
      </c>
      <c r="B667" s="28"/>
    </row>
    <row r="668" spans="1:2" ht="15">
      <c r="A668" s="13">
        <v>593</v>
      </c>
      <c r="B668" s="28"/>
    </row>
    <row r="669" spans="1:2" ht="15">
      <c r="A669" s="13">
        <v>594</v>
      </c>
      <c r="B669" s="28"/>
    </row>
    <row r="670" spans="1:2" ht="15">
      <c r="A670" s="13">
        <v>595</v>
      </c>
      <c r="B670" s="28"/>
    </row>
    <row r="671" spans="1:2" ht="15">
      <c r="A671" s="13">
        <v>596</v>
      </c>
      <c r="B671" s="28"/>
    </row>
    <row r="672" spans="1:2" ht="15">
      <c r="A672" s="13">
        <v>597</v>
      </c>
      <c r="B672" s="28"/>
    </row>
    <row r="673" spans="1:2" ht="15">
      <c r="A673" s="13">
        <v>598</v>
      </c>
      <c r="B673" s="28"/>
    </row>
    <row r="674" spans="1:2" ht="15">
      <c r="A674" s="13">
        <v>599</v>
      </c>
      <c r="B674" s="28"/>
    </row>
    <row r="675" spans="1:2" ht="15">
      <c r="A675" s="12">
        <v>600</v>
      </c>
      <c r="B675" s="31"/>
    </row>
    <row r="676" spans="1:2" ht="15">
      <c r="A676" s="34" t="s">
        <v>12</v>
      </c>
      <c r="B676" s="28"/>
    </row>
    <row r="677" spans="1:2" ht="15">
      <c r="A677" s="34" t="s">
        <v>13</v>
      </c>
      <c r="B677" s="28"/>
    </row>
  </sheetData>
  <phoneticPr fontId="3"/>
  <printOptions heading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77"/>
  <sheetViews>
    <sheetView workbookViewId="0" xr3:uid="{958C4451-9541-5A59-BF78-D2F731DF1C81}"/>
  </sheetViews>
  <sheetFormatPr defaultRowHeight="13.5"/>
  <cols>
    <col min="1" max="1" width="9" style="34" customWidth="1"/>
    <col min="2" max="2" width="14.25" style="35" customWidth="1"/>
    <col min="3" max="4" width="14.25" customWidth="1"/>
  </cols>
  <sheetData>
    <row r="1" spans="1:4" ht="15">
      <c r="A1" s="12" t="s">
        <v>0</v>
      </c>
      <c r="B1" s="14"/>
    </row>
    <row r="2" spans="1:4" s="3" customFormat="1" ht="18">
      <c r="A2" s="15" t="s">
        <v>1</v>
      </c>
      <c r="B2" s="16">
        <v>100</v>
      </c>
    </row>
    <row r="3" spans="1:4" s="3" customFormat="1" ht="15">
      <c r="A3" s="17" t="s">
        <v>2</v>
      </c>
      <c r="B3" s="18">
        <f>0.25/250</f>
        <v>1E-3</v>
      </c>
      <c r="C3" s="6" t="s">
        <v>3</v>
      </c>
    </row>
    <row r="4" spans="1:4" s="3" customFormat="1" ht="15">
      <c r="A4" s="17" t="s">
        <v>4</v>
      </c>
      <c r="B4" s="18">
        <f>0.3*SQRT(1/250)</f>
        <v>1.8973665961010275E-2</v>
      </c>
      <c r="C4" s="6" t="s">
        <v>5</v>
      </c>
    </row>
    <row r="5" spans="1:4" s="3" customFormat="1" ht="15">
      <c r="A5" s="19" t="s">
        <v>6</v>
      </c>
      <c r="B5" s="20">
        <v>60</v>
      </c>
    </row>
    <row r="6" spans="1:4" s="3" customFormat="1" ht="15">
      <c r="A6" s="21"/>
      <c r="B6" s="22"/>
    </row>
    <row r="7" spans="1:4" ht="15">
      <c r="A7" s="12" t="s">
        <v>7</v>
      </c>
      <c r="B7" s="14"/>
      <c r="C7" s="23"/>
      <c r="D7" s="23"/>
    </row>
    <row r="8" spans="1:4" ht="43.5">
      <c r="A8" s="24" t="s">
        <v>8</v>
      </c>
      <c r="B8" s="25" t="s">
        <v>9</v>
      </c>
      <c r="C8" s="25" t="s">
        <v>10</v>
      </c>
      <c r="D8" s="25" t="s">
        <v>11</v>
      </c>
    </row>
    <row r="9" spans="1:4" ht="15">
      <c r="A9" s="13">
        <v>0</v>
      </c>
      <c r="B9" s="26"/>
      <c r="C9" s="27">
        <f>LN(B2)</f>
        <v>4.6051701859880918</v>
      </c>
      <c r="D9" s="27">
        <f>EXP(C9)</f>
        <v>100.00000000000004</v>
      </c>
    </row>
    <row r="10" spans="1:4" ht="15">
      <c r="A10" s="13">
        <v>1</v>
      </c>
      <c r="B10" s="28">
        <v>-3.1494494917045798E-2</v>
      </c>
      <c r="C10" s="29">
        <f>C9+B10</f>
        <v>4.5736756910710463</v>
      </c>
      <c r="D10" s="30">
        <f t="shared" ref="D10:D69" si="0">EXP(C10)</f>
        <v>96.899629084402065</v>
      </c>
    </row>
    <row r="11" spans="1:4" ht="15">
      <c r="A11" s="13">
        <v>2</v>
      </c>
      <c r="B11" s="28">
        <v>3.676921699277591E-2</v>
      </c>
      <c r="C11" s="29">
        <f t="shared" ref="C11:C69" si="1">C10+B11</f>
        <v>4.6104449080638226</v>
      </c>
      <c r="D11" s="30">
        <f t="shared" si="0"/>
        <v>100.52886579140031</v>
      </c>
    </row>
    <row r="12" spans="1:4" ht="15">
      <c r="A12" s="13">
        <v>3</v>
      </c>
      <c r="B12" s="28">
        <v>2.4416582735080739E-2</v>
      </c>
      <c r="C12" s="29">
        <f t="shared" si="1"/>
        <v>4.6348614907989036</v>
      </c>
      <c r="D12" s="30">
        <f t="shared" si="0"/>
        <v>103.01364866885646</v>
      </c>
    </row>
    <row r="13" spans="1:4" ht="15">
      <c r="A13" s="13">
        <v>4</v>
      </c>
      <c r="B13" s="28">
        <v>2.638192575229914E-2</v>
      </c>
      <c r="C13" s="29">
        <f t="shared" si="1"/>
        <v>4.6612434165512031</v>
      </c>
      <c r="D13" s="30">
        <f t="shared" si="0"/>
        <v>105.76751350464039</v>
      </c>
    </row>
    <row r="14" spans="1:4" ht="15">
      <c r="A14" s="13">
        <v>5</v>
      </c>
      <c r="B14" s="28">
        <v>-5.5696622186806053E-3</v>
      </c>
      <c r="C14" s="29">
        <f t="shared" si="1"/>
        <v>4.6556737543325228</v>
      </c>
      <c r="D14" s="30">
        <f t="shared" si="0"/>
        <v>105.18006165351801</v>
      </c>
    </row>
    <row r="15" spans="1:4" ht="15">
      <c r="A15" s="13">
        <v>6</v>
      </c>
      <c r="B15" s="28">
        <v>-3.3509021452337038E-3</v>
      </c>
      <c r="C15" s="29">
        <f t="shared" si="1"/>
        <v>4.6523228521872895</v>
      </c>
      <c r="D15" s="30">
        <f t="shared" si="0"/>
        <v>104.82820340979725</v>
      </c>
    </row>
    <row r="16" spans="1:4" ht="15">
      <c r="A16" s="13">
        <v>7</v>
      </c>
      <c r="B16" s="28">
        <v>1.1999578989867588E-2</v>
      </c>
      <c r="C16" s="29">
        <f t="shared" si="1"/>
        <v>4.6643224311771574</v>
      </c>
      <c r="D16" s="30">
        <f t="shared" si="0"/>
        <v>106.09367509615072</v>
      </c>
    </row>
    <row r="17" spans="1:4" ht="15">
      <c r="A17" s="13">
        <v>8</v>
      </c>
      <c r="B17" s="28">
        <v>2.8939727260672954E-2</v>
      </c>
      <c r="C17" s="29">
        <f t="shared" si="1"/>
        <v>4.6932621584378307</v>
      </c>
      <c r="D17" s="30">
        <f t="shared" si="0"/>
        <v>109.20885594695346</v>
      </c>
    </row>
    <row r="18" spans="1:4" ht="15">
      <c r="A18" s="13">
        <v>9</v>
      </c>
      <c r="B18" s="28">
        <v>3.9145617509144359E-2</v>
      </c>
      <c r="C18" s="29">
        <f t="shared" si="1"/>
        <v>4.7324077759469754</v>
      </c>
      <c r="D18" s="30">
        <f t="shared" si="0"/>
        <v>113.56868135131666</v>
      </c>
    </row>
    <row r="19" spans="1:4" ht="15">
      <c r="A19" s="13">
        <v>10</v>
      </c>
      <c r="B19" s="28">
        <v>-4.6384237404912709E-2</v>
      </c>
      <c r="C19" s="29">
        <f t="shared" si="1"/>
        <v>4.686023538542063</v>
      </c>
      <c r="D19" s="30">
        <f t="shared" si="0"/>
        <v>108.42118880036162</v>
      </c>
    </row>
    <row r="20" spans="1:4" ht="15">
      <c r="A20" s="13">
        <v>11</v>
      </c>
      <c r="B20" s="28">
        <v>-1.1472041817090939E-2</v>
      </c>
      <c r="C20" s="29">
        <f t="shared" si="1"/>
        <v>4.6745514967249724</v>
      </c>
      <c r="D20" s="30">
        <f t="shared" si="0"/>
        <v>107.18448371809545</v>
      </c>
    </row>
    <row r="21" spans="1:4" ht="15">
      <c r="A21" s="13">
        <v>12</v>
      </c>
      <c r="B21" s="28">
        <v>-2.3419860301364679E-3</v>
      </c>
      <c r="C21" s="29">
        <f t="shared" si="1"/>
        <v>4.6722095106948363</v>
      </c>
      <c r="D21" s="30">
        <f t="shared" si="0"/>
        <v>106.93375287325105</v>
      </c>
    </row>
    <row r="22" spans="1:4" ht="15">
      <c r="A22" s="13">
        <v>13</v>
      </c>
      <c r="B22" s="28">
        <v>2.0779620288318257E-2</v>
      </c>
      <c r="C22" s="29">
        <f t="shared" si="1"/>
        <v>4.6929891309831548</v>
      </c>
      <c r="D22" s="30">
        <f t="shared" si="0"/>
        <v>109.17904300104777</v>
      </c>
    </row>
    <row r="23" spans="1:4" ht="15">
      <c r="A23" s="13">
        <v>14</v>
      </c>
      <c r="B23" s="28">
        <v>-2.1429569526138947E-2</v>
      </c>
      <c r="C23" s="29">
        <f t="shared" si="1"/>
        <v>4.6715595614570162</v>
      </c>
      <c r="D23" s="30">
        <f t="shared" si="0"/>
        <v>106.86427394340845</v>
      </c>
    </row>
    <row r="24" spans="1:4" ht="15">
      <c r="A24" s="13">
        <v>15</v>
      </c>
      <c r="B24" s="28">
        <v>-1.9898310140182729E-2</v>
      </c>
      <c r="C24" s="29">
        <f t="shared" si="1"/>
        <v>4.6516612513168338</v>
      </c>
      <c r="D24" s="30">
        <f t="shared" si="0"/>
        <v>104.75887191659012</v>
      </c>
    </row>
    <row r="25" spans="1:4" ht="15">
      <c r="A25" s="13">
        <v>16</v>
      </c>
      <c r="B25" s="28">
        <v>2.4255918222275796E-2</v>
      </c>
      <c r="C25" s="29">
        <f t="shared" si="1"/>
        <v>4.67591716953911</v>
      </c>
      <c r="D25" s="30">
        <f t="shared" si="0"/>
        <v>107.33096265198954</v>
      </c>
    </row>
    <row r="26" spans="1:4" ht="15">
      <c r="A26" s="13">
        <v>17</v>
      </c>
      <c r="B26" s="28">
        <v>2.7697784960560967E-2</v>
      </c>
      <c r="C26" s="29">
        <f t="shared" si="1"/>
        <v>4.7036149544996713</v>
      </c>
      <c r="D26" s="30">
        <f t="shared" si="0"/>
        <v>110.34534573344575</v>
      </c>
    </row>
    <row r="27" spans="1:4" ht="15">
      <c r="A27" s="13">
        <v>18</v>
      </c>
      <c r="B27" s="28">
        <v>-6.8855430274415994E-3</v>
      </c>
      <c r="C27" s="29">
        <f t="shared" si="1"/>
        <v>4.69672941147223</v>
      </c>
      <c r="D27" s="30">
        <f t="shared" si="0"/>
        <v>109.58816788935813</v>
      </c>
    </row>
    <row r="28" spans="1:4" ht="15">
      <c r="A28" s="13">
        <v>19</v>
      </c>
      <c r="B28" s="28">
        <v>2.4478878574678675E-2</v>
      </c>
      <c r="C28" s="29">
        <f t="shared" si="1"/>
        <v>4.721208290046909</v>
      </c>
      <c r="D28" s="30">
        <f t="shared" si="0"/>
        <v>112.30386636492786</v>
      </c>
    </row>
    <row r="29" spans="1:4" ht="15">
      <c r="A29" s="13">
        <v>20</v>
      </c>
      <c r="B29" s="28">
        <v>-1.006323566091305E-2</v>
      </c>
      <c r="C29" s="29">
        <f t="shared" si="1"/>
        <v>4.7111450543859963</v>
      </c>
      <c r="D29" s="30">
        <f t="shared" si="0"/>
        <v>111.17939349926388</v>
      </c>
    </row>
    <row r="30" spans="1:4" ht="15">
      <c r="A30" s="13">
        <v>21</v>
      </c>
      <c r="B30" s="28">
        <v>-3.0765866879140957E-2</v>
      </c>
      <c r="C30" s="29">
        <f t="shared" si="1"/>
        <v>4.6803791875068557</v>
      </c>
      <c r="D30" s="30">
        <f t="shared" si="0"/>
        <v>107.81094538527294</v>
      </c>
    </row>
    <row r="31" spans="1:4" ht="15">
      <c r="A31" s="13">
        <v>22</v>
      </c>
      <c r="B31" s="28">
        <v>-1.2852400115865747E-2</v>
      </c>
      <c r="C31" s="29">
        <f t="shared" si="1"/>
        <v>4.6675267873909903</v>
      </c>
      <c r="D31" s="30">
        <f t="shared" si="0"/>
        <v>106.43418228499893</v>
      </c>
    </row>
    <row r="32" spans="1:4" ht="15">
      <c r="A32" s="13">
        <v>23</v>
      </c>
      <c r="B32" s="28">
        <v>2.1607999431376812E-2</v>
      </c>
      <c r="C32" s="29">
        <f t="shared" si="1"/>
        <v>4.6891347868223674</v>
      </c>
      <c r="D32" s="30">
        <f t="shared" si="0"/>
        <v>108.75903933348144</v>
      </c>
    </row>
    <row r="33" spans="1:4" ht="15">
      <c r="A33" s="13">
        <v>24</v>
      </c>
      <c r="B33" s="28">
        <v>4.1661125240148977E-2</v>
      </c>
      <c r="C33" s="29">
        <f t="shared" si="1"/>
        <v>4.7307959120625167</v>
      </c>
      <c r="D33" s="30">
        <f t="shared" si="0"/>
        <v>113.38577154789557</v>
      </c>
    </row>
    <row r="34" spans="1:4" ht="15">
      <c r="A34" s="13">
        <v>25</v>
      </c>
      <c r="B34" s="28">
        <v>-3.3688305595424026E-3</v>
      </c>
      <c r="C34" s="29">
        <f t="shared" si="1"/>
        <v>4.7274270815029746</v>
      </c>
      <c r="D34" s="30">
        <f t="shared" si="0"/>
        <v>113.0044367824413</v>
      </c>
    </row>
    <row r="35" spans="1:4" ht="15">
      <c r="A35" s="13">
        <v>26</v>
      </c>
      <c r="B35" s="28">
        <v>1.7675196548021632E-2</v>
      </c>
      <c r="C35" s="29">
        <f t="shared" si="1"/>
        <v>4.7451022780509966</v>
      </c>
      <c r="D35" s="30">
        <f t="shared" si="0"/>
        <v>115.01956887886296</v>
      </c>
    </row>
    <row r="36" spans="1:4" ht="15">
      <c r="A36" s="13">
        <v>27</v>
      </c>
      <c r="B36" s="28">
        <v>2.5669109279784608E-2</v>
      </c>
      <c r="C36" s="29">
        <f t="shared" si="1"/>
        <v>4.7707713873307815</v>
      </c>
      <c r="D36" s="30">
        <f t="shared" si="0"/>
        <v>118.01023846223652</v>
      </c>
    </row>
    <row r="37" spans="1:4" ht="15">
      <c r="A37" s="13">
        <v>28</v>
      </c>
      <c r="B37" s="28">
        <v>-1.1204649237901321E-2</v>
      </c>
      <c r="C37" s="29">
        <f t="shared" si="1"/>
        <v>4.7595667380928806</v>
      </c>
      <c r="D37" s="30">
        <f t="shared" si="0"/>
        <v>116.69535529243629</v>
      </c>
    </row>
    <row r="38" spans="1:4" ht="15">
      <c r="A38" s="13">
        <v>29</v>
      </c>
      <c r="B38" s="28">
        <v>-1.4310088201658799E-2</v>
      </c>
      <c r="C38" s="29">
        <f t="shared" si="1"/>
        <v>4.7452566498912221</v>
      </c>
      <c r="D38" s="30">
        <f t="shared" si="0"/>
        <v>115.03732603193966</v>
      </c>
    </row>
    <row r="39" spans="1:4" ht="15">
      <c r="A39" s="13">
        <v>30</v>
      </c>
      <c r="B39" s="28">
        <v>-5.8596641222015022E-2</v>
      </c>
      <c r="C39" s="29">
        <f t="shared" si="1"/>
        <v>4.6866600086692074</v>
      </c>
      <c r="D39" s="30">
        <f t="shared" si="0"/>
        <v>108.49021761324092</v>
      </c>
    </row>
    <row r="40" spans="1:4" ht="15">
      <c r="A40" s="13">
        <v>31</v>
      </c>
      <c r="B40" s="28">
        <v>-2.4665021894383243E-2</v>
      </c>
      <c r="C40" s="29">
        <f t="shared" si="1"/>
        <v>4.6619949867748245</v>
      </c>
      <c r="D40" s="30">
        <f t="shared" si="0"/>
        <v>105.84703509770449</v>
      </c>
    </row>
    <row r="41" spans="1:4" ht="15">
      <c r="A41" s="13">
        <v>32</v>
      </c>
      <c r="B41" s="28">
        <v>1.7403419067501091E-2</v>
      </c>
      <c r="C41" s="29">
        <f t="shared" si="1"/>
        <v>4.6793984058423259</v>
      </c>
      <c r="D41" s="30">
        <f t="shared" si="0"/>
        <v>107.70525822329077</v>
      </c>
    </row>
    <row r="42" spans="1:4" ht="15">
      <c r="A42" s="13">
        <v>33</v>
      </c>
      <c r="B42" s="28">
        <v>-1.9882368971797404E-2</v>
      </c>
      <c r="C42" s="29">
        <f t="shared" si="1"/>
        <v>4.6595160368705288</v>
      </c>
      <c r="D42" s="30">
        <f t="shared" si="0"/>
        <v>105.58497055681642</v>
      </c>
    </row>
    <row r="43" spans="1:4" ht="15">
      <c r="A43" s="13">
        <v>34</v>
      </c>
      <c r="B43" s="28">
        <v>2.8782130018749741E-2</v>
      </c>
      <c r="C43" s="29">
        <f t="shared" si="1"/>
        <v>4.6882981668892789</v>
      </c>
      <c r="D43" s="30">
        <f t="shared" si="0"/>
        <v>108.66808740467481</v>
      </c>
    </row>
    <row r="44" spans="1:4" ht="15">
      <c r="A44" s="13">
        <v>35</v>
      </c>
      <c r="B44" s="28">
        <v>-3.9908580558607354E-2</v>
      </c>
      <c r="C44" s="29">
        <f t="shared" si="1"/>
        <v>4.6483895863306719</v>
      </c>
      <c r="D44" s="30">
        <f t="shared" si="0"/>
        <v>104.41669603099768</v>
      </c>
    </row>
    <row r="45" spans="1:4" ht="15">
      <c r="A45" s="13">
        <v>36</v>
      </c>
      <c r="B45" s="28">
        <v>-2.3449236980231944E-3</v>
      </c>
      <c r="C45" s="29">
        <f t="shared" si="1"/>
        <v>4.646044662632649</v>
      </c>
      <c r="D45" s="30">
        <f t="shared" si="0"/>
        <v>104.1721336980743</v>
      </c>
    </row>
    <row r="46" spans="1:4" ht="15">
      <c r="A46" s="13">
        <v>37</v>
      </c>
      <c r="B46" s="28">
        <v>-1.5651456780906301E-3</v>
      </c>
      <c r="C46" s="29">
        <f t="shared" si="1"/>
        <v>4.6444795169545587</v>
      </c>
      <c r="D46" s="30">
        <f t="shared" si="0"/>
        <v>104.00921666094548</v>
      </c>
    </row>
    <row r="47" spans="1:4" ht="15">
      <c r="A47" s="13">
        <v>38</v>
      </c>
      <c r="B47" s="28">
        <v>-1.1968550890946061E-2</v>
      </c>
      <c r="C47" s="29">
        <f t="shared" si="1"/>
        <v>4.632510966063613</v>
      </c>
      <c r="D47" s="30">
        <f t="shared" si="0"/>
        <v>102.77179689023365</v>
      </c>
    </row>
    <row r="48" spans="1:4" ht="15">
      <c r="A48" s="13">
        <v>39</v>
      </c>
      <c r="B48" s="28">
        <v>2.6428107619518415E-2</v>
      </c>
      <c r="C48" s="29">
        <f t="shared" si="1"/>
        <v>4.6589390736831318</v>
      </c>
      <c r="D48" s="30">
        <f t="shared" si="0"/>
        <v>105.52406948619006</v>
      </c>
    </row>
    <row r="49" spans="1:4" ht="15">
      <c r="A49" s="13">
        <v>40</v>
      </c>
      <c r="B49" s="28">
        <v>-4.689204272130155E-3</v>
      </c>
      <c r="C49" s="29">
        <f t="shared" si="1"/>
        <v>4.6542498694110019</v>
      </c>
      <c r="D49" s="30">
        <f t="shared" si="0"/>
        <v>105.03040392266337</v>
      </c>
    </row>
    <row r="50" spans="1:4" ht="15">
      <c r="A50" s="13">
        <v>41</v>
      </c>
      <c r="B50" s="28">
        <v>-2.1365502445609308E-2</v>
      </c>
      <c r="C50" s="29">
        <f t="shared" si="1"/>
        <v>4.632884366965393</v>
      </c>
      <c r="D50" s="30">
        <f t="shared" si="0"/>
        <v>102.81017913740691</v>
      </c>
    </row>
    <row r="51" spans="1:4" ht="15">
      <c r="A51" s="13">
        <v>42</v>
      </c>
      <c r="B51" s="28">
        <v>-6.6721516961697489E-3</v>
      </c>
      <c r="C51" s="29">
        <f t="shared" si="1"/>
        <v>4.6262122152692235</v>
      </c>
      <c r="D51" s="30">
        <f t="shared" si="0"/>
        <v>102.12649737682221</v>
      </c>
    </row>
    <row r="52" spans="1:4" ht="15">
      <c r="A52" s="13">
        <v>43</v>
      </c>
      <c r="B52" s="28">
        <v>-1.7863067907659569E-2</v>
      </c>
      <c r="C52" s="29">
        <f t="shared" si="1"/>
        <v>4.6083491473615643</v>
      </c>
      <c r="D52" s="30">
        <f t="shared" si="0"/>
        <v>100.31840196297601</v>
      </c>
    </row>
    <row r="53" spans="1:4" ht="15">
      <c r="A53" s="13">
        <v>44</v>
      </c>
      <c r="B53" s="28">
        <v>-5.738102911185706E-3</v>
      </c>
      <c r="C53" s="29">
        <f t="shared" si="1"/>
        <v>4.6026110444503789</v>
      </c>
      <c r="D53" s="30">
        <f t="shared" si="0"/>
        <v>99.744413027338823</v>
      </c>
    </row>
    <row r="54" spans="1:4" ht="15">
      <c r="A54" s="13">
        <v>45</v>
      </c>
      <c r="B54" s="28">
        <v>3.2287977435567883E-2</v>
      </c>
      <c r="C54" s="29">
        <f t="shared" si="1"/>
        <v>4.6348990218859472</v>
      </c>
      <c r="D54" s="30">
        <f t="shared" si="0"/>
        <v>103.01751495562385</v>
      </c>
    </row>
    <row r="55" spans="1:4" ht="15">
      <c r="A55" s="13">
        <v>46</v>
      </c>
      <c r="B55" s="28">
        <v>8.768446721456713E-3</v>
      </c>
      <c r="C55" s="29">
        <f t="shared" si="1"/>
        <v>4.6436674686074042</v>
      </c>
      <c r="D55" s="30">
        <f t="shared" si="0"/>
        <v>103.92479043219626</v>
      </c>
    </row>
    <row r="56" spans="1:4" ht="15">
      <c r="A56" s="13">
        <v>47</v>
      </c>
      <c r="B56" s="28">
        <v>-9.9709575099404899E-4</v>
      </c>
      <c r="C56" s="29">
        <f t="shared" si="1"/>
        <v>4.6426703728564105</v>
      </c>
      <c r="D56" s="30">
        <f t="shared" si="0"/>
        <v>103.8212191090774</v>
      </c>
    </row>
    <row r="57" spans="1:4" ht="15">
      <c r="A57" s="13">
        <v>48</v>
      </c>
      <c r="B57" s="28">
        <v>1.3078091913281242E-2</v>
      </c>
      <c r="C57" s="29">
        <f t="shared" si="1"/>
        <v>4.6557484647696921</v>
      </c>
      <c r="D57" s="30">
        <f t="shared" si="0"/>
        <v>105.18791999545205</v>
      </c>
    </row>
    <row r="58" spans="1:4" ht="15">
      <c r="A58" s="13">
        <v>49</v>
      </c>
      <c r="B58" s="28">
        <v>-4.4436390792019664E-2</v>
      </c>
      <c r="C58" s="29">
        <f t="shared" si="1"/>
        <v>4.6113120739776727</v>
      </c>
      <c r="D58" s="30">
        <f t="shared" si="0"/>
        <v>100.61607880578411</v>
      </c>
    </row>
    <row r="59" spans="1:4" ht="15">
      <c r="A59" s="13">
        <v>50</v>
      </c>
      <c r="B59" s="28">
        <v>3.0941575121483766E-2</v>
      </c>
      <c r="C59" s="29">
        <f t="shared" si="1"/>
        <v>4.6422536490991568</v>
      </c>
      <c r="D59" s="30">
        <f t="shared" si="0"/>
        <v>103.77796335404396</v>
      </c>
    </row>
    <row r="60" spans="1:4" ht="15">
      <c r="A60" s="13">
        <v>51</v>
      </c>
      <c r="B60" s="28">
        <v>-1.6473983007221249E-2</v>
      </c>
      <c r="C60" s="29">
        <f t="shared" si="1"/>
        <v>4.6257796660919359</v>
      </c>
      <c r="D60" s="30">
        <f t="shared" si="0"/>
        <v>102.08233219689733</v>
      </c>
    </row>
    <row r="61" spans="1:4" ht="15">
      <c r="A61" s="13">
        <v>52</v>
      </c>
      <c r="B61" s="28">
        <v>-3.9104696381604298E-2</v>
      </c>
      <c r="C61" s="29">
        <f t="shared" si="1"/>
        <v>4.586674969710332</v>
      </c>
      <c r="D61" s="30">
        <f t="shared" si="0"/>
        <v>98.167477063999257</v>
      </c>
    </row>
    <row r="62" spans="1:4" ht="15">
      <c r="A62" s="13">
        <v>53</v>
      </c>
      <c r="B62" s="28">
        <v>-5.4248092712659854E-3</v>
      </c>
      <c r="C62" s="29">
        <f t="shared" si="1"/>
        <v>4.5812501604390663</v>
      </c>
      <c r="D62" s="30">
        <f t="shared" si="0"/>
        <v>97.636379079374422</v>
      </c>
    </row>
    <row r="63" spans="1:4" ht="15">
      <c r="A63" s="13">
        <v>54</v>
      </c>
      <c r="B63" s="28">
        <v>1.0507978120382178E-2</v>
      </c>
      <c r="C63" s="29">
        <f t="shared" si="1"/>
        <v>4.5917581385594488</v>
      </c>
      <c r="D63" s="30">
        <f t="shared" si="0"/>
        <v>98.667749332418467</v>
      </c>
    </row>
    <row r="64" spans="1:4" ht="15">
      <c r="A64" s="13">
        <v>55</v>
      </c>
      <c r="B64" s="28">
        <v>-1.6438514987588859E-2</v>
      </c>
      <c r="C64" s="29">
        <f t="shared" si="1"/>
        <v>4.5753196235718603</v>
      </c>
      <c r="D64" s="30">
        <f t="shared" si="0"/>
        <v>97.059056542055743</v>
      </c>
    </row>
    <row r="65" spans="1:4" ht="15">
      <c r="A65" s="13">
        <v>56</v>
      </c>
      <c r="B65" s="28">
        <v>-2.4891222321661188E-2</v>
      </c>
      <c r="C65" s="29">
        <f t="shared" si="1"/>
        <v>4.5504284012501994</v>
      </c>
      <c r="D65" s="30">
        <f t="shared" si="0"/>
        <v>94.672957642026631</v>
      </c>
    </row>
    <row r="66" spans="1:4" ht="15">
      <c r="A66" s="13">
        <v>57</v>
      </c>
      <c r="B66" s="28">
        <v>1.253633061220171E-3</v>
      </c>
      <c r="C66" s="29">
        <f t="shared" si="1"/>
        <v>4.5516820343114199</v>
      </c>
      <c r="D66" s="30">
        <f t="shared" si="0"/>
        <v>94.791717216641231</v>
      </c>
    </row>
    <row r="67" spans="1:4" ht="15">
      <c r="A67" s="13">
        <v>58</v>
      </c>
      <c r="B67" s="28">
        <v>4.539954605003004E-3</v>
      </c>
      <c r="C67" s="29">
        <f t="shared" si="1"/>
        <v>4.5562219889164233</v>
      </c>
      <c r="D67" s="30">
        <f t="shared" si="0"/>
        <v>95.22304567469574</v>
      </c>
    </row>
    <row r="68" spans="1:4" ht="15">
      <c r="A68" s="13">
        <v>59</v>
      </c>
      <c r="B68" s="28">
        <v>8.6343292221281454E-3</v>
      </c>
      <c r="C68" s="29">
        <f t="shared" si="1"/>
        <v>4.5648563181385517</v>
      </c>
      <c r="D68" s="30">
        <f t="shared" si="0"/>
        <v>96.048792555738316</v>
      </c>
    </row>
    <row r="69" spans="1:4" ht="15">
      <c r="A69" s="12">
        <v>60</v>
      </c>
      <c r="B69" s="31">
        <v>-1.1441412309271981E-2</v>
      </c>
      <c r="C69" s="32">
        <f t="shared" si="1"/>
        <v>4.5534149058292801</v>
      </c>
      <c r="D69" s="33">
        <f t="shared" si="0"/>
        <v>94.956121488134727</v>
      </c>
    </row>
    <row r="70" spans="1:4" ht="15">
      <c r="A70" s="34" t="s">
        <v>12</v>
      </c>
      <c r="B70" s="28">
        <f>AVERAGE(B10:B69)</f>
        <v>-8.6258800264719471E-4</v>
      </c>
    </row>
    <row r="71" spans="1:4" ht="15">
      <c r="A71" s="34" t="s">
        <v>13</v>
      </c>
      <c r="B71" s="28">
        <f>_xlfn.STDEV.P(B10:B69)</f>
        <v>2.3316979559353104E-2</v>
      </c>
    </row>
    <row r="73" spans="1:4" ht="15">
      <c r="A73" s="12" t="s">
        <v>14</v>
      </c>
      <c r="B73" s="14"/>
      <c r="C73" s="23"/>
      <c r="D73" s="23"/>
    </row>
    <row r="74" spans="1:4" ht="43.5">
      <c r="A74" s="24" t="s">
        <v>8</v>
      </c>
      <c r="B74" s="25" t="s">
        <v>9</v>
      </c>
    </row>
    <row r="75" spans="1:4" ht="15">
      <c r="A75" s="13">
        <v>0</v>
      </c>
      <c r="B75" s="26"/>
    </row>
    <row r="76" spans="1:4" ht="15">
      <c r="A76" s="13">
        <v>1</v>
      </c>
      <c r="B76" s="28">
        <v>-3.1494494917045812E-2</v>
      </c>
    </row>
    <row r="77" spans="1:4" ht="15">
      <c r="A77" s="13">
        <v>2</v>
      </c>
      <c r="B77" s="28">
        <v>3.676921699277591E-2</v>
      </c>
    </row>
    <row r="78" spans="1:4" ht="15">
      <c r="A78" s="13">
        <v>3</v>
      </c>
      <c r="B78" s="28">
        <v>2.4416582735080739E-2</v>
      </c>
    </row>
    <row r="79" spans="1:4" ht="15">
      <c r="A79" s="13">
        <v>4</v>
      </c>
      <c r="B79" s="28">
        <v>2.638192575229914E-2</v>
      </c>
    </row>
    <row r="80" spans="1:4" ht="15">
      <c r="A80" s="13">
        <v>5</v>
      </c>
      <c r="B80" s="28">
        <v>-5.5696622186806053E-3</v>
      </c>
    </row>
    <row r="81" spans="1:2" ht="15">
      <c r="A81" s="13">
        <v>6</v>
      </c>
      <c r="B81" s="28">
        <v>-3.3509021452337038E-3</v>
      </c>
    </row>
    <row r="82" spans="1:2" ht="15">
      <c r="A82" s="13">
        <v>7</v>
      </c>
      <c r="B82" s="28">
        <v>1.1999578989867588E-2</v>
      </c>
    </row>
    <row r="83" spans="1:2" ht="15">
      <c r="A83" s="13">
        <v>8</v>
      </c>
      <c r="B83" s="28">
        <v>2.8939727260672954E-2</v>
      </c>
    </row>
    <row r="84" spans="1:2" ht="15">
      <c r="A84" s="13">
        <v>9</v>
      </c>
      <c r="B84" s="28">
        <v>3.9145617509144359E-2</v>
      </c>
    </row>
    <row r="85" spans="1:2" ht="15">
      <c r="A85" s="13">
        <v>10</v>
      </c>
      <c r="B85" s="28">
        <v>-4.6384237404912709E-2</v>
      </c>
    </row>
    <row r="86" spans="1:2" ht="15">
      <c r="A86" s="13">
        <v>11</v>
      </c>
      <c r="B86" s="28">
        <v>-1.1472041817090939E-2</v>
      </c>
    </row>
    <row r="87" spans="1:2" ht="15">
      <c r="A87" s="13">
        <v>12</v>
      </c>
      <c r="B87" s="28">
        <v>-2.3419860301364679E-3</v>
      </c>
    </row>
    <row r="88" spans="1:2" ht="15">
      <c r="A88" s="13">
        <v>13</v>
      </c>
      <c r="B88" s="28">
        <v>2.0779620288318257E-2</v>
      </c>
    </row>
    <row r="89" spans="1:2" ht="15">
      <c r="A89" s="13">
        <v>14</v>
      </c>
      <c r="B89" s="28">
        <v>-2.1429569526138947E-2</v>
      </c>
    </row>
    <row r="90" spans="1:2" ht="15">
      <c r="A90" s="13">
        <v>15</v>
      </c>
      <c r="B90" s="28">
        <v>-1.9898310140182729E-2</v>
      </c>
    </row>
    <row r="91" spans="1:2" ht="15">
      <c r="A91" s="13">
        <v>16</v>
      </c>
      <c r="B91" s="28">
        <v>2.4255918222275796E-2</v>
      </c>
    </row>
    <row r="92" spans="1:2" ht="15">
      <c r="A92" s="13">
        <v>17</v>
      </c>
      <c r="B92" s="28">
        <v>2.7697784960560967E-2</v>
      </c>
    </row>
    <row r="93" spans="1:2" ht="15">
      <c r="A93" s="13">
        <v>18</v>
      </c>
      <c r="B93" s="28">
        <v>-6.8855430274415994E-3</v>
      </c>
    </row>
    <row r="94" spans="1:2" ht="15">
      <c r="A94" s="13">
        <v>19</v>
      </c>
      <c r="B94" s="28">
        <v>2.4478878574678675E-2</v>
      </c>
    </row>
    <row r="95" spans="1:2" ht="15">
      <c r="A95" s="13">
        <v>20</v>
      </c>
      <c r="B95" s="28">
        <v>-1.006323566091305E-2</v>
      </c>
    </row>
    <row r="96" spans="1:2" ht="15">
      <c r="A96" s="13">
        <v>21</v>
      </c>
      <c r="B96" s="28">
        <v>-3.0765866879140957E-2</v>
      </c>
    </row>
    <row r="97" spans="1:2" ht="15">
      <c r="A97" s="13">
        <v>22</v>
      </c>
      <c r="B97" s="28">
        <v>-1.2852400115865747E-2</v>
      </c>
    </row>
    <row r="98" spans="1:2" ht="15">
      <c r="A98" s="13">
        <v>23</v>
      </c>
      <c r="B98" s="28">
        <v>2.1607999431376812E-2</v>
      </c>
    </row>
    <row r="99" spans="1:2" ht="15">
      <c r="A99" s="13">
        <v>24</v>
      </c>
      <c r="B99" s="28">
        <v>4.1661125240148977E-2</v>
      </c>
    </row>
    <row r="100" spans="1:2" ht="15">
      <c r="A100" s="13">
        <v>25</v>
      </c>
      <c r="B100" s="28">
        <v>-3.3688305595424026E-3</v>
      </c>
    </row>
    <row r="101" spans="1:2" ht="15">
      <c r="A101" s="13">
        <v>26</v>
      </c>
      <c r="B101" s="28">
        <v>1.7675196548021632E-2</v>
      </c>
    </row>
    <row r="102" spans="1:2" ht="15">
      <c r="A102" s="13">
        <v>27</v>
      </c>
      <c r="B102" s="28">
        <v>2.5669109279784608E-2</v>
      </c>
    </row>
    <row r="103" spans="1:2" ht="15">
      <c r="A103" s="13">
        <v>28</v>
      </c>
      <c r="B103" s="28">
        <v>-1.1204649237901321E-2</v>
      </c>
    </row>
    <row r="104" spans="1:2" ht="15">
      <c r="A104" s="13">
        <v>29</v>
      </c>
      <c r="B104" s="28">
        <v>-1.4310088201658799E-2</v>
      </c>
    </row>
    <row r="105" spans="1:2" ht="15">
      <c r="A105" s="13">
        <v>30</v>
      </c>
      <c r="B105" s="28">
        <v>-5.8596641222015022E-2</v>
      </c>
    </row>
    <row r="106" spans="1:2" ht="15">
      <c r="A106" s="13">
        <v>31</v>
      </c>
      <c r="B106" s="28">
        <v>-2.4665021894383243E-2</v>
      </c>
    </row>
    <row r="107" spans="1:2" ht="15">
      <c r="A107" s="13">
        <v>32</v>
      </c>
      <c r="B107" s="28">
        <v>1.7403419067501091E-2</v>
      </c>
    </row>
    <row r="108" spans="1:2" ht="15">
      <c r="A108" s="13">
        <v>33</v>
      </c>
      <c r="B108" s="28">
        <v>-1.9882368971797404E-2</v>
      </c>
    </row>
    <row r="109" spans="1:2" ht="15">
      <c r="A109" s="13">
        <v>34</v>
      </c>
      <c r="B109" s="28">
        <v>2.8782130018749741E-2</v>
      </c>
    </row>
    <row r="110" spans="1:2" ht="15">
      <c r="A110" s="13">
        <v>35</v>
      </c>
      <c r="B110" s="28">
        <v>-3.9908580558607354E-2</v>
      </c>
    </row>
    <row r="111" spans="1:2" ht="15">
      <c r="A111" s="13">
        <v>36</v>
      </c>
      <c r="B111" s="28">
        <v>-2.3449236980231944E-3</v>
      </c>
    </row>
    <row r="112" spans="1:2" ht="15">
      <c r="A112" s="13">
        <v>37</v>
      </c>
      <c r="B112" s="28">
        <v>-1.5651456780906301E-3</v>
      </c>
    </row>
    <row r="113" spans="1:2" ht="15">
      <c r="A113" s="13">
        <v>38</v>
      </c>
      <c r="B113" s="28">
        <v>-1.1968550890946061E-2</v>
      </c>
    </row>
    <row r="114" spans="1:2" ht="15">
      <c r="A114" s="13">
        <v>39</v>
      </c>
      <c r="B114" s="28">
        <v>2.6428107619518415E-2</v>
      </c>
    </row>
    <row r="115" spans="1:2" ht="15">
      <c r="A115" s="13">
        <v>40</v>
      </c>
      <c r="B115" s="28">
        <v>-4.689204272130155E-3</v>
      </c>
    </row>
    <row r="116" spans="1:2" ht="15">
      <c r="A116" s="13">
        <v>41</v>
      </c>
      <c r="B116" s="28">
        <v>-2.1365502445609308E-2</v>
      </c>
    </row>
    <row r="117" spans="1:2" ht="15">
      <c r="A117" s="13">
        <v>42</v>
      </c>
      <c r="B117" s="28">
        <v>-6.6721516961697489E-3</v>
      </c>
    </row>
    <row r="118" spans="1:2" ht="15">
      <c r="A118" s="13">
        <v>43</v>
      </c>
      <c r="B118" s="28">
        <v>-1.7863067907659569E-2</v>
      </c>
    </row>
    <row r="119" spans="1:2" ht="15">
      <c r="A119" s="13">
        <v>44</v>
      </c>
      <c r="B119" s="28">
        <v>-5.738102911185706E-3</v>
      </c>
    </row>
    <row r="120" spans="1:2" ht="15">
      <c r="A120" s="13">
        <v>45</v>
      </c>
      <c r="B120" s="28">
        <v>3.2287977435567883E-2</v>
      </c>
    </row>
    <row r="121" spans="1:2" ht="15">
      <c r="A121" s="13">
        <v>46</v>
      </c>
      <c r="B121" s="28">
        <v>8.768446721456713E-3</v>
      </c>
    </row>
    <row r="122" spans="1:2" ht="15">
      <c r="A122" s="13">
        <v>47</v>
      </c>
      <c r="B122" s="28">
        <v>-9.9709575099404899E-4</v>
      </c>
    </row>
    <row r="123" spans="1:2" ht="15">
      <c r="A123" s="13">
        <v>48</v>
      </c>
      <c r="B123" s="28">
        <v>1.3078091913281242E-2</v>
      </c>
    </row>
    <row r="124" spans="1:2" ht="15">
      <c r="A124" s="13">
        <v>49</v>
      </c>
      <c r="B124" s="28">
        <v>-4.4436390792019664E-2</v>
      </c>
    </row>
    <row r="125" spans="1:2" ht="15">
      <c r="A125" s="13">
        <v>50</v>
      </c>
      <c r="B125" s="28">
        <v>3.0941575121483766E-2</v>
      </c>
    </row>
    <row r="126" spans="1:2" ht="15">
      <c r="A126" s="13">
        <v>51</v>
      </c>
      <c r="B126" s="28">
        <v>-1.6473983007221249E-2</v>
      </c>
    </row>
    <row r="127" spans="1:2" ht="15">
      <c r="A127" s="13">
        <v>52</v>
      </c>
      <c r="B127" s="28">
        <v>-3.9104696381604298E-2</v>
      </c>
    </row>
    <row r="128" spans="1:2" ht="15">
      <c r="A128" s="13">
        <v>53</v>
      </c>
      <c r="B128" s="28">
        <v>-5.4248092712659854E-3</v>
      </c>
    </row>
    <row r="129" spans="1:2" ht="15">
      <c r="A129" s="13">
        <v>54</v>
      </c>
      <c r="B129" s="28">
        <v>1.0507978120382178E-2</v>
      </c>
    </row>
    <row r="130" spans="1:2" ht="15">
      <c r="A130" s="13">
        <v>55</v>
      </c>
      <c r="B130" s="28">
        <v>-1.6438514987588859E-2</v>
      </c>
    </row>
    <row r="131" spans="1:2" ht="15">
      <c r="A131" s="13">
        <v>56</v>
      </c>
      <c r="B131" s="28">
        <v>-2.4891222321661188E-2</v>
      </c>
    </row>
    <row r="132" spans="1:2" ht="15">
      <c r="A132" s="13">
        <v>57</v>
      </c>
      <c r="B132" s="28">
        <v>1.253633061220171E-3</v>
      </c>
    </row>
    <row r="133" spans="1:2" ht="15">
      <c r="A133" s="13">
        <v>58</v>
      </c>
      <c r="B133" s="28">
        <v>4.539954605003004E-3</v>
      </c>
    </row>
    <row r="134" spans="1:2" ht="15">
      <c r="A134" s="13">
        <v>59</v>
      </c>
      <c r="B134" s="28">
        <v>8.6343292221281454E-3</v>
      </c>
    </row>
    <row r="135" spans="1:2" ht="15">
      <c r="A135" s="13">
        <v>60</v>
      </c>
      <c r="B135" s="28">
        <v>-1.1441412309271981E-2</v>
      </c>
    </row>
    <row r="136" spans="1:2" ht="15">
      <c r="A136" s="13">
        <v>61</v>
      </c>
      <c r="B136" s="28">
        <v>-9.845265023817773E-3</v>
      </c>
    </row>
    <row r="137" spans="1:2" ht="15">
      <c r="A137" s="13">
        <v>62</v>
      </c>
      <c r="B137" s="28">
        <v>-2.2354632503469474E-2</v>
      </c>
    </row>
    <row r="138" spans="1:2" ht="15">
      <c r="A138" s="13">
        <v>63</v>
      </c>
      <c r="B138" s="28">
        <v>-1.3367528820002916E-2</v>
      </c>
    </row>
    <row r="139" spans="1:2" ht="15">
      <c r="A139" s="13">
        <v>64</v>
      </c>
      <c r="B139" s="28">
        <v>8.3531123234715787E-3</v>
      </c>
    </row>
    <row r="140" spans="1:2" ht="15">
      <c r="A140" s="13">
        <v>65</v>
      </c>
      <c r="B140" s="28">
        <v>2.7569650799501688E-2</v>
      </c>
    </row>
    <row r="141" spans="1:2" ht="15">
      <c r="A141" s="13">
        <v>66</v>
      </c>
      <c r="B141" s="28">
        <v>-4.1231199904577806E-3</v>
      </c>
    </row>
    <row r="142" spans="1:2" ht="15">
      <c r="A142" s="13">
        <v>67</v>
      </c>
      <c r="B142" s="28">
        <v>2.3074630123825046E-2</v>
      </c>
    </row>
    <row r="143" spans="1:2" ht="15">
      <c r="A143" s="13">
        <v>68</v>
      </c>
      <c r="B143" s="28">
        <v>3.4348751458106563E-2</v>
      </c>
    </row>
    <row r="144" spans="1:2" ht="15">
      <c r="A144" s="13">
        <v>69</v>
      </c>
      <c r="B144" s="28">
        <v>1.9720850221143338E-2</v>
      </c>
    </row>
    <row r="145" spans="1:2" ht="15">
      <c r="A145" s="13">
        <v>70</v>
      </c>
      <c r="B145" s="28">
        <v>-1.9345639768493128E-2</v>
      </c>
    </row>
    <row r="146" spans="1:2" ht="15">
      <c r="A146" s="13">
        <v>71</v>
      </c>
      <c r="B146" s="28">
        <v>3.7179453672957608E-2</v>
      </c>
    </row>
    <row r="147" spans="1:2" ht="15">
      <c r="A147" s="13">
        <v>72</v>
      </c>
      <c r="B147" s="28">
        <v>-2.3451246645185164E-2</v>
      </c>
    </row>
    <row r="148" spans="1:2" ht="15">
      <c r="A148" s="13">
        <v>73</v>
      </c>
      <c r="B148" s="28">
        <v>1.984881157820928E-2</v>
      </c>
    </row>
    <row r="149" spans="1:2" ht="15">
      <c r="A149" s="13">
        <v>74</v>
      </c>
      <c r="B149" s="28">
        <v>1.9817922864400317E-2</v>
      </c>
    </row>
    <row r="150" spans="1:2" ht="15">
      <c r="A150" s="13">
        <v>75</v>
      </c>
      <c r="B150" s="28">
        <v>2.6517360882076901E-2</v>
      </c>
    </row>
    <row r="151" spans="1:2" ht="15">
      <c r="A151" s="13">
        <v>76</v>
      </c>
      <c r="B151" s="28">
        <v>1.6314105894503883E-2</v>
      </c>
    </row>
    <row r="152" spans="1:2" ht="15">
      <c r="A152" s="13">
        <v>77</v>
      </c>
      <c r="B152" s="28">
        <v>-9.9856458493741227E-4</v>
      </c>
    </row>
    <row r="153" spans="1:2" ht="15">
      <c r="A153" s="13">
        <v>78</v>
      </c>
      <c r="B153" s="28">
        <v>-1.0596271178859751E-2</v>
      </c>
    </row>
    <row r="154" spans="1:2" ht="15">
      <c r="A154" s="13">
        <v>79</v>
      </c>
      <c r="B154" s="28">
        <v>9.2050792116206148E-3</v>
      </c>
    </row>
    <row r="155" spans="1:2" ht="15">
      <c r="A155" s="13">
        <v>80</v>
      </c>
      <c r="B155" s="28">
        <v>6.5753048400219996E-3</v>
      </c>
    </row>
    <row r="156" spans="1:2" ht="15">
      <c r="A156" s="13">
        <v>81</v>
      </c>
      <c r="B156" s="28">
        <v>3.03284665531246E-2</v>
      </c>
    </row>
    <row r="157" spans="1:2" ht="15">
      <c r="A157" s="13">
        <v>82</v>
      </c>
      <c r="B157" s="28">
        <v>-1.3328863926493795E-2</v>
      </c>
    </row>
    <row r="158" spans="1:2" ht="15">
      <c r="A158" s="13">
        <v>83</v>
      </c>
      <c r="B158" s="28">
        <v>1.7833830613904866E-2</v>
      </c>
    </row>
    <row r="159" spans="1:2" ht="15">
      <c r="A159" s="13">
        <v>84</v>
      </c>
      <c r="B159" s="28">
        <v>3.9617740437970497E-3</v>
      </c>
    </row>
    <row r="160" spans="1:2" ht="15">
      <c r="A160" s="13">
        <v>85</v>
      </c>
      <c r="B160" s="28">
        <v>1.258404529633117E-2</v>
      </c>
    </row>
    <row r="161" spans="1:2" ht="15">
      <c r="A161" s="13">
        <v>86</v>
      </c>
      <c r="B161" s="28">
        <v>7.7412133830657695E-3</v>
      </c>
    </row>
    <row r="162" spans="1:2" ht="15">
      <c r="A162" s="13">
        <v>87</v>
      </c>
      <c r="B162" s="28">
        <v>-1.5089175005618016E-2</v>
      </c>
    </row>
    <row r="163" spans="1:2" ht="15">
      <c r="A163" s="13">
        <v>88</v>
      </c>
      <c r="B163" s="28">
        <v>5.2644137465686072E-3</v>
      </c>
    </row>
    <row r="164" spans="1:2" ht="15">
      <c r="A164" s="13">
        <v>89</v>
      </c>
      <c r="B164" s="28">
        <v>2.5012022095121211E-2</v>
      </c>
    </row>
    <row r="165" spans="1:2" ht="15">
      <c r="A165" s="13">
        <v>90</v>
      </c>
      <c r="B165" s="28">
        <v>3.6633393054013141E-2</v>
      </c>
    </row>
    <row r="166" spans="1:2" ht="15">
      <c r="A166" s="13">
        <v>91</v>
      </c>
      <c r="B166" s="28">
        <v>3.45402182827238E-2</v>
      </c>
    </row>
    <row r="167" spans="1:2" ht="15">
      <c r="A167" s="13">
        <v>92</v>
      </c>
      <c r="B167" s="28">
        <v>-1.1551488453027559E-2</v>
      </c>
    </row>
    <row r="168" spans="1:2" ht="15">
      <c r="A168" s="13">
        <v>93</v>
      </c>
      <c r="B168" s="28">
        <v>-4.9664898799383081E-3</v>
      </c>
    </row>
    <row r="169" spans="1:2" ht="15">
      <c r="A169" s="13">
        <v>94</v>
      </c>
      <c r="B169" s="28">
        <v>-2.5009420253103598E-2</v>
      </c>
    </row>
    <row r="170" spans="1:2" ht="15">
      <c r="A170" s="13">
        <v>95</v>
      </c>
      <c r="B170" s="28">
        <v>4.3615192796802149E-2</v>
      </c>
    </row>
    <row r="171" spans="1:2" ht="15">
      <c r="A171" s="13">
        <v>96</v>
      </c>
      <c r="B171" s="28">
        <v>2.9116678549849895E-2</v>
      </c>
    </row>
    <row r="172" spans="1:2" ht="15">
      <c r="A172" s="13">
        <v>97</v>
      </c>
      <c r="B172" s="28">
        <v>-1.2545305000676308E-3</v>
      </c>
    </row>
    <row r="173" spans="1:2" ht="15">
      <c r="A173" s="13">
        <v>98</v>
      </c>
      <c r="B173" s="28">
        <v>-1.9926627576060127E-3</v>
      </c>
    </row>
    <row r="174" spans="1:2" ht="15">
      <c r="A174" s="13">
        <v>99</v>
      </c>
      <c r="B174" s="28">
        <v>1.6898335414007306E-3</v>
      </c>
    </row>
    <row r="175" spans="1:2" ht="15">
      <c r="A175" s="13">
        <v>100</v>
      </c>
      <c r="B175" s="28">
        <v>7.5557730977161555E-3</v>
      </c>
    </row>
    <row r="176" spans="1:2" ht="15">
      <c r="A176" s="13">
        <v>101</v>
      </c>
      <c r="B176" s="28">
        <v>-4.6010958360275253E-3</v>
      </c>
    </row>
    <row r="177" spans="1:2" ht="15">
      <c r="A177" s="13">
        <v>102</v>
      </c>
      <c r="B177" s="28">
        <v>1.7579247130721343E-2</v>
      </c>
    </row>
    <row r="178" spans="1:2" ht="15">
      <c r="A178" s="13">
        <v>103</v>
      </c>
      <c r="B178" s="28">
        <v>-4.3732732931151985E-2</v>
      </c>
    </row>
    <row r="179" spans="1:2" ht="15">
      <c r="A179" s="13">
        <v>104</v>
      </c>
      <c r="B179" s="28">
        <v>-4.0042330849450081E-2</v>
      </c>
    </row>
    <row r="180" spans="1:2" ht="15">
      <c r="A180" s="13">
        <v>105</v>
      </c>
      <c r="B180" s="28">
        <v>4.8213443076529075E-3</v>
      </c>
    </row>
    <row r="181" spans="1:2" ht="15">
      <c r="A181" s="13">
        <v>106</v>
      </c>
      <c r="B181" s="28">
        <v>-3.0336772144655697E-3</v>
      </c>
    </row>
    <row r="182" spans="1:2" ht="15">
      <c r="A182" s="13">
        <v>107</v>
      </c>
      <c r="B182" s="28">
        <v>4.4728741729864852E-2</v>
      </c>
    </row>
    <row r="183" spans="1:2" ht="15">
      <c r="A183" s="13">
        <v>108</v>
      </c>
      <c r="B183" s="28">
        <v>1.6941968422324863E-3</v>
      </c>
    </row>
    <row r="184" spans="1:2" ht="15">
      <c r="A184" s="13">
        <v>109</v>
      </c>
      <c r="B184" s="28">
        <v>-1.3184399788064183E-2</v>
      </c>
    </row>
    <row r="185" spans="1:2" ht="15">
      <c r="A185" s="13">
        <v>110</v>
      </c>
      <c r="B185" s="28">
        <v>8.1639351517660552E-3</v>
      </c>
    </row>
    <row r="186" spans="1:2" ht="15">
      <c r="A186" s="13">
        <v>111</v>
      </c>
      <c r="B186" s="28">
        <v>3.0157390599721112E-2</v>
      </c>
    </row>
    <row r="187" spans="1:2" ht="15">
      <c r="A187" s="13">
        <v>112</v>
      </c>
      <c r="B187" s="28">
        <v>-1.193003720093111E-2</v>
      </c>
    </row>
    <row r="188" spans="1:2" ht="15">
      <c r="A188" s="13">
        <v>113</v>
      </c>
      <c r="B188" s="28">
        <v>1.6071964298840613E-2</v>
      </c>
    </row>
    <row r="189" spans="1:2" ht="15">
      <c r="A189" s="13">
        <v>114</v>
      </c>
      <c r="B189" s="28">
        <v>-1.4221742160065332E-2</v>
      </c>
    </row>
    <row r="190" spans="1:2" ht="15">
      <c r="A190" s="13">
        <v>115</v>
      </c>
      <c r="B190" s="28">
        <v>3.6898301575798542E-2</v>
      </c>
    </row>
    <row r="191" spans="1:2" ht="15">
      <c r="A191" s="13">
        <v>116</v>
      </c>
      <c r="B191" s="28">
        <v>7.1499861203628825E-3</v>
      </c>
    </row>
    <row r="192" spans="1:2" ht="15">
      <c r="A192" s="13">
        <v>117</v>
      </c>
      <c r="B192" s="28">
        <v>-1.2308197139849653E-2</v>
      </c>
    </row>
    <row r="193" spans="1:2" ht="15">
      <c r="A193" s="13">
        <v>118</v>
      </c>
      <c r="B193" s="28">
        <v>4.7014938561711461E-2</v>
      </c>
    </row>
    <row r="194" spans="1:2" ht="15">
      <c r="A194" s="13">
        <v>119</v>
      </c>
      <c r="B194" s="28">
        <v>-3.1333419176226016E-3</v>
      </c>
    </row>
    <row r="195" spans="1:2" ht="15">
      <c r="A195" s="13">
        <v>120</v>
      </c>
      <c r="B195" s="28">
        <v>-1.1538830560515634E-2</v>
      </c>
    </row>
    <row r="196" spans="1:2" ht="15">
      <c r="A196" s="13">
        <v>121</v>
      </c>
      <c r="B196" s="28">
        <v>2.9985645849374123E-3</v>
      </c>
    </row>
    <row r="197" spans="1:2" ht="15">
      <c r="A197" s="13">
        <v>122</v>
      </c>
      <c r="B197" s="28">
        <v>-5.1882838053861633E-3</v>
      </c>
    </row>
    <row r="198" spans="1:2" ht="15">
      <c r="A198" s="13">
        <v>123</v>
      </c>
      <c r="B198" s="28">
        <v>3.0976913538121154E-2</v>
      </c>
    </row>
    <row r="199" spans="1:2" ht="15">
      <c r="A199" s="13">
        <v>124</v>
      </c>
      <c r="B199" s="28">
        <v>-2.022339765264769E-2</v>
      </c>
    </row>
    <row r="200" spans="1:2" ht="15">
      <c r="A200" s="13">
        <v>125</v>
      </c>
      <c r="B200" s="28">
        <v>-2.2645029614272061E-2</v>
      </c>
    </row>
    <row r="201" spans="1:2" ht="15">
      <c r="A201" s="13">
        <v>126</v>
      </c>
      <c r="B201" s="28">
        <v>-7.6912632468738593E-3</v>
      </c>
    </row>
    <row r="202" spans="1:2" ht="15">
      <c r="A202" s="13">
        <v>127</v>
      </c>
      <c r="B202" s="28">
        <v>-1.7559644877328537E-3</v>
      </c>
    </row>
    <row r="203" spans="1:2" ht="15">
      <c r="A203" s="13">
        <v>128</v>
      </c>
      <c r="B203" s="28">
        <v>1.0897132713376778E-2</v>
      </c>
    </row>
    <row r="204" spans="1:2" ht="15">
      <c r="A204" s="13">
        <v>129</v>
      </c>
      <c r="B204" s="28">
        <v>1.8997579107031926E-2</v>
      </c>
    </row>
    <row r="205" spans="1:2" ht="15">
      <c r="A205" s="13">
        <v>130</v>
      </c>
      <c r="B205" s="28">
        <v>-3.3180457078036851E-2</v>
      </c>
    </row>
    <row r="206" spans="1:2" ht="15">
      <c r="A206" s="13">
        <v>131</v>
      </c>
      <c r="B206" s="28">
        <v>-1.2016287994105368E-2</v>
      </c>
    </row>
    <row r="207" spans="1:2" ht="15">
      <c r="A207" s="13">
        <v>132</v>
      </c>
      <c r="B207" s="28">
        <v>1.3526194268502878E-2</v>
      </c>
    </row>
    <row r="208" spans="1:2" ht="15">
      <c r="A208" s="13">
        <v>133</v>
      </c>
      <c r="B208" s="28">
        <v>-8.3640963768993968E-4</v>
      </c>
    </row>
    <row r="209" spans="1:2" ht="15">
      <c r="A209" s="13">
        <v>134</v>
      </c>
      <c r="B209" s="28">
        <v>-5.4048072090372443E-3</v>
      </c>
    </row>
    <row r="210" spans="1:2" ht="15">
      <c r="A210" s="13">
        <v>135</v>
      </c>
      <c r="B210" s="28">
        <v>2.6342958451801679E-2</v>
      </c>
    </row>
    <row r="211" spans="1:2" ht="15">
      <c r="A211" s="13">
        <v>136</v>
      </c>
      <c r="B211" s="28">
        <v>1.2261873851253768E-2</v>
      </c>
    </row>
    <row r="212" spans="1:2" ht="15">
      <c r="A212" s="13">
        <v>137</v>
      </c>
      <c r="B212" s="28">
        <v>1.7987194157991326E-2</v>
      </c>
    </row>
    <row r="213" spans="1:2" ht="15">
      <c r="A213" s="13">
        <v>138</v>
      </c>
      <c r="B213" s="28">
        <v>2.5605128601251637E-2</v>
      </c>
    </row>
    <row r="214" spans="1:2" ht="15">
      <c r="A214" s="13">
        <v>139</v>
      </c>
      <c r="B214" s="28">
        <v>-1.7732644093688577E-2</v>
      </c>
    </row>
    <row r="215" spans="1:2" ht="15">
      <c r="A215" s="13">
        <v>140</v>
      </c>
      <c r="B215" s="28">
        <v>5.6319470584276134E-4</v>
      </c>
    </row>
    <row r="216" spans="1:2" ht="15">
      <c r="A216" s="13">
        <v>141</v>
      </c>
      <c r="B216" s="28">
        <v>7.9567863647534987E-3</v>
      </c>
    </row>
    <row r="217" spans="1:2" ht="15">
      <c r="A217" s="13">
        <v>142</v>
      </c>
      <c r="B217" s="28">
        <v>2.3801486920798198E-2</v>
      </c>
    </row>
    <row r="218" spans="1:2" ht="15">
      <c r="A218" s="13">
        <v>143</v>
      </c>
      <c r="B218" s="28">
        <v>-1.3296052768258959E-2</v>
      </c>
    </row>
    <row r="219" spans="1:2" ht="15">
      <c r="A219" s="13">
        <v>144</v>
      </c>
      <c r="B219" s="28">
        <v>-3.943440640089102E-2</v>
      </c>
    </row>
    <row r="220" spans="1:2" ht="15">
      <c r="A220" s="13">
        <v>145</v>
      </c>
      <c r="B220" s="28">
        <v>8.7179231539048496E-3</v>
      </c>
    </row>
    <row r="221" spans="1:2" ht="15">
      <c r="A221" s="13">
        <v>146</v>
      </c>
      <c r="B221" s="28">
        <v>1.9191983599535889E-2</v>
      </c>
    </row>
    <row r="222" spans="1:2" ht="15">
      <c r="A222" s="13">
        <v>147</v>
      </c>
      <c r="B222" s="28">
        <v>-2.1885296857566572E-2</v>
      </c>
    </row>
    <row r="223" spans="1:2" ht="15">
      <c r="A223" s="13">
        <v>148</v>
      </c>
      <c r="B223" s="28">
        <v>-2.5481088752916548E-2</v>
      </c>
    </row>
    <row r="224" spans="1:2" ht="15">
      <c r="A224" s="13">
        <v>149</v>
      </c>
      <c r="B224" s="28">
        <v>3.2969754809309961E-3</v>
      </c>
    </row>
    <row r="225" spans="1:2" ht="15">
      <c r="A225" s="13">
        <v>150</v>
      </c>
      <c r="B225" s="28">
        <v>-2.6089618015452287E-2</v>
      </c>
    </row>
    <row r="226" spans="1:2" ht="15">
      <c r="A226" s="13">
        <v>151</v>
      </c>
      <c r="B226" s="28">
        <v>-2.3138557819242123E-2</v>
      </c>
    </row>
    <row r="227" spans="1:2" ht="15">
      <c r="A227" s="13">
        <v>152</v>
      </c>
      <c r="B227" s="28">
        <v>1.1998478182940744E-3</v>
      </c>
    </row>
    <row r="228" spans="1:2" ht="15">
      <c r="A228" s="13">
        <v>153</v>
      </c>
      <c r="B228" s="28">
        <v>-2.3537799026817083E-3</v>
      </c>
    </row>
    <row r="229" spans="1:2" ht="15">
      <c r="A229" s="13">
        <v>154</v>
      </c>
      <c r="B229" s="28">
        <v>-2.7988733902224339E-2</v>
      </c>
    </row>
    <row r="230" spans="1:2" ht="15">
      <c r="A230" s="13">
        <v>155</v>
      </c>
      <c r="B230" s="28">
        <v>-4.6854609874775632E-2</v>
      </c>
    </row>
    <row r="231" spans="1:2" ht="15">
      <c r="A231" s="13">
        <v>156</v>
      </c>
      <c r="B231" s="28">
        <v>2.8005548872693908E-2</v>
      </c>
    </row>
    <row r="232" spans="1:2" ht="15">
      <c r="A232" s="13">
        <v>157</v>
      </c>
      <c r="B232" s="28">
        <v>6.9786941619677237E-3</v>
      </c>
    </row>
    <row r="233" spans="1:2" ht="15">
      <c r="A233" s="13">
        <v>158</v>
      </c>
      <c r="B233" s="28">
        <v>7.056650363461813E-3</v>
      </c>
    </row>
    <row r="234" spans="1:2" ht="15">
      <c r="A234" s="13">
        <v>159</v>
      </c>
      <c r="B234" s="28">
        <v>-2.0559738206648035E-3</v>
      </c>
    </row>
    <row r="235" spans="1:2" ht="15">
      <c r="A235" s="13">
        <v>160</v>
      </c>
      <c r="B235" s="28">
        <v>9.0728625562187526E-3</v>
      </c>
    </row>
    <row r="236" spans="1:2" ht="15">
      <c r="A236" s="13">
        <v>161</v>
      </c>
      <c r="B236" s="28">
        <v>-1.7298042050446383E-2</v>
      </c>
    </row>
    <row r="237" spans="1:2" ht="15">
      <c r="A237" s="13">
        <v>162</v>
      </c>
      <c r="B237" s="28">
        <v>-2.668095328065101E-2</v>
      </c>
    </row>
    <row r="238" spans="1:2" ht="15">
      <c r="A238" s="13">
        <v>163</v>
      </c>
      <c r="B238" s="28">
        <v>9.6058116721687847E-3</v>
      </c>
    </row>
    <row r="239" spans="1:2" ht="15">
      <c r="A239" s="13">
        <v>164</v>
      </c>
      <c r="B239" s="28">
        <v>1.3133281188653201E-2</v>
      </c>
    </row>
    <row r="240" spans="1:2" ht="15">
      <c r="A240" s="13">
        <v>165</v>
      </c>
      <c r="B240" s="28">
        <v>3.9080470403656364E-2</v>
      </c>
    </row>
    <row r="241" spans="1:2" ht="15">
      <c r="A241" s="13">
        <v>166</v>
      </c>
      <c r="B241" s="28">
        <v>-6.4142417361144908E-3</v>
      </c>
    </row>
    <row r="242" spans="1:2" ht="15">
      <c r="A242" s="13">
        <v>167</v>
      </c>
      <c r="B242" s="28">
        <v>-6.9711674061400117E-3</v>
      </c>
    </row>
    <row r="243" spans="1:2" ht="15">
      <c r="A243" s="13">
        <v>168</v>
      </c>
      <c r="B243" s="28">
        <v>-3.769022189080715E-4</v>
      </c>
    </row>
    <row r="244" spans="1:2" ht="15">
      <c r="A244" s="13">
        <v>169</v>
      </c>
      <c r="B244" s="28">
        <v>-3.0533099900116212E-2</v>
      </c>
    </row>
    <row r="245" spans="1:2" ht="15">
      <c r="A245" s="13">
        <v>170</v>
      </c>
      <c r="B245" s="28">
        <v>-3.3987797334906644E-2</v>
      </c>
    </row>
    <row r="246" spans="1:2" ht="15">
      <c r="A246" s="13">
        <v>171</v>
      </c>
      <c r="B246" s="28">
        <v>-1.948100109293591E-4</v>
      </c>
    </row>
    <row r="247" spans="1:2" ht="15">
      <c r="A247" s="13">
        <v>172</v>
      </c>
      <c r="B247" s="28">
        <v>1.9148393792216667E-2</v>
      </c>
    </row>
    <row r="248" spans="1:2" ht="15">
      <c r="A248" s="13">
        <v>173</v>
      </c>
      <c r="B248" s="28">
        <v>6.7545889831089881E-3</v>
      </c>
    </row>
    <row r="249" spans="1:2" ht="15">
      <c r="A249" s="13">
        <v>174</v>
      </c>
      <c r="B249" s="28">
        <v>4.7450305626261981E-4</v>
      </c>
    </row>
    <row r="250" spans="1:2" ht="15">
      <c r="A250" s="13">
        <v>175</v>
      </c>
      <c r="B250" s="28">
        <v>-1.0662887118291109E-2</v>
      </c>
    </row>
    <row r="251" spans="1:2" ht="15">
      <c r="A251" s="13">
        <v>176</v>
      </c>
      <c r="B251" s="28">
        <v>3.3942662073764951E-2</v>
      </c>
    </row>
    <row r="252" spans="1:2" ht="15">
      <c r="A252" s="13">
        <v>177</v>
      </c>
      <c r="B252" s="28">
        <v>1.0481625511398307E-2</v>
      </c>
    </row>
    <row r="253" spans="1:2" ht="15">
      <c r="A253" s="13">
        <v>178</v>
      </c>
      <c r="B253" s="28">
        <v>2.7631601031112951E-2</v>
      </c>
    </row>
    <row r="254" spans="1:2" ht="15">
      <c r="A254" s="13">
        <v>179</v>
      </c>
      <c r="B254" s="28">
        <v>4.2072398744290695E-2</v>
      </c>
    </row>
    <row r="255" spans="1:2" ht="15">
      <c r="A255" s="13">
        <v>180</v>
      </c>
      <c r="B255" s="28">
        <v>3.2619847504771315E-2</v>
      </c>
    </row>
    <row r="256" spans="1:2" ht="15">
      <c r="A256" s="13">
        <v>181</v>
      </c>
      <c r="B256" s="28">
        <v>1.8460677099734313E-2</v>
      </c>
    </row>
    <row r="257" spans="1:2" ht="15">
      <c r="A257" s="13">
        <v>182</v>
      </c>
      <c r="B257" s="28">
        <v>6.9802277974085883E-3</v>
      </c>
    </row>
    <row r="258" spans="1:2" ht="15">
      <c r="A258" s="13">
        <v>183</v>
      </c>
      <c r="B258" s="28">
        <v>-7.8513229457021216E-3</v>
      </c>
    </row>
    <row r="259" spans="1:2" ht="15">
      <c r="A259" s="13">
        <v>184</v>
      </c>
      <c r="B259" s="28">
        <v>-3.1333419176226016E-3</v>
      </c>
    </row>
    <row r="260" spans="1:2" ht="15">
      <c r="A260" s="13">
        <v>185</v>
      </c>
      <c r="B260" s="28">
        <v>4.923752274204162E-3</v>
      </c>
    </row>
    <row r="261" spans="1:2" ht="15">
      <c r="A261" s="13">
        <v>186</v>
      </c>
      <c r="B261" s="28">
        <v>-1.2975911770103266E-2</v>
      </c>
    </row>
    <row r="262" spans="1:2" ht="15">
      <c r="A262" s="13">
        <v>187</v>
      </c>
      <c r="B262" s="28">
        <v>1.9716141312324909E-2</v>
      </c>
    </row>
    <row r="263" spans="1:2" ht="15">
      <c r="A263" s="13">
        <v>188</v>
      </c>
      <c r="B263" s="28">
        <v>1.8054501313396032E-2</v>
      </c>
    </row>
    <row r="264" spans="1:2" ht="15">
      <c r="A264" s="13">
        <v>189</v>
      </c>
      <c r="B264" s="28">
        <v>6.2121140470262617E-3</v>
      </c>
    </row>
    <row r="265" spans="1:2" ht="15">
      <c r="A265" s="13">
        <v>190</v>
      </c>
      <c r="B265" s="28">
        <v>-1.5205990505113731E-2</v>
      </c>
    </row>
    <row r="266" spans="1:2" ht="15">
      <c r="A266" s="13">
        <v>191</v>
      </c>
      <c r="B266" s="28">
        <v>5.6678462695126655E-3</v>
      </c>
    </row>
    <row r="267" spans="1:2" ht="15">
      <c r="A267" s="13">
        <v>192</v>
      </c>
      <c r="B267" s="28">
        <v>-1.5449903341708704E-2</v>
      </c>
    </row>
    <row r="268" spans="1:2" ht="15">
      <c r="A268" s="13">
        <v>193</v>
      </c>
      <c r="B268" s="28">
        <v>7.0490037867566571E-3</v>
      </c>
    </row>
    <row r="269" spans="1:2" ht="15">
      <c r="A269" s="13">
        <v>194</v>
      </c>
      <c r="B269" s="28">
        <v>-7.0235702171194134E-3</v>
      </c>
    </row>
    <row r="270" spans="1:2" ht="15">
      <c r="A270" s="13">
        <v>195</v>
      </c>
      <c r="B270" s="28">
        <v>9.9226909949502451E-3</v>
      </c>
    </row>
    <row r="271" spans="1:2" ht="15">
      <c r="A271" s="13">
        <v>196</v>
      </c>
      <c r="B271" s="28">
        <v>-1.3761392321815946E-2</v>
      </c>
    </row>
    <row r="272" spans="1:2" ht="15">
      <c r="A272" s="13">
        <v>197</v>
      </c>
      <c r="B272" s="28">
        <v>-5.2711217196920188E-3</v>
      </c>
    </row>
    <row r="273" spans="1:2" ht="15">
      <c r="A273" s="13">
        <v>198</v>
      </c>
      <c r="B273" s="28">
        <v>1.0038080861500931E-2</v>
      </c>
    </row>
    <row r="274" spans="1:2" ht="15">
      <c r="A274" s="13">
        <v>199</v>
      </c>
      <c r="B274" s="28">
        <v>1.3430612059688429E-2</v>
      </c>
    </row>
    <row r="275" spans="1:2" ht="15">
      <c r="A275" s="13">
        <v>200</v>
      </c>
      <c r="B275" s="28">
        <v>-1.763600346041494E-2</v>
      </c>
    </row>
    <row r="276" spans="1:2" ht="15">
      <c r="A276" s="13">
        <v>201</v>
      </c>
      <c r="B276" s="28">
        <v>1.8288477920374135E-2</v>
      </c>
    </row>
    <row r="277" spans="1:2" ht="15">
      <c r="A277" s="13">
        <v>202</v>
      </c>
      <c r="B277" s="28">
        <v>-1.4727819436520804E-3</v>
      </c>
    </row>
    <row r="278" spans="1:2" ht="15">
      <c r="A278" s="13">
        <v>203</v>
      </c>
      <c r="B278" s="28">
        <v>-1.1508136251199175E-2</v>
      </c>
    </row>
    <row r="279" spans="1:2" ht="15">
      <c r="A279" s="13">
        <v>204</v>
      </c>
      <c r="B279" s="28">
        <v>1.703517375770025E-2</v>
      </c>
    </row>
    <row r="280" spans="1:2" ht="15">
      <c r="A280" s="13">
        <v>205</v>
      </c>
      <c r="B280" s="28">
        <v>5.9409845814807341E-3</v>
      </c>
    </row>
    <row r="281" spans="1:2" ht="15">
      <c r="A281" s="13">
        <v>206</v>
      </c>
      <c r="B281" s="28">
        <v>-5.3340871747641358E-3</v>
      </c>
    </row>
    <row r="282" spans="1:2" ht="15">
      <c r="A282" s="13">
        <v>207</v>
      </c>
      <c r="B282" s="28">
        <v>5.2063084038090892E-3</v>
      </c>
    </row>
    <row r="283" spans="1:2" ht="15">
      <c r="A283" s="13">
        <v>208</v>
      </c>
      <c r="B283" s="28">
        <v>1.4863761978427648E-2</v>
      </c>
    </row>
    <row r="284" spans="1:2" ht="15">
      <c r="A284" s="13">
        <v>209</v>
      </c>
      <c r="B284" s="28">
        <v>-2.9257633625296875E-2</v>
      </c>
    </row>
    <row r="285" spans="1:2" ht="15">
      <c r="A285" s="13">
        <v>210</v>
      </c>
      <c r="B285" s="28">
        <v>-1.36790080179926E-2</v>
      </c>
    </row>
    <row r="286" spans="1:2" ht="15">
      <c r="A286" s="13">
        <v>211</v>
      </c>
      <c r="B286" s="28">
        <v>6.0372796067676973E-3</v>
      </c>
    </row>
    <row r="287" spans="1:2" ht="15">
      <c r="A287" s="13">
        <v>212</v>
      </c>
      <c r="B287" s="28">
        <v>-2.8584323647228302E-3</v>
      </c>
    </row>
    <row r="288" spans="1:2" ht="15">
      <c r="A288" s="13">
        <v>213</v>
      </c>
      <c r="B288" s="28">
        <v>1.4701153420697666E-2</v>
      </c>
    </row>
    <row r="289" spans="1:2" ht="15">
      <c r="A289" s="13">
        <v>214</v>
      </c>
      <c r="B289" s="28">
        <v>1.4964506706543035E-2</v>
      </c>
    </row>
    <row r="290" spans="1:2" ht="15">
      <c r="A290" s="13">
        <v>215</v>
      </c>
      <c r="B290" s="28">
        <v>2.6371255105710589E-2</v>
      </c>
    </row>
    <row r="291" spans="1:2" ht="15">
      <c r="A291" s="13">
        <v>216</v>
      </c>
      <c r="B291" s="28">
        <v>1.1869241577893264E-2</v>
      </c>
    </row>
    <row r="292" spans="1:2" ht="15">
      <c r="A292" s="13">
        <v>217</v>
      </c>
      <c r="B292" s="28">
        <v>-3.0355803002952597E-2</v>
      </c>
    </row>
    <row r="293" spans="1:2" ht="15">
      <c r="A293" s="13">
        <v>218</v>
      </c>
      <c r="B293" s="28">
        <v>3.6375223887967878E-2</v>
      </c>
    </row>
    <row r="294" spans="1:2" ht="15">
      <c r="A294" s="13">
        <v>219</v>
      </c>
      <c r="B294" s="28">
        <v>-3.5167075768404174E-3</v>
      </c>
    </row>
    <row r="295" spans="1:2" ht="15">
      <c r="A295" s="13">
        <v>220</v>
      </c>
      <c r="B295" s="28">
        <v>-1.8155581867380532E-2</v>
      </c>
    </row>
    <row r="296" spans="1:2" ht="15">
      <c r="A296" s="13">
        <v>221</v>
      </c>
      <c r="B296" s="28">
        <v>-1.0493150395835982E-2</v>
      </c>
    </row>
    <row r="297" spans="1:2" ht="15">
      <c r="A297" s="13">
        <v>222</v>
      </c>
      <c r="B297" s="28">
        <v>8.4581771514203874E-3</v>
      </c>
    </row>
    <row r="298" spans="1:2" ht="15">
      <c r="A298" s="13">
        <v>223</v>
      </c>
      <c r="B298" s="28">
        <v>-7.1221980963164242E-3</v>
      </c>
    </row>
    <row r="299" spans="1:2" ht="15">
      <c r="A299" s="13">
        <v>224</v>
      </c>
      <c r="B299" s="28">
        <v>-8.5920904641388907E-3</v>
      </c>
    </row>
    <row r="300" spans="1:2" ht="15">
      <c r="A300" s="13">
        <v>225</v>
      </c>
      <c r="B300" s="28">
        <v>-4.5843986501713516E-3</v>
      </c>
    </row>
    <row r="301" spans="1:2" ht="15">
      <c r="A301" s="13">
        <v>226</v>
      </c>
      <c r="B301" s="28">
        <v>2.1001566235790961E-3</v>
      </c>
    </row>
    <row r="302" spans="1:2" ht="15">
      <c r="A302" s="13">
        <v>227</v>
      </c>
      <c r="B302" s="28">
        <v>-2.4512629554228624E-3</v>
      </c>
    </row>
    <row r="303" spans="1:2" ht="15">
      <c r="A303" s="13">
        <v>228</v>
      </c>
      <c r="B303" s="28">
        <v>3.1481846806651448E-2</v>
      </c>
    </row>
    <row r="304" spans="1:2" ht="15">
      <c r="A304" s="13">
        <v>229</v>
      </c>
      <c r="B304" s="28">
        <v>6.3646999731427059E-3</v>
      </c>
    </row>
    <row r="305" spans="1:2" ht="15">
      <c r="A305" s="13">
        <v>230</v>
      </c>
      <c r="B305" s="28">
        <v>1.1630426459101728E-2</v>
      </c>
    </row>
    <row r="306" spans="1:2" ht="15">
      <c r="A306" s="13">
        <v>231</v>
      </c>
      <c r="B306" s="28">
        <v>-5.9707834882137831E-3</v>
      </c>
    </row>
    <row r="307" spans="1:2" ht="15">
      <c r="A307" s="13">
        <v>232</v>
      </c>
      <c r="B307" s="28">
        <v>-5.7721668983722338E-3</v>
      </c>
    </row>
    <row r="308" spans="1:2" ht="15">
      <c r="A308" s="13">
        <v>233</v>
      </c>
      <c r="B308" s="28">
        <v>1.0534352329865215E-2</v>
      </c>
    </row>
    <row r="309" spans="1:2" ht="15">
      <c r="A309" s="13">
        <v>234</v>
      </c>
      <c r="B309" s="28">
        <v>1.0731024874781725E-2</v>
      </c>
    </row>
    <row r="310" spans="1:2" ht="15">
      <c r="A310" s="13">
        <v>235</v>
      </c>
      <c r="B310" s="28">
        <v>-2.2157851956057129E-2</v>
      </c>
    </row>
    <row r="311" spans="1:2" ht="15">
      <c r="A311" s="13">
        <v>236</v>
      </c>
      <c r="B311" s="28">
        <v>1.8838858639152023E-2</v>
      </c>
    </row>
    <row r="312" spans="1:2" ht="15">
      <c r="A312" s="13">
        <v>237</v>
      </c>
      <c r="B312" s="28">
        <v>4.4202230381197296E-3</v>
      </c>
    </row>
    <row r="313" spans="1:2" ht="15">
      <c r="A313" s="13">
        <v>238</v>
      </c>
      <c r="B313" s="28">
        <v>2.0129013253404993E-2</v>
      </c>
    </row>
    <row r="314" spans="1:2" ht="15">
      <c r="A314" s="13">
        <v>239</v>
      </c>
      <c r="B314" s="28">
        <v>3.8129772088723278E-5</v>
      </c>
    </row>
    <row r="315" spans="1:2" ht="15">
      <c r="A315" s="13">
        <v>240</v>
      </c>
      <c r="B315" s="28">
        <v>1.6491748399654171E-2</v>
      </c>
    </row>
    <row r="316" spans="1:2" ht="15">
      <c r="A316" s="13">
        <v>241</v>
      </c>
      <c r="B316" s="28">
        <v>3.257344963256037E-2</v>
      </c>
    </row>
    <row r="317" spans="1:2" ht="15">
      <c r="A317" s="13">
        <v>242</v>
      </c>
      <c r="B317" s="28">
        <v>-4.7652596296975389E-3</v>
      </c>
    </row>
    <row r="318" spans="1:2" ht="15">
      <c r="A318" s="13">
        <v>243</v>
      </c>
      <c r="B318" s="28">
        <v>-1.0197828371223294E-2</v>
      </c>
    </row>
    <row r="319" spans="1:2" ht="15">
      <c r="A319" s="13">
        <v>244</v>
      </c>
      <c r="B319" s="28">
        <v>1.8582979126018473E-2</v>
      </c>
    </row>
    <row r="320" spans="1:2" ht="15">
      <c r="A320" s="13">
        <v>245</v>
      </c>
      <c r="B320" s="28">
        <v>6.5403984333679546E-3</v>
      </c>
    </row>
    <row r="321" spans="1:2" ht="15">
      <c r="A321" s="13">
        <v>246</v>
      </c>
      <c r="B321" s="28">
        <v>-2.91803902402753E-2</v>
      </c>
    </row>
    <row r="322" spans="1:2" ht="15">
      <c r="A322" s="13">
        <v>247</v>
      </c>
      <c r="B322" s="28">
        <v>4.0907514428545257E-4</v>
      </c>
    </row>
    <row r="323" spans="1:2" ht="15">
      <c r="A323" s="13">
        <v>248</v>
      </c>
      <c r="B323" s="28">
        <v>1.7024805518100039E-2</v>
      </c>
    </row>
    <row r="324" spans="1:2" ht="15">
      <c r="A324" s="13">
        <v>249</v>
      </c>
      <c r="B324" s="28">
        <v>2.721116891532438E-2</v>
      </c>
    </row>
    <row r="325" spans="1:2" ht="15">
      <c r="A325" s="13">
        <v>250</v>
      </c>
      <c r="B325" s="28">
        <v>-1.0253212051087757E-2</v>
      </c>
    </row>
    <row r="326" spans="1:2" ht="15">
      <c r="A326" s="13">
        <v>251</v>
      </c>
      <c r="B326" s="28">
        <v>3.431488187541254E-2</v>
      </c>
    </row>
    <row r="327" spans="1:2" ht="15">
      <c r="A327" s="13">
        <v>252</v>
      </c>
      <c r="B327" s="28">
        <v>-1.4463861336698755E-3</v>
      </c>
    </row>
    <row r="328" spans="1:2" ht="15">
      <c r="A328" s="13">
        <v>253</v>
      </c>
      <c r="B328" s="28">
        <v>-5.7845655848941533E-3</v>
      </c>
    </row>
    <row r="329" spans="1:2" ht="15">
      <c r="A329" s="13">
        <v>254</v>
      </c>
      <c r="B329" s="28">
        <v>-4.1760348151205107E-2</v>
      </c>
    </row>
    <row r="330" spans="1:2" ht="15">
      <c r="A330" s="13">
        <v>255</v>
      </c>
      <c r="B330" s="28">
        <v>1.9839307358575753E-2</v>
      </c>
    </row>
    <row r="331" spans="1:2" ht="15">
      <c r="A331" s="13">
        <v>256</v>
      </c>
      <c r="B331" s="28">
        <v>1.0051084361999529E-2</v>
      </c>
    </row>
    <row r="332" spans="1:2" ht="15">
      <c r="A332" s="13">
        <v>257</v>
      </c>
      <c r="B332" s="28">
        <v>8.9648168593848832E-3</v>
      </c>
    </row>
    <row r="333" spans="1:2" ht="15">
      <c r="A333" s="13">
        <v>258</v>
      </c>
      <c r="B333" s="28">
        <v>-1.2765328503723139E-2</v>
      </c>
    </row>
    <row r="334" spans="1:2" ht="15">
      <c r="A334" s="13">
        <v>259</v>
      </c>
      <c r="B334" s="28">
        <v>-5.7566793404694181E-3</v>
      </c>
    </row>
    <row r="335" spans="1:2" ht="15">
      <c r="A335" s="13">
        <v>260</v>
      </c>
      <c r="B335" s="28">
        <v>1.9574960449768697E-2</v>
      </c>
    </row>
    <row r="336" spans="1:2" ht="15">
      <c r="A336" s="13">
        <v>261</v>
      </c>
      <c r="B336" s="28">
        <v>-1.4983332559699192E-2</v>
      </c>
    </row>
    <row r="337" spans="1:2" ht="15">
      <c r="A337" s="13">
        <v>262</v>
      </c>
      <c r="B337" s="28">
        <v>-1.6229162949661258E-2</v>
      </c>
    </row>
    <row r="338" spans="1:2" ht="15">
      <c r="A338" s="13">
        <v>263</v>
      </c>
      <c r="B338" s="28">
        <v>-1.5793005670479032E-2</v>
      </c>
    </row>
    <row r="339" spans="1:2" ht="15">
      <c r="A339" s="13">
        <v>264</v>
      </c>
      <c r="B339" s="28">
        <v>-1.0049476142943603E-2</v>
      </c>
    </row>
    <row r="340" spans="1:2" ht="15">
      <c r="A340" s="13">
        <v>265</v>
      </c>
      <c r="B340" s="28">
        <v>-1.0757799711631377E-2</v>
      </c>
    </row>
    <row r="341" spans="1:2" ht="15">
      <c r="A341" s="13">
        <v>266</v>
      </c>
      <c r="B341" s="28">
        <v>-1.3123032769930432E-2</v>
      </c>
    </row>
    <row r="342" spans="1:2" ht="15">
      <c r="A342" s="13">
        <v>267</v>
      </c>
      <c r="B342" s="28">
        <v>2.9576682780112606E-2</v>
      </c>
    </row>
    <row r="343" spans="1:2" ht="15">
      <c r="A343" s="13">
        <v>268</v>
      </c>
      <c r="B343" s="28">
        <v>3.7708480501896704E-4</v>
      </c>
    </row>
    <row r="344" spans="1:2" ht="15">
      <c r="A344" s="13">
        <v>269</v>
      </c>
      <c r="B344" s="28">
        <v>-3.3538334148237481E-2</v>
      </c>
    </row>
    <row r="345" spans="1:2" ht="15">
      <c r="A345" s="13">
        <v>270</v>
      </c>
      <c r="B345" s="28">
        <v>7.4324990489694756E-3</v>
      </c>
    </row>
    <row r="346" spans="1:2" ht="15">
      <c r="A346" s="13">
        <v>271</v>
      </c>
      <c r="B346" s="28">
        <v>-3.5441251722862943E-2</v>
      </c>
    </row>
    <row r="347" spans="1:2" ht="15">
      <c r="A347" s="13">
        <v>272</v>
      </c>
      <c r="B347" s="28">
        <v>-3.2107171475421636E-2</v>
      </c>
    </row>
    <row r="348" spans="1:2" ht="15">
      <c r="A348" s="13">
        <v>273</v>
      </c>
      <c r="B348" s="28">
        <v>6.3571397984342184E-3</v>
      </c>
    </row>
    <row r="349" spans="1:2" ht="15">
      <c r="A349" s="13">
        <v>274</v>
      </c>
      <c r="B349" s="28">
        <v>3.3633342925691978E-2</v>
      </c>
    </row>
    <row r="350" spans="1:2" ht="15">
      <c r="A350" s="13">
        <v>275</v>
      </c>
      <c r="B350" s="28">
        <v>5.3091483803436859E-3</v>
      </c>
    </row>
    <row r="351" spans="1:2" ht="15">
      <c r="A351" s="13">
        <v>276</v>
      </c>
      <c r="B351" s="28">
        <v>8.6075662036600997E-3</v>
      </c>
    </row>
    <row r="352" spans="1:2" ht="15">
      <c r="A352" s="13">
        <v>277</v>
      </c>
      <c r="B352" s="28">
        <v>-1.9689346911240135E-2</v>
      </c>
    </row>
    <row r="353" spans="1:2" ht="15">
      <c r="A353" s="13">
        <v>278</v>
      </c>
      <c r="B353" s="28">
        <v>-2.1178160497802309E-3</v>
      </c>
    </row>
    <row r="354" spans="1:2" ht="15">
      <c r="A354" s="13">
        <v>279</v>
      </c>
      <c r="B354" s="28">
        <v>-1.0146353563177399E-3</v>
      </c>
    </row>
    <row r="355" spans="1:2" ht="15">
      <c r="A355" s="13">
        <v>280</v>
      </c>
      <c r="B355" s="28">
        <v>1.1599840152281105E-2</v>
      </c>
    </row>
    <row r="356" spans="1:2" ht="15">
      <c r="A356" s="13">
        <v>281</v>
      </c>
      <c r="B356" s="28">
        <v>-9.1661453300039275E-3</v>
      </c>
    </row>
    <row r="357" spans="1:2" ht="15">
      <c r="A357" s="13">
        <v>282</v>
      </c>
      <c r="B357" s="28">
        <v>-2.8237917260616086E-2</v>
      </c>
    </row>
    <row r="358" spans="1:2" ht="15">
      <c r="A358" s="13">
        <v>283</v>
      </c>
      <c r="B358" s="28">
        <v>-3.4524353734217583E-2</v>
      </c>
    </row>
    <row r="359" spans="1:2" ht="15">
      <c r="A359" s="13">
        <v>284</v>
      </c>
      <c r="B359" s="28">
        <v>-6.3217915996792726E-3</v>
      </c>
    </row>
    <row r="360" spans="1:2" ht="15">
      <c r="A360" s="13">
        <v>285</v>
      </c>
      <c r="B360" s="28">
        <v>-1.8985689050372456E-2</v>
      </c>
    </row>
    <row r="361" spans="1:2" ht="15">
      <c r="A361" s="13">
        <v>286</v>
      </c>
      <c r="B361" s="28">
        <v>1.1048941021523206E-2</v>
      </c>
    </row>
    <row r="362" spans="1:2" ht="15">
      <c r="A362" s="13">
        <v>287</v>
      </c>
      <c r="B362" s="28">
        <v>-2.5298002921976148E-2</v>
      </c>
    </row>
    <row r="363" spans="1:2" ht="15">
      <c r="A363" s="13">
        <v>288</v>
      </c>
      <c r="B363" s="28">
        <v>8.6453670772025371E-3</v>
      </c>
    </row>
    <row r="364" spans="1:2" ht="15">
      <c r="A364" s="13">
        <v>289</v>
      </c>
      <c r="B364" s="28">
        <v>1.1307304592060974E-2</v>
      </c>
    </row>
    <row r="365" spans="1:2" ht="15">
      <c r="A365" s="13">
        <v>290</v>
      </c>
      <c r="B365" s="28">
        <v>3.9422276702476666E-2</v>
      </c>
    </row>
    <row r="366" spans="1:2" ht="15">
      <c r="A366" s="13">
        <v>291</v>
      </c>
      <c r="B366" s="28">
        <v>-1.4597374840581323E-2</v>
      </c>
    </row>
    <row r="367" spans="1:2" ht="15">
      <c r="A367" s="13">
        <v>292</v>
      </c>
      <c r="B367" s="28">
        <v>3.4651331250439399E-2</v>
      </c>
    </row>
    <row r="368" spans="1:2" ht="15">
      <c r="A368" s="13">
        <v>293</v>
      </c>
      <c r="B368" s="28">
        <v>-1.7130033367924624E-2</v>
      </c>
    </row>
    <row r="369" spans="1:2" ht="15">
      <c r="A369" s="13">
        <v>294</v>
      </c>
      <c r="B369" s="28">
        <v>-1.2058581771474564E-2</v>
      </c>
    </row>
    <row r="370" spans="1:2" ht="15">
      <c r="A370" s="13">
        <v>295</v>
      </c>
      <c r="B370" s="28">
        <v>-3.4616458262666128E-2</v>
      </c>
    </row>
    <row r="371" spans="1:2" ht="15">
      <c r="A371" s="13">
        <v>296</v>
      </c>
      <c r="B371" s="28">
        <v>1.6699415598646739E-2</v>
      </c>
    </row>
    <row r="372" spans="1:2" ht="15">
      <c r="A372" s="13">
        <v>297</v>
      </c>
      <c r="B372" s="28">
        <v>-1.6652230326348216E-2</v>
      </c>
    </row>
    <row r="373" spans="1:2" ht="15">
      <c r="A373" s="13">
        <v>298</v>
      </c>
      <c r="B373" s="28">
        <v>-3.4883029204356717E-3</v>
      </c>
    </row>
    <row r="374" spans="1:2" ht="15">
      <c r="A374" s="13">
        <v>299</v>
      </c>
      <c r="B374" s="28">
        <v>2.4613579287484755E-2</v>
      </c>
    </row>
    <row r="375" spans="1:2" ht="15">
      <c r="A375" s="13">
        <v>300</v>
      </c>
      <c r="B375" s="28">
        <v>1.9371376563649392E-3</v>
      </c>
    </row>
    <row r="376" spans="1:2" ht="15">
      <c r="A376" s="13">
        <v>301</v>
      </c>
      <c r="B376" s="28">
        <v>-3.4131397453369572E-2</v>
      </c>
    </row>
    <row r="377" spans="1:2" ht="15">
      <c r="A377" s="13">
        <v>302</v>
      </c>
      <c r="B377" s="28">
        <v>2.2155744889256312E-2</v>
      </c>
    </row>
    <row r="378" spans="1:2" ht="15">
      <c r="A378" s="13">
        <v>303</v>
      </c>
      <c r="B378" s="28">
        <v>-2.4080080376937985E-2</v>
      </c>
    </row>
    <row r="379" spans="1:2" ht="15">
      <c r="A379" s="13">
        <v>304</v>
      </c>
      <c r="B379" s="28">
        <v>-1.6827539977588457E-2</v>
      </c>
    </row>
    <row r="380" spans="1:2" ht="15">
      <c r="A380" s="13">
        <v>305</v>
      </c>
      <c r="B380" s="28">
        <v>-9.1560794973920556E-3</v>
      </c>
    </row>
    <row r="381" spans="1:2" ht="15">
      <c r="A381" s="13">
        <v>306</v>
      </c>
      <c r="B381" s="28">
        <v>-3.3300360630382784E-3</v>
      </c>
    </row>
    <row r="382" spans="1:2" ht="15">
      <c r="A382" s="13">
        <v>307</v>
      </c>
      <c r="B382" s="28">
        <v>-3.4868124859931413E-3</v>
      </c>
    </row>
    <row r="383" spans="1:2" ht="15">
      <c r="A383" s="13">
        <v>308</v>
      </c>
      <c r="B383" s="28">
        <v>4.3036019431165187E-3</v>
      </c>
    </row>
    <row r="384" spans="1:2" ht="15">
      <c r="A384" s="13">
        <v>309</v>
      </c>
      <c r="B384" s="28">
        <v>7.4509890762565192E-3</v>
      </c>
    </row>
    <row r="385" spans="1:2" ht="15">
      <c r="A385" s="13">
        <v>310</v>
      </c>
      <c r="B385" s="28">
        <v>-1.1183221542727551E-2</v>
      </c>
    </row>
    <row r="386" spans="1:2" ht="15">
      <c r="A386" s="13">
        <v>311</v>
      </c>
      <c r="B386" s="28">
        <v>-5.2327312343753873E-2</v>
      </c>
    </row>
    <row r="387" spans="1:2" ht="15">
      <c r="A387" s="13">
        <v>312</v>
      </c>
      <c r="B387" s="28">
        <v>-1.8625349523266777E-2</v>
      </c>
    </row>
    <row r="388" spans="1:2" ht="15">
      <c r="A388" s="13">
        <v>313</v>
      </c>
      <c r="B388" s="28">
        <v>-7.055366151893395E-3</v>
      </c>
    </row>
    <row r="389" spans="1:2" ht="15">
      <c r="A389" s="13">
        <v>314</v>
      </c>
      <c r="B389" s="28">
        <v>-1.9802792732865782E-2</v>
      </c>
    </row>
    <row r="390" spans="1:2" ht="15">
      <c r="A390" s="13">
        <v>315</v>
      </c>
      <c r="B390" s="28">
        <v>-2.3774108487705234E-3</v>
      </c>
    </row>
    <row r="391" spans="1:2" ht="15">
      <c r="A391" s="13">
        <v>316</v>
      </c>
      <c r="B391" s="28">
        <v>9.6219256445474466E-3</v>
      </c>
    </row>
    <row r="392" spans="1:2" ht="15">
      <c r="A392" s="13">
        <v>317</v>
      </c>
      <c r="B392" s="28">
        <v>-2.04860805044882E-3</v>
      </c>
    </row>
    <row r="393" spans="1:2" ht="15">
      <c r="A393" s="13">
        <v>318</v>
      </c>
      <c r="B393" s="28">
        <v>3.5284896310040495E-3</v>
      </c>
    </row>
    <row r="394" spans="1:2" ht="15">
      <c r="A394" s="13">
        <v>319</v>
      </c>
      <c r="B394" s="28">
        <v>1.8350125744997059E-2</v>
      </c>
    </row>
    <row r="395" spans="1:2" ht="15">
      <c r="A395" s="13">
        <v>320</v>
      </c>
      <c r="B395" s="28">
        <v>-1.3871727671561529E-2</v>
      </c>
    </row>
    <row r="396" spans="1:2" ht="15">
      <c r="A396" s="13">
        <v>321</v>
      </c>
      <c r="B396" s="28">
        <v>1.6617765711795074E-2</v>
      </c>
    </row>
    <row r="397" spans="1:2" ht="15">
      <c r="A397" s="13">
        <v>322</v>
      </c>
      <c r="B397" s="28">
        <v>-1.717591282815556E-2</v>
      </c>
    </row>
    <row r="398" spans="1:2" ht="15">
      <c r="A398" s="13">
        <v>323</v>
      </c>
      <c r="B398" s="28">
        <v>3.6574466892285273E-2</v>
      </c>
    </row>
    <row r="399" spans="1:2" ht="15">
      <c r="A399" s="13">
        <v>324</v>
      </c>
      <c r="B399" s="28">
        <v>3.4830421807564562E-3</v>
      </c>
    </row>
    <row r="400" spans="1:2" ht="15">
      <c r="A400" s="13">
        <v>325</v>
      </c>
      <c r="B400" s="28">
        <v>-2.5128611807507695E-2</v>
      </c>
    </row>
    <row r="401" spans="1:2" ht="15">
      <c r="A401" s="13">
        <v>326</v>
      </c>
      <c r="B401" s="28">
        <v>-8.1303789759112986E-4</v>
      </c>
    </row>
    <row r="402" spans="1:2" ht="15">
      <c r="A402" s="13">
        <v>327</v>
      </c>
      <c r="B402" s="28">
        <v>-1.0789616428373847E-3</v>
      </c>
    </row>
    <row r="403" spans="1:2" ht="15">
      <c r="A403" s="13">
        <v>328</v>
      </c>
      <c r="B403" s="28">
        <v>-2.0618707569374237E-3</v>
      </c>
    </row>
    <row r="404" spans="1:2" ht="15">
      <c r="A404" s="13">
        <v>329</v>
      </c>
      <c r="B404" s="28">
        <v>-2.5858665478357579E-2</v>
      </c>
    </row>
    <row r="405" spans="1:2" ht="15">
      <c r="A405" s="13">
        <v>330</v>
      </c>
      <c r="B405" s="28">
        <v>7.8850951265485494E-4</v>
      </c>
    </row>
    <row r="406" spans="1:2" ht="15">
      <c r="A406" s="13">
        <v>331</v>
      </c>
      <c r="B406" s="28">
        <v>-1.7809346647700295E-3</v>
      </c>
    </row>
    <row r="407" spans="1:2" ht="15">
      <c r="A407" s="13">
        <v>332</v>
      </c>
      <c r="B407" s="28">
        <v>1.8191923689097167E-2</v>
      </c>
    </row>
    <row r="408" spans="1:2" ht="15">
      <c r="A408" s="13">
        <v>333</v>
      </c>
      <c r="B408" s="28">
        <v>-1.9869063064310466E-2</v>
      </c>
    </row>
    <row r="409" spans="1:2" ht="15">
      <c r="A409" s="13">
        <v>334</v>
      </c>
      <c r="B409" s="28">
        <v>-2.5389243430458008E-2</v>
      </c>
    </row>
    <row r="410" spans="1:2" ht="15">
      <c r="A410" s="13">
        <v>335</v>
      </c>
      <c r="B410" s="28">
        <v>-7.8254239472007603E-3</v>
      </c>
    </row>
    <row r="411" spans="1:2" ht="15">
      <c r="A411" s="13">
        <v>336</v>
      </c>
      <c r="B411" s="28">
        <v>1.531307478013332E-3</v>
      </c>
    </row>
    <row r="412" spans="1:2" ht="15">
      <c r="A412" s="13">
        <v>337</v>
      </c>
      <c r="B412" s="28">
        <v>-8.8372561296855556E-3</v>
      </c>
    </row>
    <row r="413" spans="1:2" ht="15">
      <c r="A413" s="13">
        <v>338</v>
      </c>
      <c r="B413" s="28">
        <v>-2.2645029614272061E-2</v>
      </c>
    </row>
    <row r="414" spans="1:2" ht="15">
      <c r="A414" s="13">
        <v>339</v>
      </c>
      <c r="B414" s="28">
        <v>2.2989221750118305E-2</v>
      </c>
    </row>
    <row r="415" spans="1:2" ht="15">
      <c r="A415" s="13">
        <v>340</v>
      </c>
      <c r="B415" s="28">
        <v>-5.3141067130345618E-3</v>
      </c>
    </row>
    <row r="416" spans="1:2" ht="15">
      <c r="A416" s="13">
        <v>341</v>
      </c>
      <c r="B416" s="28">
        <v>2.8820319701277186E-2</v>
      </c>
    </row>
    <row r="417" spans="1:2" ht="15">
      <c r="A417" s="13">
        <v>342</v>
      </c>
      <c r="B417" s="28">
        <v>-9.2013757441454791E-3</v>
      </c>
    </row>
    <row r="418" spans="1:2" ht="15">
      <c r="A418" s="13">
        <v>343</v>
      </c>
      <c r="B418" s="28">
        <v>-2.4957579055102541E-2</v>
      </c>
    </row>
    <row r="419" spans="1:2" ht="15">
      <c r="A419" s="13">
        <v>344</v>
      </c>
      <c r="B419" s="28">
        <v>-1.3802229861903468E-4</v>
      </c>
    </row>
    <row r="420" spans="1:2" ht="15">
      <c r="A420" s="13">
        <v>345</v>
      </c>
      <c r="B420" s="28">
        <v>-1.4217767668218584E-2</v>
      </c>
    </row>
    <row r="421" spans="1:2" ht="15">
      <c r="A421" s="13">
        <v>346</v>
      </c>
      <c r="B421" s="28">
        <v>-1.3651575384050374E-2</v>
      </c>
    </row>
    <row r="422" spans="1:2" ht="15">
      <c r="A422" s="13">
        <v>347</v>
      </c>
      <c r="B422" s="28">
        <v>-1.1856833109253784E-2</v>
      </c>
    </row>
    <row r="423" spans="1:2" ht="15">
      <c r="A423" s="13">
        <v>348</v>
      </c>
      <c r="B423" s="28">
        <v>-4.0703931719908723E-3</v>
      </c>
    </row>
    <row r="424" spans="1:2" ht="15">
      <c r="A424" s="13">
        <v>349</v>
      </c>
      <c r="B424" s="28">
        <v>4.2151046980288811E-3</v>
      </c>
    </row>
    <row r="425" spans="1:2" ht="15">
      <c r="A425" s="13">
        <v>350</v>
      </c>
      <c r="B425" s="28">
        <v>1.7327601315424546E-2</v>
      </c>
    </row>
    <row r="426" spans="1:2" ht="15">
      <c r="A426" s="13">
        <v>351</v>
      </c>
      <c r="B426" s="28">
        <v>4.9549217945022974E-3</v>
      </c>
    </row>
    <row r="427" spans="1:2" ht="15">
      <c r="A427" s="13">
        <v>352</v>
      </c>
      <c r="B427" s="28">
        <v>-4.2095933506265282E-2</v>
      </c>
    </row>
    <row r="428" spans="1:2" ht="15">
      <c r="A428" s="13">
        <v>353</v>
      </c>
      <c r="B428" s="28">
        <v>-1.2618337106890976E-2</v>
      </c>
    </row>
    <row r="429" spans="1:2" ht="15">
      <c r="A429" s="13">
        <v>354</v>
      </c>
      <c r="B429" s="28">
        <v>-2.0588057279586791E-2</v>
      </c>
    </row>
    <row r="430" spans="1:2" ht="15">
      <c r="A430" s="13">
        <v>355</v>
      </c>
      <c r="B430" s="28">
        <v>3.0555444598372561E-2</v>
      </c>
    </row>
    <row r="431" spans="1:2" ht="15">
      <c r="A431" s="13">
        <v>356</v>
      </c>
      <c r="B431" s="28">
        <v>4.6486849558074028E-2</v>
      </c>
    </row>
    <row r="432" spans="1:2" ht="15">
      <c r="A432" s="13">
        <v>357</v>
      </c>
      <c r="B432" s="28">
        <v>-3.2554042602190747E-2</v>
      </c>
    </row>
    <row r="433" spans="1:2" ht="15">
      <c r="A433" s="13">
        <v>358</v>
      </c>
      <c r="B433" s="28">
        <v>1.6685072867199779E-2</v>
      </c>
    </row>
    <row r="434" spans="1:2" ht="15">
      <c r="A434" s="13">
        <v>359</v>
      </c>
      <c r="B434" s="28">
        <v>1.8473983007221251E-2</v>
      </c>
    </row>
    <row r="435" spans="1:2" ht="15">
      <c r="A435" s="13">
        <v>360</v>
      </c>
      <c r="B435" s="28">
        <v>-4.4464362619910389E-3</v>
      </c>
    </row>
    <row r="436" spans="1:2" ht="15">
      <c r="A436" s="13">
        <v>361</v>
      </c>
      <c r="B436" s="28">
        <v>9.2322094385745013E-3</v>
      </c>
    </row>
    <row r="437" spans="1:2" ht="15">
      <c r="A437" s="13">
        <v>362</v>
      </c>
      <c r="B437" s="28">
        <v>9.2290125646977694E-3</v>
      </c>
    </row>
    <row r="438" spans="1:2" ht="15">
      <c r="A438" s="13">
        <v>363</v>
      </c>
      <c r="B438" s="28">
        <v>-8.2207778834563205E-3</v>
      </c>
    </row>
    <row r="439" spans="1:2" ht="15">
      <c r="A439" s="13">
        <v>364</v>
      </c>
      <c r="B439" s="28">
        <v>-2.4202230381197296E-3</v>
      </c>
    </row>
    <row r="440" spans="1:2" ht="15">
      <c r="A440" s="13">
        <v>365</v>
      </c>
      <c r="B440" s="28">
        <v>-1.4507926354999654E-3</v>
      </c>
    </row>
    <row r="441" spans="1:2" ht="15">
      <c r="A441" s="13">
        <v>366</v>
      </c>
      <c r="B441" s="28">
        <v>-1.368095206291764E-2</v>
      </c>
    </row>
    <row r="442" spans="1:2" ht="15">
      <c r="A442" s="13">
        <v>367</v>
      </c>
      <c r="B442" s="28">
        <v>-1.9885004232695791E-2</v>
      </c>
    </row>
    <row r="443" spans="1:2" ht="15">
      <c r="A443" s="13">
        <v>368</v>
      </c>
      <c r="B443" s="28">
        <v>-3.5653800634667276E-2</v>
      </c>
    </row>
    <row r="444" spans="1:2" ht="15">
      <c r="A444" s="13">
        <v>369</v>
      </c>
      <c r="B444" s="28">
        <v>3.3003558771975805E-2</v>
      </c>
    </row>
    <row r="445" spans="1:2" ht="15">
      <c r="A445" s="13">
        <v>370</v>
      </c>
      <c r="B445" s="28">
        <v>-7.8238039097632273E-3</v>
      </c>
    </row>
    <row r="446" spans="1:2" ht="15">
      <c r="A446" s="13">
        <v>371</v>
      </c>
      <c r="B446" s="28">
        <v>-2.4542222238087561E-3</v>
      </c>
    </row>
    <row r="447" spans="1:2" ht="15">
      <c r="A447" s="13">
        <v>372</v>
      </c>
      <c r="B447" s="28">
        <v>-3.7569332900806329E-2</v>
      </c>
    </row>
    <row r="448" spans="1:2" ht="15">
      <c r="A448" s="13">
        <v>373</v>
      </c>
      <c r="B448" s="28">
        <v>-4.5403984333679545E-3</v>
      </c>
    </row>
    <row r="449" spans="1:2" ht="15">
      <c r="A449" s="13">
        <v>374</v>
      </c>
      <c r="B449" s="28">
        <v>1.1403405212855433E-2</v>
      </c>
    </row>
    <row r="450" spans="1:2" ht="15">
      <c r="A450" s="13">
        <v>375</v>
      </c>
      <c r="B450" s="28">
        <v>-1.2252402231970336E-3</v>
      </c>
    </row>
    <row r="451" spans="1:2" ht="15">
      <c r="A451" s="13">
        <v>376</v>
      </c>
      <c r="B451" s="28">
        <v>1.1032222235167866E-2</v>
      </c>
    </row>
    <row r="452" spans="1:2" ht="15">
      <c r="A452" s="13">
        <v>377</v>
      </c>
      <c r="B452" s="28">
        <v>-2.0231562641332856E-2</v>
      </c>
    </row>
    <row r="453" spans="1:2" ht="15">
      <c r="A453" s="13">
        <v>378</v>
      </c>
      <c r="B453" s="28">
        <v>3.0199986784078647E-2</v>
      </c>
    </row>
    <row r="454" spans="1:2" ht="15">
      <c r="A454" s="13">
        <v>379</v>
      </c>
      <c r="B454" s="28">
        <v>2.1919651433359832E-2</v>
      </c>
    </row>
    <row r="455" spans="1:2" ht="15">
      <c r="A455" s="13">
        <v>380</v>
      </c>
      <c r="B455" s="28">
        <v>7.6360621531202924E-3</v>
      </c>
    </row>
    <row r="456" spans="1:2" ht="15">
      <c r="A456" s="13">
        <v>381</v>
      </c>
      <c r="B456" s="28">
        <v>-3.4404794152796967E-3</v>
      </c>
    </row>
    <row r="457" spans="1:2" ht="15">
      <c r="A457" s="13">
        <v>382</v>
      </c>
      <c r="B457" s="28">
        <v>-2.3109267542371525E-2</v>
      </c>
    </row>
    <row r="458" spans="1:2" ht="15">
      <c r="A458" s="13">
        <v>383</v>
      </c>
      <c r="B458" s="28">
        <v>1.0307525488111424E-2</v>
      </c>
    </row>
    <row r="459" spans="1:2" ht="15">
      <c r="A459" s="13">
        <v>384</v>
      </c>
      <c r="B459" s="28">
        <v>-6.6516744229593314E-3</v>
      </c>
    </row>
    <row r="460" spans="1:2" ht="15">
      <c r="A460" s="13">
        <v>385</v>
      </c>
      <c r="B460" s="28">
        <v>-5.0857030348415719E-3</v>
      </c>
    </row>
    <row r="461" spans="1:2" ht="15">
      <c r="A461" s="13">
        <v>386</v>
      </c>
      <c r="B461" s="28">
        <v>-2.5585116756905335E-2</v>
      </c>
    </row>
    <row r="462" spans="1:2" ht="15">
      <c r="A462" s="13">
        <v>387</v>
      </c>
      <c r="B462" s="28">
        <v>1.0281324082621723E-2</v>
      </c>
    </row>
    <row r="463" spans="1:2" ht="15">
      <c r="A463" s="13">
        <v>388</v>
      </c>
      <c r="B463" s="28">
        <v>1.8538438896735898E-2</v>
      </c>
    </row>
    <row r="464" spans="1:2" ht="15">
      <c r="A464" s="13">
        <v>389</v>
      </c>
      <c r="B464" s="28">
        <v>8.7716219948342777E-3</v>
      </c>
    </row>
    <row r="465" spans="1:2" ht="15">
      <c r="A465" s="13">
        <v>390</v>
      </c>
      <c r="B465" s="28">
        <v>6.6907379075710196E-3</v>
      </c>
    </row>
    <row r="466" spans="1:2" ht="15">
      <c r="A466" s="13">
        <v>391</v>
      </c>
      <c r="B466" s="28">
        <v>-1.1195728231745306E-2</v>
      </c>
    </row>
    <row r="467" spans="1:2" ht="15">
      <c r="A467" s="13">
        <v>392</v>
      </c>
      <c r="B467" s="28">
        <v>5.8501121000153946E-4</v>
      </c>
    </row>
    <row r="468" spans="1:2" ht="15">
      <c r="A468" s="13">
        <v>393</v>
      </c>
      <c r="B468" s="28">
        <v>9.1907364801736557E-3</v>
      </c>
    </row>
    <row r="469" spans="1:2" ht="15">
      <c r="A469" s="13">
        <v>394</v>
      </c>
      <c r="B469" s="28">
        <v>-5.8212325140833854E-2</v>
      </c>
    </row>
    <row r="470" spans="1:2" ht="15">
      <c r="A470" s="13">
        <v>395</v>
      </c>
      <c r="B470" s="28">
        <v>2.1278268630121602E-3</v>
      </c>
    </row>
    <row r="471" spans="1:2" ht="15">
      <c r="A471" s="13">
        <v>396</v>
      </c>
      <c r="B471" s="28">
        <v>3.825021283570095E-3</v>
      </c>
    </row>
    <row r="472" spans="1:2" ht="15">
      <c r="A472" s="13">
        <v>397</v>
      </c>
      <c r="B472" s="28">
        <v>6.0237144932907541E-3</v>
      </c>
    </row>
    <row r="473" spans="1:2" ht="15">
      <c r="A473" s="13">
        <v>398</v>
      </c>
      <c r="B473" s="28">
        <v>7.1729690514766844E-3</v>
      </c>
    </row>
    <row r="474" spans="1:2" ht="15">
      <c r="A474" s="13">
        <v>399</v>
      </c>
      <c r="B474" s="28">
        <v>1.344681243406376E-2</v>
      </c>
    </row>
    <row r="475" spans="1:2" ht="15">
      <c r="A475" s="13">
        <v>400</v>
      </c>
      <c r="B475" s="28">
        <v>-6.2045224897010485E-3</v>
      </c>
    </row>
    <row r="476" spans="1:2" ht="15">
      <c r="A476" s="13">
        <v>401</v>
      </c>
      <c r="B476" s="28">
        <v>6.2106020120845642E-3</v>
      </c>
    </row>
    <row r="477" spans="1:2" ht="15">
      <c r="A477" s="13">
        <v>402</v>
      </c>
      <c r="B477" s="28">
        <v>-1.2833434877597028E-2</v>
      </c>
    </row>
    <row r="478" spans="1:2" ht="15">
      <c r="A478" s="13">
        <v>403</v>
      </c>
      <c r="B478" s="28">
        <v>1.5117287037151983E-2</v>
      </c>
    </row>
    <row r="479" spans="1:2" ht="15">
      <c r="A479" s="13">
        <v>404</v>
      </c>
      <c r="B479" s="28">
        <v>7.935056262591389E-3</v>
      </c>
    </row>
    <row r="480" spans="1:2" ht="15">
      <c r="A480" s="13">
        <v>405</v>
      </c>
      <c r="B480" s="28">
        <v>2.4854554456193001E-2</v>
      </c>
    </row>
    <row r="481" spans="1:2" ht="15">
      <c r="A481" s="13">
        <v>406</v>
      </c>
      <c r="B481" s="28">
        <v>-2.6748346838052384E-2</v>
      </c>
    </row>
    <row r="482" spans="1:2" ht="15">
      <c r="A482" s="13">
        <v>407</v>
      </c>
      <c r="B482" s="28">
        <v>7.3801826399867423E-3</v>
      </c>
    </row>
    <row r="483" spans="1:2" ht="15">
      <c r="A483" s="13">
        <v>408</v>
      </c>
      <c r="B483" s="28">
        <v>8.2922645358485172E-4</v>
      </c>
    </row>
    <row r="484" spans="1:2" ht="15">
      <c r="A484" s="13">
        <v>409</v>
      </c>
      <c r="B484" s="28">
        <v>-7.02994236437371E-3</v>
      </c>
    </row>
    <row r="485" spans="1:2" ht="15">
      <c r="A485" s="13">
        <v>410</v>
      </c>
      <c r="B485" s="28">
        <v>1.8447371192247375E-2</v>
      </c>
    </row>
    <row r="486" spans="1:2" ht="15">
      <c r="A486" s="13">
        <v>411</v>
      </c>
      <c r="B486" s="28">
        <v>2.914277195284376E-2</v>
      </c>
    </row>
    <row r="487" spans="1:2" ht="15">
      <c r="A487" s="13">
        <v>412</v>
      </c>
      <c r="B487" s="28">
        <v>1.0085299552680227E-2</v>
      </c>
    </row>
    <row r="488" spans="1:2" ht="15">
      <c r="A488" s="13">
        <v>413</v>
      </c>
      <c r="B488" s="28">
        <v>-5.9552527293126331E-3</v>
      </c>
    </row>
    <row r="489" spans="1:2" ht="15">
      <c r="A489" s="13">
        <v>414</v>
      </c>
      <c r="B489" s="28">
        <v>8.074099494260736E-4</v>
      </c>
    </row>
    <row r="490" spans="1:2" ht="15">
      <c r="A490" s="13">
        <v>415</v>
      </c>
      <c r="B490" s="28">
        <v>-1.2869464510207762E-2</v>
      </c>
    </row>
    <row r="491" spans="1:2" ht="15">
      <c r="A491" s="13">
        <v>416</v>
      </c>
      <c r="B491" s="28">
        <v>-1.6990753349295118E-2</v>
      </c>
    </row>
    <row r="492" spans="1:2" ht="15">
      <c r="A492" s="13">
        <v>417</v>
      </c>
      <c r="B492" s="28">
        <v>4.8124449019960594E-3</v>
      </c>
    </row>
    <row r="493" spans="1:2" ht="15">
      <c r="A493" s="13">
        <v>418</v>
      </c>
      <c r="B493" s="28">
        <v>-1.7801333681039977E-2</v>
      </c>
    </row>
    <row r="494" spans="1:2" ht="15">
      <c r="A494" s="13">
        <v>419</v>
      </c>
      <c r="B494" s="28">
        <v>-2.8195234674261882E-2</v>
      </c>
    </row>
    <row r="495" spans="1:2" ht="15">
      <c r="A495" s="13">
        <v>420</v>
      </c>
      <c r="B495" s="28">
        <v>1.3256512036401547E-2</v>
      </c>
    </row>
    <row r="496" spans="1:2" ht="15">
      <c r="A496" s="13">
        <v>421</v>
      </c>
      <c r="B496" s="28">
        <v>-2.312879439361859E-2</v>
      </c>
    </row>
    <row r="497" spans="1:2" ht="15">
      <c r="A497" s="13">
        <v>422</v>
      </c>
      <c r="B497" s="28">
        <v>1.131233750836691E-2</v>
      </c>
    </row>
    <row r="498" spans="1:2" ht="15">
      <c r="A498" s="13">
        <v>423</v>
      </c>
      <c r="B498" s="28">
        <v>1.0516229511064012E-2</v>
      </c>
    </row>
    <row r="499" spans="1:2" ht="15">
      <c r="A499" s="13">
        <v>424</v>
      </c>
      <c r="B499" s="28">
        <v>-1.2018102436035405E-2</v>
      </c>
    </row>
    <row r="500" spans="1:2" ht="15">
      <c r="A500" s="13">
        <v>425</v>
      </c>
      <c r="B500" s="28">
        <v>1.9242658370581922E-2</v>
      </c>
    </row>
    <row r="501" spans="1:2" ht="15">
      <c r="A501" s="13">
        <v>426</v>
      </c>
      <c r="B501" s="28">
        <v>6.2862343635060845E-5</v>
      </c>
    </row>
    <row r="502" spans="1:2" ht="15">
      <c r="A502" s="13">
        <v>427</v>
      </c>
      <c r="B502" s="28">
        <v>-5.4171194935624953E-3</v>
      </c>
    </row>
    <row r="503" spans="1:2" ht="15">
      <c r="A503" s="13">
        <v>428</v>
      </c>
      <c r="B503" s="28">
        <v>4.3670642096694792E-3</v>
      </c>
    </row>
    <row r="504" spans="1:2" ht="15">
      <c r="A504" s="13">
        <v>429</v>
      </c>
      <c r="B504" s="28">
        <v>1.491504156345036E-2</v>
      </c>
    </row>
    <row r="505" spans="1:2" ht="15">
      <c r="A505" s="13">
        <v>430</v>
      </c>
      <c r="B505" s="28">
        <v>-2.8682801141461822E-2</v>
      </c>
    </row>
    <row r="506" spans="1:2" ht="15">
      <c r="A506" s="13">
        <v>431</v>
      </c>
      <c r="B506" s="28">
        <v>-2.0177388589421752E-2</v>
      </c>
    </row>
    <row r="507" spans="1:2" ht="15">
      <c r="A507" s="13">
        <v>432</v>
      </c>
      <c r="B507" s="28">
        <v>1.533854095012066E-2</v>
      </c>
    </row>
    <row r="508" spans="1:2" ht="15">
      <c r="A508" s="13">
        <v>433</v>
      </c>
      <c r="B508" s="28">
        <v>8.4550450790411569E-3</v>
      </c>
    </row>
    <row r="509" spans="1:2" ht="15">
      <c r="A509" s="13">
        <v>434</v>
      </c>
      <c r="B509" s="28">
        <v>2.8926939765166026E-2</v>
      </c>
    </row>
    <row r="510" spans="1:2" ht="15">
      <c r="A510" s="13">
        <v>435</v>
      </c>
      <c r="B510" s="28">
        <v>2.514179789411719E-2</v>
      </c>
    </row>
    <row r="511" spans="1:2" ht="15">
      <c r="A511" s="13">
        <v>436</v>
      </c>
      <c r="B511" s="28">
        <v>1.439699761045631E-3</v>
      </c>
    </row>
    <row r="512" spans="1:2" ht="15">
      <c r="A512" s="13">
        <v>437</v>
      </c>
      <c r="B512" s="28">
        <v>2.3485082808998414E-2</v>
      </c>
    </row>
    <row r="513" spans="1:2" ht="15">
      <c r="A513" s="13">
        <v>438</v>
      </c>
      <c r="B513" s="28">
        <v>-5.3709808273415547E-3</v>
      </c>
    </row>
    <row r="514" spans="1:2" ht="15">
      <c r="A514" s="13">
        <v>439</v>
      </c>
      <c r="B514" s="28">
        <v>2.876951532723615E-2</v>
      </c>
    </row>
    <row r="515" spans="1:2" ht="15">
      <c r="A515" s="13">
        <v>440</v>
      </c>
      <c r="B515" s="28">
        <v>-1.5820956716401269E-2</v>
      </c>
    </row>
    <row r="516" spans="1:2" ht="15">
      <c r="A516" s="13">
        <v>441</v>
      </c>
      <c r="B516" s="28">
        <v>-2.3852583919710013E-2</v>
      </c>
    </row>
    <row r="517" spans="1:2" ht="15">
      <c r="A517" s="13">
        <v>442</v>
      </c>
      <c r="B517" s="28">
        <v>-8.5904488262021905E-3</v>
      </c>
    </row>
    <row r="518" spans="1:2" ht="15">
      <c r="A518" s="13">
        <v>443</v>
      </c>
      <c r="B518" s="28">
        <v>-4.576816874963697E-3</v>
      </c>
    </row>
    <row r="519" spans="1:2" ht="15">
      <c r="A519" s="13">
        <v>444</v>
      </c>
      <c r="B519" s="28">
        <v>3.8584522942779587E-2</v>
      </c>
    </row>
    <row r="520" spans="1:2" ht="15">
      <c r="A520" s="13">
        <v>445</v>
      </c>
      <c r="B520" s="28">
        <v>-6.4880290412693284E-3</v>
      </c>
    </row>
    <row r="521" spans="1:2" ht="15">
      <c r="A521" s="13">
        <v>446</v>
      </c>
      <c r="B521" s="28">
        <v>-1.7074929676018655E-3</v>
      </c>
    </row>
    <row r="522" spans="1:2" ht="15">
      <c r="A522" s="13">
        <v>447</v>
      </c>
      <c r="B522" s="28">
        <v>-2.3897124148992588E-2</v>
      </c>
    </row>
    <row r="523" spans="1:2" ht="15">
      <c r="A523" s="13">
        <v>448</v>
      </c>
      <c r="B523" s="28">
        <v>-2.2106010758056072E-2</v>
      </c>
    </row>
    <row r="524" spans="1:2" ht="15">
      <c r="A524" s="13">
        <v>449</v>
      </c>
      <c r="B524" s="28">
        <v>-1.1473856259020976E-2</v>
      </c>
    </row>
    <row r="525" spans="1:2" ht="15">
      <c r="A525" s="13">
        <v>450</v>
      </c>
      <c r="B525" s="28">
        <v>-3.4076250560465269E-3</v>
      </c>
    </row>
    <row r="526" spans="1:2" ht="15">
      <c r="A526" s="13">
        <v>451</v>
      </c>
      <c r="B526" s="28">
        <v>-1.522063564354903E-2</v>
      </c>
    </row>
    <row r="527" spans="1:2" ht="15">
      <c r="A527" s="13">
        <v>452</v>
      </c>
      <c r="B527" s="28">
        <v>5.8658580453775358E-3</v>
      </c>
    </row>
    <row r="528" spans="1:2" ht="15">
      <c r="A528" s="13">
        <v>453</v>
      </c>
      <c r="B528" s="28">
        <v>-2.8951684155093971E-2</v>
      </c>
    </row>
    <row r="529" spans="1:2" ht="15">
      <c r="A529" s="13">
        <v>454</v>
      </c>
      <c r="B529" s="28">
        <v>-1.2104634035698836E-2</v>
      </c>
    </row>
    <row r="530" spans="1:2" ht="15">
      <c r="A530" s="13">
        <v>455</v>
      </c>
      <c r="B530" s="28">
        <v>1.7922263057495003E-2</v>
      </c>
    </row>
    <row r="531" spans="1:2" ht="15">
      <c r="A531" s="13">
        <v>456</v>
      </c>
      <c r="B531" s="28">
        <v>1.7519802557013464E-2</v>
      </c>
    </row>
    <row r="532" spans="1:2" ht="15">
      <c r="A532" s="13">
        <v>457</v>
      </c>
      <c r="B532" s="28">
        <v>3.1910659916116857E-2</v>
      </c>
    </row>
    <row r="533" spans="1:2" ht="15">
      <c r="A533" s="13">
        <v>458</v>
      </c>
      <c r="B533" s="28">
        <v>5.2618626457639039E-2</v>
      </c>
    </row>
    <row r="534" spans="1:2" ht="15">
      <c r="A534" s="13">
        <v>459</v>
      </c>
      <c r="B534" s="28">
        <v>-2.6701840144814923E-3</v>
      </c>
    </row>
    <row r="535" spans="1:2" ht="15">
      <c r="A535" s="13">
        <v>460</v>
      </c>
      <c r="B535" s="28">
        <v>4.0085325624910184E-2</v>
      </c>
    </row>
    <row r="536" spans="1:2" ht="15">
      <c r="A536" s="13">
        <v>461</v>
      </c>
      <c r="B536" s="28">
        <v>7.6345069171802607E-3</v>
      </c>
    </row>
    <row r="537" spans="1:2" ht="15">
      <c r="A537" s="13">
        <v>462</v>
      </c>
      <c r="B537" s="28">
        <v>9.6477166405529724E-3</v>
      </c>
    </row>
    <row r="538" spans="1:2" ht="15">
      <c r="A538" s="13">
        <v>463</v>
      </c>
      <c r="B538" s="28">
        <v>-2.691838596749585E-2</v>
      </c>
    </row>
    <row r="539" spans="1:2" ht="15">
      <c r="A539" s="13">
        <v>464</v>
      </c>
      <c r="B539" s="28">
        <v>-1.2545154615712817E-2</v>
      </c>
    </row>
    <row r="540" spans="1:2" ht="15">
      <c r="A540" s="13">
        <v>465</v>
      </c>
      <c r="B540" s="28">
        <v>1.3219554400857305E-3</v>
      </c>
    </row>
    <row r="541" spans="1:2" ht="15">
      <c r="A541" s="13">
        <v>466</v>
      </c>
      <c r="B541" s="28">
        <v>-3.7487833398918155E-3</v>
      </c>
    </row>
    <row r="542" spans="1:2" ht="15">
      <c r="A542" s="13">
        <v>467</v>
      </c>
      <c r="B542" s="28">
        <v>-2.5577383778203511E-2</v>
      </c>
    </row>
    <row r="543" spans="1:2" ht="15">
      <c r="A543" s="13">
        <v>468</v>
      </c>
      <c r="B543" s="28">
        <v>-2.963555595872458E-2</v>
      </c>
    </row>
    <row r="544" spans="1:2" ht="15">
      <c r="A544" s="13">
        <v>469</v>
      </c>
      <c r="B544" s="28">
        <v>-9.0405600278463671E-3</v>
      </c>
    </row>
    <row r="545" spans="1:2" ht="15">
      <c r="A545" s="13">
        <v>470</v>
      </c>
      <c r="B545" s="28">
        <v>4.2132880141958595E-2</v>
      </c>
    </row>
    <row r="546" spans="1:2" ht="15">
      <c r="A546" s="13">
        <v>471</v>
      </c>
      <c r="B546" s="28">
        <v>-2.2416301110060885E-3</v>
      </c>
    </row>
    <row r="547" spans="1:2" ht="15">
      <c r="A547" s="13">
        <v>472</v>
      </c>
      <c r="B547" s="28">
        <v>1.4343535556487041E-2</v>
      </c>
    </row>
    <row r="548" spans="1:2" ht="15">
      <c r="A548" s="13">
        <v>473</v>
      </c>
      <c r="B548" s="28">
        <v>1.1593057595542633E-2</v>
      </c>
    </row>
    <row r="549" spans="1:2" ht="15">
      <c r="A549" s="13">
        <v>474</v>
      </c>
      <c r="B549" s="28">
        <v>1.3235041140229442E-2</v>
      </c>
    </row>
    <row r="550" spans="1:2" ht="15">
      <c r="A550" s="13">
        <v>475</v>
      </c>
      <c r="B550" s="28">
        <v>-1.6678776521293912E-3</v>
      </c>
    </row>
    <row r="551" spans="1:2" ht="15">
      <c r="A551" s="13">
        <v>476</v>
      </c>
      <c r="B551" s="28">
        <v>-2.2370098460873122E-2</v>
      </c>
    </row>
    <row r="552" spans="1:2" ht="15">
      <c r="A552" s="13">
        <v>477</v>
      </c>
      <c r="B552" s="28">
        <v>1.9787077351589688E-2</v>
      </c>
    </row>
    <row r="553" spans="1:2" ht="15">
      <c r="A553" s="13">
        <v>478</v>
      </c>
      <c r="B553" s="28">
        <v>1.75346204994421E-2</v>
      </c>
    </row>
    <row r="554" spans="1:2" ht="15">
      <c r="A554" s="13">
        <v>479</v>
      </c>
      <c r="B554" s="28">
        <v>2.9676131478277967E-2</v>
      </c>
    </row>
    <row r="555" spans="1:2" ht="15">
      <c r="A555" s="13">
        <v>480</v>
      </c>
      <c r="B555" s="28">
        <v>-2.078071131312754E-3</v>
      </c>
    </row>
    <row r="556" spans="1:2" ht="15">
      <c r="A556" s="13">
        <v>481</v>
      </c>
      <c r="B556" s="28">
        <v>1.973502014859696E-2</v>
      </c>
    </row>
    <row r="557" spans="1:2" ht="15">
      <c r="A557" s="13">
        <v>482</v>
      </c>
      <c r="B557" s="28">
        <v>1.4892231436329895E-2</v>
      </c>
    </row>
    <row r="558" spans="1:2" ht="15">
      <c r="A558" s="13">
        <v>483</v>
      </c>
      <c r="B558" s="28">
        <v>1.189673983186367E-3</v>
      </c>
    </row>
    <row r="559" spans="1:2" ht="15">
      <c r="A559" s="13">
        <v>484</v>
      </c>
      <c r="B559" s="28">
        <v>-3.1512055304337991E-3</v>
      </c>
    </row>
    <row r="560" spans="1:2" ht="15">
      <c r="A560" s="13">
        <v>485</v>
      </c>
      <c r="B560" s="28">
        <v>1.3509929092630046E-2</v>
      </c>
    </row>
    <row r="561" spans="1:2" ht="15">
      <c r="A561" s="13">
        <v>486</v>
      </c>
      <c r="B561" s="28">
        <v>1.8706015569274315E-2</v>
      </c>
    </row>
    <row r="562" spans="1:2" ht="15">
      <c r="A562" s="13">
        <v>487</v>
      </c>
      <c r="B562" s="28">
        <v>-2.2790789782651699E-2</v>
      </c>
    </row>
    <row r="563" spans="1:2" ht="15">
      <c r="A563" s="13">
        <v>488</v>
      </c>
      <c r="B563" s="28">
        <v>4.2394159779883922E-2</v>
      </c>
    </row>
    <row r="564" spans="1:2" ht="15">
      <c r="A564" s="13">
        <v>489</v>
      </c>
      <c r="B564" s="28">
        <v>1.9451146388542839E-2</v>
      </c>
    </row>
    <row r="565" spans="1:2" ht="15">
      <c r="A565" s="13">
        <v>490</v>
      </c>
      <c r="B565" s="28">
        <v>-6.4738807143148733E-3</v>
      </c>
    </row>
    <row r="566" spans="1:2" ht="15">
      <c r="A566" s="13">
        <v>491</v>
      </c>
      <c r="B566" s="28">
        <v>3.3511711333412677E-3</v>
      </c>
    </row>
    <row r="567" spans="1:2" ht="15">
      <c r="A567" s="13">
        <v>492</v>
      </c>
      <c r="B567" s="28">
        <v>-7.8530285666056441E-4</v>
      </c>
    </row>
    <row r="568" spans="1:2" ht="15">
      <c r="A568" s="13">
        <v>493</v>
      </c>
      <c r="B568" s="28">
        <v>-1.9882562557759229E-3</v>
      </c>
    </row>
    <row r="569" spans="1:2" ht="15">
      <c r="A569" s="13">
        <v>494</v>
      </c>
      <c r="B569" s="28">
        <v>-3.1589018701401073E-2</v>
      </c>
    </row>
    <row r="570" spans="1:2" ht="15">
      <c r="A570" s="13">
        <v>495</v>
      </c>
      <c r="B570" s="28">
        <v>-2.2422803678840864E-2</v>
      </c>
    </row>
    <row r="571" spans="1:2" ht="15">
      <c r="A571" s="13">
        <v>496</v>
      </c>
      <c r="B571" s="28">
        <v>-6.7526567565655568E-3</v>
      </c>
    </row>
    <row r="572" spans="1:2" ht="15">
      <c r="A572" s="13">
        <v>497</v>
      </c>
      <c r="B572" s="28">
        <v>6.8536056712910067E-3</v>
      </c>
    </row>
    <row r="573" spans="1:2" ht="15">
      <c r="A573" s="13">
        <v>498</v>
      </c>
      <c r="B573" s="28">
        <v>3.3087045519787353E-3</v>
      </c>
    </row>
    <row r="574" spans="1:2" ht="15">
      <c r="A574" s="13">
        <v>499</v>
      </c>
      <c r="B574" s="28">
        <v>2.2752393877250143E-2</v>
      </c>
    </row>
    <row r="575" spans="1:2" ht="15">
      <c r="A575" s="13">
        <v>500</v>
      </c>
      <c r="B575" s="28">
        <v>2.1802792732865783E-2</v>
      </c>
    </row>
    <row r="576" spans="1:2" ht="15">
      <c r="A576" s="13">
        <v>501</v>
      </c>
      <c r="B576" s="28">
        <v>7.394050160452025E-3</v>
      </c>
    </row>
    <row r="577" spans="1:2" ht="15">
      <c r="A577" s="13">
        <v>502</v>
      </c>
      <c r="B577" s="28">
        <v>1.1710391507018358E-2</v>
      </c>
    </row>
    <row r="578" spans="1:2" ht="15">
      <c r="A578" s="13">
        <v>503</v>
      </c>
      <c r="B578" s="28">
        <v>-4.0519615479046478E-2</v>
      </c>
    </row>
    <row r="579" spans="1:2" ht="15">
      <c r="A579" s="13">
        <v>504</v>
      </c>
      <c r="B579" s="28">
        <v>2.0489568785502343E-2</v>
      </c>
    </row>
    <row r="580" spans="1:2" ht="15">
      <c r="A580" s="13">
        <v>505</v>
      </c>
      <c r="B580" s="28">
        <v>1.8309280019602739E-3</v>
      </c>
    </row>
    <row r="581" spans="1:2" ht="15">
      <c r="A581" s="13">
        <v>506</v>
      </c>
      <c r="B581" s="28">
        <v>-5.2588310356659349E-3</v>
      </c>
    </row>
    <row r="582" spans="1:2" ht="15">
      <c r="A582" s="13">
        <v>507</v>
      </c>
      <c r="B582" s="28">
        <v>6.2438235798035749E-3</v>
      </c>
    </row>
    <row r="583" spans="1:2" ht="15">
      <c r="A583" s="13">
        <v>508</v>
      </c>
      <c r="B583" s="28">
        <v>1.9582002212497174E-2</v>
      </c>
    </row>
    <row r="584" spans="1:2" ht="15">
      <c r="A584" s="13">
        <v>509</v>
      </c>
      <c r="B584" s="28">
        <v>1.883432253432693E-2</v>
      </c>
    </row>
    <row r="585" spans="1:2" ht="15">
      <c r="A585" s="13">
        <v>510</v>
      </c>
      <c r="B585" s="28">
        <v>2.1477618818404154E-2</v>
      </c>
    </row>
    <row r="586" spans="1:2" ht="15">
      <c r="A586" s="13">
        <v>511</v>
      </c>
      <c r="B586" s="28">
        <v>-1.5587757727393181E-2</v>
      </c>
    </row>
    <row r="587" spans="1:2" ht="15">
      <c r="A587" s="13">
        <v>512</v>
      </c>
      <c r="B587" s="28">
        <v>-2.6914065867662429E-2</v>
      </c>
    </row>
    <row r="588" spans="1:2" ht="15">
      <c r="A588" s="13">
        <v>513</v>
      </c>
      <c r="B588" s="28">
        <v>1.6463408544746927E-2</v>
      </c>
    </row>
    <row r="589" spans="1:2" ht="15">
      <c r="A589" s="13">
        <v>514</v>
      </c>
      <c r="B589" s="28">
        <v>-2.4350000214530154E-2</v>
      </c>
    </row>
    <row r="590" spans="1:2" ht="15">
      <c r="A590" s="13">
        <v>515</v>
      </c>
      <c r="B590" s="28">
        <v>9.822183872325696E-3</v>
      </c>
    </row>
    <row r="591" spans="1:2" ht="15">
      <c r="A591" s="13">
        <v>516</v>
      </c>
      <c r="B591" s="28">
        <v>-6.6201592946745222E-3</v>
      </c>
    </row>
    <row r="592" spans="1:2" ht="15">
      <c r="A592" s="13">
        <v>517</v>
      </c>
      <c r="B592" s="28">
        <v>2.7132370294362773E-2</v>
      </c>
    </row>
    <row r="593" spans="1:2" ht="15">
      <c r="A593" s="13">
        <v>518</v>
      </c>
      <c r="B593" s="28">
        <v>-1.8647014005400706E-3</v>
      </c>
    </row>
    <row r="594" spans="1:2" ht="15">
      <c r="A594" s="13">
        <v>519</v>
      </c>
      <c r="B594" s="28">
        <v>1.8995289454120212E-2</v>
      </c>
    </row>
    <row r="595" spans="1:2" ht="15">
      <c r="A595" s="13">
        <v>520</v>
      </c>
      <c r="B595" s="28">
        <v>-1.2025489806750556E-2</v>
      </c>
    </row>
    <row r="596" spans="1:2" ht="15">
      <c r="A596" s="13">
        <v>521</v>
      </c>
      <c r="B596" s="28">
        <v>-6.9013761933310888E-3</v>
      </c>
    </row>
    <row r="597" spans="1:2" ht="15">
      <c r="A597" s="13">
        <v>522</v>
      </c>
      <c r="B597" s="28">
        <v>-1.2740768736170138E-2</v>
      </c>
    </row>
    <row r="598" spans="1:2" ht="15">
      <c r="A598" s="13">
        <v>523</v>
      </c>
      <c r="B598" s="28">
        <v>2.3825377072877019E-2</v>
      </c>
    </row>
    <row r="599" spans="1:2" ht="15">
      <c r="A599" s="13">
        <v>524</v>
      </c>
      <c r="B599" s="28">
        <v>2.0526505639078096E-2</v>
      </c>
    </row>
    <row r="600" spans="1:2" ht="15">
      <c r="A600" s="13">
        <v>525</v>
      </c>
      <c r="B600" s="28">
        <v>2.9051617846358568E-2</v>
      </c>
    </row>
    <row r="601" spans="1:2" ht="15">
      <c r="A601" s="13">
        <v>526</v>
      </c>
      <c r="B601" s="28">
        <v>-1.995429863402387E-2</v>
      </c>
    </row>
    <row r="602" spans="1:2" ht="15">
      <c r="A602" s="13">
        <v>527</v>
      </c>
      <c r="B602" s="28">
        <v>4.7264749153109733E-3</v>
      </c>
    </row>
    <row r="603" spans="1:2" ht="15">
      <c r="A603" s="13">
        <v>528</v>
      </c>
      <c r="B603" s="28">
        <v>-6.7352683547360357E-3</v>
      </c>
    </row>
    <row r="604" spans="1:2" ht="15">
      <c r="A604" s="13">
        <v>529</v>
      </c>
      <c r="B604" s="28">
        <v>-9.7262156690703684E-5</v>
      </c>
    </row>
    <row r="605" spans="1:2" ht="15">
      <c r="A605" s="13">
        <v>530</v>
      </c>
      <c r="B605" s="28">
        <v>-1.6741958799888379E-2</v>
      </c>
    </row>
    <row r="606" spans="1:2" ht="15">
      <c r="A606" s="13">
        <v>531</v>
      </c>
      <c r="B606" s="28">
        <v>-2.2099919417290947E-2</v>
      </c>
    </row>
    <row r="607" spans="1:2" ht="15">
      <c r="A607" s="13">
        <v>532</v>
      </c>
      <c r="B607" s="28">
        <v>1.0041320936375997E-2</v>
      </c>
    </row>
    <row r="608" spans="1:2" ht="15">
      <c r="A608" s="13">
        <v>533</v>
      </c>
      <c r="B608" s="28">
        <v>2.5132034468493658E-2</v>
      </c>
    </row>
    <row r="609" spans="1:2" ht="15">
      <c r="A609" s="13">
        <v>534</v>
      </c>
      <c r="B609" s="28">
        <v>1.408251512455172E-2</v>
      </c>
    </row>
    <row r="610" spans="1:2" ht="15">
      <c r="A610" s="13">
        <v>535</v>
      </c>
      <c r="B610" s="28">
        <v>-7.5575345565302996E-3</v>
      </c>
    </row>
    <row r="611" spans="1:2" ht="15">
      <c r="A611" s="13">
        <v>536</v>
      </c>
      <c r="B611" s="28">
        <v>1.3782008980138927E-2</v>
      </c>
    </row>
    <row r="612" spans="1:2" ht="15">
      <c r="A612" s="13">
        <v>537</v>
      </c>
      <c r="B612" s="28">
        <v>2.3137530777399662E-2</v>
      </c>
    </row>
    <row r="613" spans="1:2" ht="15">
      <c r="A613" s="13">
        <v>538</v>
      </c>
      <c r="B613" s="28">
        <v>-6.0361249981942819E-3</v>
      </c>
    </row>
    <row r="614" spans="1:2" ht="15">
      <c r="A614" s="13">
        <v>539</v>
      </c>
      <c r="B614" s="28">
        <v>8.7731988312734766E-3</v>
      </c>
    </row>
    <row r="615" spans="1:2" ht="15">
      <c r="A615" s="13">
        <v>540</v>
      </c>
      <c r="B615" s="28">
        <v>-2.7882113838335498E-2</v>
      </c>
    </row>
    <row r="616" spans="1:2" ht="15">
      <c r="A616" s="13">
        <v>541</v>
      </c>
      <c r="B616" s="28">
        <v>1.9416239981888794E-2</v>
      </c>
    </row>
    <row r="617" spans="1:2" ht="15">
      <c r="A617" s="13">
        <v>542</v>
      </c>
      <c r="B617" s="28">
        <v>-1.0419924703659489E-2</v>
      </c>
    </row>
    <row r="618" spans="1:2" ht="15">
      <c r="A618" s="13">
        <v>543</v>
      </c>
      <c r="B618" s="28">
        <v>-2.4730255401867907E-2</v>
      </c>
    </row>
    <row r="619" spans="1:2" ht="15">
      <c r="A619" s="13">
        <v>544</v>
      </c>
      <c r="B619" s="28">
        <v>5.9079142172558932E-3</v>
      </c>
    </row>
    <row r="620" spans="1:2" ht="15">
      <c r="A620" s="13">
        <v>545</v>
      </c>
      <c r="B620" s="28">
        <v>6.5859322856122162E-3</v>
      </c>
    </row>
    <row r="621" spans="1:2" ht="15">
      <c r="A621" s="13">
        <v>546</v>
      </c>
      <c r="B621" s="28">
        <v>-1.9813376977457664E-2</v>
      </c>
    </row>
    <row r="622" spans="1:2" ht="15">
      <c r="A622" s="13">
        <v>547</v>
      </c>
      <c r="B622" s="28">
        <v>1.0797381608223078E-2</v>
      </c>
    </row>
    <row r="623" spans="1:2" ht="15">
      <c r="A623" s="13">
        <v>548</v>
      </c>
      <c r="B623" s="28">
        <v>1.1826472589542392E-2</v>
      </c>
    </row>
    <row r="624" spans="1:2" ht="15">
      <c r="A624" s="13">
        <v>549</v>
      </c>
      <c r="B624" s="28">
        <v>2.0842175333906199E-2</v>
      </c>
    </row>
    <row r="625" spans="1:2" ht="15">
      <c r="A625" s="13">
        <v>550</v>
      </c>
      <c r="B625" s="28">
        <v>7.6382014210685158E-4</v>
      </c>
    </row>
    <row r="626" spans="1:2" ht="15">
      <c r="A626" s="13">
        <v>551</v>
      </c>
      <c r="B626" s="28">
        <v>-3.6411200537462718E-2</v>
      </c>
    </row>
    <row r="627" spans="1:2" ht="15">
      <c r="A627" s="13">
        <v>552</v>
      </c>
      <c r="B627" s="28">
        <v>1.1768367246782874E-2</v>
      </c>
    </row>
    <row r="628" spans="1:2" ht="15">
      <c r="A628" s="13">
        <v>553</v>
      </c>
      <c r="B628" s="28">
        <v>-6.7431741374311968E-3</v>
      </c>
    </row>
    <row r="629" spans="1:2" ht="15">
      <c r="A629" s="13">
        <v>554</v>
      </c>
      <c r="B629" s="28">
        <v>-1.0669928881019586E-2</v>
      </c>
    </row>
    <row r="630" spans="1:2" ht="15">
      <c r="A630" s="13">
        <v>555</v>
      </c>
      <c r="B630" s="28">
        <v>2.0882352262357018E-2</v>
      </c>
    </row>
    <row r="631" spans="1:2" ht="15">
      <c r="A631" s="13">
        <v>556</v>
      </c>
      <c r="B631" s="28">
        <v>-2.1057479327486361E-2</v>
      </c>
    </row>
    <row r="632" spans="1:2" ht="15">
      <c r="A632" s="13">
        <v>557</v>
      </c>
      <c r="B632" s="28">
        <v>-3.5944909743411699E-3</v>
      </c>
    </row>
    <row r="633" spans="1:2" ht="15">
      <c r="A633" s="13">
        <v>558</v>
      </c>
      <c r="B633" s="28">
        <v>-7.344121624759282E-3</v>
      </c>
    </row>
    <row r="634" spans="1:2" ht="15">
      <c r="A634" s="13">
        <v>559</v>
      </c>
      <c r="B634" s="28">
        <v>5.3300360630382784E-3</v>
      </c>
    </row>
    <row r="635" spans="1:2" ht="15">
      <c r="A635" s="13">
        <v>560</v>
      </c>
      <c r="B635" s="28">
        <v>-1.8588196664699352E-2</v>
      </c>
    </row>
    <row r="636" spans="1:2" ht="15">
      <c r="A636" s="13">
        <v>561</v>
      </c>
      <c r="B636" s="28">
        <v>5.2077988382516196E-3</v>
      </c>
    </row>
    <row r="637" spans="1:2" ht="15">
      <c r="A637" s="13">
        <v>562</v>
      </c>
      <c r="B637" s="28">
        <v>4.7789100451860578E-2</v>
      </c>
    </row>
    <row r="638" spans="1:2" ht="15">
      <c r="A638" s="13">
        <v>563</v>
      </c>
      <c r="B638" s="28">
        <v>2.670485321484739E-2</v>
      </c>
    </row>
    <row r="639" spans="1:2" ht="15">
      <c r="A639" s="13">
        <v>564</v>
      </c>
      <c r="B639" s="28">
        <v>-3.1660882743599359E-3</v>
      </c>
    </row>
    <row r="640" spans="1:2" ht="15">
      <c r="A640" s="13">
        <v>565</v>
      </c>
      <c r="B640" s="28">
        <v>8.0828468778927354E-3</v>
      </c>
    </row>
    <row r="641" spans="1:2" ht="15">
      <c r="A641" s="13">
        <v>566</v>
      </c>
      <c r="B641" s="28">
        <v>1.1691663874240477E-2</v>
      </c>
    </row>
    <row r="642" spans="1:2" ht="15">
      <c r="A642" s="13">
        <v>567</v>
      </c>
      <c r="B642" s="28">
        <v>1.7018584574339912E-2</v>
      </c>
    </row>
    <row r="643" spans="1:2" ht="15">
      <c r="A643" s="13">
        <v>568</v>
      </c>
      <c r="B643" s="28">
        <v>-3.030717946079676E-3</v>
      </c>
    </row>
    <row r="644" spans="1:2" ht="15">
      <c r="A644" s="13">
        <v>569</v>
      </c>
      <c r="B644" s="28">
        <v>-1.5760777725721709E-2</v>
      </c>
    </row>
    <row r="645" spans="1:2" ht="15">
      <c r="A645" s="13">
        <v>570</v>
      </c>
      <c r="B645" s="28">
        <v>1.4232163382781438E-2</v>
      </c>
    </row>
    <row r="646" spans="1:2" ht="15">
      <c r="A646" s="13">
        <v>571</v>
      </c>
      <c r="B646" s="28">
        <v>8.6359060585673442E-3</v>
      </c>
    </row>
    <row r="647" spans="1:2" ht="15">
      <c r="A647" s="13">
        <v>572</v>
      </c>
      <c r="B647" s="28">
        <v>2.1438694718905027E-2</v>
      </c>
    </row>
    <row r="648" spans="1:2" ht="15">
      <c r="A648" s="13">
        <v>573</v>
      </c>
      <c r="B648" s="28">
        <v>2.7404536583868322E-2</v>
      </c>
    </row>
    <row r="649" spans="1:2" ht="15">
      <c r="A649" s="13">
        <v>574</v>
      </c>
      <c r="B649" s="28">
        <v>-2.0074872620374662E-2</v>
      </c>
    </row>
    <row r="650" spans="1:2" ht="15">
      <c r="A650" s="13">
        <v>575</v>
      </c>
      <c r="B650" s="28">
        <v>7.1591879330080701E-3</v>
      </c>
    </row>
    <row r="651" spans="1:2" ht="15">
      <c r="A651" s="13">
        <v>576</v>
      </c>
      <c r="B651" s="28">
        <v>-1.0690989367707515E-2</v>
      </c>
    </row>
    <row r="652" spans="1:2" ht="15">
      <c r="A652" s="13">
        <v>577</v>
      </c>
      <c r="B652" s="28">
        <v>1.9661880858417136E-2</v>
      </c>
    </row>
    <row r="653" spans="1:2" ht="15">
      <c r="A653" s="13">
        <v>578</v>
      </c>
      <c r="B653" s="28">
        <v>4.2903176361287479E-3</v>
      </c>
    </row>
    <row r="654" spans="1:2" ht="15">
      <c r="A654" s="13">
        <v>579</v>
      </c>
      <c r="B654" s="28">
        <v>1.8069708064809675E-2</v>
      </c>
    </row>
    <row r="655" spans="1:2" ht="15">
      <c r="A655" s="13">
        <v>580</v>
      </c>
      <c r="B655" s="28">
        <v>-4.6223184083122759E-2</v>
      </c>
    </row>
    <row r="656" spans="1:2" ht="15">
      <c r="A656" s="13">
        <v>581</v>
      </c>
      <c r="B656" s="28">
        <v>-5.4278765421477146E-3</v>
      </c>
    </row>
    <row r="657" spans="1:2" ht="15">
      <c r="A657" s="13">
        <v>582</v>
      </c>
      <c r="B657" s="28">
        <v>1.686150574439671E-2</v>
      </c>
    </row>
    <row r="658" spans="1:2" ht="15">
      <c r="A658" s="13">
        <v>583</v>
      </c>
      <c r="B658" s="28">
        <v>1.8396546036237851E-3</v>
      </c>
    </row>
    <row r="659" spans="1:2" ht="15">
      <c r="A659" s="13">
        <v>584</v>
      </c>
      <c r="B659" s="28">
        <v>-1.7203518266091122E-2</v>
      </c>
    </row>
    <row r="660" spans="1:2" ht="15">
      <c r="A660" s="13">
        <v>585</v>
      </c>
      <c r="B660" s="28">
        <v>1.4102797993269633E-2</v>
      </c>
    </row>
    <row r="661" spans="1:2" ht="15">
      <c r="A661" s="13">
        <v>586</v>
      </c>
      <c r="B661" s="28">
        <v>3.5979848351213151E-2</v>
      </c>
    </row>
    <row r="662" spans="1:2" ht="15">
      <c r="A662" s="13">
        <v>587</v>
      </c>
      <c r="B662" s="28">
        <v>-1.8442868506303056E-2</v>
      </c>
    </row>
    <row r="663" spans="1:2" ht="15">
      <c r="A663" s="13">
        <v>588</v>
      </c>
      <c r="B663" s="28">
        <v>-2.3463925319665577E-3</v>
      </c>
    </row>
    <row r="664" spans="1:2" ht="15">
      <c r="A664" s="13">
        <v>589</v>
      </c>
      <c r="B664" s="28">
        <v>1.0003908871818568E-2</v>
      </c>
    </row>
    <row r="665" spans="1:2" ht="15">
      <c r="A665" s="13">
        <v>590</v>
      </c>
      <c r="B665" s="28">
        <v>-3.1169687392539345E-3</v>
      </c>
    </row>
    <row r="666" spans="1:2" ht="15">
      <c r="A666" s="13">
        <v>591</v>
      </c>
      <c r="B666" s="28">
        <v>-3.2301316761935595E-2</v>
      </c>
    </row>
    <row r="667" spans="1:2" ht="15">
      <c r="A667" s="13">
        <v>592</v>
      </c>
      <c r="B667" s="28">
        <v>-6.9314872891700361E-3</v>
      </c>
    </row>
    <row r="668" spans="1:2" ht="15">
      <c r="A668" s="13">
        <v>593</v>
      </c>
      <c r="B668" s="28">
        <v>8.6408965924056249E-4</v>
      </c>
    </row>
    <row r="669" spans="1:2" ht="15">
      <c r="A669" s="13">
        <v>594</v>
      </c>
      <c r="B669" s="28">
        <v>6.7759086757869227E-3</v>
      </c>
    </row>
    <row r="670" spans="1:2" ht="15">
      <c r="A670" s="13">
        <v>595</v>
      </c>
      <c r="B670" s="28">
        <v>9.4242378761700829E-3</v>
      </c>
    </row>
    <row r="671" spans="1:2" ht="15">
      <c r="A671" s="13">
        <v>596</v>
      </c>
      <c r="B671" s="28">
        <v>-2.2206798687169793E-2</v>
      </c>
    </row>
    <row r="672" spans="1:2" ht="15">
      <c r="A672" s="13">
        <v>597</v>
      </c>
      <c r="B672" s="28">
        <v>3.2866265999269673E-2</v>
      </c>
    </row>
    <row r="673" spans="1:2" ht="15">
      <c r="A673" s="13">
        <v>598</v>
      </c>
      <c r="B673" s="28">
        <v>5.9003972435457399E-3</v>
      </c>
    </row>
    <row r="674" spans="1:2" ht="15">
      <c r="A674" s="13">
        <v>599</v>
      </c>
      <c r="B674" s="28">
        <v>8.3813225753838205E-3</v>
      </c>
    </row>
    <row r="675" spans="1:2" ht="15">
      <c r="A675" s="12">
        <v>600</v>
      </c>
      <c r="B675" s="31">
        <v>-1.1550170004047686E-3</v>
      </c>
    </row>
    <row r="676" spans="1:2" ht="15">
      <c r="A676" s="34" t="s">
        <v>12</v>
      </c>
      <c r="B676" s="28">
        <f>AVERAGE(B76:B675)</f>
        <v>9.5886940951095401E-4</v>
      </c>
    </row>
    <row r="677" spans="1:2" ht="15">
      <c r="A677" s="34" t="s">
        <v>13</v>
      </c>
      <c r="B677" s="28">
        <f>_xlfn.STDEV.P(B76:B675)</f>
        <v>1.9359852686245495E-2</v>
      </c>
    </row>
  </sheetData>
  <phoneticPr fontId="3"/>
  <printOptions heading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71"/>
  <sheetViews>
    <sheetView showGridLines="0" workbookViewId="0" xr3:uid="{842E5F09-E766-5B8D-85AF-A39847EA96FD}"/>
  </sheetViews>
  <sheetFormatPr defaultRowHeight="13.5"/>
  <sheetData>
    <row r="1" spans="1:4" ht="15">
      <c r="A1" s="12" t="s">
        <v>0</v>
      </c>
      <c r="B1" s="14"/>
    </row>
    <row r="2" spans="1:4" ht="18">
      <c r="A2" s="15" t="s">
        <v>1</v>
      </c>
      <c r="B2" s="16">
        <v>100</v>
      </c>
      <c r="C2" s="3"/>
    </row>
    <row r="3" spans="1:4" ht="15">
      <c r="A3" s="17" t="s">
        <v>2</v>
      </c>
      <c r="B3" s="18">
        <f>0.25/250</f>
        <v>1E-3</v>
      </c>
      <c r="C3" s="6" t="s">
        <v>3</v>
      </c>
    </row>
    <row r="4" spans="1:4" ht="15">
      <c r="A4" s="17" t="s">
        <v>4</v>
      </c>
      <c r="B4" s="18">
        <f>0.3*SQRT(1/250)</f>
        <v>1.8973665961010275E-2</v>
      </c>
      <c r="C4" s="6" t="s">
        <v>5</v>
      </c>
    </row>
    <row r="5" spans="1:4" ht="15">
      <c r="A5" s="19" t="s">
        <v>6</v>
      </c>
      <c r="B5" s="20">
        <v>60</v>
      </c>
      <c r="C5" s="3"/>
    </row>
    <row r="7" spans="1:4" ht="15">
      <c r="A7" s="12" t="s">
        <v>7</v>
      </c>
      <c r="B7" s="14"/>
      <c r="C7" s="23"/>
      <c r="D7" s="23"/>
    </row>
    <row r="8" spans="1:4" ht="45">
      <c r="A8" s="24" t="s">
        <v>8</v>
      </c>
      <c r="B8" s="25" t="s">
        <v>15</v>
      </c>
      <c r="C8" s="25" t="s">
        <v>10</v>
      </c>
      <c r="D8" s="25" t="s">
        <v>11</v>
      </c>
    </row>
    <row r="9" spans="1:4" ht="15">
      <c r="A9" s="13">
        <v>0</v>
      </c>
      <c r="B9" s="26"/>
      <c r="C9" s="9">
        <f>LN(B2)</f>
        <v>4.6051701859880918</v>
      </c>
      <c r="D9" s="9">
        <f>EXP(C9)</f>
        <v>100.00000000000004</v>
      </c>
    </row>
    <row r="10" spans="1:4" ht="15">
      <c r="A10" s="13">
        <v>1</v>
      </c>
      <c r="B10" s="28"/>
      <c r="C10" s="36"/>
      <c r="D10" s="37"/>
    </row>
    <row r="11" spans="1:4" ht="15">
      <c r="A11" s="13">
        <v>2</v>
      </c>
      <c r="B11" s="28"/>
      <c r="C11" s="36"/>
      <c r="D11" s="37"/>
    </row>
    <row r="12" spans="1:4" ht="15">
      <c r="A12" s="13">
        <v>3</v>
      </c>
      <c r="B12" s="28"/>
      <c r="C12" s="36"/>
      <c r="D12" s="37"/>
    </row>
    <row r="13" spans="1:4" ht="15">
      <c r="A13" s="13">
        <v>4</v>
      </c>
      <c r="B13" s="28"/>
      <c r="C13" s="36"/>
      <c r="D13" s="37"/>
    </row>
    <row r="14" spans="1:4" ht="15">
      <c r="A14" s="13">
        <v>5</v>
      </c>
      <c r="B14" s="28"/>
      <c r="C14" s="36"/>
      <c r="D14" s="37"/>
    </row>
    <row r="15" spans="1:4" ht="15">
      <c r="A15" s="13">
        <v>6</v>
      </c>
      <c r="B15" s="28"/>
      <c r="C15" s="36"/>
      <c r="D15" s="37"/>
    </row>
    <row r="16" spans="1:4" ht="15">
      <c r="A16" s="13">
        <v>7</v>
      </c>
      <c r="B16" s="28"/>
      <c r="C16" s="36"/>
      <c r="D16" s="37"/>
    </row>
    <row r="17" spans="1:4" ht="15">
      <c r="A17" s="13">
        <v>8</v>
      </c>
      <c r="B17" s="28"/>
      <c r="C17" s="36"/>
      <c r="D17" s="37"/>
    </row>
    <row r="18" spans="1:4" ht="15">
      <c r="A18" s="13">
        <v>9</v>
      </c>
      <c r="B18" s="28"/>
      <c r="C18" s="36"/>
      <c r="D18" s="37"/>
    </row>
    <row r="19" spans="1:4" ht="15">
      <c r="A19" s="13">
        <v>10</v>
      </c>
      <c r="B19" s="28"/>
      <c r="C19" s="36"/>
      <c r="D19" s="37"/>
    </row>
    <row r="20" spans="1:4" ht="15">
      <c r="A20" s="13">
        <v>11</v>
      </c>
      <c r="B20" s="28"/>
      <c r="C20" s="36"/>
      <c r="D20" s="37"/>
    </row>
    <row r="21" spans="1:4" ht="15">
      <c r="A21" s="13">
        <v>12</v>
      </c>
      <c r="B21" s="28"/>
      <c r="C21" s="36"/>
      <c r="D21" s="37"/>
    </row>
    <row r="22" spans="1:4" ht="15">
      <c r="A22" s="13">
        <v>13</v>
      </c>
      <c r="B22" s="28"/>
      <c r="C22" s="36"/>
      <c r="D22" s="37"/>
    </row>
    <row r="23" spans="1:4" ht="15">
      <c r="A23" s="13">
        <v>14</v>
      </c>
      <c r="B23" s="28"/>
      <c r="C23" s="36"/>
      <c r="D23" s="37"/>
    </row>
    <row r="24" spans="1:4" ht="15">
      <c r="A24" s="13">
        <v>15</v>
      </c>
      <c r="B24" s="28"/>
      <c r="C24" s="36"/>
      <c r="D24" s="37"/>
    </row>
    <row r="25" spans="1:4" ht="15">
      <c r="A25" s="13">
        <v>16</v>
      </c>
      <c r="B25" s="28"/>
      <c r="C25" s="36"/>
      <c r="D25" s="37"/>
    </row>
    <row r="26" spans="1:4" ht="15">
      <c r="A26" s="13">
        <v>17</v>
      </c>
      <c r="B26" s="28"/>
      <c r="C26" s="36"/>
      <c r="D26" s="37"/>
    </row>
    <row r="27" spans="1:4" ht="15">
      <c r="A27" s="13">
        <v>18</v>
      </c>
      <c r="B27" s="28"/>
      <c r="C27" s="36"/>
      <c r="D27" s="37"/>
    </row>
    <row r="28" spans="1:4" ht="15">
      <c r="A28" s="13">
        <v>19</v>
      </c>
      <c r="B28" s="28"/>
      <c r="C28" s="36"/>
      <c r="D28" s="37"/>
    </row>
    <row r="29" spans="1:4" ht="15">
      <c r="A29" s="13">
        <v>20</v>
      </c>
      <c r="B29" s="28"/>
      <c r="C29" s="36"/>
      <c r="D29" s="37"/>
    </row>
    <row r="30" spans="1:4" ht="15">
      <c r="A30" s="13">
        <v>21</v>
      </c>
      <c r="B30" s="28"/>
      <c r="C30" s="36"/>
      <c r="D30" s="37"/>
    </row>
    <row r="31" spans="1:4" ht="15">
      <c r="A31" s="13">
        <v>22</v>
      </c>
      <c r="B31" s="28"/>
      <c r="C31" s="36"/>
      <c r="D31" s="37"/>
    </row>
    <row r="32" spans="1:4" ht="15">
      <c r="A32" s="13">
        <v>23</v>
      </c>
      <c r="B32" s="28"/>
      <c r="C32" s="36"/>
      <c r="D32" s="37"/>
    </row>
    <row r="33" spans="1:4" ht="15">
      <c r="A33" s="13">
        <v>24</v>
      </c>
      <c r="B33" s="28"/>
      <c r="C33" s="36"/>
      <c r="D33" s="37"/>
    </row>
    <row r="34" spans="1:4" ht="15">
      <c r="A34" s="13">
        <v>25</v>
      </c>
      <c r="B34" s="28"/>
      <c r="C34" s="36"/>
      <c r="D34" s="37"/>
    </row>
    <row r="35" spans="1:4" ht="15">
      <c r="A35" s="13">
        <v>26</v>
      </c>
      <c r="B35" s="28"/>
      <c r="C35" s="36"/>
      <c r="D35" s="37"/>
    </row>
    <row r="36" spans="1:4" ht="15">
      <c r="A36" s="13">
        <v>27</v>
      </c>
      <c r="B36" s="28"/>
      <c r="C36" s="36"/>
      <c r="D36" s="37"/>
    </row>
    <row r="37" spans="1:4" ht="15">
      <c r="A37" s="13">
        <v>28</v>
      </c>
      <c r="B37" s="28"/>
      <c r="C37" s="36"/>
      <c r="D37" s="37"/>
    </row>
    <row r="38" spans="1:4" ht="15">
      <c r="A38" s="13">
        <v>29</v>
      </c>
      <c r="B38" s="28"/>
      <c r="C38" s="36"/>
      <c r="D38" s="37"/>
    </row>
    <row r="39" spans="1:4" ht="15">
      <c r="A39" s="13">
        <v>30</v>
      </c>
      <c r="B39" s="28"/>
      <c r="C39" s="36"/>
      <c r="D39" s="37"/>
    </row>
    <row r="40" spans="1:4" ht="15">
      <c r="A40" s="13">
        <v>31</v>
      </c>
      <c r="B40" s="28"/>
      <c r="C40" s="36"/>
      <c r="D40" s="37"/>
    </row>
    <row r="41" spans="1:4" ht="15">
      <c r="A41" s="13">
        <v>32</v>
      </c>
      <c r="B41" s="28"/>
      <c r="C41" s="36"/>
      <c r="D41" s="37"/>
    </row>
    <row r="42" spans="1:4" ht="15">
      <c r="A42" s="13">
        <v>33</v>
      </c>
      <c r="B42" s="28"/>
      <c r="C42" s="36"/>
      <c r="D42" s="37"/>
    </row>
    <row r="43" spans="1:4" ht="15">
      <c r="A43" s="13">
        <v>34</v>
      </c>
      <c r="B43" s="28"/>
      <c r="C43" s="36"/>
      <c r="D43" s="37"/>
    </row>
    <row r="44" spans="1:4" ht="15">
      <c r="A44" s="13">
        <v>35</v>
      </c>
      <c r="B44" s="28"/>
      <c r="C44" s="36"/>
      <c r="D44" s="37"/>
    </row>
    <row r="45" spans="1:4" ht="15">
      <c r="A45" s="13">
        <v>36</v>
      </c>
      <c r="B45" s="28"/>
      <c r="C45" s="36"/>
      <c r="D45" s="37"/>
    </row>
    <row r="46" spans="1:4" ht="15">
      <c r="A46" s="13">
        <v>37</v>
      </c>
      <c r="B46" s="28"/>
      <c r="C46" s="36"/>
      <c r="D46" s="37"/>
    </row>
    <row r="47" spans="1:4" ht="15">
      <c r="A47" s="13">
        <v>38</v>
      </c>
      <c r="B47" s="28"/>
      <c r="C47" s="36"/>
      <c r="D47" s="37"/>
    </row>
    <row r="48" spans="1:4" ht="15">
      <c r="A48" s="13">
        <v>39</v>
      </c>
      <c r="B48" s="28"/>
      <c r="C48" s="36"/>
      <c r="D48" s="37"/>
    </row>
    <row r="49" spans="1:4" ht="15">
      <c r="A49" s="13">
        <v>40</v>
      </c>
      <c r="B49" s="28"/>
      <c r="C49" s="36"/>
      <c r="D49" s="37"/>
    </row>
    <row r="50" spans="1:4" ht="15">
      <c r="A50" s="13">
        <v>41</v>
      </c>
      <c r="B50" s="28"/>
      <c r="C50" s="36"/>
      <c r="D50" s="37"/>
    </row>
    <row r="51" spans="1:4" ht="15">
      <c r="A51" s="13">
        <v>42</v>
      </c>
      <c r="B51" s="28"/>
      <c r="C51" s="36"/>
      <c r="D51" s="37"/>
    </row>
    <row r="52" spans="1:4" ht="15">
      <c r="A52" s="13">
        <v>43</v>
      </c>
      <c r="B52" s="28"/>
      <c r="C52" s="36"/>
      <c r="D52" s="37"/>
    </row>
    <row r="53" spans="1:4" ht="15">
      <c r="A53" s="13">
        <v>44</v>
      </c>
      <c r="B53" s="28"/>
      <c r="C53" s="36"/>
      <c r="D53" s="37"/>
    </row>
    <row r="54" spans="1:4" ht="15">
      <c r="A54" s="13">
        <v>45</v>
      </c>
      <c r="B54" s="28"/>
      <c r="C54" s="36"/>
      <c r="D54" s="37"/>
    </row>
    <row r="55" spans="1:4" ht="15">
      <c r="A55" s="13">
        <v>46</v>
      </c>
      <c r="B55" s="28"/>
      <c r="C55" s="36"/>
      <c r="D55" s="37"/>
    </row>
    <row r="56" spans="1:4" ht="15">
      <c r="A56" s="13">
        <v>47</v>
      </c>
      <c r="B56" s="28"/>
      <c r="C56" s="36"/>
      <c r="D56" s="37"/>
    </row>
    <row r="57" spans="1:4" ht="15">
      <c r="A57" s="13">
        <v>48</v>
      </c>
      <c r="B57" s="28"/>
      <c r="C57" s="36"/>
      <c r="D57" s="37"/>
    </row>
    <row r="58" spans="1:4" ht="15">
      <c r="A58" s="13">
        <v>49</v>
      </c>
      <c r="B58" s="28"/>
      <c r="C58" s="36"/>
      <c r="D58" s="37"/>
    </row>
    <row r="59" spans="1:4" ht="15">
      <c r="A59" s="13">
        <v>50</v>
      </c>
      <c r="B59" s="28"/>
      <c r="C59" s="36"/>
      <c r="D59" s="37"/>
    </row>
    <row r="60" spans="1:4" ht="15">
      <c r="A60" s="13">
        <v>51</v>
      </c>
      <c r="B60" s="28"/>
      <c r="C60" s="36"/>
      <c r="D60" s="37"/>
    </row>
    <row r="61" spans="1:4" ht="15">
      <c r="A61" s="13">
        <v>52</v>
      </c>
      <c r="B61" s="28"/>
      <c r="C61" s="36"/>
      <c r="D61" s="37"/>
    </row>
    <row r="62" spans="1:4" ht="15">
      <c r="A62" s="13">
        <v>53</v>
      </c>
      <c r="B62" s="28"/>
      <c r="C62" s="36"/>
      <c r="D62" s="37"/>
    </row>
    <row r="63" spans="1:4" ht="15">
      <c r="A63" s="13">
        <v>54</v>
      </c>
      <c r="B63" s="28"/>
      <c r="C63" s="36"/>
      <c r="D63" s="37"/>
    </row>
    <row r="64" spans="1:4" ht="15">
      <c r="A64" s="13">
        <v>55</v>
      </c>
      <c r="B64" s="28"/>
      <c r="C64" s="36"/>
      <c r="D64" s="37"/>
    </row>
    <row r="65" spans="1:4" ht="15">
      <c r="A65" s="13">
        <v>56</v>
      </c>
      <c r="B65" s="28"/>
      <c r="C65" s="36"/>
      <c r="D65" s="37"/>
    </row>
    <row r="66" spans="1:4" ht="15">
      <c r="A66" s="13">
        <v>57</v>
      </c>
      <c r="B66" s="28"/>
      <c r="C66" s="36"/>
      <c r="D66" s="37"/>
    </row>
    <row r="67" spans="1:4" ht="15">
      <c r="A67" s="13">
        <v>58</v>
      </c>
      <c r="B67" s="28"/>
      <c r="C67" s="36"/>
      <c r="D67" s="37"/>
    </row>
    <row r="68" spans="1:4" ht="15">
      <c r="A68" s="13">
        <v>59</v>
      </c>
      <c r="B68" s="28"/>
      <c r="C68" s="36"/>
      <c r="D68" s="37"/>
    </row>
    <row r="69" spans="1:4" ht="15">
      <c r="A69" s="12">
        <v>60</v>
      </c>
      <c r="B69" s="31"/>
      <c r="C69" s="38"/>
      <c r="D69" s="39"/>
    </row>
    <row r="70" spans="1:4" ht="15">
      <c r="A70" s="34" t="s">
        <v>12</v>
      </c>
      <c r="B70" s="28"/>
    </row>
    <row r="71" spans="1:4" ht="15">
      <c r="A71" s="34" t="s">
        <v>13</v>
      </c>
      <c r="B71" s="28"/>
    </row>
  </sheetData>
  <phoneticPr fontId="3"/>
  <printOptions heading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71"/>
  <sheetViews>
    <sheetView showGridLines="0" workbookViewId="0" xr3:uid="{51F8DEE0-4D01-5F28-A812-FC0BD7CAC4A5}"/>
  </sheetViews>
  <sheetFormatPr defaultRowHeight="13.5"/>
  <sheetData>
    <row r="1" spans="1:4" ht="15">
      <c r="A1" s="12" t="s">
        <v>0</v>
      </c>
      <c r="B1" s="14"/>
    </row>
    <row r="2" spans="1:4" ht="18">
      <c r="A2" s="15" t="s">
        <v>1</v>
      </c>
      <c r="B2" s="16">
        <v>100</v>
      </c>
      <c r="C2" s="3"/>
    </row>
    <row r="3" spans="1:4" ht="15">
      <c r="A3" s="17" t="s">
        <v>2</v>
      </c>
      <c r="B3" s="18">
        <f>0.25/250</f>
        <v>1E-3</v>
      </c>
      <c r="C3" s="6" t="s">
        <v>3</v>
      </c>
    </row>
    <row r="4" spans="1:4" ht="15">
      <c r="A4" s="17" t="s">
        <v>4</v>
      </c>
      <c r="B4" s="18">
        <f>0.3*SQRT(1/250)</f>
        <v>1.8973665961010275E-2</v>
      </c>
      <c r="C4" s="6" t="s">
        <v>5</v>
      </c>
    </row>
    <row r="5" spans="1:4" ht="15">
      <c r="A5" s="19" t="s">
        <v>6</v>
      </c>
      <c r="B5" s="20">
        <v>60</v>
      </c>
      <c r="C5" s="3"/>
    </row>
    <row r="7" spans="1:4" ht="15">
      <c r="A7" s="12" t="s">
        <v>7</v>
      </c>
      <c r="B7" s="14"/>
      <c r="C7" s="23"/>
      <c r="D7" s="23"/>
    </row>
    <row r="8" spans="1:4" ht="45">
      <c r="A8" s="24" t="s">
        <v>8</v>
      </c>
      <c r="B8" s="25" t="s">
        <v>15</v>
      </c>
      <c r="C8" s="25" t="s">
        <v>10</v>
      </c>
      <c r="D8" s="25" t="s">
        <v>11</v>
      </c>
    </row>
    <row r="9" spans="1:4" ht="15">
      <c r="A9" s="13">
        <v>0</v>
      </c>
      <c r="B9" s="26"/>
      <c r="C9" s="9">
        <f>LN(B2)</f>
        <v>4.6051701859880918</v>
      </c>
      <c r="D9" s="9">
        <f>EXP(C9)</f>
        <v>100.00000000000004</v>
      </c>
    </row>
    <row r="10" spans="1:4" ht="15">
      <c r="A10" s="13">
        <v>1</v>
      </c>
      <c r="B10" s="28" t="e">
        <f t="array" aca="1" ref="B10:B69">B3+B4*_xll.NTRANDNORM(B5)</f>
        <v>#NAME?</v>
      </c>
      <c r="C10" s="36" t="e">
        <f>C9+B10</f>
        <v>#NAME?</v>
      </c>
      <c r="D10" s="37" t="e">
        <f t="shared" ref="D10:D69" si="0">EXP(C10)</f>
        <v>#NAME?</v>
      </c>
    </row>
    <row r="11" spans="1:4" ht="15">
      <c r="A11" s="13">
        <v>2</v>
      </c>
      <c r="B11" s="28" t="e">
        <v>#NAME?</v>
      </c>
      <c r="C11" s="36" t="e">
        <f t="shared" ref="C11:C69" si="1">C10+B11</f>
        <v>#NAME?</v>
      </c>
      <c r="D11" s="37" t="e">
        <f t="shared" si="0"/>
        <v>#NAME?</v>
      </c>
    </row>
    <row r="12" spans="1:4" ht="15">
      <c r="A12" s="13">
        <v>3</v>
      </c>
      <c r="B12" s="28" t="e">
        <v>#NAME?</v>
      </c>
      <c r="C12" s="36" t="e">
        <f t="shared" si="1"/>
        <v>#NAME?</v>
      </c>
      <c r="D12" s="37" t="e">
        <f t="shared" si="0"/>
        <v>#NAME?</v>
      </c>
    </row>
    <row r="13" spans="1:4" ht="15">
      <c r="A13" s="13">
        <v>4</v>
      </c>
      <c r="B13" s="28" t="e">
        <v>#NAME?</v>
      </c>
      <c r="C13" s="36" t="e">
        <f t="shared" si="1"/>
        <v>#NAME?</v>
      </c>
      <c r="D13" s="37" t="e">
        <f t="shared" si="0"/>
        <v>#NAME?</v>
      </c>
    </row>
    <row r="14" spans="1:4" ht="15">
      <c r="A14" s="13">
        <v>5</v>
      </c>
      <c r="B14" s="28" t="e">
        <v>#NAME?</v>
      </c>
      <c r="C14" s="36" t="e">
        <f t="shared" si="1"/>
        <v>#NAME?</v>
      </c>
      <c r="D14" s="37" t="e">
        <f t="shared" si="0"/>
        <v>#NAME?</v>
      </c>
    </row>
    <row r="15" spans="1:4" ht="15">
      <c r="A15" s="13">
        <v>6</v>
      </c>
      <c r="B15" s="28" t="e">
        <v>#NAME?</v>
      </c>
      <c r="C15" s="36" t="e">
        <f t="shared" si="1"/>
        <v>#NAME?</v>
      </c>
      <c r="D15" s="37" t="e">
        <f t="shared" si="0"/>
        <v>#NAME?</v>
      </c>
    </row>
    <row r="16" spans="1:4" ht="15">
      <c r="A16" s="13">
        <v>7</v>
      </c>
      <c r="B16" s="28" t="e">
        <v>#NAME?</v>
      </c>
      <c r="C16" s="36" t="e">
        <f t="shared" si="1"/>
        <v>#NAME?</v>
      </c>
      <c r="D16" s="37" t="e">
        <f t="shared" si="0"/>
        <v>#NAME?</v>
      </c>
    </row>
    <row r="17" spans="1:4" ht="15">
      <c r="A17" s="13">
        <v>8</v>
      </c>
      <c r="B17" s="28" t="e">
        <v>#NAME?</v>
      </c>
      <c r="C17" s="36" t="e">
        <f t="shared" si="1"/>
        <v>#NAME?</v>
      </c>
      <c r="D17" s="37" t="e">
        <f t="shared" si="0"/>
        <v>#NAME?</v>
      </c>
    </row>
    <row r="18" spans="1:4" ht="15">
      <c r="A18" s="13">
        <v>9</v>
      </c>
      <c r="B18" s="28" t="e">
        <v>#NAME?</v>
      </c>
      <c r="C18" s="36" t="e">
        <f t="shared" si="1"/>
        <v>#NAME?</v>
      </c>
      <c r="D18" s="37" t="e">
        <f t="shared" si="0"/>
        <v>#NAME?</v>
      </c>
    </row>
    <row r="19" spans="1:4" ht="15">
      <c r="A19" s="13">
        <v>10</v>
      </c>
      <c r="B19" s="28" t="e">
        <v>#NAME?</v>
      </c>
      <c r="C19" s="36" t="e">
        <f t="shared" si="1"/>
        <v>#NAME?</v>
      </c>
      <c r="D19" s="37" t="e">
        <f t="shared" si="0"/>
        <v>#NAME?</v>
      </c>
    </row>
    <row r="20" spans="1:4" ht="15">
      <c r="A20" s="13">
        <v>11</v>
      </c>
      <c r="B20" s="28" t="e">
        <v>#NAME?</v>
      </c>
      <c r="C20" s="36" t="e">
        <f t="shared" si="1"/>
        <v>#NAME?</v>
      </c>
      <c r="D20" s="37" t="e">
        <f t="shared" si="0"/>
        <v>#NAME?</v>
      </c>
    </row>
    <row r="21" spans="1:4" ht="15">
      <c r="A21" s="13">
        <v>12</v>
      </c>
      <c r="B21" s="28" t="e">
        <v>#NAME?</v>
      </c>
      <c r="C21" s="36" t="e">
        <f t="shared" si="1"/>
        <v>#NAME?</v>
      </c>
      <c r="D21" s="37" t="e">
        <f t="shared" si="0"/>
        <v>#NAME?</v>
      </c>
    </row>
    <row r="22" spans="1:4" ht="15">
      <c r="A22" s="13">
        <v>13</v>
      </c>
      <c r="B22" s="28" t="e">
        <v>#NAME?</v>
      </c>
      <c r="C22" s="36" t="e">
        <f t="shared" si="1"/>
        <v>#NAME?</v>
      </c>
      <c r="D22" s="37" t="e">
        <f t="shared" si="0"/>
        <v>#NAME?</v>
      </c>
    </row>
    <row r="23" spans="1:4" ht="15">
      <c r="A23" s="13">
        <v>14</v>
      </c>
      <c r="B23" s="28" t="e">
        <v>#NAME?</v>
      </c>
      <c r="C23" s="36" t="e">
        <f t="shared" si="1"/>
        <v>#NAME?</v>
      </c>
      <c r="D23" s="37" t="e">
        <f t="shared" si="0"/>
        <v>#NAME?</v>
      </c>
    </row>
    <row r="24" spans="1:4" ht="15">
      <c r="A24" s="13">
        <v>15</v>
      </c>
      <c r="B24" s="28" t="e">
        <v>#NAME?</v>
      </c>
      <c r="C24" s="36" t="e">
        <f t="shared" si="1"/>
        <v>#NAME?</v>
      </c>
      <c r="D24" s="37" t="e">
        <f t="shared" si="0"/>
        <v>#NAME?</v>
      </c>
    </row>
    <row r="25" spans="1:4" ht="15">
      <c r="A25" s="13">
        <v>16</v>
      </c>
      <c r="B25" s="28" t="e">
        <v>#NAME?</v>
      </c>
      <c r="C25" s="36" t="e">
        <f t="shared" si="1"/>
        <v>#NAME?</v>
      </c>
      <c r="D25" s="37" t="e">
        <f t="shared" si="0"/>
        <v>#NAME?</v>
      </c>
    </row>
    <row r="26" spans="1:4" ht="15">
      <c r="A26" s="13">
        <v>17</v>
      </c>
      <c r="B26" s="28" t="e">
        <v>#NAME?</v>
      </c>
      <c r="C26" s="36" t="e">
        <f t="shared" si="1"/>
        <v>#NAME?</v>
      </c>
      <c r="D26" s="37" t="e">
        <f t="shared" si="0"/>
        <v>#NAME?</v>
      </c>
    </row>
    <row r="27" spans="1:4" ht="15">
      <c r="A27" s="13">
        <v>18</v>
      </c>
      <c r="B27" s="28" t="e">
        <v>#NAME?</v>
      </c>
      <c r="C27" s="36" t="e">
        <f t="shared" si="1"/>
        <v>#NAME?</v>
      </c>
      <c r="D27" s="37" t="e">
        <f t="shared" si="0"/>
        <v>#NAME?</v>
      </c>
    </row>
    <row r="28" spans="1:4" ht="15">
      <c r="A28" s="13">
        <v>19</v>
      </c>
      <c r="B28" s="28" t="e">
        <v>#NAME?</v>
      </c>
      <c r="C28" s="36" t="e">
        <f t="shared" si="1"/>
        <v>#NAME?</v>
      </c>
      <c r="D28" s="37" t="e">
        <f t="shared" si="0"/>
        <v>#NAME?</v>
      </c>
    </row>
    <row r="29" spans="1:4" ht="15">
      <c r="A29" s="13">
        <v>20</v>
      </c>
      <c r="B29" s="28" t="e">
        <v>#NAME?</v>
      </c>
      <c r="C29" s="36" t="e">
        <f t="shared" si="1"/>
        <v>#NAME?</v>
      </c>
      <c r="D29" s="37" t="e">
        <f t="shared" si="0"/>
        <v>#NAME?</v>
      </c>
    </row>
    <row r="30" spans="1:4" ht="15">
      <c r="A30" s="13">
        <v>21</v>
      </c>
      <c r="B30" s="28" t="e">
        <v>#NAME?</v>
      </c>
      <c r="C30" s="36" t="e">
        <f t="shared" si="1"/>
        <v>#NAME?</v>
      </c>
      <c r="D30" s="37" t="e">
        <f t="shared" si="0"/>
        <v>#NAME?</v>
      </c>
    </row>
    <row r="31" spans="1:4" ht="15">
      <c r="A31" s="13">
        <v>22</v>
      </c>
      <c r="B31" s="28" t="e">
        <v>#NAME?</v>
      </c>
      <c r="C31" s="36" t="e">
        <f t="shared" si="1"/>
        <v>#NAME?</v>
      </c>
      <c r="D31" s="37" t="e">
        <f t="shared" si="0"/>
        <v>#NAME?</v>
      </c>
    </row>
    <row r="32" spans="1:4" ht="15">
      <c r="A32" s="13">
        <v>23</v>
      </c>
      <c r="B32" s="28" t="e">
        <v>#NAME?</v>
      </c>
      <c r="C32" s="36" t="e">
        <f t="shared" si="1"/>
        <v>#NAME?</v>
      </c>
      <c r="D32" s="37" t="e">
        <f t="shared" si="0"/>
        <v>#NAME?</v>
      </c>
    </row>
    <row r="33" spans="1:4" ht="15">
      <c r="A33" s="13">
        <v>24</v>
      </c>
      <c r="B33" s="28" t="e">
        <v>#NAME?</v>
      </c>
      <c r="C33" s="36" t="e">
        <f t="shared" si="1"/>
        <v>#NAME?</v>
      </c>
      <c r="D33" s="37" t="e">
        <f t="shared" si="0"/>
        <v>#NAME?</v>
      </c>
    </row>
    <row r="34" spans="1:4" ht="15">
      <c r="A34" s="13">
        <v>25</v>
      </c>
      <c r="B34" s="28" t="e">
        <v>#NAME?</v>
      </c>
      <c r="C34" s="36" t="e">
        <f t="shared" si="1"/>
        <v>#NAME?</v>
      </c>
      <c r="D34" s="37" t="e">
        <f t="shared" si="0"/>
        <v>#NAME?</v>
      </c>
    </row>
    <row r="35" spans="1:4" ht="15">
      <c r="A35" s="13">
        <v>26</v>
      </c>
      <c r="B35" s="28" t="e">
        <v>#NAME?</v>
      </c>
      <c r="C35" s="36" t="e">
        <f t="shared" si="1"/>
        <v>#NAME?</v>
      </c>
      <c r="D35" s="37" t="e">
        <f t="shared" si="0"/>
        <v>#NAME?</v>
      </c>
    </row>
    <row r="36" spans="1:4" ht="15">
      <c r="A36" s="13">
        <v>27</v>
      </c>
      <c r="B36" s="28" t="e">
        <v>#NAME?</v>
      </c>
      <c r="C36" s="36" t="e">
        <f t="shared" si="1"/>
        <v>#NAME?</v>
      </c>
      <c r="D36" s="37" t="e">
        <f t="shared" si="0"/>
        <v>#NAME?</v>
      </c>
    </row>
    <row r="37" spans="1:4" ht="15">
      <c r="A37" s="13">
        <v>28</v>
      </c>
      <c r="B37" s="28" t="e">
        <v>#NAME?</v>
      </c>
      <c r="C37" s="36" t="e">
        <f t="shared" si="1"/>
        <v>#NAME?</v>
      </c>
      <c r="D37" s="37" t="e">
        <f t="shared" si="0"/>
        <v>#NAME?</v>
      </c>
    </row>
    <row r="38" spans="1:4" ht="15">
      <c r="A38" s="13">
        <v>29</v>
      </c>
      <c r="B38" s="28" t="e">
        <v>#NAME?</v>
      </c>
      <c r="C38" s="36" t="e">
        <f t="shared" si="1"/>
        <v>#NAME?</v>
      </c>
      <c r="D38" s="37" t="e">
        <f t="shared" si="0"/>
        <v>#NAME?</v>
      </c>
    </row>
    <row r="39" spans="1:4" ht="15">
      <c r="A39" s="13">
        <v>30</v>
      </c>
      <c r="B39" s="28" t="e">
        <v>#NAME?</v>
      </c>
      <c r="C39" s="36" t="e">
        <f t="shared" si="1"/>
        <v>#NAME?</v>
      </c>
      <c r="D39" s="37" t="e">
        <f t="shared" si="0"/>
        <v>#NAME?</v>
      </c>
    </row>
    <row r="40" spans="1:4" ht="15">
      <c r="A40" s="13">
        <v>31</v>
      </c>
      <c r="B40" s="28" t="e">
        <v>#NAME?</v>
      </c>
      <c r="C40" s="36" t="e">
        <f t="shared" si="1"/>
        <v>#NAME?</v>
      </c>
      <c r="D40" s="37" t="e">
        <f t="shared" si="0"/>
        <v>#NAME?</v>
      </c>
    </row>
    <row r="41" spans="1:4" ht="15">
      <c r="A41" s="13">
        <v>32</v>
      </c>
      <c r="B41" s="28" t="e">
        <v>#NAME?</v>
      </c>
      <c r="C41" s="36" t="e">
        <f t="shared" si="1"/>
        <v>#NAME?</v>
      </c>
      <c r="D41" s="37" t="e">
        <f t="shared" si="0"/>
        <v>#NAME?</v>
      </c>
    </row>
    <row r="42" spans="1:4" ht="15">
      <c r="A42" s="13">
        <v>33</v>
      </c>
      <c r="B42" s="28" t="e">
        <v>#NAME?</v>
      </c>
      <c r="C42" s="36" t="e">
        <f t="shared" si="1"/>
        <v>#NAME?</v>
      </c>
      <c r="D42" s="37" t="e">
        <f t="shared" si="0"/>
        <v>#NAME?</v>
      </c>
    </row>
    <row r="43" spans="1:4" ht="15">
      <c r="A43" s="13">
        <v>34</v>
      </c>
      <c r="B43" s="28" t="e">
        <v>#NAME?</v>
      </c>
      <c r="C43" s="36" t="e">
        <f t="shared" si="1"/>
        <v>#NAME?</v>
      </c>
      <c r="D43" s="37" t="e">
        <f t="shared" si="0"/>
        <v>#NAME?</v>
      </c>
    </row>
    <row r="44" spans="1:4" ht="15">
      <c r="A44" s="13">
        <v>35</v>
      </c>
      <c r="B44" s="28" t="e">
        <v>#NAME?</v>
      </c>
      <c r="C44" s="36" t="e">
        <f t="shared" si="1"/>
        <v>#NAME?</v>
      </c>
      <c r="D44" s="37" t="e">
        <f t="shared" si="0"/>
        <v>#NAME?</v>
      </c>
    </row>
    <row r="45" spans="1:4" ht="15">
      <c r="A45" s="13">
        <v>36</v>
      </c>
      <c r="B45" s="28" t="e">
        <v>#NAME?</v>
      </c>
      <c r="C45" s="36" t="e">
        <f t="shared" si="1"/>
        <v>#NAME?</v>
      </c>
      <c r="D45" s="37" t="e">
        <f t="shared" si="0"/>
        <v>#NAME?</v>
      </c>
    </row>
    <row r="46" spans="1:4" ht="15">
      <c r="A46" s="13">
        <v>37</v>
      </c>
      <c r="B46" s="28" t="e">
        <v>#NAME?</v>
      </c>
      <c r="C46" s="36" t="e">
        <f t="shared" si="1"/>
        <v>#NAME?</v>
      </c>
      <c r="D46" s="37" t="e">
        <f t="shared" si="0"/>
        <v>#NAME?</v>
      </c>
    </row>
    <row r="47" spans="1:4" ht="15">
      <c r="A47" s="13">
        <v>38</v>
      </c>
      <c r="B47" s="28" t="e">
        <v>#NAME?</v>
      </c>
      <c r="C47" s="36" t="e">
        <f t="shared" si="1"/>
        <v>#NAME?</v>
      </c>
      <c r="D47" s="37" t="e">
        <f t="shared" si="0"/>
        <v>#NAME?</v>
      </c>
    </row>
    <row r="48" spans="1:4" ht="15">
      <c r="A48" s="13">
        <v>39</v>
      </c>
      <c r="B48" s="28" t="e">
        <v>#NAME?</v>
      </c>
      <c r="C48" s="36" t="e">
        <f t="shared" si="1"/>
        <v>#NAME?</v>
      </c>
      <c r="D48" s="37" t="e">
        <f t="shared" si="0"/>
        <v>#NAME?</v>
      </c>
    </row>
    <row r="49" spans="1:4" ht="15">
      <c r="A49" s="13">
        <v>40</v>
      </c>
      <c r="B49" s="28" t="e">
        <v>#NAME?</v>
      </c>
      <c r="C49" s="36" t="e">
        <f t="shared" si="1"/>
        <v>#NAME?</v>
      </c>
      <c r="D49" s="37" t="e">
        <f t="shared" si="0"/>
        <v>#NAME?</v>
      </c>
    </row>
    <row r="50" spans="1:4" ht="15">
      <c r="A50" s="13">
        <v>41</v>
      </c>
      <c r="B50" s="28" t="e">
        <v>#NAME?</v>
      </c>
      <c r="C50" s="36" t="e">
        <f t="shared" si="1"/>
        <v>#NAME?</v>
      </c>
      <c r="D50" s="37" t="e">
        <f t="shared" si="0"/>
        <v>#NAME?</v>
      </c>
    </row>
    <row r="51" spans="1:4" ht="15">
      <c r="A51" s="13">
        <v>42</v>
      </c>
      <c r="B51" s="28" t="e">
        <v>#NAME?</v>
      </c>
      <c r="C51" s="36" t="e">
        <f t="shared" si="1"/>
        <v>#NAME?</v>
      </c>
      <c r="D51" s="37" t="e">
        <f t="shared" si="0"/>
        <v>#NAME?</v>
      </c>
    </row>
    <row r="52" spans="1:4" ht="15">
      <c r="A52" s="13">
        <v>43</v>
      </c>
      <c r="B52" s="28" t="e">
        <v>#NAME?</v>
      </c>
      <c r="C52" s="36" t="e">
        <f t="shared" si="1"/>
        <v>#NAME?</v>
      </c>
      <c r="D52" s="37" t="e">
        <f t="shared" si="0"/>
        <v>#NAME?</v>
      </c>
    </row>
    <row r="53" spans="1:4" ht="15">
      <c r="A53" s="13">
        <v>44</v>
      </c>
      <c r="B53" s="28" t="e">
        <v>#NAME?</v>
      </c>
      <c r="C53" s="36" t="e">
        <f t="shared" si="1"/>
        <v>#NAME?</v>
      </c>
      <c r="D53" s="37" t="e">
        <f t="shared" si="0"/>
        <v>#NAME?</v>
      </c>
    </row>
    <row r="54" spans="1:4" ht="15">
      <c r="A54" s="13">
        <v>45</v>
      </c>
      <c r="B54" s="28" t="e">
        <v>#NAME?</v>
      </c>
      <c r="C54" s="36" t="e">
        <f t="shared" si="1"/>
        <v>#NAME?</v>
      </c>
      <c r="D54" s="37" t="e">
        <f t="shared" si="0"/>
        <v>#NAME?</v>
      </c>
    </row>
    <row r="55" spans="1:4" ht="15">
      <c r="A55" s="13">
        <v>46</v>
      </c>
      <c r="B55" s="28" t="e">
        <v>#NAME?</v>
      </c>
      <c r="C55" s="36" t="e">
        <f t="shared" si="1"/>
        <v>#NAME?</v>
      </c>
      <c r="D55" s="37" t="e">
        <f t="shared" si="0"/>
        <v>#NAME?</v>
      </c>
    </row>
    <row r="56" spans="1:4" ht="15">
      <c r="A56" s="13">
        <v>47</v>
      </c>
      <c r="B56" s="28" t="e">
        <v>#NAME?</v>
      </c>
      <c r="C56" s="36" t="e">
        <f t="shared" si="1"/>
        <v>#NAME?</v>
      </c>
      <c r="D56" s="37" t="e">
        <f t="shared" si="0"/>
        <v>#NAME?</v>
      </c>
    </row>
    <row r="57" spans="1:4" ht="15">
      <c r="A57" s="13">
        <v>48</v>
      </c>
      <c r="B57" s="28" t="e">
        <v>#NAME?</v>
      </c>
      <c r="C57" s="36" t="e">
        <f t="shared" si="1"/>
        <v>#NAME?</v>
      </c>
      <c r="D57" s="37" t="e">
        <f t="shared" si="0"/>
        <v>#NAME?</v>
      </c>
    </row>
    <row r="58" spans="1:4" ht="15">
      <c r="A58" s="13">
        <v>49</v>
      </c>
      <c r="B58" s="28" t="e">
        <v>#NAME?</v>
      </c>
      <c r="C58" s="36" t="e">
        <f t="shared" si="1"/>
        <v>#NAME?</v>
      </c>
      <c r="D58" s="37" t="e">
        <f t="shared" si="0"/>
        <v>#NAME?</v>
      </c>
    </row>
    <row r="59" spans="1:4" ht="15">
      <c r="A59" s="13">
        <v>50</v>
      </c>
      <c r="B59" s="28" t="e">
        <v>#NAME?</v>
      </c>
      <c r="C59" s="36" t="e">
        <f t="shared" si="1"/>
        <v>#NAME?</v>
      </c>
      <c r="D59" s="37" t="e">
        <f t="shared" si="0"/>
        <v>#NAME?</v>
      </c>
    </row>
    <row r="60" spans="1:4" ht="15">
      <c r="A60" s="13">
        <v>51</v>
      </c>
      <c r="B60" s="28" t="e">
        <v>#NAME?</v>
      </c>
      <c r="C60" s="36" t="e">
        <f t="shared" si="1"/>
        <v>#NAME?</v>
      </c>
      <c r="D60" s="37" t="e">
        <f t="shared" si="0"/>
        <v>#NAME?</v>
      </c>
    </row>
    <row r="61" spans="1:4" ht="15">
      <c r="A61" s="13">
        <v>52</v>
      </c>
      <c r="B61" s="28" t="e">
        <v>#NAME?</v>
      </c>
      <c r="C61" s="36" t="e">
        <f t="shared" si="1"/>
        <v>#NAME?</v>
      </c>
      <c r="D61" s="37" t="e">
        <f t="shared" si="0"/>
        <v>#NAME?</v>
      </c>
    </row>
    <row r="62" spans="1:4" ht="15">
      <c r="A62" s="13">
        <v>53</v>
      </c>
      <c r="B62" s="28" t="e">
        <v>#NAME?</v>
      </c>
      <c r="C62" s="36" t="e">
        <f t="shared" si="1"/>
        <v>#NAME?</v>
      </c>
      <c r="D62" s="37" t="e">
        <f t="shared" si="0"/>
        <v>#NAME?</v>
      </c>
    </row>
    <row r="63" spans="1:4" ht="15">
      <c r="A63" s="13">
        <v>54</v>
      </c>
      <c r="B63" s="28" t="e">
        <v>#NAME?</v>
      </c>
      <c r="C63" s="36" t="e">
        <f t="shared" si="1"/>
        <v>#NAME?</v>
      </c>
      <c r="D63" s="37" t="e">
        <f t="shared" si="0"/>
        <v>#NAME?</v>
      </c>
    </row>
    <row r="64" spans="1:4" ht="15">
      <c r="A64" s="13">
        <v>55</v>
      </c>
      <c r="B64" s="28" t="e">
        <v>#NAME?</v>
      </c>
      <c r="C64" s="36" t="e">
        <f t="shared" si="1"/>
        <v>#NAME?</v>
      </c>
      <c r="D64" s="37" t="e">
        <f t="shared" si="0"/>
        <v>#NAME?</v>
      </c>
    </row>
    <row r="65" spans="1:4" ht="15">
      <c r="A65" s="13">
        <v>56</v>
      </c>
      <c r="B65" s="28" t="e">
        <v>#NAME?</v>
      </c>
      <c r="C65" s="36" t="e">
        <f t="shared" si="1"/>
        <v>#NAME?</v>
      </c>
      <c r="D65" s="37" t="e">
        <f t="shared" si="0"/>
        <v>#NAME?</v>
      </c>
    </row>
    <row r="66" spans="1:4" ht="15">
      <c r="A66" s="13">
        <v>57</v>
      </c>
      <c r="B66" s="28" t="e">
        <v>#NAME?</v>
      </c>
      <c r="C66" s="36" t="e">
        <f t="shared" si="1"/>
        <v>#NAME?</v>
      </c>
      <c r="D66" s="37" t="e">
        <f t="shared" si="0"/>
        <v>#NAME?</v>
      </c>
    </row>
    <row r="67" spans="1:4" ht="15">
      <c r="A67" s="13">
        <v>58</v>
      </c>
      <c r="B67" s="28" t="e">
        <v>#NAME?</v>
      </c>
      <c r="C67" s="36" t="e">
        <f t="shared" si="1"/>
        <v>#NAME?</v>
      </c>
      <c r="D67" s="37" t="e">
        <f t="shared" si="0"/>
        <v>#NAME?</v>
      </c>
    </row>
    <row r="68" spans="1:4" ht="15">
      <c r="A68" s="13">
        <v>59</v>
      </c>
      <c r="B68" s="28" t="e">
        <v>#NAME?</v>
      </c>
      <c r="C68" s="36" t="e">
        <f t="shared" si="1"/>
        <v>#NAME?</v>
      </c>
      <c r="D68" s="37" t="e">
        <f t="shared" si="0"/>
        <v>#NAME?</v>
      </c>
    </row>
    <row r="69" spans="1:4" ht="15">
      <c r="A69" s="12">
        <v>60</v>
      </c>
      <c r="B69" s="31" t="e">
        <v>#NAME?</v>
      </c>
      <c r="C69" s="38" t="e">
        <f t="shared" si="1"/>
        <v>#NAME?</v>
      </c>
      <c r="D69" s="39" t="e">
        <f t="shared" si="0"/>
        <v>#NAME?</v>
      </c>
    </row>
    <row r="70" spans="1:4" ht="15">
      <c r="A70" s="34" t="s">
        <v>12</v>
      </c>
      <c r="B70" s="28" t="e">
        <f>AVERAGE(B10:B69)</f>
        <v>#NAME?</v>
      </c>
    </row>
    <row r="71" spans="1:4" ht="15">
      <c r="A71" s="34" t="s">
        <v>13</v>
      </c>
      <c r="B71" s="28" t="e">
        <f>_xlfn.STDEV.P(B10:B69)</f>
        <v>#NAME?</v>
      </c>
    </row>
  </sheetData>
  <phoneticPr fontId="3"/>
  <printOptions heading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64"/>
  <sheetViews>
    <sheetView showGridLines="0" zoomScaleNormal="100" zoomScaleSheetLayoutView="115" workbookViewId="0" xr3:uid="{F9CF3CF3-643B-5BE6-8B46-32C596A47465}"/>
  </sheetViews>
  <sheetFormatPr defaultRowHeight="15"/>
  <cols>
    <col min="1" max="1" width="17.75" style="3" bestFit="1" customWidth="1"/>
    <col min="2" max="2" width="6.375" style="3" bestFit="1" customWidth="1"/>
    <col min="3" max="3" width="17.625" style="3" customWidth="1"/>
    <col min="4" max="4" width="14.75" style="13" bestFit="1" customWidth="1"/>
    <col min="5" max="5" width="12.5" style="3" bestFit="1" customWidth="1"/>
    <col min="6" max="6" width="14.375" style="3" bestFit="1" customWidth="1"/>
    <col min="7" max="223" width="9" style="3"/>
    <col min="224" max="224" width="24.25" style="3" customWidth="1"/>
    <col min="225" max="479" width="9" style="3"/>
    <col min="480" max="480" width="24.25" style="3" customWidth="1"/>
    <col min="481" max="735" width="9" style="3"/>
    <col min="736" max="736" width="24.25" style="3" customWidth="1"/>
    <col min="737" max="991" width="9" style="3"/>
    <col min="992" max="992" width="24.25" style="3" customWidth="1"/>
    <col min="993" max="1247" width="9" style="3"/>
    <col min="1248" max="1248" width="24.25" style="3" customWidth="1"/>
    <col min="1249" max="1503" width="9" style="3"/>
    <col min="1504" max="1504" width="24.25" style="3" customWidth="1"/>
    <col min="1505" max="1759" width="9" style="3"/>
    <col min="1760" max="1760" width="24.25" style="3" customWidth="1"/>
    <col min="1761" max="2015" width="9" style="3"/>
    <col min="2016" max="2016" width="24.25" style="3" customWidth="1"/>
    <col min="2017" max="2271" width="9" style="3"/>
    <col min="2272" max="2272" width="24.25" style="3" customWidth="1"/>
    <col min="2273" max="2527" width="9" style="3"/>
    <col min="2528" max="2528" width="24.25" style="3" customWidth="1"/>
    <col min="2529" max="2783" width="9" style="3"/>
    <col min="2784" max="2784" width="24.25" style="3" customWidth="1"/>
    <col min="2785" max="3039" width="9" style="3"/>
    <col min="3040" max="3040" width="24.25" style="3" customWidth="1"/>
    <col min="3041" max="3295" width="9" style="3"/>
    <col min="3296" max="3296" width="24.25" style="3" customWidth="1"/>
    <col min="3297" max="3551" width="9" style="3"/>
    <col min="3552" max="3552" width="24.25" style="3" customWidth="1"/>
    <col min="3553" max="3807" width="9" style="3"/>
    <col min="3808" max="3808" width="24.25" style="3" customWidth="1"/>
    <col min="3809" max="4063" width="9" style="3"/>
    <col min="4064" max="4064" width="24.25" style="3" customWidth="1"/>
    <col min="4065" max="4319" width="9" style="3"/>
    <col min="4320" max="4320" width="24.25" style="3" customWidth="1"/>
    <col min="4321" max="4575" width="9" style="3"/>
    <col min="4576" max="4576" width="24.25" style="3" customWidth="1"/>
    <col min="4577" max="4831" width="9" style="3"/>
    <col min="4832" max="4832" width="24.25" style="3" customWidth="1"/>
    <col min="4833" max="5087" width="9" style="3"/>
    <col min="5088" max="5088" width="24.25" style="3" customWidth="1"/>
    <col min="5089" max="5343" width="9" style="3"/>
    <col min="5344" max="5344" width="24.25" style="3" customWidth="1"/>
    <col min="5345" max="5599" width="9" style="3"/>
    <col min="5600" max="5600" width="24.25" style="3" customWidth="1"/>
    <col min="5601" max="5855" width="9" style="3"/>
    <col min="5856" max="5856" width="24.25" style="3" customWidth="1"/>
    <col min="5857" max="6111" width="9" style="3"/>
    <col min="6112" max="6112" width="24.25" style="3" customWidth="1"/>
    <col min="6113" max="6367" width="9" style="3"/>
    <col min="6368" max="6368" width="24.25" style="3" customWidth="1"/>
    <col min="6369" max="6623" width="9" style="3"/>
    <col min="6624" max="6624" width="24.25" style="3" customWidth="1"/>
    <col min="6625" max="6879" width="9" style="3"/>
    <col min="6880" max="6880" width="24.25" style="3" customWidth="1"/>
    <col min="6881" max="7135" width="9" style="3"/>
    <col min="7136" max="7136" width="24.25" style="3" customWidth="1"/>
    <col min="7137" max="7391" width="9" style="3"/>
    <col min="7392" max="7392" width="24.25" style="3" customWidth="1"/>
    <col min="7393" max="7647" width="9" style="3"/>
    <col min="7648" max="7648" width="24.25" style="3" customWidth="1"/>
    <col min="7649" max="7903" width="9" style="3"/>
    <col min="7904" max="7904" width="24.25" style="3" customWidth="1"/>
    <col min="7905" max="8159" width="9" style="3"/>
    <col min="8160" max="8160" width="24.25" style="3" customWidth="1"/>
    <col min="8161" max="8415" width="9" style="3"/>
    <col min="8416" max="8416" width="24.25" style="3" customWidth="1"/>
    <col min="8417" max="8671" width="9" style="3"/>
    <col min="8672" max="8672" width="24.25" style="3" customWidth="1"/>
    <col min="8673" max="8927" width="9" style="3"/>
    <col min="8928" max="8928" width="24.25" style="3" customWidth="1"/>
    <col min="8929" max="9183" width="9" style="3"/>
    <col min="9184" max="9184" width="24.25" style="3" customWidth="1"/>
    <col min="9185" max="9439" width="9" style="3"/>
    <col min="9440" max="9440" width="24.25" style="3" customWidth="1"/>
    <col min="9441" max="9695" width="9" style="3"/>
    <col min="9696" max="9696" width="24.25" style="3" customWidth="1"/>
    <col min="9697" max="9951" width="9" style="3"/>
    <col min="9952" max="9952" width="24.25" style="3" customWidth="1"/>
    <col min="9953" max="10207" width="9" style="3"/>
    <col min="10208" max="10208" width="24.25" style="3" customWidth="1"/>
    <col min="10209" max="10463" width="9" style="3"/>
    <col min="10464" max="10464" width="24.25" style="3" customWidth="1"/>
    <col min="10465" max="10719" width="9" style="3"/>
    <col min="10720" max="10720" width="24.25" style="3" customWidth="1"/>
    <col min="10721" max="10975" width="9" style="3"/>
    <col min="10976" max="10976" width="24.25" style="3" customWidth="1"/>
    <col min="10977" max="11231" width="9" style="3"/>
    <col min="11232" max="11232" width="24.25" style="3" customWidth="1"/>
    <col min="11233" max="11487" width="9" style="3"/>
    <col min="11488" max="11488" width="24.25" style="3" customWidth="1"/>
    <col min="11489" max="11743" width="9" style="3"/>
    <col min="11744" max="11744" width="24.25" style="3" customWidth="1"/>
    <col min="11745" max="11999" width="9" style="3"/>
    <col min="12000" max="12000" width="24.25" style="3" customWidth="1"/>
    <col min="12001" max="12255" width="9" style="3"/>
    <col min="12256" max="12256" width="24.25" style="3" customWidth="1"/>
    <col min="12257" max="12511" width="9" style="3"/>
    <col min="12512" max="12512" width="24.25" style="3" customWidth="1"/>
    <col min="12513" max="12767" width="9" style="3"/>
    <col min="12768" max="12768" width="24.25" style="3" customWidth="1"/>
    <col min="12769" max="13023" width="9" style="3"/>
    <col min="13024" max="13024" width="24.25" style="3" customWidth="1"/>
    <col min="13025" max="13279" width="9" style="3"/>
    <col min="13280" max="13280" width="24.25" style="3" customWidth="1"/>
    <col min="13281" max="13535" width="9" style="3"/>
    <col min="13536" max="13536" width="24.25" style="3" customWidth="1"/>
    <col min="13537" max="13791" width="9" style="3"/>
    <col min="13792" max="13792" width="24.25" style="3" customWidth="1"/>
    <col min="13793" max="14047" width="9" style="3"/>
    <col min="14048" max="14048" width="24.25" style="3" customWidth="1"/>
    <col min="14049" max="14303" width="9" style="3"/>
    <col min="14304" max="14304" width="24.25" style="3" customWidth="1"/>
    <col min="14305" max="14559" width="9" style="3"/>
    <col min="14560" max="14560" width="24.25" style="3" customWidth="1"/>
    <col min="14561" max="14815" width="9" style="3"/>
    <col min="14816" max="14816" width="24.25" style="3" customWidth="1"/>
    <col min="14817" max="15071" width="9" style="3"/>
    <col min="15072" max="15072" width="24.25" style="3" customWidth="1"/>
    <col min="15073" max="15327" width="9" style="3"/>
    <col min="15328" max="15328" width="24.25" style="3" customWidth="1"/>
    <col min="15329" max="15583" width="9" style="3"/>
    <col min="15584" max="15584" width="24.25" style="3" customWidth="1"/>
    <col min="15585" max="15839" width="9" style="3"/>
    <col min="15840" max="15840" width="24.25" style="3" customWidth="1"/>
    <col min="15841" max="16095" width="9" style="3"/>
    <col min="16096" max="16096" width="24.25" style="3" customWidth="1"/>
    <col min="16097" max="16384" width="9" style="3"/>
  </cols>
  <sheetData>
    <row r="1" spans="1:6" ht="18">
      <c r="A1" s="1" t="s">
        <v>16</v>
      </c>
      <c r="B1" s="2">
        <v>100</v>
      </c>
      <c r="D1" s="12" t="s">
        <v>17</v>
      </c>
      <c r="E1" s="10" t="s">
        <v>18</v>
      </c>
      <c r="F1" s="10" t="s">
        <v>19</v>
      </c>
    </row>
    <row r="2" spans="1:6">
      <c r="A2" s="4" t="s">
        <v>20</v>
      </c>
      <c r="B2" s="5">
        <f>0.25/250</f>
        <v>1E-3</v>
      </c>
      <c r="C2" s="6" t="s">
        <v>3</v>
      </c>
      <c r="D2" s="13">
        <v>0</v>
      </c>
      <c r="E2" s="3">
        <v>100</v>
      </c>
    </row>
    <row r="3" spans="1:6">
      <c r="A3" s="4" t="s">
        <v>21</v>
      </c>
      <c r="B3" s="5">
        <f>0.3*SQRT(1/250)</f>
        <v>1.8973665961010275E-2</v>
      </c>
      <c r="C3" s="6" t="s">
        <v>5</v>
      </c>
      <c r="D3" s="13">
        <v>1</v>
      </c>
      <c r="E3" s="9" t="e">
        <f ca="1">$E$2*EXP($F$3)</f>
        <v>#NAME?</v>
      </c>
      <c r="F3" s="9" t="e">
        <f t="array" aca="1" ref="F3:F62" ca="1">0.001+0.0189736659610103*_xll.NTRANDNORM(60, 0, RAND()*2147483647, RAND()*2147483647)</f>
        <v>#NAME?</v>
      </c>
    </row>
    <row r="4" spans="1:6">
      <c r="A4" s="4" t="s">
        <v>22</v>
      </c>
      <c r="B4" s="7">
        <v>60</v>
      </c>
      <c r="D4" s="13">
        <v>2</v>
      </c>
      <c r="E4" s="9" t="e">
        <f ca="1">$E$3*EXP($F$4)</f>
        <v>#NAME?</v>
      </c>
      <c r="F4" s="9" t="e">
        <f ca="1"/>
        <v>#NAME?</v>
      </c>
    </row>
    <row r="5" spans="1:6">
      <c r="A5" s="8" t="s">
        <v>23</v>
      </c>
      <c r="B5" s="8">
        <v>25</v>
      </c>
      <c r="D5" s="13">
        <v>3</v>
      </c>
      <c r="E5" s="9" t="e">
        <f ca="1">$E$4*EXP($F$5)</f>
        <v>#NAME?</v>
      </c>
      <c r="F5" s="9" t="e">
        <f ca="1"/>
        <v>#NAME?</v>
      </c>
    </row>
    <row r="6" spans="1:6">
      <c r="D6" s="13">
        <v>4</v>
      </c>
      <c r="E6" s="9" t="e">
        <f ca="1">$E$5*EXP($F$6)</f>
        <v>#NAME?</v>
      </c>
      <c r="F6" s="9" t="e">
        <f ca="1"/>
        <v>#NAME?</v>
      </c>
    </row>
    <row r="7" spans="1:6">
      <c r="D7" s="13">
        <v>5</v>
      </c>
      <c r="E7" s="9" t="e">
        <f ca="1">$E$6*EXP($F$7)</f>
        <v>#NAME?</v>
      </c>
      <c r="F7" s="9" t="e">
        <f ca="1"/>
        <v>#NAME?</v>
      </c>
    </row>
    <row r="8" spans="1:6">
      <c r="D8" s="13">
        <v>6</v>
      </c>
      <c r="E8" s="9" t="e">
        <f ca="1">$E$7*EXP($F$8)</f>
        <v>#NAME?</v>
      </c>
      <c r="F8" s="9" t="e">
        <f ca="1"/>
        <v>#NAME?</v>
      </c>
    </row>
    <row r="9" spans="1:6">
      <c r="D9" s="13">
        <v>7</v>
      </c>
      <c r="E9" s="9" t="e">
        <f ca="1">$E$8*EXP($F$9)</f>
        <v>#NAME?</v>
      </c>
      <c r="F9" s="9" t="e">
        <f ca="1"/>
        <v>#NAME?</v>
      </c>
    </row>
    <row r="10" spans="1:6">
      <c r="D10" s="13">
        <v>8</v>
      </c>
      <c r="E10" s="9" t="e">
        <f ca="1">$E$9*EXP($F$10)</f>
        <v>#NAME?</v>
      </c>
      <c r="F10" s="9" t="e">
        <f ca="1"/>
        <v>#NAME?</v>
      </c>
    </row>
    <row r="11" spans="1:6">
      <c r="D11" s="13">
        <v>9</v>
      </c>
      <c r="E11" s="9" t="e">
        <f ca="1">$E$10*EXP($F$11)</f>
        <v>#NAME?</v>
      </c>
      <c r="F11" s="9" t="e">
        <f ca="1"/>
        <v>#NAME?</v>
      </c>
    </row>
    <row r="12" spans="1:6">
      <c r="D12" s="13">
        <v>10</v>
      </c>
      <c r="E12" s="9" t="e">
        <f ca="1">$E$11*EXP($F$12)</f>
        <v>#NAME?</v>
      </c>
      <c r="F12" s="9" t="e">
        <f ca="1"/>
        <v>#NAME?</v>
      </c>
    </row>
    <row r="13" spans="1:6">
      <c r="D13" s="13">
        <v>11</v>
      </c>
      <c r="E13" s="9" t="e">
        <f ca="1">$E$12*EXP($F$13)</f>
        <v>#NAME?</v>
      </c>
      <c r="F13" s="9" t="e">
        <f ca="1"/>
        <v>#NAME?</v>
      </c>
    </row>
    <row r="14" spans="1:6">
      <c r="D14" s="13">
        <v>12</v>
      </c>
      <c r="E14" s="9" t="e">
        <f ca="1">$E$13*EXP($F$14)</f>
        <v>#NAME?</v>
      </c>
      <c r="F14" s="9" t="e">
        <f ca="1"/>
        <v>#NAME?</v>
      </c>
    </row>
    <row r="15" spans="1:6">
      <c r="D15" s="13">
        <v>13</v>
      </c>
      <c r="E15" s="9" t="e">
        <f ca="1">$E$14*EXP($F$15)</f>
        <v>#NAME?</v>
      </c>
      <c r="F15" s="9" t="e">
        <f ca="1"/>
        <v>#NAME?</v>
      </c>
    </row>
    <row r="16" spans="1:6">
      <c r="D16" s="13">
        <v>14</v>
      </c>
      <c r="E16" s="9" t="e">
        <f ca="1">$E$15*EXP($F$16)</f>
        <v>#NAME?</v>
      </c>
      <c r="F16" s="9" t="e">
        <f ca="1"/>
        <v>#NAME?</v>
      </c>
    </row>
    <row r="17" spans="4:6">
      <c r="D17" s="13">
        <v>15</v>
      </c>
      <c r="E17" s="9" t="e">
        <f ca="1">$E$16*EXP($F$17)</f>
        <v>#NAME?</v>
      </c>
      <c r="F17" s="9" t="e">
        <f ca="1"/>
        <v>#NAME?</v>
      </c>
    </row>
    <row r="18" spans="4:6">
      <c r="D18" s="13">
        <v>16</v>
      </c>
      <c r="E18" s="9" t="e">
        <f ca="1">$E$17*EXP($F$18)</f>
        <v>#NAME?</v>
      </c>
      <c r="F18" s="9" t="e">
        <f ca="1"/>
        <v>#NAME?</v>
      </c>
    </row>
    <row r="19" spans="4:6">
      <c r="D19" s="13">
        <v>17</v>
      </c>
      <c r="E19" s="9" t="e">
        <f ca="1">$E$18*EXP($F$19)</f>
        <v>#NAME?</v>
      </c>
      <c r="F19" s="9" t="e">
        <f ca="1"/>
        <v>#NAME?</v>
      </c>
    </row>
    <row r="20" spans="4:6">
      <c r="D20" s="13">
        <v>18</v>
      </c>
      <c r="E20" s="9" t="e">
        <f ca="1">$E$19*EXP($F$20)</f>
        <v>#NAME?</v>
      </c>
      <c r="F20" s="9" t="e">
        <f ca="1"/>
        <v>#NAME?</v>
      </c>
    </row>
    <row r="21" spans="4:6">
      <c r="D21" s="13">
        <v>19</v>
      </c>
      <c r="E21" s="9" t="e">
        <f ca="1">$E$20*EXP($F$21)</f>
        <v>#NAME?</v>
      </c>
      <c r="F21" s="9" t="e">
        <f ca="1"/>
        <v>#NAME?</v>
      </c>
    </row>
    <row r="22" spans="4:6">
      <c r="D22" s="13">
        <v>20</v>
      </c>
      <c r="E22" s="9" t="e">
        <f ca="1">$E$21*EXP($F$22)</f>
        <v>#NAME?</v>
      </c>
      <c r="F22" s="9" t="e">
        <f ca="1"/>
        <v>#NAME?</v>
      </c>
    </row>
    <row r="23" spans="4:6">
      <c r="D23" s="13">
        <v>21</v>
      </c>
      <c r="E23" s="9" t="e">
        <f ca="1">$E$22*EXP($F$23)</f>
        <v>#NAME?</v>
      </c>
      <c r="F23" s="9" t="e">
        <f ca="1"/>
        <v>#NAME?</v>
      </c>
    </row>
    <row r="24" spans="4:6">
      <c r="D24" s="13">
        <v>22</v>
      </c>
      <c r="E24" s="9" t="e">
        <f ca="1">$E$23*EXP($F$24)</f>
        <v>#NAME?</v>
      </c>
      <c r="F24" s="9" t="e">
        <f ca="1"/>
        <v>#NAME?</v>
      </c>
    </row>
    <row r="25" spans="4:6">
      <c r="D25" s="13">
        <v>23</v>
      </c>
      <c r="E25" s="9" t="e">
        <f ca="1">$E$24*EXP($F$25)</f>
        <v>#NAME?</v>
      </c>
      <c r="F25" s="9" t="e">
        <f ca="1"/>
        <v>#NAME?</v>
      </c>
    </row>
    <row r="26" spans="4:6">
      <c r="D26" s="13">
        <v>24</v>
      </c>
      <c r="E26" s="9" t="e">
        <f ca="1">$E$25*EXP($F$26)</f>
        <v>#NAME?</v>
      </c>
      <c r="F26" s="9" t="e">
        <f ca="1"/>
        <v>#NAME?</v>
      </c>
    </row>
    <row r="27" spans="4:6">
      <c r="D27" s="13">
        <v>25</v>
      </c>
      <c r="E27" s="9" t="e">
        <f ca="1">$E$26*EXP($F$27)</f>
        <v>#NAME?</v>
      </c>
      <c r="F27" s="9" t="e">
        <f ca="1"/>
        <v>#NAME?</v>
      </c>
    </row>
    <row r="28" spans="4:6">
      <c r="D28" s="13">
        <v>26</v>
      </c>
      <c r="E28" s="9" t="e">
        <f ca="1">$E$27*EXP($F$28)</f>
        <v>#NAME?</v>
      </c>
      <c r="F28" s="9" t="e">
        <f ca="1"/>
        <v>#NAME?</v>
      </c>
    </row>
    <row r="29" spans="4:6">
      <c r="D29" s="13">
        <v>27</v>
      </c>
      <c r="E29" s="9" t="e">
        <f ca="1">$E$28*EXP($F$29)</f>
        <v>#NAME?</v>
      </c>
      <c r="F29" s="9" t="e">
        <f ca="1"/>
        <v>#NAME?</v>
      </c>
    </row>
    <row r="30" spans="4:6">
      <c r="D30" s="13">
        <v>28</v>
      </c>
      <c r="E30" s="9" t="e">
        <f ca="1">$E$29*EXP($F$30)</f>
        <v>#NAME?</v>
      </c>
      <c r="F30" s="9" t="e">
        <f ca="1"/>
        <v>#NAME?</v>
      </c>
    </row>
    <row r="31" spans="4:6">
      <c r="D31" s="13">
        <v>29</v>
      </c>
      <c r="E31" s="9" t="e">
        <f ca="1">$E$30*EXP($F$31)</f>
        <v>#NAME?</v>
      </c>
      <c r="F31" s="9" t="e">
        <f ca="1"/>
        <v>#NAME?</v>
      </c>
    </row>
    <row r="32" spans="4:6">
      <c r="D32" s="13">
        <v>30</v>
      </c>
      <c r="E32" s="9" t="e">
        <f ca="1">$E$31*EXP($F$32)</f>
        <v>#NAME?</v>
      </c>
      <c r="F32" s="9" t="e">
        <f ca="1"/>
        <v>#NAME?</v>
      </c>
    </row>
    <row r="33" spans="4:6">
      <c r="D33" s="13">
        <v>31</v>
      </c>
      <c r="E33" s="9" t="e">
        <f ca="1">$E$32*EXP($F$33)</f>
        <v>#NAME?</v>
      </c>
      <c r="F33" s="9" t="e">
        <f ca="1"/>
        <v>#NAME?</v>
      </c>
    </row>
    <row r="34" spans="4:6">
      <c r="D34" s="13">
        <v>32</v>
      </c>
      <c r="E34" s="9" t="e">
        <f ca="1">$E$33*EXP($F$34)</f>
        <v>#NAME?</v>
      </c>
      <c r="F34" s="9" t="e">
        <f ca="1"/>
        <v>#NAME?</v>
      </c>
    </row>
    <row r="35" spans="4:6">
      <c r="D35" s="13">
        <v>33</v>
      </c>
      <c r="E35" s="9" t="e">
        <f ca="1">$E$34*EXP($F$35)</f>
        <v>#NAME?</v>
      </c>
      <c r="F35" s="9" t="e">
        <f ca="1"/>
        <v>#NAME?</v>
      </c>
    </row>
    <row r="36" spans="4:6">
      <c r="D36" s="13">
        <v>34</v>
      </c>
      <c r="E36" s="9" t="e">
        <f ca="1">$E$35*EXP($F$36)</f>
        <v>#NAME?</v>
      </c>
      <c r="F36" s="9" t="e">
        <f ca="1"/>
        <v>#NAME?</v>
      </c>
    </row>
    <row r="37" spans="4:6">
      <c r="D37" s="13">
        <v>35</v>
      </c>
      <c r="E37" s="9" t="e">
        <f ca="1">$E$36*EXP($F$37)</f>
        <v>#NAME?</v>
      </c>
      <c r="F37" s="9" t="e">
        <f ca="1"/>
        <v>#NAME?</v>
      </c>
    </row>
    <row r="38" spans="4:6">
      <c r="D38" s="13">
        <v>36</v>
      </c>
      <c r="E38" s="9" t="e">
        <f ca="1">$E$37*EXP($F$38)</f>
        <v>#NAME?</v>
      </c>
      <c r="F38" s="9" t="e">
        <f ca="1"/>
        <v>#NAME?</v>
      </c>
    </row>
    <row r="39" spans="4:6">
      <c r="D39" s="13">
        <v>37</v>
      </c>
      <c r="E39" s="9" t="e">
        <f ca="1">$E$38*EXP($F$39)</f>
        <v>#NAME?</v>
      </c>
      <c r="F39" s="9" t="e">
        <f ca="1"/>
        <v>#NAME?</v>
      </c>
    </row>
    <row r="40" spans="4:6">
      <c r="D40" s="13">
        <v>38</v>
      </c>
      <c r="E40" s="9" t="e">
        <f ca="1">$E$39*EXP($F$40)</f>
        <v>#NAME?</v>
      </c>
      <c r="F40" s="9" t="e">
        <f ca="1"/>
        <v>#NAME?</v>
      </c>
    </row>
    <row r="41" spans="4:6">
      <c r="D41" s="13">
        <v>39</v>
      </c>
      <c r="E41" s="9" t="e">
        <f ca="1">$E$40*EXP($F$41)</f>
        <v>#NAME?</v>
      </c>
      <c r="F41" s="9" t="e">
        <f ca="1"/>
        <v>#NAME?</v>
      </c>
    </row>
    <row r="42" spans="4:6">
      <c r="D42" s="13">
        <v>40</v>
      </c>
      <c r="E42" s="9" t="e">
        <f ca="1">$E$41*EXP($F$42)</f>
        <v>#NAME?</v>
      </c>
      <c r="F42" s="9" t="e">
        <f ca="1"/>
        <v>#NAME?</v>
      </c>
    </row>
    <row r="43" spans="4:6">
      <c r="D43" s="13">
        <v>41</v>
      </c>
      <c r="E43" s="9" t="e">
        <f ca="1">$E$42*EXP($F$43)</f>
        <v>#NAME?</v>
      </c>
      <c r="F43" s="9" t="e">
        <f ca="1"/>
        <v>#NAME?</v>
      </c>
    </row>
    <row r="44" spans="4:6">
      <c r="D44" s="13">
        <v>42</v>
      </c>
      <c r="E44" s="9" t="e">
        <f ca="1">$E$43*EXP($F$44)</f>
        <v>#NAME?</v>
      </c>
      <c r="F44" s="9" t="e">
        <f ca="1"/>
        <v>#NAME?</v>
      </c>
    </row>
    <row r="45" spans="4:6">
      <c r="D45" s="13">
        <v>43</v>
      </c>
      <c r="E45" s="9" t="e">
        <f ca="1">$E$44*EXP($F$45)</f>
        <v>#NAME?</v>
      </c>
      <c r="F45" s="9" t="e">
        <f ca="1"/>
        <v>#NAME?</v>
      </c>
    </row>
    <row r="46" spans="4:6">
      <c r="D46" s="13">
        <v>44</v>
      </c>
      <c r="E46" s="9" t="e">
        <f ca="1">$E$45*EXP($F$46)</f>
        <v>#NAME?</v>
      </c>
      <c r="F46" s="9" t="e">
        <f ca="1"/>
        <v>#NAME?</v>
      </c>
    </row>
    <row r="47" spans="4:6">
      <c r="D47" s="13">
        <v>45</v>
      </c>
      <c r="E47" s="9" t="e">
        <f ca="1">$E$46*EXP($F$47)</f>
        <v>#NAME?</v>
      </c>
      <c r="F47" s="9" t="e">
        <f ca="1"/>
        <v>#NAME?</v>
      </c>
    </row>
    <row r="48" spans="4:6">
      <c r="D48" s="13">
        <v>46</v>
      </c>
      <c r="E48" s="9" t="e">
        <f ca="1">$E$47*EXP($F$48)</f>
        <v>#NAME?</v>
      </c>
      <c r="F48" s="9" t="e">
        <f ca="1"/>
        <v>#NAME?</v>
      </c>
    </row>
    <row r="49" spans="4:6">
      <c r="D49" s="13">
        <v>47</v>
      </c>
      <c r="E49" s="9" t="e">
        <f ca="1">$E$48*EXP($F$49)</f>
        <v>#NAME?</v>
      </c>
      <c r="F49" s="9" t="e">
        <f ca="1"/>
        <v>#NAME?</v>
      </c>
    </row>
    <row r="50" spans="4:6">
      <c r="D50" s="13">
        <v>48</v>
      </c>
      <c r="E50" s="9" t="e">
        <f ca="1">$E$49*EXP($F$50)</f>
        <v>#NAME?</v>
      </c>
      <c r="F50" s="9" t="e">
        <f ca="1"/>
        <v>#NAME?</v>
      </c>
    </row>
    <row r="51" spans="4:6">
      <c r="D51" s="13">
        <v>49</v>
      </c>
      <c r="E51" s="9" t="e">
        <f ca="1">$E$50*EXP($F$51)</f>
        <v>#NAME?</v>
      </c>
      <c r="F51" s="9" t="e">
        <f ca="1"/>
        <v>#NAME?</v>
      </c>
    </row>
    <row r="52" spans="4:6">
      <c r="D52" s="13">
        <v>50</v>
      </c>
      <c r="E52" s="9" t="e">
        <f ca="1">$E$51*EXP($F$52)</f>
        <v>#NAME?</v>
      </c>
      <c r="F52" s="9" t="e">
        <f ca="1"/>
        <v>#NAME?</v>
      </c>
    </row>
    <row r="53" spans="4:6">
      <c r="D53" s="13">
        <v>51</v>
      </c>
      <c r="E53" s="9" t="e">
        <f ca="1">$E$52*EXP($F$53)</f>
        <v>#NAME?</v>
      </c>
      <c r="F53" s="9" t="e">
        <f ca="1"/>
        <v>#NAME?</v>
      </c>
    </row>
    <row r="54" spans="4:6">
      <c r="D54" s="13">
        <v>52</v>
      </c>
      <c r="E54" s="9" t="e">
        <f ca="1">$E$53*EXP($F$54)</f>
        <v>#NAME?</v>
      </c>
      <c r="F54" s="9" t="e">
        <f ca="1"/>
        <v>#NAME?</v>
      </c>
    </row>
    <row r="55" spans="4:6">
      <c r="D55" s="13">
        <v>53</v>
      </c>
      <c r="E55" s="9" t="e">
        <f ca="1">$E$54*EXP($F$55)</f>
        <v>#NAME?</v>
      </c>
      <c r="F55" s="9" t="e">
        <f ca="1"/>
        <v>#NAME?</v>
      </c>
    </row>
    <row r="56" spans="4:6">
      <c r="D56" s="13">
        <v>54</v>
      </c>
      <c r="E56" s="9" t="e">
        <f ca="1">$E$55*EXP($F$56)</f>
        <v>#NAME?</v>
      </c>
      <c r="F56" s="9" t="e">
        <f ca="1"/>
        <v>#NAME?</v>
      </c>
    </row>
    <row r="57" spans="4:6">
      <c r="D57" s="13">
        <v>55</v>
      </c>
      <c r="E57" s="9" t="e">
        <f ca="1">$E$56*EXP($F$57)</f>
        <v>#NAME?</v>
      </c>
      <c r="F57" s="9" t="e">
        <f ca="1"/>
        <v>#NAME?</v>
      </c>
    </row>
    <row r="58" spans="4:6">
      <c r="D58" s="13">
        <v>56</v>
      </c>
      <c r="E58" s="9" t="e">
        <f ca="1">$E$57*EXP($F$58)</f>
        <v>#NAME?</v>
      </c>
      <c r="F58" s="9" t="e">
        <f ca="1"/>
        <v>#NAME?</v>
      </c>
    </row>
    <row r="59" spans="4:6">
      <c r="D59" s="13">
        <v>57</v>
      </c>
      <c r="E59" s="9" t="e">
        <f ca="1">$E$58*EXP($F$59)</f>
        <v>#NAME?</v>
      </c>
      <c r="F59" s="9" t="e">
        <f ca="1"/>
        <v>#NAME?</v>
      </c>
    </row>
    <row r="60" spans="4:6">
      <c r="D60" s="13">
        <v>58</v>
      </c>
      <c r="E60" s="9" t="e">
        <f ca="1">$E$59*EXP($F$60)</f>
        <v>#NAME?</v>
      </c>
      <c r="F60" s="9" t="e">
        <f ca="1"/>
        <v>#NAME?</v>
      </c>
    </row>
    <row r="61" spans="4:6">
      <c r="D61" s="13">
        <v>59</v>
      </c>
      <c r="E61" s="9" t="e">
        <f ca="1">$E$60*EXP($F$61)</f>
        <v>#NAME?</v>
      </c>
      <c r="F61" s="9" t="e">
        <f ca="1"/>
        <v>#NAME?</v>
      </c>
    </row>
    <row r="62" spans="4:6">
      <c r="D62" s="12">
        <v>60</v>
      </c>
      <c r="E62" s="11" t="e">
        <f ca="1">$E$61*EXP($F$62)</f>
        <v>#NAME?</v>
      </c>
      <c r="F62" s="11" t="e">
        <f ca="1"/>
        <v>#NAME?</v>
      </c>
    </row>
    <row r="63" spans="4:6">
      <c r="D63" s="13" t="s">
        <v>24</v>
      </c>
      <c r="E63" s="9">
        <v>107.46156230484462</v>
      </c>
    </row>
    <row r="64" spans="4:6">
      <c r="D64" s="13" t="s">
        <v>25</v>
      </c>
      <c r="E64" s="9">
        <v>107.33665310933769</v>
      </c>
    </row>
  </sheetData>
  <phoneticPr fontId="3"/>
  <printOptions headings="1"/>
  <pageMargins left="0.70866141732283472" right="0.70866141732283472" top="0.74803149606299213" bottom="0.74803149606299213" header="0.31496062992125984" footer="0.31496062992125984"/>
  <pageSetup paperSize="9" scale="84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Hiroshi Ishijima</cp:lastModifiedBy>
  <cp:revision/>
  <dcterms:created xsi:type="dcterms:W3CDTF">2017-04-11T02:54:47Z</dcterms:created>
  <dcterms:modified xsi:type="dcterms:W3CDTF">2018-07-22T08:32:52Z</dcterms:modified>
  <cp:category/>
  <cp:contentStatus/>
</cp:coreProperties>
</file>