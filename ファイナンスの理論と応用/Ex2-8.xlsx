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11"/>
  <workbookPr filterPrivacy="1" codeName="ThisWorkbook"/>
  <xr:revisionPtr revIDLastSave="0" documentId="8_{28584190-CC6E-44ED-9841-B015C7343546}" xr6:coauthVersionLast="35" xr6:coauthVersionMax="35" xr10:uidLastSave="{00000000-0000-0000-0000-000000000000}"/>
  <bookViews>
    <workbookView xWindow="0" yWindow="0" windowWidth="19200" windowHeight="7365" xr2:uid="{00000000-000D-0000-FFFF-FFFF00000000}"/>
  </bookViews>
  <sheets>
    <sheet name="演習16(問題)" sheetId="10" r:id="rId1"/>
    <sheet name="演習16(解答例)" sheetId="8" r:id="rId2"/>
  </sheets>
  <definedNames>
    <definedName name="_xlnm.Print_Area" localSheetId="1">'演習16(解答例)'!#REF!,'演習16(解答例)'!$A$1:$F$22</definedName>
    <definedName name="_xlnm.Print_Area" localSheetId="0">'演習16(問題)'!#REF!,'演習16(問題)'!$A$1:$F$22</definedName>
    <definedName name="solver_adj" localSheetId="1" hidden="1">'演習16(解答例)'!#REF!</definedName>
    <definedName name="solver_adj" localSheetId="0" hidden="1">'演習16(問題)'!#REF!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1</definedName>
    <definedName name="solver_eng" localSheetId="0" hidden="1">1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0</definedName>
    <definedName name="solver_num" localSheetId="0" hidden="1">0</definedName>
    <definedName name="solver_nwt" localSheetId="1" hidden="1">1</definedName>
    <definedName name="solver_nwt" localSheetId="0" hidden="1">1</definedName>
    <definedName name="solver_opt" localSheetId="1" hidden="1">'演習16(解答例)'!#REF!</definedName>
    <definedName name="solver_opt" localSheetId="0" hidden="1">'演習16(問題)'!#REF!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3</definedName>
    <definedName name="solver_typ" localSheetId="0" hidden="1">3</definedName>
    <definedName name="solver_val" localSheetId="1" hidden="1">0.17</definedName>
    <definedName name="solver_val" localSheetId="0" hidden="1">0.17</definedName>
    <definedName name="solver_ver" localSheetId="1" hidden="1">3</definedName>
    <definedName name="solver_ver" localSheetId="0" hidden="1">3</definedName>
  </definedNames>
  <calcPr calcId="17902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8" l="1"/>
  <c r="E9" i="8"/>
  <c r="D9" i="8"/>
  <c r="C9" i="8"/>
  <c r="C11" i="8"/>
  <c r="C19" i="8"/>
  <c r="C20" i="8"/>
  <c r="C16" i="8"/>
  <c r="C13" i="8"/>
  <c r="C17" i="8"/>
  <c r="C14" i="8"/>
  <c r="C21" i="8"/>
  <c r="C18" i="8"/>
  <c r="C15" i="8"/>
</calcChain>
</file>

<file path=xl/sharedStrings.xml><?xml version="1.0" encoding="utf-8"?>
<sst xmlns="http://schemas.openxmlformats.org/spreadsheetml/2006/main" count="28" uniqueCount="9">
  <si>
    <r>
      <t>[</t>
    </r>
    <r>
      <rPr>
        <sz val="11"/>
        <color theme="1"/>
        <rFont val="ＭＳ Ｐゴシック"/>
        <family val="3"/>
        <charset val="128"/>
      </rPr>
      <t>パネル</t>
    </r>
    <r>
      <rPr>
        <sz val="11"/>
        <color theme="1"/>
        <rFont val="Calibri"/>
        <family val="2"/>
      </rPr>
      <t>I]</t>
    </r>
    <phoneticPr fontId="2"/>
  </si>
  <si>
    <t>リスク</t>
    <phoneticPr fontId="2"/>
  </si>
  <si>
    <t>リターン</t>
    <phoneticPr fontId="2"/>
  </si>
  <si>
    <t>MVE</t>
    <phoneticPr fontId="2"/>
  </si>
  <si>
    <t>安全資産</t>
    <rPh sb="0" eb="2">
      <t>アンゼン</t>
    </rPh>
    <rPh sb="2" eb="4">
      <t>シサン</t>
    </rPh>
    <phoneticPr fontId="2"/>
  </si>
  <si>
    <r>
      <t>(1) CRRA 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</rPr>
      <t>)</t>
    </r>
    <phoneticPr fontId="2"/>
  </si>
  <si>
    <t>ウェイト</t>
    <phoneticPr fontId="2"/>
  </si>
  <si>
    <r>
      <t>k (</t>
    </r>
    <r>
      <rPr>
        <sz val="11"/>
        <color theme="1"/>
        <rFont val="ＭＳ Ｐゴシック"/>
        <family val="3"/>
        <charset val="128"/>
      </rPr>
      <t>最大</t>
    </r>
    <r>
      <rPr>
        <sz val="11"/>
        <color theme="1"/>
        <rFont val="Calibri"/>
        <family val="2"/>
      </rPr>
      <t>)</t>
    </r>
    <rPh sb="3" eb="5">
      <t>サイダイ</t>
    </rPh>
    <phoneticPr fontId="2"/>
  </si>
  <si>
    <r>
      <t xml:space="preserve">(2) </t>
    </r>
    <r>
      <rPr>
        <sz val="11"/>
        <color theme="1"/>
        <rFont val="ＭＳ Ｐゴシック"/>
        <family val="3"/>
        <charset val="128"/>
      </rPr>
      <t>無差別曲線</t>
    </r>
    <rPh sb="4" eb="7">
      <t>ムサベツ</t>
    </rPh>
    <rPh sb="7" eb="9">
      <t>キョクセン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</si>
</sst>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ＭＳ Ｐゴシック"/>
      <family val="2"/>
      <charset val="128"/>
      <scheme val="minor"/>
    </font>
    <font>
      <sz val="11"/>
      <color theme="1"/>
      <name val="Calibri"/>
      <family val="2"/>
    </font>
    <font>
      <sz val="6"/>
      <name val="ＭＳ Ｐゴシック"/>
      <family val="2"/>
      <charset val="128"/>
      <scheme val="minor"/>
    </font>
    <font>
      <sz val="11"/>
      <color theme="1"/>
      <name val="Symbol"/>
      <family val="1"/>
      <charset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indexed="64"/>
      </bottom>
      <diagonal/>
    </border>
    <border>
      <left/>
      <right/>
      <top style="thin">
        <color theme="4"/>
      </top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indexed="64"/>
      </bottom>
      <diagonal/>
    </border>
    <border>
      <left/>
      <right style="thin">
        <color theme="4"/>
      </right>
      <top/>
      <bottom style="thin">
        <color indexed="6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4" fillId="0" borderId="1" xfId="0" applyFont="1" applyBorder="1">
      <alignment vertical="center"/>
    </xf>
    <xf numFmtId="10" fontId="1" fillId="0" borderId="0" xfId="0" applyNumberFormat="1" applyFont="1">
      <alignment vertical="center"/>
    </xf>
    <xf numFmtId="164" fontId="1" fillId="0" borderId="1" xfId="0" applyNumberFormat="1" applyFont="1" applyBorder="1">
      <alignment vertical="center"/>
    </xf>
    <xf numFmtId="0" fontId="4" fillId="0" borderId="7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1" fillId="0" borderId="8" xfId="0" applyFont="1" applyBorder="1">
      <alignment vertical="center"/>
    </xf>
    <xf numFmtId="0" fontId="4" fillId="0" borderId="7" xfId="0" applyFont="1" applyBorder="1" applyAlignment="1">
      <alignment horizontal="left" vertical="center"/>
    </xf>
    <xf numFmtId="164" fontId="1" fillId="2" borderId="5" xfId="0" applyNumberFormat="1" applyFont="1" applyFill="1" applyBorder="1" applyAlignment="1">
      <alignment horizontal="center" vertical="center"/>
    </xf>
    <xf numFmtId="10" fontId="1" fillId="2" borderId="0" xfId="1" applyNumberFormat="1" applyFont="1" applyFill="1">
      <alignment vertical="center"/>
    </xf>
    <xf numFmtId="10" fontId="1" fillId="2" borderId="6" xfId="1" applyNumberFormat="1" applyFont="1" applyFill="1" applyBorder="1">
      <alignment vertical="center"/>
    </xf>
    <xf numFmtId="9" fontId="1" fillId="0" borderId="5" xfId="1" applyFont="1" applyBorder="1" applyAlignment="1">
      <alignment horizontal="left" vertical="center"/>
    </xf>
    <xf numFmtId="9" fontId="1" fillId="0" borderId="9" xfId="1" applyFont="1" applyBorder="1" applyAlignment="1">
      <alignment horizontal="left" vertical="center"/>
    </xf>
    <xf numFmtId="10" fontId="1" fillId="3" borderId="0" xfId="0" applyNumberFormat="1" applyFont="1" applyFill="1">
      <alignment vertical="center"/>
    </xf>
    <xf numFmtId="10" fontId="1" fillId="3" borderId="10" xfId="0" applyNumberFormat="1" applyFont="1" applyFill="1" applyBorder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K41"/>
  <sheetViews>
    <sheetView showGridLines="0" tabSelected="1" zoomScaleNormal="100" zoomScaleSheetLayoutView="85" workbookViewId="0" xr3:uid="{AEA406A1-0E4B-5B11-9CD5-51D6E497D94C}"/>
  </sheetViews>
  <sheetFormatPr defaultColWidth="9" defaultRowHeight="15"/>
  <cols>
    <col min="1" max="1" width="2.625" style="1" customWidth="1"/>
    <col min="2" max="2" width="11.625" style="3" customWidth="1"/>
    <col min="3" max="3" width="7.625" style="1" customWidth="1"/>
    <col min="4" max="4" width="7.625" style="1" bestFit="1" customWidth="1"/>
    <col min="5" max="5" width="9" style="1"/>
    <col min="6" max="6" width="2.625" style="1" customWidth="1"/>
    <col min="7" max="8" width="7.625" customWidth="1"/>
    <col min="9" max="9" width="2.625" customWidth="1"/>
    <col min="10" max="11" width="7.625" customWidth="1"/>
    <col min="12" max="16384" width="9" style="1"/>
  </cols>
  <sheetData>
    <row r="1" spans="2:5" ht="5.0999999999999996" customHeight="1"/>
    <row r="2" spans="2:5">
      <c r="B2" s="12" t="s">
        <v>0</v>
      </c>
      <c r="C2" s="13"/>
      <c r="D2" s="13"/>
      <c r="E2" s="4"/>
    </row>
    <row r="3" spans="2:5">
      <c r="B3" s="14"/>
      <c r="C3" s="6" t="s">
        <v>1</v>
      </c>
      <c r="D3" s="6" t="s">
        <v>2</v>
      </c>
      <c r="E3" s="5"/>
    </row>
    <row r="4" spans="2:5">
      <c r="B4" s="15" t="s">
        <v>3</v>
      </c>
      <c r="C4" s="7">
        <v>5.4128500246914027E-2</v>
      </c>
      <c r="D4" s="7">
        <v>7.0935758651522948E-2</v>
      </c>
      <c r="E4" s="5"/>
    </row>
    <row r="5" spans="2:5">
      <c r="B5" s="16" t="s">
        <v>4</v>
      </c>
      <c r="C5" s="7">
        <v>0</v>
      </c>
      <c r="D5" s="7">
        <v>5.0000000000000001E-3</v>
      </c>
      <c r="E5" s="5"/>
    </row>
    <row r="6" spans="2:5">
      <c r="B6" s="15"/>
      <c r="E6" s="5"/>
    </row>
    <row r="7" spans="2:5">
      <c r="B7" s="14" t="s">
        <v>5</v>
      </c>
      <c r="C7" s="8">
        <v>7.5</v>
      </c>
      <c r="D7" s="2"/>
      <c r="E7" s="17"/>
    </row>
    <row r="8" spans="2:5">
      <c r="B8" s="18" t="s">
        <v>6</v>
      </c>
      <c r="C8" s="6" t="s">
        <v>1</v>
      </c>
      <c r="D8" s="6" t="s">
        <v>2</v>
      </c>
      <c r="E8" s="17" t="s">
        <v>7</v>
      </c>
    </row>
    <row r="9" spans="2:5">
      <c r="B9" s="19"/>
      <c r="C9" s="20"/>
      <c r="D9" s="20"/>
      <c r="E9" s="21"/>
    </row>
    <row r="10" spans="2:5">
      <c r="B10" s="15" t="s">
        <v>8</v>
      </c>
      <c r="E10" s="5"/>
    </row>
    <row r="11" spans="2:5">
      <c r="B11" s="15" t="s">
        <v>7</v>
      </c>
      <c r="C11" s="24"/>
      <c r="E11" s="5"/>
    </row>
    <row r="12" spans="2:5">
      <c r="B12" s="9" t="s">
        <v>1</v>
      </c>
      <c r="C12" s="6" t="s">
        <v>2</v>
      </c>
      <c r="E12" s="5"/>
    </row>
    <row r="13" spans="2:5">
      <c r="B13" s="22">
        <v>0</v>
      </c>
      <c r="C13" s="24"/>
      <c r="E13" s="5"/>
    </row>
    <row r="14" spans="2:5">
      <c r="B14" s="22">
        <v>0.05</v>
      </c>
      <c r="C14" s="24"/>
      <c r="E14" s="5"/>
    </row>
    <row r="15" spans="2:5">
      <c r="B15" s="22">
        <v>0.1</v>
      </c>
      <c r="C15" s="24"/>
      <c r="E15" s="5"/>
    </row>
    <row r="16" spans="2:5">
      <c r="B16" s="22">
        <v>0.15</v>
      </c>
      <c r="C16" s="24"/>
      <c r="E16" s="5"/>
    </row>
    <row r="17" spans="2:5">
      <c r="B17" s="22">
        <v>0.2</v>
      </c>
      <c r="C17" s="24"/>
      <c r="E17" s="5"/>
    </row>
    <row r="18" spans="2:5">
      <c r="B18" s="22">
        <v>0.25</v>
      </c>
      <c r="C18" s="24"/>
      <c r="E18" s="5"/>
    </row>
    <row r="19" spans="2:5">
      <c r="B19" s="22">
        <v>0.3</v>
      </c>
      <c r="C19" s="24"/>
      <c r="E19" s="5"/>
    </row>
    <row r="20" spans="2:5">
      <c r="B20" s="22">
        <v>0.35</v>
      </c>
      <c r="C20" s="24"/>
      <c r="E20" s="5"/>
    </row>
    <row r="21" spans="2:5">
      <c r="B21" s="23">
        <v>0.4</v>
      </c>
      <c r="C21" s="25"/>
      <c r="D21" s="10"/>
      <c r="E21" s="11"/>
    </row>
    <row r="36" ht="15" customHeight="1"/>
    <row r="41" ht="15" customHeight="1"/>
  </sheetData>
  <phoneticPr fontId="2"/>
  <printOptions headings="1"/>
  <pageMargins left="0.70866141732283472" right="0.70866141732283472" top="0.74803149606299213" bottom="0.74803149606299213" header="0.31496062992125984" footer="0.31496062992125984"/>
  <pageSetup paperSize="9"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K41"/>
  <sheetViews>
    <sheetView showGridLines="0" zoomScaleNormal="100" zoomScaleSheetLayoutView="85" workbookViewId="0" xr3:uid="{958C4451-9541-5A59-BF78-D2F731DF1C81}"/>
  </sheetViews>
  <sheetFormatPr defaultColWidth="9" defaultRowHeight="15"/>
  <cols>
    <col min="1" max="1" width="2.625" style="1" customWidth="1"/>
    <col min="2" max="2" width="11.625" style="3" customWidth="1"/>
    <col min="3" max="3" width="7.625" style="1" customWidth="1"/>
    <col min="4" max="4" width="7.625" style="1" bestFit="1" customWidth="1"/>
    <col min="5" max="5" width="9" style="1"/>
    <col min="6" max="6" width="2.625" style="1" customWidth="1"/>
    <col min="7" max="8" width="7.625" customWidth="1"/>
    <col min="9" max="9" width="2.625" customWidth="1"/>
    <col min="10" max="11" width="7.625" customWidth="1"/>
    <col min="12" max="16384" width="9" style="1"/>
  </cols>
  <sheetData>
    <row r="1" spans="2:5" ht="5.0999999999999996" customHeight="1"/>
    <row r="2" spans="2:5">
      <c r="B2" s="12" t="s">
        <v>0</v>
      </c>
      <c r="C2" s="13"/>
      <c r="D2" s="13"/>
      <c r="E2" s="4"/>
    </row>
    <row r="3" spans="2:5">
      <c r="B3" s="14"/>
      <c r="C3" s="6" t="s">
        <v>1</v>
      </c>
      <c r="D3" s="6" t="s">
        <v>2</v>
      </c>
      <c r="E3" s="5"/>
    </row>
    <row r="4" spans="2:5">
      <c r="B4" s="15" t="s">
        <v>3</v>
      </c>
      <c r="C4" s="7">
        <v>5.4128500246914027E-2</v>
      </c>
      <c r="D4" s="7">
        <v>7.0935758651522948E-2</v>
      </c>
      <c r="E4" s="5"/>
    </row>
    <row r="5" spans="2:5">
      <c r="B5" s="16" t="s">
        <v>4</v>
      </c>
      <c r="C5" s="7">
        <v>0</v>
      </c>
      <c r="D5" s="7">
        <v>5.0000000000000001E-3</v>
      </c>
      <c r="E5" s="5"/>
    </row>
    <row r="6" spans="2:5">
      <c r="B6" s="15"/>
      <c r="E6" s="5"/>
    </row>
    <row r="7" spans="2:5">
      <c r="B7" s="14" t="s">
        <v>5</v>
      </c>
      <c r="C7" s="8">
        <v>7.5</v>
      </c>
      <c r="D7" s="2"/>
      <c r="E7" s="17"/>
    </row>
    <row r="8" spans="2:5">
      <c r="B8" s="18" t="s">
        <v>6</v>
      </c>
      <c r="C8" s="6" t="s">
        <v>1</v>
      </c>
      <c r="D8" s="6" t="s">
        <v>2</v>
      </c>
      <c r="E8" s="17" t="s">
        <v>7</v>
      </c>
    </row>
    <row r="9" spans="2:5">
      <c r="B9" s="19">
        <f>(D4-D5)/C7/C4^2</f>
        <v>3.0005975880380391</v>
      </c>
      <c r="C9" s="20">
        <f>ABS(B9)*C4</f>
        <v>0.16241784728500663</v>
      </c>
      <c r="D9" s="20">
        <f>B9*D4+(1-B9)*D5</f>
        <v>0.20284667837521803</v>
      </c>
      <c r="E9" s="21">
        <f>-0.5*C7*B9^2*C4^2 + (B9*D4+(1-B9)*D5)</f>
        <v>0.10392333918760902</v>
      </c>
    </row>
    <row r="10" spans="2:5">
      <c r="B10" s="15" t="s">
        <v>8</v>
      </c>
      <c r="E10" s="5"/>
    </row>
    <row r="11" spans="2:5">
      <c r="B11" s="15" t="s">
        <v>7</v>
      </c>
      <c r="C11" s="24">
        <f>E9</f>
        <v>0.10392333918760902</v>
      </c>
      <c r="E11" s="5"/>
    </row>
    <row r="12" spans="2:5">
      <c r="B12" s="9" t="s">
        <v>1</v>
      </c>
      <c r="C12" s="6" t="s">
        <v>2</v>
      </c>
      <c r="E12" s="5"/>
    </row>
    <row r="13" spans="2:5">
      <c r="B13" s="22">
        <v>0</v>
      </c>
      <c r="C13" s="24">
        <f>0.5*$C$7*B13^2+$C$11</f>
        <v>0.10392333918760902</v>
      </c>
      <c r="E13" s="5"/>
    </row>
    <row r="14" spans="2:5">
      <c r="B14" s="22">
        <v>0.05</v>
      </c>
      <c r="C14" s="24">
        <f t="shared" ref="C14:C21" si="0">0.5*$C$7*B14^2+$C$11</f>
        <v>0.11329833918760901</v>
      </c>
      <c r="E14" s="5"/>
    </row>
    <row r="15" spans="2:5">
      <c r="B15" s="22">
        <v>0.1</v>
      </c>
      <c r="C15" s="24">
        <f t="shared" si="0"/>
        <v>0.14142333918760902</v>
      </c>
      <c r="E15" s="5"/>
    </row>
    <row r="16" spans="2:5">
      <c r="B16" s="22">
        <v>0.15</v>
      </c>
      <c r="C16" s="24">
        <f t="shared" si="0"/>
        <v>0.18829833918760902</v>
      </c>
      <c r="E16" s="5"/>
    </row>
    <row r="17" spans="2:5">
      <c r="B17" s="22">
        <v>0.2</v>
      </c>
      <c r="C17" s="24">
        <f t="shared" si="0"/>
        <v>0.25392333918760901</v>
      </c>
      <c r="E17" s="5"/>
    </row>
    <row r="18" spans="2:5">
      <c r="B18" s="22">
        <v>0.25</v>
      </c>
      <c r="C18" s="24">
        <f t="shared" si="0"/>
        <v>0.33829833918760899</v>
      </c>
      <c r="E18" s="5"/>
    </row>
    <row r="19" spans="2:5">
      <c r="B19" s="22">
        <v>0.3</v>
      </c>
      <c r="C19" s="24">
        <f t="shared" si="0"/>
        <v>0.44142333918760901</v>
      </c>
      <c r="E19" s="5"/>
    </row>
    <row r="20" spans="2:5">
      <c r="B20" s="22">
        <v>0.35</v>
      </c>
      <c r="C20" s="24">
        <f t="shared" si="0"/>
        <v>0.56329833918760897</v>
      </c>
      <c r="E20" s="5"/>
    </row>
    <row r="21" spans="2:5">
      <c r="B21" s="23">
        <v>0.4</v>
      </c>
      <c r="C21" s="25">
        <f t="shared" si="0"/>
        <v>0.70392333918760908</v>
      </c>
      <c r="D21" s="10"/>
      <c r="E21" s="11"/>
    </row>
    <row r="36" ht="15" customHeight="1"/>
    <row r="41" ht="15" customHeight="1"/>
  </sheetData>
  <phoneticPr fontId="2"/>
  <printOptions headings="1"/>
  <pageMargins left="0.70866141732283472" right="0.70866141732283472" top="0.74803149606299213" bottom="0.74803149606299213" header="0.31496062992125984" footer="0.31496062992125984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Hiroshi Ishijima</cp:lastModifiedBy>
  <cp:revision/>
  <dcterms:created xsi:type="dcterms:W3CDTF">2018-07-21T13:34:25Z</dcterms:created>
  <dcterms:modified xsi:type="dcterms:W3CDTF">2018-07-22T08:34:41Z</dcterms:modified>
  <cp:category/>
  <cp:contentStatus/>
</cp:coreProperties>
</file>