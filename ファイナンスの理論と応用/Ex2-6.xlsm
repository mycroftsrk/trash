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11" codeName="{00000000-0000-0000-0000-000000000000}"/>
  <workbookPr filterPrivacy="1" codeName="ThisWorkbook"/>
  <xr:revisionPtr revIDLastSave="0" documentId="8_{C40AA27B-5173-46E3-BC4D-42E1F594E8D6}" xr6:coauthVersionLast="35" xr6:coauthVersionMax="35" xr10:uidLastSave="{00000000-0000-0000-0000-000000000000}"/>
  <bookViews>
    <workbookView xWindow="0" yWindow="0" windowWidth="38400" windowHeight="17580" xr2:uid="{00000000-000D-0000-FFFF-FFFF00000000}"/>
  </bookViews>
  <sheets>
    <sheet name="binTree" sheetId="3" r:id="rId1"/>
  </sheets>
  <definedNames>
    <definedName name="_xlnm.Print_Area" localSheetId="0">binTree!$A$1:$L$20</definedName>
  </definedNames>
  <calcPr calcId="179020"/>
</workbook>
</file>

<file path=xl/calcChain.xml><?xml version="1.0" encoding="utf-8"?>
<calcChain xmlns="http://schemas.openxmlformats.org/spreadsheetml/2006/main">
  <c r="B8" i="3" l="1"/>
  <c r="B9" i="3"/>
  <c r="B7" i="3"/>
  <c r="C20" i="3"/>
  <c r="B20" i="3"/>
  <c r="C18" i="3"/>
  <c r="C13" i="3"/>
  <c r="B14" i="3"/>
  <c r="B17" i="3"/>
  <c r="C14" i="3"/>
  <c r="C17" i="3"/>
  <c r="B16" i="3"/>
  <c r="B15" i="3"/>
  <c r="C15" i="3"/>
  <c r="C16" i="3"/>
  <c r="B18" i="3"/>
</calcChain>
</file>

<file path=xl/sharedStrings.xml><?xml version="1.0" encoding="utf-8"?>
<sst xmlns="http://schemas.openxmlformats.org/spreadsheetml/2006/main" count="21" uniqueCount="21">
  <si>
    <r>
      <t>[A] BS</t>
    </r>
    <r>
      <rPr>
        <sz val="11"/>
        <rFont val="ＭＳ Ｐゴシック"/>
        <family val="3"/>
        <charset val="128"/>
      </rPr>
      <t>公式のパラメータ</t>
    </r>
    <rPh sb="6" eb="8">
      <t>コウシキ</t>
    </rPh>
    <phoneticPr fontId="2"/>
  </si>
  <si>
    <r>
      <t>S</t>
    </r>
    <r>
      <rPr>
        <vertAlign val="subscript"/>
        <sz val="11"/>
        <rFont val="Calibri"/>
        <family val="2"/>
      </rPr>
      <t>0</t>
    </r>
    <r>
      <rPr>
        <sz val="11"/>
        <rFont val="Calibri"/>
        <family val="2"/>
      </rPr>
      <t xml:space="preserve"> (</t>
    </r>
    <r>
      <rPr>
        <sz val="11"/>
        <rFont val="ＭＳ Ｐゴシック"/>
        <family val="3"/>
        <charset val="128"/>
      </rPr>
      <t>現在の原資産価格</t>
    </r>
    <r>
      <rPr>
        <sz val="11"/>
        <rFont val="Calibri"/>
        <family val="2"/>
      </rPr>
      <t xml:space="preserve"> (</t>
    </r>
    <r>
      <rPr>
        <sz val="11"/>
        <rFont val="ＭＳ Ｐゴシック"/>
        <family val="3"/>
        <charset val="128"/>
      </rPr>
      <t>円</t>
    </r>
    <r>
      <rPr>
        <sz val="11"/>
        <rFont val="Calibri"/>
        <family val="2"/>
      </rPr>
      <t>))</t>
    </r>
    <rPh sb="4" eb="6">
      <t>ゲンザイ</t>
    </rPh>
    <rPh sb="7" eb="8">
      <t>ゲン</t>
    </rPh>
    <rPh sb="8" eb="10">
      <t>シサン</t>
    </rPh>
    <rPh sb="10" eb="12">
      <t>カカク</t>
    </rPh>
    <rPh sb="14" eb="15">
      <t>エン</t>
    </rPh>
    <phoneticPr fontId="2"/>
  </si>
  <si>
    <r>
      <t>K (</t>
    </r>
    <r>
      <rPr>
        <sz val="11"/>
        <rFont val="ＭＳ Ｐゴシック"/>
        <family val="3"/>
        <charset val="128"/>
      </rPr>
      <t>権利行使価格</t>
    </r>
    <r>
      <rPr>
        <sz val="11"/>
        <rFont val="Calibri"/>
        <family val="2"/>
      </rPr>
      <t xml:space="preserve"> (</t>
    </r>
    <r>
      <rPr>
        <sz val="11"/>
        <rFont val="ＭＳ Ｐゴシック"/>
        <family val="3"/>
        <charset val="128"/>
      </rPr>
      <t>円</t>
    </r>
    <r>
      <rPr>
        <sz val="11"/>
        <rFont val="Calibri"/>
        <family val="2"/>
      </rPr>
      <t>))</t>
    </r>
    <rPh sb="3" eb="5">
      <t>ケンリ</t>
    </rPh>
    <rPh sb="5" eb="7">
      <t>コウシ</t>
    </rPh>
    <rPh sb="7" eb="9">
      <t>カカク</t>
    </rPh>
    <rPh sb="11" eb="12">
      <t>エン</t>
    </rPh>
    <phoneticPr fontId="2"/>
  </si>
  <si>
    <r>
      <rPr>
        <sz val="11"/>
        <rFont val="Symbol"/>
        <family val="1"/>
        <charset val="2"/>
      </rPr>
      <t>s</t>
    </r>
    <r>
      <rPr>
        <sz val="11"/>
        <rFont val="Calibri"/>
        <family val="2"/>
      </rPr>
      <t xml:space="preserve"> (</t>
    </r>
    <r>
      <rPr>
        <sz val="11"/>
        <rFont val="ＭＳ Ｐゴシック"/>
        <family val="3"/>
        <charset val="128"/>
      </rPr>
      <t>ボラティリティ</t>
    </r>
    <r>
      <rPr>
        <sz val="11"/>
        <rFont val="Calibri"/>
        <family val="2"/>
      </rPr>
      <t xml:space="preserve"> (</t>
    </r>
    <r>
      <rPr>
        <sz val="11"/>
        <rFont val="ＭＳ Ｐゴシック"/>
        <family val="3"/>
        <charset val="128"/>
      </rPr>
      <t>年率</t>
    </r>
    <r>
      <rPr>
        <sz val="11"/>
        <rFont val="Calibri"/>
        <family val="2"/>
      </rPr>
      <t>))</t>
    </r>
    <rPh sb="12" eb="14">
      <t>ネンリツ</t>
    </rPh>
    <phoneticPr fontId="2"/>
  </si>
  <si>
    <r>
      <t>r</t>
    </r>
    <r>
      <rPr>
        <vertAlign val="subscript"/>
        <sz val="11"/>
        <rFont val="Calibri"/>
        <family val="2"/>
      </rPr>
      <t>f</t>
    </r>
    <r>
      <rPr>
        <sz val="11"/>
        <rFont val="Calibri"/>
        <family val="2"/>
      </rPr>
      <t xml:space="preserve"> (</t>
    </r>
    <r>
      <rPr>
        <sz val="11"/>
        <rFont val="ＭＳ Ｐゴシック"/>
        <family val="3"/>
        <charset val="128"/>
      </rPr>
      <t>リスク・フリー・レート</t>
    </r>
    <r>
      <rPr>
        <sz val="11"/>
        <rFont val="Calibri"/>
        <family val="2"/>
      </rPr>
      <t xml:space="preserve"> (</t>
    </r>
    <r>
      <rPr>
        <sz val="11"/>
        <rFont val="ＭＳ Ｐゴシック"/>
        <family val="3"/>
        <charset val="128"/>
      </rPr>
      <t>年率</t>
    </r>
    <r>
      <rPr>
        <sz val="11"/>
        <rFont val="Calibri"/>
        <family val="2"/>
      </rPr>
      <t>))</t>
    </r>
    <rPh sb="17" eb="19">
      <t>ネンリツ</t>
    </rPh>
    <phoneticPr fontId="2"/>
  </si>
  <si>
    <r>
      <t>T (</t>
    </r>
    <r>
      <rPr>
        <sz val="11"/>
        <rFont val="ＭＳ Ｐゴシック"/>
        <family val="3"/>
        <charset val="128"/>
      </rPr>
      <t>権利行使日までの期間</t>
    </r>
    <r>
      <rPr>
        <sz val="11"/>
        <rFont val="Calibri"/>
        <family val="2"/>
      </rPr>
      <t xml:space="preserve"> (</t>
    </r>
    <r>
      <rPr>
        <sz val="11"/>
        <rFont val="ＭＳ Ｐゴシック"/>
        <family val="3"/>
        <charset val="128"/>
      </rPr>
      <t>年</t>
    </r>
    <r>
      <rPr>
        <sz val="11"/>
        <rFont val="Calibri"/>
        <family val="2"/>
      </rPr>
      <t>))</t>
    </r>
    <rPh sb="3" eb="7">
      <t>ケンリコウシ</t>
    </rPh>
    <rPh sb="7" eb="8">
      <t>ビ</t>
    </rPh>
    <rPh sb="11" eb="13">
      <t>キカン</t>
    </rPh>
    <rPh sb="15" eb="16">
      <t>ネン</t>
    </rPh>
    <phoneticPr fontId="2"/>
  </si>
  <si>
    <r>
      <t>BS</t>
    </r>
    <r>
      <rPr>
        <sz val="11"/>
        <rFont val="ＭＳ Ｐゴシック"/>
        <family val="3"/>
        <charset val="128"/>
      </rPr>
      <t>公式によるコール・オプション価格</t>
    </r>
    <rPh sb="2" eb="4">
      <t>コウシキ</t>
    </rPh>
    <rPh sb="16" eb="18">
      <t>カカク</t>
    </rPh>
    <phoneticPr fontId="2"/>
  </si>
  <si>
    <r>
      <t xml:space="preserve">        d</t>
    </r>
    <r>
      <rPr>
        <vertAlign val="subscript"/>
        <sz val="11"/>
        <rFont val="Calibri"/>
        <family val="2"/>
      </rPr>
      <t>1</t>
    </r>
    <r>
      <rPr>
        <sz val="11"/>
        <rFont val="Calibri"/>
        <family val="2"/>
      </rPr>
      <t xml:space="preserve"> (BS</t>
    </r>
    <r>
      <rPr>
        <sz val="11"/>
        <rFont val="ＭＳ Ｐゴシック"/>
        <family val="3"/>
        <charset val="128"/>
      </rPr>
      <t>公式の</t>
    </r>
    <r>
      <rPr>
        <sz val="11"/>
        <rFont val="Calibri"/>
        <family val="2"/>
      </rPr>
      <t>1</t>
    </r>
    <r>
      <rPr>
        <sz val="11"/>
        <rFont val="ＭＳ Ｐゴシック"/>
        <family val="3"/>
        <charset val="128"/>
      </rPr>
      <t>つ目の引数</t>
    </r>
    <r>
      <rPr>
        <sz val="11"/>
        <rFont val="Calibri"/>
        <family val="2"/>
      </rPr>
      <t>)</t>
    </r>
    <rPh sb="14" eb="16">
      <t>コウシキ</t>
    </rPh>
    <rPh sb="19" eb="20">
      <t>メ</t>
    </rPh>
    <rPh sb="21" eb="23">
      <t>ヒキスウ</t>
    </rPh>
    <phoneticPr fontId="2"/>
  </si>
  <si>
    <r>
      <t xml:space="preserve">        d</t>
    </r>
    <r>
      <rPr>
        <vertAlign val="subscript"/>
        <sz val="11"/>
        <rFont val="Calibri"/>
        <family val="2"/>
      </rPr>
      <t>2</t>
    </r>
    <r>
      <rPr>
        <sz val="11"/>
        <rFont val="Calibri"/>
        <family val="2"/>
      </rPr>
      <t xml:space="preserve"> (BS</t>
    </r>
    <r>
      <rPr>
        <sz val="11"/>
        <rFont val="ＭＳ Ｐゴシック"/>
        <family val="3"/>
        <charset val="128"/>
      </rPr>
      <t>公式の</t>
    </r>
    <r>
      <rPr>
        <sz val="11"/>
        <rFont val="Calibri"/>
        <family val="2"/>
      </rPr>
      <t>2</t>
    </r>
    <r>
      <rPr>
        <sz val="11"/>
        <rFont val="ＭＳ Ｐゴシック"/>
        <family val="3"/>
        <charset val="128"/>
      </rPr>
      <t>つ目の引数</t>
    </r>
    <r>
      <rPr>
        <sz val="11"/>
        <rFont val="Calibri"/>
        <family val="2"/>
      </rPr>
      <t>)</t>
    </r>
    <rPh sb="14" eb="16">
      <t>コウシキ</t>
    </rPh>
    <rPh sb="19" eb="20">
      <t>メ</t>
    </rPh>
    <rPh sb="21" eb="23">
      <t>ヒキスウ</t>
    </rPh>
    <phoneticPr fontId="2"/>
  </si>
  <si>
    <r>
      <t>[B] 2</t>
    </r>
    <r>
      <rPr>
        <sz val="11"/>
        <rFont val="ＭＳ Ｐゴシック"/>
        <family val="3"/>
        <charset val="128"/>
      </rPr>
      <t>項モデルのパラメータ</t>
    </r>
    <rPh sb="5" eb="6">
      <t>コウ</t>
    </rPh>
    <phoneticPr fontId="2"/>
  </si>
  <si>
    <t>[B1] CRR
(flag=1)</t>
    <phoneticPr fontId="2"/>
  </si>
  <si>
    <r>
      <t xml:space="preserve">[B2] </t>
    </r>
    <r>
      <rPr>
        <sz val="11"/>
        <rFont val="ＭＳ Ｐゴシック"/>
        <family val="3"/>
        <charset val="128"/>
      </rPr>
      <t xml:space="preserve">対数正規
</t>
    </r>
    <r>
      <rPr>
        <sz val="11"/>
        <rFont val="Calibri"/>
        <family val="2"/>
      </rPr>
      <t>(flag=2)</t>
    </r>
    <rPh sb="5" eb="7">
      <t>タイスウ</t>
    </rPh>
    <rPh sb="7" eb="9">
      <t>セイキ</t>
    </rPh>
    <phoneticPr fontId="2"/>
  </si>
  <si>
    <r>
      <t>flag (</t>
    </r>
    <r>
      <rPr>
        <sz val="11"/>
        <rFont val="ＭＳ Ｐゴシック"/>
        <family val="3"/>
        <charset val="128"/>
      </rPr>
      <t>パラメータの設定方法の選択</t>
    </r>
    <r>
      <rPr>
        <sz val="11"/>
        <rFont val="Calibri"/>
        <family val="2"/>
      </rPr>
      <t>)</t>
    </r>
    <rPh sb="12" eb="14">
      <t>セッテイ</t>
    </rPh>
    <rPh sb="14" eb="16">
      <t>ホウホウ</t>
    </rPh>
    <rPh sb="17" eb="19">
      <t>センタク</t>
    </rPh>
    <phoneticPr fontId="2"/>
  </si>
  <si>
    <r>
      <t>n (</t>
    </r>
    <r>
      <rPr>
        <sz val="11"/>
        <rFont val="ＭＳ Ｐゴシック"/>
        <family val="3"/>
        <charset val="128"/>
      </rPr>
      <t>分割期間</t>
    </r>
    <r>
      <rPr>
        <sz val="11"/>
        <rFont val="ＭＳ Ｐゴシック"/>
        <family val="3"/>
        <charset val="128"/>
      </rPr>
      <t>数</t>
    </r>
    <r>
      <rPr>
        <sz val="11"/>
        <rFont val="Calibri"/>
        <family val="2"/>
      </rPr>
      <t>)</t>
    </r>
    <rPh sb="3" eb="5">
      <t>ブンカツ</t>
    </rPh>
    <rPh sb="5" eb="7">
      <t>キカン</t>
    </rPh>
    <rPh sb="7" eb="8">
      <t>スウ</t>
    </rPh>
    <phoneticPr fontId="2"/>
  </si>
  <si>
    <r>
      <t>h = T/n (</t>
    </r>
    <r>
      <rPr>
        <sz val="11"/>
        <rFont val="ＭＳ Ｐゴシック"/>
        <family val="3"/>
        <charset val="128"/>
      </rPr>
      <t xml:space="preserve">分割期間の長さ </t>
    </r>
    <r>
      <rPr>
        <sz val="11"/>
        <rFont val="Calibri"/>
        <family val="2"/>
      </rPr>
      <t>(</t>
    </r>
    <r>
      <rPr>
        <sz val="11"/>
        <rFont val="ＭＳ Ｐゴシック"/>
        <family val="3"/>
        <charset val="128"/>
      </rPr>
      <t>年</t>
    </r>
    <r>
      <rPr>
        <sz val="11"/>
        <rFont val="Calibri"/>
        <family val="2"/>
      </rPr>
      <t>))</t>
    </r>
    <rPh sb="9" eb="11">
      <t>ブンカツ</t>
    </rPh>
    <rPh sb="11" eb="13">
      <t>キカン</t>
    </rPh>
    <rPh sb="14" eb="15">
      <t>ナガ</t>
    </rPh>
    <rPh sb="18" eb="19">
      <t>ネン</t>
    </rPh>
    <phoneticPr fontId="2"/>
  </si>
  <si>
    <r>
      <t>u (</t>
    </r>
    <r>
      <rPr>
        <sz val="11"/>
        <rFont val="ＭＳ Ｐゴシック"/>
        <family val="3"/>
        <charset val="128"/>
      </rPr>
      <t>上昇時のグロス・リターン</t>
    </r>
    <r>
      <rPr>
        <sz val="11"/>
        <rFont val="Calibri"/>
        <family val="2"/>
      </rPr>
      <t>)</t>
    </r>
    <rPh sb="3" eb="5">
      <t>ジョウショウ</t>
    </rPh>
    <rPh sb="5" eb="6">
      <t>ジ</t>
    </rPh>
    <phoneticPr fontId="2"/>
  </si>
  <si>
    <r>
      <t>d (</t>
    </r>
    <r>
      <rPr>
        <sz val="11"/>
        <rFont val="ＭＳ Ｐゴシック"/>
        <family val="3"/>
        <charset val="128"/>
      </rPr>
      <t>下落時のグロス・リターン</t>
    </r>
    <r>
      <rPr>
        <sz val="11"/>
        <rFont val="Calibri"/>
        <family val="2"/>
      </rPr>
      <t>)</t>
    </r>
    <rPh sb="3" eb="5">
      <t>ゲラク</t>
    </rPh>
    <rPh sb="5" eb="6">
      <t>ジ</t>
    </rPh>
    <phoneticPr fontId="2"/>
  </si>
  <si>
    <r>
      <t>x</t>
    </r>
    <r>
      <rPr>
        <vertAlign val="subscript"/>
        <sz val="11"/>
        <rFont val="Calibri"/>
        <family val="2"/>
      </rPr>
      <t>f</t>
    </r>
    <r>
      <rPr>
        <sz val="11"/>
        <rFont val="Calibri"/>
        <family val="2"/>
      </rPr>
      <t xml:space="preserve"> (</t>
    </r>
    <r>
      <rPr>
        <sz val="11"/>
        <rFont val="ＭＳ Ｐゴシック"/>
        <family val="3"/>
        <charset val="128"/>
      </rPr>
      <t>リスク・フリー・グロス・リターン</t>
    </r>
    <r>
      <rPr>
        <sz val="11"/>
        <rFont val="Calibri"/>
        <family val="2"/>
      </rPr>
      <t>)</t>
    </r>
    <phoneticPr fontId="2"/>
  </si>
  <si>
    <r>
      <t>q (</t>
    </r>
    <r>
      <rPr>
        <sz val="11"/>
        <rFont val="ＭＳ Ｐゴシック"/>
        <family val="3"/>
        <charset val="128"/>
      </rPr>
      <t>リスク中立確率</t>
    </r>
    <r>
      <rPr>
        <sz val="11"/>
        <rFont val="Calibri"/>
        <family val="2"/>
      </rPr>
      <t>)</t>
    </r>
    <rPh sb="6" eb="8">
      <t>チュウリツ</t>
    </rPh>
    <rPh sb="8" eb="10">
      <t>カクリツ</t>
    </rPh>
    <phoneticPr fontId="2"/>
  </si>
  <si>
    <r>
      <t>2</t>
    </r>
    <r>
      <rPr>
        <sz val="11"/>
        <rFont val="ＭＳ Ｐゴシック"/>
        <family val="3"/>
        <charset val="128"/>
      </rPr>
      <t>項モデルによるコール・オプション価格</t>
    </r>
    <rPh sb="1" eb="2">
      <t>コウ</t>
    </rPh>
    <rPh sb="17" eb="19">
      <t>カカク</t>
    </rPh>
    <phoneticPr fontId="2"/>
  </si>
  <si>
    <r>
      <t>BS</t>
    </r>
    <r>
      <rPr>
        <sz val="11"/>
        <rFont val="ＭＳ Ｐゴシック"/>
        <family val="3"/>
        <charset val="128"/>
      </rPr>
      <t>公式との誤差</t>
    </r>
    <rPh sb="2" eb="4">
      <t>コウシキ</t>
    </rPh>
    <rPh sb="6" eb="8">
      <t>ゴサ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</si>
</sst>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Symbol"/>
      <family val="1"/>
      <charset val="2"/>
    </font>
    <font>
      <sz val="11"/>
      <name val="Calibri"/>
      <family val="2"/>
    </font>
    <font>
      <vertAlign val="subscript"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 diagonalUp="1">
      <left/>
      <right/>
      <top style="thin">
        <color indexed="64"/>
      </top>
      <bottom/>
      <diagonal style="thin">
        <color indexed="64"/>
      </diagonal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4" fillId="0" borderId="0" xfId="0" applyFont="1"/>
    <xf numFmtId="0" fontId="4" fillId="0" borderId="0" xfId="0" applyFont="1" applyAlignment="1">
      <alignment wrapText="1"/>
    </xf>
    <xf numFmtId="0" fontId="4" fillId="0" borderId="1" xfId="0" applyFont="1" applyBorder="1"/>
    <xf numFmtId="0" fontId="4" fillId="0" borderId="2" xfId="0" applyFont="1" applyBorder="1"/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/>
    <xf numFmtId="0" fontId="4" fillId="2" borderId="1" xfId="0" applyFont="1" applyFill="1" applyBorder="1"/>
    <xf numFmtId="164" fontId="4" fillId="2" borderId="1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10" fontId="4" fillId="2" borderId="0" xfId="1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28575</xdr:colOff>
      <xdr:row>1</xdr:row>
      <xdr:rowOff>0</xdr:rowOff>
    </xdr:from>
    <xdr:ext cx="3864135" cy="1892698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949950" y="190500"/>
          <a:ext cx="3864135" cy="1892698"/>
        </a:xfrm>
        <a:prstGeom prst="rect">
          <a:avLst/>
        </a:prstGeom>
        <a:solidFill>
          <a:schemeClr val="bg1"/>
        </a:solidFill>
        <a:ln w="19050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演習</a:t>
          </a:r>
          <a:r>
            <a:rPr kumimoji="1" lang="en-US" altLang="ja-JP" sz="1100"/>
            <a:t>13(</a:t>
          </a:r>
          <a:r>
            <a:rPr kumimoji="1" lang="ja-JP" altLang="en-US" sz="1100"/>
            <a:t>解答例</a:t>
          </a:r>
          <a:r>
            <a:rPr kumimoji="1" lang="en-US" altLang="ja-JP" sz="1100"/>
            <a:t>)</a:t>
          </a:r>
        </a:p>
        <a:p>
          <a:endParaRPr kumimoji="1" lang="en-US" altLang="ja-JP" sz="1100"/>
        </a:p>
        <a:p>
          <a:r>
            <a:rPr kumimoji="1" lang="ja-JP" altLang="en-US" sz="1100"/>
            <a:t>本ワークシートにてマクロ</a:t>
          </a:r>
          <a:r>
            <a:rPr kumimoji="1" lang="en-US" altLang="ja-JP" sz="1100"/>
            <a:t>"binTree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を実行することにより、</a:t>
          </a:r>
          <a:endParaRPr kumimoji="1" lang="en-US" altLang="ja-JP" sz="1100"/>
        </a:p>
        <a:p>
          <a:r>
            <a:rPr kumimoji="1" lang="ja-JP" altLang="en-US" sz="1100"/>
            <a:t>演習</a:t>
          </a:r>
          <a:r>
            <a:rPr kumimoji="1" lang="en-US" altLang="ja-JP" sz="1100"/>
            <a:t>13</a:t>
          </a:r>
          <a:r>
            <a:rPr kumimoji="1" lang="ja-JP" altLang="en-US" sz="1100"/>
            <a:t>の解答例が得られます。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en-US" altLang="ja-JP" sz="1100"/>
            <a:t>-----</a:t>
          </a:r>
        </a:p>
        <a:p>
          <a:r>
            <a:rPr kumimoji="1" lang="ja-JP" altLang="en-US" sz="1100"/>
            <a:t>このファイルには予めマクロ</a:t>
          </a:r>
          <a:r>
            <a:rPr kumimoji="1" lang="en-US" altLang="ja-JP" sz="1100"/>
            <a:t>"binTree"</a:t>
          </a:r>
          <a:r>
            <a:rPr kumimoji="1" lang="ja-JP" altLang="en-US" sz="1100"/>
            <a:t>が登録されています。</a:t>
          </a:r>
          <a:endParaRPr kumimoji="1" lang="en-US" altLang="ja-JP" sz="1100"/>
        </a:p>
        <a:p>
          <a:r>
            <a:rPr kumimoji="1" lang="en-US" altLang="ja-JP" sz="1100"/>
            <a:t>『</a:t>
          </a:r>
          <a:r>
            <a:rPr kumimoji="1" lang="ja-JP" altLang="en-US" sz="1100"/>
            <a:t>ファイナンスの理論と応用</a:t>
          </a:r>
          <a:r>
            <a:rPr kumimoji="1" lang="en-US" altLang="ja-JP" sz="1100"/>
            <a:t>2</a:t>
          </a:r>
          <a:r>
            <a:rPr kumimoji="1" lang="ja-JP" altLang="en-US" sz="1100"/>
            <a:t> 正規分布で解く資産の動的評価</a:t>
          </a:r>
          <a:r>
            <a:rPr kumimoji="1" lang="en-US" altLang="ja-JP" sz="1100"/>
            <a:t>』</a:t>
          </a:r>
        </a:p>
        <a:p>
          <a:r>
            <a:rPr kumimoji="1" lang="en-US" altLang="ja-JP" sz="1100"/>
            <a:t>p.217</a:t>
          </a:r>
          <a:r>
            <a:rPr kumimoji="1" lang="ja-JP" altLang="en-US" sz="1100"/>
            <a:t>に記載するファイル</a:t>
          </a:r>
          <a:r>
            <a:rPr kumimoji="1" lang="en-US" altLang="ja-JP" sz="1100"/>
            <a:t>"binTree.bas"</a:t>
          </a:r>
          <a:r>
            <a:rPr kumimoji="1" lang="ja-JP" altLang="en-US" sz="1100"/>
            <a:t>の登録</a:t>
          </a:r>
          <a:r>
            <a:rPr kumimoji="1" lang="ja-JP" altLang="en-US" sz="1100">
              <a:latin typeface="+mn-lt"/>
            </a:rPr>
            <a:t>を行う必要は</a:t>
          </a:r>
          <a:endParaRPr kumimoji="1" lang="en-US" altLang="ja-JP" sz="1100">
            <a:latin typeface="+mn-lt"/>
          </a:endParaRPr>
        </a:p>
        <a:p>
          <a:r>
            <a:rPr kumimoji="1" lang="ja-JP" altLang="en-US" sz="1100">
              <a:latin typeface="+mn-lt"/>
            </a:rPr>
            <a:t>ありません。</a:t>
          </a:r>
          <a:endParaRPr kumimoji="1" lang="en-US" altLang="ja-JP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hi ゴ明CalibriTimes">
      <a:majorFont>
        <a:latin typeface="Calibri"/>
        <a:ea typeface="ＭＳ Ｐゴシック"/>
        <a:cs typeface=""/>
      </a:majorFont>
      <a:minorFont>
        <a:latin typeface="Calibri"/>
        <a:ea typeface="ＭＳ Ｐゴシック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01"/>
  <sheetViews>
    <sheetView showGridLines="0" tabSelected="1" zoomScaleNormal="100" workbookViewId="0" xr3:uid="{AEA406A1-0E4B-5B11-9CD5-51D6E497D94C}"/>
  </sheetViews>
  <sheetFormatPr defaultRowHeight="15"/>
  <cols>
    <col min="1" max="1" width="34.375" style="1" bestFit="1" customWidth="1"/>
    <col min="2" max="3" width="12.75" style="6" customWidth="1"/>
  </cols>
  <sheetData>
    <row r="1" spans="1:3">
      <c r="A1" s="3" t="s">
        <v>0</v>
      </c>
      <c r="B1" s="5"/>
    </row>
    <row r="2" spans="1:3" ht="18">
      <c r="A2" s="2" t="s">
        <v>1</v>
      </c>
      <c r="B2" s="6">
        <v>100</v>
      </c>
    </row>
    <row r="3" spans="1:3">
      <c r="A3" s="1" t="s">
        <v>2</v>
      </c>
      <c r="B3" s="6">
        <v>100</v>
      </c>
    </row>
    <row r="4" spans="1:3">
      <c r="A4" s="1" t="s">
        <v>3</v>
      </c>
      <c r="B4" s="6">
        <v>0.3</v>
      </c>
    </row>
    <row r="5" spans="1:3" ht="18">
      <c r="A5" s="1" t="s">
        <v>4</v>
      </c>
      <c r="B5" s="6">
        <v>0.05</v>
      </c>
    </row>
    <row r="6" spans="1:3">
      <c r="A6" s="3" t="s">
        <v>5</v>
      </c>
      <c r="B6" s="5">
        <v>0.25</v>
      </c>
    </row>
    <row r="7" spans="1:3">
      <c r="A7" s="11" t="s">
        <v>6</v>
      </c>
      <c r="B7" s="10">
        <f>B2*_xlfn.NORM.DIST(B8, 0, 1, TRUE) - B3*EXP(-B5*B6)*_xlfn.NORM.DIST(B9, 0, 1, TRUE)</f>
        <v>6.5830844979924805</v>
      </c>
    </row>
    <row r="8" spans="1:3" ht="18">
      <c r="A8" s="11" t="s">
        <v>7</v>
      </c>
      <c r="B8" s="10">
        <f>( LN(B2/B3)+(B5+0.5*B4^2)*B6 )/B4/SQRT(B6)</f>
        <v>0.15833333333333335</v>
      </c>
    </row>
    <row r="9" spans="1:3" ht="18">
      <c r="A9" s="11" t="s">
        <v>8</v>
      </c>
      <c r="B9" s="10">
        <f>B8-B4*SQRT(B6)</f>
        <v>8.3333333333333592E-3</v>
      </c>
    </row>
    <row r="11" spans="1:3" ht="30">
      <c r="A11" s="3" t="s">
        <v>9</v>
      </c>
      <c r="B11" s="7" t="s">
        <v>10</v>
      </c>
      <c r="C11" s="7" t="s">
        <v>11</v>
      </c>
    </row>
    <row r="12" spans="1:3">
      <c r="A12" s="4" t="s">
        <v>12</v>
      </c>
      <c r="B12" s="6">
        <v>1</v>
      </c>
      <c r="C12" s="8"/>
    </row>
    <row r="13" spans="1:3">
      <c r="A13" s="1" t="s">
        <v>13</v>
      </c>
      <c r="B13" s="6">
        <v>1000</v>
      </c>
      <c r="C13" s="6">
        <f>B13</f>
        <v>1000</v>
      </c>
    </row>
    <row r="14" spans="1:3">
      <c r="A14" s="3" t="s">
        <v>14</v>
      </c>
      <c r="B14" s="5">
        <f>B6/B13</f>
        <v>2.5000000000000001E-4</v>
      </c>
      <c r="C14" s="5">
        <f>B14</f>
        <v>2.5000000000000001E-4</v>
      </c>
    </row>
    <row r="15" spans="1:3">
      <c r="A15" s="11" t="s">
        <v>15</v>
      </c>
      <c r="B15" s="10">
        <f>EXP(B4*SQRT(B14))</f>
        <v>1.0047546842991781</v>
      </c>
      <c r="C15" s="10">
        <f>EXP( (B5-0.5*B4^2)*C14 + B4*SQRT(C14) )</f>
        <v>1.0047559402433186</v>
      </c>
    </row>
    <row r="16" spans="1:3">
      <c r="A16" s="11" t="s">
        <v>16</v>
      </c>
      <c r="B16" s="10">
        <f>EXP(-B4*SQRT(B14))</f>
        <v>0.99526781574300938</v>
      </c>
      <c r="C16" s="10">
        <f>EXP( (B5-0.5*B4^2)*C14 - B4*SQRT(C14) )</f>
        <v>0.99526905982855662</v>
      </c>
    </row>
    <row r="17" spans="1:3" ht="18">
      <c r="A17" s="11" t="s">
        <v>17</v>
      </c>
      <c r="B17" s="10">
        <f>EXP(B5*B14)</f>
        <v>1.0000125000781253</v>
      </c>
      <c r="C17" s="10">
        <f>EXP(B5*B14)</f>
        <v>1.0000125000781253</v>
      </c>
    </row>
    <row r="18" spans="1:3">
      <c r="A18" s="12" t="s">
        <v>18</v>
      </c>
      <c r="B18" s="13">
        <f>(B17-B16)/(B15-B16)</f>
        <v>0.50013176708669438</v>
      </c>
      <c r="C18" s="14">
        <f>0.5</f>
        <v>0.5</v>
      </c>
    </row>
    <row r="19" spans="1:3">
      <c r="A19" s="11" t="s">
        <v>19</v>
      </c>
      <c r="B19" s="10">
        <v>6.5815942564607299</v>
      </c>
      <c r="C19" s="10">
        <v>6.5829445985931523</v>
      </c>
    </row>
    <row r="20" spans="1:3">
      <c r="A20" s="11" t="s">
        <v>20</v>
      </c>
      <c r="B20" s="15">
        <f>ABS(B19-B7)/B7</f>
        <v>2.2637435873792023E-4</v>
      </c>
      <c r="C20" s="15">
        <f>ABS(C19-B7)/B7</f>
        <v>2.125134492362942E-5</v>
      </c>
    </row>
    <row r="21" spans="1:3">
      <c r="A21"/>
      <c r="B21" s="9"/>
    </row>
    <row r="22" spans="1:3">
      <c r="A22"/>
      <c r="B22" s="9"/>
    </row>
    <row r="23" spans="1:3">
      <c r="A23"/>
      <c r="B23" s="9"/>
    </row>
    <row r="24" spans="1:3">
      <c r="A24"/>
      <c r="B24" s="9"/>
    </row>
    <row r="25" spans="1:3">
      <c r="A25"/>
      <c r="B25" s="9"/>
    </row>
    <row r="26" spans="1:3">
      <c r="A26"/>
      <c r="B26" s="9"/>
    </row>
    <row r="27" spans="1:3">
      <c r="A27"/>
      <c r="B27" s="9"/>
    </row>
    <row r="28" spans="1:3">
      <c r="A28"/>
      <c r="B28" s="9"/>
    </row>
    <row r="29" spans="1:3">
      <c r="A29"/>
      <c r="B29" s="9"/>
    </row>
    <row r="30" spans="1:3">
      <c r="A30"/>
      <c r="B30" s="9"/>
    </row>
    <row r="31" spans="1:3">
      <c r="A31"/>
      <c r="B31" s="9"/>
    </row>
    <row r="32" spans="1:3">
      <c r="A32"/>
      <c r="B32" s="9"/>
    </row>
    <row r="33" spans="1:2">
      <c r="A33"/>
      <c r="B33" s="9"/>
    </row>
    <row r="34" spans="1:2">
      <c r="A34"/>
      <c r="B34" s="9"/>
    </row>
    <row r="35" spans="1:2">
      <c r="A35"/>
      <c r="B35" s="9"/>
    </row>
    <row r="36" spans="1:2">
      <c r="A36"/>
      <c r="B36" s="9"/>
    </row>
    <row r="37" spans="1:2">
      <c r="A37"/>
      <c r="B37" s="9"/>
    </row>
    <row r="38" spans="1:2">
      <c r="A38"/>
      <c r="B38" s="9"/>
    </row>
    <row r="39" spans="1:2">
      <c r="A39"/>
      <c r="B39" s="9"/>
    </row>
    <row r="40" spans="1:2">
      <c r="A40"/>
      <c r="B40" s="9"/>
    </row>
    <row r="41" spans="1:2">
      <c r="A41"/>
      <c r="B41" s="9"/>
    </row>
    <row r="42" spans="1:2">
      <c r="A42"/>
      <c r="B42" s="9"/>
    </row>
    <row r="43" spans="1:2">
      <c r="A43"/>
      <c r="B43" s="9"/>
    </row>
    <row r="44" spans="1:2">
      <c r="A44"/>
      <c r="B44" s="9"/>
    </row>
    <row r="45" spans="1:2">
      <c r="A45"/>
      <c r="B45" s="9"/>
    </row>
    <row r="46" spans="1:2">
      <c r="A46"/>
      <c r="B46" s="9"/>
    </row>
    <row r="47" spans="1:2">
      <c r="A47"/>
      <c r="B47" s="9"/>
    </row>
    <row r="48" spans="1:2">
      <c r="A48"/>
      <c r="B48" s="9"/>
    </row>
    <row r="49" spans="1:2">
      <c r="A49"/>
      <c r="B49" s="9"/>
    </row>
    <row r="50" spans="1:2">
      <c r="A50"/>
      <c r="B50" s="9"/>
    </row>
    <row r="51" spans="1:2">
      <c r="A51"/>
      <c r="B51" s="9"/>
    </row>
    <row r="52" spans="1:2">
      <c r="A52"/>
      <c r="B52" s="9"/>
    </row>
    <row r="53" spans="1:2">
      <c r="A53"/>
      <c r="B53" s="9"/>
    </row>
    <row r="54" spans="1:2">
      <c r="A54"/>
      <c r="B54" s="9"/>
    </row>
    <row r="55" spans="1:2">
      <c r="A55"/>
      <c r="B55" s="9"/>
    </row>
    <row r="56" spans="1:2">
      <c r="A56"/>
      <c r="B56" s="9"/>
    </row>
    <row r="57" spans="1:2">
      <c r="A57"/>
      <c r="B57" s="9"/>
    </row>
    <row r="58" spans="1:2">
      <c r="A58"/>
      <c r="B58" s="9"/>
    </row>
    <row r="59" spans="1:2">
      <c r="A59"/>
      <c r="B59" s="9"/>
    </row>
    <row r="60" spans="1:2">
      <c r="A60"/>
      <c r="B60" s="9"/>
    </row>
    <row r="61" spans="1:2">
      <c r="A61"/>
      <c r="B61" s="9"/>
    </row>
    <row r="62" spans="1:2">
      <c r="A62"/>
      <c r="B62" s="9"/>
    </row>
    <row r="63" spans="1:2">
      <c r="A63"/>
      <c r="B63" s="9"/>
    </row>
    <row r="64" spans="1:2">
      <c r="A64"/>
      <c r="B64" s="9"/>
    </row>
    <row r="65" spans="1:2">
      <c r="A65"/>
      <c r="B65" s="9"/>
    </row>
    <row r="66" spans="1:2">
      <c r="A66"/>
      <c r="B66" s="9"/>
    </row>
    <row r="67" spans="1:2">
      <c r="A67"/>
      <c r="B67" s="9"/>
    </row>
    <row r="68" spans="1:2">
      <c r="A68"/>
      <c r="B68" s="9"/>
    </row>
    <row r="69" spans="1:2">
      <c r="A69"/>
      <c r="B69" s="9"/>
    </row>
    <row r="70" spans="1:2">
      <c r="A70"/>
      <c r="B70" s="9"/>
    </row>
    <row r="71" spans="1:2">
      <c r="A71"/>
      <c r="B71" s="9"/>
    </row>
    <row r="72" spans="1:2">
      <c r="A72"/>
      <c r="B72" s="9"/>
    </row>
    <row r="73" spans="1:2">
      <c r="A73"/>
      <c r="B73" s="9"/>
    </row>
    <row r="74" spans="1:2">
      <c r="A74"/>
      <c r="B74" s="9"/>
    </row>
    <row r="75" spans="1:2">
      <c r="A75"/>
      <c r="B75" s="9"/>
    </row>
    <row r="76" spans="1:2">
      <c r="A76"/>
      <c r="B76" s="9"/>
    </row>
    <row r="77" spans="1:2">
      <c r="A77"/>
      <c r="B77" s="9"/>
    </row>
    <row r="78" spans="1:2">
      <c r="A78"/>
      <c r="B78" s="9"/>
    </row>
    <row r="79" spans="1:2">
      <c r="A79"/>
      <c r="B79" s="9"/>
    </row>
    <row r="80" spans="1:2">
      <c r="A80"/>
      <c r="B80" s="9"/>
    </row>
    <row r="81" spans="1:2">
      <c r="A81"/>
      <c r="B81" s="9"/>
    </row>
    <row r="82" spans="1:2">
      <c r="A82"/>
      <c r="B82" s="9"/>
    </row>
    <row r="83" spans="1:2">
      <c r="A83"/>
      <c r="B83" s="9"/>
    </row>
    <row r="84" spans="1:2">
      <c r="A84"/>
      <c r="B84" s="9"/>
    </row>
    <row r="85" spans="1:2">
      <c r="A85"/>
      <c r="B85" s="9"/>
    </row>
    <row r="86" spans="1:2">
      <c r="A86"/>
      <c r="B86" s="9"/>
    </row>
    <row r="87" spans="1:2">
      <c r="A87"/>
      <c r="B87" s="9"/>
    </row>
    <row r="88" spans="1:2">
      <c r="A88"/>
      <c r="B88" s="9"/>
    </row>
    <row r="89" spans="1:2">
      <c r="A89"/>
      <c r="B89" s="9"/>
    </row>
    <row r="90" spans="1:2">
      <c r="A90"/>
      <c r="B90" s="9"/>
    </row>
    <row r="91" spans="1:2">
      <c r="A91"/>
      <c r="B91" s="9"/>
    </row>
    <row r="92" spans="1:2">
      <c r="A92"/>
      <c r="B92" s="9"/>
    </row>
    <row r="93" spans="1:2">
      <c r="A93"/>
      <c r="B93" s="9"/>
    </row>
    <row r="94" spans="1:2">
      <c r="A94"/>
      <c r="B94" s="9"/>
    </row>
    <row r="95" spans="1:2">
      <c r="A95"/>
      <c r="B95" s="9"/>
    </row>
    <row r="96" spans="1:2">
      <c r="A96"/>
      <c r="B96" s="9"/>
    </row>
    <row r="97" spans="1:2">
      <c r="A97"/>
      <c r="B97" s="9"/>
    </row>
    <row r="98" spans="1:2">
      <c r="A98"/>
      <c r="B98" s="9"/>
    </row>
    <row r="99" spans="1:2">
      <c r="A99"/>
      <c r="B99" s="9"/>
    </row>
    <row r="100" spans="1:2">
      <c r="A100"/>
      <c r="B100" s="9"/>
    </row>
    <row r="101" spans="1:2">
      <c r="A101"/>
      <c r="B101" s="9"/>
    </row>
    <row r="102" spans="1:2">
      <c r="A102"/>
      <c r="B102" s="9"/>
    </row>
    <row r="103" spans="1:2">
      <c r="A103"/>
      <c r="B103" s="9"/>
    </row>
    <row r="104" spans="1:2">
      <c r="A104"/>
      <c r="B104" s="9"/>
    </row>
    <row r="105" spans="1:2">
      <c r="A105"/>
      <c r="B105" s="9"/>
    </row>
    <row r="106" spans="1:2">
      <c r="A106"/>
      <c r="B106" s="9"/>
    </row>
    <row r="107" spans="1:2">
      <c r="A107"/>
      <c r="B107" s="9"/>
    </row>
    <row r="108" spans="1:2">
      <c r="A108"/>
      <c r="B108" s="9"/>
    </row>
    <row r="109" spans="1:2">
      <c r="A109"/>
      <c r="B109" s="9"/>
    </row>
    <row r="110" spans="1:2">
      <c r="A110"/>
      <c r="B110" s="9"/>
    </row>
    <row r="111" spans="1:2">
      <c r="A111"/>
      <c r="B111" s="9"/>
    </row>
    <row r="112" spans="1:2">
      <c r="A112"/>
      <c r="B112" s="9"/>
    </row>
    <row r="113" spans="1:2">
      <c r="A113"/>
      <c r="B113" s="9"/>
    </row>
    <row r="114" spans="1:2">
      <c r="A114"/>
      <c r="B114" s="9"/>
    </row>
    <row r="115" spans="1:2">
      <c r="A115"/>
      <c r="B115" s="9"/>
    </row>
    <row r="116" spans="1:2">
      <c r="A116"/>
      <c r="B116" s="9"/>
    </row>
    <row r="117" spans="1:2">
      <c r="A117"/>
      <c r="B117" s="9"/>
    </row>
    <row r="118" spans="1:2">
      <c r="A118"/>
      <c r="B118" s="9"/>
    </row>
    <row r="119" spans="1:2">
      <c r="A119"/>
      <c r="B119" s="9"/>
    </row>
    <row r="120" spans="1:2">
      <c r="A120"/>
      <c r="B120" s="9"/>
    </row>
    <row r="121" spans="1:2">
      <c r="A121"/>
      <c r="B121" s="9"/>
    </row>
    <row r="122" spans="1:2">
      <c r="A122"/>
      <c r="B122" s="9"/>
    </row>
    <row r="123" spans="1:2">
      <c r="A123"/>
      <c r="B123" s="9"/>
    </row>
    <row r="124" spans="1:2">
      <c r="A124"/>
      <c r="B124" s="9"/>
    </row>
    <row r="125" spans="1:2">
      <c r="A125"/>
      <c r="B125" s="9"/>
    </row>
    <row r="126" spans="1:2">
      <c r="A126"/>
      <c r="B126" s="9"/>
    </row>
    <row r="127" spans="1:2">
      <c r="A127"/>
      <c r="B127" s="9"/>
    </row>
    <row r="128" spans="1:2">
      <c r="A128"/>
      <c r="B128" s="9"/>
    </row>
    <row r="129" spans="1:2">
      <c r="A129"/>
      <c r="B129" s="9"/>
    </row>
    <row r="130" spans="1:2">
      <c r="A130"/>
      <c r="B130" s="9"/>
    </row>
    <row r="131" spans="1:2">
      <c r="A131"/>
      <c r="B131" s="9"/>
    </row>
    <row r="132" spans="1:2">
      <c r="A132"/>
      <c r="B132" s="9"/>
    </row>
    <row r="133" spans="1:2">
      <c r="A133"/>
      <c r="B133" s="9"/>
    </row>
    <row r="134" spans="1:2">
      <c r="A134"/>
      <c r="B134" s="9"/>
    </row>
    <row r="135" spans="1:2">
      <c r="A135"/>
      <c r="B135" s="9"/>
    </row>
    <row r="136" spans="1:2">
      <c r="A136"/>
      <c r="B136" s="9"/>
    </row>
    <row r="137" spans="1:2">
      <c r="A137"/>
      <c r="B137" s="9"/>
    </row>
    <row r="138" spans="1:2">
      <c r="A138"/>
      <c r="B138" s="9"/>
    </row>
    <row r="139" spans="1:2">
      <c r="A139"/>
      <c r="B139" s="9"/>
    </row>
    <row r="140" spans="1:2">
      <c r="A140"/>
      <c r="B140" s="9"/>
    </row>
    <row r="141" spans="1:2">
      <c r="A141"/>
      <c r="B141" s="9"/>
    </row>
    <row r="142" spans="1:2">
      <c r="A142"/>
      <c r="B142" s="9"/>
    </row>
    <row r="143" spans="1:2">
      <c r="A143"/>
      <c r="B143" s="9"/>
    </row>
    <row r="144" spans="1:2">
      <c r="A144"/>
      <c r="B144" s="9"/>
    </row>
    <row r="145" spans="1:2">
      <c r="A145"/>
      <c r="B145" s="9"/>
    </row>
    <row r="146" spans="1:2">
      <c r="A146"/>
      <c r="B146" s="9"/>
    </row>
    <row r="147" spans="1:2">
      <c r="A147"/>
      <c r="B147" s="9"/>
    </row>
    <row r="148" spans="1:2">
      <c r="A148"/>
      <c r="B148" s="9"/>
    </row>
    <row r="149" spans="1:2">
      <c r="A149"/>
      <c r="B149" s="9"/>
    </row>
    <row r="150" spans="1:2">
      <c r="A150"/>
      <c r="B150" s="9"/>
    </row>
    <row r="151" spans="1:2">
      <c r="A151"/>
      <c r="B151" s="9"/>
    </row>
    <row r="152" spans="1:2">
      <c r="A152"/>
      <c r="B152" s="9"/>
    </row>
    <row r="153" spans="1:2">
      <c r="A153"/>
      <c r="B153" s="9"/>
    </row>
    <row r="154" spans="1:2">
      <c r="A154"/>
      <c r="B154" s="9"/>
    </row>
    <row r="155" spans="1:2">
      <c r="A155"/>
      <c r="B155" s="9"/>
    </row>
    <row r="156" spans="1:2">
      <c r="A156"/>
      <c r="B156" s="9"/>
    </row>
    <row r="157" spans="1:2">
      <c r="A157"/>
      <c r="B157" s="9"/>
    </row>
    <row r="158" spans="1:2">
      <c r="A158"/>
      <c r="B158" s="9"/>
    </row>
    <row r="159" spans="1:2">
      <c r="A159"/>
      <c r="B159" s="9"/>
    </row>
    <row r="160" spans="1:2">
      <c r="A160"/>
      <c r="B160" s="9"/>
    </row>
    <row r="161" spans="1:2">
      <c r="A161"/>
      <c r="B161" s="9"/>
    </row>
    <row r="162" spans="1:2">
      <c r="A162"/>
      <c r="B162" s="9"/>
    </row>
    <row r="163" spans="1:2">
      <c r="A163"/>
      <c r="B163" s="9"/>
    </row>
    <row r="164" spans="1:2">
      <c r="A164"/>
      <c r="B164" s="9"/>
    </row>
    <row r="165" spans="1:2">
      <c r="A165"/>
      <c r="B165" s="9"/>
    </row>
    <row r="166" spans="1:2">
      <c r="A166"/>
      <c r="B166" s="9"/>
    </row>
    <row r="167" spans="1:2">
      <c r="A167"/>
      <c r="B167" s="9"/>
    </row>
    <row r="168" spans="1:2">
      <c r="A168"/>
      <c r="B168" s="9"/>
    </row>
    <row r="169" spans="1:2">
      <c r="A169"/>
      <c r="B169" s="9"/>
    </row>
    <row r="170" spans="1:2">
      <c r="A170"/>
      <c r="B170" s="9"/>
    </row>
    <row r="171" spans="1:2">
      <c r="A171"/>
      <c r="B171" s="9"/>
    </row>
    <row r="172" spans="1:2">
      <c r="A172"/>
      <c r="B172" s="9"/>
    </row>
    <row r="173" spans="1:2">
      <c r="A173"/>
      <c r="B173" s="9"/>
    </row>
    <row r="174" spans="1:2">
      <c r="A174"/>
      <c r="B174" s="9"/>
    </row>
    <row r="175" spans="1:2">
      <c r="A175"/>
      <c r="B175" s="9"/>
    </row>
    <row r="176" spans="1:2">
      <c r="A176"/>
      <c r="B176" s="9"/>
    </row>
    <row r="177" spans="1:2">
      <c r="A177"/>
      <c r="B177" s="9"/>
    </row>
    <row r="178" spans="1:2">
      <c r="A178"/>
      <c r="B178" s="9"/>
    </row>
    <row r="179" spans="1:2">
      <c r="A179"/>
      <c r="B179" s="9"/>
    </row>
    <row r="180" spans="1:2">
      <c r="A180"/>
      <c r="B180" s="9"/>
    </row>
    <row r="181" spans="1:2">
      <c r="A181"/>
      <c r="B181" s="9"/>
    </row>
    <row r="182" spans="1:2">
      <c r="A182"/>
      <c r="B182" s="9"/>
    </row>
    <row r="183" spans="1:2">
      <c r="A183"/>
      <c r="B183" s="9"/>
    </row>
    <row r="184" spans="1:2">
      <c r="A184"/>
      <c r="B184" s="9"/>
    </row>
    <row r="185" spans="1:2">
      <c r="A185"/>
      <c r="B185" s="9"/>
    </row>
    <row r="186" spans="1:2">
      <c r="A186"/>
      <c r="B186" s="9"/>
    </row>
    <row r="187" spans="1:2">
      <c r="A187"/>
      <c r="B187" s="9"/>
    </row>
    <row r="188" spans="1:2">
      <c r="A188"/>
      <c r="B188" s="9"/>
    </row>
    <row r="189" spans="1:2">
      <c r="A189"/>
      <c r="B189" s="9"/>
    </row>
    <row r="190" spans="1:2">
      <c r="A190"/>
      <c r="B190" s="9"/>
    </row>
    <row r="191" spans="1:2">
      <c r="A191"/>
      <c r="B191" s="9"/>
    </row>
    <row r="192" spans="1:2">
      <c r="A192"/>
      <c r="B192" s="9"/>
    </row>
    <row r="193" spans="1:2">
      <c r="A193"/>
      <c r="B193" s="9"/>
    </row>
    <row r="194" spans="1:2">
      <c r="A194"/>
      <c r="B194" s="9"/>
    </row>
    <row r="195" spans="1:2">
      <c r="A195"/>
      <c r="B195" s="9"/>
    </row>
    <row r="196" spans="1:2">
      <c r="A196"/>
      <c r="B196" s="9"/>
    </row>
    <row r="197" spans="1:2">
      <c r="A197"/>
      <c r="B197" s="9"/>
    </row>
    <row r="198" spans="1:2">
      <c r="A198"/>
      <c r="B198" s="9"/>
    </row>
    <row r="199" spans="1:2">
      <c r="A199"/>
      <c r="B199" s="9"/>
    </row>
    <row r="200" spans="1:2">
      <c r="A200"/>
      <c r="B200" s="9"/>
    </row>
    <row r="201" spans="1:2">
      <c r="A201"/>
      <c r="B201" s="9"/>
    </row>
    <row r="202" spans="1:2">
      <c r="A202"/>
      <c r="B202" s="9"/>
    </row>
    <row r="203" spans="1:2">
      <c r="A203"/>
      <c r="B203" s="9"/>
    </row>
    <row r="204" spans="1:2">
      <c r="A204"/>
      <c r="B204" s="9"/>
    </row>
    <row r="205" spans="1:2">
      <c r="A205"/>
      <c r="B205" s="9"/>
    </row>
    <row r="206" spans="1:2">
      <c r="A206"/>
      <c r="B206" s="9"/>
    </row>
    <row r="207" spans="1:2">
      <c r="A207"/>
      <c r="B207" s="9"/>
    </row>
    <row r="208" spans="1:2">
      <c r="A208"/>
      <c r="B208" s="9"/>
    </row>
    <row r="209" spans="1:2">
      <c r="A209"/>
      <c r="B209" s="9"/>
    </row>
    <row r="210" spans="1:2">
      <c r="A210"/>
      <c r="B210" s="9"/>
    </row>
    <row r="211" spans="1:2">
      <c r="A211"/>
      <c r="B211" s="9"/>
    </row>
    <row r="212" spans="1:2">
      <c r="A212"/>
      <c r="B212" s="9"/>
    </row>
    <row r="213" spans="1:2">
      <c r="A213"/>
      <c r="B213" s="9"/>
    </row>
    <row r="214" spans="1:2">
      <c r="A214"/>
      <c r="B214" s="9"/>
    </row>
    <row r="215" spans="1:2">
      <c r="A215"/>
      <c r="B215" s="9"/>
    </row>
    <row r="216" spans="1:2">
      <c r="A216"/>
      <c r="B216" s="9"/>
    </row>
    <row r="217" spans="1:2">
      <c r="A217"/>
      <c r="B217" s="9"/>
    </row>
    <row r="218" spans="1:2">
      <c r="A218"/>
      <c r="B218" s="9"/>
    </row>
    <row r="219" spans="1:2">
      <c r="A219"/>
      <c r="B219" s="9"/>
    </row>
    <row r="220" spans="1:2">
      <c r="A220"/>
      <c r="B220" s="9"/>
    </row>
    <row r="221" spans="1:2">
      <c r="A221"/>
      <c r="B221" s="9"/>
    </row>
    <row r="222" spans="1:2">
      <c r="A222"/>
      <c r="B222" s="9"/>
    </row>
    <row r="223" spans="1:2">
      <c r="A223"/>
      <c r="B223" s="9"/>
    </row>
    <row r="224" spans="1:2">
      <c r="A224"/>
      <c r="B224" s="9"/>
    </row>
    <row r="225" spans="1:2">
      <c r="A225"/>
      <c r="B225" s="9"/>
    </row>
    <row r="226" spans="1:2">
      <c r="A226"/>
      <c r="B226" s="9"/>
    </row>
    <row r="227" spans="1:2">
      <c r="A227"/>
      <c r="B227" s="9"/>
    </row>
    <row r="228" spans="1:2">
      <c r="A228"/>
      <c r="B228" s="9"/>
    </row>
    <row r="229" spans="1:2">
      <c r="A229"/>
      <c r="B229" s="9"/>
    </row>
    <row r="230" spans="1:2">
      <c r="A230"/>
      <c r="B230" s="9"/>
    </row>
    <row r="231" spans="1:2">
      <c r="A231"/>
      <c r="B231" s="9"/>
    </row>
    <row r="232" spans="1:2">
      <c r="A232"/>
      <c r="B232" s="9"/>
    </row>
    <row r="233" spans="1:2">
      <c r="A233"/>
      <c r="B233" s="9"/>
    </row>
    <row r="234" spans="1:2">
      <c r="A234"/>
      <c r="B234" s="9"/>
    </row>
    <row r="235" spans="1:2">
      <c r="A235"/>
      <c r="B235" s="9"/>
    </row>
    <row r="236" spans="1:2">
      <c r="A236"/>
      <c r="B236" s="9"/>
    </row>
    <row r="237" spans="1:2">
      <c r="A237"/>
      <c r="B237" s="9"/>
    </row>
    <row r="238" spans="1:2">
      <c r="A238"/>
      <c r="B238" s="9"/>
    </row>
    <row r="239" spans="1:2">
      <c r="A239"/>
      <c r="B239" s="9"/>
    </row>
    <row r="240" spans="1:2">
      <c r="A240"/>
      <c r="B240" s="9"/>
    </row>
    <row r="241" spans="1:2">
      <c r="A241"/>
      <c r="B241" s="9"/>
    </row>
    <row r="242" spans="1:2">
      <c r="A242"/>
      <c r="B242" s="9"/>
    </row>
    <row r="243" spans="1:2">
      <c r="A243"/>
      <c r="B243" s="9"/>
    </row>
    <row r="244" spans="1:2">
      <c r="A244"/>
      <c r="B244" s="9"/>
    </row>
    <row r="245" spans="1:2">
      <c r="A245"/>
      <c r="B245" s="9"/>
    </row>
    <row r="246" spans="1:2">
      <c r="A246"/>
      <c r="B246" s="9"/>
    </row>
    <row r="247" spans="1:2">
      <c r="A247"/>
      <c r="B247" s="9"/>
    </row>
    <row r="248" spans="1:2">
      <c r="A248"/>
      <c r="B248" s="9"/>
    </row>
    <row r="249" spans="1:2">
      <c r="A249"/>
      <c r="B249" s="9"/>
    </row>
    <row r="250" spans="1:2">
      <c r="A250"/>
      <c r="B250" s="9"/>
    </row>
    <row r="251" spans="1:2">
      <c r="A251"/>
      <c r="B251" s="9"/>
    </row>
    <row r="252" spans="1:2">
      <c r="A252"/>
      <c r="B252" s="9"/>
    </row>
    <row r="253" spans="1:2">
      <c r="A253"/>
      <c r="B253" s="9"/>
    </row>
    <row r="254" spans="1:2">
      <c r="A254"/>
      <c r="B254" s="9"/>
    </row>
    <row r="255" spans="1:2">
      <c r="A255"/>
      <c r="B255" s="9"/>
    </row>
    <row r="256" spans="1:2">
      <c r="A256"/>
      <c r="B256" s="9"/>
    </row>
    <row r="257" spans="1:2">
      <c r="A257"/>
      <c r="B257" s="9"/>
    </row>
    <row r="258" spans="1:2">
      <c r="A258"/>
      <c r="B258" s="9"/>
    </row>
    <row r="259" spans="1:2">
      <c r="A259"/>
      <c r="B259" s="9"/>
    </row>
    <row r="260" spans="1:2">
      <c r="A260"/>
      <c r="B260" s="9"/>
    </row>
    <row r="261" spans="1:2">
      <c r="A261"/>
      <c r="B261" s="9"/>
    </row>
    <row r="262" spans="1:2">
      <c r="A262"/>
      <c r="B262" s="9"/>
    </row>
    <row r="263" spans="1:2">
      <c r="A263"/>
      <c r="B263" s="9"/>
    </row>
    <row r="264" spans="1:2">
      <c r="A264"/>
      <c r="B264" s="9"/>
    </row>
    <row r="265" spans="1:2">
      <c r="A265"/>
      <c r="B265" s="9"/>
    </row>
    <row r="266" spans="1:2">
      <c r="A266"/>
      <c r="B266" s="9"/>
    </row>
    <row r="267" spans="1:2">
      <c r="A267"/>
      <c r="B267" s="9"/>
    </row>
    <row r="268" spans="1:2">
      <c r="A268"/>
      <c r="B268" s="9"/>
    </row>
    <row r="269" spans="1:2">
      <c r="A269"/>
      <c r="B269" s="9"/>
    </row>
    <row r="270" spans="1:2">
      <c r="A270"/>
      <c r="B270" s="9"/>
    </row>
    <row r="271" spans="1:2">
      <c r="A271"/>
      <c r="B271" s="9"/>
    </row>
    <row r="272" spans="1:2">
      <c r="A272"/>
      <c r="B272" s="9"/>
    </row>
    <row r="273" spans="1:2">
      <c r="A273"/>
      <c r="B273" s="9"/>
    </row>
    <row r="274" spans="1:2">
      <c r="A274"/>
      <c r="B274" s="9"/>
    </row>
    <row r="275" spans="1:2">
      <c r="A275"/>
      <c r="B275" s="9"/>
    </row>
    <row r="276" spans="1:2">
      <c r="A276"/>
      <c r="B276" s="9"/>
    </row>
    <row r="277" spans="1:2">
      <c r="A277"/>
      <c r="B277" s="9"/>
    </row>
    <row r="278" spans="1:2">
      <c r="A278"/>
      <c r="B278" s="9"/>
    </row>
    <row r="279" spans="1:2">
      <c r="A279"/>
      <c r="B279" s="9"/>
    </row>
    <row r="280" spans="1:2">
      <c r="A280"/>
      <c r="B280" s="9"/>
    </row>
    <row r="281" spans="1:2">
      <c r="A281"/>
      <c r="B281" s="9"/>
    </row>
    <row r="282" spans="1:2">
      <c r="A282"/>
      <c r="B282" s="9"/>
    </row>
    <row r="283" spans="1:2">
      <c r="A283"/>
      <c r="B283" s="9"/>
    </row>
    <row r="284" spans="1:2">
      <c r="A284"/>
      <c r="B284" s="9"/>
    </row>
    <row r="285" spans="1:2">
      <c r="A285"/>
      <c r="B285" s="9"/>
    </row>
    <row r="286" spans="1:2">
      <c r="A286"/>
      <c r="B286" s="9"/>
    </row>
    <row r="287" spans="1:2">
      <c r="A287"/>
      <c r="B287" s="9"/>
    </row>
    <row r="288" spans="1:2">
      <c r="A288"/>
      <c r="B288" s="9"/>
    </row>
    <row r="289" spans="1:2">
      <c r="A289"/>
      <c r="B289" s="9"/>
    </row>
    <row r="290" spans="1:2">
      <c r="A290"/>
      <c r="B290" s="9"/>
    </row>
    <row r="291" spans="1:2">
      <c r="A291"/>
      <c r="B291" s="9"/>
    </row>
    <row r="292" spans="1:2">
      <c r="A292"/>
      <c r="B292" s="9"/>
    </row>
    <row r="293" spans="1:2">
      <c r="A293"/>
      <c r="B293" s="9"/>
    </row>
    <row r="294" spans="1:2">
      <c r="A294"/>
      <c r="B294" s="9"/>
    </row>
    <row r="295" spans="1:2">
      <c r="A295"/>
      <c r="B295" s="9"/>
    </row>
    <row r="296" spans="1:2">
      <c r="A296"/>
      <c r="B296" s="9"/>
    </row>
    <row r="297" spans="1:2">
      <c r="A297"/>
      <c r="B297" s="9"/>
    </row>
    <row r="298" spans="1:2">
      <c r="A298"/>
      <c r="B298" s="9"/>
    </row>
    <row r="299" spans="1:2">
      <c r="A299"/>
      <c r="B299" s="9"/>
    </row>
    <row r="300" spans="1:2">
      <c r="A300"/>
      <c r="B300" s="9"/>
    </row>
    <row r="301" spans="1:2">
      <c r="A301"/>
      <c r="B301" s="9"/>
    </row>
  </sheetData>
  <phoneticPr fontId="2"/>
  <printOptions headings="1"/>
  <pageMargins left="0.70866141732283472" right="0.70866141732283472" top="0.74803149606299213" bottom="0.74803149606299213" header="0.31496062992125984" footer="0.31496062992125984"/>
  <pageSetup paperSize="9" scale="75" orientation="portrait" horizontalDpi="0" verticalDpi="0" r:id="rId1"/>
  <colBreaks count="1" manualBreakCount="1">
    <brk id="4" max="19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Hiroshi Ishijima</cp:lastModifiedBy>
  <cp:revision/>
  <dcterms:created xsi:type="dcterms:W3CDTF">2017-04-11T02:40:54Z</dcterms:created>
  <dcterms:modified xsi:type="dcterms:W3CDTF">2018-07-22T08:34:12Z</dcterms:modified>
  <cp:category/>
  <cp:contentStatus/>
</cp:coreProperties>
</file>