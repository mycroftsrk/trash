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 codeName="ThisWorkbook"/>
  <xr:revisionPtr revIDLastSave="0" documentId="8_{7665B493-5A2D-4592-8268-B10D3E076049}" xr6:coauthVersionLast="35" xr6:coauthVersionMax="35" xr10:uidLastSave="{00000000-0000-0000-0000-000000000000}"/>
  <bookViews>
    <workbookView xWindow="0" yWindow="0" windowWidth="16500" windowHeight="14175" xr2:uid="{00000000-000D-0000-FFFF-FFFF00000000}"/>
  </bookViews>
  <sheets>
    <sheet name="topixReturns" sheetId="1" r:id="rId1"/>
    <sheet name="演習1(解答例)" sheetId="2" r:id="rId2"/>
    <sheet name="演習2(問題)" sheetId="12" r:id="rId3"/>
    <sheet name="演習2(解答例A)" sheetId="9" r:id="rId4"/>
    <sheet name="演習2(解答例B)" sheetId="14" r:id="rId5"/>
    <sheet name="演習3(問題)" sheetId="13" r:id="rId6"/>
    <sheet name="演習3(解答例)" sheetId="8" r:id="rId7"/>
    <sheet name="演習3(解答例A)" sheetId="6" r:id="rId8"/>
    <sheet name="演習3(解答例B)" sheetId="7" r:id="rId9"/>
  </sheets>
  <definedNames>
    <definedName name="_xlnm.Print_Area" localSheetId="0">topixReturns!$A$1:$K$31</definedName>
    <definedName name="_xlnm.Print_Area" localSheetId="3">'演習2(解答例A)'!$A$1:$K$31</definedName>
    <definedName name="_xlnm.Print_Area" localSheetId="2">'演習2(問題)'!$A$1:$K$31</definedName>
  </definedNames>
  <calcPr calcId="17902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8" l="1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H25" i="9"/>
  <c r="I2" i="9"/>
  <c r="H28" i="9"/>
  <c r="J2" i="9"/>
  <c r="K27" i="9"/>
  <c r="K28" i="9"/>
  <c r="K2" i="9"/>
  <c r="I3" i="9"/>
  <c r="K3" i="9"/>
  <c r="K4" i="9"/>
  <c r="I5" i="9"/>
  <c r="J5" i="9"/>
  <c r="K5" i="9"/>
  <c r="I6" i="9"/>
  <c r="J6" i="9"/>
  <c r="K6" i="9"/>
  <c r="I7" i="9"/>
  <c r="K7" i="9"/>
  <c r="K8" i="9"/>
  <c r="I9" i="9"/>
  <c r="J9" i="9"/>
  <c r="K9" i="9"/>
  <c r="I10" i="9"/>
  <c r="J10" i="9"/>
  <c r="K10" i="9"/>
  <c r="I11" i="9"/>
  <c r="K11" i="9"/>
  <c r="K12" i="9"/>
  <c r="I13" i="9"/>
  <c r="J13" i="9"/>
  <c r="K13" i="9"/>
  <c r="I14" i="9"/>
  <c r="J14" i="9"/>
  <c r="K14" i="9"/>
  <c r="I15" i="9"/>
  <c r="K15" i="9"/>
  <c r="K16" i="9"/>
  <c r="I17" i="9"/>
  <c r="J17" i="9"/>
  <c r="K17" i="9"/>
  <c r="I18" i="9"/>
  <c r="J18" i="9"/>
  <c r="K18" i="9"/>
  <c r="I19" i="9"/>
  <c r="K19" i="9"/>
  <c r="K20" i="9"/>
  <c r="I21" i="9"/>
  <c r="J21" i="9"/>
  <c r="K21" i="9"/>
  <c r="I22" i="9"/>
  <c r="J22" i="9"/>
  <c r="K22" i="9"/>
  <c r="I23" i="9"/>
  <c r="K23" i="9"/>
  <c r="I24" i="9"/>
  <c r="I4" i="9"/>
  <c r="J4" i="9"/>
  <c r="G24" i="9"/>
  <c r="K24" i="9"/>
  <c r="J24" i="9"/>
  <c r="J23" i="9"/>
  <c r="J19" i="9"/>
  <c r="J15" i="9"/>
  <c r="J11" i="9"/>
  <c r="J7" i="9"/>
  <c r="J3" i="9"/>
  <c r="I20" i="9"/>
  <c r="J20" i="9"/>
  <c r="I16" i="9"/>
  <c r="J16" i="9"/>
  <c r="I12" i="9"/>
  <c r="J12" i="9"/>
  <c r="I8" i="9"/>
  <c r="J8" i="9"/>
  <c r="I25" i="9"/>
</calcChain>
</file>

<file path=xl/sharedStrings.xml><?xml version="1.0" encoding="utf-8"?>
<sst xmlns="http://schemas.openxmlformats.org/spreadsheetml/2006/main" count="41" uniqueCount="20">
  <si>
    <r>
      <rPr>
        <sz val="11"/>
        <color theme="1"/>
        <rFont val="ＭＳ Ｐゴシック"/>
        <family val="3"/>
        <charset val="128"/>
      </rPr>
      <t>年月</t>
    </r>
    <rPh sb="0" eb="2">
      <t>ネンゲツ</t>
    </rPh>
    <phoneticPr fontId="2"/>
  </si>
  <si>
    <r>
      <rPr>
        <sz val="11"/>
        <color theme="1"/>
        <rFont val="ＭＳ Ｐゴシック"/>
        <family val="3"/>
        <charset val="128"/>
      </rPr>
      <t>レート・
リターン</t>
    </r>
    <phoneticPr fontId="2"/>
  </si>
  <si>
    <t>データ
区間</t>
    <phoneticPr fontId="2"/>
  </si>
  <si>
    <t>頻度</t>
  </si>
  <si>
    <t>⓪データ
区間</t>
    <phoneticPr fontId="2"/>
  </si>
  <si>
    <t>①頻度</t>
    <phoneticPr fontId="2"/>
  </si>
  <si>
    <r>
      <t xml:space="preserve">②相対頻度
</t>
    </r>
    <r>
      <rPr>
        <sz val="11"/>
        <color theme="1"/>
        <rFont val="Calibri"/>
        <family val="2"/>
      </rPr>
      <t xml:space="preserve">= </t>
    </r>
    <r>
      <rPr>
        <sz val="11"/>
        <color theme="1"/>
        <rFont val="ＭＳ Ｐゴシック"/>
        <family val="3"/>
        <charset val="128"/>
      </rPr>
      <t>①÷①’</t>
    </r>
    <rPh sb="1" eb="3">
      <t>ソウタイ</t>
    </rPh>
    <rPh sb="3" eb="5">
      <t>ヒンド</t>
    </rPh>
    <phoneticPr fontId="2"/>
  </si>
  <si>
    <r>
      <t xml:space="preserve">③密度
</t>
    </r>
    <r>
      <rPr>
        <sz val="11"/>
        <color theme="1"/>
        <rFont val="Calibri"/>
        <family val="2"/>
      </rPr>
      <t xml:space="preserve">= </t>
    </r>
    <r>
      <rPr>
        <sz val="11"/>
        <color theme="1"/>
        <rFont val="ＭＳ Ｐゴシック"/>
        <family val="3"/>
        <charset val="128"/>
      </rPr>
      <t>②÷④</t>
    </r>
    <rPh sb="1" eb="3">
      <t>ミツド</t>
    </rPh>
    <phoneticPr fontId="2"/>
  </si>
  <si>
    <t>⑤正規分布
の密度</t>
    <rPh sb="1" eb="3">
      <t>セイキ</t>
    </rPh>
    <rPh sb="3" eb="5">
      <t>ブンプ</t>
    </rPh>
    <rPh sb="7" eb="9">
      <t>ミツド</t>
    </rPh>
    <phoneticPr fontId="2"/>
  </si>
  <si>
    <t>合計①’</t>
    <rPh sb="0" eb="2">
      <t>ゴウケイ</t>
    </rPh>
    <phoneticPr fontId="2"/>
  </si>
  <si>
    <t>レート・リターン</t>
    <phoneticPr fontId="2"/>
  </si>
  <si>
    <r>
      <t>平均</t>
    </r>
    <r>
      <rPr>
        <sz val="11"/>
        <color theme="1"/>
        <rFont val="Symbol"/>
        <family val="1"/>
        <charset val="2"/>
      </rPr>
      <t>(m)</t>
    </r>
    <rPh sb="0" eb="2">
      <t>ヘイキン</t>
    </rPh>
    <phoneticPr fontId="2"/>
  </si>
  <si>
    <t>④区間幅</t>
    <rPh sb="1" eb="3">
      <t>クカン</t>
    </rPh>
    <rPh sb="3" eb="4">
      <t>ハバ</t>
    </rPh>
    <phoneticPr fontId="2"/>
  </si>
  <si>
    <r>
      <t>標準偏差</t>
    </r>
    <r>
      <rPr>
        <sz val="11"/>
        <color theme="1"/>
        <rFont val="Symbol"/>
        <family val="1"/>
        <charset val="2"/>
      </rPr>
      <t>(s)</t>
    </r>
    <rPh sb="0" eb="2">
      <t>ヒョウジュン</t>
    </rPh>
    <rPh sb="2" eb="4">
      <t>ヘンサ</t>
    </rPh>
    <phoneticPr fontId="2"/>
  </si>
  <si>
    <r>
      <rPr>
        <sz val="11"/>
        <color theme="1"/>
        <rFont val="ＭＳ Ｐゴシック"/>
        <family val="2"/>
        <charset val="128"/>
      </rPr>
      <t>次の級</t>
    </r>
  </si>
  <si>
    <r>
      <rPr>
        <i/>
        <sz val="11"/>
        <color theme="1"/>
        <rFont val="Symbol"/>
        <family val="1"/>
        <charset val="2"/>
      </rPr>
      <t xml:space="preserve">m
</t>
    </r>
    <r>
      <rPr>
        <sz val="11"/>
        <color theme="1"/>
        <rFont val="Calibri"/>
        <family val="2"/>
      </rPr>
      <t>(</t>
    </r>
    <r>
      <rPr>
        <sz val="11"/>
        <color theme="1"/>
        <rFont val="ＭＳ Ｐゴシック"/>
        <family val="3"/>
        <charset val="128"/>
      </rPr>
      <t>ドリフト</t>
    </r>
    <r>
      <rPr>
        <sz val="11"/>
        <color theme="1"/>
        <rFont val="Calibri"/>
        <family val="2"/>
      </rPr>
      <t>)</t>
    </r>
    <phoneticPr fontId="2"/>
  </si>
  <si>
    <r>
      <rPr>
        <i/>
        <sz val="11"/>
        <color theme="1"/>
        <rFont val="Symbol"/>
        <family val="1"/>
        <charset val="2"/>
      </rPr>
      <t xml:space="preserve">s
</t>
    </r>
    <r>
      <rPr>
        <sz val="11"/>
        <color theme="1"/>
        <rFont val="Calibri"/>
        <family val="2"/>
      </rPr>
      <t>(</t>
    </r>
    <r>
      <rPr>
        <sz val="11"/>
        <color theme="1"/>
        <rFont val="ＭＳ Ｐゴシック"/>
        <family val="3"/>
        <charset val="128"/>
      </rPr>
      <t>ボラ</t>
    </r>
    <r>
      <rPr>
        <sz val="11"/>
        <color theme="1"/>
        <rFont val="Calibri"/>
        <family val="2"/>
      </rPr>
      <t>)</t>
    </r>
    <phoneticPr fontId="2"/>
  </si>
  <si>
    <r>
      <t xml:space="preserve">R
</t>
    </r>
    <r>
      <rPr>
        <sz val="11"/>
        <color theme="1"/>
        <rFont val="Calibri"/>
        <family val="2"/>
      </rPr>
      <t>(</t>
    </r>
    <r>
      <rPr>
        <sz val="11"/>
        <color theme="1"/>
        <rFont val="ＭＳ Ｐゴシック"/>
        <family val="3"/>
        <charset val="128"/>
      </rPr>
      <t>レート・
リターン</t>
    </r>
    <r>
      <rPr>
        <sz val="11"/>
        <color theme="1"/>
        <rFont val="Calibri"/>
        <family val="2"/>
      </rPr>
      <t>)</t>
    </r>
    <phoneticPr fontId="2"/>
  </si>
  <si>
    <r>
      <rPr>
        <i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>)
(</t>
    </r>
    <r>
      <rPr>
        <sz val="11"/>
        <color theme="1"/>
        <rFont val="ＭＳ Ｐゴシック"/>
        <family val="3"/>
        <charset val="128"/>
      </rPr>
      <t>密度
関数</t>
    </r>
    <r>
      <rPr>
        <sz val="11"/>
        <color theme="1"/>
        <rFont val="Calibri"/>
        <family val="2"/>
      </rPr>
      <t>)</t>
    </r>
    <rPh sb="6" eb="8">
      <t>ミツド</t>
    </rPh>
    <rPh sb="9" eb="11">
      <t>カンスウ</t>
    </rPh>
    <phoneticPr fontId="2"/>
  </si>
  <si>
    <r>
      <rPr>
        <i/>
        <sz val="11"/>
        <color theme="1"/>
        <rFont val="Calibri"/>
        <family val="2"/>
      </rPr>
      <t>F</t>
    </r>
    <r>
      <rPr>
        <sz val="11"/>
        <color theme="1"/>
        <rFont val="Calibri"/>
        <family val="2"/>
      </rPr>
      <t>(</t>
    </r>
    <r>
      <rPr>
        <i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>)
(</t>
    </r>
    <r>
      <rPr>
        <sz val="11"/>
        <color theme="1"/>
        <rFont val="ＭＳ Ｐゴシック"/>
        <family val="3"/>
        <charset val="128"/>
      </rPr>
      <t>分布
関数</t>
    </r>
    <r>
      <rPr>
        <sz val="11"/>
        <color theme="1"/>
        <rFont val="Calibri"/>
        <family val="2"/>
      </rPr>
      <t>)</t>
    </r>
    <rPh sb="6" eb="8">
      <t>ブンプ</t>
    </rPh>
    <rPh sb="9" eb="11">
      <t>カンスウ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</si>
</sst>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/mm;@"/>
    <numFmt numFmtId="165" formatCode="0.0%"/>
    <numFmt numFmtId="166" formatCode="0.0000"/>
    <numFmt numFmtId="167" formatCode="0.000"/>
    <numFmt numFmtId="168" formatCode="#,##0.00_ "/>
  </numFmts>
  <fonts count="1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Wingdings"/>
      <charset val="2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</font>
    <font>
      <i/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quotePrefix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>
      <alignment vertical="center"/>
    </xf>
    <xf numFmtId="168" fontId="3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7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165" fontId="3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0" fontId="3" fillId="2" borderId="0" xfId="1" applyNumberFormat="1" applyFont="1" applyFill="1" applyAlignment="1">
      <alignment horizontal="center" vertical="center"/>
    </xf>
    <xf numFmtId="165" fontId="3" fillId="2" borderId="0" xfId="1" applyNumberFormat="1" applyFont="1" applyFill="1">
      <alignment vertical="center"/>
    </xf>
    <xf numFmtId="168" fontId="3" fillId="2" borderId="0" xfId="0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tyles" Target="styles.xml"/><Relationship Id="rId5" Type="http://schemas.openxmlformats.org/officeDocument/2006/relationships/chartsheet" Target="chartsheets/sheet2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topixReturns!$B$1</c:f>
              <c:strCache>
                <c:ptCount val="1"/>
                <c:pt idx="0">
                  <c:v>レート・
リターン</c:v>
                </c:pt>
              </c:strCache>
            </c:strRef>
          </c:tx>
          <c:spPr>
            <a:ln w="127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topixReturns!$A$2:$A$487</c:f>
              <c:numCache>
                <c:formatCode>yyyy/mm;@</c:formatCode>
                <c:ptCount val="486"/>
                <c:pt idx="0">
                  <c:v>27333</c:v>
                </c:pt>
                <c:pt idx="1">
                  <c:v>27362</c:v>
                </c:pt>
                <c:pt idx="2">
                  <c:v>27394</c:v>
                </c:pt>
                <c:pt idx="3">
                  <c:v>27425</c:v>
                </c:pt>
                <c:pt idx="4">
                  <c:v>27453</c:v>
                </c:pt>
                <c:pt idx="5">
                  <c:v>27484</c:v>
                </c:pt>
                <c:pt idx="6">
                  <c:v>27514</c:v>
                </c:pt>
                <c:pt idx="7">
                  <c:v>27544</c:v>
                </c:pt>
                <c:pt idx="8">
                  <c:v>27575</c:v>
                </c:pt>
                <c:pt idx="9">
                  <c:v>27606</c:v>
                </c:pt>
                <c:pt idx="10">
                  <c:v>27635</c:v>
                </c:pt>
                <c:pt idx="11">
                  <c:v>27667</c:v>
                </c:pt>
                <c:pt idx="12">
                  <c:v>27698</c:v>
                </c:pt>
                <c:pt idx="13">
                  <c:v>27726</c:v>
                </c:pt>
                <c:pt idx="14">
                  <c:v>27759</c:v>
                </c:pt>
                <c:pt idx="15">
                  <c:v>27789</c:v>
                </c:pt>
                <c:pt idx="16">
                  <c:v>27817</c:v>
                </c:pt>
                <c:pt idx="17">
                  <c:v>27850</c:v>
                </c:pt>
                <c:pt idx="18">
                  <c:v>27880</c:v>
                </c:pt>
                <c:pt idx="19">
                  <c:v>27911</c:v>
                </c:pt>
                <c:pt idx="20">
                  <c:v>27941</c:v>
                </c:pt>
                <c:pt idx="21">
                  <c:v>27971</c:v>
                </c:pt>
                <c:pt idx="22">
                  <c:v>28003</c:v>
                </c:pt>
                <c:pt idx="23">
                  <c:v>28033</c:v>
                </c:pt>
                <c:pt idx="24">
                  <c:v>28062</c:v>
                </c:pt>
                <c:pt idx="25">
                  <c:v>28094</c:v>
                </c:pt>
                <c:pt idx="26">
                  <c:v>28125</c:v>
                </c:pt>
                <c:pt idx="27">
                  <c:v>28156</c:v>
                </c:pt>
                <c:pt idx="28">
                  <c:v>28184</c:v>
                </c:pt>
                <c:pt idx="29">
                  <c:v>28215</c:v>
                </c:pt>
                <c:pt idx="30">
                  <c:v>28244</c:v>
                </c:pt>
                <c:pt idx="31">
                  <c:v>28276</c:v>
                </c:pt>
                <c:pt idx="32">
                  <c:v>28306</c:v>
                </c:pt>
                <c:pt idx="33">
                  <c:v>28335</c:v>
                </c:pt>
                <c:pt idx="34">
                  <c:v>28368</c:v>
                </c:pt>
                <c:pt idx="35">
                  <c:v>28398</c:v>
                </c:pt>
                <c:pt idx="36">
                  <c:v>28429</c:v>
                </c:pt>
                <c:pt idx="37">
                  <c:v>28459</c:v>
                </c:pt>
                <c:pt idx="38">
                  <c:v>28489</c:v>
                </c:pt>
                <c:pt idx="39">
                  <c:v>28521</c:v>
                </c:pt>
                <c:pt idx="40">
                  <c:v>28549</c:v>
                </c:pt>
                <c:pt idx="41">
                  <c:v>28580</c:v>
                </c:pt>
                <c:pt idx="42">
                  <c:v>28608</c:v>
                </c:pt>
                <c:pt idx="43">
                  <c:v>28641</c:v>
                </c:pt>
                <c:pt idx="44">
                  <c:v>28671</c:v>
                </c:pt>
                <c:pt idx="45">
                  <c:v>28702</c:v>
                </c:pt>
                <c:pt idx="46">
                  <c:v>28733</c:v>
                </c:pt>
                <c:pt idx="47">
                  <c:v>28762</c:v>
                </c:pt>
                <c:pt idx="48">
                  <c:v>28794</c:v>
                </c:pt>
                <c:pt idx="49">
                  <c:v>28824</c:v>
                </c:pt>
                <c:pt idx="50">
                  <c:v>28853</c:v>
                </c:pt>
                <c:pt idx="51">
                  <c:v>28886</c:v>
                </c:pt>
                <c:pt idx="52">
                  <c:v>28914</c:v>
                </c:pt>
                <c:pt idx="53">
                  <c:v>28944</c:v>
                </c:pt>
                <c:pt idx="54">
                  <c:v>28975</c:v>
                </c:pt>
                <c:pt idx="55">
                  <c:v>29006</c:v>
                </c:pt>
                <c:pt idx="56">
                  <c:v>29035</c:v>
                </c:pt>
                <c:pt idx="57">
                  <c:v>29067</c:v>
                </c:pt>
                <c:pt idx="58">
                  <c:v>29098</c:v>
                </c:pt>
                <c:pt idx="59">
                  <c:v>29126</c:v>
                </c:pt>
                <c:pt idx="60">
                  <c:v>29159</c:v>
                </c:pt>
                <c:pt idx="61">
                  <c:v>29189</c:v>
                </c:pt>
                <c:pt idx="62">
                  <c:v>29220</c:v>
                </c:pt>
                <c:pt idx="63">
                  <c:v>29251</c:v>
                </c:pt>
                <c:pt idx="64">
                  <c:v>29280</c:v>
                </c:pt>
                <c:pt idx="65">
                  <c:v>29311</c:v>
                </c:pt>
                <c:pt idx="66">
                  <c:v>29341</c:v>
                </c:pt>
                <c:pt idx="67">
                  <c:v>29371</c:v>
                </c:pt>
                <c:pt idx="68">
                  <c:v>29402</c:v>
                </c:pt>
                <c:pt idx="69">
                  <c:v>29433</c:v>
                </c:pt>
                <c:pt idx="70">
                  <c:v>29462</c:v>
                </c:pt>
                <c:pt idx="71">
                  <c:v>29494</c:v>
                </c:pt>
                <c:pt idx="72">
                  <c:v>29525</c:v>
                </c:pt>
                <c:pt idx="73">
                  <c:v>29553</c:v>
                </c:pt>
                <c:pt idx="74">
                  <c:v>29586</c:v>
                </c:pt>
                <c:pt idx="75">
                  <c:v>29616</c:v>
                </c:pt>
                <c:pt idx="76">
                  <c:v>29644</c:v>
                </c:pt>
                <c:pt idx="77">
                  <c:v>29676</c:v>
                </c:pt>
                <c:pt idx="78">
                  <c:v>29706</c:v>
                </c:pt>
                <c:pt idx="79">
                  <c:v>29735</c:v>
                </c:pt>
                <c:pt idx="80">
                  <c:v>29767</c:v>
                </c:pt>
                <c:pt idx="81">
                  <c:v>29798</c:v>
                </c:pt>
                <c:pt idx="82">
                  <c:v>29829</c:v>
                </c:pt>
                <c:pt idx="83">
                  <c:v>29859</c:v>
                </c:pt>
                <c:pt idx="84">
                  <c:v>29889</c:v>
                </c:pt>
                <c:pt idx="85">
                  <c:v>29920</c:v>
                </c:pt>
                <c:pt idx="86">
                  <c:v>29951</c:v>
                </c:pt>
                <c:pt idx="87">
                  <c:v>29980</c:v>
                </c:pt>
                <c:pt idx="88">
                  <c:v>30008</c:v>
                </c:pt>
                <c:pt idx="89">
                  <c:v>30041</c:v>
                </c:pt>
                <c:pt idx="90">
                  <c:v>30071</c:v>
                </c:pt>
                <c:pt idx="91">
                  <c:v>30102</c:v>
                </c:pt>
                <c:pt idx="92">
                  <c:v>30132</c:v>
                </c:pt>
                <c:pt idx="93">
                  <c:v>30162</c:v>
                </c:pt>
                <c:pt idx="94">
                  <c:v>30194</c:v>
                </c:pt>
                <c:pt idx="95">
                  <c:v>30224</c:v>
                </c:pt>
                <c:pt idx="96">
                  <c:v>30253</c:v>
                </c:pt>
                <c:pt idx="97">
                  <c:v>30285</c:v>
                </c:pt>
                <c:pt idx="98">
                  <c:v>30316</c:v>
                </c:pt>
                <c:pt idx="99">
                  <c:v>30347</c:v>
                </c:pt>
                <c:pt idx="100">
                  <c:v>30375</c:v>
                </c:pt>
                <c:pt idx="101">
                  <c:v>30406</c:v>
                </c:pt>
                <c:pt idx="102">
                  <c:v>30435</c:v>
                </c:pt>
                <c:pt idx="103">
                  <c:v>30467</c:v>
                </c:pt>
                <c:pt idx="104">
                  <c:v>30497</c:v>
                </c:pt>
                <c:pt idx="105">
                  <c:v>30526</c:v>
                </c:pt>
                <c:pt idx="106">
                  <c:v>30559</c:v>
                </c:pt>
                <c:pt idx="107">
                  <c:v>30589</c:v>
                </c:pt>
                <c:pt idx="108">
                  <c:v>30620</c:v>
                </c:pt>
                <c:pt idx="109">
                  <c:v>30650</c:v>
                </c:pt>
                <c:pt idx="110">
                  <c:v>30680</c:v>
                </c:pt>
                <c:pt idx="111">
                  <c:v>30712</c:v>
                </c:pt>
                <c:pt idx="112">
                  <c:v>30741</c:v>
                </c:pt>
                <c:pt idx="113">
                  <c:v>30771</c:v>
                </c:pt>
                <c:pt idx="114">
                  <c:v>30802</c:v>
                </c:pt>
                <c:pt idx="115">
                  <c:v>30833</c:v>
                </c:pt>
                <c:pt idx="116">
                  <c:v>30862</c:v>
                </c:pt>
                <c:pt idx="117">
                  <c:v>30894</c:v>
                </c:pt>
                <c:pt idx="118">
                  <c:v>30925</c:v>
                </c:pt>
                <c:pt idx="119">
                  <c:v>30953</c:v>
                </c:pt>
                <c:pt idx="120">
                  <c:v>30986</c:v>
                </c:pt>
                <c:pt idx="121">
                  <c:v>31016</c:v>
                </c:pt>
                <c:pt idx="122">
                  <c:v>31047</c:v>
                </c:pt>
                <c:pt idx="123">
                  <c:v>31078</c:v>
                </c:pt>
                <c:pt idx="124">
                  <c:v>31106</c:v>
                </c:pt>
                <c:pt idx="125">
                  <c:v>31135</c:v>
                </c:pt>
                <c:pt idx="126">
                  <c:v>31167</c:v>
                </c:pt>
                <c:pt idx="127">
                  <c:v>31198</c:v>
                </c:pt>
                <c:pt idx="128">
                  <c:v>31226</c:v>
                </c:pt>
                <c:pt idx="129">
                  <c:v>31259</c:v>
                </c:pt>
                <c:pt idx="130">
                  <c:v>31289</c:v>
                </c:pt>
                <c:pt idx="131">
                  <c:v>31320</c:v>
                </c:pt>
                <c:pt idx="132">
                  <c:v>31351</c:v>
                </c:pt>
                <c:pt idx="133">
                  <c:v>31380</c:v>
                </c:pt>
                <c:pt idx="134">
                  <c:v>31412</c:v>
                </c:pt>
                <c:pt idx="135">
                  <c:v>31443</c:v>
                </c:pt>
                <c:pt idx="136">
                  <c:v>31471</c:v>
                </c:pt>
                <c:pt idx="137">
                  <c:v>31502</c:v>
                </c:pt>
                <c:pt idx="138">
                  <c:v>31532</c:v>
                </c:pt>
                <c:pt idx="139">
                  <c:v>31562</c:v>
                </c:pt>
                <c:pt idx="140">
                  <c:v>31593</c:v>
                </c:pt>
                <c:pt idx="141">
                  <c:v>31624</c:v>
                </c:pt>
                <c:pt idx="142">
                  <c:v>31653</c:v>
                </c:pt>
                <c:pt idx="143">
                  <c:v>31685</c:v>
                </c:pt>
                <c:pt idx="144">
                  <c:v>31716</c:v>
                </c:pt>
                <c:pt idx="145">
                  <c:v>31744</c:v>
                </c:pt>
                <c:pt idx="146">
                  <c:v>31777</c:v>
                </c:pt>
                <c:pt idx="147">
                  <c:v>31807</c:v>
                </c:pt>
                <c:pt idx="148">
                  <c:v>31835</c:v>
                </c:pt>
                <c:pt idx="149">
                  <c:v>31867</c:v>
                </c:pt>
                <c:pt idx="150">
                  <c:v>31897</c:v>
                </c:pt>
                <c:pt idx="151">
                  <c:v>31926</c:v>
                </c:pt>
                <c:pt idx="152">
                  <c:v>31958</c:v>
                </c:pt>
                <c:pt idx="153">
                  <c:v>31989</c:v>
                </c:pt>
                <c:pt idx="154">
                  <c:v>32020</c:v>
                </c:pt>
                <c:pt idx="155">
                  <c:v>32050</c:v>
                </c:pt>
                <c:pt idx="156">
                  <c:v>32080</c:v>
                </c:pt>
                <c:pt idx="157">
                  <c:v>32111</c:v>
                </c:pt>
                <c:pt idx="158">
                  <c:v>32142</c:v>
                </c:pt>
                <c:pt idx="159">
                  <c:v>32171</c:v>
                </c:pt>
                <c:pt idx="160">
                  <c:v>32202</c:v>
                </c:pt>
                <c:pt idx="161">
                  <c:v>32233</c:v>
                </c:pt>
                <c:pt idx="162">
                  <c:v>32262</c:v>
                </c:pt>
                <c:pt idx="163">
                  <c:v>32294</c:v>
                </c:pt>
                <c:pt idx="164">
                  <c:v>32324</c:v>
                </c:pt>
                <c:pt idx="165">
                  <c:v>32353</c:v>
                </c:pt>
                <c:pt idx="166">
                  <c:v>32386</c:v>
                </c:pt>
                <c:pt idx="167">
                  <c:v>32416</c:v>
                </c:pt>
                <c:pt idx="168">
                  <c:v>32447</c:v>
                </c:pt>
                <c:pt idx="169">
                  <c:v>32477</c:v>
                </c:pt>
                <c:pt idx="170">
                  <c:v>32507</c:v>
                </c:pt>
                <c:pt idx="171">
                  <c:v>32539</c:v>
                </c:pt>
                <c:pt idx="172">
                  <c:v>32567</c:v>
                </c:pt>
                <c:pt idx="173">
                  <c:v>32598</c:v>
                </c:pt>
                <c:pt idx="174">
                  <c:v>32626</c:v>
                </c:pt>
                <c:pt idx="175">
                  <c:v>32659</c:v>
                </c:pt>
                <c:pt idx="176">
                  <c:v>32689</c:v>
                </c:pt>
                <c:pt idx="177">
                  <c:v>32720</c:v>
                </c:pt>
                <c:pt idx="178">
                  <c:v>32751</c:v>
                </c:pt>
                <c:pt idx="179">
                  <c:v>32780</c:v>
                </c:pt>
                <c:pt idx="180">
                  <c:v>32812</c:v>
                </c:pt>
                <c:pt idx="181">
                  <c:v>32842</c:v>
                </c:pt>
                <c:pt idx="182">
                  <c:v>32871</c:v>
                </c:pt>
                <c:pt idx="183">
                  <c:v>32904</c:v>
                </c:pt>
                <c:pt idx="184">
                  <c:v>32932</c:v>
                </c:pt>
                <c:pt idx="185">
                  <c:v>32962</c:v>
                </c:pt>
                <c:pt idx="186">
                  <c:v>32993</c:v>
                </c:pt>
                <c:pt idx="187">
                  <c:v>33024</c:v>
                </c:pt>
                <c:pt idx="188">
                  <c:v>33053</c:v>
                </c:pt>
                <c:pt idx="189">
                  <c:v>33085</c:v>
                </c:pt>
                <c:pt idx="190">
                  <c:v>33116</c:v>
                </c:pt>
                <c:pt idx="191">
                  <c:v>33144</c:v>
                </c:pt>
                <c:pt idx="192">
                  <c:v>33177</c:v>
                </c:pt>
                <c:pt idx="193">
                  <c:v>33207</c:v>
                </c:pt>
                <c:pt idx="194">
                  <c:v>33238</c:v>
                </c:pt>
                <c:pt idx="195">
                  <c:v>33269</c:v>
                </c:pt>
                <c:pt idx="196">
                  <c:v>33297</c:v>
                </c:pt>
                <c:pt idx="197">
                  <c:v>33326</c:v>
                </c:pt>
                <c:pt idx="198">
                  <c:v>33358</c:v>
                </c:pt>
                <c:pt idx="199">
                  <c:v>33389</c:v>
                </c:pt>
                <c:pt idx="200">
                  <c:v>33417</c:v>
                </c:pt>
                <c:pt idx="201">
                  <c:v>33450</c:v>
                </c:pt>
                <c:pt idx="202">
                  <c:v>33480</c:v>
                </c:pt>
                <c:pt idx="203">
                  <c:v>33511</c:v>
                </c:pt>
                <c:pt idx="204">
                  <c:v>33542</c:v>
                </c:pt>
                <c:pt idx="205">
                  <c:v>33571</c:v>
                </c:pt>
                <c:pt idx="206">
                  <c:v>33603</c:v>
                </c:pt>
                <c:pt idx="207">
                  <c:v>33634</c:v>
                </c:pt>
                <c:pt idx="208">
                  <c:v>33662</c:v>
                </c:pt>
                <c:pt idx="209">
                  <c:v>33694</c:v>
                </c:pt>
                <c:pt idx="210">
                  <c:v>33724</c:v>
                </c:pt>
                <c:pt idx="211">
                  <c:v>33753</c:v>
                </c:pt>
                <c:pt idx="212">
                  <c:v>33785</c:v>
                </c:pt>
                <c:pt idx="213">
                  <c:v>33816</c:v>
                </c:pt>
                <c:pt idx="214">
                  <c:v>33847</c:v>
                </c:pt>
                <c:pt idx="215">
                  <c:v>33877</c:v>
                </c:pt>
                <c:pt idx="216">
                  <c:v>33907</c:v>
                </c:pt>
                <c:pt idx="217">
                  <c:v>33938</c:v>
                </c:pt>
                <c:pt idx="218">
                  <c:v>33969</c:v>
                </c:pt>
                <c:pt idx="219">
                  <c:v>33998</c:v>
                </c:pt>
                <c:pt idx="220">
                  <c:v>34026</c:v>
                </c:pt>
                <c:pt idx="221">
                  <c:v>34059</c:v>
                </c:pt>
                <c:pt idx="222">
                  <c:v>34089</c:v>
                </c:pt>
                <c:pt idx="223">
                  <c:v>34120</c:v>
                </c:pt>
                <c:pt idx="224">
                  <c:v>34150</c:v>
                </c:pt>
                <c:pt idx="225">
                  <c:v>34180</c:v>
                </c:pt>
                <c:pt idx="226">
                  <c:v>34212</c:v>
                </c:pt>
                <c:pt idx="227">
                  <c:v>34242</c:v>
                </c:pt>
                <c:pt idx="228">
                  <c:v>34271</c:v>
                </c:pt>
                <c:pt idx="229">
                  <c:v>34303</c:v>
                </c:pt>
                <c:pt idx="230">
                  <c:v>34334</c:v>
                </c:pt>
                <c:pt idx="231">
                  <c:v>34365</c:v>
                </c:pt>
                <c:pt idx="232">
                  <c:v>34393</c:v>
                </c:pt>
                <c:pt idx="233">
                  <c:v>34424</c:v>
                </c:pt>
                <c:pt idx="234">
                  <c:v>34453</c:v>
                </c:pt>
                <c:pt idx="235">
                  <c:v>34485</c:v>
                </c:pt>
                <c:pt idx="236">
                  <c:v>34515</c:v>
                </c:pt>
                <c:pt idx="237">
                  <c:v>34544</c:v>
                </c:pt>
                <c:pt idx="238">
                  <c:v>34577</c:v>
                </c:pt>
                <c:pt idx="239">
                  <c:v>34607</c:v>
                </c:pt>
                <c:pt idx="240">
                  <c:v>34638</c:v>
                </c:pt>
                <c:pt idx="241">
                  <c:v>34668</c:v>
                </c:pt>
                <c:pt idx="242">
                  <c:v>34698</c:v>
                </c:pt>
                <c:pt idx="243">
                  <c:v>34730</c:v>
                </c:pt>
                <c:pt idx="244">
                  <c:v>34758</c:v>
                </c:pt>
                <c:pt idx="245">
                  <c:v>34789</c:v>
                </c:pt>
                <c:pt idx="246">
                  <c:v>34817</c:v>
                </c:pt>
                <c:pt idx="247">
                  <c:v>34850</c:v>
                </c:pt>
                <c:pt idx="248">
                  <c:v>34880</c:v>
                </c:pt>
                <c:pt idx="249">
                  <c:v>34911</c:v>
                </c:pt>
                <c:pt idx="250">
                  <c:v>34942</c:v>
                </c:pt>
                <c:pt idx="251">
                  <c:v>34971</c:v>
                </c:pt>
                <c:pt idx="252">
                  <c:v>35003</c:v>
                </c:pt>
                <c:pt idx="253">
                  <c:v>35033</c:v>
                </c:pt>
                <c:pt idx="254">
                  <c:v>35062</c:v>
                </c:pt>
                <c:pt idx="255">
                  <c:v>35095</c:v>
                </c:pt>
                <c:pt idx="256">
                  <c:v>35124</c:v>
                </c:pt>
                <c:pt idx="257">
                  <c:v>35153</c:v>
                </c:pt>
                <c:pt idx="258">
                  <c:v>35185</c:v>
                </c:pt>
                <c:pt idx="259">
                  <c:v>35216</c:v>
                </c:pt>
                <c:pt idx="260">
                  <c:v>35244</c:v>
                </c:pt>
                <c:pt idx="261">
                  <c:v>35277</c:v>
                </c:pt>
                <c:pt idx="262">
                  <c:v>35307</c:v>
                </c:pt>
                <c:pt idx="263">
                  <c:v>35338</c:v>
                </c:pt>
                <c:pt idx="264">
                  <c:v>35369</c:v>
                </c:pt>
                <c:pt idx="265">
                  <c:v>35398</c:v>
                </c:pt>
                <c:pt idx="266">
                  <c:v>35430</c:v>
                </c:pt>
                <c:pt idx="267">
                  <c:v>35461</c:v>
                </c:pt>
                <c:pt idx="268">
                  <c:v>35489</c:v>
                </c:pt>
                <c:pt idx="269">
                  <c:v>35520</c:v>
                </c:pt>
                <c:pt idx="270">
                  <c:v>35550</c:v>
                </c:pt>
                <c:pt idx="271">
                  <c:v>35580</c:v>
                </c:pt>
                <c:pt idx="272">
                  <c:v>35611</c:v>
                </c:pt>
                <c:pt idx="273">
                  <c:v>35642</c:v>
                </c:pt>
                <c:pt idx="274">
                  <c:v>35671</c:v>
                </c:pt>
                <c:pt idx="275">
                  <c:v>35703</c:v>
                </c:pt>
                <c:pt idx="276">
                  <c:v>35734</c:v>
                </c:pt>
                <c:pt idx="277">
                  <c:v>35762</c:v>
                </c:pt>
                <c:pt idx="278">
                  <c:v>35795</c:v>
                </c:pt>
                <c:pt idx="279">
                  <c:v>35825</c:v>
                </c:pt>
                <c:pt idx="280">
                  <c:v>35853</c:v>
                </c:pt>
                <c:pt idx="281">
                  <c:v>35885</c:v>
                </c:pt>
                <c:pt idx="282">
                  <c:v>35915</c:v>
                </c:pt>
                <c:pt idx="283">
                  <c:v>35944</c:v>
                </c:pt>
                <c:pt idx="284">
                  <c:v>35976</c:v>
                </c:pt>
                <c:pt idx="285">
                  <c:v>36007</c:v>
                </c:pt>
                <c:pt idx="286">
                  <c:v>36038</c:v>
                </c:pt>
                <c:pt idx="287">
                  <c:v>36068</c:v>
                </c:pt>
                <c:pt idx="288">
                  <c:v>36098</c:v>
                </c:pt>
                <c:pt idx="289">
                  <c:v>36129</c:v>
                </c:pt>
                <c:pt idx="290">
                  <c:v>36160</c:v>
                </c:pt>
                <c:pt idx="291">
                  <c:v>36189</c:v>
                </c:pt>
                <c:pt idx="292">
                  <c:v>36217</c:v>
                </c:pt>
                <c:pt idx="293">
                  <c:v>36250</c:v>
                </c:pt>
                <c:pt idx="294">
                  <c:v>36280</c:v>
                </c:pt>
                <c:pt idx="295">
                  <c:v>36311</c:v>
                </c:pt>
                <c:pt idx="296">
                  <c:v>36341</c:v>
                </c:pt>
                <c:pt idx="297">
                  <c:v>36371</c:v>
                </c:pt>
                <c:pt idx="298">
                  <c:v>36403</c:v>
                </c:pt>
                <c:pt idx="299">
                  <c:v>36433</c:v>
                </c:pt>
                <c:pt idx="300">
                  <c:v>36462</c:v>
                </c:pt>
                <c:pt idx="301">
                  <c:v>36494</c:v>
                </c:pt>
                <c:pt idx="302">
                  <c:v>36525</c:v>
                </c:pt>
                <c:pt idx="303">
                  <c:v>36556</c:v>
                </c:pt>
                <c:pt idx="304">
                  <c:v>36585</c:v>
                </c:pt>
                <c:pt idx="305">
                  <c:v>36616</c:v>
                </c:pt>
                <c:pt idx="306">
                  <c:v>36644</c:v>
                </c:pt>
                <c:pt idx="307">
                  <c:v>36677</c:v>
                </c:pt>
                <c:pt idx="308">
                  <c:v>36707</c:v>
                </c:pt>
                <c:pt idx="309">
                  <c:v>36738</c:v>
                </c:pt>
                <c:pt idx="310">
                  <c:v>36769</c:v>
                </c:pt>
                <c:pt idx="311">
                  <c:v>36798</c:v>
                </c:pt>
                <c:pt idx="312">
                  <c:v>36830</c:v>
                </c:pt>
                <c:pt idx="313">
                  <c:v>36860</c:v>
                </c:pt>
                <c:pt idx="314">
                  <c:v>36889</c:v>
                </c:pt>
                <c:pt idx="315">
                  <c:v>36922</c:v>
                </c:pt>
                <c:pt idx="316">
                  <c:v>36950</c:v>
                </c:pt>
                <c:pt idx="317">
                  <c:v>36980</c:v>
                </c:pt>
                <c:pt idx="318">
                  <c:v>37011</c:v>
                </c:pt>
                <c:pt idx="319">
                  <c:v>37042</c:v>
                </c:pt>
                <c:pt idx="320">
                  <c:v>37071</c:v>
                </c:pt>
                <c:pt idx="321">
                  <c:v>37103</c:v>
                </c:pt>
                <c:pt idx="322">
                  <c:v>37134</c:v>
                </c:pt>
                <c:pt idx="323">
                  <c:v>37162</c:v>
                </c:pt>
                <c:pt idx="324">
                  <c:v>37195</c:v>
                </c:pt>
                <c:pt idx="325">
                  <c:v>37225</c:v>
                </c:pt>
                <c:pt idx="326">
                  <c:v>37256</c:v>
                </c:pt>
                <c:pt idx="327">
                  <c:v>37287</c:v>
                </c:pt>
                <c:pt idx="328">
                  <c:v>37315</c:v>
                </c:pt>
                <c:pt idx="329">
                  <c:v>37344</c:v>
                </c:pt>
                <c:pt idx="330">
                  <c:v>37376</c:v>
                </c:pt>
                <c:pt idx="331">
                  <c:v>37407</c:v>
                </c:pt>
                <c:pt idx="332">
                  <c:v>37435</c:v>
                </c:pt>
                <c:pt idx="333">
                  <c:v>37468</c:v>
                </c:pt>
                <c:pt idx="334">
                  <c:v>37498</c:v>
                </c:pt>
                <c:pt idx="335">
                  <c:v>37529</c:v>
                </c:pt>
                <c:pt idx="336">
                  <c:v>37560</c:v>
                </c:pt>
                <c:pt idx="337">
                  <c:v>37589</c:v>
                </c:pt>
                <c:pt idx="338">
                  <c:v>37621</c:v>
                </c:pt>
                <c:pt idx="339">
                  <c:v>37652</c:v>
                </c:pt>
                <c:pt idx="340">
                  <c:v>37680</c:v>
                </c:pt>
                <c:pt idx="341">
                  <c:v>37711</c:v>
                </c:pt>
                <c:pt idx="342">
                  <c:v>37741</c:v>
                </c:pt>
                <c:pt idx="343">
                  <c:v>37771</c:v>
                </c:pt>
                <c:pt idx="344">
                  <c:v>37802</c:v>
                </c:pt>
                <c:pt idx="345">
                  <c:v>37833</c:v>
                </c:pt>
                <c:pt idx="346">
                  <c:v>37862</c:v>
                </c:pt>
                <c:pt idx="347">
                  <c:v>37894</c:v>
                </c:pt>
                <c:pt idx="348">
                  <c:v>37925</c:v>
                </c:pt>
                <c:pt idx="349">
                  <c:v>37953</c:v>
                </c:pt>
                <c:pt idx="350">
                  <c:v>37986</c:v>
                </c:pt>
                <c:pt idx="351">
                  <c:v>38016</c:v>
                </c:pt>
                <c:pt idx="352">
                  <c:v>38044</c:v>
                </c:pt>
                <c:pt idx="353">
                  <c:v>38077</c:v>
                </c:pt>
                <c:pt idx="354">
                  <c:v>38107</c:v>
                </c:pt>
                <c:pt idx="355">
                  <c:v>38138</c:v>
                </c:pt>
                <c:pt idx="356">
                  <c:v>38168</c:v>
                </c:pt>
                <c:pt idx="357">
                  <c:v>38198</c:v>
                </c:pt>
                <c:pt idx="358">
                  <c:v>38230</c:v>
                </c:pt>
                <c:pt idx="359">
                  <c:v>38260</c:v>
                </c:pt>
                <c:pt idx="360">
                  <c:v>38289</c:v>
                </c:pt>
                <c:pt idx="361">
                  <c:v>38321</c:v>
                </c:pt>
                <c:pt idx="362">
                  <c:v>38352</c:v>
                </c:pt>
                <c:pt idx="363">
                  <c:v>38383</c:v>
                </c:pt>
                <c:pt idx="364">
                  <c:v>38411</c:v>
                </c:pt>
                <c:pt idx="365">
                  <c:v>38442</c:v>
                </c:pt>
                <c:pt idx="366">
                  <c:v>38471</c:v>
                </c:pt>
                <c:pt idx="367">
                  <c:v>38503</c:v>
                </c:pt>
                <c:pt idx="368">
                  <c:v>38533</c:v>
                </c:pt>
                <c:pt idx="369">
                  <c:v>38562</c:v>
                </c:pt>
                <c:pt idx="370">
                  <c:v>38595</c:v>
                </c:pt>
                <c:pt idx="371">
                  <c:v>38625</c:v>
                </c:pt>
                <c:pt idx="372">
                  <c:v>38656</c:v>
                </c:pt>
                <c:pt idx="373">
                  <c:v>38686</c:v>
                </c:pt>
                <c:pt idx="374">
                  <c:v>38716</c:v>
                </c:pt>
                <c:pt idx="375">
                  <c:v>38748</c:v>
                </c:pt>
                <c:pt idx="376">
                  <c:v>38776</c:v>
                </c:pt>
                <c:pt idx="377">
                  <c:v>38807</c:v>
                </c:pt>
                <c:pt idx="378">
                  <c:v>38837</c:v>
                </c:pt>
                <c:pt idx="379">
                  <c:v>38868</c:v>
                </c:pt>
                <c:pt idx="380">
                  <c:v>38898</c:v>
                </c:pt>
                <c:pt idx="381">
                  <c:v>38929</c:v>
                </c:pt>
                <c:pt idx="382">
                  <c:v>38960</c:v>
                </c:pt>
                <c:pt idx="383">
                  <c:v>38990</c:v>
                </c:pt>
                <c:pt idx="384">
                  <c:v>39021</c:v>
                </c:pt>
                <c:pt idx="385">
                  <c:v>39051</c:v>
                </c:pt>
                <c:pt idx="386">
                  <c:v>39082</c:v>
                </c:pt>
                <c:pt idx="387">
                  <c:v>39113</c:v>
                </c:pt>
                <c:pt idx="388">
                  <c:v>39141</c:v>
                </c:pt>
                <c:pt idx="389">
                  <c:v>39172</c:v>
                </c:pt>
                <c:pt idx="390">
                  <c:v>39202</c:v>
                </c:pt>
                <c:pt idx="391">
                  <c:v>39233</c:v>
                </c:pt>
                <c:pt idx="392">
                  <c:v>39263</c:v>
                </c:pt>
                <c:pt idx="393">
                  <c:v>39294</c:v>
                </c:pt>
                <c:pt idx="394">
                  <c:v>39325</c:v>
                </c:pt>
                <c:pt idx="395">
                  <c:v>39355</c:v>
                </c:pt>
                <c:pt idx="396">
                  <c:v>39386</c:v>
                </c:pt>
                <c:pt idx="397">
                  <c:v>39416</c:v>
                </c:pt>
                <c:pt idx="398">
                  <c:v>39447</c:v>
                </c:pt>
                <c:pt idx="399">
                  <c:v>39478</c:v>
                </c:pt>
                <c:pt idx="400">
                  <c:v>39507</c:v>
                </c:pt>
                <c:pt idx="401">
                  <c:v>39538</c:v>
                </c:pt>
                <c:pt idx="402">
                  <c:v>39568</c:v>
                </c:pt>
                <c:pt idx="403">
                  <c:v>39599</c:v>
                </c:pt>
                <c:pt idx="404">
                  <c:v>39629</c:v>
                </c:pt>
                <c:pt idx="405">
                  <c:v>39660</c:v>
                </c:pt>
                <c:pt idx="406">
                  <c:v>39691</c:v>
                </c:pt>
                <c:pt idx="407">
                  <c:v>39721</c:v>
                </c:pt>
                <c:pt idx="408">
                  <c:v>39752</c:v>
                </c:pt>
                <c:pt idx="409">
                  <c:v>39782</c:v>
                </c:pt>
                <c:pt idx="410">
                  <c:v>39813</c:v>
                </c:pt>
                <c:pt idx="411">
                  <c:v>39844</c:v>
                </c:pt>
                <c:pt idx="412">
                  <c:v>39872</c:v>
                </c:pt>
                <c:pt idx="413">
                  <c:v>39903</c:v>
                </c:pt>
                <c:pt idx="414">
                  <c:v>39933</c:v>
                </c:pt>
                <c:pt idx="415">
                  <c:v>39964</c:v>
                </c:pt>
                <c:pt idx="416">
                  <c:v>39994</c:v>
                </c:pt>
                <c:pt idx="417">
                  <c:v>40025</c:v>
                </c:pt>
                <c:pt idx="418">
                  <c:v>40056</c:v>
                </c:pt>
                <c:pt idx="419">
                  <c:v>40086</c:v>
                </c:pt>
                <c:pt idx="420">
                  <c:v>40117</c:v>
                </c:pt>
                <c:pt idx="421">
                  <c:v>40147</c:v>
                </c:pt>
                <c:pt idx="422">
                  <c:v>40178</c:v>
                </c:pt>
                <c:pt idx="423">
                  <c:v>40209</c:v>
                </c:pt>
                <c:pt idx="424">
                  <c:v>40237</c:v>
                </c:pt>
                <c:pt idx="425">
                  <c:v>40268</c:v>
                </c:pt>
                <c:pt idx="426">
                  <c:v>40298</c:v>
                </c:pt>
                <c:pt idx="427">
                  <c:v>40329</c:v>
                </c:pt>
                <c:pt idx="428">
                  <c:v>40359</c:v>
                </c:pt>
                <c:pt idx="429">
                  <c:v>40390</c:v>
                </c:pt>
                <c:pt idx="430">
                  <c:v>40421</c:v>
                </c:pt>
                <c:pt idx="431">
                  <c:v>40451</c:v>
                </c:pt>
                <c:pt idx="432">
                  <c:v>40482</c:v>
                </c:pt>
                <c:pt idx="433">
                  <c:v>40512</c:v>
                </c:pt>
                <c:pt idx="434">
                  <c:v>40543</c:v>
                </c:pt>
                <c:pt idx="435">
                  <c:v>40574</c:v>
                </c:pt>
                <c:pt idx="436">
                  <c:v>40602</c:v>
                </c:pt>
                <c:pt idx="437">
                  <c:v>40633</c:v>
                </c:pt>
                <c:pt idx="438">
                  <c:v>40663</c:v>
                </c:pt>
                <c:pt idx="439">
                  <c:v>40694</c:v>
                </c:pt>
                <c:pt idx="440">
                  <c:v>40724</c:v>
                </c:pt>
                <c:pt idx="441">
                  <c:v>40755</c:v>
                </c:pt>
                <c:pt idx="442">
                  <c:v>40786</c:v>
                </c:pt>
                <c:pt idx="443">
                  <c:v>40816</c:v>
                </c:pt>
                <c:pt idx="444">
                  <c:v>40847</c:v>
                </c:pt>
                <c:pt idx="445">
                  <c:v>40877</c:v>
                </c:pt>
                <c:pt idx="446">
                  <c:v>40908</c:v>
                </c:pt>
                <c:pt idx="447">
                  <c:v>40939</c:v>
                </c:pt>
                <c:pt idx="448">
                  <c:v>40968</c:v>
                </c:pt>
                <c:pt idx="449">
                  <c:v>40999</c:v>
                </c:pt>
                <c:pt idx="450">
                  <c:v>41029</c:v>
                </c:pt>
                <c:pt idx="451">
                  <c:v>41060</c:v>
                </c:pt>
                <c:pt idx="452">
                  <c:v>41090</c:v>
                </c:pt>
                <c:pt idx="453">
                  <c:v>41121</c:v>
                </c:pt>
                <c:pt idx="454">
                  <c:v>41152</c:v>
                </c:pt>
                <c:pt idx="455">
                  <c:v>41182</c:v>
                </c:pt>
                <c:pt idx="456">
                  <c:v>41213</c:v>
                </c:pt>
                <c:pt idx="457">
                  <c:v>41243</c:v>
                </c:pt>
                <c:pt idx="458">
                  <c:v>41274</c:v>
                </c:pt>
                <c:pt idx="459">
                  <c:v>41305</c:v>
                </c:pt>
                <c:pt idx="460">
                  <c:v>41333</c:v>
                </c:pt>
                <c:pt idx="461">
                  <c:v>41364</c:v>
                </c:pt>
                <c:pt idx="462">
                  <c:v>41394</c:v>
                </c:pt>
                <c:pt idx="463">
                  <c:v>41425</c:v>
                </c:pt>
                <c:pt idx="464">
                  <c:v>41455</c:v>
                </c:pt>
                <c:pt idx="465">
                  <c:v>41486</c:v>
                </c:pt>
                <c:pt idx="466">
                  <c:v>41517</c:v>
                </c:pt>
                <c:pt idx="467">
                  <c:v>41547</c:v>
                </c:pt>
                <c:pt idx="468">
                  <c:v>41578</c:v>
                </c:pt>
                <c:pt idx="469">
                  <c:v>41608</c:v>
                </c:pt>
                <c:pt idx="470">
                  <c:v>41639</c:v>
                </c:pt>
                <c:pt idx="471">
                  <c:v>41670</c:v>
                </c:pt>
                <c:pt idx="472">
                  <c:v>41698</c:v>
                </c:pt>
                <c:pt idx="473">
                  <c:v>41729</c:v>
                </c:pt>
                <c:pt idx="474">
                  <c:v>41759</c:v>
                </c:pt>
                <c:pt idx="475">
                  <c:v>41790</c:v>
                </c:pt>
                <c:pt idx="476">
                  <c:v>41820</c:v>
                </c:pt>
                <c:pt idx="477">
                  <c:v>41851</c:v>
                </c:pt>
                <c:pt idx="478">
                  <c:v>41882</c:v>
                </c:pt>
                <c:pt idx="479">
                  <c:v>41912</c:v>
                </c:pt>
                <c:pt idx="480">
                  <c:v>41943</c:v>
                </c:pt>
                <c:pt idx="481">
                  <c:v>41973</c:v>
                </c:pt>
                <c:pt idx="482">
                  <c:v>42004</c:v>
                </c:pt>
                <c:pt idx="483">
                  <c:v>42035</c:v>
                </c:pt>
                <c:pt idx="484">
                  <c:v>42063</c:v>
                </c:pt>
                <c:pt idx="485">
                  <c:v>42094</c:v>
                </c:pt>
              </c:numCache>
            </c:numRef>
          </c:cat>
          <c:val>
            <c:numRef>
              <c:f>topixReturns!$B$2:$B$487</c:f>
              <c:numCache>
                <c:formatCode>0.00%</c:formatCode>
                <c:ptCount val="486"/>
                <c:pt idx="0">
                  <c:v>-8.1237707221129662E-2</c:v>
                </c:pt>
                <c:pt idx="1">
                  <c:v>8.9988149394090167E-2</c:v>
                </c:pt>
                <c:pt idx="2">
                  <c:v>-2.251604531266449E-2</c:v>
                </c:pt>
                <c:pt idx="3">
                  <c:v>3.6489541100068301E-2</c:v>
                </c:pt>
                <c:pt idx="4">
                  <c:v>8.4741068955968002E-2</c:v>
                </c:pt>
                <c:pt idx="5">
                  <c:v>3.663517998468202E-2</c:v>
                </c:pt>
                <c:pt idx="6">
                  <c:v>1.6315724664450748E-3</c:v>
                </c:pt>
                <c:pt idx="7">
                  <c:v>-2.858284414666401E-3</c:v>
                </c:pt>
                <c:pt idx="8">
                  <c:v>2.4257181605227496E-2</c:v>
                </c:pt>
                <c:pt idx="9">
                  <c:v>-4.2851554271613912E-2</c:v>
                </c:pt>
                <c:pt idx="10">
                  <c:v>-4.4078347533561768E-2</c:v>
                </c:pt>
                <c:pt idx="11">
                  <c:v>-4.0848544647262064E-2</c:v>
                </c:pt>
                <c:pt idx="12">
                  <c:v>8.6993793505469208E-2</c:v>
                </c:pt>
                <c:pt idx="13">
                  <c:v>2.6182965299683669E-3</c:v>
                </c:pt>
                <c:pt idx="14">
                  <c:v>1.2522417644652784E-2</c:v>
                </c:pt>
                <c:pt idx="15">
                  <c:v>5.9165346011621933E-2</c:v>
                </c:pt>
                <c:pt idx="16">
                  <c:v>1.2908904210062744E-3</c:v>
                </c:pt>
                <c:pt idx="17">
                  <c:v>-2.2268452049577503E-3</c:v>
                </c:pt>
                <c:pt idx="18">
                  <c:v>4.8160220832234035E-3</c:v>
                </c:pt>
                <c:pt idx="19">
                  <c:v>1.3122132273431397E-2</c:v>
                </c:pt>
                <c:pt idx="20">
                  <c:v>3.2423700455777915E-2</c:v>
                </c:pt>
                <c:pt idx="21">
                  <c:v>-2.8974573903324918E-2</c:v>
                </c:pt>
                <c:pt idx="22">
                  <c:v>2.9810376082640477E-2</c:v>
                </c:pt>
                <c:pt idx="23">
                  <c:v>-4.4706474056266376E-4</c:v>
                </c:pt>
                <c:pt idx="24">
                  <c:v>-2.1105302882061916E-2</c:v>
                </c:pt>
                <c:pt idx="25">
                  <c:v>-1.2536409846364727E-2</c:v>
                </c:pt>
                <c:pt idx="26">
                  <c:v>0.11015356141010435</c:v>
                </c:pt>
                <c:pt idx="27">
                  <c:v>-2.2507033447952463E-2</c:v>
                </c:pt>
                <c:pt idx="28">
                  <c:v>2.0093806630423039E-2</c:v>
                </c:pt>
                <c:pt idx="29">
                  <c:v>-1.8574638173363134E-2</c:v>
                </c:pt>
                <c:pt idx="30">
                  <c:v>1.1339739665131576E-2</c:v>
                </c:pt>
                <c:pt idx="31">
                  <c:v>-5.2114863264286493E-3</c:v>
                </c:pt>
                <c:pt idx="32">
                  <c:v>-2.9898134673898014E-3</c:v>
                </c:pt>
                <c:pt idx="33">
                  <c:v>-1.8178440634785797E-2</c:v>
                </c:pt>
                <c:pt idx="34">
                  <c:v>5.111225234478467E-2</c:v>
                </c:pt>
                <c:pt idx="35">
                  <c:v>4.0372351368032078E-3</c:v>
                </c:pt>
                <c:pt idx="36">
                  <c:v>-3.6496350364963459E-2</c:v>
                </c:pt>
                <c:pt idx="37">
                  <c:v>-2.1504518872939915E-2</c:v>
                </c:pt>
                <c:pt idx="38">
                  <c:v>-1.094781451196658E-2</c:v>
                </c:pt>
                <c:pt idx="39">
                  <c:v>4.9329817622500549E-2</c:v>
                </c:pt>
                <c:pt idx="40">
                  <c:v>2.4709454507381379E-2</c:v>
                </c:pt>
                <c:pt idx="41">
                  <c:v>4.179012976397245E-2</c:v>
                </c:pt>
                <c:pt idx="42">
                  <c:v>4.9774421341703956E-3</c:v>
                </c:pt>
                <c:pt idx="43">
                  <c:v>1.7078585893082199E-4</c:v>
                </c:pt>
                <c:pt idx="44">
                  <c:v>1.788066546323841E-2</c:v>
                </c:pt>
                <c:pt idx="45">
                  <c:v>1.4858484913844894E-2</c:v>
                </c:pt>
                <c:pt idx="46">
                  <c:v>1.9363827425791236E-3</c:v>
                </c:pt>
                <c:pt idx="47">
                  <c:v>2.2272502297956631E-2</c:v>
                </c:pt>
                <c:pt idx="48">
                  <c:v>1.0236547240282112E-2</c:v>
                </c:pt>
                <c:pt idx="49">
                  <c:v>8.8319868547173108E-3</c:v>
                </c:pt>
                <c:pt idx="50">
                  <c:v>1.6966406515100063E-2</c:v>
                </c:pt>
                <c:pt idx="51">
                  <c:v>2.9852074296518705E-2</c:v>
                </c:pt>
                <c:pt idx="52">
                  <c:v>-3.0714733136056438E-2</c:v>
                </c:pt>
                <c:pt idx="53">
                  <c:v>2.0724233983286933E-3</c:v>
                </c:pt>
                <c:pt idx="54">
                  <c:v>3.9361323607898235E-3</c:v>
                </c:pt>
                <c:pt idx="55">
                  <c:v>-4.5409236903312111E-3</c:v>
                </c:pt>
                <c:pt idx="56">
                  <c:v>-6.1415220293724593E-3</c:v>
                </c:pt>
                <c:pt idx="57">
                  <c:v>-3.649471610245425E-3</c:v>
                </c:pt>
                <c:pt idx="58">
                  <c:v>2.0448978674636686E-2</c:v>
                </c:pt>
                <c:pt idx="59">
                  <c:v>1.9422606857369296E-2</c:v>
                </c:pt>
                <c:pt idx="60">
                  <c:v>-3.0047739399045259E-2</c:v>
                </c:pt>
                <c:pt idx="61">
                  <c:v>2.8506525321811971E-3</c:v>
                </c:pt>
                <c:pt idx="62">
                  <c:v>2.0675105485232104E-2</c:v>
                </c:pt>
                <c:pt idx="63">
                  <c:v>1.7514849546354627E-2</c:v>
                </c:pt>
                <c:pt idx="64">
                  <c:v>5.7734251379204515E-4</c:v>
                </c:pt>
                <c:pt idx="65">
                  <c:v>-2.878635693372944E-2</c:v>
                </c:pt>
                <c:pt idx="66">
                  <c:v>2.9375522598248605E-2</c:v>
                </c:pt>
                <c:pt idx="67">
                  <c:v>-2.8430345653149836E-3</c:v>
                </c:pt>
                <c:pt idx="68">
                  <c:v>1.348396501457727E-2</c:v>
                </c:pt>
                <c:pt idx="69">
                  <c:v>-3.9554117224019913E-3</c:v>
                </c:pt>
                <c:pt idx="70">
                  <c:v>1.5757060947122481E-2</c:v>
                </c:pt>
                <c:pt idx="71">
                  <c:v>2.1889111891620683E-2</c:v>
                </c:pt>
                <c:pt idx="72">
                  <c:v>1.485300435769954E-2</c:v>
                </c:pt>
                <c:pt idx="73">
                  <c:v>-8.8700735812923259E-3</c:v>
                </c:pt>
                <c:pt idx="74">
                  <c:v>-1.1186819892198274E-3</c:v>
                </c:pt>
                <c:pt idx="75">
                  <c:v>3.6204439014457357E-2</c:v>
                </c:pt>
                <c:pt idx="76">
                  <c:v>-2.7904417544412086E-3</c:v>
                </c:pt>
                <c:pt idx="77">
                  <c:v>4.475229574744799E-2</c:v>
                </c:pt>
                <c:pt idx="78">
                  <c:v>5.7887092819284502E-2</c:v>
                </c:pt>
                <c:pt idx="79">
                  <c:v>-3.1915272973647157E-3</c:v>
                </c:pt>
                <c:pt idx="80">
                  <c:v>4.8437583844598953E-2</c:v>
                </c:pt>
                <c:pt idx="81">
                  <c:v>1.0236287639682651E-2</c:v>
                </c:pt>
                <c:pt idx="82">
                  <c:v>-4.5765431056319361E-3</c:v>
                </c:pt>
                <c:pt idx="83">
                  <c:v>-6.6452904451683059E-2</c:v>
                </c:pt>
                <c:pt idx="84">
                  <c:v>-1.3266214767296836E-3</c:v>
                </c:pt>
                <c:pt idx="85">
                  <c:v>8.9347454234451895E-3</c:v>
                </c:pt>
                <c:pt idx="86">
                  <c:v>2.860492379835855E-2</c:v>
                </c:pt>
                <c:pt idx="87">
                  <c:v>2.0076800336659151E-2</c:v>
                </c:pt>
                <c:pt idx="88">
                  <c:v>-3.7541254125412649E-2</c:v>
                </c:pt>
                <c:pt idx="89">
                  <c:v>-4.663166166595234E-2</c:v>
                </c:pt>
                <c:pt idx="90">
                  <c:v>2.3285438639216283E-2</c:v>
                </c:pt>
                <c:pt idx="91">
                  <c:v>3.2952548330400511E-4</c:v>
                </c:pt>
                <c:pt idx="92">
                  <c:v>-1.3121774459207147E-2</c:v>
                </c:pt>
                <c:pt idx="93">
                  <c:v>-2.171534538711184E-2</c:v>
                </c:pt>
                <c:pt idx="94">
                  <c:v>5.5730371156690328E-3</c:v>
                </c:pt>
                <c:pt idx="95">
                  <c:v>-1.2215352133916446E-2</c:v>
                </c:pt>
                <c:pt idx="96">
                  <c:v>2.9980916030534432E-2</c:v>
                </c:pt>
                <c:pt idx="97">
                  <c:v>7.1612532656426531E-2</c:v>
                </c:pt>
                <c:pt idx="98">
                  <c:v>2.6557853240196438E-2</c:v>
                </c:pt>
                <c:pt idx="99">
                  <c:v>-9.0446675200430704E-3</c:v>
                </c:pt>
                <c:pt idx="100">
                  <c:v>6.5097306025323487E-3</c:v>
                </c:pt>
                <c:pt idx="101">
                  <c:v>4.3078118139755039E-2</c:v>
                </c:pt>
                <c:pt idx="102">
                  <c:v>1.6901682073531932E-2</c:v>
                </c:pt>
                <c:pt idx="103">
                  <c:v>1.3866556286119103E-2</c:v>
                </c:pt>
                <c:pt idx="104">
                  <c:v>3.0290182777463759E-2</c:v>
                </c:pt>
                <c:pt idx="105">
                  <c:v>2.0361818542057319E-2</c:v>
                </c:pt>
                <c:pt idx="106">
                  <c:v>1.3502815576035498E-2</c:v>
                </c:pt>
                <c:pt idx="107">
                  <c:v>1.8495866063401811E-2</c:v>
                </c:pt>
                <c:pt idx="108">
                  <c:v>-8.0598483533022014E-3</c:v>
                </c:pt>
                <c:pt idx="109">
                  <c:v>3.3989292643434865E-3</c:v>
                </c:pt>
                <c:pt idx="110">
                  <c:v>6.3939288206559697E-2</c:v>
                </c:pt>
                <c:pt idx="111">
                  <c:v>6.1791150829438868E-2</c:v>
                </c:pt>
                <c:pt idx="112">
                  <c:v>-1.1839802326778504E-3</c:v>
                </c:pt>
                <c:pt idx="113">
                  <c:v>0.11681183322166677</c:v>
                </c:pt>
                <c:pt idx="114">
                  <c:v>-6.5414522716259471E-3</c:v>
                </c:pt>
                <c:pt idx="115">
                  <c:v>-9.9650451161872544E-2</c:v>
                </c:pt>
                <c:pt idx="116">
                  <c:v>2.2971752869856976E-2</c:v>
                </c:pt>
                <c:pt idx="117">
                  <c:v>-3.7195344908020345E-2</c:v>
                </c:pt>
                <c:pt idx="118">
                  <c:v>6.9511923625934724E-2</c:v>
                </c:pt>
                <c:pt idx="119">
                  <c:v>9.7589048476165452E-3</c:v>
                </c:pt>
                <c:pt idx="120">
                  <c:v>4.3387577910896757E-2</c:v>
                </c:pt>
                <c:pt idx="121">
                  <c:v>1.7862953837571416E-2</c:v>
                </c:pt>
                <c:pt idx="122">
                  <c:v>4.2886014089813962E-2</c:v>
                </c:pt>
                <c:pt idx="123">
                  <c:v>1.9367835597840832E-2</c:v>
                </c:pt>
                <c:pt idx="124">
                  <c:v>4.9663824028526538E-2</c:v>
                </c:pt>
                <c:pt idx="125">
                  <c:v>2.2592857873733774E-2</c:v>
                </c:pt>
                <c:pt idx="126">
                  <c:v>-3.2119914346895095E-2</c:v>
                </c:pt>
                <c:pt idx="127">
                  <c:v>3.0756347696633934E-2</c:v>
                </c:pt>
                <c:pt idx="128">
                  <c:v>2.9467518530034376E-2</c:v>
                </c:pt>
                <c:pt idx="129">
                  <c:v>-3.3397959879580386E-2</c:v>
                </c:pt>
                <c:pt idx="130">
                  <c:v>2.6569098807615932E-2</c:v>
                </c:pt>
                <c:pt idx="131">
                  <c:v>7.5602116859272428E-3</c:v>
                </c:pt>
                <c:pt idx="132">
                  <c:v>1.8515089798198936E-4</c:v>
                </c:pt>
                <c:pt idx="133">
                  <c:v>-1.9339815662815063E-2</c:v>
                </c:pt>
                <c:pt idx="134">
                  <c:v>4.0286926370798559E-2</c:v>
                </c:pt>
                <c:pt idx="135">
                  <c:v>-5.2145012797494283E-3</c:v>
                </c:pt>
                <c:pt idx="136">
                  <c:v>4.7118910927209656E-2</c:v>
                </c:pt>
                <c:pt idx="137">
                  <c:v>0.16065829283946087</c:v>
                </c:pt>
                <c:pt idx="138">
                  <c:v>-1.1098559951972065E-2</c:v>
                </c:pt>
                <c:pt idx="139">
                  <c:v>3.8526056810556764E-2</c:v>
                </c:pt>
                <c:pt idx="140">
                  <c:v>4.5480767012022083E-2</c:v>
                </c:pt>
                <c:pt idx="141">
                  <c:v>5.1263941614431596E-2</c:v>
                </c:pt>
                <c:pt idx="142">
                  <c:v>8.2453881252974259E-2</c:v>
                </c:pt>
                <c:pt idx="143">
                  <c:v>-1.904651072578456E-2</c:v>
                </c:pt>
                <c:pt idx="144">
                  <c:v>-7.204998418222075E-2</c:v>
                </c:pt>
                <c:pt idx="145">
                  <c:v>5.8907923520554517E-2</c:v>
                </c:pt>
                <c:pt idx="146">
                  <c:v>4.8058219867194163E-2</c:v>
                </c:pt>
                <c:pt idx="147">
                  <c:v>0.12038014783526929</c:v>
                </c:pt>
                <c:pt idx="148">
                  <c:v>1.4166166852311868E-2</c:v>
                </c:pt>
                <c:pt idx="149">
                  <c:v>5.392435720521549E-2</c:v>
                </c:pt>
                <c:pt idx="150">
                  <c:v>0.11078511535439994</c:v>
                </c:pt>
                <c:pt idx="151">
                  <c:v>2.7058104681764172E-2</c:v>
                </c:pt>
                <c:pt idx="152">
                  <c:v>-4.4806603176982596E-2</c:v>
                </c:pt>
                <c:pt idx="153">
                  <c:v>-1.1755301410440011E-2</c:v>
                </c:pt>
                <c:pt idx="154">
                  <c:v>6.9053302301115282E-2</c:v>
                </c:pt>
                <c:pt idx="155">
                  <c:v>-8.1930686175299972E-3</c:v>
                </c:pt>
                <c:pt idx="156">
                  <c:v>-0.12610162828031324</c:v>
                </c:pt>
                <c:pt idx="157">
                  <c:v>-1.0786319476429718E-2</c:v>
                </c:pt>
                <c:pt idx="158">
                  <c:v>-6.5623917186417247E-2</c:v>
                </c:pt>
                <c:pt idx="159">
                  <c:v>0.11062503259301337</c:v>
                </c:pt>
                <c:pt idx="160">
                  <c:v>8.4163297247945801E-2</c:v>
                </c:pt>
                <c:pt idx="161">
                  <c:v>3.3603295365411068E-2</c:v>
                </c:pt>
                <c:pt idx="162">
                  <c:v>1.9330508869128016E-2</c:v>
                </c:pt>
                <c:pt idx="163">
                  <c:v>-2.7788181344831075E-2</c:v>
                </c:pt>
                <c:pt idx="164">
                  <c:v>2.5613319677907365E-2</c:v>
                </c:pt>
                <c:pt idx="165">
                  <c:v>1.9000503870642671E-2</c:v>
                </c:pt>
                <c:pt idx="166">
                  <c:v>-4.3405946290985264E-2</c:v>
                </c:pt>
                <c:pt idx="167">
                  <c:v>1.0967942030620126E-2</c:v>
                </c:pt>
                <c:pt idx="168">
                  <c:v>2.3612970400117561E-3</c:v>
                </c:pt>
                <c:pt idx="169">
                  <c:v>5.9964571237780762E-2</c:v>
                </c:pt>
                <c:pt idx="170">
                  <c:v>3.1184512741988524E-2</c:v>
                </c:pt>
                <c:pt idx="171">
                  <c:v>4.5735523094742048E-2</c:v>
                </c:pt>
                <c:pt idx="172">
                  <c:v>-7.1404518770056269E-3</c:v>
                </c:pt>
                <c:pt idx="173">
                  <c:v>8.957065743718351E-3</c:v>
                </c:pt>
                <c:pt idx="174">
                  <c:v>7.8448048923718261E-3</c:v>
                </c:pt>
                <c:pt idx="175">
                  <c:v>1.9537717197370297E-2</c:v>
                </c:pt>
                <c:pt idx="176">
                  <c:v>-3.4590129042938011E-2</c:v>
                </c:pt>
                <c:pt idx="177">
                  <c:v>7.3292016755260425E-2</c:v>
                </c:pt>
                <c:pt idx="178">
                  <c:v>-9.7074822168967678E-3</c:v>
                </c:pt>
                <c:pt idx="179">
                  <c:v>3.796602877797306E-2</c:v>
                </c:pt>
                <c:pt idx="180">
                  <c:v>-3.5415325177075019E-3</c:v>
                </c:pt>
                <c:pt idx="181">
                  <c:v>5.0838393404267102E-2</c:v>
                </c:pt>
                <c:pt idx="182">
                  <c:v>1.831746502965137E-2</c:v>
                </c:pt>
                <c:pt idx="183">
                  <c:v>-4.9906815160843498E-2</c:v>
                </c:pt>
                <c:pt idx="184">
                  <c:v>-6.2840402254554339E-2</c:v>
                </c:pt>
                <c:pt idx="185">
                  <c:v>-0.13176953000148117</c:v>
                </c:pt>
                <c:pt idx="186">
                  <c:v>-9.661141738646406E-3</c:v>
                </c:pt>
                <c:pt idx="187">
                  <c:v>0.10416326678634236</c:v>
                </c:pt>
                <c:pt idx="188">
                  <c:v>-3.7926872326274452E-2</c:v>
                </c:pt>
                <c:pt idx="189">
                  <c:v>-3.8747780964085821E-2</c:v>
                </c:pt>
                <c:pt idx="190">
                  <c:v>-0.12367706076641682</c:v>
                </c:pt>
                <c:pt idx="191">
                  <c:v>-0.2041672365841426</c:v>
                </c:pt>
                <c:pt idx="192">
                  <c:v>0.18152710143543715</c:v>
                </c:pt>
                <c:pt idx="193">
                  <c:v>-0.10996595047733981</c:v>
                </c:pt>
                <c:pt idx="194">
                  <c:v>4.9527545232777026E-2</c:v>
                </c:pt>
                <c:pt idx="195">
                  <c:v>-1.3207753932046318E-2</c:v>
                </c:pt>
                <c:pt idx="196">
                  <c:v>0.1457628307411758</c:v>
                </c:pt>
                <c:pt idx="197">
                  <c:v>5.310357492654294E-3</c:v>
                </c:pt>
                <c:pt idx="198">
                  <c:v>-3.7092853917075619E-3</c:v>
                </c:pt>
                <c:pt idx="199">
                  <c:v>6.8757576066236226E-4</c:v>
                </c:pt>
                <c:pt idx="200">
                  <c:v>-7.4186800490642635E-2</c:v>
                </c:pt>
                <c:pt idx="201">
                  <c:v>2.2050456017284059E-2</c:v>
                </c:pt>
                <c:pt idx="202">
                  <c:v>-6.8322647273979076E-2</c:v>
                </c:pt>
                <c:pt idx="203">
                  <c:v>5.7791120605045876E-2</c:v>
                </c:pt>
                <c:pt idx="204">
                  <c:v>3.0155004912127525E-2</c:v>
                </c:pt>
                <c:pt idx="205">
                  <c:v>-8.2730668362075876E-2</c:v>
                </c:pt>
                <c:pt idx="206">
                  <c:v>-9.5997227516894101E-3</c:v>
                </c:pt>
                <c:pt idx="207">
                  <c:v>-4.8837100800149358E-2</c:v>
                </c:pt>
                <c:pt idx="208">
                  <c:v>-4.687480839270608E-2</c:v>
                </c:pt>
                <c:pt idx="209">
                  <c:v>-8.7469202117736344E-2</c:v>
                </c:pt>
                <c:pt idx="210">
                  <c:v>-7.1243267631052043E-2</c:v>
                </c:pt>
                <c:pt idx="211">
                  <c:v>4.4676878235392348E-2</c:v>
                </c:pt>
                <c:pt idx="212">
                  <c:v>-0.1018077191350848</c:v>
                </c:pt>
                <c:pt idx="213">
                  <c:v>-1.3711373564148199E-2</c:v>
                </c:pt>
                <c:pt idx="214">
                  <c:v>0.13636251794135745</c:v>
                </c:pt>
                <c:pt idx="215">
                  <c:v>-5.4066733549378965E-2</c:v>
                </c:pt>
                <c:pt idx="216">
                  <c:v>-2.4179764993132791E-2</c:v>
                </c:pt>
                <c:pt idx="217">
                  <c:v>3.4748340383607745E-2</c:v>
                </c:pt>
                <c:pt idx="218">
                  <c:v>-1.1856273850455179E-2</c:v>
                </c:pt>
                <c:pt idx="219">
                  <c:v>-6.7142835293577674E-3</c:v>
                </c:pt>
                <c:pt idx="220">
                  <c:v>-1.1294345898004488E-2</c:v>
                </c:pt>
                <c:pt idx="221">
                  <c:v>0.11498119466442391</c:v>
                </c:pt>
                <c:pt idx="222">
                  <c:v>0.1319393520361487</c:v>
                </c:pt>
                <c:pt idx="223">
                  <c:v>9.7545024339982245E-3</c:v>
                </c:pt>
                <c:pt idx="224">
                  <c:v>-3.4431137724550864E-2</c:v>
                </c:pt>
                <c:pt idx="225">
                  <c:v>5.0409745293466202E-2</c:v>
                </c:pt>
                <c:pt idx="226">
                  <c:v>1.9989035550119993E-2</c:v>
                </c:pt>
                <c:pt idx="227">
                  <c:v>-3.9478113980946028E-2</c:v>
                </c:pt>
                <c:pt idx="228">
                  <c:v>2.6687163720213736E-3</c:v>
                </c:pt>
                <c:pt idx="229">
                  <c:v>-0.15732342281014844</c:v>
                </c:pt>
                <c:pt idx="230">
                  <c:v>4.7487009300903882E-2</c:v>
                </c:pt>
                <c:pt idx="231">
                  <c:v>0.13194516817085966</c:v>
                </c:pt>
                <c:pt idx="232">
                  <c:v>1.5283387142313032E-3</c:v>
                </c:pt>
                <c:pt idx="233">
                  <c:v>-4.1980498985726644E-2</c:v>
                </c:pt>
                <c:pt idx="234">
                  <c:v>2.5665137761401224E-2</c:v>
                </c:pt>
                <c:pt idx="235">
                  <c:v>4.9378481036343125E-2</c:v>
                </c:pt>
                <c:pt idx="236">
                  <c:v>-5.4561664190193593E-3</c:v>
                </c:pt>
                <c:pt idx="237">
                  <c:v>-2.1460330361197988E-2</c:v>
                </c:pt>
                <c:pt idx="238">
                  <c:v>1.8199473558853096E-3</c:v>
                </c:pt>
                <c:pt idx="239">
                  <c:v>-3.871030669535902E-2</c:v>
                </c:pt>
                <c:pt idx="240">
                  <c:v>4.927420428818774E-3</c:v>
                </c:pt>
                <c:pt idx="241">
                  <c:v>-4.0544974947307355E-2</c:v>
                </c:pt>
                <c:pt idx="242">
                  <c:v>2.5440506179254196E-2</c:v>
                </c:pt>
                <c:pt idx="243">
                  <c:v>-6.1093330083574426E-2</c:v>
                </c:pt>
                <c:pt idx="244">
                  <c:v>-7.8867909061099417E-2</c:v>
                </c:pt>
                <c:pt idx="245">
                  <c:v>-3.0035820497037236E-2</c:v>
                </c:pt>
                <c:pt idx="246">
                  <c:v>1.829664574237877E-2</c:v>
                </c:pt>
                <c:pt idx="247">
                  <c:v>-5.834872580378736E-2</c:v>
                </c:pt>
                <c:pt idx="248">
                  <c:v>-4.5546243949892706E-2</c:v>
                </c:pt>
                <c:pt idx="249">
                  <c:v>0.11621650974527764</c:v>
                </c:pt>
                <c:pt idx="250">
                  <c:v>6.8467929047226983E-2</c:v>
                </c:pt>
                <c:pt idx="251">
                  <c:v>7.411143333473591E-3</c:v>
                </c:pt>
                <c:pt idx="252">
                  <c:v>-1.8787895644434505E-2</c:v>
                </c:pt>
                <c:pt idx="253">
                  <c:v>5.0363535864619946E-2</c:v>
                </c:pt>
                <c:pt idx="254">
                  <c:v>6.442406946384116E-2</c:v>
                </c:pt>
                <c:pt idx="255">
                  <c:v>2.2444064144006903E-2</c:v>
                </c:pt>
                <c:pt idx="256">
                  <c:v>-3.2638815703826651E-2</c:v>
                </c:pt>
                <c:pt idx="257">
                  <c:v>4.8972738807787408E-2</c:v>
                </c:pt>
                <c:pt idx="258">
                  <c:v>4.6148770832315167E-2</c:v>
                </c:pt>
                <c:pt idx="259">
                  <c:v>-1.8599409023487334E-2</c:v>
                </c:pt>
                <c:pt idx="260">
                  <c:v>1.8969754309549725E-2</c:v>
                </c:pt>
                <c:pt idx="261">
                  <c:v>-7.475838710619287E-2</c:v>
                </c:pt>
                <c:pt idx="262">
                  <c:v>-2.5838945235826194E-2</c:v>
                </c:pt>
                <c:pt idx="263">
                  <c:v>5.4460994240325356E-2</c:v>
                </c:pt>
                <c:pt idx="264">
                  <c:v>-4.7310374489263007E-2</c:v>
                </c:pt>
                <c:pt idx="265">
                  <c:v>7.9004224307503979E-3</c:v>
                </c:pt>
                <c:pt idx="266">
                  <c:v>-5.8779114410033251E-2</c:v>
                </c:pt>
                <c:pt idx="267">
                  <c:v>-6.6936788720138196E-2</c:v>
                </c:pt>
                <c:pt idx="268">
                  <c:v>1.3195092096059513E-2</c:v>
                </c:pt>
                <c:pt idx="269">
                  <c:v>-1.2462336130707019E-2</c:v>
                </c:pt>
                <c:pt idx="270">
                  <c:v>4.9466233633834955E-2</c:v>
                </c:pt>
                <c:pt idx="271">
                  <c:v>3.1709906396797161E-2</c:v>
                </c:pt>
                <c:pt idx="272">
                  <c:v>4.5006691819838629E-2</c:v>
                </c:pt>
                <c:pt idx="273">
                  <c:v>-6.2877700619766719E-3</c:v>
                </c:pt>
                <c:pt idx="274">
                  <c:v>-7.5159969948965011E-2</c:v>
                </c:pt>
                <c:pt idx="275">
                  <c:v>-2.7780306584780035E-2</c:v>
                </c:pt>
                <c:pt idx="276">
                  <c:v>-8.0096807652414448E-2</c:v>
                </c:pt>
                <c:pt idx="277">
                  <c:v>-1.9496993234778159E-2</c:v>
                </c:pt>
                <c:pt idx="278">
                  <c:v>-6.1642522879366335E-2</c:v>
                </c:pt>
                <c:pt idx="279">
                  <c:v>7.8704373505357417E-2</c:v>
                </c:pt>
                <c:pt idx="280">
                  <c:v>3.8974051486773131E-3</c:v>
                </c:pt>
                <c:pt idx="281">
                  <c:v>-1.6307124052025612E-2</c:v>
                </c:pt>
                <c:pt idx="282">
                  <c:v>-2.2944795078692959E-2</c:v>
                </c:pt>
                <c:pt idx="283">
                  <c:v>-1.2183355410554375E-3</c:v>
                </c:pt>
                <c:pt idx="284">
                  <c:v>7.2779965452030027E-3</c:v>
                </c:pt>
                <c:pt idx="285">
                  <c:v>2.5731887709488088E-2</c:v>
                </c:pt>
                <c:pt idx="286">
                  <c:v>-0.12325282875344679</c:v>
                </c:pt>
                <c:pt idx="287">
                  <c:v>-5.6864499453226025E-2</c:v>
                </c:pt>
                <c:pt idx="288">
                  <c:v>-7.6372452255240031E-3</c:v>
                </c:pt>
                <c:pt idx="289">
                  <c:v>0.10419080726149099</c:v>
                </c:pt>
                <c:pt idx="290">
                  <c:v>-4.9418452120682077E-2</c:v>
                </c:pt>
                <c:pt idx="291">
                  <c:v>3.5207315614679047E-2</c:v>
                </c:pt>
                <c:pt idx="292">
                  <c:v>-4.6478147272630554E-3</c:v>
                </c:pt>
                <c:pt idx="293">
                  <c:v>0.13141612278242554</c:v>
                </c:pt>
                <c:pt idx="294">
                  <c:v>5.5160114265873306E-2</c:v>
                </c:pt>
                <c:pt idx="295">
                  <c:v>-2.9862689960512001E-2</c:v>
                </c:pt>
                <c:pt idx="296">
                  <c:v>9.1744463031629975E-2</c:v>
                </c:pt>
                <c:pt idx="297">
                  <c:v>4.4294591159440788E-2</c:v>
                </c:pt>
                <c:pt idx="298">
                  <c:v>-1.4814764728553809E-2</c:v>
                </c:pt>
                <c:pt idx="299">
                  <c:v>3.418621570053948E-2</c:v>
                </c:pt>
                <c:pt idx="300">
                  <c:v>3.7867576302569095E-2</c:v>
                </c:pt>
                <c:pt idx="301">
                  <c:v>4.9645435420649697E-2</c:v>
                </c:pt>
                <c:pt idx="302">
                  <c:v>4.9143177401570481E-2</c:v>
                </c:pt>
                <c:pt idx="303">
                  <c:v>-8.2684937870166619E-3</c:v>
                </c:pt>
                <c:pt idx="304">
                  <c:v>6.4287219841214771E-3</c:v>
                </c:pt>
                <c:pt idx="305">
                  <c:v>-7.5628003304362146E-3</c:v>
                </c:pt>
                <c:pt idx="306">
                  <c:v>-3.3453697081960776E-2</c:v>
                </c:pt>
                <c:pt idx="307">
                  <c:v>-7.6434164003226446E-2</c:v>
                </c:pt>
                <c:pt idx="308">
                  <c:v>4.5152478264295581E-2</c:v>
                </c:pt>
                <c:pt idx="309">
                  <c:v>-8.6987936667504262E-2</c:v>
                </c:pt>
                <c:pt idx="310">
                  <c:v>4.0112858273406049E-2</c:v>
                </c:pt>
                <c:pt idx="311">
                  <c:v>-2.6901497909278649E-2</c:v>
                </c:pt>
                <c:pt idx="312">
                  <c:v>-6.1749547858959142E-2</c:v>
                </c:pt>
                <c:pt idx="313">
                  <c:v>-1.2536595263630823E-2</c:v>
                </c:pt>
                <c:pt idx="314">
                  <c:v>-5.7967504733389075E-2</c:v>
                </c:pt>
                <c:pt idx="315">
                  <c:v>1.2900511813783933E-2</c:v>
                </c:pt>
                <c:pt idx="316">
                  <c:v>-4.5184313544526788E-2</c:v>
                </c:pt>
                <c:pt idx="317">
                  <c:v>2.88284950220703E-2</c:v>
                </c:pt>
                <c:pt idx="318">
                  <c:v>6.9828618851143442E-2</c:v>
                </c:pt>
                <c:pt idx="319">
                  <c:v>-4.0725670711180828E-2</c:v>
                </c:pt>
                <c:pt idx="320">
                  <c:v>-7.4991798963999212E-3</c:v>
                </c:pt>
                <c:pt idx="321">
                  <c:v>-8.5066642069824394E-2</c:v>
                </c:pt>
                <c:pt idx="322">
                  <c:v>-7.2787761171459464E-2</c:v>
                </c:pt>
                <c:pt idx="323">
                  <c:v>-7.2711951942156738E-2</c:v>
                </c:pt>
                <c:pt idx="324">
                  <c:v>3.5127318207578417E-2</c:v>
                </c:pt>
                <c:pt idx="325">
                  <c:v>-8.6372089071805602E-3</c:v>
                </c:pt>
                <c:pt idx="326">
                  <c:v>-1.7215440574355756E-2</c:v>
                </c:pt>
                <c:pt idx="327">
                  <c:v>-5.8490127308311046E-2</c:v>
                </c:pt>
                <c:pt idx="328">
                  <c:v>4.3250975024954341E-2</c:v>
                </c:pt>
                <c:pt idx="329">
                  <c:v>4.57585322548828E-2</c:v>
                </c:pt>
                <c:pt idx="330">
                  <c:v>2.0628377932257358E-2</c:v>
                </c:pt>
                <c:pt idx="331">
                  <c:v>3.5136683732879925E-2</c:v>
                </c:pt>
                <c:pt idx="332">
                  <c:v>-8.4985001071351873E-2</c:v>
                </c:pt>
                <c:pt idx="333">
                  <c:v>-5.8435539423743132E-2</c:v>
                </c:pt>
                <c:pt idx="334">
                  <c:v>-2.4207253886010416E-2</c:v>
                </c:pt>
                <c:pt idx="335">
                  <c:v>-2.1866105942823233E-2</c:v>
                </c:pt>
                <c:pt idx="336">
                  <c:v>-6.3851039574398749E-2</c:v>
                </c:pt>
                <c:pt idx="337">
                  <c:v>3.5338188903321521E-2</c:v>
                </c:pt>
                <c:pt idx="338">
                  <c:v>-5.5359523249431608E-2</c:v>
                </c:pt>
                <c:pt idx="339">
                  <c:v>-2.6218738512255535E-2</c:v>
                </c:pt>
                <c:pt idx="340">
                  <c:v>-2.9835115321853456E-3</c:v>
                </c:pt>
                <c:pt idx="341">
                  <c:v>-3.753374128222986E-2</c:v>
                </c:pt>
                <c:pt idx="342">
                  <c:v>1.0862944162436383E-2</c:v>
                </c:pt>
                <c:pt idx="343">
                  <c:v>5.1647082454554738E-2</c:v>
                </c:pt>
                <c:pt idx="344">
                  <c:v>7.847678166408012E-2</c:v>
                </c:pt>
                <c:pt idx="345">
                  <c:v>3.9803418046577388E-2</c:v>
                </c:pt>
                <c:pt idx="346">
                  <c:v>6.6648924845646107E-2</c:v>
                </c:pt>
                <c:pt idx="347">
                  <c:v>1.6756319797207597E-2</c:v>
                </c:pt>
                <c:pt idx="348">
                  <c:v>2.4106792304672053E-2</c:v>
                </c:pt>
                <c:pt idx="349">
                  <c:v>-4.1797653734089724E-2</c:v>
                </c:pt>
                <c:pt idx="350">
                  <c:v>4.3950987746936843E-2</c:v>
                </c:pt>
                <c:pt idx="351">
                  <c:v>3.6600906399408828E-3</c:v>
                </c:pt>
                <c:pt idx="352">
                  <c:v>3.337438306078222E-2</c:v>
                </c:pt>
                <c:pt idx="353">
                  <c:v>8.9388158563285858E-2</c:v>
                </c:pt>
                <c:pt idx="354">
                  <c:v>6.0039178107746949E-3</c:v>
                </c:pt>
                <c:pt idx="355">
                  <c:v>-3.9087590933229888E-2</c:v>
                </c:pt>
                <c:pt idx="356">
                  <c:v>4.3563696334894653E-2</c:v>
                </c:pt>
                <c:pt idx="357">
                  <c:v>-4.2283120376597094E-2</c:v>
                </c:pt>
                <c:pt idx="358">
                  <c:v>-8.5578864214869155E-3</c:v>
                </c:pt>
                <c:pt idx="359">
                  <c:v>-2.4292859988491067E-2</c:v>
                </c:pt>
                <c:pt idx="360">
                  <c:v>-1.5134605438658411E-2</c:v>
                </c:pt>
                <c:pt idx="361">
                  <c:v>1.2308486037791333E-2</c:v>
                </c:pt>
                <c:pt idx="362">
                  <c:v>4.626907780376599E-2</c:v>
                </c:pt>
                <c:pt idx="363">
                  <c:v>-3.0357593312630993E-3</c:v>
                </c:pt>
                <c:pt idx="364">
                  <c:v>2.7282879927408521E-2</c:v>
                </c:pt>
                <c:pt idx="365">
                  <c:v>4.051265064845655E-3</c:v>
                </c:pt>
                <c:pt idx="366">
                  <c:v>-4.4198007071681089E-2</c:v>
                </c:pt>
                <c:pt idx="367">
                  <c:v>1.2744152292619715E-2</c:v>
                </c:pt>
                <c:pt idx="368">
                  <c:v>2.8724231646465759E-2</c:v>
                </c:pt>
                <c:pt idx="369">
                  <c:v>2.3598369011212927E-2</c:v>
                </c:pt>
                <c:pt idx="370">
                  <c:v>5.5029959003468853E-2</c:v>
                </c:pt>
                <c:pt idx="371">
                  <c:v>0.11090309842758139</c:v>
                </c:pt>
                <c:pt idx="372">
                  <c:v>2.2977030050698177E-2</c:v>
                </c:pt>
                <c:pt idx="373">
                  <c:v>6.331978985692821E-2</c:v>
                </c:pt>
                <c:pt idx="374">
                  <c:v>7.3915675591227803E-2</c:v>
                </c:pt>
                <c:pt idx="375">
                  <c:v>3.6981136650179325E-2</c:v>
                </c:pt>
                <c:pt idx="376">
                  <c:v>-2.9431191802521628E-2</c:v>
                </c:pt>
                <c:pt idx="377">
                  <c:v>4.0796906806711553E-2</c:v>
                </c:pt>
                <c:pt idx="378">
                  <c:v>-6.7875659661142951E-3</c:v>
                </c:pt>
                <c:pt idx="379">
                  <c:v>-7.9519700774281499E-2</c:v>
                </c:pt>
                <c:pt idx="380">
                  <c:v>4.4432067040520717E-3</c:v>
                </c:pt>
                <c:pt idx="381">
                  <c:v>-9.4205272974744458E-3</c:v>
                </c:pt>
                <c:pt idx="382">
                  <c:v>3.9726210393063788E-2</c:v>
                </c:pt>
                <c:pt idx="383">
                  <c:v>-1.4518556587496789E-2</c:v>
                </c:pt>
                <c:pt idx="384">
                  <c:v>4.1533962861559637E-3</c:v>
                </c:pt>
                <c:pt idx="385">
                  <c:v>-8.8968851627901913E-3</c:v>
                </c:pt>
                <c:pt idx="386">
                  <c:v>4.8682806934368106E-2</c:v>
                </c:pt>
                <c:pt idx="387">
                  <c:v>2.4323793774203351E-2</c:v>
                </c:pt>
                <c:pt idx="388">
                  <c:v>1.7874979674324498E-2</c:v>
                </c:pt>
                <c:pt idx="389">
                  <c:v>-2.2325045357554529E-2</c:v>
                </c:pt>
                <c:pt idx="390">
                  <c:v>-7.3587339009458796E-3</c:v>
                </c:pt>
                <c:pt idx="391">
                  <c:v>3.2145796590240971E-2</c:v>
                </c:pt>
                <c:pt idx="392">
                  <c:v>1.093593365533585E-2</c:v>
                </c:pt>
                <c:pt idx="393">
                  <c:v>-3.870684215270892E-2</c:v>
                </c:pt>
                <c:pt idx="394">
                  <c:v>-5.7397226552884262E-2</c:v>
                </c:pt>
                <c:pt idx="395">
                  <c:v>5.2044147365146731E-3</c:v>
                </c:pt>
                <c:pt idx="396">
                  <c:v>2.1340822209301447E-3</c:v>
                </c:pt>
                <c:pt idx="397">
                  <c:v>-5.4435919435579794E-2</c:v>
                </c:pt>
                <c:pt idx="398">
                  <c:v>-3.6686946758231698E-2</c:v>
                </c:pt>
                <c:pt idx="399">
                  <c:v>-8.7668058115580649E-2</c:v>
                </c:pt>
                <c:pt idx="400">
                  <c:v>-1.6363244720755232E-2</c:v>
                </c:pt>
                <c:pt idx="401">
                  <c:v>-8.40607726462681E-2</c:v>
                </c:pt>
                <c:pt idx="402">
                  <c:v>0.12011113309589772</c:v>
                </c:pt>
                <c:pt idx="403">
                  <c:v>3.6425863909027356E-2</c:v>
                </c:pt>
                <c:pt idx="404">
                  <c:v>-6.2522192395642606E-2</c:v>
                </c:pt>
                <c:pt idx="405">
                  <c:v>-1.2483902734641283E-2</c:v>
                </c:pt>
                <c:pt idx="406">
                  <c:v>-3.7518602046608618E-2</c:v>
                </c:pt>
                <c:pt idx="407">
                  <c:v>-0.13333758398354989</c:v>
                </c:pt>
                <c:pt idx="408">
                  <c:v>-0.20258228267166944</c:v>
                </c:pt>
                <c:pt idx="409">
                  <c:v>-3.724974628655775E-2</c:v>
                </c:pt>
                <c:pt idx="410">
                  <c:v>2.9251814762463635E-2</c:v>
                </c:pt>
                <c:pt idx="411">
                  <c:v>-7.5892649318001992E-2</c:v>
                </c:pt>
                <c:pt idx="412">
                  <c:v>-4.7000743044973037E-2</c:v>
                </c:pt>
                <c:pt idx="413">
                  <c:v>2.2399598260892439E-2</c:v>
                </c:pt>
                <c:pt idx="414">
                  <c:v>8.2891709536488944E-2</c:v>
                </c:pt>
                <c:pt idx="415">
                  <c:v>7.1760226309695696E-2</c:v>
                </c:pt>
                <c:pt idx="416">
                  <c:v>3.5471261039525137E-2</c:v>
                </c:pt>
                <c:pt idx="417">
                  <c:v>2.2048700739975891E-2</c:v>
                </c:pt>
                <c:pt idx="418">
                  <c:v>1.6279755014417141E-2</c:v>
                </c:pt>
                <c:pt idx="419">
                  <c:v>-5.787331862943057E-2</c:v>
                </c:pt>
                <c:pt idx="420">
                  <c:v>-1.6673261232744263E-2</c:v>
                </c:pt>
                <c:pt idx="421">
                  <c:v>-6.1173393541752774E-2</c:v>
                </c:pt>
                <c:pt idx="422">
                  <c:v>8.0541467247660536E-2</c:v>
                </c:pt>
                <c:pt idx="423">
                  <c:v>-7.1287695986073096E-3</c:v>
                </c:pt>
                <c:pt idx="424">
                  <c:v>-7.7903053977272929E-3</c:v>
                </c:pt>
                <c:pt idx="425">
                  <c:v>9.4743317302315111E-2</c:v>
                </c:pt>
                <c:pt idx="426">
                  <c:v>8.4081691032988903E-3</c:v>
                </c:pt>
                <c:pt idx="427">
                  <c:v>-0.10797941319500726</c:v>
                </c:pt>
                <c:pt idx="428">
                  <c:v>-4.4340458396747273E-2</c:v>
                </c:pt>
                <c:pt idx="429">
                  <c:v>9.6028142901285474E-3</c:v>
                </c:pt>
                <c:pt idx="430">
                  <c:v>-5.2772218952324979E-2</c:v>
                </c:pt>
                <c:pt idx="431">
                  <c:v>3.0869797556762446E-2</c:v>
                </c:pt>
                <c:pt idx="432">
                  <c:v>-2.2422876155802851E-2</c:v>
                </c:pt>
                <c:pt idx="433">
                  <c:v>6.1696119174754482E-2</c:v>
                </c:pt>
                <c:pt idx="434">
                  <c:v>4.3975189908704415E-2</c:v>
                </c:pt>
                <c:pt idx="435">
                  <c:v>1.2550066755674383E-2</c:v>
                </c:pt>
                <c:pt idx="436">
                  <c:v>4.5259757383966148E-2</c:v>
                </c:pt>
                <c:pt idx="437">
                  <c:v>-8.6084918056913429E-2</c:v>
                </c:pt>
                <c:pt idx="438">
                  <c:v>-2.0163794888311215E-2</c:v>
                </c:pt>
                <c:pt idx="439">
                  <c:v>-1.5695251511416375E-2</c:v>
                </c:pt>
                <c:pt idx="440">
                  <c:v>1.2808892281270801E-2</c:v>
                </c:pt>
                <c:pt idx="441">
                  <c:v>-9.2437766420950807E-3</c:v>
                </c:pt>
                <c:pt idx="442">
                  <c:v>-8.4112816002472113E-2</c:v>
                </c:pt>
                <c:pt idx="443">
                  <c:v>-1.2237217752400831E-2</c:v>
                </c:pt>
                <c:pt idx="444">
                  <c:v>3.796786526006013E-3</c:v>
                </c:pt>
                <c:pt idx="445">
                  <c:v>-4.6593199486951176E-2</c:v>
                </c:pt>
                <c:pt idx="446">
                  <c:v>2.0591384564694337E-4</c:v>
                </c:pt>
                <c:pt idx="447">
                  <c:v>3.6590219733465101E-2</c:v>
                </c:pt>
                <c:pt idx="448">
                  <c:v>0.10683596594595324</c:v>
                </c:pt>
                <c:pt idx="449">
                  <c:v>2.199866022297714E-2</c:v>
                </c:pt>
                <c:pt idx="450">
                  <c:v>-5.8617662550477068E-2</c:v>
                </c:pt>
                <c:pt idx="451">
                  <c:v>-0.10541236152038491</c:v>
                </c:pt>
                <c:pt idx="452">
                  <c:v>7.0313694422438067E-2</c:v>
                </c:pt>
                <c:pt idx="453">
                  <c:v>-4.3852586744234534E-2</c:v>
                </c:pt>
                <c:pt idx="454">
                  <c:v>-6.3424372886419222E-3</c:v>
                </c:pt>
                <c:pt idx="455">
                  <c:v>7.9000601388661273E-3</c:v>
                </c:pt>
                <c:pt idx="456">
                  <c:v>6.6583493802718774E-3</c:v>
                </c:pt>
                <c:pt idx="457">
                  <c:v>5.2712405533926976E-2</c:v>
                </c:pt>
                <c:pt idx="458">
                  <c:v>0.10024825326952103</c:v>
                </c:pt>
                <c:pt idx="459">
                  <c:v>9.3568271691091054E-2</c:v>
                </c:pt>
                <c:pt idx="460">
                  <c:v>3.7660196756181819E-2</c:v>
                </c:pt>
                <c:pt idx="461">
                  <c:v>6.0523133058647538E-2</c:v>
                </c:pt>
                <c:pt idx="462">
                  <c:v>0.1260449787863267</c:v>
                </c:pt>
                <c:pt idx="463">
                  <c:v>-2.5190322109979291E-2</c:v>
                </c:pt>
                <c:pt idx="464">
                  <c:v>-1.7080772684850976E-3</c:v>
                </c:pt>
                <c:pt idx="465">
                  <c:v>-1.8873915190854573E-3</c:v>
                </c:pt>
                <c:pt idx="466">
                  <c:v>-2.2665017230714901E-2</c:v>
                </c:pt>
                <c:pt idx="467">
                  <c:v>7.9607612675737904E-2</c:v>
                </c:pt>
                <c:pt idx="468">
                  <c:v>1.3399212796261217E-4</c:v>
                </c:pt>
                <c:pt idx="469">
                  <c:v>5.3924606032187405E-2</c:v>
                </c:pt>
                <c:pt idx="470">
                  <c:v>3.4663848855131629E-2</c:v>
                </c:pt>
                <c:pt idx="471">
                  <c:v>-6.2697248692687446E-2</c:v>
                </c:pt>
                <c:pt idx="472">
                  <c:v>-7.3567964346572534E-3</c:v>
                </c:pt>
                <c:pt idx="473">
                  <c:v>-7.238004060544978E-3</c:v>
                </c:pt>
                <c:pt idx="474">
                  <c:v>-3.3627347471506197E-2</c:v>
                </c:pt>
                <c:pt idx="475">
                  <c:v>3.3524310932177226E-2</c:v>
                </c:pt>
                <c:pt idx="476">
                  <c:v>5.089852756344615E-2</c:v>
                </c:pt>
                <c:pt idx="477">
                  <c:v>2.1274236471930053E-2</c:v>
                </c:pt>
                <c:pt idx="478">
                  <c:v>-8.8799615330924508E-3</c:v>
                </c:pt>
                <c:pt idx="479">
                  <c:v>3.7809964240162142E-2</c:v>
                </c:pt>
                <c:pt idx="480">
                  <c:v>5.5417744233916544E-3</c:v>
                </c:pt>
                <c:pt idx="481">
                  <c:v>5.7511772292372587E-2</c:v>
                </c:pt>
                <c:pt idx="482">
                  <c:v>-2.0066083355786413E-3</c:v>
                </c:pt>
                <c:pt idx="483">
                  <c:v>5.3711874160751183E-3</c:v>
                </c:pt>
                <c:pt idx="484">
                  <c:v>7.6872522207382055E-2</c:v>
                </c:pt>
                <c:pt idx="485">
                  <c:v>1.2639039275519348E-2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2-47BF-A12E-C040C267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231648"/>
        <c:axId val="623236744"/>
      </c:lineChart>
      <c:dateAx>
        <c:axId val="623231648"/>
        <c:scaling>
          <c:orientation val="minMax"/>
        </c:scaling>
        <c:delete val="0"/>
        <c:axPos val="b"/>
        <c:numFmt formatCode="yyyy/mm;@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6744"/>
        <c:crosses val="autoZero"/>
        <c:auto val="1"/>
        <c:lblOffset val="100"/>
        <c:baseTimeUnit val="months"/>
      </c:dateAx>
      <c:valAx>
        <c:axId val="62323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3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密度ヒストグラム</c:v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'演習2(解答例A)'!$G$2:$G$24</c:f>
              <c:numCache>
                <c:formatCode>0.0%</c:formatCode>
                <c:ptCount val="23"/>
                <c:pt idx="0">
                  <c:v>-0.2041672365841426</c:v>
                </c:pt>
                <c:pt idx="1">
                  <c:v>-0.18663567576507079</c:v>
                </c:pt>
                <c:pt idx="2">
                  <c:v>-0.16910411494599897</c:v>
                </c:pt>
                <c:pt idx="3">
                  <c:v>-0.15157255412692716</c:v>
                </c:pt>
                <c:pt idx="4">
                  <c:v>-0.13404099330785535</c:v>
                </c:pt>
                <c:pt idx="5">
                  <c:v>-0.11650943248878355</c:v>
                </c:pt>
                <c:pt idx="6">
                  <c:v>-9.8977871669711753E-2</c:v>
                </c:pt>
                <c:pt idx="7">
                  <c:v>-8.1446310850639941E-2</c:v>
                </c:pt>
                <c:pt idx="8">
                  <c:v>-6.3914750031568129E-2</c:v>
                </c:pt>
                <c:pt idx="9">
                  <c:v>-4.6383189212496317E-2</c:v>
                </c:pt>
                <c:pt idx="10">
                  <c:v>-2.8851628393424505E-2</c:v>
                </c:pt>
                <c:pt idx="11">
                  <c:v>-1.1320067574352694E-2</c:v>
                </c:pt>
                <c:pt idx="12">
                  <c:v>6.2114932447190907E-3</c:v>
                </c:pt>
                <c:pt idx="13">
                  <c:v>2.3743054063790903E-2</c:v>
                </c:pt>
                <c:pt idx="14">
                  <c:v>4.1274614882862715E-2</c:v>
                </c:pt>
                <c:pt idx="15">
                  <c:v>5.8806175701934527E-2</c:v>
                </c:pt>
                <c:pt idx="16">
                  <c:v>7.6337736521006339E-2</c:v>
                </c:pt>
                <c:pt idx="17">
                  <c:v>9.3869297340078151E-2</c:v>
                </c:pt>
                <c:pt idx="18">
                  <c:v>0.11140085815914996</c:v>
                </c:pt>
                <c:pt idx="19">
                  <c:v>0.12893241897822177</c:v>
                </c:pt>
                <c:pt idx="20">
                  <c:v>0.14646397979729359</c:v>
                </c:pt>
                <c:pt idx="21">
                  <c:v>0.1639955406163654</c:v>
                </c:pt>
                <c:pt idx="22">
                  <c:v>0.18152710143543721</c:v>
                </c:pt>
              </c:numCache>
            </c:numRef>
          </c:cat>
          <c:val>
            <c:numRef>
              <c:f>'演習2(解答例A)'!$J$2:$J$24</c:f>
              <c:numCache>
                <c:formatCode>0.00</c:formatCode>
                <c:ptCount val="23"/>
                <c:pt idx="0">
                  <c:v>0.1173662282530996</c:v>
                </c:pt>
                <c:pt idx="1">
                  <c:v>0.1173662282530996</c:v>
                </c:pt>
                <c:pt idx="2">
                  <c:v>0</c:v>
                </c:pt>
                <c:pt idx="3">
                  <c:v>0.1173662282530996</c:v>
                </c:pt>
                <c:pt idx="4">
                  <c:v>0</c:v>
                </c:pt>
                <c:pt idx="5">
                  <c:v>0.58683114126549796</c:v>
                </c:pt>
                <c:pt idx="6">
                  <c:v>0.58683114126549796</c:v>
                </c:pt>
                <c:pt idx="7">
                  <c:v>1.0562960542778963</c:v>
                </c:pt>
                <c:pt idx="8">
                  <c:v>1.995225880302693</c:v>
                </c:pt>
                <c:pt idx="9">
                  <c:v>3.4036206193398879</c:v>
                </c:pt>
                <c:pt idx="10">
                  <c:v>4.8120153583770833</c:v>
                </c:pt>
                <c:pt idx="11">
                  <c:v>5.6335789561487797</c:v>
                </c:pt>
                <c:pt idx="12">
                  <c:v>11.149791684044461</c:v>
                </c:pt>
                <c:pt idx="13">
                  <c:v>8.8024671189824684</c:v>
                </c:pt>
                <c:pt idx="14">
                  <c:v>6.5725087821735775</c:v>
                </c:pt>
                <c:pt idx="15">
                  <c:v>5.6335789561487797</c:v>
                </c:pt>
                <c:pt idx="16">
                  <c:v>2.2299583368088922</c:v>
                </c:pt>
                <c:pt idx="17">
                  <c:v>1.6431271955433944</c:v>
                </c:pt>
                <c:pt idx="18">
                  <c:v>1.0562960542778963</c:v>
                </c:pt>
                <c:pt idx="19">
                  <c:v>0.70419736951859746</c:v>
                </c:pt>
                <c:pt idx="20">
                  <c:v>0.58683114126549796</c:v>
                </c:pt>
                <c:pt idx="21">
                  <c:v>0.1173662282530996</c:v>
                </c:pt>
                <c:pt idx="22">
                  <c:v>0.1173662282530996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D-45FE-AEE1-620FA318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3242232"/>
        <c:axId val="623245760"/>
      </c:barChart>
      <c:scatterChart>
        <c:scatterStyle val="smoothMarker"/>
        <c:varyColors val="0"/>
        <c:ser>
          <c:idx val="1"/>
          <c:order val="1"/>
          <c:tx>
            <c:v>フィッティングした正規分布の密度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'演習2(解答例A)'!$K$2:$K$24</c:f>
              <c:numCache>
                <c:formatCode>0.00</c:formatCode>
                <c:ptCount val="23"/>
                <c:pt idx="0">
                  <c:v>1.938064785864773E-3</c:v>
                </c:pt>
                <c:pt idx="1">
                  <c:v>7.3555513390391311E-3</c:v>
                </c:pt>
                <c:pt idx="2">
                  <c:v>2.4839308700630672E-2</c:v>
                </c:pt>
                <c:pt idx="3">
                  <c:v>7.4634755103783312E-2</c:v>
                </c:pt>
                <c:pt idx="4">
                  <c:v>0.19953544447224522</c:v>
                </c:pt>
                <c:pt idx="5">
                  <c:v>0.47465310564903135</c:v>
                </c:pt>
                <c:pt idx="6">
                  <c:v>1.0046387705631836</c:v>
                </c:pt>
                <c:pt idx="7">
                  <c:v>1.8919988804585777</c:v>
                </c:pt>
                <c:pt idx="8">
                  <c:v>3.1703641566239473</c:v>
                </c:pt>
                <c:pt idx="9">
                  <c:v>4.7268819573659</c:v>
                </c:pt>
                <c:pt idx="10">
                  <c:v>6.2707241714581485</c:v>
                </c:pt>
                <c:pt idx="11">
                  <c:v>7.4018106753753061</c:v>
                </c:pt>
                <c:pt idx="12">
                  <c:v>7.7738396865915815</c:v>
                </c:pt>
                <c:pt idx="13">
                  <c:v>7.2645801808730406</c:v>
                </c:pt>
                <c:pt idx="14">
                  <c:v>6.040359627690445</c:v>
                </c:pt>
                <c:pt idx="15">
                  <c:v>4.4688152893235706</c:v>
                </c:pt>
                <c:pt idx="16">
                  <c:v>2.9417065376414957</c:v>
                </c:pt>
                <c:pt idx="17">
                  <c:v>1.7229934263835975</c:v>
                </c:pt>
                <c:pt idx="18">
                  <c:v>0.89793567982526978</c:v>
                </c:pt>
                <c:pt idx="19">
                  <c:v>0.41637454432209969</c:v>
                </c:pt>
                <c:pt idx="20">
                  <c:v>0.17179101492214735</c:v>
                </c:pt>
                <c:pt idx="21">
                  <c:v>6.3065821013266118E-2</c:v>
                </c:pt>
                <c:pt idx="22">
                  <c:v>2.0599894479440703E-2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3D-45FE-AEE1-620FA3188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242232"/>
        <c:axId val="623245760"/>
      </c:scatterChart>
      <c:catAx>
        <c:axId val="623242232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45760"/>
        <c:crosses val="autoZero"/>
        <c:auto val="1"/>
        <c:lblAlgn val="ctr"/>
        <c:lblOffset val="100"/>
        <c:noMultiLvlLbl val="0"/>
      </c:catAx>
      <c:valAx>
        <c:axId val="6232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42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'演習3(解答例)'!$B$4</c:f>
              <c:strCache>
                <c:ptCount val="1"/>
                <c:pt idx="0">
                  <c:v>f(R)
(密度
関数)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'演習3(解答例)'!$A$5:$A$29</c:f>
              <c:numCache>
                <c:formatCode>#,##0.00_ </c:formatCode>
                <c:ptCount val="25"/>
                <c:pt idx="0">
                  <c:v>-0.35</c:v>
                </c:pt>
                <c:pt idx="1">
                  <c:v>-0.3</c:v>
                </c:pt>
                <c:pt idx="2">
                  <c:v>-0.25</c:v>
                </c:pt>
                <c:pt idx="3">
                  <c:v>-0.2</c:v>
                </c:pt>
                <c:pt idx="4">
                  <c:v>-0.15</c:v>
                </c:pt>
                <c:pt idx="5">
                  <c:v>-0.1</c:v>
                </c:pt>
                <c:pt idx="6">
                  <c:v>-0.05</c:v>
                </c:pt>
                <c:pt idx="7">
                  <c:v>0</c:v>
                </c:pt>
                <c:pt idx="8">
                  <c:v>0.05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0.25</c:v>
                </c:pt>
                <c:pt idx="13">
                  <c:v>0.3</c:v>
                </c:pt>
                <c:pt idx="14">
                  <c:v>0.35</c:v>
                </c:pt>
                <c:pt idx="15">
                  <c:v>0.4</c:v>
                </c:pt>
                <c:pt idx="16">
                  <c:v>0.45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0.75</c:v>
                </c:pt>
                <c:pt idx="23">
                  <c:v>0.8</c:v>
                </c:pt>
                <c:pt idx="24">
                  <c:v>0.85</c:v>
                </c:pt>
              </c:numCache>
            </c:numRef>
          </c:xVal>
          <c:yVal>
            <c:numRef>
              <c:f>'演習3(解答例)'!$B$5:$B$29</c:f>
              <c:numCache>
                <c:formatCode>#,##0.00_ </c:formatCode>
                <c:ptCount val="25"/>
                <c:pt idx="0">
                  <c:v>0.17996988837729355</c:v>
                </c:pt>
                <c:pt idx="1">
                  <c:v>0.24770387852997691</c:v>
                </c:pt>
                <c:pt idx="2">
                  <c:v>0.33159046264249559</c:v>
                </c:pt>
                <c:pt idx="3">
                  <c:v>0.43172531888630583</c:v>
                </c:pt>
                <c:pt idx="4">
                  <c:v>0.54670024891997859</c:v>
                </c:pt>
                <c:pt idx="5">
                  <c:v>0.67332895184686292</c:v>
                </c:pt>
                <c:pt idx="6">
                  <c:v>0.80656908173047792</c:v>
                </c:pt>
                <c:pt idx="7">
                  <c:v>0.93970625136767516</c:v>
                </c:pt>
                <c:pt idx="8">
                  <c:v>1.0648266850745074</c:v>
                </c:pt>
                <c:pt idx="9">
                  <c:v>1.1735510892143317</c:v>
                </c:pt>
                <c:pt idx="10">
                  <c:v>1.2579440923099772</c:v>
                </c:pt>
                <c:pt idx="11">
                  <c:v>1.3114657203397997</c:v>
                </c:pt>
                <c:pt idx="12">
                  <c:v>1.329807601338109</c:v>
                </c:pt>
                <c:pt idx="13">
                  <c:v>1.3114657203397997</c:v>
                </c:pt>
                <c:pt idx="14">
                  <c:v>1.2579440923099774</c:v>
                </c:pt>
                <c:pt idx="15">
                  <c:v>1.1735510892143317</c:v>
                </c:pt>
                <c:pt idx="16">
                  <c:v>1.0648266850745074</c:v>
                </c:pt>
                <c:pt idx="17">
                  <c:v>0.93970625136767516</c:v>
                </c:pt>
                <c:pt idx="18">
                  <c:v>0.80656908173047781</c:v>
                </c:pt>
                <c:pt idx="19">
                  <c:v>0.67332895184686292</c:v>
                </c:pt>
                <c:pt idx="20">
                  <c:v>0.54670024891997859</c:v>
                </c:pt>
                <c:pt idx="21">
                  <c:v>0.43172531888630583</c:v>
                </c:pt>
                <c:pt idx="22">
                  <c:v>0.33159046264249559</c:v>
                </c:pt>
                <c:pt idx="23">
                  <c:v>0.24770387852997691</c:v>
                </c:pt>
                <c:pt idx="24">
                  <c:v>0.17996988837729355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5-46FA-BE05-810D071B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244976"/>
        <c:axId val="623246936"/>
      </c:scatterChart>
      <c:valAx>
        <c:axId val="62324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46936"/>
        <c:crosses val="autoZero"/>
        <c:crossBetween val="midCat"/>
      </c:valAx>
      <c:valAx>
        <c:axId val="62324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4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'演習3(解答例)'!$A$5:$A$29</c:f>
              <c:numCache>
                <c:formatCode>#,##0.00_ </c:formatCode>
                <c:ptCount val="25"/>
                <c:pt idx="0">
                  <c:v>-0.35</c:v>
                </c:pt>
                <c:pt idx="1">
                  <c:v>-0.3</c:v>
                </c:pt>
                <c:pt idx="2">
                  <c:v>-0.25</c:v>
                </c:pt>
                <c:pt idx="3">
                  <c:v>-0.2</c:v>
                </c:pt>
                <c:pt idx="4">
                  <c:v>-0.15</c:v>
                </c:pt>
                <c:pt idx="5">
                  <c:v>-0.1</c:v>
                </c:pt>
                <c:pt idx="6">
                  <c:v>-0.05</c:v>
                </c:pt>
                <c:pt idx="7">
                  <c:v>0</c:v>
                </c:pt>
                <c:pt idx="8">
                  <c:v>0.05</c:v>
                </c:pt>
                <c:pt idx="9">
                  <c:v>0.1</c:v>
                </c:pt>
                <c:pt idx="10">
                  <c:v>0.15</c:v>
                </c:pt>
                <c:pt idx="11">
                  <c:v>0.2</c:v>
                </c:pt>
                <c:pt idx="12">
                  <c:v>0.25</c:v>
                </c:pt>
                <c:pt idx="13">
                  <c:v>0.3</c:v>
                </c:pt>
                <c:pt idx="14">
                  <c:v>0.35</c:v>
                </c:pt>
                <c:pt idx="15">
                  <c:v>0.4</c:v>
                </c:pt>
                <c:pt idx="16">
                  <c:v>0.45</c:v>
                </c:pt>
                <c:pt idx="17">
                  <c:v>0.5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0.65</c:v>
                </c:pt>
                <c:pt idx="21">
                  <c:v>0.7</c:v>
                </c:pt>
                <c:pt idx="22">
                  <c:v>0.75</c:v>
                </c:pt>
                <c:pt idx="23">
                  <c:v>0.8</c:v>
                </c:pt>
                <c:pt idx="24">
                  <c:v>0.85</c:v>
                </c:pt>
              </c:numCache>
            </c:numRef>
          </c:xVal>
          <c:yVal>
            <c:numRef>
              <c:f>'演習3(解答例)'!$C$5:$C$29</c:f>
              <c:numCache>
                <c:formatCode>#,##0.00_ </c:formatCode>
                <c:ptCount val="25"/>
                <c:pt idx="0">
                  <c:v>2.2750131948179191E-2</c:v>
                </c:pt>
                <c:pt idx="1">
                  <c:v>3.3376507584817229E-2</c:v>
                </c:pt>
                <c:pt idx="2">
                  <c:v>4.7790352272814703E-2</c:v>
                </c:pt>
                <c:pt idx="3">
                  <c:v>6.6807201268858057E-2</c:v>
                </c:pt>
                <c:pt idx="4">
                  <c:v>9.1211219725867806E-2</c:v>
                </c:pt>
                <c:pt idx="5">
                  <c:v>0.12167250457438125</c:v>
                </c:pt>
                <c:pt idx="6">
                  <c:v>0.15865525393145699</c:v>
                </c:pt>
                <c:pt idx="7">
                  <c:v>0.20232838096364303</c:v>
                </c:pt>
                <c:pt idx="8">
                  <c:v>0.2524925375469228</c:v>
                </c:pt>
                <c:pt idx="9">
                  <c:v>0.30853753872598688</c:v>
                </c:pt>
                <c:pt idx="10">
                  <c:v>0.36944134018176356</c:v>
                </c:pt>
                <c:pt idx="11">
                  <c:v>0.43381616738909634</c:v>
                </c:pt>
                <c:pt idx="12">
                  <c:v>0.5</c:v>
                </c:pt>
                <c:pt idx="13">
                  <c:v>0.56618383261090366</c:v>
                </c:pt>
                <c:pt idx="14">
                  <c:v>0.63055865981823633</c:v>
                </c:pt>
                <c:pt idx="15">
                  <c:v>0.69146246127401312</c:v>
                </c:pt>
                <c:pt idx="16">
                  <c:v>0.7475074624530772</c:v>
                </c:pt>
                <c:pt idx="17">
                  <c:v>0.79767161903635697</c:v>
                </c:pt>
                <c:pt idx="18">
                  <c:v>0.84134474606854304</c:v>
                </c:pt>
                <c:pt idx="19">
                  <c:v>0.87832749542561872</c:v>
                </c:pt>
                <c:pt idx="20">
                  <c:v>0.90878878027413224</c:v>
                </c:pt>
                <c:pt idx="21">
                  <c:v>0.93319279873114191</c:v>
                </c:pt>
                <c:pt idx="22">
                  <c:v>0.9522096477271853</c:v>
                </c:pt>
                <c:pt idx="23">
                  <c:v>0.96662349241518275</c:v>
                </c:pt>
                <c:pt idx="24">
                  <c:v>0.97724986805182079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0-4518-9AF4-BD04850B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96408"/>
        <c:axId val="257597192"/>
      </c:scatterChart>
      <c:valAx>
        <c:axId val="25759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97192"/>
        <c:crosses val="autoZero"/>
        <c:crossBetween val="midCat"/>
      </c:valAx>
      <c:valAx>
        <c:axId val="25759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96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2"/>
  <sheetViews>
    <sheetView zoomScale="177" workbookViewId="0" zoomToFit="1" xr3:uid="{958C4451-9541-5A59-BF78-D2F731DF1C81}"/>
  </sheetViews>
  <pageMargins left="0.7" right="0.7" top="0.75" bottom="0.75" header="0.3" footer="0.3"/>
  <pageSetup paperSize="9" orientation="landscape" horizontalDpi="0" verticalDpi="0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5"/>
  <sheetViews>
    <sheetView zoomScale="177" workbookViewId="0" zoomToFit="1" xr3:uid="{F9CF3CF3-643B-5BE6-8B46-32C596A47465}"/>
  </sheetViews>
  <pageMargins left="0.7" right="0.7" top="0.75" bottom="0.75" header="0.3" footer="0.3"/>
  <pageSetup paperSize="9" orientation="landscape" horizontalDpi="0" verticalDpi="0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8"/>
  <sheetViews>
    <sheetView zoomScale="177" workbookViewId="0" zoomToFit="1" xr3:uid="{85D5C41F-068E-5C55-9968-509E7C2A5619}"/>
  </sheetViews>
  <pageMargins left="0.7" right="0.7" top="0.75" bottom="0.75" header="0.3" footer="0.3"/>
  <pageSetup paperSize="9" orientation="landscape" horizontalDpi="0" verticalDpi="0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9"/>
  <sheetViews>
    <sheetView zoomScale="177" workbookViewId="0" zoomToFit="1" xr3:uid="{44B22561-5205-5C8A-B808-2C70100D228F}"/>
  </sheetViews>
  <pageMargins left="0.7" right="0.7" top="0.75" bottom="0.75" header="0.3" footer="0.3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0.04269</cdr:x>
      <cdr:y>0.02907</cdr:y>
    </cdr:from>
    <cdr:to>
      <cdr:x>0.07844</cdr:x>
      <cdr:y>0.25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396875" y="176389"/>
          <a:ext cx="332316" cy="134055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vert="eaVert" wrap="none" rtlCol="0" anchor="ctr"/>
        <a:lstStyle xmlns:a="http://schemas.openxmlformats.org/drawingml/2006/main"/>
        <a:p xmlns:a="http://schemas.openxmlformats.org/drawingml/2006/main">
          <a:pPr algn="ctr"/>
          <a:r>
            <a:rPr lang="ja-JP" altLang="en-US" sz="1100"/>
            <a:t>レート・リターン </a:t>
          </a:r>
          <a:r>
            <a:rPr lang="en-US" altLang="ja-JP" sz="1100"/>
            <a:t>(%)</a:t>
          </a:r>
          <a:endParaRPr lang="ja-JP" alt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11</xdr:row>
      <xdr:rowOff>9525</xdr:rowOff>
    </xdr:from>
    <xdr:to>
      <xdr:col>5</xdr:col>
      <xdr:colOff>659625</xdr:colOff>
      <xdr:row>12</xdr:row>
      <xdr:rowOff>179025</xdr:rowOff>
    </xdr:to>
    <xdr:sp macro="" textlink="">
      <xdr:nvSpPr>
        <xdr:cNvPr id="2" name="右矢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76500" y="2276475"/>
          <a:ext cx="612000" cy="360000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114300</xdr:colOff>
      <xdr:row>25</xdr:row>
      <xdr:rowOff>57150</xdr:rowOff>
    </xdr:from>
    <xdr:ext cx="2033955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600200" y="4991100"/>
          <a:ext cx="2033955" cy="275717"/>
        </a:xfrm>
        <a:prstGeom prst="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セル</a:t>
          </a:r>
          <a:r>
            <a:rPr kumimoji="1" lang="en-US" altLang="ja-JP" sz="1100"/>
            <a:t>G24</a:t>
          </a:r>
          <a:r>
            <a:rPr kumimoji="1" lang="ja-JP" altLang="en-US" sz="1100"/>
            <a:t>にて、</a:t>
          </a:r>
          <a:r>
            <a:rPr kumimoji="1" lang="en-US" altLang="ja-JP" sz="1100"/>
            <a:t>=G23+H28</a:t>
          </a:r>
          <a:r>
            <a:rPr kumimoji="1" lang="ja-JP" altLang="en-US" sz="1100"/>
            <a:t>と入力</a:t>
          </a:r>
        </a:p>
      </xdr:txBody>
    </xdr:sp>
    <xdr:clientData/>
  </xdr:oneCellAnchor>
  <xdr:twoCellAnchor>
    <xdr:from>
      <xdr:col>5</xdr:col>
      <xdr:colOff>188302</xdr:colOff>
      <xdr:row>23</xdr:row>
      <xdr:rowOff>95251</xdr:rowOff>
    </xdr:from>
    <xdr:to>
      <xdr:col>5</xdr:col>
      <xdr:colOff>666749</xdr:colOff>
      <xdr:row>25</xdr:row>
      <xdr:rowOff>57151</xdr:rowOff>
    </xdr:to>
    <xdr:cxnSp macro="">
      <xdr:nvCxnSpPr>
        <xdr:cNvPr id="4" name="カギ線コネクタ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>
          <a:stCxn id="3" idx="0"/>
        </xdr:cNvCxnSpPr>
      </xdr:nvCxnSpPr>
      <xdr:spPr>
        <a:xfrm rot="5400000" flipH="1" flipV="1">
          <a:off x="2684951" y="4580427"/>
          <a:ext cx="342900" cy="478447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609600</xdr:colOff>
      <xdr:row>29</xdr:row>
      <xdr:rowOff>9525</xdr:rowOff>
    </xdr:from>
    <xdr:ext cx="2006896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038475" y="5705475"/>
          <a:ext cx="2006896" cy="275717"/>
        </a:xfrm>
        <a:prstGeom prst="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セル</a:t>
          </a:r>
          <a:r>
            <a:rPr kumimoji="1" lang="en-US" altLang="ja-JP" sz="1100"/>
            <a:t>H28</a:t>
          </a:r>
          <a:r>
            <a:rPr kumimoji="1" lang="ja-JP" altLang="en-US" sz="1100"/>
            <a:t>にて、</a:t>
          </a:r>
          <a:r>
            <a:rPr kumimoji="1" lang="en-US" altLang="ja-JP" sz="1100"/>
            <a:t>=G23-G22</a:t>
          </a:r>
          <a:r>
            <a:rPr kumimoji="1" lang="ja-JP" altLang="en-US" sz="1100"/>
            <a:t>と入力</a:t>
          </a:r>
        </a:p>
      </xdr:txBody>
    </xdr:sp>
    <xdr:clientData/>
  </xdr:oneCellAnchor>
  <xdr:twoCellAnchor>
    <xdr:from>
      <xdr:col>7</xdr:col>
      <xdr:colOff>298598</xdr:colOff>
      <xdr:row>27</xdr:row>
      <xdr:rowOff>180975</xdr:rowOff>
    </xdr:from>
    <xdr:to>
      <xdr:col>7</xdr:col>
      <xdr:colOff>304800</xdr:colOff>
      <xdr:row>29</xdr:row>
      <xdr:rowOff>9525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>
          <a:stCxn id="5" idx="0"/>
        </xdr:cNvCxnSpPr>
      </xdr:nvCxnSpPr>
      <xdr:spPr>
        <a:xfrm flipV="1">
          <a:off x="4041923" y="5495925"/>
          <a:ext cx="6202" cy="2095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36295</xdr:colOff>
      <xdr:row>0</xdr:row>
      <xdr:rowOff>127022</xdr:rowOff>
    </xdr:from>
    <xdr:to>
      <xdr:col>17</xdr:col>
      <xdr:colOff>120723</xdr:colOff>
      <xdr:row>16</xdr:row>
      <xdr:rowOff>85141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2870" y="127022"/>
          <a:ext cx="4199228" cy="3177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11</xdr:row>
      <xdr:rowOff>9525</xdr:rowOff>
    </xdr:from>
    <xdr:to>
      <xdr:col>5</xdr:col>
      <xdr:colOff>659625</xdr:colOff>
      <xdr:row>12</xdr:row>
      <xdr:rowOff>179025</xdr:rowOff>
    </xdr:to>
    <xdr:sp macro="" textlink="">
      <xdr:nvSpPr>
        <xdr:cNvPr id="2" name="右矢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76500" y="2276475"/>
          <a:ext cx="612000" cy="360000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114300</xdr:colOff>
      <xdr:row>25</xdr:row>
      <xdr:rowOff>57150</xdr:rowOff>
    </xdr:from>
    <xdr:ext cx="2033955" cy="275717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600200" y="4991100"/>
          <a:ext cx="2033955" cy="275717"/>
        </a:xfrm>
        <a:prstGeom prst="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セル</a:t>
          </a:r>
          <a:r>
            <a:rPr kumimoji="1" lang="en-US" altLang="ja-JP" sz="1100"/>
            <a:t>G24</a:t>
          </a:r>
          <a:r>
            <a:rPr kumimoji="1" lang="ja-JP" altLang="en-US" sz="1100"/>
            <a:t>にて、</a:t>
          </a:r>
          <a:r>
            <a:rPr kumimoji="1" lang="en-US" altLang="ja-JP" sz="1100"/>
            <a:t>=G23+H28</a:t>
          </a:r>
          <a:r>
            <a:rPr kumimoji="1" lang="ja-JP" altLang="en-US" sz="1100"/>
            <a:t>と入力</a:t>
          </a:r>
        </a:p>
      </xdr:txBody>
    </xdr:sp>
    <xdr:clientData/>
  </xdr:oneCellAnchor>
  <xdr:twoCellAnchor>
    <xdr:from>
      <xdr:col>5</xdr:col>
      <xdr:colOff>188302</xdr:colOff>
      <xdr:row>23</xdr:row>
      <xdr:rowOff>95251</xdr:rowOff>
    </xdr:from>
    <xdr:to>
      <xdr:col>5</xdr:col>
      <xdr:colOff>666749</xdr:colOff>
      <xdr:row>25</xdr:row>
      <xdr:rowOff>57151</xdr:rowOff>
    </xdr:to>
    <xdr:cxnSp macro="">
      <xdr:nvCxnSpPr>
        <xdr:cNvPr id="4" name="カギ線コネクタ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stCxn id="3" idx="0"/>
        </xdr:cNvCxnSpPr>
      </xdr:nvCxnSpPr>
      <xdr:spPr>
        <a:xfrm rot="5400000" flipH="1" flipV="1">
          <a:off x="2684951" y="4580427"/>
          <a:ext cx="342900" cy="478447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609600</xdr:colOff>
      <xdr:row>29</xdr:row>
      <xdr:rowOff>9525</xdr:rowOff>
    </xdr:from>
    <xdr:ext cx="2006896" cy="275717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038475" y="5705475"/>
          <a:ext cx="2006896" cy="275717"/>
        </a:xfrm>
        <a:prstGeom prst="rect">
          <a:avLst/>
        </a:prstGeom>
        <a:solidFill>
          <a:sysClr val="window" lastClr="FFFFFF"/>
        </a:solidFill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セル</a:t>
          </a:r>
          <a:r>
            <a:rPr kumimoji="1" lang="en-US" altLang="ja-JP" sz="1100"/>
            <a:t>H28</a:t>
          </a:r>
          <a:r>
            <a:rPr kumimoji="1" lang="ja-JP" altLang="en-US" sz="1100"/>
            <a:t>にて、</a:t>
          </a:r>
          <a:r>
            <a:rPr kumimoji="1" lang="en-US" altLang="ja-JP" sz="1100"/>
            <a:t>=G23-G22</a:t>
          </a:r>
          <a:r>
            <a:rPr kumimoji="1" lang="ja-JP" altLang="en-US" sz="1100"/>
            <a:t>と入力</a:t>
          </a:r>
        </a:p>
      </xdr:txBody>
    </xdr:sp>
    <xdr:clientData/>
  </xdr:oneCellAnchor>
  <xdr:twoCellAnchor>
    <xdr:from>
      <xdr:col>7</xdr:col>
      <xdr:colOff>298598</xdr:colOff>
      <xdr:row>27</xdr:row>
      <xdr:rowOff>180975</xdr:rowOff>
    </xdr:from>
    <xdr:to>
      <xdr:col>7</xdr:col>
      <xdr:colOff>304800</xdr:colOff>
      <xdr:row>29</xdr:row>
      <xdr:rowOff>9525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CxnSpPr>
          <a:stCxn id="5" idx="0"/>
        </xdr:cNvCxnSpPr>
      </xdr:nvCxnSpPr>
      <xdr:spPr>
        <a:xfrm flipV="1">
          <a:off x="4041923" y="5495925"/>
          <a:ext cx="6202" cy="2095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36295</xdr:colOff>
      <xdr:row>0</xdr:row>
      <xdr:rowOff>127022</xdr:rowOff>
    </xdr:from>
    <xdr:to>
      <xdr:col>17</xdr:col>
      <xdr:colOff>120723</xdr:colOff>
      <xdr:row>16</xdr:row>
      <xdr:rowOff>85141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2870" y="127022"/>
          <a:ext cx="4199228" cy="3177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80425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0.05053</cdr:x>
      <cdr:y>0.87042</cdr:y>
    </cdr:from>
    <cdr:to>
      <cdr:x>0.20013</cdr:x>
      <cdr:y>0.9256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470139" y="5292545"/>
          <a:ext cx="1391782" cy="335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ja-JP" altLang="en-US" sz="1100"/>
            <a:t>レート・リターン </a:t>
          </a:r>
          <a:r>
            <a:rPr lang="en-US" altLang="ja-JP" sz="1100"/>
            <a:t>(%)</a:t>
          </a:r>
          <a:endParaRPr lang="ja-JP" altLang="en-US" sz="1100"/>
        </a:p>
      </cdr:txBody>
    </cdr:sp>
  </cdr:relSizeAnchor>
  <cdr:relSizeAnchor xmlns:cdr="http://schemas.openxmlformats.org/drawingml/2006/chartDrawing">
    <cdr:from>
      <cdr:x>0.00482</cdr:x>
      <cdr:y>0.06944</cdr:y>
    </cdr:from>
    <cdr:to>
      <cdr:x>0.04626</cdr:x>
      <cdr:y>0.14059</cdr:y>
    </cdr:to>
    <cdr:sp macro="" textlink="">
      <cdr:nvSpPr>
        <cdr:cNvPr id="3" name="テキスト ボックス 1"/>
        <cdr:cNvSpPr txBox="1"/>
      </cdr:nvSpPr>
      <cdr:spPr>
        <a:xfrm xmlns:a="http://schemas.openxmlformats.org/drawingml/2006/main">
          <a:off x="44810" y="422216"/>
          <a:ext cx="385531" cy="43262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eaVert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ja-JP" altLang="en-US" sz="1100"/>
            <a:t>密度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0.65018</cdr:x>
      <cdr:y>0.85651</cdr:y>
    </cdr:from>
    <cdr:to>
      <cdr:x>0.8231</cdr:x>
      <cdr:y>0.94506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6043897" y="5197099"/>
              <a:ext cx="1607412" cy="53730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vertOverflow="clip" wrap="none" rtlCol="0" anchor="ctr"/>
            <a:lstStyle xmlns:a="http://schemas.openxmlformats.org/drawingml/2006/main"/>
            <a:p xmlns:a="http://schemas.openxmlformats.org/drawingml/2006/main">
              <a:pPr algn="ctr"/>
              <a14:m>
                <m:oMath xmlns:m="http://schemas.openxmlformats.org/officeDocument/2006/math">
                  <m:r>
                    <a:rPr lang="en-US" altLang="ja-JP" sz="1100" i="1"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ja-JP" sz="1100"/>
                <a:t> (</a:t>
              </a:r>
              <a:r>
                <a:rPr lang="ja-JP" altLang="en-US" sz="1100"/>
                <a:t>レート・リターン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Choice>
      <mc:Fallback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6043897" y="5197099"/>
              <a:ext cx="1607412" cy="53730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vertOverflow="clip" wrap="none" rtlCol="0" anchor="ctr"/>
            <a:lstStyle xmlns:a="http://schemas.openxmlformats.org/drawingml/2006/main"/>
            <a:p xmlns:a="http://schemas.openxmlformats.org/drawingml/2006/main">
              <a:pPr algn="ctr"/>
              <a:r>
                <a:rPr lang="en-US" altLang="ja-JP" sz="1100" i="0">
                  <a:latin typeface="Cambria Math" panose="02040503050406030204" pitchFamily="18" charset="0"/>
                </a:rPr>
                <a:t>𝑅</a:t>
              </a:r>
              <a:r>
                <a:rPr lang="en-US" altLang="ja-JP" sz="1100"/>
                <a:t> (</a:t>
              </a:r>
              <a:r>
                <a:rPr lang="ja-JP" altLang="en-US" sz="1100"/>
                <a:t>レート・リターン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0.15903</cdr:x>
      <cdr:y>0.06713</cdr:y>
    </cdr:from>
    <cdr:to>
      <cdr:x>0.33194</cdr:x>
      <cdr:y>0.15567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727075" y="184150"/>
              <a:ext cx="790575" cy="24288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14:m>
                <m:oMath xmlns:m="http://schemas.openxmlformats.org/officeDocument/2006/math">
                  <m:r>
                    <a:rPr lang="en-US" altLang="ja-JP" sz="1100" i="1">
                      <a:latin typeface="Cambria Math" panose="02040503050406030204" pitchFamily="18" charset="0"/>
                    </a:rPr>
                    <m:t>𝑓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(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altLang="ja-JP" sz="1100" i="1"/>
                <a:t> </a:t>
              </a:r>
              <a:r>
                <a:rPr lang="en-US" altLang="ja-JP" sz="1100"/>
                <a:t>(</a:t>
              </a:r>
              <a:r>
                <a:rPr lang="ja-JP" altLang="en-US" sz="1100"/>
                <a:t>密度関数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Choice>
      <mc:Fallback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727075" y="184150"/>
              <a:ext cx="790575" cy="242888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altLang="ja-JP" sz="1100" i="0">
                  <a:latin typeface="Cambria Math" panose="02040503050406030204" pitchFamily="18" charset="0"/>
                </a:rPr>
                <a:t>𝑓(𝑅)</a:t>
              </a:r>
              <a:r>
                <a:rPr lang="en-US" altLang="ja-JP" sz="1100" i="1"/>
                <a:t> </a:t>
              </a:r>
              <a:r>
                <a:rPr lang="en-US" altLang="ja-JP" sz="1100"/>
                <a:t>(</a:t>
              </a:r>
              <a:r>
                <a:rPr lang="ja-JP" altLang="en-US" sz="1100"/>
                <a:t>密度関数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03349" cy="607443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0.65158</cdr:x>
      <cdr:y>0.8543</cdr:y>
    </cdr:from>
    <cdr:to>
      <cdr:x>0.8245</cdr:x>
      <cdr:y>0.94285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6056843" y="5183717"/>
              <a:ext cx="1607412" cy="53730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14:m>
                <m:oMath xmlns:m="http://schemas.openxmlformats.org/officeDocument/2006/math">
                  <m:r>
                    <a:rPr lang="en-US" altLang="ja-JP" sz="1100" i="1">
                      <a:latin typeface="Cambria Math" panose="02040503050406030204" pitchFamily="18" charset="0"/>
                    </a:rPr>
                    <m:t>𝑅</m:t>
                  </m:r>
                </m:oMath>
              </a14:m>
              <a:r>
                <a:rPr lang="en-US" altLang="ja-JP" sz="1100"/>
                <a:t> (</a:t>
              </a:r>
              <a:r>
                <a:rPr lang="ja-JP" altLang="en-US" sz="1100"/>
                <a:t>レート・リターン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Choice>
      <mc:Fallback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6056843" y="5183717"/>
              <a:ext cx="1607412" cy="537302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altLang="ja-JP" sz="1100" i="0">
                  <a:latin typeface="Cambria Math" panose="02040503050406030204" pitchFamily="18" charset="0"/>
                </a:rPr>
                <a:t>𝑅</a:t>
              </a:r>
              <a:r>
                <a:rPr lang="en-US" altLang="ja-JP" sz="1100"/>
                <a:t> (</a:t>
              </a:r>
              <a:r>
                <a:rPr lang="ja-JP" altLang="en-US" sz="1100"/>
                <a:t>レート・リターン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0.1497</cdr:x>
      <cdr:y>0.08331</cdr:y>
    </cdr:from>
    <cdr:to>
      <cdr:x>0.32261</cdr:x>
      <cdr:y>0.17185</cdr:y>
    </cdr:to>
    <mc:AlternateContent xmlns:mc="http://schemas.openxmlformats.org/markup-compatibility/2006">
      <mc:Choice xmlns:a14="http://schemas.microsoft.com/office/drawing/2010/main"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1392687" y="506083"/>
              <a:ext cx="1608642" cy="53783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14:m>
                <m:oMath xmlns:m="http://schemas.openxmlformats.org/officeDocument/2006/math">
                  <m:r>
                    <a:rPr lang="en-US" altLang="ja-JP" sz="1100" b="0" i="1">
                      <a:latin typeface="Cambria Math" panose="02040503050406030204" pitchFamily="18" charset="0"/>
                    </a:rPr>
                    <m:t>𝐹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(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altLang="ja-JP" sz="110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r>
                <a:rPr lang="en-US" altLang="ja-JP" sz="1100" i="1"/>
                <a:t> </a:t>
              </a:r>
              <a:r>
                <a:rPr lang="en-US" altLang="ja-JP" sz="1100"/>
                <a:t>(</a:t>
              </a:r>
              <a:r>
                <a:rPr lang="ja-JP" altLang="en-US" sz="1100"/>
                <a:t>分布関数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Choice>
      <mc:Fallback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1392687" y="506083"/>
              <a:ext cx="1608642" cy="537830"/>
            </a:xfrm>
            <a:prstGeom xmlns:a="http://schemas.openxmlformats.org/drawingml/2006/main" prst="rect">
              <a:avLst/>
            </a:prstGeom>
            <a:solidFill xmlns:a="http://schemas.openxmlformats.org/drawingml/2006/main">
              <a:schemeClr val="bg1"/>
            </a:solidFill>
          </cdr:spPr>
          <cdr:txBody>
            <a:bodyPr xmlns:a="http://schemas.openxmlformats.org/drawingml/2006/main" wrap="none" rtlCol="0" anchor="ctr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 algn="ctr"/>
              <a:r>
                <a:rPr lang="en-US" altLang="ja-JP" sz="1100" b="0" i="0">
                  <a:latin typeface="Cambria Math" panose="02040503050406030204" pitchFamily="18" charset="0"/>
                </a:rPr>
                <a:t>𝐹</a:t>
              </a:r>
              <a:r>
                <a:rPr lang="en-US" altLang="ja-JP" sz="1100" i="0">
                  <a:latin typeface="Cambria Math" panose="02040503050406030204" pitchFamily="18" charset="0"/>
                </a:rPr>
                <a:t>(𝑅)</a:t>
              </a:r>
              <a:r>
                <a:rPr lang="en-US" altLang="ja-JP" sz="1100" i="1"/>
                <a:t> </a:t>
              </a:r>
              <a:r>
                <a:rPr lang="en-US" altLang="ja-JP" sz="1100"/>
                <a:t>(</a:t>
              </a:r>
              <a:r>
                <a:rPr lang="ja-JP" altLang="en-US" sz="1100"/>
                <a:t>分布関数</a:t>
              </a:r>
              <a:r>
                <a:rPr lang="en-US" altLang="ja-JP" sz="1100"/>
                <a:t>)</a:t>
              </a:r>
              <a:endParaRPr lang="ja-JP" altLang="en-US" sz="1100"/>
            </a:p>
          </cdr:txBody>
        </cdr:sp>
      </mc:Fallback>
    </mc:AlternateContent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87"/>
  <sheetViews>
    <sheetView showGridLines="0" tabSelected="1" zoomScaleNormal="100" zoomScaleSheetLayoutView="70" workbookViewId="0" xr3:uid="{AEA406A1-0E4B-5B11-9CD5-51D6E497D94C}"/>
  </sheetViews>
  <sheetFormatPr defaultColWidth="9" defaultRowHeight="15"/>
  <cols>
    <col min="1" max="1" width="9.25" style="5" bestFit="1" customWidth="1"/>
    <col min="2" max="2" width="7.625" style="7" bestFit="1" customWidth="1"/>
    <col min="3" max="3" width="2.625" style="1" customWidth="1"/>
    <col min="4" max="4" width="7.125" bestFit="1" customWidth="1"/>
    <col min="5" max="5" width="5.25" bestFit="1" customWidth="1"/>
    <col min="7" max="7" width="8.25" bestFit="1" customWidth="1"/>
    <col min="8" max="8" width="7.125" bestFit="1" customWidth="1"/>
    <col min="9" max="9" width="11.375" bestFit="1" customWidth="1"/>
    <col min="10" max="11" width="11.375" customWidth="1"/>
    <col min="12" max="16384" width="9" style="1"/>
  </cols>
  <sheetData>
    <row r="1" spans="1:2" ht="27">
      <c r="A1" s="3" t="s">
        <v>0</v>
      </c>
      <c r="B1" s="4" t="s">
        <v>1</v>
      </c>
    </row>
    <row r="2" spans="1:2">
      <c r="A2" s="5">
        <v>27333</v>
      </c>
      <c r="B2" s="6">
        <v>-8.1237707221129662E-2</v>
      </c>
    </row>
    <row r="3" spans="1:2">
      <c r="A3" s="5">
        <v>27362</v>
      </c>
      <c r="B3" s="6">
        <v>8.9988149394090167E-2</v>
      </c>
    </row>
    <row r="4" spans="1:2">
      <c r="A4" s="5">
        <v>27394</v>
      </c>
      <c r="B4" s="6">
        <v>-2.251604531266449E-2</v>
      </c>
    </row>
    <row r="5" spans="1:2">
      <c r="A5" s="5">
        <v>27425</v>
      </c>
      <c r="B5" s="6">
        <v>3.6489541100068301E-2</v>
      </c>
    </row>
    <row r="6" spans="1:2">
      <c r="A6" s="5">
        <v>27453</v>
      </c>
      <c r="B6" s="6">
        <v>8.4741068955968002E-2</v>
      </c>
    </row>
    <row r="7" spans="1:2">
      <c r="A7" s="5">
        <v>27484</v>
      </c>
      <c r="B7" s="6">
        <v>3.663517998468202E-2</v>
      </c>
    </row>
    <row r="8" spans="1:2">
      <c r="A8" s="5">
        <v>27514</v>
      </c>
      <c r="B8" s="6">
        <v>1.6315724664450748E-3</v>
      </c>
    </row>
    <row r="9" spans="1:2">
      <c r="A9" s="5">
        <v>27544</v>
      </c>
      <c r="B9" s="6">
        <v>-2.858284414666401E-3</v>
      </c>
    </row>
    <row r="10" spans="1:2">
      <c r="A10" s="5">
        <v>27575</v>
      </c>
      <c r="B10" s="6">
        <v>2.4257181605227496E-2</v>
      </c>
    </row>
    <row r="11" spans="1:2">
      <c r="A11" s="5">
        <v>27606</v>
      </c>
      <c r="B11" s="6">
        <v>-4.2851554271613912E-2</v>
      </c>
    </row>
    <row r="12" spans="1:2">
      <c r="A12" s="5">
        <v>27635</v>
      </c>
      <c r="B12" s="6">
        <v>-4.4078347533561768E-2</v>
      </c>
    </row>
    <row r="13" spans="1:2">
      <c r="A13" s="5">
        <v>27667</v>
      </c>
      <c r="B13" s="6">
        <v>-4.0848544647262064E-2</v>
      </c>
    </row>
    <row r="14" spans="1:2">
      <c r="A14" s="5">
        <v>27698</v>
      </c>
      <c r="B14" s="6">
        <v>8.6993793505469208E-2</v>
      </c>
    </row>
    <row r="15" spans="1:2">
      <c r="A15" s="5">
        <v>27726</v>
      </c>
      <c r="B15" s="6">
        <v>2.6182965299683669E-3</v>
      </c>
    </row>
    <row r="16" spans="1:2">
      <c r="A16" s="5">
        <v>27759</v>
      </c>
      <c r="B16" s="6">
        <v>1.2522417644652784E-2</v>
      </c>
    </row>
    <row r="17" spans="1:2">
      <c r="A17" s="5">
        <v>27789</v>
      </c>
      <c r="B17" s="6">
        <v>5.9165346011621933E-2</v>
      </c>
    </row>
    <row r="18" spans="1:2">
      <c r="A18" s="5">
        <v>27817</v>
      </c>
      <c r="B18" s="6">
        <v>1.2908904210062744E-3</v>
      </c>
    </row>
    <row r="19" spans="1:2">
      <c r="A19" s="5">
        <v>27850</v>
      </c>
      <c r="B19" s="6">
        <v>-2.2268452049577503E-3</v>
      </c>
    </row>
    <row r="20" spans="1:2">
      <c r="A20" s="5">
        <v>27880</v>
      </c>
      <c r="B20" s="6">
        <v>4.8160220832234035E-3</v>
      </c>
    </row>
    <row r="21" spans="1:2">
      <c r="A21" s="5">
        <v>27911</v>
      </c>
      <c r="B21" s="6">
        <v>1.3122132273431397E-2</v>
      </c>
    </row>
    <row r="22" spans="1:2">
      <c r="A22" s="5">
        <v>27941</v>
      </c>
      <c r="B22" s="6">
        <v>3.2423700455777915E-2</v>
      </c>
    </row>
    <row r="23" spans="1:2">
      <c r="A23" s="5">
        <v>27971</v>
      </c>
      <c r="B23" s="6">
        <v>-2.8974573903324918E-2</v>
      </c>
    </row>
    <row r="24" spans="1:2">
      <c r="A24" s="5">
        <v>28003</v>
      </c>
      <c r="B24" s="6">
        <v>2.9810376082640477E-2</v>
      </c>
    </row>
    <row r="25" spans="1:2">
      <c r="A25" s="5">
        <v>28033</v>
      </c>
      <c r="B25" s="6">
        <v>-4.4706474056266376E-4</v>
      </c>
    </row>
    <row r="26" spans="1:2">
      <c r="A26" s="5">
        <v>28062</v>
      </c>
      <c r="B26" s="6">
        <v>-2.1105302882061916E-2</v>
      </c>
    </row>
    <row r="27" spans="1:2">
      <c r="A27" s="5">
        <v>28094</v>
      </c>
      <c r="B27" s="6">
        <v>-1.2536409846364727E-2</v>
      </c>
    </row>
    <row r="28" spans="1:2">
      <c r="A28" s="5">
        <v>28125</v>
      </c>
      <c r="B28" s="6">
        <v>0.11015356141010435</v>
      </c>
    </row>
    <row r="29" spans="1:2">
      <c r="A29" s="5">
        <v>28156</v>
      </c>
      <c r="B29" s="6">
        <v>-2.2507033447952463E-2</v>
      </c>
    </row>
    <row r="30" spans="1:2">
      <c r="A30" s="5">
        <v>28184</v>
      </c>
      <c r="B30" s="6">
        <v>2.0093806630423039E-2</v>
      </c>
    </row>
    <row r="31" spans="1:2">
      <c r="A31" s="5">
        <v>28215</v>
      </c>
      <c r="B31" s="6">
        <v>-1.8574638173363134E-2</v>
      </c>
    </row>
    <row r="32" spans="1:2">
      <c r="A32" s="5">
        <v>28244</v>
      </c>
      <c r="B32" s="6">
        <v>1.1339739665131576E-2</v>
      </c>
    </row>
    <row r="33" spans="1:2">
      <c r="A33" s="5">
        <v>28276</v>
      </c>
      <c r="B33" s="6">
        <v>-5.2114863264286493E-3</v>
      </c>
    </row>
    <row r="34" spans="1:2">
      <c r="A34" s="5">
        <v>28306</v>
      </c>
      <c r="B34" s="6">
        <v>-2.9898134673898014E-3</v>
      </c>
    </row>
    <row r="35" spans="1:2">
      <c r="A35" s="5">
        <v>28335</v>
      </c>
      <c r="B35" s="6">
        <v>-1.8178440634785797E-2</v>
      </c>
    </row>
    <row r="36" spans="1:2">
      <c r="A36" s="5">
        <v>28368</v>
      </c>
      <c r="B36" s="6">
        <v>5.111225234478467E-2</v>
      </c>
    </row>
    <row r="37" spans="1:2">
      <c r="A37" s="5">
        <v>28398</v>
      </c>
      <c r="B37" s="6">
        <v>4.0372351368032078E-3</v>
      </c>
    </row>
    <row r="38" spans="1:2">
      <c r="A38" s="5">
        <v>28429</v>
      </c>
      <c r="B38" s="6">
        <v>-3.6496350364963459E-2</v>
      </c>
    </row>
    <row r="39" spans="1:2">
      <c r="A39" s="5">
        <v>28459</v>
      </c>
      <c r="B39" s="6">
        <v>-2.1504518872939915E-2</v>
      </c>
    </row>
    <row r="40" spans="1:2">
      <c r="A40" s="5">
        <v>28489</v>
      </c>
      <c r="B40" s="6">
        <v>-1.094781451196658E-2</v>
      </c>
    </row>
    <row r="41" spans="1:2">
      <c r="A41" s="5">
        <v>28521</v>
      </c>
      <c r="B41" s="6">
        <v>4.9329817622500549E-2</v>
      </c>
    </row>
    <row r="42" spans="1:2">
      <c r="A42" s="5">
        <v>28549</v>
      </c>
      <c r="B42" s="6">
        <v>2.4709454507381379E-2</v>
      </c>
    </row>
    <row r="43" spans="1:2">
      <c r="A43" s="5">
        <v>28580</v>
      </c>
      <c r="B43" s="6">
        <v>4.179012976397245E-2</v>
      </c>
    </row>
    <row r="44" spans="1:2">
      <c r="A44" s="5">
        <v>28608</v>
      </c>
      <c r="B44" s="6">
        <v>4.9774421341703956E-3</v>
      </c>
    </row>
    <row r="45" spans="1:2">
      <c r="A45" s="5">
        <v>28641</v>
      </c>
      <c r="B45" s="6">
        <v>1.7078585893082199E-4</v>
      </c>
    </row>
    <row r="46" spans="1:2">
      <c r="A46" s="5">
        <v>28671</v>
      </c>
      <c r="B46" s="6">
        <v>1.788066546323841E-2</v>
      </c>
    </row>
    <row r="47" spans="1:2">
      <c r="A47" s="5">
        <v>28702</v>
      </c>
      <c r="B47" s="6">
        <v>1.4858484913844894E-2</v>
      </c>
    </row>
    <row r="48" spans="1:2">
      <c r="A48" s="5">
        <v>28733</v>
      </c>
      <c r="B48" s="6">
        <v>1.9363827425791236E-3</v>
      </c>
    </row>
    <row r="49" spans="1:2">
      <c r="A49" s="5">
        <v>28762</v>
      </c>
      <c r="B49" s="6">
        <v>2.2272502297956631E-2</v>
      </c>
    </row>
    <row r="50" spans="1:2">
      <c r="A50" s="5">
        <v>28794</v>
      </c>
      <c r="B50" s="6">
        <v>1.0236547240282112E-2</v>
      </c>
    </row>
    <row r="51" spans="1:2">
      <c r="A51" s="5">
        <v>28824</v>
      </c>
      <c r="B51" s="6">
        <v>8.8319868547173108E-3</v>
      </c>
    </row>
    <row r="52" spans="1:2">
      <c r="A52" s="5">
        <v>28853</v>
      </c>
      <c r="B52" s="6">
        <v>1.6966406515100063E-2</v>
      </c>
    </row>
    <row r="53" spans="1:2">
      <c r="A53" s="5">
        <v>28886</v>
      </c>
      <c r="B53" s="6">
        <v>2.9852074296518705E-2</v>
      </c>
    </row>
    <row r="54" spans="1:2">
      <c r="A54" s="5">
        <v>28914</v>
      </c>
      <c r="B54" s="6">
        <v>-3.0714733136056438E-2</v>
      </c>
    </row>
    <row r="55" spans="1:2">
      <c r="A55" s="5">
        <v>28944</v>
      </c>
      <c r="B55" s="6">
        <v>2.0724233983286933E-3</v>
      </c>
    </row>
    <row r="56" spans="1:2">
      <c r="A56" s="5">
        <v>28975</v>
      </c>
      <c r="B56" s="6">
        <v>3.9361323607898235E-3</v>
      </c>
    </row>
    <row r="57" spans="1:2">
      <c r="A57" s="5">
        <v>29006</v>
      </c>
      <c r="B57" s="6">
        <v>-4.5409236903312111E-3</v>
      </c>
    </row>
    <row r="58" spans="1:2">
      <c r="A58" s="5">
        <v>29035</v>
      </c>
      <c r="B58" s="6">
        <v>-6.1415220293724593E-3</v>
      </c>
    </row>
    <row r="59" spans="1:2">
      <c r="A59" s="5">
        <v>29067</v>
      </c>
      <c r="B59" s="6">
        <v>-3.649471610245425E-3</v>
      </c>
    </row>
    <row r="60" spans="1:2">
      <c r="A60" s="5">
        <v>29098</v>
      </c>
      <c r="B60" s="6">
        <v>2.0448978674636686E-2</v>
      </c>
    </row>
    <row r="61" spans="1:2">
      <c r="A61" s="5">
        <v>29126</v>
      </c>
      <c r="B61" s="6">
        <v>1.9422606857369296E-2</v>
      </c>
    </row>
    <row r="62" spans="1:2">
      <c r="A62" s="5">
        <v>29159</v>
      </c>
      <c r="B62" s="6">
        <v>-3.0047739399045259E-2</v>
      </c>
    </row>
    <row r="63" spans="1:2">
      <c r="A63" s="5">
        <v>29189</v>
      </c>
      <c r="B63" s="6">
        <v>2.8506525321811971E-3</v>
      </c>
    </row>
    <row r="64" spans="1:2">
      <c r="A64" s="5">
        <v>29220</v>
      </c>
      <c r="B64" s="6">
        <v>2.0675105485232104E-2</v>
      </c>
    </row>
    <row r="65" spans="1:2">
      <c r="A65" s="5">
        <v>29251</v>
      </c>
      <c r="B65" s="6">
        <v>1.7514849546354627E-2</v>
      </c>
    </row>
    <row r="66" spans="1:2">
      <c r="A66" s="5">
        <v>29280</v>
      </c>
      <c r="B66" s="6">
        <v>5.7734251379204515E-4</v>
      </c>
    </row>
    <row r="67" spans="1:2">
      <c r="A67" s="5">
        <v>29311</v>
      </c>
      <c r="B67" s="6">
        <v>-2.878635693372944E-2</v>
      </c>
    </row>
    <row r="68" spans="1:2">
      <c r="A68" s="5">
        <v>29341</v>
      </c>
      <c r="B68" s="6">
        <v>2.9375522598248605E-2</v>
      </c>
    </row>
    <row r="69" spans="1:2">
      <c r="A69" s="5">
        <v>29371</v>
      </c>
      <c r="B69" s="6">
        <v>-2.8430345653149836E-3</v>
      </c>
    </row>
    <row r="70" spans="1:2">
      <c r="A70" s="5">
        <v>29402</v>
      </c>
      <c r="B70" s="6">
        <v>1.348396501457727E-2</v>
      </c>
    </row>
    <row r="71" spans="1:2">
      <c r="A71" s="5">
        <v>29433</v>
      </c>
      <c r="B71" s="6">
        <v>-3.9554117224019913E-3</v>
      </c>
    </row>
    <row r="72" spans="1:2">
      <c r="A72" s="5">
        <v>29462</v>
      </c>
      <c r="B72" s="6">
        <v>1.5757060947122481E-2</v>
      </c>
    </row>
    <row r="73" spans="1:2">
      <c r="A73" s="5">
        <v>29494</v>
      </c>
      <c r="B73" s="6">
        <v>2.1889111891620683E-2</v>
      </c>
    </row>
    <row r="74" spans="1:2">
      <c r="A74" s="5">
        <v>29525</v>
      </c>
      <c r="B74" s="6">
        <v>1.485300435769954E-2</v>
      </c>
    </row>
    <row r="75" spans="1:2">
      <c r="A75" s="5">
        <v>29553</v>
      </c>
      <c r="B75" s="6">
        <v>-8.8700735812923259E-3</v>
      </c>
    </row>
    <row r="76" spans="1:2">
      <c r="A76" s="5">
        <v>29586</v>
      </c>
      <c r="B76" s="6">
        <v>-1.1186819892198274E-3</v>
      </c>
    </row>
    <row r="77" spans="1:2">
      <c r="A77" s="5">
        <v>29616</v>
      </c>
      <c r="B77" s="6">
        <v>3.6204439014457357E-2</v>
      </c>
    </row>
    <row r="78" spans="1:2">
      <c r="A78" s="5">
        <v>29644</v>
      </c>
      <c r="B78" s="6">
        <v>-2.7904417544412086E-3</v>
      </c>
    </row>
    <row r="79" spans="1:2">
      <c r="A79" s="5">
        <v>29676</v>
      </c>
      <c r="B79" s="6">
        <v>4.475229574744799E-2</v>
      </c>
    </row>
    <row r="80" spans="1:2">
      <c r="A80" s="5">
        <v>29706</v>
      </c>
      <c r="B80" s="6">
        <v>5.7887092819284502E-2</v>
      </c>
    </row>
    <row r="81" spans="1:2">
      <c r="A81" s="5">
        <v>29735</v>
      </c>
      <c r="B81" s="6">
        <v>-3.1915272973647157E-3</v>
      </c>
    </row>
    <row r="82" spans="1:2">
      <c r="A82" s="5">
        <v>29767</v>
      </c>
      <c r="B82" s="6">
        <v>4.8437583844598953E-2</v>
      </c>
    </row>
    <row r="83" spans="1:2">
      <c r="A83" s="5">
        <v>29798</v>
      </c>
      <c r="B83" s="6">
        <v>1.0236287639682651E-2</v>
      </c>
    </row>
    <row r="84" spans="1:2">
      <c r="A84" s="5">
        <v>29829</v>
      </c>
      <c r="B84" s="6">
        <v>-4.5765431056319361E-3</v>
      </c>
    </row>
    <row r="85" spans="1:2">
      <c r="A85" s="5">
        <v>29859</v>
      </c>
      <c r="B85" s="6">
        <v>-6.6452904451683059E-2</v>
      </c>
    </row>
    <row r="86" spans="1:2">
      <c r="A86" s="5">
        <v>29889</v>
      </c>
      <c r="B86" s="6">
        <v>-1.3266214767296836E-3</v>
      </c>
    </row>
    <row r="87" spans="1:2">
      <c r="A87" s="5">
        <v>29920</v>
      </c>
      <c r="B87" s="6">
        <v>8.9347454234451895E-3</v>
      </c>
    </row>
    <row r="88" spans="1:2">
      <c r="A88" s="5">
        <v>29951</v>
      </c>
      <c r="B88" s="6">
        <v>2.860492379835855E-2</v>
      </c>
    </row>
    <row r="89" spans="1:2">
      <c r="A89" s="5">
        <v>29980</v>
      </c>
      <c r="B89" s="6">
        <v>2.0076800336659151E-2</v>
      </c>
    </row>
    <row r="90" spans="1:2">
      <c r="A90" s="5">
        <v>30008</v>
      </c>
      <c r="B90" s="6">
        <v>-3.7541254125412649E-2</v>
      </c>
    </row>
    <row r="91" spans="1:2">
      <c r="A91" s="5">
        <v>30041</v>
      </c>
      <c r="B91" s="6">
        <v>-4.663166166595234E-2</v>
      </c>
    </row>
    <row r="92" spans="1:2">
      <c r="A92" s="5">
        <v>30071</v>
      </c>
      <c r="B92" s="6">
        <v>2.3285438639216283E-2</v>
      </c>
    </row>
    <row r="93" spans="1:2">
      <c r="A93" s="5">
        <v>30102</v>
      </c>
      <c r="B93" s="6">
        <v>3.2952548330400511E-4</v>
      </c>
    </row>
    <row r="94" spans="1:2">
      <c r="A94" s="5">
        <v>30132</v>
      </c>
      <c r="B94" s="6">
        <v>-1.3121774459207147E-2</v>
      </c>
    </row>
    <row r="95" spans="1:2">
      <c r="A95" s="5">
        <v>30162</v>
      </c>
      <c r="B95" s="6">
        <v>-2.171534538711184E-2</v>
      </c>
    </row>
    <row r="96" spans="1:2">
      <c r="A96" s="5">
        <v>30194</v>
      </c>
      <c r="B96" s="6">
        <v>5.5730371156690328E-3</v>
      </c>
    </row>
    <row r="97" spans="1:2">
      <c r="A97" s="5">
        <v>30224</v>
      </c>
      <c r="B97" s="6">
        <v>-1.2215352133916446E-2</v>
      </c>
    </row>
    <row r="98" spans="1:2">
      <c r="A98" s="5">
        <v>30253</v>
      </c>
      <c r="B98" s="6">
        <v>2.9980916030534432E-2</v>
      </c>
    </row>
    <row r="99" spans="1:2">
      <c r="A99" s="5">
        <v>30285</v>
      </c>
      <c r="B99" s="6">
        <v>7.1612532656426531E-2</v>
      </c>
    </row>
    <row r="100" spans="1:2">
      <c r="A100" s="5">
        <v>30316</v>
      </c>
      <c r="B100" s="6">
        <v>2.6557853240196438E-2</v>
      </c>
    </row>
    <row r="101" spans="1:2">
      <c r="A101" s="5">
        <v>30347</v>
      </c>
      <c r="B101" s="6">
        <v>-9.0446675200430704E-3</v>
      </c>
    </row>
    <row r="102" spans="1:2">
      <c r="A102" s="5">
        <v>30375</v>
      </c>
      <c r="B102" s="6">
        <v>6.5097306025323487E-3</v>
      </c>
    </row>
    <row r="103" spans="1:2">
      <c r="A103" s="5">
        <v>30406</v>
      </c>
      <c r="B103" s="6">
        <v>4.3078118139755039E-2</v>
      </c>
    </row>
    <row r="104" spans="1:2">
      <c r="A104" s="5">
        <v>30435</v>
      </c>
      <c r="B104" s="6">
        <v>1.6901682073531932E-2</v>
      </c>
    </row>
    <row r="105" spans="1:2">
      <c r="A105" s="5">
        <v>30467</v>
      </c>
      <c r="B105" s="6">
        <v>1.3866556286119103E-2</v>
      </c>
    </row>
    <row r="106" spans="1:2">
      <c r="A106" s="5">
        <v>30497</v>
      </c>
      <c r="B106" s="6">
        <v>3.0290182777463759E-2</v>
      </c>
    </row>
    <row r="107" spans="1:2">
      <c r="A107" s="5">
        <v>30526</v>
      </c>
      <c r="B107" s="6">
        <v>2.0361818542057319E-2</v>
      </c>
    </row>
    <row r="108" spans="1:2">
      <c r="A108" s="5">
        <v>30559</v>
      </c>
      <c r="B108" s="6">
        <v>1.3502815576035498E-2</v>
      </c>
    </row>
    <row r="109" spans="1:2">
      <c r="A109" s="5">
        <v>30589</v>
      </c>
      <c r="B109" s="6">
        <v>1.8495866063401811E-2</v>
      </c>
    </row>
    <row r="110" spans="1:2">
      <c r="A110" s="5">
        <v>30620</v>
      </c>
      <c r="B110" s="6">
        <v>-8.0598483533022014E-3</v>
      </c>
    </row>
    <row r="111" spans="1:2">
      <c r="A111" s="5">
        <v>30650</v>
      </c>
      <c r="B111" s="6">
        <v>3.3989292643434865E-3</v>
      </c>
    </row>
    <row r="112" spans="1:2">
      <c r="A112" s="5">
        <v>30680</v>
      </c>
      <c r="B112" s="6">
        <v>6.3939288206559697E-2</v>
      </c>
    </row>
    <row r="113" spans="1:2">
      <c r="A113" s="5">
        <v>30712</v>
      </c>
      <c r="B113" s="6">
        <v>6.1791150829438868E-2</v>
      </c>
    </row>
    <row r="114" spans="1:2">
      <c r="A114" s="5">
        <v>30741</v>
      </c>
      <c r="B114" s="6">
        <v>-1.1839802326778504E-3</v>
      </c>
    </row>
    <row r="115" spans="1:2">
      <c r="A115" s="5">
        <v>30771</v>
      </c>
      <c r="B115" s="6">
        <v>0.11681183322166677</v>
      </c>
    </row>
    <row r="116" spans="1:2">
      <c r="A116" s="5">
        <v>30802</v>
      </c>
      <c r="B116" s="6">
        <v>-6.5414522716259471E-3</v>
      </c>
    </row>
    <row r="117" spans="1:2">
      <c r="A117" s="5">
        <v>30833</v>
      </c>
      <c r="B117" s="6">
        <v>-9.9650451161872544E-2</v>
      </c>
    </row>
    <row r="118" spans="1:2">
      <c r="A118" s="5">
        <v>30862</v>
      </c>
      <c r="B118" s="6">
        <v>2.2971752869856976E-2</v>
      </c>
    </row>
    <row r="119" spans="1:2">
      <c r="A119" s="5">
        <v>30894</v>
      </c>
      <c r="B119" s="6">
        <v>-3.7195344908020345E-2</v>
      </c>
    </row>
    <row r="120" spans="1:2">
      <c r="A120" s="5">
        <v>30925</v>
      </c>
      <c r="B120" s="6">
        <v>6.9511923625934724E-2</v>
      </c>
    </row>
    <row r="121" spans="1:2">
      <c r="A121" s="5">
        <v>30953</v>
      </c>
      <c r="B121" s="6">
        <v>9.7589048476165452E-3</v>
      </c>
    </row>
    <row r="122" spans="1:2">
      <c r="A122" s="5">
        <v>30986</v>
      </c>
      <c r="B122" s="6">
        <v>4.3387577910896757E-2</v>
      </c>
    </row>
    <row r="123" spans="1:2">
      <c r="A123" s="5">
        <v>31016</v>
      </c>
      <c r="B123" s="6">
        <v>1.7862953837571416E-2</v>
      </c>
    </row>
    <row r="124" spans="1:2">
      <c r="A124" s="5">
        <v>31047</v>
      </c>
      <c r="B124" s="6">
        <v>4.2886014089813962E-2</v>
      </c>
    </row>
    <row r="125" spans="1:2">
      <c r="A125" s="5">
        <v>31078</v>
      </c>
      <c r="B125" s="6">
        <v>1.9367835597840832E-2</v>
      </c>
    </row>
    <row r="126" spans="1:2">
      <c r="A126" s="5">
        <v>31106</v>
      </c>
      <c r="B126" s="6">
        <v>4.9663824028526538E-2</v>
      </c>
    </row>
    <row r="127" spans="1:2">
      <c r="A127" s="5">
        <v>31135</v>
      </c>
      <c r="B127" s="6">
        <v>2.2592857873733774E-2</v>
      </c>
    </row>
    <row r="128" spans="1:2">
      <c r="A128" s="5">
        <v>31167</v>
      </c>
      <c r="B128" s="6">
        <v>-3.2119914346895095E-2</v>
      </c>
    </row>
    <row r="129" spans="1:2">
      <c r="A129" s="5">
        <v>31198</v>
      </c>
      <c r="B129" s="6">
        <v>3.0756347696633934E-2</v>
      </c>
    </row>
    <row r="130" spans="1:2">
      <c r="A130" s="5">
        <v>31226</v>
      </c>
      <c r="B130" s="6">
        <v>2.9467518530034376E-2</v>
      </c>
    </row>
    <row r="131" spans="1:2">
      <c r="A131" s="5">
        <v>31259</v>
      </c>
      <c r="B131" s="6">
        <v>-3.3397959879580386E-2</v>
      </c>
    </row>
    <row r="132" spans="1:2">
      <c r="A132" s="5">
        <v>31289</v>
      </c>
      <c r="B132" s="6">
        <v>2.6569098807615932E-2</v>
      </c>
    </row>
    <row r="133" spans="1:2">
      <c r="A133" s="5">
        <v>31320</v>
      </c>
      <c r="B133" s="6">
        <v>7.5602116859272428E-3</v>
      </c>
    </row>
    <row r="134" spans="1:2">
      <c r="A134" s="5">
        <v>31351</v>
      </c>
      <c r="B134" s="6">
        <v>1.8515089798198936E-4</v>
      </c>
    </row>
    <row r="135" spans="1:2">
      <c r="A135" s="5">
        <v>31380</v>
      </c>
      <c r="B135" s="6">
        <v>-1.9339815662815063E-2</v>
      </c>
    </row>
    <row r="136" spans="1:2">
      <c r="A136" s="5">
        <v>31412</v>
      </c>
      <c r="B136" s="6">
        <v>4.0286926370798559E-2</v>
      </c>
    </row>
    <row r="137" spans="1:2">
      <c r="A137" s="5">
        <v>31443</v>
      </c>
      <c r="B137" s="6">
        <v>-5.2145012797494283E-3</v>
      </c>
    </row>
    <row r="138" spans="1:2">
      <c r="A138" s="5">
        <v>31471</v>
      </c>
      <c r="B138" s="6">
        <v>4.7118910927209656E-2</v>
      </c>
    </row>
    <row r="139" spans="1:2">
      <c r="A139" s="5">
        <v>31502</v>
      </c>
      <c r="B139" s="6">
        <v>0.16065829283946087</v>
      </c>
    </row>
    <row r="140" spans="1:2">
      <c r="A140" s="5">
        <v>31532</v>
      </c>
      <c r="B140" s="6">
        <v>-1.1098559951972065E-2</v>
      </c>
    </row>
    <row r="141" spans="1:2">
      <c r="A141" s="5">
        <v>31562</v>
      </c>
      <c r="B141" s="6">
        <v>3.8526056810556764E-2</v>
      </c>
    </row>
    <row r="142" spans="1:2">
      <c r="A142" s="5">
        <v>31593</v>
      </c>
      <c r="B142" s="6">
        <v>4.5480767012022083E-2</v>
      </c>
    </row>
    <row r="143" spans="1:2">
      <c r="A143" s="5">
        <v>31624</v>
      </c>
      <c r="B143" s="6">
        <v>5.1263941614431596E-2</v>
      </c>
    </row>
    <row r="144" spans="1:2">
      <c r="A144" s="5">
        <v>31653</v>
      </c>
      <c r="B144" s="6">
        <v>8.2453881252974259E-2</v>
      </c>
    </row>
    <row r="145" spans="1:2">
      <c r="A145" s="5">
        <v>31685</v>
      </c>
      <c r="B145" s="6">
        <v>-1.904651072578456E-2</v>
      </c>
    </row>
    <row r="146" spans="1:2">
      <c r="A146" s="5">
        <v>31716</v>
      </c>
      <c r="B146" s="6">
        <v>-7.204998418222075E-2</v>
      </c>
    </row>
    <row r="147" spans="1:2">
      <c r="A147" s="5">
        <v>31744</v>
      </c>
      <c r="B147" s="6">
        <v>5.8907923520554517E-2</v>
      </c>
    </row>
    <row r="148" spans="1:2">
      <c r="A148" s="5">
        <v>31777</v>
      </c>
      <c r="B148" s="6">
        <v>4.8058219867194163E-2</v>
      </c>
    </row>
    <row r="149" spans="1:2">
      <c r="A149" s="5">
        <v>31807</v>
      </c>
      <c r="B149" s="6">
        <v>0.12038014783526929</v>
      </c>
    </row>
    <row r="150" spans="1:2">
      <c r="A150" s="5">
        <v>31835</v>
      </c>
      <c r="B150" s="6">
        <v>1.4166166852311868E-2</v>
      </c>
    </row>
    <row r="151" spans="1:2">
      <c r="A151" s="5">
        <v>31867</v>
      </c>
      <c r="B151" s="6">
        <v>5.392435720521549E-2</v>
      </c>
    </row>
    <row r="152" spans="1:2">
      <c r="A152" s="5">
        <v>31897</v>
      </c>
      <c r="B152" s="6">
        <v>0.11078511535439994</v>
      </c>
    </row>
    <row r="153" spans="1:2">
      <c r="A153" s="5">
        <v>31926</v>
      </c>
      <c r="B153" s="6">
        <v>2.7058104681764172E-2</v>
      </c>
    </row>
    <row r="154" spans="1:2">
      <c r="A154" s="5">
        <v>31958</v>
      </c>
      <c r="B154" s="6">
        <v>-4.4806603176982596E-2</v>
      </c>
    </row>
    <row r="155" spans="1:2">
      <c r="A155" s="5">
        <v>31989</v>
      </c>
      <c r="B155" s="6">
        <v>-1.1755301410440011E-2</v>
      </c>
    </row>
    <row r="156" spans="1:2">
      <c r="A156" s="5">
        <v>32020</v>
      </c>
      <c r="B156" s="6">
        <v>6.9053302301115282E-2</v>
      </c>
    </row>
    <row r="157" spans="1:2">
      <c r="A157" s="5">
        <v>32050</v>
      </c>
      <c r="B157" s="6">
        <v>-8.1930686175299972E-3</v>
      </c>
    </row>
    <row r="158" spans="1:2">
      <c r="A158" s="5">
        <v>32080</v>
      </c>
      <c r="B158" s="6">
        <v>-0.12610162828031324</v>
      </c>
    </row>
    <row r="159" spans="1:2">
      <c r="A159" s="5">
        <v>32111</v>
      </c>
      <c r="B159" s="6">
        <v>-1.0786319476429718E-2</v>
      </c>
    </row>
    <row r="160" spans="1:2">
      <c r="A160" s="5">
        <v>32142</v>
      </c>
      <c r="B160" s="6">
        <v>-6.5623917186417247E-2</v>
      </c>
    </row>
    <row r="161" spans="1:2">
      <c r="A161" s="5">
        <v>32171</v>
      </c>
      <c r="B161" s="6">
        <v>0.11062503259301337</v>
      </c>
    </row>
    <row r="162" spans="1:2">
      <c r="A162" s="5">
        <v>32202</v>
      </c>
      <c r="B162" s="6">
        <v>8.4163297247945801E-2</v>
      </c>
    </row>
    <row r="163" spans="1:2">
      <c r="A163" s="5">
        <v>32233</v>
      </c>
      <c r="B163" s="6">
        <v>3.3603295365411068E-2</v>
      </c>
    </row>
    <row r="164" spans="1:2">
      <c r="A164" s="5">
        <v>32262</v>
      </c>
      <c r="B164" s="6">
        <v>1.9330508869128016E-2</v>
      </c>
    </row>
    <row r="165" spans="1:2">
      <c r="A165" s="5">
        <v>32294</v>
      </c>
      <c r="B165" s="6">
        <v>-2.7788181344831075E-2</v>
      </c>
    </row>
    <row r="166" spans="1:2">
      <c r="A166" s="5">
        <v>32324</v>
      </c>
      <c r="B166" s="6">
        <v>2.5613319677907365E-2</v>
      </c>
    </row>
    <row r="167" spans="1:2">
      <c r="A167" s="5">
        <v>32353</v>
      </c>
      <c r="B167" s="6">
        <v>1.9000503870642671E-2</v>
      </c>
    </row>
    <row r="168" spans="1:2">
      <c r="A168" s="5">
        <v>32386</v>
      </c>
      <c r="B168" s="6">
        <v>-4.3405946290985264E-2</v>
      </c>
    </row>
    <row r="169" spans="1:2">
      <c r="A169" s="5">
        <v>32416</v>
      </c>
      <c r="B169" s="6">
        <v>1.0967942030620126E-2</v>
      </c>
    </row>
    <row r="170" spans="1:2">
      <c r="A170" s="5">
        <v>32447</v>
      </c>
      <c r="B170" s="6">
        <v>2.3612970400117561E-3</v>
      </c>
    </row>
    <row r="171" spans="1:2">
      <c r="A171" s="5">
        <v>32477</v>
      </c>
      <c r="B171" s="6">
        <v>5.9964571237780762E-2</v>
      </c>
    </row>
    <row r="172" spans="1:2">
      <c r="A172" s="5">
        <v>32507</v>
      </c>
      <c r="B172" s="6">
        <v>3.1184512741988524E-2</v>
      </c>
    </row>
    <row r="173" spans="1:2">
      <c r="A173" s="5">
        <v>32539</v>
      </c>
      <c r="B173" s="6">
        <v>4.5735523094742048E-2</v>
      </c>
    </row>
    <row r="174" spans="1:2">
      <c r="A174" s="5">
        <v>32567</v>
      </c>
      <c r="B174" s="6">
        <v>-7.1404518770056269E-3</v>
      </c>
    </row>
    <row r="175" spans="1:2">
      <c r="A175" s="5">
        <v>32598</v>
      </c>
      <c r="B175" s="6">
        <v>8.957065743718351E-3</v>
      </c>
    </row>
    <row r="176" spans="1:2">
      <c r="A176" s="5">
        <v>32626</v>
      </c>
      <c r="B176" s="6">
        <v>7.8448048923718261E-3</v>
      </c>
    </row>
    <row r="177" spans="1:2">
      <c r="A177" s="5">
        <v>32659</v>
      </c>
      <c r="B177" s="6">
        <v>1.9537717197370297E-2</v>
      </c>
    </row>
    <row r="178" spans="1:2">
      <c r="A178" s="5">
        <v>32689</v>
      </c>
      <c r="B178" s="6">
        <v>-3.4590129042938011E-2</v>
      </c>
    </row>
    <row r="179" spans="1:2">
      <c r="A179" s="5">
        <v>32720</v>
      </c>
      <c r="B179" s="6">
        <v>7.3292016755260425E-2</v>
      </c>
    </row>
    <row r="180" spans="1:2">
      <c r="A180" s="5">
        <v>32751</v>
      </c>
      <c r="B180" s="6">
        <v>-9.7074822168967678E-3</v>
      </c>
    </row>
    <row r="181" spans="1:2">
      <c r="A181" s="5">
        <v>32780</v>
      </c>
      <c r="B181" s="6">
        <v>3.796602877797306E-2</v>
      </c>
    </row>
    <row r="182" spans="1:2">
      <c r="A182" s="5">
        <v>32812</v>
      </c>
      <c r="B182" s="6">
        <v>-3.5415325177075019E-3</v>
      </c>
    </row>
    <row r="183" spans="1:2">
      <c r="A183" s="5">
        <v>32842</v>
      </c>
      <c r="B183" s="6">
        <v>5.0838393404267102E-2</v>
      </c>
    </row>
    <row r="184" spans="1:2">
      <c r="A184" s="5">
        <v>32871</v>
      </c>
      <c r="B184" s="6">
        <v>1.831746502965137E-2</v>
      </c>
    </row>
    <row r="185" spans="1:2">
      <c r="A185" s="5">
        <v>32904</v>
      </c>
      <c r="B185" s="6">
        <v>-4.9906815160843498E-2</v>
      </c>
    </row>
    <row r="186" spans="1:2">
      <c r="A186" s="5">
        <v>32932</v>
      </c>
      <c r="B186" s="6">
        <v>-6.2840402254554339E-2</v>
      </c>
    </row>
    <row r="187" spans="1:2">
      <c r="A187" s="5">
        <v>32962</v>
      </c>
      <c r="B187" s="6">
        <v>-0.13176953000148117</v>
      </c>
    </row>
    <row r="188" spans="1:2">
      <c r="A188" s="5">
        <v>32993</v>
      </c>
      <c r="B188" s="6">
        <v>-9.661141738646406E-3</v>
      </c>
    </row>
    <row r="189" spans="1:2">
      <c r="A189" s="5">
        <v>33024</v>
      </c>
      <c r="B189" s="6">
        <v>0.10416326678634236</v>
      </c>
    </row>
    <row r="190" spans="1:2">
      <c r="A190" s="5">
        <v>33053</v>
      </c>
      <c r="B190" s="6">
        <v>-3.7926872326274452E-2</v>
      </c>
    </row>
    <row r="191" spans="1:2">
      <c r="A191" s="5">
        <v>33085</v>
      </c>
      <c r="B191" s="6">
        <v>-3.8747780964085821E-2</v>
      </c>
    </row>
    <row r="192" spans="1:2">
      <c r="A192" s="5">
        <v>33116</v>
      </c>
      <c r="B192" s="6">
        <v>-0.12367706076641682</v>
      </c>
    </row>
    <row r="193" spans="1:2">
      <c r="A193" s="5">
        <v>33144</v>
      </c>
      <c r="B193" s="6">
        <v>-0.2041672365841426</v>
      </c>
    </row>
    <row r="194" spans="1:2">
      <c r="A194" s="5">
        <v>33177</v>
      </c>
      <c r="B194" s="6">
        <v>0.18152710143543715</v>
      </c>
    </row>
    <row r="195" spans="1:2">
      <c r="A195" s="5">
        <v>33207</v>
      </c>
      <c r="B195" s="6">
        <v>-0.10996595047733981</v>
      </c>
    </row>
    <row r="196" spans="1:2">
      <c r="A196" s="5">
        <v>33238</v>
      </c>
      <c r="B196" s="6">
        <v>4.9527545232777026E-2</v>
      </c>
    </row>
    <row r="197" spans="1:2">
      <c r="A197" s="5">
        <v>33269</v>
      </c>
      <c r="B197" s="6">
        <v>-1.3207753932046318E-2</v>
      </c>
    </row>
    <row r="198" spans="1:2">
      <c r="A198" s="5">
        <v>33297</v>
      </c>
      <c r="B198" s="6">
        <v>0.1457628307411758</v>
      </c>
    </row>
    <row r="199" spans="1:2">
      <c r="A199" s="5">
        <v>33326</v>
      </c>
      <c r="B199" s="6">
        <v>5.310357492654294E-3</v>
      </c>
    </row>
    <row r="200" spans="1:2">
      <c r="A200" s="5">
        <v>33358</v>
      </c>
      <c r="B200" s="6">
        <v>-3.7092853917075619E-3</v>
      </c>
    </row>
    <row r="201" spans="1:2">
      <c r="A201" s="5">
        <v>33389</v>
      </c>
      <c r="B201" s="6">
        <v>6.8757576066236226E-4</v>
      </c>
    </row>
    <row r="202" spans="1:2">
      <c r="A202" s="5">
        <v>33417</v>
      </c>
      <c r="B202" s="6">
        <v>-7.4186800490642635E-2</v>
      </c>
    </row>
    <row r="203" spans="1:2">
      <c r="A203" s="5">
        <v>33450</v>
      </c>
      <c r="B203" s="6">
        <v>2.2050456017284059E-2</v>
      </c>
    </row>
    <row r="204" spans="1:2">
      <c r="A204" s="5">
        <v>33480</v>
      </c>
      <c r="B204" s="6">
        <v>-6.8322647273979076E-2</v>
      </c>
    </row>
    <row r="205" spans="1:2">
      <c r="A205" s="5">
        <v>33511</v>
      </c>
      <c r="B205" s="6">
        <v>5.7791120605045876E-2</v>
      </c>
    </row>
    <row r="206" spans="1:2">
      <c r="A206" s="5">
        <v>33542</v>
      </c>
      <c r="B206" s="6">
        <v>3.0155004912127525E-2</v>
      </c>
    </row>
    <row r="207" spans="1:2">
      <c r="A207" s="5">
        <v>33571</v>
      </c>
      <c r="B207" s="6">
        <v>-8.2730668362075876E-2</v>
      </c>
    </row>
    <row r="208" spans="1:2">
      <c r="A208" s="5">
        <v>33603</v>
      </c>
      <c r="B208" s="6">
        <v>-9.5997227516894101E-3</v>
      </c>
    </row>
    <row r="209" spans="1:2">
      <c r="A209" s="5">
        <v>33634</v>
      </c>
      <c r="B209" s="6">
        <v>-4.8837100800149358E-2</v>
      </c>
    </row>
    <row r="210" spans="1:2">
      <c r="A210" s="5">
        <v>33662</v>
      </c>
      <c r="B210" s="6">
        <v>-4.687480839270608E-2</v>
      </c>
    </row>
    <row r="211" spans="1:2">
      <c r="A211" s="5">
        <v>33694</v>
      </c>
      <c r="B211" s="6">
        <v>-8.7469202117736344E-2</v>
      </c>
    </row>
    <row r="212" spans="1:2">
      <c r="A212" s="5">
        <v>33724</v>
      </c>
      <c r="B212" s="6">
        <v>-7.1243267631052043E-2</v>
      </c>
    </row>
    <row r="213" spans="1:2">
      <c r="A213" s="5">
        <v>33753</v>
      </c>
      <c r="B213" s="6">
        <v>4.4676878235392348E-2</v>
      </c>
    </row>
    <row r="214" spans="1:2">
      <c r="A214" s="5">
        <v>33785</v>
      </c>
      <c r="B214" s="6">
        <v>-0.1018077191350848</v>
      </c>
    </row>
    <row r="215" spans="1:2">
      <c r="A215" s="5">
        <v>33816</v>
      </c>
      <c r="B215" s="6">
        <v>-1.3711373564148199E-2</v>
      </c>
    </row>
    <row r="216" spans="1:2">
      <c r="A216" s="5">
        <v>33847</v>
      </c>
      <c r="B216" s="6">
        <v>0.13636251794135745</v>
      </c>
    </row>
    <row r="217" spans="1:2">
      <c r="A217" s="5">
        <v>33877</v>
      </c>
      <c r="B217" s="6">
        <v>-5.4066733549378965E-2</v>
      </c>
    </row>
    <row r="218" spans="1:2">
      <c r="A218" s="5">
        <v>33907</v>
      </c>
      <c r="B218" s="6">
        <v>-2.4179764993132791E-2</v>
      </c>
    </row>
    <row r="219" spans="1:2">
      <c r="A219" s="5">
        <v>33938</v>
      </c>
      <c r="B219" s="6">
        <v>3.4748340383607745E-2</v>
      </c>
    </row>
    <row r="220" spans="1:2">
      <c r="A220" s="5">
        <v>33969</v>
      </c>
      <c r="B220" s="6">
        <v>-1.1856273850455179E-2</v>
      </c>
    </row>
    <row r="221" spans="1:2">
      <c r="A221" s="5">
        <v>33998</v>
      </c>
      <c r="B221" s="6">
        <v>-6.7142835293577674E-3</v>
      </c>
    </row>
    <row r="222" spans="1:2">
      <c r="A222" s="5">
        <v>34026</v>
      </c>
      <c r="B222" s="6">
        <v>-1.1294345898004488E-2</v>
      </c>
    </row>
    <row r="223" spans="1:2">
      <c r="A223" s="5">
        <v>34059</v>
      </c>
      <c r="B223" s="6">
        <v>0.11498119466442391</v>
      </c>
    </row>
    <row r="224" spans="1:2">
      <c r="A224" s="5">
        <v>34089</v>
      </c>
      <c r="B224" s="6">
        <v>0.1319393520361487</v>
      </c>
    </row>
    <row r="225" spans="1:2">
      <c r="A225" s="5">
        <v>34120</v>
      </c>
      <c r="B225" s="6">
        <v>9.7545024339982245E-3</v>
      </c>
    </row>
    <row r="226" spans="1:2">
      <c r="A226" s="5">
        <v>34150</v>
      </c>
      <c r="B226" s="6">
        <v>-3.4431137724550864E-2</v>
      </c>
    </row>
    <row r="227" spans="1:2">
      <c r="A227" s="5">
        <v>34180</v>
      </c>
      <c r="B227" s="6">
        <v>5.0409745293466202E-2</v>
      </c>
    </row>
    <row r="228" spans="1:2">
      <c r="A228" s="5">
        <v>34212</v>
      </c>
      <c r="B228" s="6">
        <v>1.9989035550119993E-2</v>
      </c>
    </row>
    <row r="229" spans="1:2">
      <c r="A229" s="5">
        <v>34242</v>
      </c>
      <c r="B229" s="6">
        <v>-3.9478113980946028E-2</v>
      </c>
    </row>
    <row r="230" spans="1:2">
      <c r="A230" s="5">
        <v>34271</v>
      </c>
      <c r="B230" s="6">
        <v>2.6687163720213736E-3</v>
      </c>
    </row>
    <row r="231" spans="1:2">
      <c r="A231" s="5">
        <v>34303</v>
      </c>
      <c r="B231" s="6">
        <v>-0.15732342281014844</v>
      </c>
    </row>
    <row r="232" spans="1:2">
      <c r="A232" s="5">
        <v>34334</v>
      </c>
      <c r="B232" s="6">
        <v>4.7487009300903882E-2</v>
      </c>
    </row>
    <row r="233" spans="1:2">
      <c r="A233" s="5">
        <v>34365</v>
      </c>
      <c r="B233" s="6">
        <v>0.13194516817085966</v>
      </c>
    </row>
    <row r="234" spans="1:2">
      <c r="A234" s="5">
        <v>34393</v>
      </c>
      <c r="B234" s="6">
        <v>1.5283387142313032E-3</v>
      </c>
    </row>
    <row r="235" spans="1:2">
      <c r="A235" s="5">
        <v>34424</v>
      </c>
      <c r="B235" s="6">
        <v>-4.1980498985726644E-2</v>
      </c>
    </row>
    <row r="236" spans="1:2">
      <c r="A236" s="5">
        <v>34453</v>
      </c>
      <c r="B236" s="6">
        <v>2.5665137761401224E-2</v>
      </c>
    </row>
    <row r="237" spans="1:2">
      <c r="A237" s="5">
        <v>34485</v>
      </c>
      <c r="B237" s="6">
        <v>4.9378481036343125E-2</v>
      </c>
    </row>
    <row r="238" spans="1:2">
      <c r="A238" s="5">
        <v>34515</v>
      </c>
      <c r="B238" s="6">
        <v>-5.4561664190193593E-3</v>
      </c>
    </row>
    <row r="239" spans="1:2">
      <c r="A239" s="5">
        <v>34544</v>
      </c>
      <c r="B239" s="6">
        <v>-2.1460330361197988E-2</v>
      </c>
    </row>
    <row r="240" spans="1:2">
      <c r="A240" s="5">
        <v>34577</v>
      </c>
      <c r="B240" s="6">
        <v>1.8199473558853096E-3</v>
      </c>
    </row>
    <row r="241" spans="1:2">
      <c r="A241" s="5">
        <v>34607</v>
      </c>
      <c r="B241" s="6">
        <v>-3.871030669535902E-2</v>
      </c>
    </row>
    <row r="242" spans="1:2">
      <c r="A242" s="5">
        <v>34638</v>
      </c>
      <c r="B242" s="6">
        <v>4.927420428818774E-3</v>
      </c>
    </row>
    <row r="243" spans="1:2">
      <c r="A243" s="5">
        <v>34668</v>
      </c>
      <c r="B243" s="6">
        <v>-4.0544974947307355E-2</v>
      </c>
    </row>
    <row r="244" spans="1:2">
      <c r="A244" s="5">
        <v>34698</v>
      </c>
      <c r="B244" s="6">
        <v>2.5440506179254196E-2</v>
      </c>
    </row>
    <row r="245" spans="1:2">
      <c r="A245" s="5">
        <v>34730</v>
      </c>
      <c r="B245" s="6">
        <v>-6.1093330083574426E-2</v>
      </c>
    </row>
    <row r="246" spans="1:2">
      <c r="A246" s="5">
        <v>34758</v>
      </c>
      <c r="B246" s="6">
        <v>-7.8867909061099417E-2</v>
      </c>
    </row>
    <row r="247" spans="1:2">
      <c r="A247" s="5">
        <v>34789</v>
      </c>
      <c r="B247" s="6">
        <v>-3.0035820497037236E-2</v>
      </c>
    </row>
    <row r="248" spans="1:2">
      <c r="A248" s="5">
        <v>34817</v>
      </c>
      <c r="B248" s="6">
        <v>1.829664574237877E-2</v>
      </c>
    </row>
    <row r="249" spans="1:2">
      <c r="A249" s="5">
        <v>34850</v>
      </c>
      <c r="B249" s="6">
        <v>-5.834872580378736E-2</v>
      </c>
    </row>
    <row r="250" spans="1:2">
      <c r="A250" s="5">
        <v>34880</v>
      </c>
      <c r="B250" s="6">
        <v>-4.5546243949892706E-2</v>
      </c>
    </row>
    <row r="251" spans="1:2">
      <c r="A251" s="5">
        <v>34911</v>
      </c>
      <c r="B251" s="6">
        <v>0.11621650974527764</v>
      </c>
    </row>
    <row r="252" spans="1:2">
      <c r="A252" s="5">
        <v>34942</v>
      </c>
      <c r="B252" s="6">
        <v>6.8467929047226983E-2</v>
      </c>
    </row>
    <row r="253" spans="1:2">
      <c r="A253" s="5">
        <v>34971</v>
      </c>
      <c r="B253" s="6">
        <v>7.411143333473591E-3</v>
      </c>
    </row>
    <row r="254" spans="1:2">
      <c r="A254" s="5">
        <v>35003</v>
      </c>
      <c r="B254" s="6">
        <v>-1.8787895644434505E-2</v>
      </c>
    </row>
    <row r="255" spans="1:2">
      <c r="A255" s="5">
        <v>35033</v>
      </c>
      <c r="B255" s="6">
        <v>5.0363535864619946E-2</v>
      </c>
    </row>
    <row r="256" spans="1:2">
      <c r="A256" s="5">
        <v>35062</v>
      </c>
      <c r="B256" s="6">
        <v>6.442406946384116E-2</v>
      </c>
    </row>
    <row r="257" spans="1:2">
      <c r="A257" s="5">
        <v>35095</v>
      </c>
      <c r="B257" s="6">
        <v>2.2444064144006903E-2</v>
      </c>
    </row>
    <row r="258" spans="1:2">
      <c r="A258" s="5">
        <v>35124</v>
      </c>
      <c r="B258" s="6">
        <v>-3.2638815703826651E-2</v>
      </c>
    </row>
    <row r="259" spans="1:2">
      <c r="A259" s="5">
        <v>35153</v>
      </c>
      <c r="B259" s="6">
        <v>4.8972738807787408E-2</v>
      </c>
    </row>
    <row r="260" spans="1:2">
      <c r="A260" s="5">
        <v>35185</v>
      </c>
      <c r="B260" s="6">
        <v>4.6148770832315167E-2</v>
      </c>
    </row>
    <row r="261" spans="1:2">
      <c r="A261" s="5">
        <v>35216</v>
      </c>
      <c r="B261" s="6">
        <v>-1.8599409023487334E-2</v>
      </c>
    </row>
    <row r="262" spans="1:2">
      <c r="A262" s="5">
        <v>35244</v>
      </c>
      <c r="B262" s="6">
        <v>1.8969754309549725E-2</v>
      </c>
    </row>
    <row r="263" spans="1:2">
      <c r="A263" s="5">
        <v>35277</v>
      </c>
      <c r="B263" s="6">
        <v>-7.475838710619287E-2</v>
      </c>
    </row>
    <row r="264" spans="1:2">
      <c r="A264" s="5">
        <v>35307</v>
      </c>
      <c r="B264" s="6">
        <v>-2.5838945235826194E-2</v>
      </c>
    </row>
    <row r="265" spans="1:2">
      <c r="A265" s="5">
        <v>35338</v>
      </c>
      <c r="B265" s="6">
        <v>5.4460994240325356E-2</v>
      </c>
    </row>
    <row r="266" spans="1:2">
      <c r="A266" s="5">
        <v>35369</v>
      </c>
      <c r="B266" s="6">
        <v>-4.7310374489263007E-2</v>
      </c>
    </row>
    <row r="267" spans="1:2">
      <c r="A267" s="5">
        <v>35398</v>
      </c>
      <c r="B267" s="6">
        <v>7.9004224307503979E-3</v>
      </c>
    </row>
    <row r="268" spans="1:2">
      <c r="A268" s="5">
        <v>35430</v>
      </c>
      <c r="B268" s="6">
        <v>-5.8779114410033251E-2</v>
      </c>
    </row>
    <row r="269" spans="1:2">
      <c r="A269" s="5">
        <v>35461</v>
      </c>
      <c r="B269" s="6">
        <v>-6.6936788720138196E-2</v>
      </c>
    </row>
    <row r="270" spans="1:2">
      <c r="A270" s="5">
        <v>35489</v>
      </c>
      <c r="B270" s="6">
        <v>1.3195092096059513E-2</v>
      </c>
    </row>
    <row r="271" spans="1:2">
      <c r="A271" s="5">
        <v>35520</v>
      </c>
      <c r="B271" s="6">
        <v>-1.2462336130707019E-2</v>
      </c>
    </row>
    <row r="272" spans="1:2">
      <c r="A272" s="5">
        <v>35550</v>
      </c>
      <c r="B272" s="6">
        <v>4.9466233633834955E-2</v>
      </c>
    </row>
    <row r="273" spans="1:2">
      <c r="A273" s="5">
        <v>35580</v>
      </c>
      <c r="B273" s="6">
        <v>3.1709906396797161E-2</v>
      </c>
    </row>
    <row r="274" spans="1:2">
      <c r="A274" s="5">
        <v>35611</v>
      </c>
      <c r="B274" s="6">
        <v>4.5006691819838629E-2</v>
      </c>
    </row>
    <row r="275" spans="1:2">
      <c r="A275" s="5">
        <v>35642</v>
      </c>
      <c r="B275" s="6">
        <v>-6.2877700619766719E-3</v>
      </c>
    </row>
    <row r="276" spans="1:2">
      <c r="A276" s="5">
        <v>35671</v>
      </c>
      <c r="B276" s="6">
        <v>-7.5159969948965011E-2</v>
      </c>
    </row>
    <row r="277" spans="1:2">
      <c r="A277" s="5">
        <v>35703</v>
      </c>
      <c r="B277" s="6">
        <v>-2.7780306584780035E-2</v>
      </c>
    </row>
    <row r="278" spans="1:2">
      <c r="A278" s="5">
        <v>35734</v>
      </c>
      <c r="B278" s="6">
        <v>-8.0096807652414448E-2</v>
      </c>
    </row>
    <row r="279" spans="1:2">
      <c r="A279" s="5">
        <v>35762</v>
      </c>
      <c r="B279" s="6">
        <v>-1.9496993234778159E-2</v>
      </c>
    </row>
    <row r="280" spans="1:2">
      <c r="A280" s="5">
        <v>35795</v>
      </c>
      <c r="B280" s="6">
        <v>-6.1642522879366335E-2</v>
      </c>
    </row>
    <row r="281" spans="1:2">
      <c r="A281" s="5">
        <v>35825</v>
      </c>
      <c r="B281" s="6">
        <v>7.8704373505357417E-2</v>
      </c>
    </row>
    <row r="282" spans="1:2">
      <c r="A282" s="5">
        <v>35853</v>
      </c>
      <c r="B282" s="6">
        <v>3.8974051486773131E-3</v>
      </c>
    </row>
    <row r="283" spans="1:2">
      <c r="A283" s="5">
        <v>35885</v>
      </c>
      <c r="B283" s="6">
        <v>-1.6307124052025612E-2</v>
      </c>
    </row>
    <row r="284" spans="1:2">
      <c r="A284" s="5">
        <v>35915</v>
      </c>
      <c r="B284" s="6">
        <v>-2.2944795078692959E-2</v>
      </c>
    </row>
    <row r="285" spans="1:2">
      <c r="A285" s="5">
        <v>35944</v>
      </c>
      <c r="B285" s="6">
        <v>-1.2183355410554375E-3</v>
      </c>
    </row>
    <row r="286" spans="1:2">
      <c r="A286" s="5">
        <v>35976</v>
      </c>
      <c r="B286" s="6">
        <v>7.2779965452030027E-3</v>
      </c>
    </row>
    <row r="287" spans="1:2">
      <c r="A287" s="5">
        <v>36007</v>
      </c>
      <c r="B287" s="6">
        <v>2.5731887709488088E-2</v>
      </c>
    </row>
    <row r="288" spans="1:2">
      <c r="A288" s="5">
        <v>36038</v>
      </c>
      <c r="B288" s="6">
        <v>-0.12325282875344679</v>
      </c>
    </row>
    <row r="289" spans="1:2">
      <c r="A289" s="5">
        <v>36068</v>
      </c>
      <c r="B289" s="6">
        <v>-5.6864499453226025E-2</v>
      </c>
    </row>
    <row r="290" spans="1:2">
      <c r="A290" s="5">
        <v>36098</v>
      </c>
      <c r="B290" s="6">
        <v>-7.6372452255240031E-3</v>
      </c>
    </row>
    <row r="291" spans="1:2">
      <c r="A291" s="5">
        <v>36129</v>
      </c>
      <c r="B291" s="6">
        <v>0.10419080726149099</v>
      </c>
    </row>
    <row r="292" spans="1:2">
      <c r="A292" s="5">
        <v>36160</v>
      </c>
      <c r="B292" s="6">
        <v>-4.9418452120682077E-2</v>
      </c>
    </row>
    <row r="293" spans="1:2">
      <c r="A293" s="5">
        <v>36189</v>
      </c>
      <c r="B293" s="6">
        <v>3.5207315614679047E-2</v>
      </c>
    </row>
    <row r="294" spans="1:2">
      <c r="A294" s="5">
        <v>36217</v>
      </c>
      <c r="B294" s="6">
        <v>-4.6478147272630554E-3</v>
      </c>
    </row>
    <row r="295" spans="1:2">
      <c r="A295" s="5">
        <v>36250</v>
      </c>
      <c r="B295" s="6">
        <v>0.13141612278242554</v>
      </c>
    </row>
    <row r="296" spans="1:2">
      <c r="A296" s="5">
        <v>36280</v>
      </c>
      <c r="B296" s="6">
        <v>5.5160114265873306E-2</v>
      </c>
    </row>
    <row r="297" spans="1:2">
      <c r="A297" s="5">
        <v>36311</v>
      </c>
      <c r="B297" s="6">
        <v>-2.9862689960512001E-2</v>
      </c>
    </row>
    <row r="298" spans="1:2">
      <c r="A298" s="5">
        <v>36341</v>
      </c>
      <c r="B298" s="6">
        <v>9.1744463031629975E-2</v>
      </c>
    </row>
    <row r="299" spans="1:2">
      <c r="A299" s="5">
        <v>36371</v>
      </c>
      <c r="B299" s="6">
        <v>4.4294591159440788E-2</v>
      </c>
    </row>
    <row r="300" spans="1:2">
      <c r="A300" s="5">
        <v>36403</v>
      </c>
      <c r="B300" s="6">
        <v>-1.4814764728553809E-2</v>
      </c>
    </row>
    <row r="301" spans="1:2">
      <c r="A301" s="5">
        <v>36433</v>
      </c>
      <c r="B301" s="6">
        <v>3.418621570053948E-2</v>
      </c>
    </row>
    <row r="302" spans="1:2">
      <c r="A302" s="5">
        <v>36462</v>
      </c>
      <c r="B302" s="6">
        <v>3.7867576302569095E-2</v>
      </c>
    </row>
    <row r="303" spans="1:2">
      <c r="A303" s="5">
        <v>36494</v>
      </c>
      <c r="B303" s="6">
        <v>4.9645435420649697E-2</v>
      </c>
    </row>
    <row r="304" spans="1:2">
      <c r="A304" s="5">
        <v>36525</v>
      </c>
      <c r="B304" s="6">
        <v>4.9143177401570481E-2</v>
      </c>
    </row>
    <row r="305" spans="1:2">
      <c r="A305" s="5">
        <v>36556</v>
      </c>
      <c r="B305" s="6">
        <v>-8.2684937870166619E-3</v>
      </c>
    </row>
    <row r="306" spans="1:2">
      <c r="A306" s="5">
        <v>36585</v>
      </c>
      <c r="B306" s="6">
        <v>6.4287219841214771E-3</v>
      </c>
    </row>
    <row r="307" spans="1:2">
      <c r="A307" s="5">
        <v>36616</v>
      </c>
      <c r="B307" s="6">
        <v>-7.5628003304362146E-3</v>
      </c>
    </row>
    <row r="308" spans="1:2">
      <c r="A308" s="5">
        <v>36644</v>
      </c>
      <c r="B308" s="6">
        <v>-3.3453697081960776E-2</v>
      </c>
    </row>
    <row r="309" spans="1:2">
      <c r="A309" s="5">
        <v>36677</v>
      </c>
      <c r="B309" s="6">
        <v>-7.6434164003226446E-2</v>
      </c>
    </row>
    <row r="310" spans="1:2">
      <c r="A310" s="5">
        <v>36707</v>
      </c>
      <c r="B310" s="6">
        <v>4.5152478264295581E-2</v>
      </c>
    </row>
    <row r="311" spans="1:2">
      <c r="A311" s="5">
        <v>36738</v>
      </c>
      <c r="B311" s="6">
        <v>-8.6987936667504262E-2</v>
      </c>
    </row>
    <row r="312" spans="1:2">
      <c r="A312" s="5">
        <v>36769</v>
      </c>
      <c r="B312" s="6">
        <v>4.0112858273406049E-2</v>
      </c>
    </row>
    <row r="313" spans="1:2">
      <c r="A313" s="5">
        <v>36798</v>
      </c>
      <c r="B313" s="6">
        <v>-2.6901497909278649E-2</v>
      </c>
    </row>
    <row r="314" spans="1:2">
      <c r="A314" s="5">
        <v>36830</v>
      </c>
      <c r="B314" s="6">
        <v>-6.1749547858959142E-2</v>
      </c>
    </row>
    <row r="315" spans="1:2">
      <c r="A315" s="5">
        <v>36860</v>
      </c>
      <c r="B315" s="6">
        <v>-1.2536595263630823E-2</v>
      </c>
    </row>
    <row r="316" spans="1:2">
      <c r="A316" s="5">
        <v>36889</v>
      </c>
      <c r="B316" s="6">
        <v>-5.7967504733389075E-2</v>
      </c>
    </row>
    <row r="317" spans="1:2">
      <c r="A317" s="5">
        <v>36922</v>
      </c>
      <c r="B317" s="6">
        <v>1.2900511813783933E-2</v>
      </c>
    </row>
    <row r="318" spans="1:2">
      <c r="A318" s="5">
        <v>36950</v>
      </c>
      <c r="B318" s="6">
        <v>-4.5184313544526788E-2</v>
      </c>
    </row>
    <row r="319" spans="1:2">
      <c r="A319" s="5">
        <v>36980</v>
      </c>
      <c r="B319" s="6">
        <v>2.88284950220703E-2</v>
      </c>
    </row>
    <row r="320" spans="1:2">
      <c r="A320" s="5">
        <v>37011</v>
      </c>
      <c r="B320" s="6">
        <v>6.9828618851143442E-2</v>
      </c>
    </row>
    <row r="321" spans="1:2">
      <c r="A321" s="5">
        <v>37042</v>
      </c>
      <c r="B321" s="6">
        <v>-4.0725670711180828E-2</v>
      </c>
    </row>
    <row r="322" spans="1:2">
      <c r="A322" s="5">
        <v>37071</v>
      </c>
      <c r="B322" s="6">
        <v>-7.4991798963999212E-3</v>
      </c>
    </row>
    <row r="323" spans="1:2">
      <c r="A323" s="5">
        <v>37103</v>
      </c>
      <c r="B323" s="6">
        <v>-8.5066642069824394E-2</v>
      </c>
    </row>
    <row r="324" spans="1:2">
      <c r="A324" s="5">
        <v>37134</v>
      </c>
      <c r="B324" s="6">
        <v>-7.2787761171459464E-2</v>
      </c>
    </row>
    <row r="325" spans="1:2">
      <c r="A325" s="5">
        <v>37162</v>
      </c>
      <c r="B325" s="6">
        <v>-7.2711951942156738E-2</v>
      </c>
    </row>
    <row r="326" spans="1:2">
      <c r="A326" s="5">
        <v>37195</v>
      </c>
      <c r="B326" s="6">
        <v>3.5127318207578417E-2</v>
      </c>
    </row>
    <row r="327" spans="1:2">
      <c r="A327" s="5">
        <v>37225</v>
      </c>
      <c r="B327" s="6">
        <v>-8.6372089071805602E-3</v>
      </c>
    </row>
    <row r="328" spans="1:2">
      <c r="A328" s="5">
        <v>37256</v>
      </c>
      <c r="B328" s="6">
        <v>-1.7215440574355756E-2</v>
      </c>
    </row>
    <row r="329" spans="1:2">
      <c r="A329" s="5">
        <v>37287</v>
      </c>
      <c r="B329" s="6">
        <v>-5.8490127308311046E-2</v>
      </c>
    </row>
    <row r="330" spans="1:2">
      <c r="A330" s="5">
        <v>37315</v>
      </c>
      <c r="B330" s="6">
        <v>4.3250975024954341E-2</v>
      </c>
    </row>
    <row r="331" spans="1:2">
      <c r="A331" s="5">
        <v>37344</v>
      </c>
      <c r="B331" s="6">
        <v>4.57585322548828E-2</v>
      </c>
    </row>
    <row r="332" spans="1:2">
      <c r="A332" s="5">
        <v>37376</v>
      </c>
      <c r="B332" s="6">
        <v>2.0628377932257358E-2</v>
      </c>
    </row>
    <row r="333" spans="1:2">
      <c r="A333" s="5">
        <v>37407</v>
      </c>
      <c r="B333" s="6">
        <v>3.5136683732879925E-2</v>
      </c>
    </row>
    <row r="334" spans="1:2">
      <c r="A334" s="5">
        <v>37435</v>
      </c>
      <c r="B334" s="6">
        <v>-8.4985001071351873E-2</v>
      </c>
    </row>
    <row r="335" spans="1:2">
      <c r="A335" s="5">
        <v>37468</v>
      </c>
      <c r="B335" s="6">
        <v>-5.8435539423743132E-2</v>
      </c>
    </row>
    <row r="336" spans="1:2">
      <c r="A336" s="5">
        <v>37498</v>
      </c>
      <c r="B336" s="6">
        <v>-2.4207253886010416E-2</v>
      </c>
    </row>
    <row r="337" spans="1:2">
      <c r="A337" s="5">
        <v>37529</v>
      </c>
      <c r="B337" s="6">
        <v>-2.1866105942823233E-2</v>
      </c>
    </row>
    <row r="338" spans="1:2">
      <c r="A338" s="5">
        <v>37560</v>
      </c>
      <c r="B338" s="6">
        <v>-6.3851039574398749E-2</v>
      </c>
    </row>
    <row r="339" spans="1:2">
      <c r="A339" s="5">
        <v>37589</v>
      </c>
      <c r="B339" s="6">
        <v>3.5338188903321521E-2</v>
      </c>
    </row>
    <row r="340" spans="1:2">
      <c r="A340" s="5">
        <v>37621</v>
      </c>
      <c r="B340" s="6">
        <v>-5.5359523249431608E-2</v>
      </c>
    </row>
    <row r="341" spans="1:2">
      <c r="A341" s="5">
        <v>37652</v>
      </c>
      <c r="B341" s="6">
        <v>-2.6218738512255535E-2</v>
      </c>
    </row>
    <row r="342" spans="1:2">
      <c r="A342" s="5">
        <v>37680</v>
      </c>
      <c r="B342" s="6">
        <v>-2.9835115321853456E-3</v>
      </c>
    </row>
    <row r="343" spans="1:2">
      <c r="A343" s="5">
        <v>37711</v>
      </c>
      <c r="B343" s="6">
        <v>-3.753374128222986E-2</v>
      </c>
    </row>
    <row r="344" spans="1:2">
      <c r="A344" s="5">
        <v>37741</v>
      </c>
      <c r="B344" s="6">
        <v>1.0862944162436383E-2</v>
      </c>
    </row>
    <row r="345" spans="1:2">
      <c r="A345" s="5">
        <v>37771</v>
      </c>
      <c r="B345" s="6">
        <v>5.1647082454554738E-2</v>
      </c>
    </row>
    <row r="346" spans="1:2">
      <c r="A346" s="5">
        <v>37802</v>
      </c>
      <c r="B346" s="6">
        <v>7.847678166408012E-2</v>
      </c>
    </row>
    <row r="347" spans="1:2">
      <c r="A347" s="5">
        <v>37833</v>
      </c>
      <c r="B347" s="6">
        <v>3.9803418046577388E-2</v>
      </c>
    </row>
    <row r="348" spans="1:2">
      <c r="A348" s="5">
        <v>37862</v>
      </c>
      <c r="B348" s="6">
        <v>6.6648924845646107E-2</v>
      </c>
    </row>
    <row r="349" spans="1:2">
      <c r="A349" s="5">
        <v>37894</v>
      </c>
      <c r="B349" s="6">
        <v>1.6756319797207597E-2</v>
      </c>
    </row>
    <row r="350" spans="1:2">
      <c r="A350" s="5">
        <v>37925</v>
      </c>
      <c r="B350" s="6">
        <v>2.4106792304672053E-2</v>
      </c>
    </row>
    <row r="351" spans="1:2">
      <c r="A351" s="5">
        <v>37953</v>
      </c>
      <c r="B351" s="6">
        <v>-4.1797653734089724E-2</v>
      </c>
    </row>
    <row r="352" spans="1:2">
      <c r="A352" s="5">
        <v>37986</v>
      </c>
      <c r="B352" s="6">
        <v>4.3950987746936843E-2</v>
      </c>
    </row>
    <row r="353" spans="1:2">
      <c r="A353" s="5">
        <v>38016</v>
      </c>
      <c r="B353" s="6">
        <v>3.6600906399408828E-3</v>
      </c>
    </row>
    <row r="354" spans="1:2">
      <c r="A354" s="5">
        <v>38044</v>
      </c>
      <c r="B354" s="6">
        <v>3.337438306078222E-2</v>
      </c>
    </row>
    <row r="355" spans="1:2">
      <c r="A355" s="5">
        <v>38077</v>
      </c>
      <c r="B355" s="6">
        <v>8.9388158563285858E-2</v>
      </c>
    </row>
    <row r="356" spans="1:2">
      <c r="A356" s="5">
        <v>38107</v>
      </c>
      <c r="B356" s="6">
        <v>6.0039178107746949E-3</v>
      </c>
    </row>
    <row r="357" spans="1:2">
      <c r="A357" s="5">
        <v>38138</v>
      </c>
      <c r="B357" s="6">
        <v>-3.9087590933229888E-2</v>
      </c>
    </row>
    <row r="358" spans="1:2">
      <c r="A358" s="5">
        <v>38168</v>
      </c>
      <c r="B358" s="6">
        <v>4.3563696334894653E-2</v>
      </c>
    </row>
    <row r="359" spans="1:2">
      <c r="A359" s="5">
        <v>38198</v>
      </c>
      <c r="B359" s="6">
        <v>-4.2283120376597094E-2</v>
      </c>
    </row>
    <row r="360" spans="1:2">
      <c r="A360" s="5">
        <v>38230</v>
      </c>
      <c r="B360" s="6">
        <v>-8.5578864214869155E-3</v>
      </c>
    </row>
    <row r="361" spans="1:2">
      <c r="A361" s="5">
        <v>38260</v>
      </c>
      <c r="B361" s="6">
        <v>-2.4292859988491067E-2</v>
      </c>
    </row>
    <row r="362" spans="1:2">
      <c r="A362" s="5">
        <v>38289</v>
      </c>
      <c r="B362" s="6">
        <v>-1.5134605438658411E-2</v>
      </c>
    </row>
    <row r="363" spans="1:2">
      <c r="A363" s="5">
        <v>38321</v>
      </c>
      <c r="B363" s="6">
        <v>1.2308486037791333E-2</v>
      </c>
    </row>
    <row r="364" spans="1:2">
      <c r="A364" s="5">
        <v>38352</v>
      </c>
      <c r="B364" s="6">
        <v>4.626907780376599E-2</v>
      </c>
    </row>
    <row r="365" spans="1:2">
      <c r="A365" s="5">
        <v>38383</v>
      </c>
      <c r="B365" s="6">
        <v>-3.0357593312630993E-3</v>
      </c>
    </row>
    <row r="366" spans="1:2">
      <c r="A366" s="5">
        <v>38411</v>
      </c>
      <c r="B366" s="6">
        <v>2.7282879927408521E-2</v>
      </c>
    </row>
    <row r="367" spans="1:2">
      <c r="A367" s="5">
        <v>38442</v>
      </c>
      <c r="B367" s="6">
        <v>4.051265064845655E-3</v>
      </c>
    </row>
    <row r="368" spans="1:2">
      <c r="A368" s="5">
        <v>38471</v>
      </c>
      <c r="B368" s="6">
        <v>-4.4198007071681089E-2</v>
      </c>
    </row>
    <row r="369" spans="1:2">
      <c r="A369" s="5">
        <v>38503</v>
      </c>
      <c r="B369" s="6">
        <v>1.2744152292619715E-2</v>
      </c>
    </row>
    <row r="370" spans="1:2">
      <c r="A370" s="5">
        <v>38533</v>
      </c>
      <c r="B370" s="6">
        <v>2.8724231646465759E-2</v>
      </c>
    </row>
    <row r="371" spans="1:2">
      <c r="A371" s="5">
        <v>38562</v>
      </c>
      <c r="B371" s="6">
        <v>2.3598369011212927E-2</v>
      </c>
    </row>
    <row r="372" spans="1:2">
      <c r="A372" s="5">
        <v>38595</v>
      </c>
      <c r="B372" s="6">
        <v>5.5029959003468853E-2</v>
      </c>
    </row>
    <row r="373" spans="1:2">
      <c r="A373" s="5">
        <v>38625</v>
      </c>
      <c r="B373" s="6">
        <v>0.11090309842758139</v>
      </c>
    </row>
    <row r="374" spans="1:2">
      <c r="A374" s="5">
        <v>38656</v>
      </c>
      <c r="B374" s="6">
        <v>2.2977030050698177E-2</v>
      </c>
    </row>
    <row r="375" spans="1:2">
      <c r="A375" s="5">
        <v>38686</v>
      </c>
      <c r="B375" s="6">
        <v>6.331978985692821E-2</v>
      </c>
    </row>
    <row r="376" spans="1:2">
      <c r="A376" s="5">
        <v>38716</v>
      </c>
      <c r="B376" s="6">
        <v>7.3915675591227803E-2</v>
      </c>
    </row>
    <row r="377" spans="1:2">
      <c r="A377" s="5">
        <v>38748</v>
      </c>
      <c r="B377" s="6">
        <v>3.6981136650179325E-2</v>
      </c>
    </row>
    <row r="378" spans="1:2">
      <c r="A378" s="5">
        <v>38776</v>
      </c>
      <c r="B378" s="6">
        <v>-2.9431191802521628E-2</v>
      </c>
    </row>
    <row r="379" spans="1:2">
      <c r="A379" s="5">
        <v>38807</v>
      </c>
      <c r="B379" s="6">
        <v>4.0796906806711553E-2</v>
      </c>
    </row>
    <row r="380" spans="1:2">
      <c r="A380" s="5">
        <v>38837</v>
      </c>
      <c r="B380" s="6">
        <v>-6.7875659661142951E-3</v>
      </c>
    </row>
    <row r="381" spans="1:2">
      <c r="A381" s="5">
        <v>38868</v>
      </c>
      <c r="B381" s="6">
        <v>-7.9519700774281499E-2</v>
      </c>
    </row>
    <row r="382" spans="1:2">
      <c r="A382" s="5">
        <v>38898</v>
      </c>
      <c r="B382" s="6">
        <v>4.4432067040520717E-3</v>
      </c>
    </row>
    <row r="383" spans="1:2">
      <c r="A383" s="5">
        <v>38929</v>
      </c>
      <c r="B383" s="6">
        <v>-9.4205272974744458E-3</v>
      </c>
    </row>
    <row r="384" spans="1:2">
      <c r="A384" s="5">
        <v>38960</v>
      </c>
      <c r="B384" s="6">
        <v>3.9726210393063788E-2</v>
      </c>
    </row>
    <row r="385" spans="1:2">
      <c r="A385" s="5">
        <v>38990</v>
      </c>
      <c r="B385" s="6">
        <v>-1.4518556587496789E-2</v>
      </c>
    </row>
    <row r="386" spans="1:2">
      <c r="A386" s="5">
        <v>39021</v>
      </c>
      <c r="B386" s="6">
        <v>4.1533962861559637E-3</v>
      </c>
    </row>
    <row r="387" spans="1:2">
      <c r="A387" s="5">
        <v>39051</v>
      </c>
      <c r="B387" s="6">
        <v>-8.8968851627901913E-3</v>
      </c>
    </row>
    <row r="388" spans="1:2">
      <c r="A388" s="5">
        <v>39082</v>
      </c>
      <c r="B388" s="6">
        <v>4.8682806934368106E-2</v>
      </c>
    </row>
    <row r="389" spans="1:2">
      <c r="A389" s="5">
        <v>39113</v>
      </c>
      <c r="B389" s="6">
        <v>2.4323793774203351E-2</v>
      </c>
    </row>
    <row r="390" spans="1:2">
      <c r="A390" s="5">
        <v>39141</v>
      </c>
      <c r="B390" s="6">
        <v>1.7874979674324498E-2</v>
      </c>
    </row>
    <row r="391" spans="1:2">
      <c r="A391" s="5">
        <v>39172</v>
      </c>
      <c r="B391" s="6">
        <v>-2.2325045357554529E-2</v>
      </c>
    </row>
    <row r="392" spans="1:2">
      <c r="A392" s="5">
        <v>39202</v>
      </c>
      <c r="B392" s="6">
        <v>-7.3587339009458796E-3</v>
      </c>
    </row>
    <row r="393" spans="1:2">
      <c r="A393" s="5">
        <v>39233</v>
      </c>
      <c r="B393" s="6">
        <v>3.2145796590240971E-2</v>
      </c>
    </row>
    <row r="394" spans="1:2">
      <c r="A394" s="5">
        <v>39263</v>
      </c>
      <c r="B394" s="6">
        <v>1.093593365533585E-2</v>
      </c>
    </row>
    <row r="395" spans="1:2">
      <c r="A395" s="5">
        <v>39294</v>
      </c>
      <c r="B395" s="6">
        <v>-3.870684215270892E-2</v>
      </c>
    </row>
    <row r="396" spans="1:2">
      <c r="A396" s="5">
        <v>39325</v>
      </c>
      <c r="B396" s="6">
        <v>-5.7397226552884262E-2</v>
      </c>
    </row>
    <row r="397" spans="1:2">
      <c r="A397" s="5">
        <v>39355</v>
      </c>
      <c r="B397" s="6">
        <v>5.2044147365146731E-3</v>
      </c>
    </row>
    <row r="398" spans="1:2">
      <c r="A398" s="5">
        <v>39386</v>
      </c>
      <c r="B398" s="6">
        <v>2.1340822209301447E-3</v>
      </c>
    </row>
    <row r="399" spans="1:2">
      <c r="A399" s="5">
        <v>39416</v>
      </c>
      <c r="B399" s="6">
        <v>-5.4435919435579794E-2</v>
      </c>
    </row>
    <row r="400" spans="1:2">
      <c r="A400" s="5">
        <v>39447</v>
      </c>
      <c r="B400" s="6">
        <v>-3.6686946758231698E-2</v>
      </c>
    </row>
    <row r="401" spans="1:2">
      <c r="A401" s="5">
        <v>39478</v>
      </c>
      <c r="B401" s="6">
        <v>-8.7668058115580649E-2</v>
      </c>
    </row>
    <row r="402" spans="1:2">
      <c r="A402" s="5">
        <v>39507</v>
      </c>
      <c r="B402" s="6">
        <v>-1.6363244720755232E-2</v>
      </c>
    </row>
    <row r="403" spans="1:2">
      <c r="A403" s="5">
        <v>39538</v>
      </c>
      <c r="B403" s="6">
        <v>-8.40607726462681E-2</v>
      </c>
    </row>
    <row r="404" spans="1:2">
      <c r="A404" s="5">
        <v>39568</v>
      </c>
      <c r="B404" s="6">
        <v>0.12011113309589772</v>
      </c>
    </row>
    <row r="405" spans="1:2">
      <c r="A405" s="5">
        <v>39599</v>
      </c>
      <c r="B405" s="6">
        <v>3.6425863909027356E-2</v>
      </c>
    </row>
    <row r="406" spans="1:2">
      <c r="A406" s="5">
        <v>39629</v>
      </c>
      <c r="B406" s="6">
        <v>-6.2522192395642606E-2</v>
      </c>
    </row>
    <row r="407" spans="1:2">
      <c r="A407" s="5">
        <v>39660</v>
      </c>
      <c r="B407" s="6">
        <v>-1.2483902734641283E-2</v>
      </c>
    </row>
    <row r="408" spans="1:2">
      <c r="A408" s="5">
        <v>39691</v>
      </c>
      <c r="B408" s="6">
        <v>-3.7518602046608618E-2</v>
      </c>
    </row>
    <row r="409" spans="1:2">
      <c r="A409" s="5">
        <v>39721</v>
      </c>
      <c r="B409" s="6">
        <v>-0.13333758398354989</v>
      </c>
    </row>
    <row r="410" spans="1:2">
      <c r="A410" s="5">
        <v>39752</v>
      </c>
      <c r="B410" s="6">
        <v>-0.20258228267166944</v>
      </c>
    </row>
    <row r="411" spans="1:2">
      <c r="A411" s="5">
        <v>39782</v>
      </c>
      <c r="B411" s="6">
        <v>-3.724974628655775E-2</v>
      </c>
    </row>
    <row r="412" spans="1:2">
      <c r="A412" s="5">
        <v>39813</v>
      </c>
      <c r="B412" s="6">
        <v>2.9251814762463635E-2</v>
      </c>
    </row>
    <row r="413" spans="1:2">
      <c r="A413" s="5">
        <v>39844</v>
      </c>
      <c r="B413" s="6">
        <v>-7.5892649318001992E-2</v>
      </c>
    </row>
    <row r="414" spans="1:2">
      <c r="A414" s="5">
        <v>39872</v>
      </c>
      <c r="B414" s="6">
        <v>-4.7000743044973037E-2</v>
      </c>
    </row>
    <row r="415" spans="1:2">
      <c r="A415" s="5">
        <v>39903</v>
      </c>
      <c r="B415" s="6">
        <v>2.2399598260892439E-2</v>
      </c>
    </row>
    <row r="416" spans="1:2">
      <c r="A416" s="5">
        <v>39933</v>
      </c>
      <c r="B416" s="6">
        <v>8.2891709536488944E-2</v>
      </c>
    </row>
    <row r="417" spans="1:2">
      <c r="A417" s="5">
        <v>39964</v>
      </c>
      <c r="B417" s="6">
        <v>7.1760226309695696E-2</v>
      </c>
    </row>
    <row r="418" spans="1:2">
      <c r="A418" s="5">
        <v>39994</v>
      </c>
      <c r="B418" s="6">
        <v>3.5471261039525137E-2</v>
      </c>
    </row>
    <row r="419" spans="1:2">
      <c r="A419" s="5">
        <v>40025</v>
      </c>
      <c r="B419" s="6">
        <v>2.2048700739975891E-2</v>
      </c>
    </row>
    <row r="420" spans="1:2">
      <c r="A420" s="5">
        <v>40056</v>
      </c>
      <c r="B420" s="6">
        <v>1.6279755014417141E-2</v>
      </c>
    </row>
    <row r="421" spans="1:2">
      <c r="A421" s="5">
        <v>40086</v>
      </c>
      <c r="B421" s="6">
        <v>-5.787331862943057E-2</v>
      </c>
    </row>
    <row r="422" spans="1:2">
      <c r="A422" s="5">
        <v>40117</v>
      </c>
      <c r="B422" s="6">
        <v>-1.6673261232744263E-2</v>
      </c>
    </row>
    <row r="423" spans="1:2">
      <c r="A423" s="5">
        <v>40147</v>
      </c>
      <c r="B423" s="6">
        <v>-6.1173393541752774E-2</v>
      </c>
    </row>
    <row r="424" spans="1:2">
      <c r="A424" s="5">
        <v>40178</v>
      </c>
      <c r="B424" s="6">
        <v>8.0541467247660536E-2</v>
      </c>
    </row>
    <row r="425" spans="1:2">
      <c r="A425" s="5">
        <v>40209</v>
      </c>
      <c r="B425" s="6">
        <v>-7.1287695986073096E-3</v>
      </c>
    </row>
    <row r="426" spans="1:2">
      <c r="A426" s="5">
        <v>40237</v>
      </c>
      <c r="B426" s="6">
        <v>-7.7903053977272929E-3</v>
      </c>
    </row>
    <row r="427" spans="1:2">
      <c r="A427" s="5">
        <v>40268</v>
      </c>
      <c r="B427" s="6">
        <v>9.4743317302315111E-2</v>
      </c>
    </row>
    <row r="428" spans="1:2">
      <c r="A428" s="5">
        <v>40298</v>
      </c>
      <c r="B428" s="6">
        <v>8.4081691032988903E-3</v>
      </c>
    </row>
    <row r="429" spans="1:2">
      <c r="A429" s="5">
        <v>40329</v>
      </c>
      <c r="B429" s="6">
        <v>-0.10797941319500726</v>
      </c>
    </row>
    <row r="430" spans="1:2">
      <c r="A430" s="5">
        <v>40359</v>
      </c>
      <c r="B430" s="6">
        <v>-4.4340458396747273E-2</v>
      </c>
    </row>
    <row r="431" spans="1:2">
      <c r="A431" s="5">
        <v>40390</v>
      </c>
      <c r="B431" s="6">
        <v>9.6028142901285474E-3</v>
      </c>
    </row>
    <row r="432" spans="1:2">
      <c r="A432" s="5">
        <v>40421</v>
      </c>
      <c r="B432" s="6">
        <v>-5.2772218952324979E-2</v>
      </c>
    </row>
    <row r="433" spans="1:2">
      <c r="A433" s="5">
        <v>40451</v>
      </c>
      <c r="B433" s="6">
        <v>3.0869797556762446E-2</v>
      </c>
    </row>
    <row r="434" spans="1:2">
      <c r="A434" s="5">
        <v>40482</v>
      </c>
      <c r="B434" s="6">
        <v>-2.2422876155802851E-2</v>
      </c>
    </row>
    <row r="435" spans="1:2">
      <c r="A435" s="5">
        <v>40512</v>
      </c>
      <c r="B435" s="6">
        <v>6.1696119174754482E-2</v>
      </c>
    </row>
    <row r="436" spans="1:2">
      <c r="A436" s="5">
        <v>40543</v>
      </c>
      <c r="B436" s="6">
        <v>4.3975189908704415E-2</v>
      </c>
    </row>
    <row r="437" spans="1:2">
      <c r="A437" s="5">
        <v>40574</v>
      </c>
      <c r="B437" s="6">
        <v>1.2550066755674383E-2</v>
      </c>
    </row>
    <row r="438" spans="1:2">
      <c r="A438" s="5">
        <v>40602</v>
      </c>
      <c r="B438" s="6">
        <v>4.5259757383966148E-2</v>
      </c>
    </row>
    <row r="439" spans="1:2">
      <c r="A439" s="5">
        <v>40633</v>
      </c>
      <c r="B439" s="6">
        <v>-8.6084918056913429E-2</v>
      </c>
    </row>
    <row r="440" spans="1:2">
      <c r="A440" s="5">
        <v>40663</v>
      </c>
      <c r="B440" s="6">
        <v>-2.0163794888311215E-2</v>
      </c>
    </row>
    <row r="441" spans="1:2">
      <c r="A441" s="5">
        <v>40694</v>
      </c>
      <c r="B441" s="6">
        <v>-1.5695251511416375E-2</v>
      </c>
    </row>
    <row r="442" spans="1:2">
      <c r="A442" s="5">
        <v>40724</v>
      </c>
      <c r="B442" s="6">
        <v>1.2808892281270801E-2</v>
      </c>
    </row>
    <row r="443" spans="1:2">
      <c r="A443" s="5">
        <v>40755</v>
      </c>
      <c r="B443" s="6">
        <v>-9.2437766420950807E-3</v>
      </c>
    </row>
    <row r="444" spans="1:2">
      <c r="A444" s="5">
        <v>40786</v>
      </c>
      <c r="B444" s="6">
        <v>-8.4112816002472113E-2</v>
      </c>
    </row>
    <row r="445" spans="1:2">
      <c r="A445" s="5">
        <v>40816</v>
      </c>
      <c r="B445" s="6">
        <v>-1.2237217752400831E-2</v>
      </c>
    </row>
    <row r="446" spans="1:2">
      <c r="A446" s="5">
        <v>40847</v>
      </c>
      <c r="B446" s="6">
        <v>3.796786526006013E-3</v>
      </c>
    </row>
    <row r="447" spans="1:2">
      <c r="A447" s="5">
        <v>40877</v>
      </c>
      <c r="B447" s="6">
        <v>-4.6593199486951176E-2</v>
      </c>
    </row>
    <row r="448" spans="1:2">
      <c r="A448" s="5">
        <v>40908</v>
      </c>
      <c r="B448" s="6">
        <v>2.0591384564694337E-4</v>
      </c>
    </row>
    <row r="449" spans="1:2">
      <c r="A449" s="5">
        <v>40939</v>
      </c>
      <c r="B449" s="6">
        <v>3.6590219733465101E-2</v>
      </c>
    </row>
    <row r="450" spans="1:2">
      <c r="A450" s="5">
        <v>40968</v>
      </c>
      <c r="B450" s="6">
        <v>0.10683596594595324</v>
      </c>
    </row>
    <row r="451" spans="1:2">
      <c r="A451" s="5">
        <v>40999</v>
      </c>
      <c r="B451" s="6">
        <v>2.199866022297714E-2</v>
      </c>
    </row>
    <row r="452" spans="1:2">
      <c r="A452" s="5">
        <v>41029</v>
      </c>
      <c r="B452" s="6">
        <v>-5.8617662550477068E-2</v>
      </c>
    </row>
    <row r="453" spans="1:2">
      <c r="A453" s="5">
        <v>41060</v>
      </c>
      <c r="B453" s="6">
        <v>-0.10541236152038491</v>
      </c>
    </row>
    <row r="454" spans="1:2">
      <c r="A454" s="5">
        <v>41090</v>
      </c>
      <c r="B454" s="6">
        <v>7.0313694422438067E-2</v>
      </c>
    </row>
    <row r="455" spans="1:2">
      <c r="A455" s="5">
        <v>41121</v>
      </c>
      <c r="B455" s="6">
        <v>-4.3852586744234534E-2</v>
      </c>
    </row>
    <row r="456" spans="1:2">
      <c r="A456" s="5">
        <v>41152</v>
      </c>
      <c r="B456" s="6">
        <v>-6.3424372886419222E-3</v>
      </c>
    </row>
    <row r="457" spans="1:2">
      <c r="A457" s="5">
        <v>41182</v>
      </c>
      <c r="B457" s="6">
        <v>7.9000601388661273E-3</v>
      </c>
    </row>
    <row r="458" spans="1:2">
      <c r="A458" s="5">
        <v>41213</v>
      </c>
      <c r="B458" s="6">
        <v>6.6583493802718774E-3</v>
      </c>
    </row>
    <row r="459" spans="1:2">
      <c r="A459" s="5">
        <v>41243</v>
      </c>
      <c r="B459" s="6">
        <v>5.2712405533926976E-2</v>
      </c>
    </row>
    <row r="460" spans="1:2">
      <c r="A460" s="5">
        <v>41274</v>
      </c>
      <c r="B460" s="6">
        <v>0.10024825326952103</v>
      </c>
    </row>
    <row r="461" spans="1:2">
      <c r="A461" s="5">
        <v>41305</v>
      </c>
      <c r="B461" s="6">
        <v>9.3568271691091054E-2</v>
      </c>
    </row>
    <row r="462" spans="1:2">
      <c r="A462" s="5">
        <v>41333</v>
      </c>
      <c r="B462" s="6">
        <v>3.7660196756181819E-2</v>
      </c>
    </row>
    <row r="463" spans="1:2">
      <c r="A463" s="5">
        <v>41364</v>
      </c>
      <c r="B463" s="6">
        <v>6.0523133058647538E-2</v>
      </c>
    </row>
    <row r="464" spans="1:2">
      <c r="A464" s="5">
        <v>41394</v>
      </c>
      <c r="B464" s="6">
        <v>0.1260449787863267</v>
      </c>
    </row>
    <row r="465" spans="1:2">
      <c r="A465" s="5">
        <v>41425</v>
      </c>
      <c r="B465" s="6">
        <v>-2.5190322109979291E-2</v>
      </c>
    </row>
    <row r="466" spans="1:2">
      <c r="A466" s="5">
        <v>41455</v>
      </c>
      <c r="B466" s="6">
        <v>-1.7080772684850976E-3</v>
      </c>
    </row>
    <row r="467" spans="1:2">
      <c r="A467" s="5">
        <v>41486</v>
      </c>
      <c r="B467" s="6">
        <v>-1.8873915190854573E-3</v>
      </c>
    </row>
    <row r="468" spans="1:2">
      <c r="A468" s="5">
        <v>41517</v>
      </c>
      <c r="B468" s="6">
        <v>-2.2665017230714901E-2</v>
      </c>
    </row>
    <row r="469" spans="1:2">
      <c r="A469" s="5">
        <v>41547</v>
      </c>
      <c r="B469" s="6">
        <v>7.9607612675737904E-2</v>
      </c>
    </row>
    <row r="470" spans="1:2">
      <c r="A470" s="5">
        <v>41578</v>
      </c>
      <c r="B470" s="6">
        <v>1.3399212796261217E-4</v>
      </c>
    </row>
    <row r="471" spans="1:2">
      <c r="A471" s="5">
        <v>41608</v>
      </c>
      <c r="B471" s="6">
        <v>5.3924606032187405E-2</v>
      </c>
    </row>
    <row r="472" spans="1:2">
      <c r="A472" s="5">
        <v>41639</v>
      </c>
      <c r="B472" s="6">
        <v>3.4663848855131629E-2</v>
      </c>
    </row>
    <row r="473" spans="1:2">
      <c r="A473" s="5">
        <v>41670</v>
      </c>
      <c r="B473" s="6">
        <v>-6.2697248692687446E-2</v>
      </c>
    </row>
    <row r="474" spans="1:2">
      <c r="A474" s="5">
        <v>41698</v>
      </c>
      <c r="B474" s="6">
        <v>-7.3567964346572534E-3</v>
      </c>
    </row>
    <row r="475" spans="1:2">
      <c r="A475" s="5">
        <v>41729</v>
      </c>
      <c r="B475" s="6">
        <v>-7.238004060544978E-3</v>
      </c>
    </row>
    <row r="476" spans="1:2">
      <c r="A476" s="5">
        <v>41759</v>
      </c>
      <c r="B476" s="6">
        <v>-3.3627347471506197E-2</v>
      </c>
    </row>
    <row r="477" spans="1:2">
      <c r="A477" s="5">
        <v>41790</v>
      </c>
      <c r="B477" s="6">
        <v>3.3524310932177226E-2</v>
      </c>
    </row>
    <row r="478" spans="1:2">
      <c r="A478" s="5">
        <v>41820</v>
      </c>
      <c r="B478" s="6">
        <v>5.089852756344615E-2</v>
      </c>
    </row>
    <row r="479" spans="1:2">
      <c r="A479" s="5">
        <v>41851</v>
      </c>
      <c r="B479" s="6">
        <v>2.1274236471930053E-2</v>
      </c>
    </row>
    <row r="480" spans="1:2">
      <c r="A480" s="5">
        <v>41882</v>
      </c>
      <c r="B480" s="6">
        <v>-8.8799615330924508E-3</v>
      </c>
    </row>
    <row r="481" spans="1:2">
      <c r="A481" s="5">
        <v>41912</v>
      </c>
      <c r="B481" s="6">
        <v>3.7809964240162142E-2</v>
      </c>
    </row>
    <row r="482" spans="1:2">
      <c r="A482" s="5">
        <v>41943</v>
      </c>
      <c r="B482" s="6">
        <v>5.5417744233916544E-3</v>
      </c>
    </row>
    <row r="483" spans="1:2">
      <c r="A483" s="5">
        <v>41973</v>
      </c>
      <c r="B483" s="6">
        <v>5.7511772292372587E-2</v>
      </c>
    </row>
    <row r="484" spans="1:2">
      <c r="A484" s="5">
        <v>42004</v>
      </c>
      <c r="B484" s="6">
        <v>-2.0066083355786413E-3</v>
      </c>
    </row>
    <row r="485" spans="1:2">
      <c r="A485" s="5">
        <v>42035</v>
      </c>
      <c r="B485" s="6">
        <v>5.3711874160751183E-3</v>
      </c>
    </row>
    <row r="486" spans="1:2">
      <c r="A486" s="5">
        <v>42063</v>
      </c>
      <c r="B486" s="6">
        <v>7.6872522207382055E-2</v>
      </c>
    </row>
    <row r="487" spans="1:2">
      <c r="A487" s="5">
        <v>42094</v>
      </c>
      <c r="B487" s="6">
        <v>1.2639039275519348E-2</v>
      </c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487"/>
  <sheetViews>
    <sheetView showGridLines="0" zoomScaleNormal="100" zoomScaleSheetLayoutView="70" workbookViewId="0" xr3:uid="{842E5F09-E766-5B8D-85AF-A39847EA96FD}"/>
  </sheetViews>
  <sheetFormatPr defaultColWidth="9" defaultRowHeight="15"/>
  <cols>
    <col min="1" max="1" width="9.25" style="5" bestFit="1" customWidth="1"/>
    <col min="2" max="2" width="7.625" style="7" bestFit="1" customWidth="1"/>
    <col min="3" max="3" width="2.625" style="1" customWidth="1"/>
    <col min="4" max="4" width="7.125" style="1" bestFit="1" customWidth="1"/>
    <col min="5" max="5" width="5.25" style="1" bestFit="1" customWidth="1"/>
    <col min="6" max="6" width="9" style="1"/>
    <col min="7" max="7" width="8.25" style="1" bestFit="1" customWidth="1"/>
    <col min="8" max="8" width="7.125" style="1" bestFit="1" customWidth="1"/>
    <col min="9" max="9" width="11.375" style="1" bestFit="1" customWidth="1"/>
    <col min="10" max="11" width="11.375" style="1" customWidth="1"/>
    <col min="12" max="16384" width="9" style="1"/>
  </cols>
  <sheetData>
    <row r="1" spans="1:11" ht="28.5">
      <c r="A1" s="3" t="s">
        <v>0</v>
      </c>
      <c r="B1" s="4" t="s">
        <v>1</v>
      </c>
      <c r="D1" s="14" t="s">
        <v>2</v>
      </c>
      <c r="E1" s="8" t="s">
        <v>3</v>
      </c>
      <c r="G1" s="27" t="s">
        <v>4</v>
      </c>
      <c r="H1" s="28" t="s">
        <v>5</v>
      </c>
      <c r="I1" s="27" t="s">
        <v>6</v>
      </c>
      <c r="J1" s="27" t="s">
        <v>7</v>
      </c>
      <c r="K1" s="27" t="s">
        <v>8</v>
      </c>
    </row>
    <row r="2" spans="1:11">
      <c r="A2" s="5">
        <v>27333</v>
      </c>
      <c r="B2" s="6">
        <v>-8.1237707221129662E-2</v>
      </c>
      <c r="D2" s="18"/>
      <c r="E2" s="19"/>
      <c r="G2" s="21"/>
      <c r="H2" s="22"/>
      <c r="I2" s="23"/>
      <c r="J2" s="23"/>
      <c r="K2" s="23"/>
    </row>
    <row r="3" spans="1:11">
      <c r="A3" s="5">
        <v>27362</v>
      </c>
      <c r="B3" s="6">
        <v>8.9988149394090167E-2</v>
      </c>
      <c r="D3" s="18"/>
      <c r="E3" s="19"/>
      <c r="G3" s="21"/>
      <c r="H3" s="22"/>
      <c r="I3" s="23"/>
      <c r="J3" s="23"/>
      <c r="K3" s="23"/>
    </row>
    <row r="4" spans="1:11">
      <c r="A4" s="5">
        <v>27394</v>
      </c>
      <c r="B4" s="6">
        <v>-2.251604531266449E-2</v>
      </c>
      <c r="D4" s="18"/>
      <c r="E4" s="19"/>
      <c r="G4" s="21"/>
      <c r="H4" s="22"/>
      <c r="I4" s="23"/>
      <c r="J4" s="23"/>
      <c r="K4" s="23"/>
    </row>
    <row r="5" spans="1:11">
      <c r="A5" s="5">
        <v>27425</v>
      </c>
      <c r="B5" s="6">
        <v>3.6489541100068301E-2</v>
      </c>
      <c r="D5" s="18"/>
      <c r="E5" s="19"/>
      <c r="G5" s="21"/>
      <c r="H5" s="22"/>
      <c r="I5" s="23"/>
      <c r="J5" s="23"/>
      <c r="K5" s="23"/>
    </row>
    <row r="6" spans="1:11">
      <c r="A6" s="5">
        <v>27453</v>
      </c>
      <c r="B6" s="6">
        <v>8.4741068955968002E-2</v>
      </c>
      <c r="D6" s="18"/>
      <c r="E6" s="19"/>
      <c r="G6" s="21"/>
      <c r="H6" s="22"/>
      <c r="I6" s="23"/>
      <c r="J6" s="23"/>
      <c r="K6" s="23"/>
    </row>
    <row r="7" spans="1:11">
      <c r="A7" s="5">
        <v>27484</v>
      </c>
      <c r="B7" s="6">
        <v>3.663517998468202E-2</v>
      </c>
      <c r="D7" s="18"/>
      <c r="E7" s="19"/>
      <c r="G7" s="21"/>
      <c r="H7" s="22"/>
      <c r="I7" s="23"/>
      <c r="J7" s="23"/>
      <c r="K7" s="23"/>
    </row>
    <row r="8" spans="1:11">
      <c r="A8" s="5">
        <v>27514</v>
      </c>
      <c r="B8" s="6">
        <v>1.6315724664450748E-3</v>
      </c>
      <c r="D8" s="18"/>
      <c r="E8" s="19"/>
      <c r="G8" s="21"/>
      <c r="H8" s="22"/>
      <c r="I8" s="23"/>
      <c r="J8" s="23"/>
      <c r="K8" s="23"/>
    </row>
    <row r="9" spans="1:11">
      <c r="A9" s="5">
        <v>27544</v>
      </c>
      <c r="B9" s="6">
        <v>-2.858284414666401E-3</v>
      </c>
      <c r="D9" s="18"/>
      <c r="E9" s="19"/>
      <c r="G9" s="21"/>
      <c r="H9" s="22"/>
      <c r="I9" s="23"/>
      <c r="J9" s="23"/>
      <c r="K9" s="23"/>
    </row>
    <row r="10" spans="1:11">
      <c r="A10" s="5">
        <v>27575</v>
      </c>
      <c r="B10" s="6">
        <v>2.4257181605227496E-2</v>
      </c>
      <c r="D10" s="18"/>
      <c r="E10" s="19"/>
      <c r="G10" s="21"/>
      <c r="H10" s="22"/>
      <c r="I10" s="23"/>
      <c r="J10" s="23"/>
      <c r="K10" s="23"/>
    </row>
    <row r="11" spans="1:11">
      <c r="A11" s="5">
        <v>27606</v>
      </c>
      <c r="B11" s="6">
        <v>-4.2851554271613912E-2</v>
      </c>
      <c r="D11" s="18"/>
      <c r="E11" s="19"/>
      <c r="G11" s="21"/>
      <c r="H11" s="22"/>
      <c r="I11" s="23"/>
      <c r="J11" s="23"/>
      <c r="K11" s="23"/>
    </row>
    <row r="12" spans="1:11">
      <c r="A12" s="5">
        <v>27635</v>
      </c>
      <c r="B12" s="6">
        <v>-4.4078347533561768E-2</v>
      </c>
      <c r="D12" s="18"/>
      <c r="E12" s="19"/>
      <c r="G12" s="21"/>
      <c r="H12" s="22"/>
      <c r="I12" s="23"/>
      <c r="J12" s="23"/>
      <c r="K12" s="23"/>
    </row>
    <row r="13" spans="1:11">
      <c r="A13" s="5">
        <v>27667</v>
      </c>
      <c r="B13" s="6">
        <v>-4.0848544647262064E-2</v>
      </c>
      <c r="D13" s="18"/>
      <c r="E13" s="19"/>
      <c r="G13" s="21"/>
      <c r="H13" s="22"/>
      <c r="I13" s="23"/>
      <c r="J13" s="23"/>
      <c r="K13" s="23"/>
    </row>
    <row r="14" spans="1:11">
      <c r="A14" s="5">
        <v>27698</v>
      </c>
      <c r="B14" s="6">
        <v>8.6993793505469208E-2</v>
      </c>
      <c r="D14" s="18"/>
      <c r="E14" s="19"/>
      <c r="G14" s="21"/>
      <c r="H14" s="22"/>
      <c r="I14" s="23"/>
      <c r="J14" s="23"/>
      <c r="K14" s="23"/>
    </row>
    <row r="15" spans="1:11">
      <c r="A15" s="5">
        <v>27726</v>
      </c>
      <c r="B15" s="6">
        <v>2.6182965299683669E-3</v>
      </c>
      <c r="D15" s="18"/>
      <c r="E15" s="19"/>
      <c r="G15" s="21"/>
      <c r="H15" s="22"/>
      <c r="I15" s="23"/>
      <c r="J15" s="23"/>
      <c r="K15" s="23"/>
    </row>
    <row r="16" spans="1:11">
      <c r="A16" s="5">
        <v>27759</v>
      </c>
      <c r="B16" s="6">
        <v>1.2522417644652784E-2</v>
      </c>
      <c r="D16" s="18"/>
      <c r="E16" s="19"/>
      <c r="G16" s="21"/>
      <c r="H16" s="22"/>
      <c r="I16" s="23"/>
      <c r="J16" s="23"/>
      <c r="K16" s="23"/>
    </row>
    <row r="17" spans="1:11">
      <c r="A17" s="5">
        <v>27789</v>
      </c>
      <c r="B17" s="6">
        <v>5.9165346011621933E-2</v>
      </c>
      <c r="D17" s="18"/>
      <c r="E17" s="19"/>
      <c r="G17" s="21"/>
      <c r="H17" s="22"/>
      <c r="I17" s="23"/>
      <c r="J17" s="23"/>
      <c r="K17" s="23"/>
    </row>
    <row r="18" spans="1:11">
      <c r="A18" s="5">
        <v>27817</v>
      </c>
      <c r="B18" s="6">
        <v>1.2908904210062744E-3</v>
      </c>
      <c r="D18" s="18"/>
      <c r="E18" s="19"/>
      <c r="G18" s="21"/>
      <c r="H18" s="22"/>
      <c r="I18" s="23"/>
      <c r="J18" s="23"/>
      <c r="K18" s="23"/>
    </row>
    <row r="19" spans="1:11">
      <c r="A19" s="5">
        <v>27850</v>
      </c>
      <c r="B19" s="6">
        <v>-2.2268452049577503E-3</v>
      </c>
      <c r="D19" s="18"/>
      <c r="E19" s="19"/>
      <c r="G19" s="21"/>
      <c r="H19" s="22"/>
      <c r="I19" s="23"/>
      <c r="J19" s="23"/>
      <c r="K19" s="23"/>
    </row>
    <row r="20" spans="1:11">
      <c r="A20" s="5">
        <v>27880</v>
      </c>
      <c r="B20" s="6">
        <v>4.8160220832234035E-3</v>
      </c>
      <c r="D20" s="18"/>
      <c r="E20" s="19"/>
      <c r="G20" s="21"/>
      <c r="H20" s="22"/>
      <c r="I20" s="23"/>
      <c r="J20" s="23"/>
      <c r="K20" s="23"/>
    </row>
    <row r="21" spans="1:11">
      <c r="A21" s="5">
        <v>27911</v>
      </c>
      <c r="B21" s="6">
        <v>1.3122132273431397E-2</v>
      </c>
      <c r="D21" s="18"/>
      <c r="E21" s="19"/>
      <c r="G21" s="21"/>
      <c r="H21" s="22"/>
      <c r="I21" s="23"/>
      <c r="J21" s="23"/>
      <c r="K21" s="23"/>
    </row>
    <row r="22" spans="1:11">
      <c r="A22" s="5">
        <v>27941</v>
      </c>
      <c r="B22" s="6">
        <v>3.2423700455777915E-2</v>
      </c>
      <c r="D22" s="18"/>
      <c r="E22" s="19"/>
      <c r="G22" s="21"/>
      <c r="H22" s="22"/>
      <c r="I22" s="23"/>
      <c r="J22" s="23"/>
      <c r="K22" s="23"/>
    </row>
    <row r="23" spans="1:11">
      <c r="A23" s="5">
        <v>27971</v>
      </c>
      <c r="B23" s="6">
        <v>-2.8974573903324918E-2</v>
      </c>
      <c r="D23" s="18"/>
      <c r="E23" s="19"/>
      <c r="G23" s="21"/>
      <c r="H23" s="22"/>
      <c r="I23" s="23"/>
      <c r="J23" s="23"/>
      <c r="K23" s="23"/>
    </row>
    <row r="24" spans="1:11">
      <c r="A24" s="5">
        <v>28003</v>
      </c>
      <c r="B24" s="6">
        <v>2.9810376082640477E-2</v>
      </c>
      <c r="D24" s="20"/>
      <c r="E24" s="20"/>
      <c r="F24" s="10"/>
      <c r="G24" s="24"/>
      <c r="H24" s="25"/>
      <c r="I24" s="26"/>
      <c r="J24" s="26"/>
      <c r="K24" s="26"/>
    </row>
    <row r="25" spans="1:11">
      <c r="A25" s="5">
        <v>28033</v>
      </c>
      <c r="B25" s="6">
        <v>-4.4706474056266376E-4</v>
      </c>
      <c r="F25" s="11"/>
      <c r="G25" s="12" t="s">
        <v>9</v>
      </c>
      <c r="H25" s="22"/>
      <c r="I25" s="29"/>
      <c r="J25" s="7"/>
      <c r="K25" s="7"/>
    </row>
    <row r="26" spans="1:11">
      <c r="A26" s="5">
        <v>28062</v>
      </c>
      <c r="B26" s="6">
        <v>-2.1105302882061916E-2</v>
      </c>
      <c r="F26" s="10"/>
      <c r="G26" s="9"/>
      <c r="J26" s="15" t="s">
        <v>10</v>
      </c>
      <c r="K26" s="13"/>
    </row>
    <row r="27" spans="1:11">
      <c r="A27" s="5">
        <v>28094</v>
      </c>
      <c r="B27" s="6">
        <v>-1.2536409846364727E-2</v>
      </c>
      <c r="J27" s="2" t="s">
        <v>11</v>
      </c>
      <c r="K27" s="30"/>
    </row>
    <row r="28" spans="1:11">
      <c r="A28" s="5">
        <v>28125</v>
      </c>
      <c r="B28" s="6">
        <v>0.11015356141010435</v>
      </c>
      <c r="G28" s="2" t="s">
        <v>12</v>
      </c>
      <c r="H28" s="32"/>
      <c r="J28" s="2" t="s">
        <v>13</v>
      </c>
      <c r="K28" s="31"/>
    </row>
    <row r="29" spans="1:11">
      <c r="A29" s="5">
        <v>28156</v>
      </c>
      <c r="B29" s="6">
        <v>-2.2507033447952463E-2</v>
      </c>
      <c r="H29" s="9"/>
    </row>
    <row r="30" spans="1:11">
      <c r="A30" s="5">
        <v>28184</v>
      </c>
      <c r="B30" s="6">
        <v>2.0093806630423039E-2</v>
      </c>
    </row>
    <row r="31" spans="1:11">
      <c r="A31" s="5">
        <v>28215</v>
      </c>
      <c r="B31" s="6">
        <v>-1.8574638173363134E-2</v>
      </c>
    </row>
    <row r="32" spans="1:11">
      <c r="A32" s="5">
        <v>28244</v>
      </c>
      <c r="B32" s="6">
        <v>1.1339739665131576E-2</v>
      </c>
    </row>
    <row r="33" spans="1:2">
      <c r="A33" s="5">
        <v>28276</v>
      </c>
      <c r="B33" s="6">
        <v>-5.2114863264286493E-3</v>
      </c>
    </row>
    <row r="34" spans="1:2">
      <c r="A34" s="5">
        <v>28306</v>
      </c>
      <c r="B34" s="6">
        <v>-2.9898134673898014E-3</v>
      </c>
    </row>
    <row r="35" spans="1:2">
      <c r="A35" s="5">
        <v>28335</v>
      </c>
      <c r="B35" s="6">
        <v>-1.8178440634785797E-2</v>
      </c>
    </row>
    <row r="36" spans="1:2">
      <c r="A36" s="5">
        <v>28368</v>
      </c>
      <c r="B36" s="6">
        <v>5.111225234478467E-2</v>
      </c>
    </row>
    <row r="37" spans="1:2">
      <c r="A37" s="5">
        <v>28398</v>
      </c>
      <c r="B37" s="6">
        <v>4.0372351368032078E-3</v>
      </c>
    </row>
    <row r="38" spans="1:2">
      <c r="A38" s="5">
        <v>28429</v>
      </c>
      <c r="B38" s="6">
        <v>-3.6496350364963459E-2</v>
      </c>
    </row>
    <row r="39" spans="1:2">
      <c r="A39" s="5">
        <v>28459</v>
      </c>
      <c r="B39" s="6">
        <v>-2.1504518872939915E-2</v>
      </c>
    </row>
    <row r="40" spans="1:2">
      <c r="A40" s="5">
        <v>28489</v>
      </c>
      <c r="B40" s="6">
        <v>-1.094781451196658E-2</v>
      </c>
    </row>
    <row r="41" spans="1:2">
      <c r="A41" s="5">
        <v>28521</v>
      </c>
      <c r="B41" s="6">
        <v>4.9329817622500549E-2</v>
      </c>
    </row>
    <row r="42" spans="1:2">
      <c r="A42" s="5">
        <v>28549</v>
      </c>
      <c r="B42" s="6">
        <v>2.4709454507381379E-2</v>
      </c>
    </row>
    <row r="43" spans="1:2">
      <c r="A43" s="5">
        <v>28580</v>
      </c>
      <c r="B43" s="6">
        <v>4.179012976397245E-2</v>
      </c>
    </row>
    <row r="44" spans="1:2">
      <c r="A44" s="5">
        <v>28608</v>
      </c>
      <c r="B44" s="6">
        <v>4.9774421341703956E-3</v>
      </c>
    </row>
    <row r="45" spans="1:2">
      <c r="A45" s="5">
        <v>28641</v>
      </c>
      <c r="B45" s="6">
        <v>1.7078585893082199E-4</v>
      </c>
    </row>
    <row r="46" spans="1:2">
      <c r="A46" s="5">
        <v>28671</v>
      </c>
      <c r="B46" s="6">
        <v>1.788066546323841E-2</v>
      </c>
    </row>
    <row r="47" spans="1:2">
      <c r="A47" s="5">
        <v>28702</v>
      </c>
      <c r="B47" s="6">
        <v>1.4858484913844894E-2</v>
      </c>
    </row>
    <row r="48" spans="1:2">
      <c r="A48" s="5">
        <v>28733</v>
      </c>
      <c r="B48" s="6">
        <v>1.9363827425791236E-3</v>
      </c>
    </row>
    <row r="49" spans="1:2">
      <c r="A49" s="5">
        <v>28762</v>
      </c>
      <c r="B49" s="6">
        <v>2.2272502297956631E-2</v>
      </c>
    </row>
    <row r="50" spans="1:2">
      <c r="A50" s="5">
        <v>28794</v>
      </c>
      <c r="B50" s="6">
        <v>1.0236547240282112E-2</v>
      </c>
    </row>
    <row r="51" spans="1:2">
      <c r="A51" s="5">
        <v>28824</v>
      </c>
      <c r="B51" s="6">
        <v>8.8319868547173108E-3</v>
      </c>
    </row>
    <row r="52" spans="1:2">
      <c r="A52" s="5">
        <v>28853</v>
      </c>
      <c r="B52" s="6">
        <v>1.6966406515100063E-2</v>
      </c>
    </row>
    <row r="53" spans="1:2">
      <c r="A53" s="5">
        <v>28886</v>
      </c>
      <c r="B53" s="6">
        <v>2.9852074296518705E-2</v>
      </c>
    </row>
    <row r="54" spans="1:2">
      <c r="A54" s="5">
        <v>28914</v>
      </c>
      <c r="B54" s="6">
        <v>-3.0714733136056438E-2</v>
      </c>
    </row>
    <row r="55" spans="1:2">
      <c r="A55" s="5">
        <v>28944</v>
      </c>
      <c r="B55" s="6">
        <v>2.0724233983286933E-3</v>
      </c>
    </row>
    <row r="56" spans="1:2">
      <c r="A56" s="5">
        <v>28975</v>
      </c>
      <c r="B56" s="6">
        <v>3.9361323607898235E-3</v>
      </c>
    </row>
    <row r="57" spans="1:2">
      <c r="A57" s="5">
        <v>29006</v>
      </c>
      <c r="B57" s="6">
        <v>-4.5409236903312111E-3</v>
      </c>
    </row>
    <row r="58" spans="1:2">
      <c r="A58" s="5">
        <v>29035</v>
      </c>
      <c r="B58" s="6">
        <v>-6.1415220293724593E-3</v>
      </c>
    </row>
    <row r="59" spans="1:2">
      <c r="A59" s="5">
        <v>29067</v>
      </c>
      <c r="B59" s="6">
        <v>-3.649471610245425E-3</v>
      </c>
    </row>
    <row r="60" spans="1:2">
      <c r="A60" s="5">
        <v>29098</v>
      </c>
      <c r="B60" s="6">
        <v>2.0448978674636686E-2</v>
      </c>
    </row>
    <row r="61" spans="1:2">
      <c r="A61" s="5">
        <v>29126</v>
      </c>
      <c r="B61" s="6">
        <v>1.9422606857369296E-2</v>
      </c>
    </row>
    <row r="62" spans="1:2">
      <c r="A62" s="5">
        <v>29159</v>
      </c>
      <c r="B62" s="6">
        <v>-3.0047739399045259E-2</v>
      </c>
    </row>
    <row r="63" spans="1:2">
      <c r="A63" s="5">
        <v>29189</v>
      </c>
      <c r="B63" s="6">
        <v>2.8506525321811971E-3</v>
      </c>
    </row>
    <row r="64" spans="1:2">
      <c r="A64" s="5">
        <v>29220</v>
      </c>
      <c r="B64" s="6">
        <v>2.0675105485232104E-2</v>
      </c>
    </row>
    <row r="65" spans="1:2">
      <c r="A65" s="5">
        <v>29251</v>
      </c>
      <c r="B65" s="6">
        <v>1.7514849546354627E-2</v>
      </c>
    </row>
    <row r="66" spans="1:2">
      <c r="A66" s="5">
        <v>29280</v>
      </c>
      <c r="B66" s="6">
        <v>5.7734251379204515E-4</v>
      </c>
    </row>
    <row r="67" spans="1:2">
      <c r="A67" s="5">
        <v>29311</v>
      </c>
      <c r="B67" s="6">
        <v>-2.878635693372944E-2</v>
      </c>
    </row>
    <row r="68" spans="1:2">
      <c r="A68" s="5">
        <v>29341</v>
      </c>
      <c r="B68" s="6">
        <v>2.9375522598248605E-2</v>
      </c>
    </row>
    <row r="69" spans="1:2">
      <c r="A69" s="5">
        <v>29371</v>
      </c>
      <c r="B69" s="6">
        <v>-2.8430345653149836E-3</v>
      </c>
    </row>
    <row r="70" spans="1:2">
      <c r="A70" s="5">
        <v>29402</v>
      </c>
      <c r="B70" s="6">
        <v>1.348396501457727E-2</v>
      </c>
    </row>
    <row r="71" spans="1:2">
      <c r="A71" s="5">
        <v>29433</v>
      </c>
      <c r="B71" s="6">
        <v>-3.9554117224019913E-3</v>
      </c>
    </row>
    <row r="72" spans="1:2">
      <c r="A72" s="5">
        <v>29462</v>
      </c>
      <c r="B72" s="6">
        <v>1.5757060947122481E-2</v>
      </c>
    </row>
    <row r="73" spans="1:2">
      <c r="A73" s="5">
        <v>29494</v>
      </c>
      <c r="B73" s="6">
        <v>2.1889111891620683E-2</v>
      </c>
    </row>
    <row r="74" spans="1:2">
      <c r="A74" s="5">
        <v>29525</v>
      </c>
      <c r="B74" s="6">
        <v>1.485300435769954E-2</v>
      </c>
    </row>
    <row r="75" spans="1:2">
      <c r="A75" s="5">
        <v>29553</v>
      </c>
      <c r="B75" s="6">
        <v>-8.8700735812923259E-3</v>
      </c>
    </row>
    <row r="76" spans="1:2">
      <c r="A76" s="5">
        <v>29586</v>
      </c>
      <c r="B76" s="6">
        <v>-1.1186819892198274E-3</v>
      </c>
    </row>
    <row r="77" spans="1:2">
      <c r="A77" s="5">
        <v>29616</v>
      </c>
      <c r="B77" s="6">
        <v>3.6204439014457357E-2</v>
      </c>
    </row>
    <row r="78" spans="1:2">
      <c r="A78" s="5">
        <v>29644</v>
      </c>
      <c r="B78" s="6">
        <v>-2.7904417544412086E-3</v>
      </c>
    </row>
    <row r="79" spans="1:2">
      <c r="A79" s="5">
        <v>29676</v>
      </c>
      <c r="B79" s="6">
        <v>4.475229574744799E-2</v>
      </c>
    </row>
    <row r="80" spans="1:2">
      <c r="A80" s="5">
        <v>29706</v>
      </c>
      <c r="B80" s="6">
        <v>5.7887092819284502E-2</v>
      </c>
    </row>
    <row r="81" spans="1:2">
      <c r="A81" s="5">
        <v>29735</v>
      </c>
      <c r="B81" s="6">
        <v>-3.1915272973647157E-3</v>
      </c>
    </row>
    <row r="82" spans="1:2">
      <c r="A82" s="5">
        <v>29767</v>
      </c>
      <c r="B82" s="6">
        <v>4.8437583844598953E-2</v>
      </c>
    </row>
    <row r="83" spans="1:2">
      <c r="A83" s="5">
        <v>29798</v>
      </c>
      <c r="B83" s="6">
        <v>1.0236287639682651E-2</v>
      </c>
    </row>
    <row r="84" spans="1:2">
      <c r="A84" s="5">
        <v>29829</v>
      </c>
      <c r="B84" s="6">
        <v>-4.5765431056319361E-3</v>
      </c>
    </row>
    <row r="85" spans="1:2">
      <c r="A85" s="5">
        <v>29859</v>
      </c>
      <c r="B85" s="6">
        <v>-6.6452904451683059E-2</v>
      </c>
    </row>
    <row r="86" spans="1:2">
      <c r="A86" s="5">
        <v>29889</v>
      </c>
      <c r="B86" s="6">
        <v>-1.3266214767296836E-3</v>
      </c>
    </row>
    <row r="87" spans="1:2">
      <c r="A87" s="5">
        <v>29920</v>
      </c>
      <c r="B87" s="6">
        <v>8.9347454234451895E-3</v>
      </c>
    </row>
    <row r="88" spans="1:2">
      <c r="A88" s="5">
        <v>29951</v>
      </c>
      <c r="B88" s="6">
        <v>2.860492379835855E-2</v>
      </c>
    </row>
    <row r="89" spans="1:2">
      <c r="A89" s="5">
        <v>29980</v>
      </c>
      <c r="B89" s="6">
        <v>2.0076800336659151E-2</v>
      </c>
    </row>
    <row r="90" spans="1:2">
      <c r="A90" s="5">
        <v>30008</v>
      </c>
      <c r="B90" s="6">
        <v>-3.7541254125412649E-2</v>
      </c>
    </row>
    <row r="91" spans="1:2">
      <c r="A91" s="5">
        <v>30041</v>
      </c>
      <c r="B91" s="6">
        <v>-4.663166166595234E-2</v>
      </c>
    </row>
    <row r="92" spans="1:2">
      <c r="A92" s="5">
        <v>30071</v>
      </c>
      <c r="B92" s="6">
        <v>2.3285438639216283E-2</v>
      </c>
    </row>
    <row r="93" spans="1:2">
      <c r="A93" s="5">
        <v>30102</v>
      </c>
      <c r="B93" s="6">
        <v>3.2952548330400511E-4</v>
      </c>
    </row>
    <row r="94" spans="1:2">
      <c r="A94" s="5">
        <v>30132</v>
      </c>
      <c r="B94" s="6">
        <v>-1.3121774459207147E-2</v>
      </c>
    </row>
    <row r="95" spans="1:2">
      <c r="A95" s="5">
        <v>30162</v>
      </c>
      <c r="B95" s="6">
        <v>-2.171534538711184E-2</v>
      </c>
    </row>
    <row r="96" spans="1:2">
      <c r="A96" s="5">
        <v>30194</v>
      </c>
      <c r="B96" s="6">
        <v>5.5730371156690328E-3</v>
      </c>
    </row>
    <row r="97" spans="1:2">
      <c r="A97" s="5">
        <v>30224</v>
      </c>
      <c r="B97" s="6">
        <v>-1.2215352133916446E-2</v>
      </c>
    </row>
    <row r="98" spans="1:2">
      <c r="A98" s="5">
        <v>30253</v>
      </c>
      <c r="B98" s="6">
        <v>2.9980916030534432E-2</v>
      </c>
    </row>
    <row r="99" spans="1:2">
      <c r="A99" s="5">
        <v>30285</v>
      </c>
      <c r="B99" s="6">
        <v>7.1612532656426531E-2</v>
      </c>
    </row>
    <row r="100" spans="1:2">
      <c r="A100" s="5">
        <v>30316</v>
      </c>
      <c r="B100" s="6">
        <v>2.6557853240196438E-2</v>
      </c>
    </row>
    <row r="101" spans="1:2">
      <c r="A101" s="5">
        <v>30347</v>
      </c>
      <c r="B101" s="6">
        <v>-9.0446675200430704E-3</v>
      </c>
    </row>
    <row r="102" spans="1:2">
      <c r="A102" s="5">
        <v>30375</v>
      </c>
      <c r="B102" s="6">
        <v>6.5097306025323487E-3</v>
      </c>
    </row>
    <row r="103" spans="1:2">
      <c r="A103" s="5">
        <v>30406</v>
      </c>
      <c r="B103" s="6">
        <v>4.3078118139755039E-2</v>
      </c>
    </row>
    <row r="104" spans="1:2">
      <c r="A104" s="5">
        <v>30435</v>
      </c>
      <c r="B104" s="6">
        <v>1.6901682073531932E-2</v>
      </c>
    </row>
    <row r="105" spans="1:2">
      <c r="A105" s="5">
        <v>30467</v>
      </c>
      <c r="B105" s="6">
        <v>1.3866556286119103E-2</v>
      </c>
    </row>
    <row r="106" spans="1:2">
      <c r="A106" s="5">
        <v>30497</v>
      </c>
      <c r="B106" s="6">
        <v>3.0290182777463759E-2</v>
      </c>
    </row>
    <row r="107" spans="1:2">
      <c r="A107" s="5">
        <v>30526</v>
      </c>
      <c r="B107" s="6">
        <v>2.0361818542057319E-2</v>
      </c>
    </row>
    <row r="108" spans="1:2">
      <c r="A108" s="5">
        <v>30559</v>
      </c>
      <c r="B108" s="6">
        <v>1.3502815576035498E-2</v>
      </c>
    </row>
    <row r="109" spans="1:2">
      <c r="A109" s="5">
        <v>30589</v>
      </c>
      <c r="B109" s="6">
        <v>1.8495866063401811E-2</v>
      </c>
    </row>
    <row r="110" spans="1:2">
      <c r="A110" s="5">
        <v>30620</v>
      </c>
      <c r="B110" s="6">
        <v>-8.0598483533022014E-3</v>
      </c>
    </row>
    <row r="111" spans="1:2">
      <c r="A111" s="5">
        <v>30650</v>
      </c>
      <c r="B111" s="6">
        <v>3.3989292643434865E-3</v>
      </c>
    </row>
    <row r="112" spans="1:2">
      <c r="A112" s="5">
        <v>30680</v>
      </c>
      <c r="B112" s="6">
        <v>6.3939288206559697E-2</v>
      </c>
    </row>
    <row r="113" spans="1:2">
      <c r="A113" s="5">
        <v>30712</v>
      </c>
      <c r="B113" s="6">
        <v>6.1791150829438868E-2</v>
      </c>
    </row>
    <row r="114" spans="1:2">
      <c r="A114" s="5">
        <v>30741</v>
      </c>
      <c r="B114" s="6">
        <v>-1.1839802326778504E-3</v>
      </c>
    </row>
    <row r="115" spans="1:2">
      <c r="A115" s="5">
        <v>30771</v>
      </c>
      <c r="B115" s="6">
        <v>0.11681183322166677</v>
      </c>
    </row>
    <row r="116" spans="1:2">
      <c r="A116" s="5">
        <v>30802</v>
      </c>
      <c r="B116" s="6">
        <v>-6.5414522716259471E-3</v>
      </c>
    </row>
    <row r="117" spans="1:2">
      <c r="A117" s="5">
        <v>30833</v>
      </c>
      <c r="B117" s="6">
        <v>-9.9650451161872544E-2</v>
      </c>
    </row>
    <row r="118" spans="1:2">
      <c r="A118" s="5">
        <v>30862</v>
      </c>
      <c r="B118" s="6">
        <v>2.2971752869856976E-2</v>
      </c>
    </row>
    <row r="119" spans="1:2">
      <c r="A119" s="5">
        <v>30894</v>
      </c>
      <c r="B119" s="6">
        <v>-3.7195344908020345E-2</v>
      </c>
    </row>
    <row r="120" spans="1:2">
      <c r="A120" s="5">
        <v>30925</v>
      </c>
      <c r="B120" s="6">
        <v>6.9511923625934724E-2</v>
      </c>
    </row>
    <row r="121" spans="1:2">
      <c r="A121" s="5">
        <v>30953</v>
      </c>
      <c r="B121" s="6">
        <v>9.7589048476165452E-3</v>
      </c>
    </row>
    <row r="122" spans="1:2">
      <c r="A122" s="5">
        <v>30986</v>
      </c>
      <c r="B122" s="6">
        <v>4.3387577910896757E-2</v>
      </c>
    </row>
    <row r="123" spans="1:2">
      <c r="A123" s="5">
        <v>31016</v>
      </c>
      <c r="B123" s="6">
        <v>1.7862953837571416E-2</v>
      </c>
    </row>
    <row r="124" spans="1:2">
      <c r="A124" s="5">
        <v>31047</v>
      </c>
      <c r="B124" s="6">
        <v>4.2886014089813962E-2</v>
      </c>
    </row>
    <row r="125" spans="1:2">
      <c r="A125" s="5">
        <v>31078</v>
      </c>
      <c r="B125" s="6">
        <v>1.9367835597840832E-2</v>
      </c>
    </row>
    <row r="126" spans="1:2">
      <c r="A126" s="5">
        <v>31106</v>
      </c>
      <c r="B126" s="6">
        <v>4.9663824028526538E-2</v>
      </c>
    </row>
    <row r="127" spans="1:2">
      <c r="A127" s="5">
        <v>31135</v>
      </c>
      <c r="B127" s="6">
        <v>2.2592857873733774E-2</v>
      </c>
    </row>
    <row r="128" spans="1:2">
      <c r="A128" s="5">
        <v>31167</v>
      </c>
      <c r="B128" s="6">
        <v>-3.2119914346895095E-2</v>
      </c>
    </row>
    <row r="129" spans="1:2">
      <c r="A129" s="5">
        <v>31198</v>
      </c>
      <c r="B129" s="6">
        <v>3.0756347696633934E-2</v>
      </c>
    </row>
    <row r="130" spans="1:2">
      <c r="A130" s="5">
        <v>31226</v>
      </c>
      <c r="B130" s="6">
        <v>2.9467518530034376E-2</v>
      </c>
    </row>
    <row r="131" spans="1:2">
      <c r="A131" s="5">
        <v>31259</v>
      </c>
      <c r="B131" s="6">
        <v>-3.3397959879580386E-2</v>
      </c>
    </row>
    <row r="132" spans="1:2">
      <c r="A132" s="5">
        <v>31289</v>
      </c>
      <c r="B132" s="6">
        <v>2.6569098807615932E-2</v>
      </c>
    </row>
    <row r="133" spans="1:2">
      <c r="A133" s="5">
        <v>31320</v>
      </c>
      <c r="B133" s="6">
        <v>7.5602116859272428E-3</v>
      </c>
    </row>
    <row r="134" spans="1:2">
      <c r="A134" s="5">
        <v>31351</v>
      </c>
      <c r="B134" s="6">
        <v>1.8515089798198936E-4</v>
      </c>
    </row>
    <row r="135" spans="1:2">
      <c r="A135" s="5">
        <v>31380</v>
      </c>
      <c r="B135" s="6">
        <v>-1.9339815662815063E-2</v>
      </c>
    </row>
    <row r="136" spans="1:2">
      <c r="A136" s="5">
        <v>31412</v>
      </c>
      <c r="B136" s="6">
        <v>4.0286926370798559E-2</v>
      </c>
    </row>
    <row r="137" spans="1:2">
      <c r="A137" s="5">
        <v>31443</v>
      </c>
      <c r="B137" s="6">
        <v>-5.2145012797494283E-3</v>
      </c>
    </row>
    <row r="138" spans="1:2">
      <c r="A138" s="5">
        <v>31471</v>
      </c>
      <c r="B138" s="6">
        <v>4.7118910927209656E-2</v>
      </c>
    </row>
    <row r="139" spans="1:2">
      <c r="A139" s="5">
        <v>31502</v>
      </c>
      <c r="B139" s="6">
        <v>0.16065829283946087</v>
      </c>
    </row>
    <row r="140" spans="1:2">
      <c r="A140" s="5">
        <v>31532</v>
      </c>
      <c r="B140" s="6">
        <v>-1.1098559951972065E-2</v>
      </c>
    </row>
    <row r="141" spans="1:2">
      <c r="A141" s="5">
        <v>31562</v>
      </c>
      <c r="B141" s="6">
        <v>3.8526056810556764E-2</v>
      </c>
    </row>
    <row r="142" spans="1:2">
      <c r="A142" s="5">
        <v>31593</v>
      </c>
      <c r="B142" s="6">
        <v>4.5480767012022083E-2</v>
      </c>
    </row>
    <row r="143" spans="1:2">
      <c r="A143" s="5">
        <v>31624</v>
      </c>
      <c r="B143" s="6">
        <v>5.1263941614431596E-2</v>
      </c>
    </row>
    <row r="144" spans="1:2">
      <c r="A144" s="5">
        <v>31653</v>
      </c>
      <c r="B144" s="6">
        <v>8.2453881252974259E-2</v>
      </c>
    </row>
    <row r="145" spans="1:2">
      <c r="A145" s="5">
        <v>31685</v>
      </c>
      <c r="B145" s="6">
        <v>-1.904651072578456E-2</v>
      </c>
    </row>
    <row r="146" spans="1:2">
      <c r="A146" s="5">
        <v>31716</v>
      </c>
      <c r="B146" s="6">
        <v>-7.204998418222075E-2</v>
      </c>
    </row>
    <row r="147" spans="1:2">
      <c r="A147" s="5">
        <v>31744</v>
      </c>
      <c r="B147" s="6">
        <v>5.8907923520554517E-2</v>
      </c>
    </row>
    <row r="148" spans="1:2">
      <c r="A148" s="5">
        <v>31777</v>
      </c>
      <c r="B148" s="6">
        <v>4.8058219867194163E-2</v>
      </c>
    </row>
    <row r="149" spans="1:2">
      <c r="A149" s="5">
        <v>31807</v>
      </c>
      <c r="B149" s="6">
        <v>0.12038014783526929</v>
      </c>
    </row>
    <row r="150" spans="1:2">
      <c r="A150" s="5">
        <v>31835</v>
      </c>
      <c r="B150" s="6">
        <v>1.4166166852311868E-2</v>
      </c>
    </row>
    <row r="151" spans="1:2">
      <c r="A151" s="5">
        <v>31867</v>
      </c>
      <c r="B151" s="6">
        <v>5.392435720521549E-2</v>
      </c>
    </row>
    <row r="152" spans="1:2">
      <c r="A152" s="5">
        <v>31897</v>
      </c>
      <c r="B152" s="6">
        <v>0.11078511535439994</v>
      </c>
    </row>
    <row r="153" spans="1:2">
      <c r="A153" s="5">
        <v>31926</v>
      </c>
      <c r="B153" s="6">
        <v>2.7058104681764172E-2</v>
      </c>
    </row>
    <row r="154" spans="1:2">
      <c r="A154" s="5">
        <v>31958</v>
      </c>
      <c r="B154" s="6">
        <v>-4.4806603176982596E-2</v>
      </c>
    </row>
    <row r="155" spans="1:2">
      <c r="A155" s="5">
        <v>31989</v>
      </c>
      <c r="B155" s="6">
        <v>-1.1755301410440011E-2</v>
      </c>
    </row>
    <row r="156" spans="1:2">
      <c r="A156" s="5">
        <v>32020</v>
      </c>
      <c r="B156" s="6">
        <v>6.9053302301115282E-2</v>
      </c>
    </row>
    <row r="157" spans="1:2">
      <c r="A157" s="5">
        <v>32050</v>
      </c>
      <c r="B157" s="6">
        <v>-8.1930686175299972E-3</v>
      </c>
    </row>
    <row r="158" spans="1:2">
      <c r="A158" s="5">
        <v>32080</v>
      </c>
      <c r="B158" s="6">
        <v>-0.12610162828031324</v>
      </c>
    </row>
    <row r="159" spans="1:2">
      <c r="A159" s="5">
        <v>32111</v>
      </c>
      <c r="B159" s="6">
        <v>-1.0786319476429718E-2</v>
      </c>
    </row>
    <row r="160" spans="1:2">
      <c r="A160" s="5">
        <v>32142</v>
      </c>
      <c r="B160" s="6">
        <v>-6.5623917186417247E-2</v>
      </c>
    </row>
    <row r="161" spans="1:2">
      <c r="A161" s="5">
        <v>32171</v>
      </c>
      <c r="B161" s="6">
        <v>0.11062503259301337</v>
      </c>
    </row>
    <row r="162" spans="1:2">
      <c r="A162" s="5">
        <v>32202</v>
      </c>
      <c r="B162" s="6">
        <v>8.4163297247945801E-2</v>
      </c>
    </row>
    <row r="163" spans="1:2">
      <c r="A163" s="5">
        <v>32233</v>
      </c>
      <c r="B163" s="6">
        <v>3.3603295365411068E-2</v>
      </c>
    </row>
    <row r="164" spans="1:2">
      <c r="A164" s="5">
        <v>32262</v>
      </c>
      <c r="B164" s="6">
        <v>1.9330508869128016E-2</v>
      </c>
    </row>
    <row r="165" spans="1:2">
      <c r="A165" s="5">
        <v>32294</v>
      </c>
      <c r="B165" s="6">
        <v>-2.7788181344831075E-2</v>
      </c>
    </row>
    <row r="166" spans="1:2">
      <c r="A166" s="5">
        <v>32324</v>
      </c>
      <c r="B166" s="6">
        <v>2.5613319677907365E-2</v>
      </c>
    </row>
    <row r="167" spans="1:2">
      <c r="A167" s="5">
        <v>32353</v>
      </c>
      <c r="B167" s="6">
        <v>1.9000503870642671E-2</v>
      </c>
    </row>
    <row r="168" spans="1:2">
      <c r="A168" s="5">
        <v>32386</v>
      </c>
      <c r="B168" s="6">
        <v>-4.3405946290985264E-2</v>
      </c>
    </row>
    <row r="169" spans="1:2">
      <c r="A169" s="5">
        <v>32416</v>
      </c>
      <c r="B169" s="6">
        <v>1.0967942030620126E-2</v>
      </c>
    </row>
    <row r="170" spans="1:2">
      <c r="A170" s="5">
        <v>32447</v>
      </c>
      <c r="B170" s="6">
        <v>2.3612970400117561E-3</v>
      </c>
    </row>
    <row r="171" spans="1:2">
      <c r="A171" s="5">
        <v>32477</v>
      </c>
      <c r="B171" s="6">
        <v>5.9964571237780762E-2</v>
      </c>
    </row>
    <row r="172" spans="1:2">
      <c r="A172" s="5">
        <v>32507</v>
      </c>
      <c r="B172" s="6">
        <v>3.1184512741988524E-2</v>
      </c>
    </row>
    <row r="173" spans="1:2">
      <c r="A173" s="5">
        <v>32539</v>
      </c>
      <c r="B173" s="6">
        <v>4.5735523094742048E-2</v>
      </c>
    </row>
    <row r="174" spans="1:2">
      <c r="A174" s="5">
        <v>32567</v>
      </c>
      <c r="B174" s="6">
        <v>-7.1404518770056269E-3</v>
      </c>
    </row>
    <row r="175" spans="1:2">
      <c r="A175" s="5">
        <v>32598</v>
      </c>
      <c r="B175" s="6">
        <v>8.957065743718351E-3</v>
      </c>
    </row>
    <row r="176" spans="1:2">
      <c r="A176" s="5">
        <v>32626</v>
      </c>
      <c r="B176" s="6">
        <v>7.8448048923718261E-3</v>
      </c>
    </row>
    <row r="177" spans="1:2">
      <c r="A177" s="5">
        <v>32659</v>
      </c>
      <c r="B177" s="6">
        <v>1.9537717197370297E-2</v>
      </c>
    </row>
    <row r="178" spans="1:2">
      <c r="A178" s="5">
        <v>32689</v>
      </c>
      <c r="B178" s="6">
        <v>-3.4590129042938011E-2</v>
      </c>
    </row>
    <row r="179" spans="1:2">
      <c r="A179" s="5">
        <v>32720</v>
      </c>
      <c r="B179" s="6">
        <v>7.3292016755260425E-2</v>
      </c>
    </row>
    <row r="180" spans="1:2">
      <c r="A180" s="5">
        <v>32751</v>
      </c>
      <c r="B180" s="6">
        <v>-9.7074822168967678E-3</v>
      </c>
    </row>
    <row r="181" spans="1:2">
      <c r="A181" s="5">
        <v>32780</v>
      </c>
      <c r="B181" s="6">
        <v>3.796602877797306E-2</v>
      </c>
    </row>
    <row r="182" spans="1:2">
      <c r="A182" s="5">
        <v>32812</v>
      </c>
      <c r="B182" s="6">
        <v>-3.5415325177075019E-3</v>
      </c>
    </row>
    <row r="183" spans="1:2">
      <c r="A183" s="5">
        <v>32842</v>
      </c>
      <c r="B183" s="6">
        <v>5.0838393404267102E-2</v>
      </c>
    </row>
    <row r="184" spans="1:2">
      <c r="A184" s="5">
        <v>32871</v>
      </c>
      <c r="B184" s="6">
        <v>1.831746502965137E-2</v>
      </c>
    </row>
    <row r="185" spans="1:2">
      <c r="A185" s="5">
        <v>32904</v>
      </c>
      <c r="B185" s="6">
        <v>-4.9906815160843498E-2</v>
      </c>
    </row>
    <row r="186" spans="1:2">
      <c r="A186" s="5">
        <v>32932</v>
      </c>
      <c r="B186" s="6">
        <v>-6.2840402254554339E-2</v>
      </c>
    </row>
    <row r="187" spans="1:2">
      <c r="A187" s="5">
        <v>32962</v>
      </c>
      <c r="B187" s="6">
        <v>-0.13176953000148117</v>
      </c>
    </row>
    <row r="188" spans="1:2">
      <c r="A188" s="5">
        <v>32993</v>
      </c>
      <c r="B188" s="6">
        <v>-9.661141738646406E-3</v>
      </c>
    </row>
    <row r="189" spans="1:2">
      <c r="A189" s="5">
        <v>33024</v>
      </c>
      <c r="B189" s="6">
        <v>0.10416326678634236</v>
      </c>
    </row>
    <row r="190" spans="1:2">
      <c r="A190" s="5">
        <v>33053</v>
      </c>
      <c r="B190" s="6">
        <v>-3.7926872326274452E-2</v>
      </c>
    </row>
    <row r="191" spans="1:2">
      <c r="A191" s="5">
        <v>33085</v>
      </c>
      <c r="B191" s="6">
        <v>-3.8747780964085821E-2</v>
      </c>
    </row>
    <row r="192" spans="1:2">
      <c r="A192" s="5">
        <v>33116</v>
      </c>
      <c r="B192" s="6">
        <v>-0.12367706076641682</v>
      </c>
    </row>
    <row r="193" spans="1:2">
      <c r="A193" s="5">
        <v>33144</v>
      </c>
      <c r="B193" s="6">
        <v>-0.2041672365841426</v>
      </c>
    </row>
    <row r="194" spans="1:2">
      <c r="A194" s="5">
        <v>33177</v>
      </c>
      <c r="B194" s="6">
        <v>0.18152710143543715</v>
      </c>
    </row>
    <row r="195" spans="1:2">
      <c r="A195" s="5">
        <v>33207</v>
      </c>
      <c r="B195" s="6">
        <v>-0.10996595047733981</v>
      </c>
    </row>
    <row r="196" spans="1:2">
      <c r="A196" s="5">
        <v>33238</v>
      </c>
      <c r="B196" s="6">
        <v>4.9527545232777026E-2</v>
      </c>
    </row>
    <row r="197" spans="1:2">
      <c r="A197" s="5">
        <v>33269</v>
      </c>
      <c r="B197" s="6">
        <v>-1.3207753932046318E-2</v>
      </c>
    </row>
    <row r="198" spans="1:2">
      <c r="A198" s="5">
        <v>33297</v>
      </c>
      <c r="B198" s="6">
        <v>0.1457628307411758</v>
      </c>
    </row>
    <row r="199" spans="1:2">
      <c r="A199" s="5">
        <v>33326</v>
      </c>
      <c r="B199" s="6">
        <v>5.310357492654294E-3</v>
      </c>
    </row>
    <row r="200" spans="1:2">
      <c r="A200" s="5">
        <v>33358</v>
      </c>
      <c r="B200" s="6">
        <v>-3.7092853917075619E-3</v>
      </c>
    </row>
    <row r="201" spans="1:2">
      <c r="A201" s="5">
        <v>33389</v>
      </c>
      <c r="B201" s="6">
        <v>6.8757576066236226E-4</v>
      </c>
    </row>
    <row r="202" spans="1:2">
      <c r="A202" s="5">
        <v>33417</v>
      </c>
      <c r="B202" s="6">
        <v>-7.4186800490642635E-2</v>
      </c>
    </row>
    <row r="203" spans="1:2">
      <c r="A203" s="5">
        <v>33450</v>
      </c>
      <c r="B203" s="6">
        <v>2.2050456017284059E-2</v>
      </c>
    </row>
    <row r="204" spans="1:2">
      <c r="A204" s="5">
        <v>33480</v>
      </c>
      <c r="B204" s="6">
        <v>-6.8322647273979076E-2</v>
      </c>
    </row>
    <row r="205" spans="1:2">
      <c r="A205" s="5">
        <v>33511</v>
      </c>
      <c r="B205" s="6">
        <v>5.7791120605045876E-2</v>
      </c>
    </row>
    <row r="206" spans="1:2">
      <c r="A206" s="5">
        <v>33542</v>
      </c>
      <c r="B206" s="6">
        <v>3.0155004912127525E-2</v>
      </c>
    </row>
    <row r="207" spans="1:2">
      <c r="A207" s="5">
        <v>33571</v>
      </c>
      <c r="B207" s="6">
        <v>-8.2730668362075876E-2</v>
      </c>
    </row>
    <row r="208" spans="1:2">
      <c r="A208" s="5">
        <v>33603</v>
      </c>
      <c r="B208" s="6">
        <v>-9.5997227516894101E-3</v>
      </c>
    </row>
    <row r="209" spans="1:2">
      <c r="A209" s="5">
        <v>33634</v>
      </c>
      <c r="B209" s="6">
        <v>-4.8837100800149358E-2</v>
      </c>
    </row>
    <row r="210" spans="1:2">
      <c r="A210" s="5">
        <v>33662</v>
      </c>
      <c r="B210" s="6">
        <v>-4.687480839270608E-2</v>
      </c>
    </row>
    <row r="211" spans="1:2">
      <c r="A211" s="5">
        <v>33694</v>
      </c>
      <c r="B211" s="6">
        <v>-8.7469202117736344E-2</v>
      </c>
    </row>
    <row r="212" spans="1:2">
      <c r="A212" s="5">
        <v>33724</v>
      </c>
      <c r="B212" s="6">
        <v>-7.1243267631052043E-2</v>
      </c>
    </row>
    <row r="213" spans="1:2">
      <c r="A213" s="5">
        <v>33753</v>
      </c>
      <c r="B213" s="6">
        <v>4.4676878235392348E-2</v>
      </c>
    </row>
    <row r="214" spans="1:2">
      <c r="A214" s="5">
        <v>33785</v>
      </c>
      <c r="B214" s="6">
        <v>-0.1018077191350848</v>
      </c>
    </row>
    <row r="215" spans="1:2">
      <c r="A215" s="5">
        <v>33816</v>
      </c>
      <c r="B215" s="6">
        <v>-1.3711373564148199E-2</v>
      </c>
    </row>
    <row r="216" spans="1:2">
      <c r="A216" s="5">
        <v>33847</v>
      </c>
      <c r="B216" s="6">
        <v>0.13636251794135745</v>
      </c>
    </row>
    <row r="217" spans="1:2">
      <c r="A217" s="5">
        <v>33877</v>
      </c>
      <c r="B217" s="6">
        <v>-5.4066733549378965E-2</v>
      </c>
    </row>
    <row r="218" spans="1:2">
      <c r="A218" s="5">
        <v>33907</v>
      </c>
      <c r="B218" s="6">
        <v>-2.4179764993132791E-2</v>
      </c>
    </row>
    <row r="219" spans="1:2">
      <c r="A219" s="5">
        <v>33938</v>
      </c>
      <c r="B219" s="6">
        <v>3.4748340383607745E-2</v>
      </c>
    </row>
    <row r="220" spans="1:2">
      <c r="A220" s="5">
        <v>33969</v>
      </c>
      <c r="B220" s="6">
        <v>-1.1856273850455179E-2</v>
      </c>
    </row>
    <row r="221" spans="1:2">
      <c r="A221" s="5">
        <v>33998</v>
      </c>
      <c r="B221" s="6">
        <v>-6.7142835293577674E-3</v>
      </c>
    </row>
    <row r="222" spans="1:2">
      <c r="A222" s="5">
        <v>34026</v>
      </c>
      <c r="B222" s="6">
        <v>-1.1294345898004488E-2</v>
      </c>
    </row>
    <row r="223" spans="1:2">
      <c r="A223" s="5">
        <v>34059</v>
      </c>
      <c r="B223" s="6">
        <v>0.11498119466442391</v>
      </c>
    </row>
    <row r="224" spans="1:2">
      <c r="A224" s="5">
        <v>34089</v>
      </c>
      <c r="B224" s="6">
        <v>0.1319393520361487</v>
      </c>
    </row>
    <row r="225" spans="1:2">
      <c r="A225" s="5">
        <v>34120</v>
      </c>
      <c r="B225" s="6">
        <v>9.7545024339982245E-3</v>
      </c>
    </row>
    <row r="226" spans="1:2">
      <c r="A226" s="5">
        <v>34150</v>
      </c>
      <c r="B226" s="6">
        <v>-3.4431137724550864E-2</v>
      </c>
    </row>
    <row r="227" spans="1:2">
      <c r="A227" s="5">
        <v>34180</v>
      </c>
      <c r="B227" s="6">
        <v>5.0409745293466202E-2</v>
      </c>
    </row>
    <row r="228" spans="1:2">
      <c r="A228" s="5">
        <v>34212</v>
      </c>
      <c r="B228" s="6">
        <v>1.9989035550119993E-2</v>
      </c>
    </row>
    <row r="229" spans="1:2">
      <c r="A229" s="5">
        <v>34242</v>
      </c>
      <c r="B229" s="6">
        <v>-3.9478113980946028E-2</v>
      </c>
    </row>
    <row r="230" spans="1:2">
      <c r="A230" s="5">
        <v>34271</v>
      </c>
      <c r="B230" s="6">
        <v>2.6687163720213736E-3</v>
      </c>
    </row>
    <row r="231" spans="1:2">
      <c r="A231" s="5">
        <v>34303</v>
      </c>
      <c r="B231" s="6">
        <v>-0.15732342281014844</v>
      </c>
    </row>
    <row r="232" spans="1:2">
      <c r="A232" s="5">
        <v>34334</v>
      </c>
      <c r="B232" s="6">
        <v>4.7487009300903882E-2</v>
      </c>
    </row>
    <row r="233" spans="1:2">
      <c r="A233" s="5">
        <v>34365</v>
      </c>
      <c r="B233" s="6">
        <v>0.13194516817085966</v>
      </c>
    </row>
    <row r="234" spans="1:2">
      <c r="A234" s="5">
        <v>34393</v>
      </c>
      <c r="B234" s="6">
        <v>1.5283387142313032E-3</v>
      </c>
    </row>
    <row r="235" spans="1:2">
      <c r="A235" s="5">
        <v>34424</v>
      </c>
      <c r="B235" s="6">
        <v>-4.1980498985726644E-2</v>
      </c>
    </row>
    <row r="236" spans="1:2">
      <c r="A236" s="5">
        <v>34453</v>
      </c>
      <c r="B236" s="6">
        <v>2.5665137761401224E-2</v>
      </c>
    </row>
    <row r="237" spans="1:2">
      <c r="A237" s="5">
        <v>34485</v>
      </c>
      <c r="B237" s="6">
        <v>4.9378481036343125E-2</v>
      </c>
    </row>
    <row r="238" spans="1:2">
      <c r="A238" s="5">
        <v>34515</v>
      </c>
      <c r="B238" s="6">
        <v>-5.4561664190193593E-3</v>
      </c>
    </row>
    <row r="239" spans="1:2">
      <c r="A239" s="5">
        <v>34544</v>
      </c>
      <c r="B239" s="6">
        <v>-2.1460330361197988E-2</v>
      </c>
    </row>
    <row r="240" spans="1:2">
      <c r="A240" s="5">
        <v>34577</v>
      </c>
      <c r="B240" s="6">
        <v>1.8199473558853096E-3</v>
      </c>
    </row>
    <row r="241" spans="1:2">
      <c r="A241" s="5">
        <v>34607</v>
      </c>
      <c r="B241" s="6">
        <v>-3.871030669535902E-2</v>
      </c>
    </row>
    <row r="242" spans="1:2">
      <c r="A242" s="5">
        <v>34638</v>
      </c>
      <c r="B242" s="6">
        <v>4.927420428818774E-3</v>
      </c>
    </row>
    <row r="243" spans="1:2">
      <c r="A243" s="5">
        <v>34668</v>
      </c>
      <c r="B243" s="6">
        <v>-4.0544974947307355E-2</v>
      </c>
    </row>
    <row r="244" spans="1:2">
      <c r="A244" s="5">
        <v>34698</v>
      </c>
      <c r="B244" s="6">
        <v>2.5440506179254196E-2</v>
      </c>
    </row>
    <row r="245" spans="1:2">
      <c r="A245" s="5">
        <v>34730</v>
      </c>
      <c r="B245" s="6">
        <v>-6.1093330083574426E-2</v>
      </c>
    </row>
    <row r="246" spans="1:2">
      <c r="A246" s="5">
        <v>34758</v>
      </c>
      <c r="B246" s="6">
        <v>-7.8867909061099417E-2</v>
      </c>
    </row>
    <row r="247" spans="1:2">
      <c r="A247" s="5">
        <v>34789</v>
      </c>
      <c r="B247" s="6">
        <v>-3.0035820497037236E-2</v>
      </c>
    </row>
    <row r="248" spans="1:2">
      <c r="A248" s="5">
        <v>34817</v>
      </c>
      <c r="B248" s="6">
        <v>1.829664574237877E-2</v>
      </c>
    </row>
    <row r="249" spans="1:2">
      <c r="A249" s="5">
        <v>34850</v>
      </c>
      <c r="B249" s="6">
        <v>-5.834872580378736E-2</v>
      </c>
    </row>
    <row r="250" spans="1:2">
      <c r="A250" s="5">
        <v>34880</v>
      </c>
      <c r="B250" s="6">
        <v>-4.5546243949892706E-2</v>
      </c>
    </row>
    <row r="251" spans="1:2">
      <c r="A251" s="5">
        <v>34911</v>
      </c>
      <c r="B251" s="6">
        <v>0.11621650974527764</v>
      </c>
    </row>
    <row r="252" spans="1:2">
      <c r="A252" s="5">
        <v>34942</v>
      </c>
      <c r="B252" s="6">
        <v>6.8467929047226983E-2</v>
      </c>
    </row>
    <row r="253" spans="1:2">
      <c r="A253" s="5">
        <v>34971</v>
      </c>
      <c r="B253" s="6">
        <v>7.411143333473591E-3</v>
      </c>
    </row>
    <row r="254" spans="1:2">
      <c r="A254" s="5">
        <v>35003</v>
      </c>
      <c r="B254" s="6">
        <v>-1.8787895644434505E-2</v>
      </c>
    </row>
    <row r="255" spans="1:2">
      <c r="A255" s="5">
        <v>35033</v>
      </c>
      <c r="B255" s="6">
        <v>5.0363535864619946E-2</v>
      </c>
    </row>
    <row r="256" spans="1:2">
      <c r="A256" s="5">
        <v>35062</v>
      </c>
      <c r="B256" s="6">
        <v>6.442406946384116E-2</v>
      </c>
    </row>
    <row r="257" spans="1:2">
      <c r="A257" s="5">
        <v>35095</v>
      </c>
      <c r="B257" s="6">
        <v>2.2444064144006903E-2</v>
      </c>
    </row>
    <row r="258" spans="1:2">
      <c r="A258" s="5">
        <v>35124</v>
      </c>
      <c r="B258" s="6">
        <v>-3.2638815703826651E-2</v>
      </c>
    </row>
    <row r="259" spans="1:2">
      <c r="A259" s="5">
        <v>35153</v>
      </c>
      <c r="B259" s="6">
        <v>4.8972738807787408E-2</v>
      </c>
    </row>
    <row r="260" spans="1:2">
      <c r="A260" s="5">
        <v>35185</v>
      </c>
      <c r="B260" s="6">
        <v>4.6148770832315167E-2</v>
      </c>
    </row>
    <row r="261" spans="1:2">
      <c r="A261" s="5">
        <v>35216</v>
      </c>
      <c r="B261" s="6">
        <v>-1.8599409023487334E-2</v>
      </c>
    </row>
    <row r="262" spans="1:2">
      <c r="A262" s="5">
        <v>35244</v>
      </c>
      <c r="B262" s="6">
        <v>1.8969754309549725E-2</v>
      </c>
    </row>
    <row r="263" spans="1:2">
      <c r="A263" s="5">
        <v>35277</v>
      </c>
      <c r="B263" s="6">
        <v>-7.475838710619287E-2</v>
      </c>
    </row>
    <row r="264" spans="1:2">
      <c r="A264" s="5">
        <v>35307</v>
      </c>
      <c r="B264" s="6">
        <v>-2.5838945235826194E-2</v>
      </c>
    </row>
    <row r="265" spans="1:2">
      <c r="A265" s="5">
        <v>35338</v>
      </c>
      <c r="B265" s="6">
        <v>5.4460994240325356E-2</v>
      </c>
    </row>
    <row r="266" spans="1:2">
      <c r="A266" s="5">
        <v>35369</v>
      </c>
      <c r="B266" s="6">
        <v>-4.7310374489263007E-2</v>
      </c>
    </row>
    <row r="267" spans="1:2">
      <c r="A267" s="5">
        <v>35398</v>
      </c>
      <c r="B267" s="6">
        <v>7.9004224307503979E-3</v>
      </c>
    </row>
    <row r="268" spans="1:2">
      <c r="A268" s="5">
        <v>35430</v>
      </c>
      <c r="B268" s="6">
        <v>-5.8779114410033251E-2</v>
      </c>
    </row>
    <row r="269" spans="1:2">
      <c r="A269" s="5">
        <v>35461</v>
      </c>
      <c r="B269" s="6">
        <v>-6.6936788720138196E-2</v>
      </c>
    </row>
    <row r="270" spans="1:2">
      <c r="A270" s="5">
        <v>35489</v>
      </c>
      <c r="B270" s="6">
        <v>1.3195092096059513E-2</v>
      </c>
    </row>
    <row r="271" spans="1:2">
      <c r="A271" s="5">
        <v>35520</v>
      </c>
      <c r="B271" s="6">
        <v>-1.2462336130707019E-2</v>
      </c>
    </row>
    <row r="272" spans="1:2">
      <c r="A272" s="5">
        <v>35550</v>
      </c>
      <c r="B272" s="6">
        <v>4.9466233633834955E-2</v>
      </c>
    </row>
    <row r="273" spans="1:2">
      <c r="A273" s="5">
        <v>35580</v>
      </c>
      <c r="B273" s="6">
        <v>3.1709906396797161E-2</v>
      </c>
    </row>
    <row r="274" spans="1:2">
      <c r="A274" s="5">
        <v>35611</v>
      </c>
      <c r="B274" s="6">
        <v>4.5006691819838629E-2</v>
      </c>
    </row>
    <row r="275" spans="1:2">
      <c r="A275" s="5">
        <v>35642</v>
      </c>
      <c r="B275" s="6">
        <v>-6.2877700619766719E-3</v>
      </c>
    </row>
    <row r="276" spans="1:2">
      <c r="A276" s="5">
        <v>35671</v>
      </c>
      <c r="B276" s="6">
        <v>-7.5159969948965011E-2</v>
      </c>
    </row>
    <row r="277" spans="1:2">
      <c r="A277" s="5">
        <v>35703</v>
      </c>
      <c r="B277" s="6">
        <v>-2.7780306584780035E-2</v>
      </c>
    </row>
    <row r="278" spans="1:2">
      <c r="A278" s="5">
        <v>35734</v>
      </c>
      <c r="B278" s="6">
        <v>-8.0096807652414448E-2</v>
      </c>
    </row>
    <row r="279" spans="1:2">
      <c r="A279" s="5">
        <v>35762</v>
      </c>
      <c r="B279" s="6">
        <v>-1.9496993234778159E-2</v>
      </c>
    </row>
    <row r="280" spans="1:2">
      <c r="A280" s="5">
        <v>35795</v>
      </c>
      <c r="B280" s="6">
        <v>-6.1642522879366335E-2</v>
      </c>
    </row>
    <row r="281" spans="1:2">
      <c r="A281" s="5">
        <v>35825</v>
      </c>
      <c r="B281" s="6">
        <v>7.8704373505357417E-2</v>
      </c>
    </row>
    <row r="282" spans="1:2">
      <c r="A282" s="5">
        <v>35853</v>
      </c>
      <c r="B282" s="6">
        <v>3.8974051486773131E-3</v>
      </c>
    </row>
    <row r="283" spans="1:2">
      <c r="A283" s="5">
        <v>35885</v>
      </c>
      <c r="B283" s="6">
        <v>-1.6307124052025612E-2</v>
      </c>
    </row>
    <row r="284" spans="1:2">
      <c r="A284" s="5">
        <v>35915</v>
      </c>
      <c r="B284" s="6">
        <v>-2.2944795078692959E-2</v>
      </c>
    </row>
    <row r="285" spans="1:2">
      <c r="A285" s="5">
        <v>35944</v>
      </c>
      <c r="B285" s="6">
        <v>-1.2183355410554375E-3</v>
      </c>
    </row>
    <row r="286" spans="1:2">
      <c r="A286" s="5">
        <v>35976</v>
      </c>
      <c r="B286" s="6">
        <v>7.2779965452030027E-3</v>
      </c>
    </row>
    <row r="287" spans="1:2">
      <c r="A287" s="5">
        <v>36007</v>
      </c>
      <c r="B287" s="6">
        <v>2.5731887709488088E-2</v>
      </c>
    </row>
    <row r="288" spans="1:2">
      <c r="A288" s="5">
        <v>36038</v>
      </c>
      <c r="B288" s="6">
        <v>-0.12325282875344679</v>
      </c>
    </row>
    <row r="289" spans="1:2">
      <c r="A289" s="5">
        <v>36068</v>
      </c>
      <c r="B289" s="6">
        <v>-5.6864499453226025E-2</v>
      </c>
    </row>
    <row r="290" spans="1:2">
      <c r="A290" s="5">
        <v>36098</v>
      </c>
      <c r="B290" s="6">
        <v>-7.6372452255240031E-3</v>
      </c>
    </row>
    <row r="291" spans="1:2">
      <c r="A291" s="5">
        <v>36129</v>
      </c>
      <c r="B291" s="6">
        <v>0.10419080726149099</v>
      </c>
    </row>
    <row r="292" spans="1:2">
      <c r="A292" s="5">
        <v>36160</v>
      </c>
      <c r="B292" s="6">
        <v>-4.9418452120682077E-2</v>
      </c>
    </row>
    <row r="293" spans="1:2">
      <c r="A293" s="5">
        <v>36189</v>
      </c>
      <c r="B293" s="6">
        <v>3.5207315614679047E-2</v>
      </c>
    </row>
    <row r="294" spans="1:2">
      <c r="A294" s="5">
        <v>36217</v>
      </c>
      <c r="B294" s="6">
        <v>-4.6478147272630554E-3</v>
      </c>
    </row>
    <row r="295" spans="1:2">
      <c r="A295" s="5">
        <v>36250</v>
      </c>
      <c r="B295" s="6">
        <v>0.13141612278242554</v>
      </c>
    </row>
    <row r="296" spans="1:2">
      <c r="A296" s="5">
        <v>36280</v>
      </c>
      <c r="B296" s="6">
        <v>5.5160114265873306E-2</v>
      </c>
    </row>
    <row r="297" spans="1:2">
      <c r="A297" s="5">
        <v>36311</v>
      </c>
      <c r="B297" s="6">
        <v>-2.9862689960512001E-2</v>
      </c>
    </row>
    <row r="298" spans="1:2">
      <c r="A298" s="5">
        <v>36341</v>
      </c>
      <c r="B298" s="6">
        <v>9.1744463031629975E-2</v>
      </c>
    </row>
    <row r="299" spans="1:2">
      <c r="A299" s="5">
        <v>36371</v>
      </c>
      <c r="B299" s="6">
        <v>4.4294591159440788E-2</v>
      </c>
    </row>
    <row r="300" spans="1:2">
      <c r="A300" s="5">
        <v>36403</v>
      </c>
      <c r="B300" s="6">
        <v>-1.4814764728553809E-2</v>
      </c>
    </row>
    <row r="301" spans="1:2">
      <c r="A301" s="5">
        <v>36433</v>
      </c>
      <c r="B301" s="6">
        <v>3.418621570053948E-2</v>
      </c>
    </row>
    <row r="302" spans="1:2">
      <c r="A302" s="5">
        <v>36462</v>
      </c>
      <c r="B302" s="6">
        <v>3.7867576302569095E-2</v>
      </c>
    </row>
    <row r="303" spans="1:2">
      <c r="A303" s="5">
        <v>36494</v>
      </c>
      <c r="B303" s="6">
        <v>4.9645435420649697E-2</v>
      </c>
    </row>
    <row r="304" spans="1:2">
      <c r="A304" s="5">
        <v>36525</v>
      </c>
      <c r="B304" s="6">
        <v>4.9143177401570481E-2</v>
      </c>
    </row>
    <row r="305" spans="1:2">
      <c r="A305" s="5">
        <v>36556</v>
      </c>
      <c r="B305" s="6">
        <v>-8.2684937870166619E-3</v>
      </c>
    </row>
    <row r="306" spans="1:2">
      <c r="A306" s="5">
        <v>36585</v>
      </c>
      <c r="B306" s="6">
        <v>6.4287219841214771E-3</v>
      </c>
    </row>
    <row r="307" spans="1:2">
      <c r="A307" s="5">
        <v>36616</v>
      </c>
      <c r="B307" s="6">
        <v>-7.5628003304362146E-3</v>
      </c>
    </row>
    <row r="308" spans="1:2">
      <c r="A308" s="5">
        <v>36644</v>
      </c>
      <c r="B308" s="6">
        <v>-3.3453697081960776E-2</v>
      </c>
    </row>
    <row r="309" spans="1:2">
      <c r="A309" s="5">
        <v>36677</v>
      </c>
      <c r="B309" s="6">
        <v>-7.6434164003226446E-2</v>
      </c>
    </row>
    <row r="310" spans="1:2">
      <c r="A310" s="5">
        <v>36707</v>
      </c>
      <c r="B310" s="6">
        <v>4.5152478264295581E-2</v>
      </c>
    </row>
    <row r="311" spans="1:2">
      <c r="A311" s="5">
        <v>36738</v>
      </c>
      <c r="B311" s="6">
        <v>-8.6987936667504262E-2</v>
      </c>
    </row>
    <row r="312" spans="1:2">
      <c r="A312" s="5">
        <v>36769</v>
      </c>
      <c r="B312" s="6">
        <v>4.0112858273406049E-2</v>
      </c>
    </row>
    <row r="313" spans="1:2">
      <c r="A313" s="5">
        <v>36798</v>
      </c>
      <c r="B313" s="6">
        <v>-2.6901497909278649E-2</v>
      </c>
    </row>
    <row r="314" spans="1:2">
      <c r="A314" s="5">
        <v>36830</v>
      </c>
      <c r="B314" s="6">
        <v>-6.1749547858959142E-2</v>
      </c>
    </row>
    <row r="315" spans="1:2">
      <c r="A315" s="5">
        <v>36860</v>
      </c>
      <c r="B315" s="6">
        <v>-1.2536595263630823E-2</v>
      </c>
    </row>
    <row r="316" spans="1:2">
      <c r="A316" s="5">
        <v>36889</v>
      </c>
      <c r="B316" s="6">
        <v>-5.7967504733389075E-2</v>
      </c>
    </row>
    <row r="317" spans="1:2">
      <c r="A317" s="5">
        <v>36922</v>
      </c>
      <c r="B317" s="6">
        <v>1.2900511813783933E-2</v>
      </c>
    </row>
    <row r="318" spans="1:2">
      <c r="A318" s="5">
        <v>36950</v>
      </c>
      <c r="B318" s="6">
        <v>-4.5184313544526788E-2</v>
      </c>
    </row>
    <row r="319" spans="1:2">
      <c r="A319" s="5">
        <v>36980</v>
      </c>
      <c r="B319" s="6">
        <v>2.88284950220703E-2</v>
      </c>
    </row>
    <row r="320" spans="1:2">
      <c r="A320" s="5">
        <v>37011</v>
      </c>
      <c r="B320" s="6">
        <v>6.9828618851143442E-2</v>
      </c>
    </row>
    <row r="321" spans="1:2">
      <c r="A321" s="5">
        <v>37042</v>
      </c>
      <c r="B321" s="6">
        <v>-4.0725670711180828E-2</v>
      </c>
    </row>
    <row r="322" spans="1:2">
      <c r="A322" s="5">
        <v>37071</v>
      </c>
      <c r="B322" s="6">
        <v>-7.4991798963999212E-3</v>
      </c>
    </row>
    <row r="323" spans="1:2">
      <c r="A323" s="5">
        <v>37103</v>
      </c>
      <c r="B323" s="6">
        <v>-8.5066642069824394E-2</v>
      </c>
    </row>
    <row r="324" spans="1:2">
      <c r="A324" s="5">
        <v>37134</v>
      </c>
      <c r="B324" s="6">
        <v>-7.2787761171459464E-2</v>
      </c>
    </row>
    <row r="325" spans="1:2">
      <c r="A325" s="5">
        <v>37162</v>
      </c>
      <c r="B325" s="6">
        <v>-7.2711951942156738E-2</v>
      </c>
    </row>
    <row r="326" spans="1:2">
      <c r="A326" s="5">
        <v>37195</v>
      </c>
      <c r="B326" s="6">
        <v>3.5127318207578417E-2</v>
      </c>
    </row>
    <row r="327" spans="1:2">
      <c r="A327" s="5">
        <v>37225</v>
      </c>
      <c r="B327" s="6">
        <v>-8.6372089071805602E-3</v>
      </c>
    </row>
    <row r="328" spans="1:2">
      <c r="A328" s="5">
        <v>37256</v>
      </c>
      <c r="B328" s="6">
        <v>-1.7215440574355756E-2</v>
      </c>
    </row>
    <row r="329" spans="1:2">
      <c r="A329" s="5">
        <v>37287</v>
      </c>
      <c r="B329" s="6">
        <v>-5.8490127308311046E-2</v>
      </c>
    </row>
    <row r="330" spans="1:2">
      <c r="A330" s="5">
        <v>37315</v>
      </c>
      <c r="B330" s="6">
        <v>4.3250975024954341E-2</v>
      </c>
    </row>
    <row r="331" spans="1:2">
      <c r="A331" s="5">
        <v>37344</v>
      </c>
      <c r="B331" s="6">
        <v>4.57585322548828E-2</v>
      </c>
    </row>
    <row r="332" spans="1:2">
      <c r="A332" s="5">
        <v>37376</v>
      </c>
      <c r="B332" s="6">
        <v>2.0628377932257358E-2</v>
      </c>
    </row>
    <row r="333" spans="1:2">
      <c r="A333" s="5">
        <v>37407</v>
      </c>
      <c r="B333" s="6">
        <v>3.5136683732879925E-2</v>
      </c>
    </row>
    <row r="334" spans="1:2">
      <c r="A334" s="5">
        <v>37435</v>
      </c>
      <c r="B334" s="6">
        <v>-8.4985001071351873E-2</v>
      </c>
    </row>
    <row r="335" spans="1:2">
      <c r="A335" s="5">
        <v>37468</v>
      </c>
      <c r="B335" s="6">
        <v>-5.8435539423743132E-2</v>
      </c>
    </row>
    <row r="336" spans="1:2">
      <c r="A336" s="5">
        <v>37498</v>
      </c>
      <c r="B336" s="6">
        <v>-2.4207253886010416E-2</v>
      </c>
    </row>
    <row r="337" spans="1:2">
      <c r="A337" s="5">
        <v>37529</v>
      </c>
      <c r="B337" s="6">
        <v>-2.1866105942823233E-2</v>
      </c>
    </row>
    <row r="338" spans="1:2">
      <c r="A338" s="5">
        <v>37560</v>
      </c>
      <c r="B338" s="6">
        <v>-6.3851039574398749E-2</v>
      </c>
    </row>
    <row r="339" spans="1:2">
      <c r="A339" s="5">
        <v>37589</v>
      </c>
      <c r="B339" s="6">
        <v>3.5338188903321521E-2</v>
      </c>
    </row>
    <row r="340" spans="1:2">
      <c r="A340" s="5">
        <v>37621</v>
      </c>
      <c r="B340" s="6">
        <v>-5.5359523249431608E-2</v>
      </c>
    </row>
    <row r="341" spans="1:2">
      <c r="A341" s="5">
        <v>37652</v>
      </c>
      <c r="B341" s="6">
        <v>-2.6218738512255535E-2</v>
      </c>
    </row>
    <row r="342" spans="1:2">
      <c r="A342" s="5">
        <v>37680</v>
      </c>
      <c r="B342" s="6">
        <v>-2.9835115321853456E-3</v>
      </c>
    </row>
    <row r="343" spans="1:2">
      <c r="A343" s="5">
        <v>37711</v>
      </c>
      <c r="B343" s="6">
        <v>-3.753374128222986E-2</v>
      </c>
    </row>
    <row r="344" spans="1:2">
      <c r="A344" s="5">
        <v>37741</v>
      </c>
      <c r="B344" s="6">
        <v>1.0862944162436383E-2</v>
      </c>
    </row>
    <row r="345" spans="1:2">
      <c r="A345" s="5">
        <v>37771</v>
      </c>
      <c r="B345" s="6">
        <v>5.1647082454554738E-2</v>
      </c>
    </row>
    <row r="346" spans="1:2">
      <c r="A346" s="5">
        <v>37802</v>
      </c>
      <c r="B346" s="6">
        <v>7.847678166408012E-2</v>
      </c>
    </row>
    <row r="347" spans="1:2">
      <c r="A347" s="5">
        <v>37833</v>
      </c>
      <c r="B347" s="6">
        <v>3.9803418046577388E-2</v>
      </c>
    </row>
    <row r="348" spans="1:2">
      <c r="A348" s="5">
        <v>37862</v>
      </c>
      <c r="B348" s="6">
        <v>6.6648924845646107E-2</v>
      </c>
    </row>
    <row r="349" spans="1:2">
      <c r="A349" s="5">
        <v>37894</v>
      </c>
      <c r="B349" s="6">
        <v>1.6756319797207597E-2</v>
      </c>
    </row>
    <row r="350" spans="1:2">
      <c r="A350" s="5">
        <v>37925</v>
      </c>
      <c r="B350" s="6">
        <v>2.4106792304672053E-2</v>
      </c>
    </row>
    <row r="351" spans="1:2">
      <c r="A351" s="5">
        <v>37953</v>
      </c>
      <c r="B351" s="6">
        <v>-4.1797653734089724E-2</v>
      </c>
    </row>
    <row r="352" spans="1:2">
      <c r="A352" s="5">
        <v>37986</v>
      </c>
      <c r="B352" s="6">
        <v>4.3950987746936843E-2</v>
      </c>
    </row>
    <row r="353" spans="1:2">
      <c r="A353" s="5">
        <v>38016</v>
      </c>
      <c r="B353" s="6">
        <v>3.6600906399408828E-3</v>
      </c>
    </row>
    <row r="354" spans="1:2">
      <c r="A354" s="5">
        <v>38044</v>
      </c>
      <c r="B354" s="6">
        <v>3.337438306078222E-2</v>
      </c>
    </row>
    <row r="355" spans="1:2">
      <c r="A355" s="5">
        <v>38077</v>
      </c>
      <c r="B355" s="6">
        <v>8.9388158563285858E-2</v>
      </c>
    </row>
    <row r="356" spans="1:2">
      <c r="A356" s="5">
        <v>38107</v>
      </c>
      <c r="B356" s="6">
        <v>6.0039178107746949E-3</v>
      </c>
    </row>
    <row r="357" spans="1:2">
      <c r="A357" s="5">
        <v>38138</v>
      </c>
      <c r="B357" s="6">
        <v>-3.9087590933229888E-2</v>
      </c>
    </row>
    <row r="358" spans="1:2">
      <c r="A358" s="5">
        <v>38168</v>
      </c>
      <c r="B358" s="6">
        <v>4.3563696334894653E-2</v>
      </c>
    </row>
    <row r="359" spans="1:2">
      <c r="A359" s="5">
        <v>38198</v>
      </c>
      <c r="B359" s="6">
        <v>-4.2283120376597094E-2</v>
      </c>
    </row>
    <row r="360" spans="1:2">
      <c r="A360" s="5">
        <v>38230</v>
      </c>
      <c r="B360" s="6">
        <v>-8.5578864214869155E-3</v>
      </c>
    </row>
    <row r="361" spans="1:2">
      <c r="A361" s="5">
        <v>38260</v>
      </c>
      <c r="B361" s="6">
        <v>-2.4292859988491067E-2</v>
      </c>
    </row>
    <row r="362" spans="1:2">
      <c r="A362" s="5">
        <v>38289</v>
      </c>
      <c r="B362" s="6">
        <v>-1.5134605438658411E-2</v>
      </c>
    </row>
    <row r="363" spans="1:2">
      <c r="A363" s="5">
        <v>38321</v>
      </c>
      <c r="B363" s="6">
        <v>1.2308486037791333E-2</v>
      </c>
    </row>
    <row r="364" spans="1:2">
      <c r="A364" s="5">
        <v>38352</v>
      </c>
      <c r="B364" s="6">
        <v>4.626907780376599E-2</v>
      </c>
    </row>
    <row r="365" spans="1:2">
      <c r="A365" s="5">
        <v>38383</v>
      </c>
      <c r="B365" s="6">
        <v>-3.0357593312630993E-3</v>
      </c>
    </row>
    <row r="366" spans="1:2">
      <c r="A366" s="5">
        <v>38411</v>
      </c>
      <c r="B366" s="6">
        <v>2.7282879927408521E-2</v>
      </c>
    </row>
    <row r="367" spans="1:2">
      <c r="A367" s="5">
        <v>38442</v>
      </c>
      <c r="B367" s="6">
        <v>4.051265064845655E-3</v>
      </c>
    </row>
    <row r="368" spans="1:2">
      <c r="A368" s="5">
        <v>38471</v>
      </c>
      <c r="B368" s="6">
        <v>-4.4198007071681089E-2</v>
      </c>
    </row>
    <row r="369" spans="1:2">
      <c r="A369" s="5">
        <v>38503</v>
      </c>
      <c r="B369" s="6">
        <v>1.2744152292619715E-2</v>
      </c>
    </row>
    <row r="370" spans="1:2">
      <c r="A370" s="5">
        <v>38533</v>
      </c>
      <c r="B370" s="6">
        <v>2.8724231646465759E-2</v>
      </c>
    </row>
    <row r="371" spans="1:2">
      <c r="A371" s="5">
        <v>38562</v>
      </c>
      <c r="B371" s="6">
        <v>2.3598369011212927E-2</v>
      </c>
    </row>
    <row r="372" spans="1:2">
      <c r="A372" s="5">
        <v>38595</v>
      </c>
      <c r="B372" s="6">
        <v>5.5029959003468853E-2</v>
      </c>
    </row>
    <row r="373" spans="1:2">
      <c r="A373" s="5">
        <v>38625</v>
      </c>
      <c r="B373" s="6">
        <v>0.11090309842758139</v>
      </c>
    </row>
    <row r="374" spans="1:2">
      <c r="A374" s="5">
        <v>38656</v>
      </c>
      <c r="B374" s="6">
        <v>2.2977030050698177E-2</v>
      </c>
    </row>
    <row r="375" spans="1:2">
      <c r="A375" s="5">
        <v>38686</v>
      </c>
      <c r="B375" s="6">
        <v>6.331978985692821E-2</v>
      </c>
    </row>
    <row r="376" spans="1:2">
      <c r="A376" s="5">
        <v>38716</v>
      </c>
      <c r="B376" s="6">
        <v>7.3915675591227803E-2</v>
      </c>
    </row>
    <row r="377" spans="1:2">
      <c r="A377" s="5">
        <v>38748</v>
      </c>
      <c r="B377" s="6">
        <v>3.6981136650179325E-2</v>
      </c>
    </row>
    <row r="378" spans="1:2">
      <c r="A378" s="5">
        <v>38776</v>
      </c>
      <c r="B378" s="6">
        <v>-2.9431191802521628E-2</v>
      </c>
    </row>
    <row r="379" spans="1:2">
      <c r="A379" s="5">
        <v>38807</v>
      </c>
      <c r="B379" s="6">
        <v>4.0796906806711553E-2</v>
      </c>
    </row>
    <row r="380" spans="1:2">
      <c r="A380" s="5">
        <v>38837</v>
      </c>
      <c r="B380" s="6">
        <v>-6.7875659661142951E-3</v>
      </c>
    </row>
    <row r="381" spans="1:2">
      <c r="A381" s="5">
        <v>38868</v>
      </c>
      <c r="B381" s="6">
        <v>-7.9519700774281499E-2</v>
      </c>
    </row>
    <row r="382" spans="1:2">
      <c r="A382" s="5">
        <v>38898</v>
      </c>
      <c r="B382" s="6">
        <v>4.4432067040520717E-3</v>
      </c>
    </row>
    <row r="383" spans="1:2">
      <c r="A383" s="5">
        <v>38929</v>
      </c>
      <c r="B383" s="6">
        <v>-9.4205272974744458E-3</v>
      </c>
    </row>
    <row r="384" spans="1:2">
      <c r="A384" s="5">
        <v>38960</v>
      </c>
      <c r="B384" s="6">
        <v>3.9726210393063788E-2</v>
      </c>
    </row>
    <row r="385" spans="1:2">
      <c r="A385" s="5">
        <v>38990</v>
      </c>
      <c r="B385" s="6">
        <v>-1.4518556587496789E-2</v>
      </c>
    </row>
    <row r="386" spans="1:2">
      <c r="A386" s="5">
        <v>39021</v>
      </c>
      <c r="B386" s="6">
        <v>4.1533962861559637E-3</v>
      </c>
    </row>
    <row r="387" spans="1:2">
      <c r="A387" s="5">
        <v>39051</v>
      </c>
      <c r="B387" s="6">
        <v>-8.8968851627901913E-3</v>
      </c>
    </row>
    <row r="388" spans="1:2">
      <c r="A388" s="5">
        <v>39082</v>
      </c>
      <c r="B388" s="6">
        <v>4.8682806934368106E-2</v>
      </c>
    </row>
    <row r="389" spans="1:2">
      <c r="A389" s="5">
        <v>39113</v>
      </c>
      <c r="B389" s="6">
        <v>2.4323793774203351E-2</v>
      </c>
    </row>
    <row r="390" spans="1:2">
      <c r="A390" s="5">
        <v>39141</v>
      </c>
      <c r="B390" s="6">
        <v>1.7874979674324498E-2</v>
      </c>
    </row>
    <row r="391" spans="1:2">
      <c r="A391" s="5">
        <v>39172</v>
      </c>
      <c r="B391" s="6">
        <v>-2.2325045357554529E-2</v>
      </c>
    </row>
    <row r="392" spans="1:2">
      <c r="A392" s="5">
        <v>39202</v>
      </c>
      <c r="B392" s="6">
        <v>-7.3587339009458796E-3</v>
      </c>
    </row>
    <row r="393" spans="1:2">
      <c r="A393" s="5">
        <v>39233</v>
      </c>
      <c r="B393" s="6">
        <v>3.2145796590240971E-2</v>
      </c>
    </row>
    <row r="394" spans="1:2">
      <c r="A394" s="5">
        <v>39263</v>
      </c>
      <c r="B394" s="6">
        <v>1.093593365533585E-2</v>
      </c>
    </row>
    <row r="395" spans="1:2">
      <c r="A395" s="5">
        <v>39294</v>
      </c>
      <c r="B395" s="6">
        <v>-3.870684215270892E-2</v>
      </c>
    </row>
    <row r="396" spans="1:2">
      <c r="A396" s="5">
        <v>39325</v>
      </c>
      <c r="B396" s="6">
        <v>-5.7397226552884262E-2</v>
      </c>
    </row>
    <row r="397" spans="1:2">
      <c r="A397" s="5">
        <v>39355</v>
      </c>
      <c r="B397" s="6">
        <v>5.2044147365146731E-3</v>
      </c>
    </row>
    <row r="398" spans="1:2">
      <c r="A398" s="5">
        <v>39386</v>
      </c>
      <c r="B398" s="6">
        <v>2.1340822209301447E-3</v>
      </c>
    </row>
    <row r="399" spans="1:2">
      <c r="A399" s="5">
        <v>39416</v>
      </c>
      <c r="B399" s="6">
        <v>-5.4435919435579794E-2</v>
      </c>
    </row>
    <row r="400" spans="1:2">
      <c r="A400" s="5">
        <v>39447</v>
      </c>
      <c r="B400" s="6">
        <v>-3.6686946758231698E-2</v>
      </c>
    </row>
    <row r="401" spans="1:2">
      <c r="A401" s="5">
        <v>39478</v>
      </c>
      <c r="B401" s="6">
        <v>-8.7668058115580649E-2</v>
      </c>
    </row>
    <row r="402" spans="1:2">
      <c r="A402" s="5">
        <v>39507</v>
      </c>
      <c r="B402" s="6">
        <v>-1.6363244720755232E-2</v>
      </c>
    </row>
    <row r="403" spans="1:2">
      <c r="A403" s="5">
        <v>39538</v>
      </c>
      <c r="B403" s="6">
        <v>-8.40607726462681E-2</v>
      </c>
    </row>
    <row r="404" spans="1:2">
      <c r="A404" s="5">
        <v>39568</v>
      </c>
      <c r="B404" s="6">
        <v>0.12011113309589772</v>
      </c>
    </row>
    <row r="405" spans="1:2">
      <c r="A405" s="5">
        <v>39599</v>
      </c>
      <c r="B405" s="6">
        <v>3.6425863909027356E-2</v>
      </c>
    </row>
    <row r="406" spans="1:2">
      <c r="A406" s="5">
        <v>39629</v>
      </c>
      <c r="B406" s="6">
        <v>-6.2522192395642606E-2</v>
      </c>
    </row>
    <row r="407" spans="1:2">
      <c r="A407" s="5">
        <v>39660</v>
      </c>
      <c r="B407" s="6">
        <v>-1.2483902734641283E-2</v>
      </c>
    </row>
    <row r="408" spans="1:2">
      <c r="A408" s="5">
        <v>39691</v>
      </c>
      <c r="B408" s="6">
        <v>-3.7518602046608618E-2</v>
      </c>
    </row>
    <row r="409" spans="1:2">
      <c r="A409" s="5">
        <v>39721</v>
      </c>
      <c r="B409" s="6">
        <v>-0.13333758398354989</v>
      </c>
    </row>
    <row r="410" spans="1:2">
      <c r="A410" s="5">
        <v>39752</v>
      </c>
      <c r="B410" s="6">
        <v>-0.20258228267166944</v>
      </c>
    </row>
    <row r="411" spans="1:2">
      <c r="A411" s="5">
        <v>39782</v>
      </c>
      <c r="B411" s="6">
        <v>-3.724974628655775E-2</v>
      </c>
    </row>
    <row r="412" spans="1:2">
      <c r="A412" s="5">
        <v>39813</v>
      </c>
      <c r="B412" s="6">
        <v>2.9251814762463635E-2</v>
      </c>
    </row>
    <row r="413" spans="1:2">
      <c r="A413" s="5">
        <v>39844</v>
      </c>
      <c r="B413" s="6">
        <v>-7.5892649318001992E-2</v>
      </c>
    </row>
    <row r="414" spans="1:2">
      <c r="A414" s="5">
        <v>39872</v>
      </c>
      <c r="B414" s="6">
        <v>-4.7000743044973037E-2</v>
      </c>
    </row>
    <row r="415" spans="1:2">
      <c r="A415" s="5">
        <v>39903</v>
      </c>
      <c r="B415" s="6">
        <v>2.2399598260892439E-2</v>
      </c>
    </row>
    <row r="416" spans="1:2">
      <c r="A416" s="5">
        <v>39933</v>
      </c>
      <c r="B416" s="6">
        <v>8.2891709536488944E-2</v>
      </c>
    </row>
    <row r="417" spans="1:2">
      <c r="A417" s="5">
        <v>39964</v>
      </c>
      <c r="B417" s="6">
        <v>7.1760226309695696E-2</v>
      </c>
    </row>
    <row r="418" spans="1:2">
      <c r="A418" s="5">
        <v>39994</v>
      </c>
      <c r="B418" s="6">
        <v>3.5471261039525137E-2</v>
      </c>
    </row>
    <row r="419" spans="1:2">
      <c r="A419" s="5">
        <v>40025</v>
      </c>
      <c r="B419" s="6">
        <v>2.2048700739975891E-2</v>
      </c>
    </row>
    <row r="420" spans="1:2">
      <c r="A420" s="5">
        <v>40056</v>
      </c>
      <c r="B420" s="6">
        <v>1.6279755014417141E-2</v>
      </c>
    </row>
    <row r="421" spans="1:2">
      <c r="A421" s="5">
        <v>40086</v>
      </c>
      <c r="B421" s="6">
        <v>-5.787331862943057E-2</v>
      </c>
    </row>
    <row r="422" spans="1:2">
      <c r="A422" s="5">
        <v>40117</v>
      </c>
      <c r="B422" s="6">
        <v>-1.6673261232744263E-2</v>
      </c>
    </row>
    <row r="423" spans="1:2">
      <c r="A423" s="5">
        <v>40147</v>
      </c>
      <c r="B423" s="6">
        <v>-6.1173393541752774E-2</v>
      </c>
    </row>
    <row r="424" spans="1:2">
      <c r="A424" s="5">
        <v>40178</v>
      </c>
      <c r="B424" s="6">
        <v>8.0541467247660536E-2</v>
      </c>
    </row>
    <row r="425" spans="1:2">
      <c r="A425" s="5">
        <v>40209</v>
      </c>
      <c r="B425" s="6">
        <v>-7.1287695986073096E-3</v>
      </c>
    </row>
    <row r="426" spans="1:2">
      <c r="A426" s="5">
        <v>40237</v>
      </c>
      <c r="B426" s="6">
        <v>-7.7903053977272929E-3</v>
      </c>
    </row>
    <row r="427" spans="1:2">
      <c r="A427" s="5">
        <v>40268</v>
      </c>
      <c r="B427" s="6">
        <v>9.4743317302315111E-2</v>
      </c>
    </row>
    <row r="428" spans="1:2">
      <c r="A428" s="5">
        <v>40298</v>
      </c>
      <c r="B428" s="6">
        <v>8.4081691032988903E-3</v>
      </c>
    </row>
    <row r="429" spans="1:2">
      <c r="A429" s="5">
        <v>40329</v>
      </c>
      <c r="B429" s="6">
        <v>-0.10797941319500726</v>
      </c>
    </row>
    <row r="430" spans="1:2">
      <c r="A430" s="5">
        <v>40359</v>
      </c>
      <c r="B430" s="6">
        <v>-4.4340458396747273E-2</v>
      </c>
    </row>
    <row r="431" spans="1:2">
      <c r="A431" s="5">
        <v>40390</v>
      </c>
      <c r="B431" s="6">
        <v>9.6028142901285474E-3</v>
      </c>
    </row>
    <row r="432" spans="1:2">
      <c r="A432" s="5">
        <v>40421</v>
      </c>
      <c r="B432" s="6">
        <v>-5.2772218952324979E-2</v>
      </c>
    </row>
    <row r="433" spans="1:2">
      <c r="A433" s="5">
        <v>40451</v>
      </c>
      <c r="B433" s="6">
        <v>3.0869797556762446E-2</v>
      </c>
    </row>
    <row r="434" spans="1:2">
      <c r="A434" s="5">
        <v>40482</v>
      </c>
      <c r="B434" s="6">
        <v>-2.2422876155802851E-2</v>
      </c>
    </row>
    <row r="435" spans="1:2">
      <c r="A435" s="5">
        <v>40512</v>
      </c>
      <c r="B435" s="6">
        <v>6.1696119174754482E-2</v>
      </c>
    </row>
    <row r="436" spans="1:2">
      <c r="A436" s="5">
        <v>40543</v>
      </c>
      <c r="B436" s="6">
        <v>4.3975189908704415E-2</v>
      </c>
    </row>
    <row r="437" spans="1:2">
      <c r="A437" s="5">
        <v>40574</v>
      </c>
      <c r="B437" s="6">
        <v>1.2550066755674383E-2</v>
      </c>
    </row>
    <row r="438" spans="1:2">
      <c r="A438" s="5">
        <v>40602</v>
      </c>
      <c r="B438" s="6">
        <v>4.5259757383966148E-2</v>
      </c>
    </row>
    <row r="439" spans="1:2">
      <c r="A439" s="5">
        <v>40633</v>
      </c>
      <c r="B439" s="6">
        <v>-8.6084918056913429E-2</v>
      </c>
    </row>
    <row r="440" spans="1:2">
      <c r="A440" s="5">
        <v>40663</v>
      </c>
      <c r="B440" s="6">
        <v>-2.0163794888311215E-2</v>
      </c>
    </row>
    <row r="441" spans="1:2">
      <c r="A441" s="5">
        <v>40694</v>
      </c>
      <c r="B441" s="6">
        <v>-1.5695251511416375E-2</v>
      </c>
    </row>
    <row r="442" spans="1:2">
      <c r="A442" s="5">
        <v>40724</v>
      </c>
      <c r="B442" s="6">
        <v>1.2808892281270801E-2</v>
      </c>
    </row>
    <row r="443" spans="1:2">
      <c r="A443" s="5">
        <v>40755</v>
      </c>
      <c r="B443" s="6">
        <v>-9.2437766420950807E-3</v>
      </c>
    </row>
    <row r="444" spans="1:2">
      <c r="A444" s="5">
        <v>40786</v>
      </c>
      <c r="B444" s="6">
        <v>-8.4112816002472113E-2</v>
      </c>
    </row>
    <row r="445" spans="1:2">
      <c r="A445" s="5">
        <v>40816</v>
      </c>
      <c r="B445" s="6">
        <v>-1.2237217752400831E-2</v>
      </c>
    </row>
    <row r="446" spans="1:2">
      <c r="A446" s="5">
        <v>40847</v>
      </c>
      <c r="B446" s="6">
        <v>3.796786526006013E-3</v>
      </c>
    </row>
    <row r="447" spans="1:2">
      <c r="A447" s="5">
        <v>40877</v>
      </c>
      <c r="B447" s="6">
        <v>-4.6593199486951176E-2</v>
      </c>
    </row>
    <row r="448" spans="1:2">
      <c r="A448" s="5">
        <v>40908</v>
      </c>
      <c r="B448" s="6">
        <v>2.0591384564694337E-4</v>
      </c>
    </row>
    <row r="449" spans="1:2">
      <c r="A449" s="5">
        <v>40939</v>
      </c>
      <c r="B449" s="6">
        <v>3.6590219733465101E-2</v>
      </c>
    </row>
    <row r="450" spans="1:2">
      <c r="A450" s="5">
        <v>40968</v>
      </c>
      <c r="B450" s="6">
        <v>0.10683596594595324</v>
      </c>
    </row>
    <row r="451" spans="1:2">
      <c r="A451" s="5">
        <v>40999</v>
      </c>
      <c r="B451" s="6">
        <v>2.199866022297714E-2</v>
      </c>
    </row>
    <row r="452" spans="1:2">
      <c r="A452" s="5">
        <v>41029</v>
      </c>
      <c r="B452" s="6">
        <v>-5.8617662550477068E-2</v>
      </c>
    </row>
    <row r="453" spans="1:2">
      <c r="A453" s="5">
        <v>41060</v>
      </c>
      <c r="B453" s="6">
        <v>-0.10541236152038491</v>
      </c>
    </row>
    <row r="454" spans="1:2">
      <c r="A454" s="5">
        <v>41090</v>
      </c>
      <c r="B454" s="6">
        <v>7.0313694422438067E-2</v>
      </c>
    </row>
    <row r="455" spans="1:2">
      <c r="A455" s="5">
        <v>41121</v>
      </c>
      <c r="B455" s="6">
        <v>-4.3852586744234534E-2</v>
      </c>
    </row>
    <row r="456" spans="1:2">
      <c r="A456" s="5">
        <v>41152</v>
      </c>
      <c r="B456" s="6">
        <v>-6.3424372886419222E-3</v>
      </c>
    </row>
    <row r="457" spans="1:2">
      <c r="A457" s="5">
        <v>41182</v>
      </c>
      <c r="B457" s="6">
        <v>7.9000601388661273E-3</v>
      </c>
    </row>
    <row r="458" spans="1:2">
      <c r="A458" s="5">
        <v>41213</v>
      </c>
      <c r="B458" s="6">
        <v>6.6583493802718774E-3</v>
      </c>
    </row>
    <row r="459" spans="1:2">
      <c r="A459" s="5">
        <v>41243</v>
      </c>
      <c r="B459" s="6">
        <v>5.2712405533926976E-2</v>
      </c>
    </row>
    <row r="460" spans="1:2">
      <c r="A460" s="5">
        <v>41274</v>
      </c>
      <c r="B460" s="6">
        <v>0.10024825326952103</v>
      </c>
    </row>
    <row r="461" spans="1:2">
      <c r="A461" s="5">
        <v>41305</v>
      </c>
      <c r="B461" s="6">
        <v>9.3568271691091054E-2</v>
      </c>
    </row>
    <row r="462" spans="1:2">
      <c r="A462" s="5">
        <v>41333</v>
      </c>
      <c r="B462" s="6">
        <v>3.7660196756181819E-2</v>
      </c>
    </row>
    <row r="463" spans="1:2">
      <c r="A463" s="5">
        <v>41364</v>
      </c>
      <c r="B463" s="6">
        <v>6.0523133058647538E-2</v>
      </c>
    </row>
    <row r="464" spans="1:2">
      <c r="A464" s="5">
        <v>41394</v>
      </c>
      <c r="B464" s="6">
        <v>0.1260449787863267</v>
      </c>
    </row>
    <row r="465" spans="1:2">
      <c r="A465" s="5">
        <v>41425</v>
      </c>
      <c r="B465" s="6">
        <v>-2.5190322109979291E-2</v>
      </c>
    </row>
    <row r="466" spans="1:2">
      <c r="A466" s="5">
        <v>41455</v>
      </c>
      <c r="B466" s="6">
        <v>-1.7080772684850976E-3</v>
      </c>
    </row>
    <row r="467" spans="1:2">
      <c r="A467" s="5">
        <v>41486</v>
      </c>
      <c r="B467" s="6">
        <v>-1.8873915190854573E-3</v>
      </c>
    </row>
    <row r="468" spans="1:2">
      <c r="A468" s="5">
        <v>41517</v>
      </c>
      <c r="B468" s="6">
        <v>-2.2665017230714901E-2</v>
      </c>
    </row>
    <row r="469" spans="1:2">
      <c r="A469" s="5">
        <v>41547</v>
      </c>
      <c r="B469" s="6">
        <v>7.9607612675737904E-2</v>
      </c>
    </row>
    <row r="470" spans="1:2">
      <c r="A470" s="5">
        <v>41578</v>
      </c>
      <c r="B470" s="6">
        <v>1.3399212796261217E-4</v>
      </c>
    </row>
    <row r="471" spans="1:2">
      <c r="A471" s="5">
        <v>41608</v>
      </c>
      <c r="B471" s="6">
        <v>5.3924606032187405E-2</v>
      </c>
    </row>
    <row r="472" spans="1:2">
      <c r="A472" s="5">
        <v>41639</v>
      </c>
      <c r="B472" s="6">
        <v>3.4663848855131629E-2</v>
      </c>
    </row>
    <row r="473" spans="1:2">
      <c r="A473" s="5">
        <v>41670</v>
      </c>
      <c r="B473" s="6">
        <v>-6.2697248692687446E-2</v>
      </c>
    </row>
    <row r="474" spans="1:2">
      <c r="A474" s="5">
        <v>41698</v>
      </c>
      <c r="B474" s="6">
        <v>-7.3567964346572534E-3</v>
      </c>
    </row>
    <row r="475" spans="1:2">
      <c r="A475" s="5">
        <v>41729</v>
      </c>
      <c r="B475" s="6">
        <v>-7.238004060544978E-3</v>
      </c>
    </row>
    <row r="476" spans="1:2">
      <c r="A476" s="5">
        <v>41759</v>
      </c>
      <c r="B476" s="6">
        <v>-3.3627347471506197E-2</v>
      </c>
    </row>
    <row r="477" spans="1:2">
      <c r="A477" s="5">
        <v>41790</v>
      </c>
      <c r="B477" s="6">
        <v>3.3524310932177226E-2</v>
      </c>
    </row>
    <row r="478" spans="1:2">
      <c r="A478" s="5">
        <v>41820</v>
      </c>
      <c r="B478" s="6">
        <v>5.089852756344615E-2</v>
      </c>
    </row>
    <row r="479" spans="1:2">
      <c r="A479" s="5">
        <v>41851</v>
      </c>
      <c r="B479" s="6">
        <v>2.1274236471930053E-2</v>
      </c>
    </row>
    <row r="480" spans="1:2">
      <c r="A480" s="5">
        <v>41882</v>
      </c>
      <c r="B480" s="6">
        <v>-8.8799615330924508E-3</v>
      </c>
    </row>
    <row r="481" spans="1:2">
      <c r="A481" s="5">
        <v>41912</v>
      </c>
      <c r="B481" s="6">
        <v>3.7809964240162142E-2</v>
      </c>
    </row>
    <row r="482" spans="1:2">
      <c r="A482" s="5">
        <v>41943</v>
      </c>
      <c r="B482" s="6">
        <v>5.5417744233916544E-3</v>
      </c>
    </row>
    <row r="483" spans="1:2">
      <c r="A483" s="5">
        <v>41973</v>
      </c>
      <c r="B483" s="6">
        <v>5.7511772292372587E-2</v>
      </c>
    </row>
    <row r="484" spans="1:2">
      <c r="A484" s="5">
        <v>42004</v>
      </c>
      <c r="B484" s="6">
        <v>-2.0066083355786413E-3</v>
      </c>
    </row>
    <row r="485" spans="1:2">
      <c r="A485" s="5">
        <v>42035</v>
      </c>
      <c r="B485" s="6">
        <v>5.3711874160751183E-3</v>
      </c>
    </row>
    <row r="486" spans="1:2">
      <c r="A486" s="5">
        <v>42063</v>
      </c>
      <c r="B486" s="6">
        <v>7.6872522207382055E-2</v>
      </c>
    </row>
    <row r="487" spans="1:2">
      <c r="A487" s="5">
        <v>42094</v>
      </c>
      <c r="B487" s="6">
        <v>1.2639039275519348E-2</v>
      </c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4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487"/>
  <sheetViews>
    <sheetView showGridLines="0" zoomScaleNormal="100" zoomScaleSheetLayoutView="70" workbookViewId="0" xr3:uid="{51F8DEE0-4D01-5F28-A812-FC0BD7CAC4A5}"/>
  </sheetViews>
  <sheetFormatPr defaultColWidth="9" defaultRowHeight="15"/>
  <cols>
    <col min="1" max="1" width="9.25" style="5" bestFit="1" customWidth="1"/>
    <col min="2" max="2" width="7.625" style="7" bestFit="1" customWidth="1"/>
    <col min="3" max="3" width="2.625" style="1" customWidth="1"/>
    <col min="4" max="4" width="7.125" style="1" bestFit="1" customWidth="1"/>
    <col min="5" max="5" width="5.25" style="1" bestFit="1" customWidth="1"/>
    <col min="6" max="6" width="9" style="1"/>
    <col min="7" max="7" width="8.25" style="1" bestFit="1" customWidth="1"/>
    <col min="8" max="8" width="7.125" style="1" bestFit="1" customWidth="1"/>
    <col min="9" max="9" width="11.375" style="1" bestFit="1" customWidth="1"/>
    <col min="10" max="11" width="11.375" style="1" customWidth="1"/>
    <col min="12" max="16384" width="9" style="1"/>
  </cols>
  <sheetData>
    <row r="1" spans="1:11" ht="28.5">
      <c r="A1" s="3" t="s">
        <v>0</v>
      </c>
      <c r="B1" s="4" t="s">
        <v>1</v>
      </c>
      <c r="D1" s="14" t="s">
        <v>2</v>
      </c>
      <c r="E1" s="8" t="s">
        <v>3</v>
      </c>
      <c r="G1" s="27" t="s">
        <v>4</v>
      </c>
      <c r="H1" s="28" t="s">
        <v>5</v>
      </c>
      <c r="I1" s="27" t="s">
        <v>6</v>
      </c>
      <c r="J1" s="27" t="s">
        <v>7</v>
      </c>
      <c r="K1" s="27" t="s">
        <v>8</v>
      </c>
    </row>
    <row r="2" spans="1:11">
      <c r="A2" s="5">
        <v>27333</v>
      </c>
      <c r="B2" s="6">
        <v>-8.1237707221129662E-2</v>
      </c>
      <c r="D2" s="18">
        <v>-0.2041672365841426</v>
      </c>
      <c r="E2" s="19">
        <v>1</v>
      </c>
      <c r="G2" s="21">
        <v>-0.2041672365841426</v>
      </c>
      <c r="H2" s="22">
        <v>1</v>
      </c>
      <c r="I2" s="23">
        <f>H2/$H$25</f>
        <v>2.05761316872428E-3</v>
      </c>
      <c r="J2" s="23">
        <f>I2/$H$28</f>
        <v>0.1173662282530996</v>
      </c>
      <c r="K2" s="23">
        <f>_xlfn.NORM.DIST(G2,$K$27,$K$28,FALSE)</f>
        <v>1.938064785864773E-3</v>
      </c>
    </row>
    <row r="3" spans="1:11">
      <c r="A3" s="5">
        <v>27362</v>
      </c>
      <c r="B3" s="6">
        <v>8.9988149394090167E-2</v>
      </c>
      <c r="D3" s="18">
        <v>-0.18663567576507079</v>
      </c>
      <c r="E3" s="19">
        <v>1</v>
      </c>
      <c r="G3" s="21">
        <v>-0.18663567576507079</v>
      </c>
      <c r="H3" s="22">
        <v>1</v>
      </c>
      <c r="I3" s="23">
        <f t="shared" ref="I3:I24" si="0">H3/$H$25</f>
        <v>2.05761316872428E-3</v>
      </c>
      <c r="J3" s="23">
        <f t="shared" ref="J3:J24" si="1">I3/$H$28</f>
        <v>0.1173662282530996</v>
      </c>
      <c r="K3" s="23">
        <f t="shared" ref="K3:K24" si="2">_xlfn.NORM.DIST(G3,$K$27,$K$28,FALSE)</f>
        <v>7.3555513390391311E-3</v>
      </c>
    </row>
    <row r="4" spans="1:11">
      <c r="A4" s="5">
        <v>27394</v>
      </c>
      <c r="B4" s="6">
        <v>-2.251604531266449E-2</v>
      </c>
      <c r="D4" s="18">
        <v>-0.16910411494599897</v>
      </c>
      <c r="E4" s="19">
        <v>0</v>
      </c>
      <c r="G4" s="21">
        <v>-0.16910411494599897</v>
      </c>
      <c r="H4" s="22">
        <v>0</v>
      </c>
      <c r="I4" s="23">
        <f t="shared" si="0"/>
        <v>0</v>
      </c>
      <c r="J4" s="23">
        <f t="shared" si="1"/>
        <v>0</v>
      </c>
      <c r="K4" s="23">
        <f t="shared" si="2"/>
        <v>2.4839308700630672E-2</v>
      </c>
    </row>
    <row r="5" spans="1:11">
      <c r="A5" s="5">
        <v>27425</v>
      </c>
      <c r="B5" s="6">
        <v>3.6489541100068301E-2</v>
      </c>
      <c r="D5" s="18">
        <v>-0.15157255412692716</v>
      </c>
      <c r="E5" s="19">
        <v>1</v>
      </c>
      <c r="G5" s="21">
        <v>-0.15157255412692716</v>
      </c>
      <c r="H5" s="22">
        <v>1</v>
      </c>
      <c r="I5" s="23">
        <f t="shared" si="0"/>
        <v>2.05761316872428E-3</v>
      </c>
      <c r="J5" s="23">
        <f t="shared" si="1"/>
        <v>0.1173662282530996</v>
      </c>
      <c r="K5" s="23">
        <f t="shared" si="2"/>
        <v>7.4634755103783312E-2</v>
      </c>
    </row>
    <row r="6" spans="1:11">
      <c r="A6" s="5">
        <v>27453</v>
      </c>
      <c r="B6" s="6">
        <v>8.4741068955968002E-2</v>
      </c>
      <c r="D6" s="18">
        <v>-0.13404099330785535</v>
      </c>
      <c r="E6" s="19">
        <v>0</v>
      </c>
      <c r="G6" s="21">
        <v>-0.13404099330785535</v>
      </c>
      <c r="H6" s="22">
        <v>0</v>
      </c>
      <c r="I6" s="23">
        <f t="shared" si="0"/>
        <v>0</v>
      </c>
      <c r="J6" s="23">
        <f t="shared" si="1"/>
        <v>0</v>
      </c>
      <c r="K6" s="23">
        <f t="shared" si="2"/>
        <v>0.19953544447224522</v>
      </c>
    </row>
    <row r="7" spans="1:11">
      <c r="A7" s="5">
        <v>27484</v>
      </c>
      <c r="B7" s="6">
        <v>3.663517998468202E-2</v>
      </c>
      <c r="D7" s="18">
        <v>-0.11650943248878355</v>
      </c>
      <c r="E7" s="19">
        <v>5</v>
      </c>
      <c r="G7" s="21">
        <v>-0.11650943248878355</v>
      </c>
      <c r="H7" s="22">
        <v>5</v>
      </c>
      <c r="I7" s="23">
        <f t="shared" si="0"/>
        <v>1.0288065843621399E-2</v>
      </c>
      <c r="J7" s="23">
        <f t="shared" si="1"/>
        <v>0.58683114126549796</v>
      </c>
      <c r="K7" s="23">
        <f t="shared" si="2"/>
        <v>0.47465310564903135</v>
      </c>
    </row>
    <row r="8" spans="1:11">
      <c r="A8" s="5">
        <v>27514</v>
      </c>
      <c r="B8" s="6">
        <v>1.6315724664450748E-3</v>
      </c>
      <c r="D8" s="18">
        <v>-9.8977871669711753E-2</v>
      </c>
      <c r="E8" s="19">
        <v>5</v>
      </c>
      <c r="G8" s="21">
        <v>-9.8977871669711753E-2</v>
      </c>
      <c r="H8" s="22">
        <v>5</v>
      </c>
      <c r="I8" s="23">
        <f t="shared" si="0"/>
        <v>1.0288065843621399E-2</v>
      </c>
      <c r="J8" s="23">
        <f t="shared" si="1"/>
        <v>0.58683114126549796</v>
      </c>
      <c r="K8" s="23">
        <f t="shared" si="2"/>
        <v>1.0046387705631836</v>
      </c>
    </row>
    <row r="9" spans="1:11">
      <c r="A9" s="5">
        <v>27544</v>
      </c>
      <c r="B9" s="6">
        <v>-2.858284414666401E-3</v>
      </c>
      <c r="D9" s="18">
        <v>-8.1446310850639941E-2</v>
      </c>
      <c r="E9" s="19">
        <v>9</v>
      </c>
      <c r="G9" s="21">
        <v>-8.1446310850639941E-2</v>
      </c>
      <c r="H9" s="22">
        <v>9</v>
      </c>
      <c r="I9" s="23">
        <f t="shared" si="0"/>
        <v>1.8518518518518517E-2</v>
      </c>
      <c r="J9" s="23">
        <f t="shared" si="1"/>
        <v>1.0562960542778963</v>
      </c>
      <c r="K9" s="23">
        <f t="shared" si="2"/>
        <v>1.8919988804585777</v>
      </c>
    </row>
    <row r="10" spans="1:11">
      <c r="A10" s="5">
        <v>27575</v>
      </c>
      <c r="B10" s="6">
        <v>2.4257181605227496E-2</v>
      </c>
      <c r="D10" s="18">
        <v>-6.3914750031568129E-2</v>
      </c>
      <c r="E10" s="19">
        <v>17</v>
      </c>
      <c r="G10" s="21">
        <v>-6.3914750031568129E-2</v>
      </c>
      <c r="H10" s="22">
        <v>17</v>
      </c>
      <c r="I10" s="23">
        <f t="shared" si="0"/>
        <v>3.4979423868312758E-2</v>
      </c>
      <c r="J10" s="23">
        <f t="shared" si="1"/>
        <v>1.995225880302693</v>
      </c>
      <c r="K10" s="23">
        <f t="shared" si="2"/>
        <v>3.1703641566239473</v>
      </c>
    </row>
    <row r="11" spans="1:11">
      <c r="A11" s="5">
        <v>27606</v>
      </c>
      <c r="B11" s="6">
        <v>-4.2851554271613912E-2</v>
      </c>
      <c r="D11" s="18">
        <v>-4.6383189212496317E-2</v>
      </c>
      <c r="E11" s="19">
        <v>29</v>
      </c>
      <c r="G11" s="21">
        <v>-4.6383189212496317E-2</v>
      </c>
      <c r="H11" s="22">
        <v>29</v>
      </c>
      <c r="I11" s="23">
        <f t="shared" si="0"/>
        <v>5.9670781893004114E-2</v>
      </c>
      <c r="J11" s="23">
        <f t="shared" si="1"/>
        <v>3.4036206193398879</v>
      </c>
      <c r="K11" s="23">
        <f t="shared" si="2"/>
        <v>4.7268819573659</v>
      </c>
    </row>
    <row r="12" spans="1:11">
      <c r="A12" s="5">
        <v>27635</v>
      </c>
      <c r="B12" s="6">
        <v>-4.4078347533561768E-2</v>
      </c>
      <c r="D12" s="18">
        <v>-2.8851628393424505E-2</v>
      </c>
      <c r="E12" s="19">
        <v>41</v>
      </c>
      <c r="G12" s="21">
        <v>-2.8851628393424505E-2</v>
      </c>
      <c r="H12" s="22">
        <v>41</v>
      </c>
      <c r="I12" s="23">
        <f t="shared" si="0"/>
        <v>8.4362139917695478E-2</v>
      </c>
      <c r="J12" s="23">
        <f t="shared" si="1"/>
        <v>4.8120153583770833</v>
      </c>
      <c r="K12" s="23">
        <f t="shared" si="2"/>
        <v>6.2707241714581485</v>
      </c>
    </row>
    <row r="13" spans="1:11">
      <c r="A13" s="5">
        <v>27667</v>
      </c>
      <c r="B13" s="6">
        <v>-4.0848544647262064E-2</v>
      </c>
      <c r="D13" s="18">
        <v>-1.1320067574352694E-2</v>
      </c>
      <c r="E13" s="19">
        <v>48</v>
      </c>
      <c r="G13" s="21">
        <v>-1.1320067574352694E-2</v>
      </c>
      <c r="H13" s="22">
        <v>48</v>
      </c>
      <c r="I13" s="23">
        <f t="shared" si="0"/>
        <v>9.8765432098765427E-2</v>
      </c>
      <c r="J13" s="23">
        <f t="shared" si="1"/>
        <v>5.6335789561487797</v>
      </c>
      <c r="K13" s="23">
        <f t="shared" si="2"/>
        <v>7.4018106753753061</v>
      </c>
    </row>
    <row r="14" spans="1:11">
      <c r="A14" s="5">
        <v>27698</v>
      </c>
      <c r="B14" s="6">
        <v>8.6993793505469208E-2</v>
      </c>
      <c r="D14" s="18">
        <v>6.2114932447190907E-3</v>
      </c>
      <c r="E14" s="19">
        <v>95</v>
      </c>
      <c r="G14" s="21">
        <v>6.2114932447190907E-3</v>
      </c>
      <c r="H14" s="22">
        <v>95</v>
      </c>
      <c r="I14" s="23">
        <f t="shared" si="0"/>
        <v>0.19547325102880658</v>
      </c>
      <c r="J14" s="23">
        <f t="shared" si="1"/>
        <v>11.149791684044461</v>
      </c>
      <c r="K14" s="23">
        <f t="shared" si="2"/>
        <v>7.7738396865915815</v>
      </c>
    </row>
    <row r="15" spans="1:11">
      <c r="A15" s="5">
        <v>27726</v>
      </c>
      <c r="B15" s="6">
        <v>2.6182965299683669E-3</v>
      </c>
      <c r="D15" s="18">
        <v>2.3743054063790903E-2</v>
      </c>
      <c r="E15" s="19">
        <v>75</v>
      </c>
      <c r="G15" s="21">
        <v>2.3743054063790903E-2</v>
      </c>
      <c r="H15" s="22">
        <v>75</v>
      </c>
      <c r="I15" s="23">
        <f t="shared" si="0"/>
        <v>0.15432098765432098</v>
      </c>
      <c r="J15" s="23">
        <f t="shared" si="1"/>
        <v>8.8024671189824684</v>
      </c>
      <c r="K15" s="23">
        <f t="shared" si="2"/>
        <v>7.2645801808730406</v>
      </c>
    </row>
    <row r="16" spans="1:11">
      <c r="A16" s="5">
        <v>27759</v>
      </c>
      <c r="B16" s="6">
        <v>1.2522417644652784E-2</v>
      </c>
      <c r="D16" s="18">
        <v>4.1274614882862715E-2</v>
      </c>
      <c r="E16" s="19">
        <v>56</v>
      </c>
      <c r="G16" s="21">
        <v>4.1274614882862715E-2</v>
      </c>
      <c r="H16" s="22">
        <v>56</v>
      </c>
      <c r="I16" s="23">
        <f t="shared" si="0"/>
        <v>0.11522633744855967</v>
      </c>
      <c r="J16" s="23">
        <f t="shared" si="1"/>
        <v>6.5725087821735775</v>
      </c>
      <c r="K16" s="23">
        <f t="shared" si="2"/>
        <v>6.040359627690445</v>
      </c>
    </row>
    <row r="17" spans="1:11">
      <c r="A17" s="5">
        <v>27789</v>
      </c>
      <c r="B17" s="6">
        <v>5.9165346011621933E-2</v>
      </c>
      <c r="D17" s="18">
        <v>5.8806175701934527E-2</v>
      </c>
      <c r="E17" s="19">
        <v>48</v>
      </c>
      <c r="G17" s="21">
        <v>5.8806175701934527E-2</v>
      </c>
      <c r="H17" s="22">
        <v>48</v>
      </c>
      <c r="I17" s="23">
        <f t="shared" si="0"/>
        <v>9.8765432098765427E-2</v>
      </c>
      <c r="J17" s="23">
        <f t="shared" si="1"/>
        <v>5.6335789561487797</v>
      </c>
      <c r="K17" s="23">
        <f t="shared" si="2"/>
        <v>4.4688152893235706</v>
      </c>
    </row>
    <row r="18" spans="1:11">
      <c r="A18" s="5">
        <v>27817</v>
      </c>
      <c r="B18" s="6">
        <v>1.2908904210062744E-3</v>
      </c>
      <c r="D18" s="18">
        <v>7.6337736521006339E-2</v>
      </c>
      <c r="E18" s="19">
        <v>19</v>
      </c>
      <c r="G18" s="21">
        <v>7.6337736521006339E-2</v>
      </c>
      <c r="H18" s="22">
        <v>19</v>
      </c>
      <c r="I18" s="23">
        <f t="shared" si="0"/>
        <v>3.9094650205761319E-2</v>
      </c>
      <c r="J18" s="23">
        <f t="shared" si="1"/>
        <v>2.2299583368088922</v>
      </c>
      <c r="K18" s="23">
        <f t="shared" si="2"/>
        <v>2.9417065376414957</v>
      </c>
    </row>
    <row r="19" spans="1:11">
      <c r="A19" s="5">
        <v>27850</v>
      </c>
      <c r="B19" s="6">
        <v>-2.2268452049577503E-3</v>
      </c>
      <c r="D19" s="18">
        <v>9.3869297340078151E-2</v>
      </c>
      <c r="E19" s="19">
        <v>14</v>
      </c>
      <c r="G19" s="21">
        <v>9.3869297340078151E-2</v>
      </c>
      <c r="H19" s="22">
        <v>14</v>
      </c>
      <c r="I19" s="23">
        <f t="shared" si="0"/>
        <v>2.8806584362139918E-2</v>
      </c>
      <c r="J19" s="23">
        <f t="shared" si="1"/>
        <v>1.6431271955433944</v>
      </c>
      <c r="K19" s="23">
        <f t="shared" si="2"/>
        <v>1.7229934263835975</v>
      </c>
    </row>
    <row r="20" spans="1:11">
      <c r="A20" s="5">
        <v>27880</v>
      </c>
      <c r="B20" s="6">
        <v>4.8160220832234035E-3</v>
      </c>
      <c r="D20" s="18">
        <v>0.11140085815914996</v>
      </c>
      <c r="E20" s="19">
        <v>9</v>
      </c>
      <c r="G20" s="21">
        <v>0.11140085815914996</v>
      </c>
      <c r="H20" s="22">
        <v>9</v>
      </c>
      <c r="I20" s="23">
        <f t="shared" si="0"/>
        <v>1.8518518518518517E-2</v>
      </c>
      <c r="J20" s="23">
        <f t="shared" si="1"/>
        <v>1.0562960542778963</v>
      </c>
      <c r="K20" s="23">
        <f t="shared" si="2"/>
        <v>0.89793567982526978</v>
      </c>
    </row>
    <row r="21" spans="1:11">
      <c r="A21" s="5">
        <v>27911</v>
      </c>
      <c r="B21" s="6">
        <v>1.3122132273431397E-2</v>
      </c>
      <c r="D21" s="18">
        <v>0.12893241897822177</v>
      </c>
      <c r="E21" s="19">
        <v>6</v>
      </c>
      <c r="G21" s="21">
        <v>0.12893241897822177</v>
      </c>
      <c r="H21" s="22">
        <v>6</v>
      </c>
      <c r="I21" s="23">
        <f t="shared" si="0"/>
        <v>1.2345679012345678E-2</v>
      </c>
      <c r="J21" s="23">
        <f t="shared" si="1"/>
        <v>0.70419736951859746</v>
      </c>
      <c r="K21" s="23">
        <f t="shared" si="2"/>
        <v>0.41637454432209969</v>
      </c>
    </row>
    <row r="22" spans="1:11">
      <c r="A22" s="5">
        <v>27941</v>
      </c>
      <c r="B22" s="6">
        <v>3.2423700455777915E-2</v>
      </c>
      <c r="D22" s="18">
        <v>0.14646397979729359</v>
      </c>
      <c r="E22" s="19">
        <v>5</v>
      </c>
      <c r="G22" s="21">
        <v>0.14646397979729359</v>
      </c>
      <c r="H22" s="22">
        <v>5</v>
      </c>
      <c r="I22" s="23">
        <f t="shared" si="0"/>
        <v>1.0288065843621399E-2</v>
      </c>
      <c r="J22" s="23">
        <f t="shared" si="1"/>
        <v>0.58683114126549796</v>
      </c>
      <c r="K22" s="23">
        <f t="shared" si="2"/>
        <v>0.17179101492214735</v>
      </c>
    </row>
    <row r="23" spans="1:11">
      <c r="A23" s="5">
        <v>27971</v>
      </c>
      <c r="B23" s="6">
        <v>-2.8974573903324918E-2</v>
      </c>
      <c r="D23" s="18">
        <v>0.1639955406163654</v>
      </c>
      <c r="E23" s="19">
        <v>1</v>
      </c>
      <c r="G23" s="21">
        <v>0.1639955406163654</v>
      </c>
      <c r="H23" s="22">
        <v>1</v>
      </c>
      <c r="I23" s="23">
        <f t="shared" si="0"/>
        <v>2.05761316872428E-3</v>
      </c>
      <c r="J23" s="23">
        <f t="shared" si="1"/>
        <v>0.1173662282530996</v>
      </c>
      <c r="K23" s="23">
        <f t="shared" si="2"/>
        <v>6.3065821013266118E-2</v>
      </c>
    </row>
    <row r="24" spans="1:11">
      <c r="A24" s="5">
        <v>28003</v>
      </c>
      <c r="B24" s="6">
        <v>2.9810376082640477E-2</v>
      </c>
      <c r="D24" s="20" t="s">
        <v>14</v>
      </c>
      <c r="E24" s="20">
        <v>1</v>
      </c>
      <c r="F24" s="10"/>
      <c r="G24" s="24">
        <f>G23+H28</f>
        <v>0.18152710143543721</v>
      </c>
      <c r="H24" s="25">
        <v>1</v>
      </c>
      <c r="I24" s="26">
        <f t="shared" si="0"/>
        <v>2.05761316872428E-3</v>
      </c>
      <c r="J24" s="26">
        <f t="shared" si="1"/>
        <v>0.1173662282530996</v>
      </c>
      <c r="K24" s="26">
        <f t="shared" si="2"/>
        <v>2.0599894479440703E-2</v>
      </c>
    </row>
    <row r="25" spans="1:11">
      <c r="A25" s="5">
        <v>28033</v>
      </c>
      <c r="B25" s="6">
        <v>-4.4706474056266376E-4</v>
      </c>
      <c r="F25" s="11"/>
      <c r="G25" s="12" t="s">
        <v>9</v>
      </c>
      <c r="H25" s="22">
        <f>SUM(H2:H24)</f>
        <v>486</v>
      </c>
      <c r="I25" s="29">
        <f>SUM(I2:I24)</f>
        <v>1</v>
      </c>
      <c r="J25" s="7"/>
      <c r="K25" s="7"/>
    </row>
    <row r="26" spans="1:11">
      <c r="A26" s="5">
        <v>28062</v>
      </c>
      <c r="B26" s="6">
        <v>-2.1105302882061916E-2</v>
      </c>
      <c r="F26" s="10"/>
      <c r="G26" s="9"/>
      <c r="J26" s="15" t="s">
        <v>10</v>
      </c>
      <c r="K26" s="13"/>
    </row>
    <row r="27" spans="1:11">
      <c r="A27" s="5">
        <v>28094</v>
      </c>
      <c r="B27" s="6">
        <v>-1.2536409846364727E-2</v>
      </c>
      <c r="J27" s="2" t="s">
        <v>11</v>
      </c>
      <c r="K27" s="30">
        <f>AVERAGE(B2:B487)</f>
        <v>4.8069249369051279E-3</v>
      </c>
    </row>
    <row r="28" spans="1:11">
      <c r="A28" s="5">
        <v>28125</v>
      </c>
      <c r="B28" s="6">
        <v>0.11015356141010435</v>
      </c>
      <c r="G28" s="2" t="s">
        <v>12</v>
      </c>
      <c r="H28" s="32">
        <f>G23-G22</f>
        <v>1.7531560819071812E-2</v>
      </c>
      <c r="J28" s="2" t="s">
        <v>13</v>
      </c>
      <c r="K28" s="31">
        <f>_xlfn.STDEV.P(B2:B487)</f>
        <v>5.1299330788513411E-2</v>
      </c>
    </row>
    <row r="29" spans="1:11">
      <c r="A29" s="5">
        <v>28156</v>
      </c>
      <c r="B29" s="6">
        <v>-2.2507033447952463E-2</v>
      </c>
      <c r="H29" s="9"/>
    </row>
    <row r="30" spans="1:11">
      <c r="A30" s="5">
        <v>28184</v>
      </c>
      <c r="B30" s="6">
        <v>2.0093806630423039E-2</v>
      </c>
    </row>
    <row r="31" spans="1:11">
      <c r="A31" s="5">
        <v>28215</v>
      </c>
      <c r="B31" s="6">
        <v>-1.8574638173363134E-2</v>
      </c>
    </row>
    <row r="32" spans="1:11">
      <c r="A32" s="5">
        <v>28244</v>
      </c>
      <c r="B32" s="6">
        <v>1.1339739665131576E-2</v>
      </c>
    </row>
    <row r="33" spans="1:2">
      <c r="A33" s="5">
        <v>28276</v>
      </c>
      <c r="B33" s="6">
        <v>-5.2114863264286493E-3</v>
      </c>
    </row>
    <row r="34" spans="1:2">
      <c r="A34" s="5">
        <v>28306</v>
      </c>
      <c r="B34" s="6">
        <v>-2.9898134673898014E-3</v>
      </c>
    </row>
    <row r="35" spans="1:2">
      <c r="A35" s="5">
        <v>28335</v>
      </c>
      <c r="B35" s="6">
        <v>-1.8178440634785797E-2</v>
      </c>
    </row>
    <row r="36" spans="1:2">
      <c r="A36" s="5">
        <v>28368</v>
      </c>
      <c r="B36" s="6">
        <v>5.111225234478467E-2</v>
      </c>
    </row>
    <row r="37" spans="1:2">
      <c r="A37" s="5">
        <v>28398</v>
      </c>
      <c r="B37" s="6">
        <v>4.0372351368032078E-3</v>
      </c>
    </row>
    <row r="38" spans="1:2">
      <c r="A38" s="5">
        <v>28429</v>
      </c>
      <c r="B38" s="6">
        <v>-3.6496350364963459E-2</v>
      </c>
    </row>
    <row r="39" spans="1:2">
      <c r="A39" s="5">
        <v>28459</v>
      </c>
      <c r="B39" s="6">
        <v>-2.1504518872939915E-2</v>
      </c>
    </row>
    <row r="40" spans="1:2">
      <c r="A40" s="5">
        <v>28489</v>
      </c>
      <c r="B40" s="6">
        <v>-1.094781451196658E-2</v>
      </c>
    </row>
    <row r="41" spans="1:2">
      <c r="A41" s="5">
        <v>28521</v>
      </c>
      <c r="B41" s="6">
        <v>4.9329817622500549E-2</v>
      </c>
    </row>
    <row r="42" spans="1:2">
      <c r="A42" s="5">
        <v>28549</v>
      </c>
      <c r="B42" s="6">
        <v>2.4709454507381379E-2</v>
      </c>
    </row>
    <row r="43" spans="1:2">
      <c r="A43" s="5">
        <v>28580</v>
      </c>
      <c r="B43" s="6">
        <v>4.179012976397245E-2</v>
      </c>
    </row>
    <row r="44" spans="1:2">
      <c r="A44" s="5">
        <v>28608</v>
      </c>
      <c r="B44" s="6">
        <v>4.9774421341703956E-3</v>
      </c>
    </row>
    <row r="45" spans="1:2">
      <c r="A45" s="5">
        <v>28641</v>
      </c>
      <c r="B45" s="6">
        <v>1.7078585893082199E-4</v>
      </c>
    </row>
    <row r="46" spans="1:2">
      <c r="A46" s="5">
        <v>28671</v>
      </c>
      <c r="B46" s="6">
        <v>1.788066546323841E-2</v>
      </c>
    </row>
    <row r="47" spans="1:2">
      <c r="A47" s="5">
        <v>28702</v>
      </c>
      <c r="B47" s="6">
        <v>1.4858484913844894E-2</v>
      </c>
    </row>
    <row r="48" spans="1:2">
      <c r="A48" s="5">
        <v>28733</v>
      </c>
      <c r="B48" s="6">
        <v>1.9363827425791236E-3</v>
      </c>
    </row>
    <row r="49" spans="1:2">
      <c r="A49" s="5">
        <v>28762</v>
      </c>
      <c r="B49" s="6">
        <v>2.2272502297956631E-2</v>
      </c>
    </row>
    <row r="50" spans="1:2">
      <c r="A50" s="5">
        <v>28794</v>
      </c>
      <c r="B50" s="6">
        <v>1.0236547240282112E-2</v>
      </c>
    </row>
    <row r="51" spans="1:2">
      <c r="A51" s="5">
        <v>28824</v>
      </c>
      <c r="B51" s="6">
        <v>8.8319868547173108E-3</v>
      </c>
    </row>
    <row r="52" spans="1:2">
      <c r="A52" s="5">
        <v>28853</v>
      </c>
      <c r="B52" s="6">
        <v>1.6966406515100063E-2</v>
      </c>
    </row>
    <row r="53" spans="1:2">
      <c r="A53" s="5">
        <v>28886</v>
      </c>
      <c r="B53" s="6">
        <v>2.9852074296518705E-2</v>
      </c>
    </row>
    <row r="54" spans="1:2">
      <c r="A54" s="5">
        <v>28914</v>
      </c>
      <c r="B54" s="6">
        <v>-3.0714733136056438E-2</v>
      </c>
    </row>
    <row r="55" spans="1:2">
      <c r="A55" s="5">
        <v>28944</v>
      </c>
      <c r="B55" s="6">
        <v>2.0724233983286933E-3</v>
      </c>
    </row>
    <row r="56" spans="1:2">
      <c r="A56" s="5">
        <v>28975</v>
      </c>
      <c r="B56" s="6">
        <v>3.9361323607898235E-3</v>
      </c>
    </row>
    <row r="57" spans="1:2">
      <c r="A57" s="5">
        <v>29006</v>
      </c>
      <c r="B57" s="6">
        <v>-4.5409236903312111E-3</v>
      </c>
    </row>
    <row r="58" spans="1:2">
      <c r="A58" s="5">
        <v>29035</v>
      </c>
      <c r="B58" s="6">
        <v>-6.1415220293724593E-3</v>
      </c>
    </row>
    <row r="59" spans="1:2">
      <c r="A59" s="5">
        <v>29067</v>
      </c>
      <c r="B59" s="6">
        <v>-3.649471610245425E-3</v>
      </c>
    </row>
    <row r="60" spans="1:2">
      <c r="A60" s="5">
        <v>29098</v>
      </c>
      <c r="B60" s="6">
        <v>2.0448978674636686E-2</v>
      </c>
    </row>
    <row r="61" spans="1:2">
      <c r="A61" s="5">
        <v>29126</v>
      </c>
      <c r="B61" s="6">
        <v>1.9422606857369296E-2</v>
      </c>
    </row>
    <row r="62" spans="1:2">
      <c r="A62" s="5">
        <v>29159</v>
      </c>
      <c r="B62" s="6">
        <v>-3.0047739399045259E-2</v>
      </c>
    </row>
    <row r="63" spans="1:2">
      <c r="A63" s="5">
        <v>29189</v>
      </c>
      <c r="B63" s="6">
        <v>2.8506525321811971E-3</v>
      </c>
    </row>
    <row r="64" spans="1:2">
      <c r="A64" s="5">
        <v>29220</v>
      </c>
      <c r="B64" s="6">
        <v>2.0675105485232104E-2</v>
      </c>
    </row>
    <row r="65" spans="1:2">
      <c r="A65" s="5">
        <v>29251</v>
      </c>
      <c r="B65" s="6">
        <v>1.7514849546354627E-2</v>
      </c>
    </row>
    <row r="66" spans="1:2">
      <c r="A66" s="5">
        <v>29280</v>
      </c>
      <c r="B66" s="6">
        <v>5.7734251379204515E-4</v>
      </c>
    </row>
    <row r="67" spans="1:2">
      <c r="A67" s="5">
        <v>29311</v>
      </c>
      <c r="B67" s="6">
        <v>-2.878635693372944E-2</v>
      </c>
    </row>
    <row r="68" spans="1:2">
      <c r="A68" s="5">
        <v>29341</v>
      </c>
      <c r="B68" s="6">
        <v>2.9375522598248605E-2</v>
      </c>
    </row>
    <row r="69" spans="1:2">
      <c r="A69" s="5">
        <v>29371</v>
      </c>
      <c r="B69" s="6">
        <v>-2.8430345653149836E-3</v>
      </c>
    </row>
    <row r="70" spans="1:2">
      <c r="A70" s="5">
        <v>29402</v>
      </c>
      <c r="B70" s="6">
        <v>1.348396501457727E-2</v>
      </c>
    </row>
    <row r="71" spans="1:2">
      <c r="A71" s="5">
        <v>29433</v>
      </c>
      <c r="B71" s="6">
        <v>-3.9554117224019913E-3</v>
      </c>
    </row>
    <row r="72" spans="1:2">
      <c r="A72" s="5">
        <v>29462</v>
      </c>
      <c r="B72" s="6">
        <v>1.5757060947122481E-2</v>
      </c>
    </row>
    <row r="73" spans="1:2">
      <c r="A73" s="5">
        <v>29494</v>
      </c>
      <c r="B73" s="6">
        <v>2.1889111891620683E-2</v>
      </c>
    </row>
    <row r="74" spans="1:2">
      <c r="A74" s="5">
        <v>29525</v>
      </c>
      <c r="B74" s="6">
        <v>1.485300435769954E-2</v>
      </c>
    </row>
    <row r="75" spans="1:2">
      <c r="A75" s="5">
        <v>29553</v>
      </c>
      <c r="B75" s="6">
        <v>-8.8700735812923259E-3</v>
      </c>
    </row>
    <row r="76" spans="1:2">
      <c r="A76" s="5">
        <v>29586</v>
      </c>
      <c r="B76" s="6">
        <v>-1.1186819892198274E-3</v>
      </c>
    </row>
    <row r="77" spans="1:2">
      <c r="A77" s="5">
        <v>29616</v>
      </c>
      <c r="B77" s="6">
        <v>3.6204439014457357E-2</v>
      </c>
    </row>
    <row r="78" spans="1:2">
      <c r="A78" s="5">
        <v>29644</v>
      </c>
      <c r="B78" s="6">
        <v>-2.7904417544412086E-3</v>
      </c>
    </row>
    <row r="79" spans="1:2">
      <c r="A79" s="5">
        <v>29676</v>
      </c>
      <c r="B79" s="6">
        <v>4.475229574744799E-2</v>
      </c>
    </row>
    <row r="80" spans="1:2">
      <c r="A80" s="5">
        <v>29706</v>
      </c>
      <c r="B80" s="6">
        <v>5.7887092819284502E-2</v>
      </c>
    </row>
    <row r="81" spans="1:2">
      <c r="A81" s="5">
        <v>29735</v>
      </c>
      <c r="B81" s="6">
        <v>-3.1915272973647157E-3</v>
      </c>
    </row>
    <row r="82" spans="1:2">
      <c r="A82" s="5">
        <v>29767</v>
      </c>
      <c r="B82" s="6">
        <v>4.8437583844598953E-2</v>
      </c>
    </row>
    <row r="83" spans="1:2">
      <c r="A83" s="5">
        <v>29798</v>
      </c>
      <c r="B83" s="6">
        <v>1.0236287639682651E-2</v>
      </c>
    </row>
    <row r="84" spans="1:2">
      <c r="A84" s="5">
        <v>29829</v>
      </c>
      <c r="B84" s="6">
        <v>-4.5765431056319361E-3</v>
      </c>
    </row>
    <row r="85" spans="1:2">
      <c r="A85" s="5">
        <v>29859</v>
      </c>
      <c r="B85" s="6">
        <v>-6.6452904451683059E-2</v>
      </c>
    </row>
    <row r="86" spans="1:2">
      <c r="A86" s="5">
        <v>29889</v>
      </c>
      <c r="B86" s="6">
        <v>-1.3266214767296836E-3</v>
      </c>
    </row>
    <row r="87" spans="1:2">
      <c r="A87" s="5">
        <v>29920</v>
      </c>
      <c r="B87" s="6">
        <v>8.9347454234451895E-3</v>
      </c>
    </row>
    <row r="88" spans="1:2">
      <c r="A88" s="5">
        <v>29951</v>
      </c>
      <c r="B88" s="6">
        <v>2.860492379835855E-2</v>
      </c>
    </row>
    <row r="89" spans="1:2">
      <c r="A89" s="5">
        <v>29980</v>
      </c>
      <c r="B89" s="6">
        <v>2.0076800336659151E-2</v>
      </c>
    </row>
    <row r="90" spans="1:2">
      <c r="A90" s="5">
        <v>30008</v>
      </c>
      <c r="B90" s="6">
        <v>-3.7541254125412649E-2</v>
      </c>
    </row>
    <row r="91" spans="1:2">
      <c r="A91" s="5">
        <v>30041</v>
      </c>
      <c r="B91" s="6">
        <v>-4.663166166595234E-2</v>
      </c>
    </row>
    <row r="92" spans="1:2">
      <c r="A92" s="5">
        <v>30071</v>
      </c>
      <c r="B92" s="6">
        <v>2.3285438639216283E-2</v>
      </c>
    </row>
    <row r="93" spans="1:2">
      <c r="A93" s="5">
        <v>30102</v>
      </c>
      <c r="B93" s="6">
        <v>3.2952548330400511E-4</v>
      </c>
    </row>
    <row r="94" spans="1:2">
      <c r="A94" s="5">
        <v>30132</v>
      </c>
      <c r="B94" s="6">
        <v>-1.3121774459207147E-2</v>
      </c>
    </row>
    <row r="95" spans="1:2">
      <c r="A95" s="5">
        <v>30162</v>
      </c>
      <c r="B95" s="6">
        <v>-2.171534538711184E-2</v>
      </c>
    </row>
    <row r="96" spans="1:2">
      <c r="A96" s="5">
        <v>30194</v>
      </c>
      <c r="B96" s="6">
        <v>5.5730371156690328E-3</v>
      </c>
    </row>
    <row r="97" spans="1:2">
      <c r="A97" s="5">
        <v>30224</v>
      </c>
      <c r="B97" s="6">
        <v>-1.2215352133916446E-2</v>
      </c>
    </row>
    <row r="98" spans="1:2">
      <c r="A98" s="5">
        <v>30253</v>
      </c>
      <c r="B98" s="6">
        <v>2.9980916030534432E-2</v>
      </c>
    </row>
    <row r="99" spans="1:2">
      <c r="A99" s="5">
        <v>30285</v>
      </c>
      <c r="B99" s="6">
        <v>7.1612532656426531E-2</v>
      </c>
    </row>
    <row r="100" spans="1:2">
      <c r="A100" s="5">
        <v>30316</v>
      </c>
      <c r="B100" s="6">
        <v>2.6557853240196438E-2</v>
      </c>
    </row>
    <row r="101" spans="1:2">
      <c r="A101" s="5">
        <v>30347</v>
      </c>
      <c r="B101" s="6">
        <v>-9.0446675200430704E-3</v>
      </c>
    </row>
    <row r="102" spans="1:2">
      <c r="A102" s="5">
        <v>30375</v>
      </c>
      <c r="B102" s="6">
        <v>6.5097306025323487E-3</v>
      </c>
    </row>
    <row r="103" spans="1:2">
      <c r="A103" s="5">
        <v>30406</v>
      </c>
      <c r="B103" s="6">
        <v>4.3078118139755039E-2</v>
      </c>
    </row>
    <row r="104" spans="1:2">
      <c r="A104" s="5">
        <v>30435</v>
      </c>
      <c r="B104" s="6">
        <v>1.6901682073531932E-2</v>
      </c>
    </row>
    <row r="105" spans="1:2">
      <c r="A105" s="5">
        <v>30467</v>
      </c>
      <c r="B105" s="6">
        <v>1.3866556286119103E-2</v>
      </c>
    </row>
    <row r="106" spans="1:2">
      <c r="A106" s="5">
        <v>30497</v>
      </c>
      <c r="B106" s="6">
        <v>3.0290182777463759E-2</v>
      </c>
    </row>
    <row r="107" spans="1:2">
      <c r="A107" s="5">
        <v>30526</v>
      </c>
      <c r="B107" s="6">
        <v>2.0361818542057319E-2</v>
      </c>
    </row>
    <row r="108" spans="1:2">
      <c r="A108" s="5">
        <v>30559</v>
      </c>
      <c r="B108" s="6">
        <v>1.3502815576035498E-2</v>
      </c>
    </row>
    <row r="109" spans="1:2">
      <c r="A109" s="5">
        <v>30589</v>
      </c>
      <c r="B109" s="6">
        <v>1.8495866063401811E-2</v>
      </c>
    </row>
    <row r="110" spans="1:2">
      <c r="A110" s="5">
        <v>30620</v>
      </c>
      <c r="B110" s="6">
        <v>-8.0598483533022014E-3</v>
      </c>
    </row>
    <row r="111" spans="1:2">
      <c r="A111" s="5">
        <v>30650</v>
      </c>
      <c r="B111" s="6">
        <v>3.3989292643434865E-3</v>
      </c>
    </row>
    <row r="112" spans="1:2">
      <c r="A112" s="5">
        <v>30680</v>
      </c>
      <c r="B112" s="6">
        <v>6.3939288206559697E-2</v>
      </c>
    </row>
    <row r="113" spans="1:2">
      <c r="A113" s="5">
        <v>30712</v>
      </c>
      <c r="B113" s="6">
        <v>6.1791150829438868E-2</v>
      </c>
    </row>
    <row r="114" spans="1:2">
      <c r="A114" s="5">
        <v>30741</v>
      </c>
      <c r="B114" s="6">
        <v>-1.1839802326778504E-3</v>
      </c>
    </row>
    <row r="115" spans="1:2">
      <c r="A115" s="5">
        <v>30771</v>
      </c>
      <c r="B115" s="6">
        <v>0.11681183322166677</v>
      </c>
    </row>
    <row r="116" spans="1:2">
      <c r="A116" s="5">
        <v>30802</v>
      </c>
      <c r="B116" s="6">
        <v>-6.5414522716259471E-3</v>
      </c>
    </row>
    <row r="117" spans="1:2">
      <c r="A117" s="5">
        <v>30833</v>
      </c>
      <c r="B117" s="6">
        <v>-9.9650451161872544E-2</v>
      </c>
    </row>
    <row r="118" spans="1:2">
      <c r="A118" s="5">
        <v>30862</v>
      </c>
      <c r="B118" s="6">
        <v>2.2971752869856976E-2</v>
      </c>
    </row>
    <row r="119" spans="1:2">
      <c r="A119" s="5">
        <v>30894</v>
      </c>
      <c r="B119" s="6">
        <v>-3.7195344908020345E-2</v>
      </c>
    </row>
    <row r="120" spans="1:2">
      <c r="A120" s="5">
        <v>30925</v>
      </c>
      <c r="B120" s="6">
        <v>6.9511923625934724E-2</v>
      </c>
    </row>
    <row r="121" spans="1:2">
      <c r="A121" s="5">
        <v>30953</v>
      </c>
      <c r="B121" s="6">
        <v>9.7589048476165452E-3</v>
      </c>
    </row>
    <row r="122" spans="1:2">
      <c r="A122" s="5">
        <v>30986</v>
      </c>
      <c r="B122" s="6">
        <v>4.3387577910896757E-2</v>
      </c>
    </row>
    <row r="123" spans="1:2">
      <c r="A123" s="5">
        <v>31016</v>
      </c>
      <c r="B123" s="6">
        <v>1.7862953837571416E-2</v>
      </c>
    </row>
    <row r="124" spans="1:2">
      <c r="A124" s="5">
        <v>31047</v>
      </c>
      <c r="B124" s="6">
        <v>4.2886014089813962E-2</v>
      </c>
    </row>
    <row r="125" spans="1:2">
      <c r="A125" s="5">
        <v>31078</v>
      </c>
      <c r="B125" s="6">
        <v>1.9367835597840832E-2</v>
      </c>
    </row>
    <row r="126" spans="1:2">
      <c r="A126" s="5">
        <v>31106</v>
      </c>
      <c r="B126" s="6">
        <v>4.9663824028526538E-2</v>
      </c>
    </row>
    <row r="127" spans="1:2">
      <c r="A127" s="5">
        <v>31135</v>
      </c>
      <c r="B127" s="6">
        <v>2.2592857873733774E-2</v>
      </c>
    </row>
    <row r="128" spans="1:2">
      <c r="A128" s="5">
        <v>31167</v>
      </c>
      <c r="B128" s="6">
        <v>-3.2119914346895095E-2</v>
      </c>
    </row>
    <row r="129" spans="1:2">
      <c r="A129" s="5">
        <v>31198</v>
      </c>
      <c r="B129" s="6">
        <v>3.0756347696633934E-2</v>
      </c>
    </row>
    <row r="130" spans="1:2">
      <c r="A130" s="5">
        <v>31226</v>
      </c>
      <c r="B130" s="6">
        <v>2.9467518530034376E-2</v>
      </c>
    </row>
    <row r="131" spans="1:2">
      <c r="A131" s="5">
        <v>31259</v>
      </c>
      <c r="B131" s="6">
        <v>-3.3397959879580386E-2</v>
      </c>
    </row>
    <row r="132" spans="1:2">
      <c r="A132" s="5">
        <v>31289</v>
      </c>
      <c r="B132" s="6">
        <v>2.6569098807615932E-2</v>
      </c>
    </row>
    <row r="133" spans="1:2">
      <c r="A133" s="5">
        <v>31320</v>
      </c>
      <c r="B133" s="6">
        <v>7.5602116859272428E-3</v>
      </c>
    </row>
    <row r="134" spans="1:2">
      <c r="A134" s="5">
        <v>31351</v>
      </c>
      <c r="B134" s="6">
        <v>1.8515089798198936E-4</v>
      </c>
    </row>
    <row r="135" spans="1:2">
      <c r="A135" s="5">
        <v>31380</v>
      </c>
      <c r="B135" s="6">
        <v>-1.9339815662815063E-2</v>
      </c>
    </row>
    <row r="136" spans="1:2">
      <c r="A136" s="5">
        <v>31412</v>
      </c>
      <c r="B136" s="6">
        <v>4.0286926370798559E-2</v>
      </c>
    </row>
    <row r="137" spans="1:2">
      <c r="A137" s="5">
        <v>31443</v>
      </c>
      <c r="B137" s="6">
        <v>-5.2145012797494283E-3</v>
      </c>
    </row>
    <row r="138" spans="1:2">
      <c r="A138" s="5">
        <v>31471</v>
      </c>
      <c r="B138" s="6">
        <v>4.7118910927209656E-2</v>
      </c>
    </row>
    <row r="139" spans="1:2">
      <c r="A139" s="5">
        <v>31502</v>
      </c>
      <c r="B139" s="6">
        <v>0.16065829283946087</v>
      </c>
    </row>
    <row r="140" spans="1:2">
      <c r="A140" s="5">
        <v>31532</v>
      </c>
      <c r="B140" s="6">
        <v>-1.1098559951972065E-2</v>
      </c>
    </row>
    <row r="141" spans="1:2">
      <c r="A141" s="5">
        <v>31562</v>
      </c>
      <c r="B141" s="6">
        <v>3.8526056810556764E-2</v>
      </c>
    </row>
    <row r="142" spans="1:2">
      <c r="A142" s="5">
        <v>31593</v>
      </c>
      <c r="B142" s="6">
        <v>4.5480767012022083E-2</v>
      </c>
    </row>
    <row r="143" spans="1:2">
      <c r="A143" s="5">
        <v>31624</v>
      </c>
      <c r="B143" s="6">
        <v>5.1263941614431596E-2</v>
      </c>
    </row>
    <row r="144" spans="1:2">
      <c r="A144" s="5">
        <v>31653</v>
      </c>
      <c r="B144" s="6">
        <v>8.2453881252974259E-2</v>
      </c>
    </row>
    <row r="145" spans="1:2">
      <c r="A145" s="5">
        <v>31685</v>
      </c>
      <c r="B145" s="6">
        <v>-1.904651072578456E-2</v>
      </c>
    </row>
    <row r="146" spans="1:2">
      <c r="A146" s="5">
        <v>31716</v>
      </c>
      <c r="B146" s="6">
        <v>-7.204998418222075E-2</v>
      </c>
    </row>
    <row r="147" spans="1:2">
      <c r="A147" s="5">
        <v>31744</v>
      </c>
      <c r="B147" s="6">
        <v>5.8907923520554517E-2</v>
      </c>
    </row>
    <row r="148" spans="1:2">
      <c r="A148" s="5">
        <v>31777</v>
      </c>
      <c r="B148" s="6">
        <v>4.8058219867194163E-2</v>
      </c>
    </row>
    <row r="149" spans="1:2">
      <c r="A149" s="5">
        <v>31807</v>
      </c>
      <c r="B149" s="6">
        <v>0.12038014783526929</v>
      </c>
    </row>
    <row r="150" spans="1:2">
      <c r="A150" s="5">
        <v>31835</v>
      </c>
      <c r="B150" s="6">
        <v>1.4166166852311868E-2</v>
      </c>
    </row>
    <row r="151" spans="1:2">
      <c r="A151" s="5">
        <v>31867</v>
      </c>
      <c r="B151" s="6">
        <v>5.392435720521549E-2</v>
      </c>
    </row>
    <row r="152" spans="1:2">
      <c r="A152" s="5">
        <v>31897</v>
      </c>
      <c r="B152" s="6">
        <v>0.11078511535439994</v>
      </c>
    </row>
    <row r="153" spans="1:2">
      <c r="A153" s="5">
        <v>31926</v>
      </c>
      <c r="B153" s="6">
        <v>2.7058104681764172E-2</v>
      </c>
    </row>
    <row r="154" spans="1:2">
      <c r="A154" s="5">
        <v>31958</v>
      </c>
      <c r="B154" s="6">
        <v>-4.4806603176982596E-2</v>
      </c>
    </row>
    <row r="155" spans="1:2">
      <c r="A155" s="5">
        <v>31989</v>
      </c>
      <c r="B155" s="6">
        <v>-1.1755301410440011E-2</v>
      </c>
    </row>
    <row r="156" spans="1:2">
      <c r="A156" s="5">
        <v>32020</v>
      </c>
      <c r="B156" s="6">
        <v>6.9053302301115282E-2</v>
      </c>
    </row>
    <row r="157" spans="1:2">
      <c r="A157" s="5">
        <v>32050</v>
      </c>
      <c r="B157" s="6">
        <v>-8.1930686175299972E-3</v>
      </c>
    </row>
    <row r="158" spans="1:2">
      <c r="A158" s="5">
        <v>32080</v>
      </c>
      <c r="B158" s="6">
        <v>-0.12610162828031324</v>
      </c>
    </row>
    <row r="159" spans="1:2">
      <c r="A159" s="5">
        <v>32111</v>
      </c>
      <c r="B159" s="6">
        <v>-1.0786319476429718E-2</v>
      </c>
    </row>
    <row r="160" spans="1:2">
      <c r="A160" s="5">
        <v>32142</v>
      </c>
      <c r="B160" s="6">
        <v>-6.5623917186417247E-2</v>
      </c>
    </row>
    <row r="161" spans="1:2">
      <c r="A161" s="5">
        <v>32171</v>
      </c>
      <c r="B161" s="6">
        <v>0.11062503259301337</v>
      </c>
    </row>
    <row r="162" spans="1:2">
      <c r="A162" s="5">
        <v>32202</v>
      </c>
      <c r="B162" s="6">
        <v>8.4163297247945801E-2</v>
      </c>
    </row>
    <row r="163" spans="1:2">
      <c r="A163" s="5">
        <v>32233</v>
      </c>
      <c r="B163" s="6">
        <v>3.3603295365411068E-2</v>
      </c>
    </row>
    <row r="164" spans="1:2">
      <c r="A164" s="5">
        <v>32262</v>
      </c>
      <c r="B164" s="6">
        <v>1.9330508869128016E-2</v>
      </c>
    </row>
    <row r="165" spans="1:2">
      <c r="A165" s="5">
        <v>32294</v>
      </c>
      <c r="B165" s="6">
        <v>-2.7788181344831075E-2</v>
      </c>
    </row>
    <row r="166" spans="1:2">
      <c r="A166" s="5">
        <v>32324</v>
      </c>
      <c r="B166" s="6">
        <v>2.5613319677907365E-2</v>
      </c>
    </row>
    <row r="167" spans="1:2">
      <c r="A167" s="5">
        <v>32353</v>
      </c>
      <c r="B167" s="6">
        <v>1.9000503870642671E-2</v>
      </c>
    </row>
    <row r="168" spans="1:2">
      <c r="A168" s="5">
        <v>32386</v>
      </c>
      <c r="B168" s="6">
        <v>-4.3405946290985264E-2</v>
      </c>
    </row>
    <row r="169" spans="1:2">
      <c r="A169" s="5">
        <v>32416</v>
      </c>
      <c r="B169" s="6">
        <v>1.0967942030620126E-2</v>
      </c>
    </row>
    <row r="170" spans="1:2">
      <c r="A170" s="5">
        <v>32447</v>
      </c>
      <c r="B170" s="6">
        <v>2.3612970400117561E-3</v>
      </c>
    </row>
    <row r="171" spans="1:2">
      <c r="A171" s="5">
        <v>32477</v>
      </c>
      <c r="B171" s="6">
        <v>5.9964571237780762E-2</v>
      </c>
    </row>
    <row r="172" spans="1:2">
      <c r="A172" s="5">
        <v>32507</v>
      </c>
      <c r="B172" s="6">
        <v>3.1184512741988524E-2</v>
      </c>
    </row>
    <row r="173" spans="1:2">
      <c r="A173" s="5">
        <v>32539</v>
      </c>
      <c r="B173" s="6">
        <v>4.5735523094742048E-2</v>
      </c>
    </row>
    <row r="174" spans="1:2">
      <c r="A174" s="5">
        <v>32567</v>
      </c>
      <c r="B174" s="6">
        <v>-7.1404518770056269E-3</v>
      </c>
    </row>
    <row r="175" spans="1:2">
      <c r="A175" s="5">
        <v>32598</v>
      </c>
      <c r="B175" s="6">
        <v>8.957065743718351E-3</v>
      </c>
    </row>
    <row r="176" spans="1:2">
      <c r="A176" s="5">
        <v>32626</v>
      </c>
      <c r="B176" s="6">
        <v>7.8448048923718261E-3</v>
      </c>
    </row>
    <row r="177" spans="1:2">
      <c r="A177" s="5">
        <v>32659</v>
      </c>
      <c r="B177" s="6">
        <v>1.9537717197370297E-2</v>
      </c>
    </row>
    <row r="178" spans="1:2">
      <c r="A178" s="5">
        <v>32689</v>
      </c>
      <c r="B178" s="6">
        <v>-3.4590129042938011E-2</v>
      </c>
    </row>
    <row r="179" spans="1:2">
      <c r="A179" s="5">
        <v>32720</v>
      </c>
      <c r="B179" s="6">
        <v>7.3292016755260425E-2</v>
      </c>
    </row>
    <row r="180" spans="1:2">
      <c r="A180" s="5">
        <v>32751</v>
      </c>
      <c r="B180" s="6">
        <v>-9.7074822168967678E-3</v>
      </c>
    </row>
    <row r="181" spans="1:2">
      <c r="A181" s="5">
        <v>32780</v>
      </c>
      <c r="B181" s="6">
        <v>3.796602877797306E-2</v>
      </c>
    </row>
    <row r="182" spans="1:2">
      <c r="A182" s="5">
        <v>32812</v>
      </c>
      <c r="B182" s="6">
        <v>-3.5415325177075019E-3</v>
      </c>
    </row>
    <row r="183" spans="1:2">
      <c r="A183" s="5">
        <v>32842</v>
      </c>
      <c r="B183" s="6">
        <v>5.0838393404267102E-2</v>
      </c>
    </row>
    <row r="184" spans="1:2">
      <c r="A184" s="5">
        <v>32871</v>
      </c>
      <c r="B184" s="6">
        <v>1.831746502965137E-2</v>
      </c>
    </row>
    <row r="185" spans="1:2">
      <c r="A185" s="5">
        <v>32904</v>
      </c>
      <c r="B185" s="6">
        <v>-4.9906815160843498E-2</v>
      </c>
    </row>
    <row r="186" spans="1:2">
      <c r="A186" s="5">
        <v>32932</v>
      </c>
      <c r="B186" s="6">
        <v>-6.2840402254554339E-2</v>
      </c>
    </row>
    <row r="187" spans="1:2">
      <c r="A187" s="5">
        <v>32962</v>
      </c>
      <c r="B187" s="6">
        <v>-0.13176953000148117</v>
      </c>
    </row>
    <row r="188" spans="1:2">
      <c r="A188" s="5">
        <v>32993</v>
      </c>
      <c r="B188" s="6">
        <v>-9.661141738646406E-3</v>
      </c>
    </row>
    <row r="189" spans="1:2">
      <c r="A189" s="5">
        <v>33024</v>
      </c>
      <c r="B189" s="6">
        <v>0.10416326678634236</v>
      </c>
    </row>
    <row r="190" spans="1:2">
      <c r="A190" s="5">
        <v>33053</v>
      </c>
      <c r="B190" s="6">
        <v>-3.7926872326274452E-2</v>
      </c>
    </row>
    <row r="191" spans="1:2">
      <c r="A191" s="5">
        <v>33085</v>
      </c>
      <c r="B191" s="6">
        <v>-3.8747780964085821E-2</v>
      </c>
    </row>
    <row r="192" spans="1:2">
      <c r="A192" s="5">
        <v>33116</v>
      </c>
      <c r="B192" s="6">
        <v>-0.12367706076641682</v>
      </c>
    </row>
    <row r="193" spans="1:2">
      <c r="A193" s="5">
        <v>33144</v>
      </c>
      <c r="B193" s="6">
        <v>-0.2041672365841426</v>
      </c>
    </row>
    <row r="194" spans="1:2">
      <c r="A194" s="5">
        <v>33177</v>
      </c>
      <c r="B194" s="6">
        <v>0.18152710143543715</v>
      </c>
    </row>
    <row r="195" spans="1:2">
      <c r="A195" s="5">
        <v>33207</v>
      </c>
      <c r="B195" s="6">
        <v>-0.10996595047733981</v>
      </c>
    </row>
    <row r="196" spans="1:2">
      <c r="A196" s="5">
        <v>33238</v>
      </c>
      <c r="B196" s="6">
        <v>4.9527545232777026E-2</v>
      </c>
    </row>
    <row r="197" spans="1:2">
      <c r="A197" s="5">
        <v>33269</v>
      </c>
      <c r="B197" s="6">
        <v>-1.3207753932046318E-2</v>
      </c>
    </row>
    <row r="198" spans="1:2">
      <c r="A198" s="5">
        <v>33297</v>
      </c>
      <c r="B198" s="6">
        <v>0.1457628307411758</v>
      </c>
    </row>
    <row r="199" spans="1:2">
      <c r="A199" s="5">
        <v>33326</v>
      </c>
      <c r="B199" s="6">
        <v>5.310357492654294E-3</v>
      </c>
    </row>
    <row r="200" spans="1:2">
      <c r="A200" s="5">
        <v>33358</v>
      </c>
      <c r="B200" s="6">
        <v>-3.7092853917075619E-3</v>
      </c>
    </row>
    <row r="201" spans="1:2">
      <c r="A201" s="5">
        <v>33389</v>
      </c>
      <c r="B201" s="6">
        <v>6.8757576066236226E-4</v>
      </c>
    </row>
    <row r="202" spans="1:2">
      <c r="A202" s="5">
        <v>33417</v>
      </c>
      <c r="B202" s="6">
        <v>-7.4186800490642635E-2</v>
      </c>
    </row>
    <row r="203" spans="1:2">
      <c r="A203" s="5">
        <v>33450</v>
      </c>
      <c r="B203" s="6">
        <v>2.2050456017284059E-2</v>
      </c>
    </row>
    <row r="204" spans="1:2">
      <c r="A204" s="5">
        <v>33480</v>
      </c>
      <c r="B204" s="6">
        <v>-6.8322647273979076E-2</v>
      </c>
    </row>
    <row r="205" spans="1:2">
      <c r="A205" s="5">
        <v>33511</v>
      </c>
      <c r="B205" s="6">
        <v>5.7791120605045876E-2</v>
      </c>
    </row>
    <row r="206" spans="1:2">
      <c r="A206" s="5">
        <v>33542</v>
      </c>
      <c r="B206" s="6">
        <v>3.0155004912127525E-2</v>
      </c>
    </row>
    <row r="207" spans="1:2">
      <c r="A207" s="5">
        <v>33571</v>
      </c>
      <c r="B207" s="6">
        <v>-8.2730668362075876E-2</v>
      </c>
    </row>
    <row r="208" spans="1:2">
      <c r="A208" s="5">
        <v>33603</v>
      </c>
      <c r="B208" s="6">
        <v>-9.5997227516894101E-3</v>
      </c>
    </row>
    <row r="209" spans="1:2">
      <c r="A209" s="5">
        <v>33634</v>
      </c>
      <c r="B209" s="6">
        <v>-4.8837100800149358E-2</v>
      </c>
    </row>
    <row r="210" spans="1:2">
      <c r="A210" s="5">
        <v>33662</v>
      </c>
      <c r="B210" s="6">
        <v>-4.687480839270608E-2</v>
      </c>
    </row>
    <row r="211" spans="1:2">
      <c r="A211" s="5">
        <v>33694</v>
      </c>
      <c r="B211" s="6">
        <v>-8.7469202117736344E-2</v>
      </c>
    </row>
    <row r="212" spans="1:2">
      <c r="A212" s="5">
        <v>33724</v>
      </c>
      <c r="B212" s="6">
        <v>-7.1243267631052043E-2</v>
      </c>
    </row>
    <row r="213" spans="1:2">
      <c r="A213" s="5">
        <v>33753</v>
      </c>
      <c r="B213" s="6">
        <v>4.4676878235392348E-2</v>
      </c>
    </row>
    <row r="214" spans="1:2">
      <c r="A214" s="5">
        <v>33785</v>
      </c>
      <c r="B214" s="6">
        <v>-0.1018077191350848</v>
      </c>
    </row>
    <row r="215" spans="1:2">
      <c r="A215" s="5">
        <v>33816</v>
      </c>
      <c r="B215" s="6">
        <v>-1.3711373564148199E-2</v>
      </c>
    </row>
    <row r="216" spans="1:2">
      <c r="A216" s="5">
        <v>33847</v>
      </c>
      <c r="B216" s="6">
        <v>0.13636251794135745</v>
      </c>
    </row>
    <row r="217" spans="1:2">
      <c r="A217" s="5">
        <v>33877</v>
      </c>
      <c r="B217" s="6">
        <v>-5.4066733549378965E-2</v>
      </c>
    </row>
    <row r="218" spans="1:2">
      <c r="A218" s="5">
        <v>33907</v>
      </c>
      <c r="B218" s="6">
        <v>-2.4179764993132791E-2</v>
      </c>
    </row>
    <row r="219" spans="1:2">
      <c r="A219" s="5">
        <v>33938</v>
      </c>
      <c r="B219" s="6">
        <v>3.4748340383607745E-2</v>
      </c>
    </row>
    <row r="220" spans="1:2">
      <c r="A220" s="5">
        <v>33969</v>
      </c>
      <c r="B220" s="6">
        <v>-1.1856273850455179E-2</v>
      </c>
    </row>
    <row r="221" spans="1:2">
      <c r="A221" s="5">
        <v>33998</v>
      </c>
      <c r="B221" s="6">
        <v>-6.7142835293577674E-3</v>
      </c>
    </row>
    <row r="222" spans="1:2">
      <c r="A222" s="5">
        <v>34026</v>
      </c>
      <c r="B222" s="6">
        <v>-1.1294345898004488E-2</v>
      </c>
    </row>
    <row r="223" spans="1:2">
      <c r="A223" s="5">
        <v>34059</v>
      </c>
      <c r="B223" s="6">
        <v>0.11498119466442391</v>
      </c>
    </row>
    <row r="224" spans="1:2">
      <c r="A224" s="5">
        <v>34089</v>
      </c>
      <c r="B224" s="6">
        <v>0.1319393520361487</v>
      </c>
    </row>
    <row r="225" spans="1:2">
      <c r="A225" s="5">
        <v>34120</v>
      </c>
      <c r="B225" s="6">
        <v>9.7545024339982245E-3</v>
      </c>
    </row>
    <row r="226" spans="1:2">
      <c r="A226" s="5">
        <v>34150</v>
      </c>
      <c r="B226" s="6">
        <v>-3.4431137724550864E-2</v>
      </c>
    </row>
    <row r="227" spans="1:2">
      <c r="A227" s="5">
        <v>34180</v>
      </c>
      <c r="B227" s="6">
        <v>5.0409745293466202E-2</v>
      </c>
    </row>
    <row r="228" spans="1:2">
      <c r="A228" s="5">
        <v>34212</v>
      </c>
      <c r="B228" s="6">
        <v>1.9989035550119993E-2</v>
      </c>
    </row>
    <row r="229" spans="1:2">
      <c r="A229" s="5">
        <v>34242</v>
      </c>
      <c r="B229" s="6">
        <v>-3.9478113980946028E-2</v>
      </c>
    </row>
    <row r="230" spans="1:2">
      <c r="A230" s="5">
        <v>34271</v>
      </c>
      <c r="B230" s="6">
        <v>2.6687163720213736E-3</v>
      </c>
    </row>
    <row r="231" spans="1:2">
      <c r="A231" s="5">
        <v>34303</v>
      </c>
      <c r="B231" s="6">
        <v>-0.15732342281014844</v>
      </c>
    </row>
    <row r="232" spans="1:2">
      <c r="A232" s="5">
        <v>34334</v>
      </c>
      <c r="B232" s="6">
        <v>4.7487009300903882E-2</v>
      </c>
    </row>
    <row r="233" spans="1:2">
      <c r="A233" s="5">
        <v>34365</v>
      </c>
      <c r="B233" s="6">
        <v>0.13194516817085966</v>
      </c>
    </row>
    <row r="234" spans="1:2">
      <c r="A234" s="5">
        <v>34393</v>
      </c>
      <c r="B234" s="6">
        <v>1.5283387142313032E-3</v>
      </c>
    </row>
    <row r="235" spans="1:2">
      <c r="A235" s="5">
        <v>34424</v>
      </c>
      <c r="B235" s="6">
        <v>-4.1980498985726644E-2</v>
      </c>
    </row>
    <row r="236" spans="1:2">
      <c r="A236" s="5">
        <v>34453</v>
      </c>
      <c r="B236" s="6">
        <v>2.5665137761401224E-2</v>
      </c>
    </row>
    <row r="237" spans="1:2">
      <c r="A237" s="5">
        <v>34485</v>
      </c>
      <c r="B237" s="6">
        <v>4.9378481036343125E-2</v>
      </c>
    </row>
    <row r="238" spans="1:2">
      <c r="A238" s="5">
        <v>34515</v>
      </c>
      <c r="B238" s="6">
        <v>-5.4561664190193593E-3</v>
      </c>
    </row>
    <row r="239" spans="1:2">
      <c r="A239" s="5">
        <v>34544</v>
      </c>
      <c r="B239" s="6">
        <v>-2.1460330361197988E-2</v>
      </c>
    </row>
    <row r="240" spans="1:2">
      <c r="A240" s="5">
        <v>34577</v>
      </c>
      <c r="B240" s="6">
        <v>1.8199473558853096E-3</v>
      </c>
    </row>
    <row r="241" spans="1:2">
      <c r="A241" s="5">
        <v>34607</v>
      </c>
      <c r="B241" s="6">
        <v>-3.871030669535902E-2</v>
      </c>
    </row>
    <row r="242" spans="1:2">
      <c r="A242" s="5">
        <v>34638</v>
      </c>
      <c r="B242" s="6">
        <v>4.927420428818774E-3</v>
      </c>
    </row>
    <row r="243" spans="1:2">
      <c r="A243" s="5">
        <v>34668</v>
      </c>
      <c r="B243" s="6">
        <v>-4.0544974947307355E-2</v>
      </c>
    </row>
    <row r="244" spans="1:2">
      <c r="A244" s="5">
        <v>34698</v>
      </c>
      <c r="B244" s="6">
        <v>2.5440506179254196E-2</v>
      </c>
    </row>
    <row r="245" spans="1:2">
      <c r="A245" s="5">
        <v>34730</v>
      </c>
      <c r="B245" s="6">
        <v>-6.1093330083574426E-2</v>
      </c>
    </row>
    <row r="246" spans="1:2">
      <c r="A246" s="5">
        <v>34758</v>
      </c>
      <c r="B246" s="6">
        <v>-7.8867909061099417E-2</v>
      </c>
    </row>
    <row r="247" spans="1:2">
      <c r="A247" s="5">
        <v>34789</v>
      </c>
      <c r="B247" s="6">
        <v>-3.0035820497037236E-2</v>
      </c>
    </row>
    <row r="248" spans="1:2">
      <c r="A248" s="5">
        <v>34817</v>
      </c>
      <c r="B248" s="6">
        <v>1.829664574237877E-2</v>
      </c>
    </row>
    <row r="249" spans="1:2">
      <c r="A249" s="5">
        <v>34850</v>
      </c>
      <c r="B249" s="6">
        <v>-5.834872580378736E-2</v>
      </c>
    </row>
    <row r="250" spans="1:2">
      <c r="A250" s="5">
        <v>34880</v>
      </c>
      <c r="B250" s="6">
        <v>-4.5546243949892706E-2</v>
      </c>
    </row>
    <row r="251" spans="1:2">
      <c r="A251" s="5">
        <v>34911</v>
      </c>
      <c r="B251" s="6">
        <v>0.11621650974527764</v>
      </c>
    </row>
    <row r="252" spans="1:2">
      <c r="A252" s="5">
        <v>34942</v>
      </c>
      <c r="B252" s="6">
        <v>6.8467929047226983E-2</v>
      </c>
    </row>
    <row r="253" spans="1:2">
      <c r="A253" s="5">
        <v>34971</v>
      </c>
      <c r="B253" s="6">
        <v>7.411143333473591E-3</v>
      </c>
    </row>
    <row r="254" spans="1:2">
      <c r="A254" s="5">
        <v>35003</v>
      </c>
      <c r="B254" s="6">
        <v>-1.8787895644434505E-2</v>
      </c>
    </row>
    <row r="255" spans="1:2">
      <c r="A255" s="5">
        <v>35033</v>
      </c>
      <c r="B255" s="6">
        <v>5.0363535864619946E-2</v>
      </c>
    </row>
    <row r="256" spans="1:2">
      <c r="A256" s="5">
        <v>35062</v>
      </c>
      <c r="B256" s="6">
        <v>6.442406946384116E-2</v>
      </c>
    </row>
    <row r="257" spans="1:2">
      <c r="A257" s="5">
        <v>35095</v>
      </c>
      <c r="B257" s="6">
        <v>2.2444064144006903E-2</v>
      </c>
    </row>
    <row r="258" spans="1:2">
      <c r="A258" s="5">
        <v>35124</v>
      </c>
      <c r="B258" s="6">
        <v>-3.2638815703826651E-2</v>
      </c>
    </row>
    <row r="259" spans="1:2">
      <c r="A259" s="5">
        <v>35153</v>
      </c>
      <c r="B259" s="6">
        <v>4.8972738807787408E-2</v>
      </c>
    </row>
    <row r="260" spans="1:2">
      <c r="A260" s="5">
        <v>35185</v>
      </c>
      <c r="B260" s="6">
        <v>4.6148770832315167E-2</v>
      </c>
    </row>
    <row r="261" spans="1:2">
      <c r="A261" s="5">
        <v>35216</v>
      </c>
      <c r="B261" s="6">
        <v>-1.8599409023487334E-2</v>
      </c>
    </row>
    <row r="262" spans="1:2">
      <c r="A262" s="5">
        <v>35244</v>
      </c>
      <c r="B262" s="6">
        <v>1.8969754309549725E-2</v>
      </c>
    </row>
    <row r="263" spans="1:2">
      <c r="A263" s="5">
        <v>35277</v>
      </c>
      <c r="B263" s="6">
        <v>-7.475838710619287E-2</v>
      </c>
    </row>
    <row r="264" spans="1:2">
      <c r="A264" s="5">
        <v>35307</v>
      </c>
      <c r="B264" s="6">
        <v>-2.5838945235826194E-2</v>
      </c>
    </row>
    <row r="265" spans="1:2">
      <c r="A265" s="5">
        <v>35338</v>
      </c>
      <c r="B265" s="6">
        <v>5.4460994240325356E-2</v>
      </c>
    </row>
    <row r="266" spans="1:2">
      <c r="A266" s="5">
        <v>35369</v>
      </c>
      <c r="B266" s="6">
        <v>-4.7310374489263007E-2</v>
      </c>
    </row>
    <row r="267" spans="1:2">
      <c r="A267" s="5">
        <v>35398</v>
      </c>
      <c r="B267" s="6">
        <v>7.9004224307503979E-3</v>
      </c>
    </row>
    <row r="268" spans="1:2">
      <c r="A268" s="5">
        <v>35430</v>
      </c>
      <c r="B268" s="6">
        <v>-5.8779114410033251E-2</v>
      </c>
    </row>
    <row r="269" spans="1:2">
      <c r="A269" s="5">
        <v>35461</v>
      </c>
      <c r="B269" s="6">
        <v>-6.6936788720138196E-2</v>
      </c>
    </row>
    <row r="270" spans="1:2">
      <c r="A270" s="5">
        <v>35489</v>
      </c>
      <c r="B270" s="6">
        <v>1.3195092096059513E-2</v>
      </c>
    </row>
    <row r="271" spans="1:2">
      <c r="A271" s="5">
        <v>35520</v>
      </c>
      <c r="B271" s="6">
        <v>-1.2462336130707019E-2</v>
      </c>
    </row>
    <row r="272" spans="1:2">
      <c r="A272" s="5">
        <v>35550</v>
      </c>
      <c r="B272" s="6">
        <v>4.9466233633834955E-2</v>
      </c>
    </row>
    <row r="273" spans="1:2">
      <c r="A273" s="5">
        <v>35580</v>
      </c>
      <c r="B273" s="6">
        <v>3.1709906396797161E-2</v>
      </c>
    </row>
    <row r="274" spans="1:2">
      <c r="A274" s="5">
        <v>35611</v>
      </c>
      <c r="B274" s="6">
        <v>4.5006691819838629E-2</v>
      </c>
    </row>
    <row r="275" spans="1:2">
      <c r="A275" s="5">
        <v>35642</v>
      </c>
      <c r="B275" s="6">
        <v>-6.2877700619766719E-3</v>
      </c>
    </row>
    <row r="276" spans="1:2">
      <c r="A276" s="5">
        <v>35671</v>
      </c>
      <c r="B276" s="6">
        <v>-7.5159969948965011E-2</v>
      </c>
    </row>
    <row r="277" spans="1:2">
      <c r="A277" s="5">
        <v>35703</v>
      </c>
      <c r="B277" s="6">
        <v>-2.7780306584780035E-2</v>
      </c>
    </row>
    <row r="278" spans="1:2">
      <c r="A278" s="5">
        <v>35734</v>
      </c>
      <c r="B278" s="6">
        <v>-8.0096807652414448E-2</v>
      </c>
    </row>
    <row r="279" spans="1:2">
      <c r="A279" s="5">
        <v>35762</v>
      </c>
      <c r="B279" s="6">
        <v>-1.9496993234778159E-2</v>
      </c>
    </row>
    <row r="280" spans="1:2">
      <c r="A280" s="5">
        <v>35795</v>
      </c>
      <c r="B280" s="6">
        <v>-6.1642522879366335E-2</v>
      </c>
    </row>
    <row r="281" spans="1:2">
      <c r="A281" s="5">
        <v>35825</v>
      </c>
      <c r="B281" s="6">
        <v>7.8704373505357417E-2</v>
      </c>
    </row>
    <row r="282" spans="1:2">
      <c r="A282" s="5">
        <v>35853</v>
      </c>
      <c r="B282" s="6">
        <v>3.8974051486773131E-3</v>
      </c>
    </row>
    <row r="283" spans="1:2">
      <c r="A283" s="5">
        <v>35885</v>
      </c>
      <c r="B283" s="6">
        <v>-1.6307124052025612E-2</v>
      </c>
    </row>
    <row r="284" spans="1:2">
      <c r="A284" s="5">
        <v>35915</v>
      </c>
      <c r="B284" s="6">
        <v>-2.2944795078692959E-2</v>
      </c>
    </row>
    <row r="285" spans="1:2">
      <c r="A285" s="5">
        <v>35944</v>
      </c>
      <c r="B285" s="6">
        <v>-1.2183355410554375E-3</v>
      </c>
    </row>
    <row r="286" spans="1:2">
      <c r="A286" s="5">
        <v>35976</v>
      </c>
      <c r="B286" s="6">
        <v>7.2779965452030027E-3</v>
      </c>
    </row>
    <row r="287" spans="1:2">
      <c r="A287" s="5">
        <v>36007</v>
      </c>
      <c r="B287" s="6">
        <v>2.5731887709488088E-2</v>
      </c>
    </row>
    <row r="288" spans="1:2">
      <c r="A288" s="5">
        <v>36038</v>
      </c>
      <c r="B288" s="6">
        <v>-0.12325282875344679</v>
      </c>
    </row>
    <row r="289" spans="1:2">
      <c r="A289" s="5">
        <v>36068</v>
      </c>
      <c r="B289" s="6">
        <v>-5.6864499453226025E-2</v>
      </c>
    </row>
    <row r="290" spans="1:2">
      <c r="A290" s="5">
        <v>36098</v>
      </c>
      <c r="B290" s="6">
        <v>-7.6372452255240031E-3</v>
      </c>
    </row>
    <row r="291" spans="1:2">
      <c r="A291" s="5">
        <v>36129</v>
      </c>
      <c r="B291" s="6">
        <v>0.10419080726149099</v>
      </c>
    </row>
    <row r="292" spans="1:2">
      <c r="A292" s="5">
        <v>36160</v>
      </c>
      <c r="B292" s="6">
        <v>-4.9418452120682077E-2</v>
      </c>
    </row>
    <row r="293" spans="1:2">
      <c r="A293" s="5">
        <v>36189</v>
      </c>
      <c r="B293" s="6">
        <v>3.5207315614679047E-2</v>
      </c>
    </row>
    <row r="294" spans="1:2">
      <c r="A294" s="5">
        <v>36217</v>
      </c>
      <c r="B294" s="6">
        <v>-4.6478147272630554E-3</v>
      </c>
    </row>
    <row r="295" spans="1:2">
      <c r="A295" s="5">
        <v>36250</v>
      </c>
      <c r="B295" s="6">
        <v>0.13141612278242554</v>
      </c>
    </row>
    <row r="296" spans="1:2">
      <c r="A296" s="5">
        <v>36280</v>
      </c>
      <c r="B296" s="6">
        <v>5.5160114265873306E-2</v>
      </c>
    </row>
    <row r="297" spans="1:2">
      <c r="A297" s="5">
        <v>36311</v>
      </c>
      <c r="B297" s="6">
        <v>-2.9862689960512001E-2</v>
      </c>
    </row>
    <row r="298" spans="1:2">
      <c r="A298" s="5">
        <v>36341</v>
      </c>
      <c r="B298" s="6">
        <v>9.1744463031629975E-2</v>
      </c>
    </row>
    <row r="299" spans="1:2">
      <c r="A299" s="5">
        <v>36371</v>
      </c>
      <c r="B299" s="6">
        <v>4.4294591159440788E-2</v>
      </c>
    </row>
    <row r="300" spans="1:2">
      <c r="A300" s="5">
        <v>36403</v>
      </c>
      <c r="B300" s="6">
        <v>-1.4814764728553809E-2</v>
      </c>
    </row>
    <row r="301" spans="1:2">
      <c r="A301" s="5">
        <v>36433</v>
      </c>
      <c r="B301" s="6">
        <v>3.418621570053948E-2</v>
      </c>
    </row>
    <row r="302" spans="1:2">
      <c r="A302" s="5">
        <v>36462</v>
      </c>
      <c r="B302" s="6">
        <v>3.7867576302569095E-2</v>
      </c>
    </row>
    <row r="303" spans="1:2">
      <c r="A303" s="5">
        <v>36494</v>
      </c>
      <c r="B303" s="6">
        <v>4.9645435420649697E-2</v>
      </c>
    </row>
    <row r="304" spans="1:2">
      <c r="A304" s="5">
        <v>36525</v>
      </c>
      <c r="B304" s="6">
        <v>4.9143177401570481E-2</v>
      </c>
    </row>
    <row r="305" spans="1:2">
      <c r="A305" s="5">
        <v>36556</v>
      </c>
      <c r="B305" s="6">
        <v>-8.2684937870166619E-3</v>
      </c>
    </row>
    <row r="306" spans="1:2">
      <c r="A306" s="5">
        <v>36585</v>
      </c>
      <c r="B306" s="6">
        <v>6.4287219841214771E-3</v>
      </c>
    </row>
    <row r="307" spans="1:2">
      <c r="A307" s="5">
        <v>36616</v>
      </c>
      <c r="B307" s="6">
        <v>-7.5628003304362146E-3</v>
      </c>
    </row>
    <row r="308" spans="1:2">
      <c r="A308" s="5">
        <v>36644</v>
      </c>
      <c r="B308" s="6">
        <v>-3.3453697081960776E-2</v>
      </c>
    </row>
    <row r="309" spans="1:2">
      <c r="A309" s="5">
        <v>36677</v>
      </c>
      <c r="B309" s="6">
        <v>-7.6434164003226446E-2</v>
      </c>
    </row>
    <row r="310" spans="1:2">
      <c r="A310" s="5">
        <v>36707</v>
      </c>
      <c r="B310" s="6">
        <v>4.5152478264295581E-2</v>
      </c>
    </row>
    <row r="311" spans="1:2">
      <c r="A311" s="5">
        <v>36738</v>
      </c>
      <c r="B311" s="6">
        <v>-8.6987936667504262E-2</v>
      </c>
    </row>
    <row r="312" spans="1:2">
      <c r="A312" s="5">
        <v>36769</v>
      </c>
      <c r="B312" s="6">
        <v>4.0112858273406049E-2</v>
      </c>
    </row>
    <row r="313" spans="1:2">
      <c r="A313" s="5">
        <v>36798</v>
      </c>
      <c r="B313" s="6">
        <v>-2.6901497909278649E-2</v>
      </c>
    </row>
    <row r="314" spans="1:2">
      <c r="A314" s="5">
        <v>36830</v>
      </c>
      <c r="B314" s="6">
        <v>-6.1749547858959142E-2</v>
      </c>
    </row>
    <row r="315" spans="1:2">
      <c r="A315" s="5">
        <v>36860</v>
      </c>
      <c r="B315" s="6">
        <v>-1.2536595263630823E-2</v>
      </c>
    </row>
    <row r="316" spans="1:2">
      <c r="A316" s="5">
        <v>36889</v>
      </c>
      <c r="B316" s="6">
        <v>-5.7967504733389075E-2</v>
      </c>
    </row>
    <row r="317" spans="1:2">
      <c r="A317" s="5">
        <v>36922</v>
      </c>
      <c r="B317" s="6">
        <v>1.2900511813783933E-2</v>
      </c>
    </row>
    <row r="318" spans="1:2">
      <c r="A318" s="5">
        <v>36950</v>
      </c>
      <c r="B318" s="6">
        <v>-4.5184313544526788E-2</v>
      </c>
    </row>
    <row r="319" spans="1:2">
      <c r="A319" s="5">
        <v>36980</v>
      </c>
      <c r="B319" s="6">
        <v>2.88284950220703E-2</v>
      </c>
    </row>
    <row r="320" spans="1:2">
      <c r="A320" s="5">
        <v>37011</v>
      </c>
      <c r="B320" s="6">
        <v>6.9828618851143442E-2</v>
      </c>
    </row>
    <row r="321" spans="1:2">
      <c r="A321" s="5">
        <v>37042</v>
      </c>
      <c r="B321" s="6">
        <v>-4.0725670711180828E-2</v>
      </c>
    </row>
    <row r="322" spans="1:2">
      <c r="A322" s="5">
        <v>37071</v>
      </c>
      <c r="B322" s="6">
        <v>-7.4991798963999212E-3</v>
      </c>
    </row>
    <row r="323" spans="1:2">
      <c r="A323" s="5">
        <v>37103</v>
      </c>
      <c r="B323" s="6">
        <v>-8.5066642069824394E-2</v>
      </c>
    </row>
    <row r="324" spans="1:2">
      <c r="A324" s="5">
        <v>37134</v>
      </c>
      <c r="B324" s="6">
        <v>-7.2787761171459464E-2</v>
      </c>
    </row>
    <row r="325" spans="1:2">
      <c r="A325" s="5">
        <v>37162</v>
      </c>
      <c r="B325" s="6">
        <v>-7.2711951942156738E-2</v>
      </c>
    </row>
    <row r="326" spans="1:2">
      <c r="A326" s="5">
        <v>37195</v>
      </c>
      <c r="B326" s="6">
        <v>3.5127318207578417E-2</v>
      </c>
    </row>
    <row r="327" spans="1:2">
      <c r="A327" s="5">
        <v>37225</v>
      </c>
      <c r="B327" s="6">
        <v>-8.6372089071805602E-3</v>
      </c>
    </row>
    <row r="328" spans="1:2">
      <c r="A328" s="5">
        <v>37256</v>
      </c>
      <c r="B328" s="6">
        <v>-1.7215440574355756E-2</v>
      </c>
    </row>
    <row r="329" spans="1:2">
      <c r="A329" s="5">
        <v>37287</v>
      </c>
      <c r="B329" s="6">
        <v>-5.8490127308311046E-2</v>
      </c>
    </row>
    <row r="330" spans="1:2">
      <c r="A330" s="5">
        <v>37315</v>
      </c>
      <c r="B330" s="6">
        <v>4.3250975024954341E-2</v>
      </c>
    </row>
    <row r="331" spans="1:2">
      <c r="A331" s="5">
        <v>37344</v>
      </c>
      <c r="B331" s="6">
        <v>4.57585322548828E-2</v>
      </c>
    </row>
    <row r="332" spans="1:2">
      <c r="A332" s="5">
        <v>37376</v>
      </c>
      <c r="B332" s="6">
        <v>2.0628377932257358E-2</v>
      </c>
    </row>
    <row r="333" spans="1:2">
      <c r="A333" s="5">
        <v>37407</v>
      </c>
      <c r="B333" s="6">
        <v>3.5136683732879925E-2</v>
      </c>
    </row>
    <row r="334" spans="1:2">
      <c r="A334" s="5">
        <v>37435</v>
      </c>
      <c r="B334" s="6">
        <v>-8.4985001071351873E-2</v>
      </c>
    </row>
    <row r="335" spans="1:2">
      <c r="A335" s="5">
        <v>37468</v>
      </c>
      <c r="B335" s="6">
        <v>-5.8435539423743132E-2</v>
      </c>
    </row>
    <row r="336" spans="1:2">
      <c r="A336" s="5">
        <v>37498</v>
      </c>
      <c r="B336" s="6">
        <v>-2.4207253886010416E-2</v>
      </c>
    </row>
    <row r="337" spans="1:2">
      <c r="A337" s="5">
        <v>37529</v>
      </c>
      <c r="B337" s="6">
        <v>-2.1866105942823233E-2</v>
      </c>
    </row>
    <row r="338" spans="1:2">
      <c r="A338" s="5">
        <v>37560</v>
      </c>
      <c r="B338" s="6">
        <v>-6.3851039574398749E-2</v>
      </c>
    </row>
    <row r="339" spans="1:2">
      <c r="A339" s="5">
        <v>37589</v>
      </c>
      <c r="B339" s="6">
        <v>3.5338188903321521E-2</v>
      </c>
    </row>
    <row r="340" spans="1:2">
      <c r="A340" s="5">
        <v>37621</v>
      </c>
      <c r="B340" s="6">
        <v>-5.5359523249431608E-2</v>
      </c>
    </row>
    <row r="341" spans="1:2">
      <c r="A341" s="5">
        <v>37652</v>
      </c>
      <c r="B341" s="6">
        <v>-2.6218738512255535E-2</v>
      </c>
    </row>
    <row r="342" spans="1:2">
      <c r="A342" s="5">
        <v>37680</v>
      </c>
      <c r="B342" s="6">
        <v>-2.9835115321853456E-3</v>
      </c>
    </row>
    <row r="343" spans="1:2">
      <c r="A343" s="5">
        <v>37711</v>
      </c>
      <c r="B343" s="6">
        <v>-3.753374128222986E-2</v>
      </c>
    </row>
    <row r="344" spans="1:2">
      <c r="A344" s="5">
        <v>37741</v>
      </c>
      <c r="B344" s="6">
        <v>1.0862944162436383E-2</v>
      </c>
    </row>
    <row r="345" spans="1:2">
      <c r="A345" s="5">
        <v>37771</v>
      </c>
      <c r="B345" s="6">
        <v>5.1647082454554738E-2</v>
      </c>
    </row>
    <row r="346" spans="1:2">
      <c r="A346" s="5">
        <v>37802</v>
      </c>
      <c r="B346" s="6">
        <v>7.847678166408012E-2</v>
      </c>
    </row>
    <row r="347" spans="1:2">
      <c r="A347" s="5">
        <v>37833</v>
      </c>
      <c r="B347" s="6">
        <v>3.9803418046577388E-2</v>
      </c>
    </row>
    <row r="348" spans="1:2">
      <c r="A348" s="5">
        <v>37862</v>
      </c>
      <c r="B348" s="6">
        <v>6.6648924845646107E-2</v>
      </c>
    </row>
    <row r="349" spans="1:2">
      <c r="A349" s="5">
        <v>37894</v>
      </c>
      <c r="B349" s="6">
        <v>1.6756319797207597E-2</v>
      </c>
    </row>
    <row r="350" spans="1:2">
      <c r="A350" s="5">
        <v>37925</v>
      </c>
      <c r="B350" s="6">
        <v>2.4106792304672053E-2</v>
      </c>
    </row>
    <row r="351" spans="1:2">
      <c r="A351" s="5">
        <v>37953</v>
      </c>
      <c r="B351" s="6">
        <v>-4.1797653734089724E-2</v>
      </c>
    </row>
    <row r="352" spans="1:2">
      <c r="A352" s="5">
        <v>37986</v>
      </c>
      <c r="B352" s="6">
        <v>4.3950987746936843E-2</v>
      </c>
    </row>
    <row r="353" spans="1:2">
      <c r="A353" s="5">
        <v>38016</v>
      </c>
      <c r="B353" s="6">
        <v>3.6600906399408828E-3</v>
      </c>
    </row>
    <row r="354" spans="1:2">
      <c r="A354" s="5">
        <v>38044</v>
      </c>
      <c r="B354" s="6">
        <v>3.337438306078222E-2</v>
      </c>
    </row>
    <row r="355" spans="1:2">
      <c r="A355" s="5">
        <v>38077</v>
      </c>
      <c r="B355" s="6">
        <v>8.9388158563285858E-2</v>
      </c>
    </row>
    <row r="356" spans="1:2">
      <c r="A356" s="5">
        <v>38107</v>
      </c>
      <c r="B356" s="6">
        <v>6.0039178107746949E-3</v>
      </c>
    </row>
    <row r="357" spans="1:2">
      <c r="A357" s="5">
        <v>38138</v>
      </c>
      <c r="B357" s="6">
        <v>-3.9087590933229888E-2</v>
      </c>
    </row>
    <row r="358" spans="1:2">
      <c r="A358" s="5">
        <v>38168</v>
      </c>
      <c r="B358" s="6">
        <v>4.3563696334894653E-2</v>
      </c>
    </row>
    <row r="359" spans="1:2">
      <c r="A359" s="5">
        <v>38198</v>
      </c>
      <c r="B359" s="6">
        <v>-4.2283120376597094E-2</v>
      </c>
    </row>
    <row r="360" spans="1:2">
      <c r="A360" s="5">
        <v>38230</v>
      </c>
      <c r="B360" s="6">
        <v>-8.5578864214869155E-3</v>
      </c>
    </row>
    <row r="361" spans="1:2">
      <c r="A361" s="5">
        <v>38260</v>
      </c>
      <c r="B361" s="6">
        <v>-2.4292859988491067E-2</v>
      </c>
    </row>
    <row r="362" spans="1:2">
      <c r="A362" s="5">
        <v>38289</v>
      </c>
      <c r="B362" s="6">
        <v>-1.5134605438658411E-2</v>
      </c>
    </row>
    <row r="363" spans="1:2">
      <c r="A363" s="5">
        <v>38321</v>
      </c>
      <c r="B363" s="6">
        <v>1.2308486037791333E-2</v>
      </c>
    </row>
    <row r="364" spans="1:2">
      <c r="A364" s="5">
        <v>38352</v>
      </c>
      <c r="B364" s="6">
        <v>4.626907780376599E-2</v>
      </c>
    </row>
    <row r="365" spans="1:2">
      <c r="A365" s="5">
        <v>38383</v>
      </c>
      <c r="B365" s="6">
        <v>-3.0357593312630993E-3</v>
      </c>
    </row>
    <row r="366" spans="1:2">
      <c r="A366" s="5">
        <v>38411</v>
      </c>
      <c r="B366" s="6">
        <v>2.7282879927408521E-2</v>
      </c>
    </row>
    <row r="367" spans="1:2">
      <c r="A367" s="5">
        <v>38442</v>
      </c>
      <c r="B367" s="6">
        <v>4.051265064845655E-3</v>
      </c>
    </row>
    <row r="368" spans="1:2">
      <c r="A368" s="5">
        <v>38471</v>
      </c>
      <c r="B368" s="6">
        <v>-4.4198007071681089E-2</v>
      </c>
    </row>
    <row r="369" spans="1:2">
      <c r="A369" s="5">
        <v>38503</v>
      </c>
      <c r="B369" s="6">
        <v>1.2744152292619715E-2</v>
      </c>
    </row>
    <row r="370" spans="1:2">
      <c r="A370" s="5">
        <v>38533</v>
      </c>
      <c r="B370" s="6">
        <v>2.8724231646465759E-2</v>
      </c>
    </row>
    <row r="371" spans="1:2">
      <c r="A371" s="5">
        <v>38562</v>
      </c>
      <c r="B371" s="6">
        <v>2.3598369011212927E-2</v>
      </c>
    </row>
    <row r="372" spans="1:2">
      <c r="A372" s="5">
        <v>38595</v>
      </c>
      <c r="B372" s="6">
        <v>5.5029959003468853E-2</v>
      </c>
    </row>
    <row r="373" spans="1:2">
      <c r="A373" s="5">
        <v>38625</v>
      </c>
      <c r="B373" s="6">
        <v>0.11090309842758139</v>
      </c>
    </row>
    <row r="374" spans="1:2">
      <c r="A374" s="5">
        <v>38656</v>
      </c>
      <c r="B374" s="6">
        <v>2.2977030050698177E-2</v>
      </c>
    </row>
    <row r="375" spans="1:2">
      <c r="A375" s="5">
        <v>38686</v>
      </c>
      <c r="B375" s="6">
        <v>6.331978985692821E-2</v>
      </c>
    </row>
    <row r="376" spans="1:2">
      <c r="A376" s="5">
        <v>38716</v>
      </c>
      <c r="B376" s="6">
        <v>7.3915675591227803E-2</v>
      </c>
    </row>
    <row r="377" spans="1:2">
      <c r="A377" s="5">
        <v>38748</v>
      </c>
      <c r="B377" s="6">
        <v>3.6981136650179325E-2</v>
      </c>
    </row>
    <row r="378" spans="1:2">
      <c r="A378" s="5">
        <v>38776</v>
      </c>
      <c r="B378" s="6">
        <v>-2.9431191802521628E-2</v>
      </c>
    </row>
    <row r="379" spans="1:2">
      <c r="A379" s="5">
        <v>38807</v>
      </c>
      <c r="B379" s="6">
        <v>4.0796906806711553E-2</v>
      </c>
    </row>
    <row r="380" spans="1:2">
      <c r="A380" s="5">
        <v>38837</v>
      </c>
      <c r="B380" s="6">
        <v>-6.7875659661142951E-3</v>
      </c>
    </row>
    <row r="381" spans="1:2">
      <c r="A381" s="5">
        <v>38868</v>
      </c>
      <c r="B381" s="6">
        <v>-7.9519700774281499E-2</v>
      </c>
    </row>
    <row r="382" spans="1:2">
      <c r="A382" s="5">
        <v>38898</v>
      </c>
      <c r="B382" s="6">
        <v>4.4432067040520717E-3</v>
      </c>
    </row>
    <row r="383" spans="1:2">
      <c r="A383" s="5">
        <v>38929</v>
      </c>
      <c r="B383" s="6">
        <v>-9.4205272974744458E-3</v>
      </c>
    </row>
    <row r="384" spans="1:2">
      <c r="A384" s="5">
        <v>38960</v>
      </c>
      <c r="B384" s="6">
        <v>3.9726210393063788E-2</v>
      </c>
    </row>
    <row r="385" spans="1:2">
      <c r="A385" s="5">
        <v>38990</v>
      </c>
      <c r="B385" s="6">
        <v>-1.4518556587496789E-2</v>
      </c>
    </row>
    <row r="386" spans="1:2">
      <c r="A386" s="5">
        <v>39021</v>
      </c>
      <c r="B386" s="6">
        <v>4.1533962861559637E-3</v>
      </c>
    </row>
    <row r="387" spans="1:2">
      <c r="A387" s="5">
        <v>39051</v>
      </c>
      <c r="B387" s="6">
        <v>-8.8968851627901913E-3</v>
      </c>
    </row>
    <row r="388" spans="1:2">
      <c r="A388" s="5">
        <v>39082</v>
      </c>
      <c r="B388" s="6">
        <v>4.8682806934368106E-2</v>
      </c>
    </row>
    <row r="389" spans="1:2">
      <c r="A389" s="5">
        <v>39113</v>
      </c>
      <c r="B389" s="6">
        <v>2.4323793774203351E-2</v>
      </c>
    </row>
    <row r="390" spans="1:2">
      <c r="A390" s="5">
        <v>39141</v>
      </c>
      <c r="B390" s="6">
        <v>1.7874979674324498E-2</v>
      </c>
    </row>
    <row r="391" spans="1:2">
      <c r="A391" s="5">
        <v>39172</v>
      </c>
      <c r="B391" s="6">
        <v>-2.2325045357554529E-2</v>
      </c>
    </row>
    <row r="392" spans="1:2">
      <c r="A392" s="5">
        <v>39202</v>
      </c>
      <c r="B392" s="6">
        <v>-7.3587339009458796E-3</v>
      </c>
    </row>
    <row r="393" spans="1:2">
      <c r="A393" s="5">
        <v>39233</v>
      </c>
      <c r="B393" s="6">
        <v>3.2145796590240971E-2</v>
      </c>
    </row>
    <row r="394" spans="1:2">
      <c r="A394" s="5">
        <v>39263</v>
      </c>
      <c r="B394" s="6">
        <v>1.093593365533585E-2</v>
      </c>
    </row>
    <row r="395" spans="1:2">
      <c r="A395" s="5">
        <v>39294</v>
      </c>
      <c r="B395" s="6">
        <v>-3.870684215270892E-2</v>
      </c>
    </row>
    <row r="396" spans="1:2">
      <c r="A396" s="5">
        <v>39325</v>
      </c>
      <c r="B396" s="6">
        <v>-5.7397226552884262E-2</v>
      </c>
    </row>
    <row r="397" spans="1:2">
      <c r="A397" s="5">
        <v>39355</v>
      </c>
      <c r="B397" s="6">
        <v>5.2044147365146731E-3</v>
      </c>
    </row>
    <row r="398" spans="1:2">
      <c r="A398" s="5">
        <v>39386</v>
      </c>
      <c r="B398" s="6">
        <v>2.1340822209301447E-3</v>
      </c>
    </row>
    <row r="399" spans="1:2">
      <c r="A399" s="5">
        <v>39416</v>
      </c>
      <c r="B399" s="6">
        <v>-5.4435919435579794E-2</v>
      </c>
    </row>
    <row r="400" spans="1:2">
      <c r="A400" s="5">
        <v>39447</v>
      </c>
      <c r="B400" s="6">
        <v>-3.6686946758231698E-2</v>
      </c>
    </row>
    <row r="401" spans="1:2">
      <c r="A401" s="5">
        <v>39478</v>
      </c>
      <c r="B401" s="6">
        <v>-8.7668058115580649E-2</v>
      </c>
    </row>
    <row r="402" spans="1:2">
      <c r="A402" s="5">
        <v>39507</v>
      </c>
      <c r="B402" s="6">
        <v>-1.6363244720755232E-2</v>
      </c>
    </row>
    <row r="403" spans="1:2">
      <c r="A403" s="5">
        <v>39538</v>
      </c>
      <c r="B403" s="6">
        <v>-8.40607726462681E-2</v>
      </c>
    </row>
    <row r="404" spans="1:2">
      <c r="A404" s="5">
        <v>39568</v>
      </c>
      <c r="B404" s="6">
        <v>0.12011113309589772</v>
      </c>
    </row>
    <row r="405" spans="1:2">
      <c r="A405" s="5">
        <v>39599</v>
      </c>
      <c r="B405" s="6">
        <v>3.6425863909027356E-2</v>
      </c>
    </row>
    <row r="406" spans="1:2">
      <c r="A406" s="5">
        <v>39629</v>
      </c>
      <c r="B406" s="6">
        <v>-6.2522192395642606E-2</v>
      </c>
    </row>
    <row r="407" spans="1:2">
      <c r="A407" s="5">
        <v>39660</v>
      </c>
      <c r="B407" s="6">
        <v>-1.2483902734641283E-2</v>
      </c>
    </row>
    <row r="408" spans="1:2">
      <c r="A408" s="5">
        <v>39691</v>
      </c>
      <c r="B408" s="6">
        <v>-3.7518602046608618E-2</v>
      </c>
    </row>
    <row r="409" spans="1:2">
      <c r="A409" s="5">
        <v>39721</v>
      </c>
      <c r="B409" s="6">
        <v>-0.13333758398354989</v>
      </c>
    </row>
    <row r="410" spans="1:2">
      <c r="A410" s="5">
        <v>39752</v>
      </c>
      <c r="B410" s="6">
        <v>-0.20258228267166944</v>
      </c>
    </row>
    <row r="411" spans="1:2">
      <c r="A411" s="5">
        <v>39782</v>
      </c>
      <c r="B411" s="6">
        <v>-3.724974628655775E-2</v>
      </c>
    </row>
    <row r="412" spans="1:2">
      <c r="A412" s="5">
        <v>39813</v>
      </c>
      <c r="B412" s="6">
        <v>2.9251814762463635E-2</v>
      </c>
    </row>
    <row r="413" spans="1:2">
      <c r="A413" s="5">
        <v>39844</v>
      </c>
      <c r="B413" s="6">
        <v>-7.5892649318001992E-2</v>
      </c>
    </row>
    <row r="414" spans="1:2">
      <c r="A414" s="5">
        <v>39872</v>
      </c>
      <c r="B414" s="6">
        <v>-4.7000743044973037E-2</v>
      </c>
    </row>
    <row r="415" spans="1:2">
      <c r="A415" s="5">
        <v>39903</v>
      </c>
      <c r="B415" s="6">
        <v>2.2399598260892439E-2</v>
      </c>
    </row>
    <row r="416" spans="1:2">
      <c r="A416" s="5">
        <v>39933</v>
      </c>
      <c r="B416" s="6">
        <v>8.2891709536488944E-2</v>
      </c>
    </row>
    <row r="417" spans="1:2">
      <c r="A417" s="5">
        <v>39964</v>
      </c>
      <c r="B417" s="6">
        <v>7.1760226309695696E-2</v>
      </c>
    </row>
    <row r="418" spans="1:2">
      <c r="A418" s="5">
        <v>39994</v>
      </c>
      <c r="B418" s="6">
        <v>3.5471261039525137E-2</v>
      </c>
    </row>
    <row r="419" spans="1:2">
      <c r="A419" s="5">
        <v>40025</v>
      </c>
      <c r="B419" s="6">
        <v>2.2048700739975891E-2</v>
      </c>
    </row>
    <row r="420" spans="1:2">
      <c r="A420" s="5">
        <v>40056</v>
      </c>
      <c r="B420" s="6">
        <v>1.6279755014417141E-2</v>
      </c>
    </row>
    <row r="421" spans="1:2">
      <c r="A421" s="5">
        <v>40086</v>
      </c>
      <c r="B421" s="6">
        <v>-5.787331862943057E-2</v>
      </c>
    </row>
    <row r="422" spans="1:2">
      <c r="A422" s="5">
        <v>40117</v>
      </c>
      <c r="B422" s="6">
        <v>-1.6673261232744263E-2</v>
      </c>
    </row>
    <row r="423" spans="1:2">
      <c r="A423" s="5">
        <v>40147</v>
      </c>
      <c r="B423" s="6">
        <v>-6.1173393541752774E-2</v>
      </c>
    </row>
    <row r="424" spans="1:2">
      <c r="A424" s="5">
        <v>40178</v>
      </c>
      <c r="B424" s="6">
        <v>8.0541467247660536E-2</v>
      </c>
    </row>
    <row r="425" spans="1:2">
      <c r="A425" s="5">
        <v>40209</v>
      </c>
      <c r="B425" s="6">
        <v>-7.1287695986073096E-3</v>
      </c>
    </row>
    <row r="426" spans="1:2">
      <c r="A426" s="5">
        <v>40237</v>
      </c>
      <c r="B426" s="6">
        <v>-7.7903053977272929E-3</v>
      </c>
    </row>
    <row r="427" spans="1:2">
      <c r="A427" s="5">
        <v>40268</v>
      </c>
      <c r="B427" s="6">
        <v>9.4743317302315111E-2</v>
      </c>
    </row>
    <row r="428" spans="1:2">
      <c r="A428" s="5">
        <v>40298</v>
      </c>
      <c r="B428" s="6">
        <v>8.4081691032988903E-3</v>
      </c>
    </row>
    <row r="429" spans="1:2">
      <c r="A429" s="5">
        <v>40329</v>
      </c>
      <c r="B429" s="6">
        <v>-0.10797941319500726</v>
      </c>
    </row>
    <row r="430" spans="1:2">
      <c r="A430" s="5">
        <v>40359</v>
      </c>
      <c r="B430" s="6">
        <v>-4.4340458396747273E-2</v>
      </c>
    </row>
    <row r="431" spans="1:2">
      <c r="A431" s="5">
        <v>40390</v>
      </c>
      <c r="B431" s="6">
        <v>9.6028142901285474E-3</v>
      </c>
    </row>
    <row r="432" spans="1:2">
      <c r="A432" s="5">
        <v>40421</v>
      </c>
      <c r="B432" s="6">
        <v>-5.2772218952324979E-2</v>
      </c>
    </row>
    <row r="433" spans="1:2">
      <c r="A433" s="5">
        <v>40451</v>
      </c>
      <c r="B433" s="6">
        <v>3.0869797556762446E-2</v>
      </c>
    </row>
    <row r="434" spans="1:2">
      <c r="A434" s="5">
        <v>40482</v>
      </c>
      <c r="B434" s="6">
        <v>-2.2422876155802851E-2</v>
      </c>
    </row>
    <row r="435" spans="1:2">
      <c r="A435" s="5">
        <v>40512</v>
      </c>
      <c r="B435" s="6">
        <v>6.1696119174754482E-2</v>
      </c>
    </row>
    <row r="436" spans="1:2">
      <c r="A436" s="5">
        <v>40543</v>
      </c>
      <c r="B436" s="6">
        <v>4.3975189908704415E-2</v>
      </c>
    </row>
    <row r="437" spans="1:2">
      <c r="A437" s="5">
        <v>40574</v>
      </c>
      <c r="B437" s="6">
        <v>1.2550066755674383E-2</v>
      </c>
    </row>
    <row r="438" spans="1:2">
      <c r="A438" s="5">
        <v>40602</v>
      </c>
      <c r="B438" s="6">
        <v>4.5259757383966148E-2</v>
      </c>
    </row>
    <row r="439" spans="1:2">
      <c r="A439" s="5">
        <v>40633</v>
      </c>
      <c r="B439" s="6">
        <v>-8.6084918056913429E-2</v>
      </c>
    </row>
    <row r="440" spans="1:2">
      <c r="A440" s="5">
        <v>40663</v>
      </c>
      <c r="B440" s="6">
        <v>-2.0163794888311215E-2</v>
      </c>
    </row>
    <row r="441" spans="1:2">
      <c r="A441" s="5">
        <v>40694</v>
      </c>
      <c r="B441" s="6">
        <v>-1.5695251511416375E-2</v>
      </c>
    </row>
    <row r="442" spans="1:2">
      <c r="A442" s="5">
        <v>40724</v>
      </c>
      <c r="B442" s="6">
        <v>1.2808892281270801E-2</v>
      </c>
    </row>
    <row r="443" spans="1:2">
      <c r="A443" s="5">
        <v>40755</v>
      </c>
      <c r="B443" s="6">
        <v>-9.2437766420950807E-3</v>
      </c>
    </row>
    <row r="444" spans="1:2">
      <c r="A444" s="5">
        <v>40786</v>
      </c>
      <c r="B444" s="6">
        <v>-8.4112816002472113E-2</v>
      </c>
    </row>
    <row r="445" spans="1:2">
      <c r="A445" s="5">
        <v>40816</v>
      </c>
      <c r="B445" s="6">
        <v>-1.2237217752400831E-2</v>
      </c>
    </row>
    <row r="446" spans="1:2">
      <c r="A446" s="5">
        <v>40847</v>
      </c>
      <c r="B446" s="6">
        <v>3.796786526006013E-3</v>
      </c>
    </row>
    <row r="447" spans="1:2">
      <c r="A447" s="5">
        <v>40877</v>
      </c>
      <c r="B447" s="6">
        <v>-4.6593199486951176E-2</v>
      </c>
    </row>
    <row r="448" spans="1:2">
      <c r="A448" s="5">
        <v>40908</v>
      </c>
      <c r="B448" s="6">
        <v>2.0591384564694337E-4</v>
      </c>
    </row>
    <row r="449" spans="1:2">
      <c r="A449" s="5">
        <v>40939</v>
      </c>
      <c r="B449" s="6">
        <v>3.6590219733465101E-2</v>
      </c>
    </row>
    <row r="450" spans="1:2">
      <c r="A450" s="5">
        <v>40968</v>
      </c>
      <c r="B450" s="6">
        <v>0.10683596594595324</v>
      </c>
    </row>
    <row r="451" spans="1:2">
      <c r="A451" s="5">
        <v>40999</v>
      </c>
      <c r="B451" s="6">
        <v>2.199866022297714E-2</v>
      </c>
    </row>
    <row r="452" spans="1:2">
      <c r="A452" s="5">
        <v>41029</v>
      </c>
      <c r="B452" s="6">
        <v>-5.8617662550477068E-2</v>
      </c>
    </row>
    <row r="453" spans="1:2">
      <c r="A453" s="5">
        <v>41060</v>
      </c>
      <c r="B453" s="6">
        <v>-0.10541236152038491</v>
      </c>
    </row>
    <row r="454" spans="1:2">
      <c r="A454" s="5">
        <v>41090</v>
      </c>
      <c r="B454" s="6">
        <v>7.0313694422438067E-2</v>
      </c>
    </row>
    <row r="455" spans="1:2">
      <c r="A455" s="5">
        <v>41121</v>
      </c>
      <c r="B455" s="6">
        <v>-4.3852586744234534E-2</v>
      </c>
    </row>
    <row r="456" spans="1:2">
      <c r="A456" s="5">
        <v>41152</v>
      </c>
      <c r="B456" s="6">
        <v>-6.3424372886419222E-3</v>
      </c>
    </row>
    <row r="457" spans="1:2">
      <c r="A457" s="5">
        <v>41182</v>
      </c>
      <c r="B457" s="6">
        <v>7.9000601388661273E-3</v>
      </c>
    </row>
    <row r="458" spans="1:2">
      <c r="A458" s="5">
        <v>41213</v>
      </c>
      <c r="B458" s="6">
        <v>6.6583493802718774E-3</v>
      </c>
    </row>
    <row r="459" spans="1:2">
      <c r="A459" s="5">
        <v>41243</v>
      </c>
      <c r="B459" s="6">
        <v>5.2712405533926976E-2</v>
      </c>
    </row>
    <row r="460" spans="1:2">
      <c r="A460" s="5">
        <v>41274</v>
      </c>
      <c r="B460" s="6">
        <v>0.10024825326952103</v>
      </c>
    </row>
    <row r="461" spans="1:2">
      <c r="A461" s="5">
        <v>41305</v>
      </c>
      <c r="B461" s="6">
        <v>9.3568271691091054E-2</v>
      </c>
    </row>
    <row r="462" spans="1:2">
      <c r="A462" s="5">
        <v>41333</v>
      </c>
      <c r="B462" s="6">
        <v>3.7660196756181819E-2</v>
      </c>
    </row>
    <row r="463" spans="1:2">
      <c r="A463" s="5">
        <v>41364</v>
      </c>
      <c r="B463" s="6">
        <v>6.0523133058647538E-2</v>
      </c>
    </row>
    <row r="464" spans="1:2">
      <c r="A464" s="5">
        <v>41394</v>
      </c>
      <c r="B464" s="6">
        <v>0.1260449787863267</v>
      </c>
    </row>
    <row r="465" spans="1:2">
      <c r="A465" s="5">
        <v>41425</v>
      </c>
      <c r="B465" s="6">
        <v>-2.5190322109979291E-2</v>
      </c>
    </row>
    <row r="466" spans="1:2">
      <c r="A466" s="5">
        <v>41455</v>
      </c>
      <c r="B466" s="6">
        <v>-1.7080772684850976E-3</v>
      </c>
    </row>
    <row r="467" spans="1:2">
      <c r="A467" s="5">
        <v>41486</v>
      </c>
      <c r="B467" s="6">
        <v>-1.8873915190854573E-3</v>
      </c>
    </row>
    <row r="468" spans="1:2">
      <c r="A468" s="5">
        <v>41517</v>
      </c>
      <c r="B468" s="6">
        <v>-2.2665017230714901E-2</v>
      </c>
    </row>
    <row r="469" spans="1:2">
      <c r="A469" s="5">
        <v>41547</v>
      </c>
      <c r="B469" s="6">
        <v>7.9607612675737904E-2</v>
      </c>
    </row>
    <row r="470" spans="1:2">
      <c r="A470" s="5">
        <v>41578</v>
      </c>
      <c r="B470" s="6">
        <v>1.3399212796261217E-4</v>
      </c>
    </row>
    <row r="471" spans="1:2">
      <c r="A471" s="5">
        <v>41608</v>
      </c>
      <c r="B471" s="6">
        <v>5.3924606032187405E-2</v>
      </c>
    </row>
    <row r="472" spans="1:2">
      <c r="A472" s="5">
        <v>41639</v>
      </c>
      <c r="B472" s="6">
        <v>3.4663848855131629E-2</v>
      </c>
    </row>
    <row r="473" spans="1:2">
      <c r="A473" s="5">
        <v>41670</v>
      </c>
      <c r="B473" s="6">
        <v>-6.2697248692687446E-2</v>
      </c>
    </row>
    <row r="474" spans="1:2">
      <c r="A474" s="5">
        <v>41698</v>
      </c>
      <c r="B474" s="6">
        <v>-7.3567964346572534E-3</v>
      </c>
    </row>
    <row r="475" spans="1:2">
      <c r="A475" s="5">
        <v>41729</v>
      </c>
      <c r="B475" s="6">
        <v>-7.238004060544978E-3</v>
      </c>
    </row>
    <row r="476" spans="1:2">
      <c r="A476" s="5">
        <v>41759</v>
      </c>
      <c r="B476" s="6">
        <v>-3.3627347471506197E-2</v>
      </c>
    </row>
    <row r="477" spans="1:2">
      <c r="A477" s="5">
        <v>41790</v>
      </c>
      <c r="B477" s="6">
        <v>3.3524310932177226E-2</v>
      </c>
    </row>
    <row r="478" spans="1:2">
      <c r="A478" s="5">
        <v>41820</v>
      </c>
      <c r="B478" s="6">
        <v>5.089852756344615E-2</v>
      </c>
    </row>
    <row r="479" spans="1:2">
      <c r="A479" s="5">
        <v>41851</v>
      </c>
      <c r="B479" s="6">
        <v>2.1274236471930053E-2</v>
      </c>
    </row>
    <row r="480" spans="1:2">
      <c r="A480" s="5">
        <v>41882</v>
      </c>
      <c r="B480" s="6">
        <v>-8.8799615330924508E-3</v>
      </c>
    </row>
    <row r="481" spans="1:2">
      <c r="A481" s="5">
        <v>41912</v>
      </c>
      <c r="B481" s="6">
        <v>3.7809964240162142E-2</v>
      </c>
    </row>
    <row r="482" spans="1:2">
      <c r="A482" s="5">
        <v>41943</v>
      </c>
      <c r="B482" s="6">
        <v>5.5417744233916544E-3</v>
      </c>
    </row>
    <row r="483" spans="1:2">
      <c r="A483" s="5">
        <v>41973</v>
      </c>
      <c r="B483" s="6">
        <v>5.7511772292372587E-2</v>
      </c>
    </row>
    <row r="484" spans="1:2">
      <c r="A484" s="5">
        <v>42004</v>
      </c>
      <c r="B484" s="6">
        <v>-2.0066083355786413E-3</v>
      </c>
    </row>
    <row r="485" spans="1:2">
      <c r="A485" s="5">
        <v>42035</v>
      </c>
      <c r="B485" s="6">
        <v>5.3711874160751183E-3</v>
      </c>
    </row>
    <row r="486" spans="1:2">
      <c r="A486" s="5">
        <v>42063</v>
      </c>
      <c r="B486" s="6">
        <v>7.6872522207382055E-2</v>
      </c>
    </row>
    <row r="487" spans="1:2">
      <c r="A487" s="5">
        <v>42094</v>
      </c>
      <c r="B487" s="6">
        <v>1.2639039275519348E-2</v>
      </c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4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9"/>
  <sheetViews>
    <sheetView showGridLines="0" zoomScaleNormal="100" workbookViewId="0" xr3:uid="{78B4E459-6924-5F8B-B7BA-2DD04133E49E}"/>
  </sheetViews>
  <sheetFormatPr defaultColWidth="9" defaultRowHeight="15"/>
  <cols>
    <col min="1" max="3" width="8.625" style="7" customWidth="1"/>
    <col min="4" max="16384" width="9" style="1"/>
  </cols>
  <sheetData>
    <row r="1" spans="1:3" ht="30">
      <c r="A1" s="4" t="s">
        <v>15</v>
      </c>
      <c r="B1" s="4" t="s">
        <v>16</v>
      </c>
    </row>
    <row r="2" spans="1:3">
      <c r="A2" s="7">
        <v>0.25</v>
      </c>
      <c r="B2" s="7">
        <v>0.3</v>
      </c>
    </row>
    <row r="3" spans="1:3" ht="5.0999999999999996" customHeight="1"/>
    <row r="4" spans="1:3" ht="45">
      <c r="A4" s="17" t="s">
        <v>17</v>
      </c>
      <c r="B4" s="4" t="s">
        <v>18</v>
      </c>
      <c r="C4" s="4" t="s">
        <v>19</v>
      </c>
    </row>
    <row r="5" spans="1:3">
      <c r="A5" s="16">
        <v>-0.35</v>
      </c>
      <c r="B5" s="33"/>
      <c r="C5" s="33"/>
    </row>
    <row r="6" spans="1:3">
      <c r="A6" s="16">
        <v>-0.3</v>
      </c>
      <c r="B6" s="33"/>
      <c r="C6" s="33"/>
    </row>
    <row r="7" spans="1:3">
      <c r="A7" s="16">
        <v>-0.25</v>
      </c>
      <c r="B7" s="33"/>
      <c r="C7" s="33"/>
    </row>
    <row r="8" spans="1:3">
      <c r="A8" s="16">
        <v>-0.2</v>
      </c>
      <c r="B8" s="33"/>
      <c r="C8" s="33"/>
    </row>
    <row r="9" spans="1:3">
      <c r="A9" s="16">
        <v>-0.15</v>
      </c>
      <c r="B9" s="33"/>
      <c r="C9" s="33"/>
    </row>
    <row r="10" spans="1:3">
      <c r="A10" s="16">
        <v>-0.1</v>
      </c>
      <c r="B10" s="33"/>
      <c r="C10" s="33"/>
    </row>
    <row r="11" spans="1:3">
      <c r="A11" s="16">
        <v>-0.05</v>
      </c>
      <c r="B11" s="33"/>
      <c r="C11" s="33"/>
    </row>
    <row r="12" spans="1:3">
      <c r="A12" s="16">
        <v>0</v>
      </c>
      <c r="B12" s="33"/>
      <c r="C12" s="33"/>
    </row>
    <row r="13" spans="1:3">
      <c r="A13" s="16">
        <v>0.05</v>
      </c>
      <c r="B13" s="33"/>
      <c r="C13" s="33"/>
    </row>
    <row r="14" spans="1:3">
      <c r="A14" s="16">
        <v>0.1</v>
      </c>
      <c r="B14" s="33"/>
      <c r="C14" s="33"/>
    </row>
    <row r="15" spans="1:3">
      <c r="A15" s="16">
        <v>0.15</v>
      </c>
      <c r="B15" s="33"/>
      <c r="C15" s="33"/>
    </row>
    <row r="16" spans="1:3">
      <c r="A16" s="16">
        <v>0.2</v>
      </c>
      <c r="B16" s="33"/>
      <c r="C16" s="33"/>
    </row>
    <row r="17" spans="1:3">
      <c r="A17" s="16">
        <v>0.25</v>
      </c>
      <c r="B17" s="33"/>
      <c r="C17" s="33"/>
    </row>
    <row r="18" spans="1:3">
      <c r="A18" s="16">
        <v>0.3</v>
      </c>
      <c r="B18" s="33"/>
      <c r="C18" s="33"/>
    </row>
    <row r="19" spans="1:3">
      <c r="A19" s="16">
        <v>0.35</v>
      </c>
      <c r="B19" s="33"/>
      <c r="C19" s="33"/>
    </row>
    <row r="20" spans="1:3">
      <c r="A20" s="16">
        <v>0.4</v>
      </c>
      <c r="B20" s="33"/>
      <c r="C20" s="33"/>
    </row>
    <row r="21" spans="1:3">
      <c r="A21" s="16">
        <v>0.45</v>
      </c>
      <c r="B21" s="33"/>
      <c r="C21" s="33"/>
    </row>
    <row r="22" spans="1:3">
      <c r="A22" s="16">
        <v>0.5</v>
      </c>
      <c r="B22" s="33"/>
      <c r="C22" s="33"/>
    </row>
    <row r="23" spans="1:3">
      <c r="A23" s="16">
        <v>0.55000000000000004</v>
      </c>
      <c r="B23" s="33"/>
      <c r="C23" s="33"/>
    </row>
    <row r="24" spans="1:3">
      <c r="A24" s="16">
        <v>0.6</v>
      </c>
      <c r="B24" s="33"/>
      <c r="C24" s="33"/>
    </row>
    <row r="25" spans="1:3">
      <c r="A25" s="16">
        <v>0.65</v>
      </c>
      <c r="B25" s="33"/>
      <c r="C25" s="33"/>
    </row>
    <row r="26" spans="1:3">
      <c r="A26" s="16">
        <v>0.7</v>
      </c>
      <c r="B26" s="33"/>
      <c r="C26" s="33"/>
    </row>
    <row r="27" spans="1:3">
      <c r="A27" s="16">
        <v>0.75</v>
      </c>
      <c r="B27" s="33"/>
      <c r="C27" s="33"/>
    </row>
    <row r="28" spans="1:3">
      <c r="A28" s="16">
        <v>0.8</v>
      </c>
      <c r="B28" s="33"/>
      <c r="C28" s="33"/>
    </row>
    <row r="29" spans="1:3">
      <c r="A29" s="16">
        <v>0.85</v>
      </c>
      <c r="B29" s="33"/>
      <c r="C29" s="33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9"/>
  <sheetViews>
    <sheetView showGridLines="0" zoomScaleNormal="100" workbookViewId="0" xr3:uid="{9B253EF2-77E0-53E3-AE26-4D66ECD923F3}"/>
  </sheetViews>
  <sheetFormatPr defaultColWidth="9" defaultRowHeight="15"/>
  <cols>
    <col min="1" max="3" width="8.625" style="7" customWidth="1"/>
    <col min="4" max="16384" width="9" style="1"/>
  </cols>
  <sheetData>
    <row r="1" spans="1:3" ht="30">
      <c r="A1" s="4" t="s">
        <v>15</v>
      </c>
      <c r="B1" s="4" t="s">
        <v>16</v>
      </c>
    </row>
    <row r="2" spans="1:3">
      <c r="A2" s="7">
        <v>0.25</v>
      </c>
      <c r="B2" s="7">
        <v>0.3</v>
      </c>
    </row>
    <row r="3" spans="1:3" ht="5.0999999999999996" customHeight="1"/>
    <row r="4" spans="1:3" ht="45">
      <c r="A4" s="17" t="s">
        <v>17</v>
      </c>
      <c r="B4" s="4" t="s">
        <v>18</v>
      </c>
      <c r="C4" s="4" t="s">
        <v>19</v>
      </c>
    </row>
    <row r="5" spans="1:3">
      <c r="A5" s="16">
        <v>-0.35</v>
      </c>
      <c r="B5" s="16">
        <f t="shared" ref="B5:B29" si="0">NORMDIST(A5,$A$2,$B$2,FALSE)</f>
        <v>0.17996988837729355</v>
      </c>
      <c r="C5" s="16">
        <f t="shared" ref="C5:C29" si="1">NORMDIST(A5,$A$2,$B$2,TRUE)</f>
        <v>2.2750131948179191E-2</v>
      </c>
    </row>
    <row r="6" spans="1:3">
      <c r="A6" s="16">
        <v>-0.3</v>
      </c>
      <c r="B6" s="16">
        <f t="shared" si="0"/>
        <v>0.24770387852997691</v>
      </c>
      <c r="C6" s="16">
        <f t="shared" si="1"/>
        <v>3.3376507584817229E-2</v>
      </c>
    </row>
    <row r="7" spans="1:3">
      <c r="A7" s="16">
        <v>-0.25</v>
      </c>
      <c r="B7" s="16">
        <f t="shared" si="0"/>
        <v>0.33159046264249559</v>
      </c>
      <c r="C7" s="16">
        <f t="shared" si="1"/>
        <v>4.7790352272814703E-2</v>
      </c>
    </row>
    <row r="8" spans="1:3">
      <c r="A8" s="16">
        <v>-0.2</v>
      </c>
      <c r="B8" s="16">
        <f t="shared" si="0"/>
        <v>0.43172531888630583</v>
      </c>
      <c r="C8" s="16">
        <f t="shared" si="1"/>
        <v>6.6807201268858057E-2</v>
      </c>
    </row>
    <row r="9" spans="1:3">
      <c r="A9" s="16">
        <v>-0.15</v>
      </c>
      <c r="B9" s="16">
        <f t="shared" si="0"/>
        <v>0.54670024891997859</v>
      </c>
      <c r="C9" s="16">
        <f t="shared" si="1"/>
        <v>9.1211219725867806E-2</v>
      </c>
    </row>
    <row r="10" spans="1:3">
      <c r="A10" s="16">
        <v>-0.1</v>
      </c>
      <c r="B10" s="16">
        <f t="shared" si="0"/>
        <v>0.67332895184686292</v>
      </c>
      <c r="C10" s="16">
        <f t="shared" si="1"/>
        <v>0.12167250457438125</v>
      </c>
    </row>
    <row r="11" spans="1:3">
      <c r="A11" s="16">
        <v>-0.05</v>
      </c>
      <c r="B11" s="16">
        <f t="shared" si="0"/>
        <v>0.80656908173047792</v>
      </c>
      <c r="C11" s="16">
        <f t="shared" si="1"/>
        <v>0.15865525393145699</v>
      </c>
    </row>
    <row r="12" spans="1:3">
      <c r="A12" s="16">
        <v>0</v>
      </c>
      <c r="B12" s="16">
        <f t="shared" si="0"/>
        <v>0.93970625136767516</v>
      </c>
      <c r="C12" s="16">
        <f t="shared" si="1"/>
        <v>0.20232838096364303</v>
      </c>
    </row>
    <row r="13" spans="1:3">
      <c r="A13" s="16">
        <v>0.05</v>
      </c>
      <c r="B13" s="16">
        <f t="shared" si="0"/>
        <v>1.0648266850745074</v>
      </c>
      <c r="C13" s="16">
        <f t="shared" si="1"/>
        <v>0.2524925375469228</v>
      </c>
    </row>
    <row r="14" spans="1:3">
      <c r="A14" s="16">
        <v>0.1</v>
      </c>
      <c r="B14" s="16">
        <f t="shared" si="0"/>
        <v>1.1735510892143317</v>
      </c>
      <c r="C14" s="16">
        <f t="shared" si="1"/>
        <v>0.30853753872598688</v>
      </c>
    </row>
    <row r="15" spans="1:3">
      <c r="A15" s="16">
        <v>0.15</v>
      </c>
      <c r="B15" s="16">
        <f t="shared" si="0"/>
        <v>1.2579440923099772</v>
      </c>
      <c r="C15" s="16">
        <f t="shared" si="1"/>
        <v>0.36944134018176356</v>
      </c>
    </row>
    <row r="16" spans="1:3">
      <c r="A16" s="16">
        <v>0.2</v>
      </c>
      <c r="B16" s="16">
        <f t="shared" si="0"/>
        <v>1.3114657203397997</v>
      </c>
      <c r="C16" s="16">
        <f t="shared" si="1"/>
        <v>0.43381616738909634</v>
      </c>
    </row>
    <row r="17" spans="1:3">
      <c r="A17" s="16">
        <v>0.25</v>
      </c>
      <c r="B17" s="16">
        <f t="shared" si="0"/>
        <v>1.329807601338109</v>
      </c>
      <c r="C17" s="16">
        <f t="shared" si="1"/>
        <v>0.5</v>
      </c>
    </row>
    <row r="18" spans="1:3">
      <c r="A18" s="16">
        <v>0.3</v>
      </c>
      <c r="B18" s="16">
        <f t="shared" si="0"/>
        <v>1.3114657203397997</v>
      </c>
      <c r="C18" s="16">
        <f t="shared" si="1"/>
        <v>0.56618383261090366</v>
      </c>
    </row>
    <row r="19" spans="1:3">
      <c r="A19" s="16">
        <v>0.35</v>
      </c>
      <c r="B19" s="16">
        <f t="shared" si="0"/>
        <v>1.2579440923099774</v>
      </c>
      <c r="C19" s="16">
        <f t="shared" si="1"/>
        <v>0.63055865981823633</v>
      </c>
    </row>
    <row r="20" spans="1:3">
      <c r="A20" s="16">
        <v>0.4</v>
      </c>
      <c r="B20" s="16">
        <f t="shared" si="0"/>
        <v>1.1735510892143317</v>
      </c>
      <c r="C20" s="16">
        <f t="shared" si="1"/>
        <v>0.69146246127401312</v>
      </c>
    </row>
    <row r="21" spans="1:3">
      <c r="A21" s="16">
        <v>0.45</v>
      </c>
      <c r="B21" s="16">
        <f t="shared" si="0"/>
        <v>1.0648266850745074</v>
      </c>
      <c r="C21" s="16">
        <f t="shared" si="1"/>
        <v>0.7475074624530772</v>
      </c>
    </row>
    <row r="22" spans="1:3">
      <c r="A22" s="16">
        <v>0.5</v>
      </c>
      <c r="B22" s="16">
        <f t="shared" si="0"/>
        <v>0.93970625136767516</v>
      </c>
      <c r="C22" s="16">
        <f t="shared" si="1"/>
        <v>0.79767161903635697</v>
      </c>
    </row>
    <row r="23" spans="1:3">
      <c r="A23" s="16">
        <v>0.55000000000000004</v>
      </c>
      <c r="B23" s="16">
        <f t="shared" si="0"/>
        <v>0.80656908173047781</v>
      </c>
      <c r="C23" s="16">
        <f t="shared" si="1"/>
        <v>0.84134474606854304</v>
      </c>
    </row>
    <row r="24" spans="1:3">
      <c r="A24" s="16">
        <v>0.6</v>
      </c>
      <c r="B24" s="16">
        <f t="shared" si="0"/>
        <v>0.67332895184686292</v>
      </c>
      <c r="C24" s="16">
        <f t="shared" si="1"/>
        <v>0.87832749542561872</v>
      </c>
    </row>
    <row r="25" spans="1:3">
      <c r="A25" s="16">
        <v>0.65</v>
      </c>
      <c r="B25" s="16">
        <f t="shared" si="0"/>
        <v>0.54670024891997859</v>
      </c>
      <c r="C25" s="16">
        <f t="shared" si="1"/>
        <v>0.90878878027413224</v>
      </c>
    </row>
    <row r="26" spans="1:3">
      <c r="A26" s="16">
        <v>0.7</v>
      </c>
      <c r="B26" s="16">
        <f t="shared" si="0"/>
        <v>0.43172531888630583</v>
      </c>
      <c r="C26" s="16">
        <f t="shared" si="1"/>
        <v>0.93319279873114191</v>
      </c>
    </row>
    <row r="27" spans="1:3">
      <c r="A27" s="16">
        <v>0.75</v>
      </c>
      <c r="B27" s="16">
        <f t="shared" si="0"/>
        <v>0.33159046264249559</v>
      </c>
      <c r="C27" s="16">
        <f t="shared" si="1"/>
        <v>0.9522096477271853</v>
      </c>
    </row>
    <row r="28" spans="1:3">
      <c r="A28" s="16">
        <v>0.8</v>
      </c>
      <c r="B28" s="16">
        <f t="shared" si="0"/>
        <v>0.24770387852997691</v>
      </c>
      <c r="C28" s="16">
        <f t="shared" si="1"/>
        <v>0.96662349241518275</v>
      </c>
    </row>
    <row r="29" spans="1:3">
      <c r="A29" s="16">
        <v>0.85</v>
      </c>
      <c r="B29" s="16">
        <f t="shared" si="0"/>
        <v>0.17996988837729355</v>
      </c>
      <c r="C29" s="16">
        <f t="shared" si="1"/>
        <v>0.97724986805182079</v>
      </c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Hiroshi Ishijima</cp:lastModifiedBy>
  <cp:revision/>
  <dcterms:created xsi:type="dcterms:W3CDTF">2018-07-21T13:25:53Z</dcterms:created>
  <dcterms:modified xsi:type="dcterms:W3CDTF">2018-07-22T08:32:34Z</dcterms:modified>
  <cp:category/>
  <cp:contentStatus/>
</cp:coreProperties>
</file>